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Plantillas futbol stats\"/>
    </mc:Choice>
  </mc:AlternateContent>
  <xr:revisionPtr revIDLastSave="0" documentId="13_ncr:1_{DAB8527C-D73E-40A1-86D3-7A1B7F7B6D8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Dashboard" sheetId="1" r:id="rId1"/>
    <sheet name="Partidos" sheetId="2" r:id="rId2"/>
    <sheet name="Tabla Posiciones" sheetId="3" r:id="rId3"/>
    <sheet name="Jugadores" sheetId="4" r:id="rId4"/>
    <sheet name="Estadísticas Jugadores" sheetId="5" r:id="rId5"/>
    <sheet name="Goleadores" sheetId="6" r:id="rId6"/>
    <sheet name="Asistencias" sheetId="7" r:id="rId7"/>
    <sheet name="Remates al Arco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01" i="8" l="1"/>
  <c r="G1501" i="8"/>
  <c r="F1501" i="8"/>
  <c r="J1501" i="8" s="1"/>
  <c r="I1500" i="8"/>
  <c r="H1500" i="8"/>
  <c r="G1500" i="8"/>
  <c r="F1500" i="8"/>
  <c r="J1500" i="8" s="1"/>
  <c r="G1499" i="8"/>
  <c r="F1499" i="8"/>
  <c r="G1498" i="8"/>
  <c r="F1498" i="8"/>
  <c r="I1498" i="8" s="1"/>
  <c r="I1497" i="8"/>
  <c r="H1497" i="8"/>
  <c r="G1497" i="8"/>
  <c r="F1497" i="8"/>
  <c r="J1497" i="8" s="1"/>
  <c r="I1496" i="8"/>
  <c r="H1496" i="8"/>
  <c r="G1496" i="8"/>
  <c r="F1496" i="8"/>
  <c r="J1496" i="8" s="1"/>
  <c r="G1495" i="8"/>
  <c r="F1495" i="8"/>
  <c r="J1494" i="8"/>
  <c r="G1494" i="8"/>
  <c r="F1494" i="8"/>
  <c r="I1494" i="8" s="1"/>
  <c r="I1493" i="8"/>
  <c r="H1493" i="8"/>
  <c r="G1493" i="8"/>
  <c r="F1493" i="8"/>
  <c r="J1493" i="8" s="1"/>
  <c r="I1492" i="8"/>
  <c r="H1492" i="8"/>
  <c r="G1492" i="8"/>
  <c r="F1492" i="8"/>
  <c r="J1492" i="8" s="1"/>
  <c r="G1491" i="8"/>
  <c r="F1491" i="8"/>
  <c r="J1490" i="8"/>
  <c r="H1490" i="8"/>
  <c r="G1490" i="8"/>
  <c r="F1490" i="8"/>
  <c r="I1490" i="8" s="1"/>
  <c r="I1489" i="8"/>
  <c r="H1489" i="8"/>
  <c r="G1489" i="8"/>
  <c r="F1489" i="8"/>
  <c r="J1489" i="8" s="1"/>
  <c r="I1488" i="8"/>
  <c r="H1488" i="8"/>
  <c r="G1488" i="8"/>
  <c r="F1488" i="8"/>
  <c r="J1488" i="8" s="1"/>
  <c r="G1487" i="8"/>
  <c r="F1487" i="8"/>
  <c r="H1487" i="8" s="1"/>
  <c r="J1486" i="8"/>
  <c r="H1486" i="8"/>
  <c r="G1486" i="8"/>
  <c r="F1486" i="8"/>
  <c r="I1486" i="8" s="1"/>
  <c r="I1485" i="8"/>
  <c r="H1485" i="8"/>
  <c r="G1485" i="8"/>
  <c r="F1485" i="8"/>
  <c r="J1485" i="8" s="1"/>
  <c r="I1484" i="8"/>
  <c r="H1484" i="8"/>
  <c r="G1484" i="8"/>
  <c r="F1484" i="8"/>
  <c r="J1484" i="8" s="1"/>
  <c r="G1483" i="8"/>
  <c r="F1483" i="8"/>
  <c r="H1483" i="8" s="1"/>
  <c r="J1482" i="8"/>
  <c r="H1482" i="8"/>
  <c r="G1482" i="8"/>
  <c r="F1482" i="8"/>
  <c r="I1482" i="8" s="1"/>
  <c r="I1481" i="8"/>
  <c r="H1481" i="8"/>
  <c r="G1481" i="8"/>
  <c r="F1481" i="8"/>
  <c r="J1481" i="8" s="1"/>
  <c r="I1480" i="8"/>
  <c r="H1480" i="8"/>
  <c r="G1480" i="8"/>
  <c r="F1480" i="8"/>
  <c r="J1480" i="8" s="1"/>
  <c r="G1479" i="8"/>
  <c r="F1479" i="8"/>
  <c r="H1479" i="8" s="1"/>
  <c r="J1478" i="8"/>
  <c r="H1478" i="8"/>
  <c r="G1478" i="8"/>
  <c r="F1478" i="8"/>
  <c r="I1478" i="8" s="1"/>
  <c r="I1477" i="8"/>
  <c r="H1477" i="8"/>
  <c r="G1477" i="8"/>
  <c r="F1477" i="8"/>
  <c r="J1477" i="8" s="1"/>
  <c r="I1476" i="8"/>
  <c r="H1476" i="8"/>
  <c r="G1476" i="8"/>
  <c r="F1476" i="8"/>
  <c r="J1476" i="8" s="1"/>
  <c r="G1475" i="8"/>
  <c r="F1475" i="8"/>
  <c r="H1475" i="8" s="1"/>
  <c r="J1474" i="8"/>
  <c r="H1474" i="8"/>
  <c r="G1474" i="8"/>
  <c r="F1474" i="8"/>
  <c r="I1474" i="8" s="1"/>
  <c r="I1473" i="8"/>
  <c r="H1473" i="8"/>
  <c r="G1473" i="8"/>
  <c r="F1473" i="8"/>
  <c r="J1473" i="8" s="1"/>
  <c r="I1472" i="8"/>
  <c r="H1472" i="8"/>
  <c r="G1472" i="8"/>
  <c r="F1472" i="8"/>
  <c r="J1472" i="8" s="1"/>
  <c r="G1471" i="8"/>
  <c r="F1471" i="8"/>
  <c r="H1471" i="8" s="1"/>
  <c r="J1470" i="8"/>
  <c r="H1470" i="8"/>
  <c r="G1470" i="8"/>
  <c r="F1470" i="8"/>
  <c r="I1470" i="8" s="1"/>
  <c r="I1469" i="8"/>
  <c r="H1469" i="8"/>
  <c r="G1469" i="8"/>
  <c r="F1469" i="8"/>
  <c r="J1469" i="8" s="1"/>
  <c r="I1468" i="8"/>
  <c r="H1468" i="8"/>
  <c r="G1468" i="8"/>
  <c r="F1468" i="8"/>
  <c r="J1468" i="8" s="1"/>
  <c r="G1467" i="8"/>
  <c r="F1467" i="8"/>
  <c r="H1467" i="8" s="1"/>
  <c r="J1466" i="8"/>
  <c r="H1466" i="8"/>
  <c r="G1466" i="8"/>
  <c r="F1466" i="8"/>
  <c r="I1466" i="8" s="1"/>
  <c r="I1465" i="8"/>
  <c r="H1465" i="8"/>
  <c r="G1465" i="8"/>
  <c r="F1465" i="8"/>
  <c r="J1465" i="8" s="1"/>
  <c r="I1464" i="8"/>
  <c r="H1464" i="8"/>
  <c r="G1464" i="8"/>
  <c r="F1464" i="8"/>
  <c r="J1464" i="8" s="1"/>
  <c r="G1463" i="8"/>
  <c r="F1463" i="8"/>
  <c r="H1463" i="8" s="1"/>
  <c r="J1462" i="8"/>
  <c r="H1462" i="8"/>
  <c r="G1462" i="8"/>
  <c r="F1462" i="8"/>
  <c r="I1462" i="8" s="1"/>
  <c r="I1461" i="8"/>
  <c r="H1461" i="8"/>
  <c r="G1461" i="8"/>
  <c r="F1461" i="8"/>
  <c r="J1461" i="8" s="1"/>
  <c r="I1460" i="8"/>
  <c r="H1460" i="8"/>
  <c r="G1460" i="8"/>
  <c r="F1460" i="8"/>
  <c r="J1460" i="8" s="1"/>
  <c r="G1459" i="8"/>
  <c r="F1459" i="8"/>
  <c r="H1459" i="8" s="1"/>
  <c r="J1458" i="8"/>
  <c r="H1458" i="8"/>
  <c r="G1458" i="8"/>
  <c r="F1458" i="8"/>
  <c r="I1458" i="8" s="1"/>
  <c r="I1457" i="8"/>
  <c r="H1457" i="8"/>
  <c r="G1457" i="8"/>
  <c r="F1457" i="8"/>
  <c r="J1457" i="8" s="1"/>
  <c r="I1456" i="8"/>
  <c r="H1456" i="8"/>
  <c r="G1456" i="8"/>
  <c r="F1456" i="8"/>
  <c r="J1456" i="8" s="1"/>
  <c r="G1455" i="8"/>
  <c r="F1455" i="8"/>
  <c r="J1454" i="8"/>
  <c r="H1454" i="8"/>
  <c r="G1454" i="8"/>
  <c r="F1454" i="8"/>
  <c r="I1454" i="8" s="1"/>
  <c r="I1453" i="8"/>
  <c r="H1453" i="8"/>
  <c r="G1453" i="8"/>
  <c r="F1453" i="8"/>
  <c r="J1453" i="8" s="1"/>
  <c r="I1452" i="8"/>
  <c r="H1452" i="8"/>
  <c r="G1452" i="8"/>
  <c r="F1452" i="8"/>
  <c r="J1452" i="8" s="1"/>
  <c r="G1451" i="8"/>
  <c r="F1451" i="8"/>
  <c r="J1450" i="8"/>
  <c r="H1450" i="8"/>
  <c r="G1450" i="8"/>
  <c r="F1450" i="8"/>
  <c r="I1450" i="8" s="1"/>
  <c r="I1449" i="8"/>
  <c r="H1449" i="8"/>
  <c r="G1449" i="8"/>
  <c r="F1449" i="8"/>
  <c r="J1449" i="8" s="1"/>
  <c r="I1448" i="8"/>
  <c r="H1448" i="8"/>
  <c r="G1448" i="8"/>
  <c r="F1448" i="8"/>
  <c r="J1448" i="8" s="1"/>
  <c r="G1447" i="8"/>
  <c r="F1447" i="8"/>
  <c r="J1446" i="8"/>
  <c r="H1446" i="8"/>
  <c r="G1446" i="8"/>
  <c r="F1446" i="8"/>
  <c r="I1446" i="8" s="1"/>
  <c r="I1445" i="8"/>
  <c r="H1445" i="8"/>
  <c r="G1445" i="8"/>
  <c r="F1445" i="8"/>
  <c r="J1445" i="8" s="1"/>
  <c r="I1444" i="8"/>
  <c r="H1444" i="8"/>
  <c r="G1444" i="8"/>
  <c r="F1444" i="8"/>
  <c r="J1444" i="8" s="1"/>
  <c r="G1443" i="8"/>
  <c r="F1443" i="8"/>
  <c r="J1442" i="8"/>
  <c r="H1442" i="8"/>
  <c r="G1442" i="8"/>
  <c r="F1442" i="8"/>
  <c r="I1442" i="8" s="1"/>
  <c r="I1441" i="8"/>
  <c r="H1441" i="8"/>
  <c r="G1441" i="8"/>
  <c r="F1441" i="8"/>
  <c r="J1441" i="8" s="1"/>
  <c r="H1440" i="8"/>
  <c r="G1440" i="8"/>
  <c r="F1440" i="8"/>
  <c r="J1440" i="8" s="1"/>
  <c r="J1439" i="8"/>
  <c r="I1439" i="8"/>
  <c r="G1439" i="8"/>
  <c r="F1439" i="8"/>
  <c r="H1439" i="8" s="1"/>
  <c r="H1438" i="8"/>
  <c r="G1438" i="8"/>
  <c r="F1438" i="8"/>
  <c r="I1438" i="8" s="1"/>
  <c r="I1437" i="8"/>
  <c r="H1437" i="8"/>
  <c r="G1437" i="8"/>
  <c r="F1437" i="8"/>
  <c r="J1437" i="8" s="1"/>
  <c r="I1436" i="8"/>
  <c r="G1436" i="8"/>
  <c r="F1436" i="8"/>
  <c r="J1436" i="8" s="1"/>
  <c r="I1435" i="8"/>
  <c r="G1435" i="8"/>
  <c r="F1435" i="8"/>
  <c r="H1435" i="8" s="1"/>
  <c r="J1434" i="8"/>
  <c r="G1434" i="8"/>
  <c r="F1434" i="8"/>
  <c r="I1434" i="8" s="1"/>
  <c r="I1433" i="8"/>
  <c r="H1433" i="8"/>
  <c r="G1433" i="8"/>
  <c r="F1433" i="8"/>
  <c r="J1433" i="8" s="1"/>
  <c r="H1432" i="8"/>
  <c r="G1432" i="8"/>
  <c r="F1432" i="8"/>
  <c r="J1432" i="8" s="1"/>
  <c r="J1431" i="8"/>
  <c r="I1431" i="8"/>
  <c r="G1431" i="8"/>
  <c r="F1431" i="8"/>
  <c r="H1431" i="8" s="1"/>
  <c r="H1430" i="8"/>
  <c r="G1430" i="8"/>
  <c r="F1430" i="8"/>
  <c r="I1430" i="8" s="1"/>
  <c r="I1429" i="8"/>
  <c r="H1429" i="8"/>
  <c r="G1429" i="8"/>
  <c r="F1429" i="8"/>
  <c r="J1429" i="8" s="1"/>
  <c r="G1428" i="8"/>
  <c r="F1428" i="8"/>
  <c r="J1427" i="8"/>
  <c r="I1427" i="8"/>
  <c r="G1427" i="8"/>
  <c r="F1427" i="8"/>
  <c r="H1427" i="8" s="1"/>
  <c r="G1426" i="8"/>
  <c r="F1426" i="8"/>
  <c r="I1425" i="8"/>
  <c r="H1425" i="8"/>
  <c r="G1425" i="8"/>
  <c r="F1425" i="8"/>
  <c r="J1425" i="8" s="1"/>
  <c r="G1424" i="8"/>
  <c r="F1424" i="8"/>
  <c r="J1423" i="8"/>
  <c r="I1423" i="8"/>
  <c r="G1423" i="8"/>
  <c r="F1423" i="8"/>
  <c r="H1423" i="8" s="1"/>
  <c r="G1422" i="8"/>
  <c r="F1422" i="8"/>
  <c r="I1421" i="8"/>
  <c r="H1421" i="8"/>
  <c r="G1421" i="8"/>
  <c r="F1421" i="8"/>
  <c r="J1421" i="8" s="1"/>
  <c r="G1420" i="8"/>
  <c r="F1420" i="8"/>
  <c r="J1419" i="8"/>
  <c r="I1419" i="8"/>
  <c r="G1419" i="8"/>
  <c r="F1419" i="8"/>
  <c r="H1419" i="8" s="1"/>
  <c r="G1418" i="8"/>
  <c r="F1418" i="8"/>
  <c r="I1417" i="8"/>
  <c r="H1417" i="8"/>
  <c r="G1417" i="8"/>
  <c r="F1417" i="8"/>
  <c r="J1417" i="8" s="1"/>
  <c r="I1416" i="8"/>
  <c r="H1416" i="8"/>
  <c r="G1416" i="8"/>
  <c r="F1416" i="8"/>
  <c r="J1416" i="8" s="1"/>
  <c r="I1415" i="8"/>
  <c r="G1415" i="8"/>
  <c r="F1415" i="8"/>
  <c r="H1415" i="8" s="1"/>
  <c r="J1414" i="8"/>
  <c r="H1414" i="8"/>
  <c r="G1414" i="8"/>
  <c r="F1414" i="8"/>
  <c r="I1414" i="8" s="1"/>
  <c r="I1413" i="8"/>
  <c r="H1413" i="8"/>
  <c r="G1413" i="8"/>
  <c r="F1413" i="8"/>
  <c r="J1413" i="8" s="1"/>
  <c r="I1412" i="8"/>
  <c r="H1412" i="8"/>
  <c r="G1412" i="8"/>
  <c r="F1412" i="8"/>
  <c r="J1412" i="8" s="1"/>
  <c r="J1411" i="8"/>
  <c r="G1411" i="8"/>
  <c r="F1411" i="8"/>
  <c r="H1411" i="8" s="1"/>
  <c r="G1410" i="8"/>
  <c r="F1410" i="8"/>
  <c r="I1409" i="8"/>
  <c r="H1409" i="8"/>
  <c r="G1409" i="8"/>
  <c r="F1409" i="8"/>
  <c r="J1409" i="8" s="1"/>
  <c r="I1408" i="8"/>
  <c r="H1408" i="8"/>
  <c r="G1408" i="8"/>
  <c r="F1408" i="8"/>
  <c r="J1408" i="8" s="1"/>
  <c r="I1407" i="8"/>
  <c r="G1407" i="8"/>
  <c r="F1407" i="8"/>
  <c r="H1407" i="8" s="1"/>
  <c r="J1406" i="8"/>
  <c r="H1406" i="8"/>
  <c r="G1406" i="8"/>
  <c r="F1406" i="8"/>
  <c r="I1406" i="8" s="1"/>
  <c r="I1405" i="8"/>
  <c r="H1405" i="8"/>
  <c r="G1405" i="8"/>
  <c r="F1405" i="8"/>
  <c r="J1405" i="8" s="1"/>
  <c r="I1404" i="8"/>
  <c r="H1404" i="8"/>
  <c r="G1404" i="8"/>
  <c r="F1404" i="8"/>
  <c r="J1404" i="8" s="1"/>
  <c r="G1403" i="8"/>
  <c r="F1403" i="8"/>
  <c r="J1402" i="8"/>
  <c r="H1402" i="8"/>
  <c r="G1402" i="8"/>
  <c r="F1402" i="8"/>
  <c r="I1402" i="8" s="1"/>
  <c r="I1401" i="8"/>
  <c r="H1401" i="8"/>
  <c r="G1401" i="8"/>
  <c r="F1401" i="8"/>
  <c r="J1401" i="8" s="1"/>
  <c r="G1400" i="8"/>
  <c r="F1400" i="8"/>
  <c r="J1400" i="8" s="1"/>
  <c r="I1399" i="8"/>
  <c r="G1399" i="8"/>
  <c r="F1399" i="8"/>
  <c r="H1398" i="8"/>
  <c r="G1398" i="8"/>
  <c r="F1398" i="8"/>
  <c r="I1398" i="8" s="1"/>
  <c r="I1397" i="8"/>
  <c r="H1397" i="8"/>
  <c r="G1397" i="8"/>
  <c r="F1397" i="8"/>
  <c r="J1397" i="8" s="1"/>
  <c r="G1396" i="8"/>
  <c r="F1396" i="8"/>
  <c r="J1395" i="8"/>
  <c r="I1395" i="8"/>
  <c r="G1395" i="8"/>
  <c r="F1395" i="8"/>
  <c r="H1395" i="8" s="1"/>
  <c r="G1394" i="8"/>
  <c r="F1394" i="8"/>
  <c r="I1393" i="8"/>
  <c r="H1393" i="8"/>
  <c r="G1393" i="8"/>
  <c r="F1393" i="8"/>
  <c r="J1393" i="8" s="1"/>
  <c r="I1392" i="8"/>
  <c r="H1392" i="8"/>
  <c r="G1392" i="8"/>
  <c r="F1392" i="8"/>
  <c r="J1392" i="8" s="1"/>
  <c r="J1391" i="8"/>
  <c r="G1391" i="8"/>
  <c r="F1391" i="8"/>
  <c r="H1391" i="8" s="1"/>
  <c r="J1390" i="8"/>
  <c r="H1390" i="8"/>
  <c r="G1390" i="8"/>
  <c r="F1390" i="8"/>
  <c r="I1390" i="8" s="1"/>
  <c r="I1389" i="8"/>
  <c r="H1389" i="8"/>
  <c r="G1389" i="8"/>
  <c r="F1389" i="8"/>
  <c r="J1389" i="8" s="1"/>
  <c r="I1388" i="8"/>
  <c r="H1388" i="8"/>
  <c r="G1388" i="8"/>
  <c r="F1388" i="8"/>
  <c r="J1388" i="8" s="1"/>
  <c r="G1387" i="8"/>
  <c r="F1387" i="8"/>
  <c r="G1386" i="8"/>
  <c r="F1386" i="8"/>
  <c r="I1386" i="8" s="1"/>
  <c r="I1385" i="8"/>
  <c r="H1385" i="8"/>
  <c r="G1385" i="8"/>
  <c r="F1385" i="8"/>
  <c r="J1385" i="8" s="1"/>
  <c r="G1384" i="8"/>
  <c r="F1384" i="8"/>
  <c r="J1383" i="8"/>
  <c r="I1383" i="8"/>
  <c r="H1383" i="8"/>
  <c r="G1383" i="8"/>
  <c r="F1383" i="8"/>
  <c r="J1382" i="8"/>
  <c r="H1382" i="8"/>
  <c r="G1382" i="8"/>
  <c r="F1382" i="8"/>
  <c r="I1382" i="8" s="1"/>
  <c r="I1381" i="8"/>
  <c r="H1381" i="8"/>
  <c r="G1381" i="8"/>
  <c r="F1381" i="8"/>
  <c r="J1381" i="8" s="1"/>
  <c r="I1380" i="8"/>
  <c r="H1380" i="8"/>
  <c r="G1380" i="8"/>
  <c r="F1380" i="8"/>
  <c r="J1380" i="8" s="1"/>
  <c r="G1379" i="8"/>
  <c r="F1379" i="8"/>
  <c r="G1378" i="8"/>
  <c r="F1378" i="8"/>
  <c r="I1378" i="8" s="1"/>
  <c r="I1377" i="8"/>
  <c r="H1377" i="8"/>
  <c r="G1377" i="8"/>
  <c r="F1377" i="8"/>
  <c r="J1377" i="8" s="1"/>
  <c r="G1376" i="8"/>
  <c r="F1376" i="8"/>
  <c r="J1375" i="8"/>
  <c r="I1375" i="8"/>
  <c r="H1375" i="8"/>
  <c r="G1375" i="8"/>
  <c r="F1375" i="8"/>
  <c r="J1374" i="8"/>
  <c r="H1374" i="8"/>
  <c r="G1374" i="8"/>
  <c r="F1374" i="8"/>
  <c r="I1374" i="8" s="1"/>
  <c r="I1373" i="8"/>
  <c r="H1373" i="8"/>
  <c r="G1373" i="8"/>
  <c r="F1373" i="8"/>
  <c r="J1373" i="8" s="1"/>
  <c r="I1372" i="8"/>
  <c r="H1372" i="8"/>
  <c r="G1372" i="8"/>
  <c r="F1372" i="8"/>
  <c r="J1372" i="8" s="1"/>
  <c r="G1371" i="8"/>
  <c r="F1371" i="8"/>
  <c r="G1370" i="8"/>
  <c r="F1370" i="8"/>
  <c r="I1370" i="8" s="1"/>
  <c r="I1369" i="8"/>
  <c r="H1369" i="8"/>
  <c r="G1369" i="8"/>
  <c r="F1369" i="8"/>
  <c r="J1369" i="8" s="1"/>
  <c r="G1368" i="8"/>
  <c r="F1368" i="8"/>
  <c r="J1367" i="8"/>
  <c r="I1367" i="8"/>
  <c r="H1367" i="8"/>
  <c r="G1367" i="8"/>
  <c r="F1367" i="8"/>
  <c r="J1366" i="8"/>
  <c r="H1366" i="8"/>
  <c r="G1366" i="8"/>
  <c r="F1366" i="8"/>
  <c r="I1366" i="8" s="1"/>
  <c r="I1365" i="8"/>
  <c r="H1365" i="8"/>
  <c r="G1365" i="8"/>
  <c r="F1365" i="8"/>
  <c r="J1365" i="8" s="1"/>
  <c r="I1364" i="8"/>
  <c r="H1364" i="8"/>
  <c r="G1364" i="8"/>
  <c r="F1364" i="8"/>
  <c r="J1364" i="8" s="1"/>
  <c r="G1363" i="8"/>
  <c r="F1363" i="8"/>
  <c r="G1362" i="8"/>
  <c r="F1362" i="8"/>
  <c r="I1362" i="8" s="1"/>
  <c r="I1361" i="8"/>
  <c r="H1361" i="8"/>
  <c r="G1361" i="8"/>
  <c r="F1361" i="8"/>
  <c r="J1361" i="8" s="1"/>
  <c r="G1360" i="8"/>
  <c r="F1360" i="8"/>
  <c r="J1359" i="8"/>
  <c r="I1359" i="8"/>
  <c r="H1359" i="8"/>
  <c r="G1359" i="8"/>
  <c r="F1359" i="8"/>
  <c r="J1358" i="8"/>
  <c r="H1358" i="8"/>
  <c r="G1358" i="8"/>
  <c r="F1358" i="8"/>
  <c r="I1358" i="8" s="1"/>
  <c r="I1357" i="8"/>
  <c r="H1357" i="8"/>
  <c r="G1357" i="8"/>
  <c r="F1357" i="8"/>
  <c r="J1357" i="8" s="1"/>
  <c r="I1356" i="8"/>
  <c r="H1356" i="8"/>
  <c r="G1356" i="8"/>
  <c r="F1356" i="8"/>
  <c r="J1356" i="8" s="1"/>
  <c r="G1355" i="8"/>
  <c r="F1355" i="8"/>
  <c r="G1354" i="8"/>
  <c r="F1354" i="8"/>
  <c r="I1354" i="8" s="1"/>
  <c r="J1353" i="8"/>
  <c r="I1353" i="8"/>
  <c r="H1353" i="8"/>
  <c r="G1353" i="8"/>
  <c r="F1353" i="8"/>
  <c r="G1352" i="8"/>
  <c r="F1352" i="8"/>
  <c r="G1351" i="8"/>
  <c r="F1351" i="8"/>
  <c r="J1351" i="8" s="1"/>
  <c r="J1350" i="8"/>
  <c r="G1350" i="8"/>
  <c r="F1350" i="8"/>
  <c r="I1350" i="8" s="1"/>
  <c r="J1349" i="8"/>
  <c r="I1349" i="8"/>
  <c r="H1349" i="8"/>
  <c r="G1349" i="8"/>
  <c r="F1349" i="8"/>
  <c r="I1348" i="8"/>
  <c r="H1348" i="8"/>
  <c r="G1348" i="8"/>
  <c r="F1348" i="8"/>
  <c r="J1348" i="8" s="1"/>
  <c r="G1347" i="8"/>
  <c r="F1347" i="8"/>
  <c r="J1347" i="8" s="1"/>
  <c r="J1346" i="8"/>
  <c r="H1346" i="8"/>
  <c r="G1346" i="8"/>
  <c r="F1346" i="8"/>
  <c r="I1346" i="8" s="1"/>
  <c r="J1345" i="8"/>
  <c r="I1345" i="8"/>
  <c r="H1345" i="8"/>
  <c r="G1345" i="8"/>
  <c r="F1345" i="8"/>
  <c r="I1344" i="8"/>
  <c r="H1344" i="8"/>
  <c r="G1344" i="8"/>
  <c r="F1344" i="8"/>
  <c r="J1344" i="8" s="1"/>
  <c r="J1343" i="8"/>
  <c r="I1343" i="8"/>
  <c r="H1343" i="8"/>
  <c r="G1343" i="8"/>
  <c r="F1343" i="8"/>
  <c r="J1342" i="8"/>
  <c r="H1342" i="8"/>
  <c r="G1342" i="8"/>
  <c r="F1342" i="8"/>
  <c r="I1342" i="8" s="1"/>
  <c r="J1341" i="8"/>
  <c r="I1341" i="8"/>
  <c r="H1341" i="8"/>
  <c r="G1341" i="8"/>
  <c r="F1341" i="8"/>
  <c r="H1340" i="8"/>
  <c r="G1340" i="8"/>
  <c r="F1340" i="8"/>
  <c r="J1340" i="8" s="1"/>
  <c r="J1339" i="8"/>
  <c r="I1339" i="8"/>
  <c r="H1339" i="8"/>
  <c r="G1339" i="8"/>
  <c r="F1339" i="8"/>
  <c r="J1338" i="8"/>
  <c r="I1338" i="8"/>
  <c r="H1338" i="8"/>
  <c r="G1338" i="8"/>
  <c r="F1338" i="8"/>
  <c r="G1337" i="8"/>
  <c r="F1337" i="8"/>
  <c r="J1336" i="8"/>
  <c r="H1336" i="8"/>
  <c r="G1336" i="8"/>
  <c r="F1336" i="8"/>
  <c r="I1336" i="8" s="1"/>
  <c r="J1335" i="8"/>
  <c r="I1335" i="8"/>
  <c r="H1335" i="8"/>
  <c r="G1335" i="8"/>
  <c r="F1335" i="8"/>
  <c r="J1334" i="8"/>
  <c r="I1334" i="8"/>
  <c r="H1334" i="8"/>
  <c r="G1334" i="8"/>
  <c r="F1334" i="8"/>
  <c r="G1333" i="8"/>
  <c r="F1333" i="8"/>
  <c r="J1332" i="8"/>
  <c r="H1332" i="8"/>
  <c r="G1332" i="8"/>
  <c r="F1332" i="8"/>
  <c r="I1332" i="8" s="1"/>
  <c r="J1331" i="8"/>
  <c r="I1331" i="8"/>
  <c r="H1331" i="8"/>
  <c r="G1331" i="8"/>
  <c r="F1331" i="8"/>
  <c r="J1330" i="8"/>
  <c r="I1330" i="8"/>
  <c r="H1330" i="8"/>
  <c r="G1330" i="8"/>
  <c r="F1330" i="8"/>
  <c r="G1329" i="8"/>
  <c r="F1329" i="8"/>
  <c r="J1328" i="8"/>
  <c r="H1328" i="8"/>
  <c r="G1328" i="8"/>
  <c r="F1328" i="8"/>
  <c r="I1328" i="8" s="1"/>
  <c r="J1327" i="8"/>
  <c r="I1327" i="8"/>
  <c r="H1327" i="8"/>
  <c r="G1327" i="8"/>
  <c r="F1327" i="8"/>
  <c r="J1326" i="8"/>
  <c r="I1326" i="8"/>
  <c r="H1326" i="8"/>
  <c r="G1326" i="8"/>
  <c r="F1326" i="8"/>
  <c r="G1325" i="8"/>
  <c r="F1325" i="8"/>
  <c r="J1324" i="8"/>
  <c r="H1324" i="8"/>
  <c r="G1324" i="8"/>
  <c r="F1324" i="8"/>
  <c r="I1324" i="8" s="1"/>
  <c r="J1323" i="8"/>
  <c r="I1323" i="8"/>
  <c r="H1323" i="8"/>
  <c r="G1323" i="8"/>
  <c r="F1323" i="8"/>
  <c r="J1322" i="8"/>
  <c r="I1322" i="8"/>
  <c r="H1322" i="8"/>
  <c r="G1322" i="8"/>
  <c r="F1322" i="8"/>
  <c r="G1321" i="8"/>
  <c r="F1321" i="8"/>
  <c r="J1320" i="8"/>
  <c r="H1320" i="8"/>
  <c r="G1320" i="8"/>
  <c r="F1320" i="8"/>
  <c r="I1320" i="8" s="1"/>
  <c r="J1319" i="8"/>
  <c r="I1319" i="8"/>
  <c r="H1319" i="8"/>
  <c r="G1319" i="8"/>
  <c r="F1319" i="8"/>
  <c r="J1318" i="8"/>
  <c r="I1318" i="8"/>
  <c r="H1318" i="8"/>
  <c r="G1318" i="8"/>
  <c r="F1318" i="8"/>
  <c r="G1317" i="8"/>
  <c r="F1317" i="8"/>
  <c r="J1316" i="8"/>
  <c r="H1316" i="8"/>
  <c r="G1316" i="8"/>
  <c r="F1316" i="8"/>
  <c r="I1316" i="8" s="1"/>
  <c r="J1315" i="8"/>
  <c r="I1315" i="8"/>
  <c r="H1315" i="8"/>
  <c r="G1315" i="8"/>
  <c r="F1315" i="8"/>
  <c r="G1314" i="8"/>
  <c r="F1314" i="8"/>
  <c r="H1313" i="8"/>
  <c r="G1313" i="8"/>
  <c r="F1313" i="8"/>
  <c r="J1312" i="8"/>
  <c r="H1312" i="8"/>
  <c r="G1312" i="8"/>
  <c r="F1312" i="8"/>
  <c r="I1312" i="8" s="1"/>
  <c r="J1311" i="8"/>
  <c r="I1311" i="8"/>
  <c r="H1311" i="8"/>
  <c r="G1311" i="8"/>
  <c r="F1311" i="8"/>
  <c r="J1310" i="8"/>
  <c r="I1310" i="8"/>
  <c r="H1310" i="8"/>
  <c r="G1310" i="8"/>
  <c r="F1310" i="8"/>
  <c r="G1309" i="8"/>
  <c r="F1309" i="8"/>
  <c r="J1308" i="8"/>
  <c r="H1308" i="8"/>
  <c r="G1308" i="8"/>
  <c r="F1308" i="8"/>
  <c r="I1308" i="8" s="1"/>
  <c r="J1307" i="8"/>
  <c r="I1307" i="8"/>
  <c r="H1307" i="8"/>
  <c r="G1307" i="8"/>
  <c r="F1307" i="8"/>
  <c r="G1306" i="8"/>
  <c r="F1306" i="8"/>
  <c r="J1306" i="8" s="1"/>
  <c r="G1305" i="8"/>
  <c r="F1305" i="8"/>
  <c r="J1304" i="8"/>
  <c r="H1304" i="8"/>
  <c r="G1304" i="8"/>
  <c r="F1304" i="8"/>
  <c r="I1304" i="8" s="1"/>
  <c r="J1303" i="8"/>
  <c r="I1303" i="8"/>
  <c r="H1303" i="8"/>
  <c r="G1303" i="8"/>
  <c r="F1303" i="8"/>
  <c r="G1302" i="8"/>
  <c r="F1302" i="8"/>
  <c r="H1301" i="8"/>
  <c r="G1301" i="8"/>
  <c r="F1301" i="8"/>
  <c r="J1300" i="8"/>
  <c r="H1300" i="8"/>
  <c r="G1300" i="8"/>
  <c r="F1300" i="8"/>
  <c r="I1300" i="8" s="1"/>
  <c r="J1299" i="8"/>
  <c r="I1299" i="8"/>
  <c r="H1299" i="8"/>
  <c r="G1299" i="8"/>
  <c r="F1299" i="8"/>
  <c r="J1298" i="8"/>
  <c r="H1298" i="8"/>
  <c r="G1298" i="8"/>
  <c r="F1298" i="8"/>
  <c r="I1298" i="8" s="1"/>
  <c r="G1297" i="8"/>
  <c r="F1297" i="8"/>
  <c r="J1296" i="8"/>
  <c r="H1296" i="8"/>
  <c r="G1296" i="8"/>
  <c r="F1296" i="8"/>
  <c r="I1296" i="8" s="1"/>
  <c r="J1295" i="8"/>
  <c r="I1295" i="8"/>
  <c r="H1295" i="8"/>
  <c r="G1295" i="8"/>
  <c r="F1295" i="8"/>
  <c r="G1294" i="8"/>
  <c r="F1294" i="8"/>
  <c r="H1293" i="8"/>
  <c r="G1293" i="8"/>
  <c r="F1293" i="8"/>
  <c r="J1292" i="8"/>
  <c r="H1292" i="8"/>
  <c r="G1292" i="8"/>
  <c r="F1292" i="8"/>
  <c r="I1292" i="8" s="1"/>
  <c r="J1291" i="8"/>
  <c r="I1291" i="8"/>
  <c r="H1291" i="8"/>
  <c r="G1291" i="8"/>
  <c r="F1291" i="8"/>
  <c r="J1290" i="8"/>
  <c r="H1290" i="8"/>
  <c r="G1290" i="8"/>
  <c r="F1290" i="8"/>
  <c r="I1290" i="8" s="1"/>
  <c r="G1289" i="8"/>
  <c r="F1289" i="8"/>
  <c r="J1288" i="8"/>
  <c r="H1288" i="8"/>
  <c r="G1288" i="8"/>
  <c r="F1288" i="8"/>
  <c r="I1288" i="8" s="1"/>
  <c r="J1287" i="8"/>
  <c r="I1287" i="8"/>
  <c r="H1287" i="8"/>
  <c r="G1287" i="8"/>
  <c r="F1287" i="8"/>
  <c r="G1286" i="8"/>
  <c r="F1286" i="8"/>
  <c r="H1285" i="8"/>
  <c r="G1285" i="8"/>
  <c r="F1285" i="8"/>
  <c r="J1284" i="8"/>
  <c r="H1284" i="8"/>
  <c r="G1284" i="8"/>
  <c r="F1284" i="8"/>
  <c r="I1284" i="8" s="1"/>
  <c r="J1283" i="8"/>
  <c r="I1283" i="8"/>
  <c r="H1283" i="8"/>
  <c r="G1283" i="8"/>
  <c r="F1283" i="8"/>
  <c r="G1282" i="8"/>
  <c r="F1282" i="8"/>
  <c r="J1282" i="8" s="1"/>
  <c r="G1281" i="8"/>
  <c r="F1281" i="8"/>
  <c r="I1281" i="8" s="1"/>
  <c r="J1280" i="8"/>
  <c r="H1280" i="8"/>
  <c r="G1280" i="8"/>
  <c r="F1280" i="8"/>
  <c r="I1280" i="8" s="1"/>
  <c r="J1279" i="8"/>
  <c r="I1279" i="8"/>
  <c r="H1279" i="8"/>
  <c r="G1279" i="8"/>
  <c r="F1279" i="8"/>
  <c r="J1278" i="8"/>
  <c r="I1278" i="8"/>
  <c r="H1278" i="8"/>
  <c r="G1278" i="8"/>
  <c r="F1278" i="8"/>
  <c r="J1277" i="8"/>
  <c r="G1277" i="8"/>
  <c r="F1277" i="8"/>
  <c r="I1277" i="8" s="1"/>
  <c r="J1276" i="8"/>
  <c r="H1276" i="8"/>
  <c r="G1276" i="8"/>
  <c r="F1276" i="8"/>
  <c r="I1276" i="8" s="1"/>
  <c r="J1275" i="8"/>
  <c r="I1275" i="8"/>
  <c r="H1275" i="8"/>
  <c r="G1275" i="8"/>
  <c r="F1275" i="8"/>
  <c r="G1274" i="8"/>
  <c r="F1274" i="8"/>
  <c r="H1273" i="8"/>
  <c r="G1273" i="8"/>
  <c r="F1273" i="8"/>
  <c r="I1273" i="8" s="1"/>
  <c r="J1272" i="8"/>
  <c r="H1272" i="8"/>
  <c r="G1272" i="8"/>
  <c r="F1272" i="8"/>
  <c r="I1272" i="8" s="1"/>
  <c r="J1271" i="8"/>
  <c r="I1271" i="8"/>
  <c r="H1271" i="8"/>
  <c r="G1271" i="8"/>
  <c r="F1271" i="8"/>
  <c r="G1270" i="8"/>
  <c r="F1270" i="8"/>
  <c r="J1270" i="8" s="1"/>
  <c r="G1269" i="8"/>
  <c r="F1269" i="8"/>
  <c r="I1269" i="8" s="1"/>
  <c r="J1268" i="8"/>
  <c r="H1268" i="8"/>
  <c r="G1268" i="8"/>
  <c r="F1268" i="8"/>
  <c r="I1268" i="8" s="1"/>
  <c r="J1267" i="8"/>
  <c r="I1267" i="8"/>
  <c r="H1267" i="8"/>
  <c r="G1267" i="8"/>
  <c r="F1267" i="8"/>
  <c r="J1266" i="8"/>
  <c r="I1266" i="8"/>
  <c r="H1266" i="8"/>
  <c r="G1266" i="8"/>
  <c r="F1266" i="8"/>
  <c r="G1265" i="8"/>
  <c r="F1265" i="8"/>
  <c r="I1265" i="8" s="1"/>
  <c r="J1264" i="8"/>
  <c r="H1264" i="8"/>
  <c r="G1264" i="8"/>
  <c r="F1264" i="8"/>
  <c r="I1264" i="8" s="1"/>
  <c r="J1263" i="8"/>
  <c r="I1263" i="8"/>
  <c r="H1263" i="8"/>
  <c r="G1263" i="8"/>
  <c r="F1263" i="8"/>
  <c r="G1262" i="8"/>
  <c r="F1262" i="8"/>
  <c r="H1261" i="8"/>
  <c r="G1261" i="8"/>
  <c r="F1261" i="8"/>
  <c r="I1261" i="8" s="1"/>
  <c r="J1260" i="8"/>
  <c r="H1260" i="8"/>
  <c r="G1260" i="8"/>
  <c r="F1260" i="8"/>
  <c r="I1260" i="8" s="1"/>
  <c r="J1259" i="8"/>
  <c r="I1259" i="8"/>
  <c r="H1259" i="8"/>
  <c r="G1259" i="8"/>
  <c r="F1259" i="8"/>
  <c r="G1258" i="8"/>
  <c r="F1258" i="8"/>
  <c r="J1258" i="8" s="1"/>
  <c r="J1257" i="8"/>
  <c r="I1257" i="8"/>
  <c r="H1257" i="8"/>
  <c r="G1257" i="8"/>
  <c r="F1257" i="8"/>
  <c r="H1256" i="8"/>
  <c r="G1256" i="8"/>
  <c r="F1256" i="8"/>
  <c r="G1255" i="8"/>
  <c r="F1255" i="8"/>
  <c r="J1255" i="8" s="1"/>
  <c r="G1254" i="8"/>
  <c r="F1254" i="8"/>
  <c r="J1254" i="8" s="1"/>
  <c r="J1253" i="8"/>
  <c r="I1253" i="8"/>
  <c r="H1253" i="8"/>
  <c r="G1253" i="8"/>
  <c r="F1253" i="8"/>
  <c r="H1252" i="8"/>
  <c r="G1252" i="8"/>
  <c r="F1252" i="8"/>
  <c r="G1251" i="8"/>
  <c r="F1251" i="8"/>
  <c r="J1251" i="8" s="1"/>
  <c r="G1250" i="8"/>
  <c r="F1250" i="8"/>
  <c r="J1250" i="8" s="1"/>
  <c r="J1249" i="8"/>
  <c r="I1249" i="8"/>
  <c r="H1249" i="8"/>
  <c r="G1249" i="8"/>
  <c r="F1249" i="8"/>
  <c r="G1248" i="8"/>
  <c r="F1248" i="8"/>
  <c r="G1247" i="8"/>
  <c r="F1247" i="8"/>
  <c r="J1247" i="8" s="1"/>
  <c r="G1246" i="8"/>
  <c r="F1246" i="8"/>
  <c r="J1246" i="8" s="1"/>
  <c r="J1245" i="8"/>
  <c r="I1245" i="8"/>
  <c r="H1245" i="8"/>
  <c r="G1245" i="8"/>
  <c r="F1245" i="8"/>
  <c r="G1244" i="8"/>
  <c r="F1244" i="8"/>
  <c r="I1244" i="8" s="1"/>
  <c r="J1243" i="8"/>
  <c r="G1243" i="8"/>
  <c r="F1243" i="8"/>
  <c r="I1243" i="8" s="1"/>
  <c r="G1242" i="8"/>
  <c r="F1242" i="8"/>
  <c r="J1242" i="8" s="1"/>
  <c r="J1241" i="8"/>
  <c r="I1241" i="8"/>
  <c r="H1241" i="8"/>
  <c r="G1241" i="8"/>
  <c r="F1241" i="8"/>
  <c r="J1240" i="8"/>
  <c r="H1240" i="8"/>
  <c r="G1240" i="8"/>
  <c r="F1240" i="8"/>
  <c r="I1240" i="8" s="1"/>
  <c r="J1239" i="8"/>
  <c r="G1239" i="8"/>
  <c r="F1239" i="8"/>
  <c r="I1239" i="8" s="1"/>
  <c r="G1238" i="8"/>
  <c r="F1238" i="8"/>
  <c r="J1238" i="8" s="1"/>
  <c r="J1237" i="8"/>
  <c r="I1237" i="8"/>
  <c r="H1237" i="8"/>
  <c r="G1237" i="8"/>
  <c r="F1237" i="8"/>
  <c r="I1236" i="8"/>
  <c r="H1236" i="8"/>
  <c r="G1236" i="8"/>
  <c r="F1236" i="8"/>
  <c r="J1236" i="8" s="1"/>
  <c r="G1235" i="8"/>
  <c r="F1235" i="8"/>
  <c r="I1234" i="8"/>
  <c r="G1234" i="8"/>
  <c r="F1234" i="8"/>
  <c r="J1233" i="8"/>
  <c r="I1233" i="8"/>
  <c r="H1233" i="8"/>
  <c r="G1233" i="8"/>
  <c r="F1233" i="8"/>
  <c r="J1232" i="8"/>
  <c r="H1232" i="8"/>
  <c r="G1232" i="8"/>
  <c r="F1232" i="8"/>
  <c r="I1232" i="8" s="1"/>
  <c r="J1231" i="8"/>
  <c r="G1231" i="8"/>
  <c r="F1231" i="8"/>
  <c r="H1231" i="8" s="1"/>
  <c r="G1230" i="8"/>
  <c r="F1230" i="8"/>
  <c r="I1229" i="8"/>
  <c r="H1229" i="8"/>
  <c r="G1229" i="8"/>
  <c r="F1229" i="8"/>
  <c r="J1229" i="8" s="1"/>
  <c r="J1228" i="8"/>
  <c r="I1228" i="8"/>
  <c r="H1228" i="8"/>
  <c r="G1228" i="8"/>
  <c r="F1228" i="8"/>
  <c r="G1227" i="8"/>
  <c r="F1227" i="8"/>
  <c r="I1226" i="8"/>
  <c r="G1226" i="8"/>
  <c r="F1226" i="8"/>
  <c r="G1225" i="8"/>
  <c r="F1225" i="8"/>
  <c r="G1224" i="8"/>
  <c r="F1224" i="8"/>
  <c r="J1224" i="8" s="1"/>
  <c r="G1223" i="8"/>
  <c r="F1223" i="8"/>
  <c r="I1222" i="8"/>
  <c r="G1222" i="8"/>
  <c r="F1222" i="8"/>
  <c r="J1221" i="8"/>
  <c r="I1221" i="8"/>
  <c r="H1221" i="8"/>
  <c r="G1221" i="8"/>
  <c r="F1221" i="8"/>
  <c r="J1220" i="8"/>
  <c r="H1220" i="8"/>
  <c r="G1220" i="8"/>
  <c r="F1220" i="8"/>
  <c r="I1220" i="8" s="1"/>
  <c r="J1219" i="8"/>
  <c r="G1219" i="8"/>
  <c r="F1219" i="8"/>
  <c r="H1219" i="8" s="1"/>
  <c r="G1218" i="8"/>
  <c r="F1218" i="8"/>
  <c r="I1217" i="8"/>
  <c r="H1217" i="8"/>
  <c r="G1217" i="8"/>
  <c r="F1217" i="8"/>
  <c r="J1217" i="8" s="1"/>
  <c r="J1216" i="8"/>
  <c r="I1216" i="8"/>
  <c r="H1216" i="8"/>
  <c r="G1216" i="8"/>
  <c r="F1216" i="8"/>
  <c r="G1215" i="8"/>
  <c r="F1215" i="8"/>
  <c r="I1214" i="8"/>
  <c r="G1214" i="8"/>
  <c r="F1214" i="8"/>
  <c r="G1213" i="8"/>
  <c r="F1213" i="8"/>
  <c r="H1212" i="8"/>
  <c r="G1212" i="8"/>
  <c r="F1212" i="8"/>
  <c r="J1212" i="8" s="1"/>
  <c r="G1211" i="8"/>
  <c r="F1211" i="8"/>
  <c r="I1210" i="8"/>
  <c r="G1210" i="8"/>
  <c r="F1210" i="8"/>
  <c r="J1209" i="8"/>
  <c r="I1209" i="8"/>
  <c r="H1209" i="8"/>
  <c r="G1209" i="8"/>
  <c r="F1209" i="8"/>
  <c r="J1208" i="8"/>
  <c r="H1208" i="8"/>
  <c r="G1208" i="8"/>
  <c r="F1208" i="8"/>
  <c r="I1208" i="8" s="1"/>
  <c r="J1207" i="8"/>
  <c r="G1207" i="8"/>
  <c r="F1207" i="8"/>
  <c r="I1207" i="8" s="1"/>
  <c r="G1206" i="8"/>
  <c r="F1206" i="8"/>
  <c r="G1205" i="8"/>
  <c r="F1205" i="8"/>
  <c r="J1205" i="8" s="1"/>
  <c r="J1204" i="8"/>
  <c r="G1204" i="8"/>
  <c r="F1204" i="8"/>
  <c r="I1204" i="8" s="1"/>
  <c r="G1203" i="8"/>
  <c r="F1203" i="8"/>
  <c r="I1202" i="8"/>
  <c r="G1202" i="8"/>
  <c r="F1202" i="8"/>
  <c r="J1201" i="8"/>
  <c r="I1201" i="8"/>
  <c r="G1201" i="8"/>
  <c r="F1201" i="8"/>
  <c r="H1201" i="8" s="1"/>
  <c r="G1200" i="8"/>
  <c r="F1200" i="8"/>
  <c r="I1199" i="8"/>
  <c r="H1199" i="8"/>
  <c r="G1199" i="8"/>
  <c r="F1199" i="8"/>
  <c r="J1199" i="8" s="1"/>
  <c r="I1198" i="8"/>
  <c r="G1198" i="8"/>
  <c r="F1198" i="8"/>
  <c r="I1197" i="8"/>
  <c r="G1197" i="8"/>
  <c r="F1197" i="8"/>
  <c r="I1196" i="8"/>
  <c r="H1196" i="8"/>
  <c r="G1196" i="8"/>
  <c r="F1196" i="8"/>
  <c r="J1196" i="8" s="1"/>
  <c r="J1195" i="8"/>
  <c r="I1195" i="8"/>
  <c r="G1195" i="8"/>
  <c r="F1195" i="8"/>
  <c r="H1195" i="8" s="1"/>
  <c r="G1194" i="8"/>
  <c r="F1194" i="8"/>
  <c r="J1193" i="8"/>
  <c r="H1193" i="8"/>
  <c r="G1193" i="8"/>
  <c r="F1193" i="8"/>
  <c r="I1193" i="8" s="1"/>
  <c r="I1192" i="8"/>
  <c r="H1192" i="8"/>
  <c r="G1192" i="8"/>
  <c r="F1192" i="8"/>
  <c r="J1192" i="8" s="1"/>
  <c r="G1191" i="8"/>
  <c r="F1191" i="8"/>
  <c r="H1190" i="8"/>
  <c r="G1190" i="8"/>
  <c r="F1190" i="8"/>
  <c r="J1189" i="8"/>
  <c r="H1189" i="8"/>
  <c r="G1189" i="8"/>
  <c r="F1189" i="8"/>
  <c r="I1189" i="8" s="1"/>
  <c r="J1188" i="8"/>
  <c r="I1188" i="8"/>
  <c r="H1188" i="8"/>
  <c r="G1188" i="8"/>
  <c r="F1188" i="8"/>
  <c r="G1187" i="8"/>
  <c r="F1187" i="8"/>
  <c r="H1186" i="8"/>
  <c r="G1186" i="8"/>
  <c r="F1186" i="8"/>
  <c r="I1186" i="8" s="1"/>
  <c r="J1185" i="8"/>
  <c r="H1185" i="8"/>
  <c r="G1185" i="8"/>
  <c r="F1185" i="8"/>
  <c r="I1185" i="8" s="1"/>
  <c r="J1184" i="8"/>
  <c r="I1184" i="8"/>
  <c r="H1184" i="8"/>
  <c r="G1184" i="8"/>
  <c r="F1184" i="8"/>
  <c r="G1183" i="8"/>
  <c r="F1183" i="8"/>
  <c r="G1182" i="8"/>
  <c r="F1182" i="8"/>
  <c r="I1182" i="8" s="1"/>
  <c r="J1181" i="8"/>
  <c r="H1181" i="8"/>
  <c r="G1181" i="8"/>
  <c r="F1181" i="8"/>
  <c r="I1181" i="8" s="1"/>
  <c r="J1180" i="8"/>
  <c r="I1180" i="8"/>
  <c r="H1180" i="8"/>
  <c r="G1180" i="8"/>
  <c r="F1180" i="8"/>
  <c r="J1179" i="8"/>
  <c r="I1179" i="8"/>
  <c r="G1179" i="8"/>
  <c r="F1179" i="8"/>
  <c r="H1179" i="8" s="1"/>
  <c r="J1178" i="8"/>
  <c r="H1178" i="8"/>
  <c r="G1178" i="8"/>
  <c r="F1178" i="8"/>
  <c r="I1178" i="8" s="1"/>
  <c r="J1177" i="8"/>
  <c r="H1177" i="8"/>
  <c r="G1177" i="8"/>
  <c r="F1177" i="8"/>
  <c r="I1177" i="8" s="1"/>
  <c r="J1176" i="8"/>
  <c r="I1176" i="8"/>
  <c r="H1176" i="8"/>
  <c r="G1176" i="8"/>
  <c r="F1176" i="8"/>
  <c r="I1175" i="8"/>
  <c r="G1175" i="8"/>
  <c r="F1175" i="8"/>
  <c r="H1175" i="8" s="1"/>
  <c r="G1174" i="8"/>
  <c r="F1174" i="8"/>
  <c r="J1173" i="8"/>
  <c r="H1173" i="8"/>
  <c r="G1173" i="8"/>
  <c r="F1173" i="8"/>
  <c r="I1173" i="8" s="1"/>
  <c r="J1172" i="8"/>
  <c r="I1172" i="8"/>
  <c r="H1172" i="8"/>
  <c r="G1172" i="8"/>
  <c r="F1172" i="8"/>
  <c r="J1171" i="8"/>
  <c r="I1171" i="8"/>
  <c r="G1171" i="8"/>
  <c r="F1171" i="8"/>
  <c r="H1171" i="8" s="1"/>
  <c r="J1170" i="8"/>
  <c r="G1170" i="8"/>
  <c r="F1170" i="8"/>
  <c r="I1170" i="8" s="1"/>
  <c r="J1169" i="8"/>
  <c r="H1169" i="8"/>
  <c r="G1169" i="8"/>
  <c r="F1169" i="8"/>
  <c r="I1169" i="8" s="1"/>
  <c r="J1168" i="8"/>
  <c r="I1168" i="8"/>
  <c r="H1168" i="8"/>
  <c r="G1168" i="8"/>
  <c r="F1168" i="8"/>
  <c r="J1167" i="8"/>
  <c r="I1167" i="8"/>
  <c r="G1167" i="8"/>
  <c r="F1167" i="8"/>
  <c r="H1167" i="8" s="1"/>
  <c r="J1166" i="8"/>
  <c r="I1166" i="8"/>
  <c r="H1166" i="8"/>
  <c r="G1166" i="8"/>
  <c r="F1166" i="8"/>
  <c r="H1165" i="8"/>
  <c r="G1165" i="8"/>
  <c r="F1165" i="8"/>
  <c r="I1165" i="8" s="1"/>
  <c r="J1164" i="8"/>
  <c r="I1164" i="8"/>
  <c r="H1164" i="8"/>
  <c r="G1164" i="8"/>
  <c r="F1164" i="8"/>
  <c r="J1163" i="8"/>
  <c r="I1163" i="8"/>
  <c r="G1163" i="8"/>
  <c r="F1163" i="8"/>
  <c r="H1163" i="8" s="1"/>
  <c r="J1162" i="8"/>
  <c r="H1162" i="8"/>
  <c r="G1162" i="8"/>
  <c r="F1162" i="8"/>
  <c r="I1162" i="8" s="1"/>
  <c r="G1161" i="8"/>
  <c r="F1161" i="8"/>
  <c r="J1160" i="8"/>
  <c r="I1160" i="8"/>
  <c r="H1160" i="8"/>
  <c r="G1160" i="8"/>
  <c r="F1160" i="8"/>
  <c r="J1159" i="8"/>
  <c r="G1159" i="8"/>
  <c r="F1159" i="8"/>
  <c r="H1159" i="8" s="1"/>
  <c r="G1158" i="8"/>
  <c r="F1158" i="8"/>
  <c r="G1157" i="8"/>
  <c r="F1157" i="8"/>
  <c r="I1157" i="8" s="1"/>
  <c r="J1156" i="8"/>
  <c r="I1156" i="8"/>
  <c r="H1156" i="8"/>
  <c r="G1156" i="8"/>
  <c r="F1156" i="8"/>
  <c r="G1155" i="8"/>
  <c r="F1155" i="8"/>
  <c r="G1154" i="8"/>
  <c r="F1154" i="8"/>
  <c r="J1154" i="8" s="1"/>
  <c r="J1153" i="8"/>
  <c r="H1153" i="8"/>
  <c r="G1153" i="8"/>
  <c r="F1153" i="8"/>
  <c r="I1153" i="8" s="1"/>
  <c r="J1152" i="8"/>
  <c r="I1152" i="8"/>
  <c r="H1152" i="8"/>
  <c r="G1152" i="8"/>
  <c r="F1152" i="8"/>
  <c r="G1151" i="8"/>
  <c r="F1151" i="8"/>
  <c r="H1151" i="8" s="1"/>
  <c r="J1150" i="8"/>
  <c r="I1150" i="8"/>
  <c r="H1150" i="8"/>
  <c r="G1150" i="8"/>
  <c r="F1150" i="8"/>
  <c r="G1149" i="8"/>
  <c r="F1149" i="8"/>
  <c r="G1148" i="8"/>
  <c r="F1148" i="8"/>
  <c r="J1148" i="8" s="1"/>
  <c r="J1147" i="8"/>
  <c r="I1147" i="8"/>
  <c r="G1147" i="8"/>
  <c r="F1147" i="8"/>
  <c r="H1147" i="8" s="1"/>
  <c r="G1146" i="8"/>
  <c r="F1146" i="8"/>
  <c r="H1145" i="8"/>
  <c r="G1145" i="8"/>
  <c r="F1145" i="8"/>
  <c r="J1145" i="8" s="1"/>
  <c r="J1144" i="8"/>
  <c r="I1144" i="8"/>
  <c r="G1144" i="8"/>
  <c r="F1144" i="8"/>
  <c r="H1144" i="8" s="1"/>
  <c r="G1143" i="8"/>
  <c r="F1143" i="8"/>
  <c r="I1142" i="8"/>
  <c r="H1142" i="8"/>
  <c r="G1142" i="8"/>
  <c r="F1142" i="8"/>
  <c r="J1142" i="8" s="1"/>
  <c r="J1141" i="8"/>
  <c r="H1141" i="8"/>
  <c r="G1141" i="8"/>
  <c r="F1141" i="8"/>
  <c r="I1141" i="8" s="1"/>
  <c r="G1140" i="8"/>
  <c r="F1140" i="8"/>
  <c r="J1139" i="8"/>
  <c r="I1139" i="8"/>
  <c r="G1139" i="8"/>
  <c r="F1139" i="8"/>
  <c r="H1139" i="8" s="1"/>
  <c r="G1138" i="8"/>
  <c r="F1138" i="8"/>
  <c r="J1138" i="8" s="1"/>
  <c r="J1137" i="8"/>
  <c r="I1137" i="8"/>
  <c r="H1137" i="8"/>
  <c r="G1137" i="8"/>
  <c r="F1137" i="8"/>
  <c r="J1136" i="8"/>
  <c r="I1136" i="8"/>
  <c r="H1136" i="8"/>
  <c r="G1136" i="8"/>
  <c r="F1136" i="8"/>
  <c r="G1135" i="8"/>
  <c r="F1135" i="8"/>
  <c r="H1135" i="8" s="1"/>
  <c r="J1134" i="8"/>
  <c r="I1134" i="8"/>
  <c r="H1134" i="8"/>
  <c r="G1134" i="8"/>
  <c r="F1134" i="8"/>
  <c r="G1133" i="8"/>
  <c r="F1133" i="8"/>
  <c r="G1132" i="8"/>
  <c r="F1132" i="8"/>
  <c r="J1132" i="8" s="1"/>
  <c r="J1131" i="8"/>
  <c r="I1131" i="8"/>
  <c r="G1131" i="8"/>
  <c r="F1131" i="8"/>
  <c r="H1131" i="8" s="1"/>
  <c r="G1130" i="8"/>
  <c r="F1130" i="8"/>
  <c r="H1129" i="8"/>
  <c r="G1129" i="8"/>
  <c r="F1129" i="8"/>
  <c r="J1129" i="8" s="1"/>
  <c r="J1128" i="8"/>
  <c r="I1128" i="8"/>
  <c r="G1128" i="8"/>
  <c r="F1128" i="8"/>
  <c r="H1128" i="8" s="1"/>
  <c r="H1127" i="8"/>
  <c r="G1127" i="8"/>
  <c r="F1127" i="8"/>
  <c r="J1126" i="8"/>
  <c r="I1126" i="8"/>
  <c r="H1126" i="8"/>
  <c r="G1126" i="8"/>
  <c r="F1126" i="8"/>
  <c r="G1125" i="8"/>
  <c r="F1125" i="8"/>
  <c r="J1124" i="8"/>
  <c r="I1124" i="8"/>
  <c r="G1124" i="8"/>
  <c r="F1124" i="8"/>
  <c r="H1124" i="8" s="1"/>
  <c r="H1123" i="8"/>
  <c r="G1123" i="8"/>
  <c r="F1123" i="8"/>
  <c r="J1122" i="8"/>
  <c r="I1122" i="8"/>
  <c r="H1122" i="8"/>
  <c r="G1122" i="8"/>
  <c r="F1122" i="8"/>
  <c r="G1121" i="8"/>
  <c r="F1121" i="8"/>
  <c r="J1120" i="8"/>
  <c r="I1120" i="8"/>
  <c r="G1120" i="8"/>
  <c r="F1120" i="8"/>
  <c r="H1120" i="8" s="1"/>
  <c r="H1119" i="8"/>
  <c r="G1119" i="8"/>
  <c r="F1119" i="8"/>
  <c r="J1118" i="8"/>
  <c r="I1118" i="8"/>
  <c r="H1118" i="8"/>
  <c r="G1118" i="8"/>
  <c r="F1118" i="8"/>
  <c r="G1117" i="8"/>
  <c r="F1117" i="8"/>
  <c r="J1116" i="8"/>
  <c r="I1116" i="8"/>
  <c r="G1116" i="8"/>
  <c r="F1116" i="8"/>
  <c r="H1116" i="8" s="1"/>
  <c r="H1115" i="8"/>
  <c r="G1115" i="8"/>
  <c r="F1115" i="8"/>
  <c r="J1114" i="8"/>
  <c r="I1114" i="8"/>
  <c r="H1114" i="8"/>
  <c r="G1114" i="8"/>
  <c r="F1114" i="8"/>
  <c r="G1113" i="8"/>
  <c r="F1113" i="8"/>
  <c r="J1112" i="8"/>
  <c r="I1112" i="8"/>
  <c r="G1112" i="8"/>
  <c r="F1112" i="8"/>
  <c r="H1112" i="8" s="1"/>
  <c r="G1111" i="8"/>
  <c r="F1111" i="8"/>
  <c r="J1110" i="8"/>
  <c r="I1110" i="8"/>
  <c r="H1110" i="8"/>
  <c r="G1110" i="8"/>
  <c r="F1110" i="8"/>
  <c r="G1109" i="8"/>
  <c r="F1109" i="8"/>
  <c r="J1108" i="8"/>
  <c r="I1108" i="8"/>
  <c r="G1108" i="8"/>
  <c r="F1108" i="8"/>
  <c r="H1108" i="8" s="1"/>
  <c r="H1107" i="8"/>
  <c r="G1107" i="8"/>
  <c r="F1107" i="8"/>
  <c r="J1106" i="8"/>
  <c r="I1106" i="8"/>
  <c r="H1106" i="8"/>
  <c r="G1106" i="8"/>
  <c r="F1106" i="8"/>
  <c r="G1105" i="8"/>
  <c r="F1105" i="8"/>
  <c r="J1104" i="8"/>
  <c r="I1104" i="8"/>
  <c r="G1104" i="8"/>
  <c r="F1104" i="8"/>
  <c r="H1104" i="8" s="1"/>
  <c r="G1103" i="8"/>
  <c r="F1103" i="8"/>
  <c r="J1102" i="8"/>
  <c r="I1102" i="8"/>
  <c r="H1102" i="8"/>
  <c r="G1102" i="8"/>
  <c r="F1102" i="8"/>
  <c r="G1101" i="8"/>
  <c r="F1101" i="8"/>
  <c r="J1100" i="8"/>
  <c r="I1100" i="8"/>
  <c r="G1100" i="8"/>
  <c r="F1100" i="8"/>
  <c r="H1100" i="8" s="1"/>
  <c r="G1099" i="8"/>
  <c r="F1099" i="8"/>
  <c r="J1098" i="8"/>
  <c r="I1098" i="8"/>
  <c r="H1098" i="8"/>
  <c r="G1098" i="8"/>
  <c r="F1098" i="8"/>
  <c r="G1097" i="8"/>
  <c r="F1097" i="8"/>
  <c r="J1096" i="8"/>
  <c r="I1096" i="8"/>
  <c r="G1096" i="8"/>
  <c r="F1096" i="8"/>
  <c r="H1096" i="8" s="1"/>
  <c r="G1095" i="8"/>
  <c r="F1095" i="8"/>
  <c r="J1094" i="8"/>
  <c r="I1094" i="8"/>
  <c r="H1094" i="8"/>
  <c r="G1094" i="8"/>
  <c r="F1094" i="8"/>
  <c r="G1093" i="8"/>
  <c r="F1093" i="8"/>
  <c r="J1092" i="8"/>
  <c r="I1092" i="8"/>
  <c r="G1092" i="8"/>
  <c r="F1092" i="8"/>
  <c r="H1092" i="8" s="1"/>
  <c r="G1091" i="8"/>
  <c r="F1091" i="8"/>
  <c r="J1090" i="8"/>
  <c r="I1090" i="8"/>
  <c r="H1090" i="8"/>
  <c r="G1090" i="8"/>
  <c r="F1090" i="8"/>
  <c r="G1089" i="8"/>
  <c r="F1089" i="8"/>
  <c r="J1088" i="8"/>
  <c r="I1088" i="8"/>
  <c r="G1088" i="8"/>
  <c r="F1088" i="8"/>
  <c r="H1088" i="8" s="1"/>
  <c r="G1087" i="8"/>
  <c r="F1087" i="8"/>
  <c r="J1086" i="8"/>
  <c r="I1086" i="8"/>
  <c r="H1086" i="8"/>
  <c r="G1086" i="8"/>
  <c r="F1086" i="8"/>
  <c r="G1085" i="8"/>
  <c r="F1085" i="8"/>
  <c r="J1084" i="8"/>
  <c r="I1084" i="8"/>
  <c r="G1084" i="8"/>
  <c r="F1084" i="8"/>
  <c r="H1084" i="8" s="1"/>
  <c r="G1083" i="8"/>
  <c r="F1083" i="8"/>
  <c r="J1082" i="8"/>
  <c r="I1082" i="8"/>
  <c r="H1082" i="8"/>
  <c r="G1082" i="8"/>
  <c r="F1082" i="8"/>
  <c r="G1081" i="8"/>
  <c r="F1081" i="8"/>
  <c r="J1080" i="8"/>
  <c r="I1080" i="8"/>
  <c r="G1080" i="8"/>
  <c r="F1080" i="8"/>
  <c r="H1080" i="8" s="1"/>
  <c r="G1079" i="8"/>
  <c r="F1079" i="8"/>
  <c r="J1078" i="8"/>
  <c r="I1078" i="8"/>
  <c r="H1078" i="8"/>
  <c r="G1078" i="8"/>
  <c r="F1078" i="8"/>
  <c r="G1077" i="8"/>
  <c r="F1077" i="8"/>
  <c r="J1076" i="8"/>
  <c r="I1076" i="8"/>
  <c r="G1076" i="8"/>
  <c r="F1076" i="8"/>
  <c r="H1076" i="8" s="1"/>
  <c r="G1075" i="8"/>
  <c r="F1075" i="8"/>
  <c r="J1074" i="8"/>
  <c r="I1074" i="8"/>
  <c r="H1074" i="8"/>
  <c r="G1074" i="8"/>
  <c r="F1074" i="8"/>
  <c r="G1073" i="8"/>
  <c r="F1073" i="8"/>
  <c r="J1072" i="8"/>
  <c r="I1072" i="8"/>
  <c r="G1072" i="8"/>
  <c r="F1072" i="8"/>
  <c r="H1072" i="8" s="1"/>
  <c r="G1071" i="8"/>
  <c r="F1071" i="8"/>
  <c r="J1070" i="8"/>
  <c r="I1070" i="8"/>
  <c r="H1070" i="8"/>
  <c r="G1070" i="8"/>
  <c r="F1070" i="8"/>
  <c r="G1069" i="8"/>
  <c r="F1069" i="8"/>
  <c r="J1068" i="8"/>
  <c r="I1068" i="8"/>
  <c r="G1068" i="8"/>
  <c r="F1068" i="8"/>
  <c r="H1068" i="8" s="1"/>
  <c r="G1067" i="8"/>
  <c r="F1067" i="8"/>
  <c r="J1066" i="8"/>
  <c r="I1066" i="8"/>
  <c r="H1066" i="8"/>
  <c r="G1066" i="8"/>
  <c r="F1066" i="8"/>
  <c r="J1065" i="8"/>
  <c r="G1065" i="8"/>
  <c r="F1065" i="8"/>
  <c r="H1065" i="8" s="1"/>
  <c r="J1064" i="8"/>
  <c r="G1064" i="8"/>
  <c r="F1064" i="8"/>
  <c r="H1064" i="8" s="1"/>
  <c r="G1063" i="8"/>
  <c r="F1063" i="8"/>
  <c r="G1062" i="8"/>
  <c r="F1062" i="8"/>
  <c r="J1062" i="8" s="1"/>
  <c r="G1061" i="8"/>
  <c r="F1061" i="8"/>
  <c r="J1060" i="8"/>
  <c r="G1060" i="8"/>
  <c r="F1060" i="8"/>
  <c r="H1060" i="8" s="1"/>
  <c r="J1059" i="8"/>
  <c r="H1059" i="8"/>
  <c r="G1059" i="8"/>
  <c r="F1059" i="8"/>
  <c r="I1059" i="8" s="1"/>
  <c r="G1058" i="8"/>
  <c r="F1058" i="8"/>
  <c r="J1057" i="8"/>
  <c r="G1057" i="8"/>
  <c r="F1057" i="8"/>
  <c r="H1057" i="8" s="1"/>
  <c r="J1056" i="8"/>
  <c r="I1056" i="8"/>
  <c r="G1056" i="8"/>
  <c r="F1056" i="8"/>
  <c r="H1056" i="8" s="1"/>
  <c r="G1055" i="8"/>
  <c r="F1055" i="8"/>
  <c r="H1054" i="8"/>
  <c r="G1054" i="8"/>
  <c r="F1054" i="8"/>
  <c r="J1054" i="8" s="1"/>
  <c r="J1053" i="8"/>
  <c r="I1053" i="8"/>
  <c r="G1053" i="8"/>
  <c r="F1053" i="8"/>
  <c r="H1053" i="8" s="1"/>
  <c r="H1052" i="8"/>
  <c r="G1052" i="8"/>
  <c r="F1052" i="8"/>
  <c r="J1051" i="8"/>
  <c r="H1051" i="8"/>
  <c r="G1051" i="8"/>
  <c r="F1051" i="8"/>
  <c r="I1051" i="8" s="1"/>
  <c r="J1050" i="8"/>
  <c r="I1050" i="8"/>
  <c r="G1050" i="8"/>
  <c r="F1050" i="8"/>
  <c r="H1050" i="8" s="1"/>
  <c r="J1049" i="8"/>
  <c r="I1049" i="8"/>
  <c r="G1049" i="8"/>
  <c r="F1049" i="8"/>
  <c r="H1049" i="8" s="1"/>
  <c r="G1048" i="8"/>
  <c r="F1048" i="8"/>
  <c r="J1047" i="8"/>
  <c r="H1047" i="8"/>
  <c r="G1047" i="8"/>
  <c r="F1047" i="8"/>
  <c r="I1047" i="8" s="1"/>
  <c r="J1046" i="8"/>
  <c r="I1046" i="8"/>
  <c r="G1046" i="8"/>
  <c r="F1046" i="8"/>
  <c r="H1046" i="8" s="1"/>
  <c r="J1045" i="8"/>
  <c r="I1045" i="8"/>
  <c r="G1045" i="8"/>
  <c r="F1045" i="8"/>
  <c r="H1045" i="8" s="1"/>
  <c r="G1044" i="8"/>
  <c r="F1044" i="8"/>
  <c r="J1043" i="8"/>
  <c r="H1043" i="8"/>
  <c r="G1043" i="8"/>
  <c r="F1043" i="8"/>
  <c r="I1043" i="8" s="1"/>
  <c r="J1042" i="8"/>
  <c r="I1042" i="8"/>
  <c r="G1042" i="8"/>
  <c r="F1042" i="8"/>
  <c r="H1042" i="8" s="1"/>
  <c r="J1041" i="8"/>
  <c r="I1041" i="8"/>
  <c r="G1041" i="8"/>
  <c r="F1041" i="8"/>
  <c r="H1041" i="8" s="1"/>
  <c r="H1040" i="8"/>
  <c r="G1040" i="8"/>
  <c r="F1040" i="8"/>
  <c r="J1039" i="8"/>
  <c r="H1039" i="8"/>
  <c r="G1039" i="8"/>
  <c r="F1039" i="8"/>
  <c r="I1039" i="8" s="1"/>
  <c r="J1038" i="8"/>
  <c r="I1038" i="8"/>
  <c r="G1038" i="8"/>
  <c r="F1038" i="8"/>
  <c r="H1038" i="8" s="1"/>
  <c r="J1037" i="8"/>
  <c r="I1037" i="8"/>
  <c r="G1037" i="8"/>
  <c r="F1037" i="8"/>
  <c r="H1037" i="8" s="1"/>
  <c r="G1036" i="8"/>
  <c r="F1036" i="8"/>
  <c r="J1035" i="8"/>
  <c r="H1035" i="8"/>
  <c r="G1035" i="8"/>
  <c r="F1035" i="8"/>
  <c r="I1035" i="8" s="1"/>
  <c r="J1034" i="8"/>
  <c r="I1034" i="8"/>
  <c r="G1034" i="8"/>
  <c r="F1034" i="8"/>
  <c r="H1034" i="8" s="1"/>
  <c r="J1033" i="8"/>
  <c r="I1033" i="8"/>
  <c r="G1033" i="8"/>
  <c r="F1033" i="8"/>
  <c r="H1033" i="8" s="1"/>
  <c r="H1032" i="8"/>
  <c r="G1032" i="8"/>
  <c r="F1032" i="8"/>
  <c r="J1031" i="8"/>
  <c r="H1031" i="8"/>
  <c r="G1031" i="8"/>
  <c r="F1031" i="8"/>
  <c r="I1031" i="8" s="1"/>
  <c r="J1030" i="8"/>
  <c r="I1030" i="8"/>
  <c r="G1030" i="8"/>
  <c r="F1030" i="8"/>
  <c r="H1030" i="8" s="1"/>
  <c r="J1029" i="8"/>
  <c r="I1029" i="8"/>
  <c r="G1029" i="8"/>
  <c r="F1029" i="8"/>
  <c r="H1029" i="8" s="1"/>
  <c r="H1028" i="8"/>
  <c r="G1028" i="8"/>
  <c r="F1028" i="8"/>
  <c r="J1027" i="8"/>
  <c r="H1027" i="8"/>
  <c r="G1027" i="8"/>
  <c r="F1027" i="8"/>
  <c r="I1027" i="8" s="1"/>
  <c r="J1026" i="8"/>
  <c r="I1026" i="8"/>
  <c r="G1026" i="8"/>
  <c r="F1026" i="8"/>
  <c r="H1026" i="8" s="1"/>
  <c r="J1025" i="8"/>
  <c r="I1025" i="8"/>
  <c r="G1025" i="8"/>
  <c r="F1025" i="8"/>
  <c r="H1025" i="8" s="1"/>
  <c r="G1024" i="8"/>
  <c r="F1024" i="8"/>
  <c r="J1023" i="8"/>
  <c r="H1023" i="8"/>
  <c r="G1023" i="8"/>
  <c r="F1023" i="8"/>
  <c r="I1023" i="8" s="1"/>
  <c r="J1022" i="8"/>
  <c r="I1022" i="8"/>
  <c r="G1022" i="8"/>
  <c r="F1022" i="8"/>
  <c r="H1022" i="8" s="1"/>
  <c r="J1021" i="8"/>
  <c r="I1021" i="8"/>
  <c r="G1021" i="8"/>
  <c r="F1021" i="8"/>
  <c r="H1021" i="8" s="1"/>
  <c r="G1020" i="8"/>
  <c r="F1020" i="8"/>
  <c r="J1019" i="8"/>
  <c r="H1019" i="8"/>
  <c r="G1019" i="8"/>
  <c r="F1019" i="8"/>
  <c r="I1019" i="8" s="1"/>
  <c r="J1018" i="8"/>
  <c r="I1018" i="8"/>
  <c r="G1018" i="8"/>
  <c r="F1018" i="8"/>
  <c r="H1018" i="8" s="1"/>
  <c r="J1017" i="8"/>
  <c r="I1017" i="8"/>
  <c r="G1017" i="8"/>
  <c r="F1017" i="8"/>
  <c r="H1017" i="8" s="1"/>
  <c r="H1016" i="8"/>
  <c r="G1016" i="8"/>
  <c r="F1016" i="8"/>
  <c r="J1015" i="8"/>
  <c r="H1015" i="8"/>
  <c r="G1015" i="8"/>
  <c r="F1015" i="8"/>
  <c r="I1015" i="8" s="1"/>
  <c r="J1014" i="8"/>
  <c r="I1014" i="8"/>
  <c r="G1014" i="8"/>
  <c r="F1014" i="8"/>
  <c r="H1014" i="8" s="1"/>
  <c r="J1013" i="8"/>
  <c r="I1013" i="8"/>
  <c r="G1013" i="8"/>
  <c r="F1013" i="8"/>
  <c r="H1013" i="8" s="1"/>
  <c r="H1012" i="8"/>
  <c r="G1012" i="8"/>
  <c r="F1012" i="8"/>
  <c r="J1011" i="8"/>
  <c r="H1011" i="8"/>
  <c r="G1011" i="8"/>
  <c r="F1011" i="8"/>
  <c r="I1011" i="8" s="1"/>
  <c r="J1010" i="8"/>
  <c r="I1010" i="8"/>
  <c r="G1010" i="8"/>
  <c r="F1010" i="8"/>
  <c r="H1010" i="8" s="1"/>
  <c r="J1009" i="8"/>
  <c r="I1009" i="8"/>
  <c r="G1009" i="8"/>
  <c r="F1009" i="8"/>
  <c r="H1009" i="8" s="1"/>
  <c r="G1008" i="8"/>
  <c r="F1008" i="8"/>
  <c r="J1007" i="8"/>
  <c r="H1007" i="8"/>
  <c r="G1007" i="8"/>
  <c r="F1007" i="8"/>
  <c r="I1007" i="8" s="1"/>
  <c r="J1006" i="8"/>
  <c r="I1006" i="8"/>
  <c r="G1006" i="8"/>
  <c r="F1006" i="8"/>
  <c r="H1006" i="8" s="1"/>
  <c r="J1005" i="8"/>
  <c r="I1005" i="8"/>
  <c r="G1005" i="8"/>
  <c r="F1005" i="8"/>
  <c r="H1005" i="8" s="1"/>
  <c r="G1004" i="8"/>
  <c r="F1004" i="8"/>
  <c r="J1003" i="8"/>
  <c r="H1003" i="8"/>
  <c r="G1003" i="8"/>
  <c r="F1003" i="8"/>
  <c r="I1003" i="8" s="1"/>
  <c r="J1002" i="8"/>
  <c r="I1002" i="8"/>
  <c r="G1002" i="8"/>
  <c r="F1002" i="8"/>
  <c r="H1002" i="8" s="1"/>
  <c r="J1001" i="8"/>
  <c r="I1001" i="8"/>
  <c r="G1001" i="8"/>
  <c r="F1001" i="8"/>
  <c r="H1001" i="8" s="1"/>
  <c r="H1000" i="8"/>
  <c r="G1000" i="8"/>
  <c r="F1000" i="8"/>
  <c r="J999" i="8"/>
  <c r="H999" i="8"/>
  <c r="G999" i="8"/>
  <c r="F999" i="8"/>
  <c r="I999" i="8" s="1"/>
  <c r="J998" i="8"/>
  <c r="I998" i="8"/>
  <c r="G998" i="8"/>
  <c r="F998" i="8"/>
  <c r="H998" i="8" s="1"/>
  <c r="J997" i="8"/>
  <c r="I997" i="8"/>
  <c r="G997" i="8"/>
  <c r="F997" i="8"/>
  <c r="H997" i="8" s="1"/>
  <c r="G996" i="8"/>
  <c r="F996" i="8"/>
  <c r="J995" i="8"/>
  <c r="H995" i="8"/>
  <c r="G995" i="8"/>
  <c r="F995" i="8"/>
  <c r="I995" i="8" s="1"/>
  <c r="J994" i="8"/>
  <c r="I994" i="8"/>
  <c r="G994" i="8"/>
  <c r="F994" i="8"/>
  <c r="H994" i="8" s="1"/>
  <c r="J993" i="8"/>
  <c r="I993" i="8"/>
  <c r="G993" i="8"/>
  <c r="F993" i="8"/>
  <c r="H993" i="8" s="1"/>
  <c r="H992" i="8"/>
  <c r="G992" i="8"/>
  <c r="F992" i="8"/>
  <c r="J991" i="8"/>
  <c r="H991" i="8"/>
  <c r="G991" i="8"/>
  <c r="F991" i="8"/>
  <c r="I991" i="8" s="1"/>
  <c r="J990" i="8"/>
  <c r="I990" i="8"/>
  <c r="G990" i="8"/>
  <c r="F990" i="8"/>
  <c r="H990" i="8" s="1"/>
  <c r="J989" i="8"/>
  <c r="I989" i="8"/>
  <c r="G989" i="8"/>
  <c r="F989" i="8"/>
  <c r="H989" i="8" s="1"/>
  <c r="G988" i="8"/>
  <c r="F988" i="8"/>
  <c r="J987" i="8"/>
  <c r="H987" i="8"/>
  <c r="G987" i="8"/>
  <c r="F987" i="8"/>
  <c r="I987" i="8" s="1"/>
  <c r="J986" i="8"/>
  <c r="I986" i="8"/>
  <c r="G986" i="8"/>
  <c r="F986" i="8"/>
  <c r="H986" i="8" s="1"/>
  <c r="J985" i="8"/>
  <c r="I985" i="8"/>
  <c r="G985" i="8"/>
  <c r="F985" i="8"/>
  <c r="H985" i="8" s="1"/>
  <c r="J984" i="8"/>
  <c r="H984" i="8"/>
  <c r="G984" i="8"/>
  <c r="F984" i="8"/>
  <c r="I984" i="8" s="1"/>
  <c r="J983" i="8"/>
  <c r="H983" i="8"/>
  <c r="G983" i="8"/>
  <c r="F983" i="8"/>
  <c r="I983" i="8" s="1"/>
  <c r="J982" i="8"/>
  <c r="I982" i="8"/>
  <c r="G982" i="8"/>
  <c r="F982" i="8"/>
  <c r="H982" i="8" s="1"/>
  <c r="J981" i="8"/>
  <c r="I981" i="8"/>
  <c r="G981" i="8"/>
  <c r="F981" i="8"/>
  <c r="H981" i="8" s="1"/>
  <c r="J980" i="8"/>
  <c r="H980" i="8"/>
  <c r="G980" i="8"/>
  <c r="F980" i="8"/>
  <c r="I980" i="8" s="1"/>
  <c r="J979" i="8"/>
  <c r="H979" i="8"/>
  <c r="G979" i="8"/>
  <c r="F979" i="8"/>
  <c r="I979" i="8" s="1"/>
  <c r="J978" i="8"/>
  <c r="I978" i="8"/>
  <c r="G978" i="8"/>
  <c r="F978" i="8"/>
  <c r="H978" i="8" s="1"/>
  <c r="J977" i="8"/>
  <c r="I977" i="8"/>
  <c r="G977" i="8"/>
  <c r="F977" i="8"/>
  <c r="H977" i="8" s="1"/>
  <c r="J976" i="8"/>
  <c r="G976" i="8"/>
  <c r="F976" i="8"/>
  <c r="I976" i="8" s="1"/>
  <c r="J975" i="8"/>
  <c r="H975" i="8"/>
  <c r="G975" i="8"/>
  <c r="F975" i="8"/>
  <c r="I975" i="8" s="1"/>
  <c r="J974" i="8"/>
  <c r="I974" i="8"/>
  <c r="G974" i="8"/>
  <c r="F974" i="8"/>
  <c r="H974" i="8" s="1"/>
  <c r="J973" i="8"/>
  <c r="I973" i="8"/>
  <c r="G973" i="8"/>
  <c r="F973" i="8"/>
  <c r="H973" i="8" s="1"/>
  <c r="G972" i="8"/>
  <c r="F972" i="8"/>
  <c r="I972" i="8" s="1"/>
  <c r="J971" i="8"/>
  <c r="H971" i="8"/>
  <c r="G971" i="8"/>
  <c r="F971" i="8"/>
  <c r="I971" i="8" s="1"/>
  <c r="J970" i="8"/>
  <c r="I970" i="8"/>
  <c r="G970" i="8"/>
  <c r="F970" i="8"/>
  <c r="H970" i="8" s="1"/>
  <c r="I969" i="8"/>
  <c r="G969" i="8"/>
  <c r="F969" i="8"/>
  <c r="J968" i="8"/>
  <c r="H968" i="8"/>
  <c r="G968" i="8"/>
  <c r="F968" i="8"/>
  <c r="I968" i="8" s="1"/>
  <c r="J967" i="8"/>
  <c r="H967" i="8"/>
  <c r="G967" i="8"/>
  <c r="F967" i="8"/>
  <c r="I967" i="8" s="1"/>
  <c r="J966" i="8"/>
  <c r="I966" i="8"/>
  <c r="G966" i="8"/>
  <c r="F966" i="8"/>
  <c r="H966" i="8" s="1"/>
  <c r="J965" i="8"/>
  <c r="I965" i="8"/>
  <c r="G965" i="8"/>
  <c r="F965" i="8"/>
  <c r="H965" i="8" s="1"/>
  <c r="G964" i="8"/>
  <c r="F964" i="8"/>
  <c r="I964" i="8" s="1"/>
  <c r="J963" i="8"/>
  <c r="H963" i="8"/>
  <c r="G963" i="8"/>
  <c r="F963" i="8"/>
  <c r="I963" i="8" s="1"/>
  <c r="J962" i="8"/>
  <c r="I962" i="8"/>
  <c r="G962" i="8"/>
  <c r="F962" i="8"/>
  <c r="H962" i="8" s="1"/>
  <c r="J961" i="8"/>
  <c r="G961" i="8"/>
  <c r="F961" i="8"/>
  <c r="H961" i="8" s="1"/>
  <c r="G960" i="8"/>
  <c r="F960" i="8"/>
  <c r="J959" i="8"/>
  <c r="H959" i="8"/>
  <c r="G959" i="8"/>
  <c r="F959" i="8"/>
  <c r="I959" i="8" s="1"/>
  <c r="J958" i="8"/>
  <c r="I958" i="8"/>
  <c r="G958" i="8"/>
  <c r="F958" i="8"/>
  <c r="H958" i="8" s="1"/>
  <c r="G957" i="8"/>
  <c r="F957" i="8"/>
  <c r="H957" i="8" s="1"/>
  <c r="J956" i="8"/>
  <c r="I956" i="8"/>
  <c r="H956" i="8"/>
  <c r="G956" i="8"/>
  <c r="F956" i="8"/>
  <c r="G955" i="8"/>
  <c r="F955" i="8"/>
  <c r="I955" i="8" s="1"/>
  <c r="J954" i="8"/>
  <c r="I954" i="8"/>
  <c r="G954" i="8"/>
  <c r="F954" i="8"/>
  <c r="H954" i="8" s="1"/>
  <c r="G953" i="8"/>
  <c r="F953" i="8"/>
  <c r="J952" i="8"/>
  <c r="I952" i="8"/>
  <c r="H952" i="8"/>
  <c r="G952" i="8"/>
  <c r="F952" i="8"/>
  <c r="G951" i="8"/>
  <c r="F951" i="8"/>
  <c r="J950" i="8"/>
  <c r="I950" i="8"/>
  <c r="G950" i="8"/>
  <c r="F950" i="8"/>
  <c r="H950" i="8" s="1"/>
  <c r="J949" i="8"/>
  <c r="I949" i="8"/>
  <c r="G949" i="8"/>
  <c r="F949" i="8"/>
  <c r="H949" i="8" s="1"/>
  <c r="G948" i="8"/>
  <c r="F948" i="8"/>
  <c r="J947" i="8"/>
  <c r="G947" i="8"/>
  <c r="F947" i="8"/>
  <c r="I947" i="8" s="1"/>
  <c r="J946" i="8"/>
  <c r="I946" i="8"/>
  <c r="G946" i="8"/>
  <c r="F946" i="8"/>
  <c r="H946" i="8" s="1"/>
  <c r="G945" i="8"/>
  <c r="F945" i="8"/>
  <c r="H945" i="8" s="1"/>
  <c r="J944" i="8"/>
  <c r="I944" i="8"/>
  <c r="H944" i="8"/>
  <c r="G944" i="8"/>
  <c r="F944" i="8"/>
  <c r="G943" i="8"/>
  <c r="F943" i="8"/>
  <c r="I943" i="8" s="1"/>
  <c r="J942" i="8"/>
  <c r="I942" i="8"/>
  <c r="G942" i="8"/>
  <c r="F942" i="8"/>
  <c r="H942" i="8" s="1"/>
  <c r="G941" i="8"/>
  <c r="F941" i="8"/>
  <c r="J940" i="8"/>
  <c r="I940" i="8"/>
  <c r="H940" i="8"/>
  <c r="G940" i="8"/>
  <c r="F940" i="8"/>
  <c r="G939" i="8"/>
  <c r="F939" i="8"/>
  <c r="G938" i="8"/>
  <c r="F938" i="8"/>
  <c r="H938" i="8" s="1"/>
  <c r="J937" i="8"/>
  <c r="G937" i="8"/>
  <c r="F937" i="8"/>
  <c r="H937" i="8" s="1"/>
  <c r="G936" i="8"/>
  <c r="F936" i="8"/>
  <c r="G935" i="8"/>
  <c r="F935" i="8"/>
  <c r="J935" i="8" s="1"/>
  <c r="J934" i="8"/>
  <c r="I934" i="8"/>
  <c r="G934" i="8"/>
  <c r="F934" i="8"/>
  <c r="H934" i="8" s="1"/>
  <c r="G933" i="8"/>
  <c r="F933" i="8"/>
  <c r="J932" i="8"/>
  <c r="I932" i="8"/>
  <c r="H932" i="8"/>
  <c r="G932" i="8"/>
  <c r="F932" i="8"/>
  <c r="H931" i="8"/>
  <c r="G931" i="8"/>
  <c r="F931" i="8"/>
  <c r="J931" i="8" s="1"/>
  <c r="G930" i="8"/>
  <c r="F930" i="8"/>
  <c r="H930" i="8" s="1"/>
  <c r="J929" i="8"/>
  <c r="G929" i="8"/>
  <c r="F929" i="8"/>
  <c r="H929" i="8" s="1"/>
  <c r="G928" i="8"/>
  <c r="F928" i="8"/>
  <c r="G927" i="8"/>
  <c r="F927" i="8"/>
  <c r="J927" i="8" s="1"/>
  <c r="J926" i="8"/>
  <c r="I926" i="8"/>
  <c r="G926" i="8"/>
  <c r="F926" i="8"/>
  <c r="H926" i="8" s="1"/>
  <c r="H925" i="8"/>
  <c r="G925" i="8"/>
  <c r="F925" i="8"/>
  <c r="J925" i="8" s="1"/>
  <c r="G924" i="8"/>
  <c r="F924" i="8"/>
  <c r="G923" i="8"/>
  <c r="F923" i="8"/>
  <c r="J923" i="8" s="1"/>
  <c r="J922" i="8"/>
  <c r="I922" i="8"/>
  <c r="G922" i="8"/>
  <c r="F922" i="8"/>
  <c r="H922" i="8" s="1"/>
  <c r="I921" i="8"/>
  <c r="H921" i="8"/>
  <c r="G921" i="8"/>
  <c r="F921" i="8"/>
  <c r="J921" i="8" s="1"/>
  <c r="G920" i="8"/>
  <c r="F920" i="8"/>
  <c r="G919" i="8"/>
  <c r="F919" i="8"/>
  <c r="J919" i="8" s="1"/>
  <c r="J918" i="8"/>
  <c r="I918" i="8"/>
  <c r="G918" i="8"/>
  <c r="F918" i="8"/>
  <c r="H918" i="8" s="1"/>
  <c r="G917" i="8"/>
  <c r="F917" i="8"/>
  <c r="J917" i="8" s="1"/>
  <c r="G916" i="8"/>
  <c r="F916" i="8"/>
  <c r="G915" i="8"/>
  <c r="F915" i="8"/>
  <c r="J915" i="8" s="1"/>
  <c r="J914" i="8"/>
  <c r="I914" i="8"/>
  <c r="G914" i="8"/>
  <c r="F914" i="8"/>
  <c r="H914" i="8" s="1"/>
  <c r="G913" i="8"/>
  <c r="F913" i="8"/>
  <c r="G912" i="8"/>
  <c r="F912" i="8"/>
  <c r="G911" i="8"/>
  <c r="F911" i="8"/>
  <c r="J911" i="8" s="1"/>
  <c r="J910" i="8"/>
  <c r="I910" i="8"/>
  <c r="G910" i="8"/>
  <c r="F910" i="8"/>
  <c r="H910" i="8" s="1"/>
  <c r="H909" i="8"/>
  <c r="G909" i="8"/>
  <c r="F909" i="8"/>
  <c r="J909" i="8" s="1"/>
  <c r="G908" i="8"/>
  <c r="F908" i="8"/>
  <c r="G907" i="8"/>
  <c r="F907" i="8"/>
  <c r="J907" i="8" s="1"/>
  <c r="J906" i="8"/>
  <c r="I906" i="8"/>
  <c r="G906" i="8"/>
  <c r="F906" i="8"/>
  <c r="H906" i="8" s="1"/>
  <c r="G905" i="8"/>
  <c r="F905" i="8"/>
  <c r="G904" i="8"/>
  <c r="F904" i="8"/>
  <c r="G903" i="8"/>
  <c r="F903" i="8"/>
  <c r="J903" i="8" s="1"/>
  <c r="J902" i="8"/>
  <c r="I902" i="8"/>
  <c r="G902" i="8"/>
  <c r="F902" i="8"/>
  <c r="H902" i="8" s="1"/>
  <c r="I901" i="8"/>
  <c r="H901" i="8"/>
  <c r="G901" i="8"/>
  <c r="F901" i="8"/>
  <c r="J901" i="8" s="1"/>
  <c r="G900" i="8"/>
  <c r="F900" i="8"/>
  <c r="G899" i="8"/>
  <c r="F899" i="8"/>
  <c r="J899" i="8" s="1"/>
  <c r="J898" i="8"/>
  <c r="I898" i="8"/>
  <c r="G898" i="8"/>
  <c r="F898" i="8"/>
  <c r="H898" i="8" s="1"/>
  <c r="H897" i="8"/>
  <c r="G897" i="8"/>
  <c r="F897" i="8"/>
  <c r="J897" i="8" s="1"/>
  <c r="G896" i="8"/>
  <c r="F896" i="8"/>
  <c r="I895" i="8"/>
  <c r="G895" i="8"/>
  <c r="F895" i="8"/>
  <c r="G894" i="8"/>
  <c r="F894" i="8"/>
  <c r="H893" i="8"/>
  <c r="G893" i="8"/>
  <c r="F893" i="8"/>
  <c r="J893" i="8" s="1"/>
  <c r="I892" i="8"/>
  <c r="G892" i="8"/>
  <c r="F892" i="8"/>
  <c r="I891" i="8"/>
  <c r="G891" i="8"/>
  <c r="F891" i="8"/>
  <c r="I890" i="8"/>
  <c r="G890" i="8"/>
  <c r="F890" i="8"/>
  <c r="H890" i="8" s="1"/>
  <c r="I889" i="8"/>
  <c r="H889" i="8"/>
  <c r="G889" i="8"/>
  <c r="F889" i="8"/>
  <c r="J889" i="8" s="1"/>
  <c r="I888" i="8"/>
  <c r="G888" i="8"/>
  <c r="F888" i="8"/>
  <c r="I887" i="8"/>
  <c r="G887" i="8"/>
  <c r="F887" i="8"/>
  <c r="J886" i="8"/>
  <c r="I886" i="8"/>
  <c r="G886" i="8"/>
  <c r="F886" i="8"/>
  <c r="H886" i="8" s="1"/>
  <c r="G885" i="8"/>
  <c r="F885" i="8"/>
  <c r="I884" i="8"/>
  <c r="G884" i="8"/>
  <c r="F884" i="8"/>
  <c r="I883" i="8"/>
  <c r="G883" i="8"/>
  <c r="F883" i="8"/>
  <c r="J882" i="8"/>
  <c r="I882" i="8"/>
  <c r="G882" i="8"/>
  <c r="F882" i="8"/>
  <c r="H882" i="8" s="1"/>
  <c r="G881" i="8"/>
  <c r="F881" i="8"/>
  <c r="J881" i="8" s="1"/>
  <c r="G880" i="8"/>
  <c r="F880" i="8"/>
  <c r="I879" i="8"/>
  <c r="G879" i="8"/>
  <c r="F879" i="8"/>
  <c r="I878" i="8"/>
  <c r="G878" i="8"/>
  <c r="F878" i="8"/>
  <c r="H877" i="8"/>
  <c r="G877" i="8"/>
  <c r="F877" i="8"/>
  <c r="J877" i="8" s="1"/>
  <c r="I876" i="8"/>
  <c r="G876" i="8"/>
  <c r="F876" i="8"/>
  <c r="I875" i="8"/>
  <c r="G875" i="8"/>
  <c r="F875" i="8"/>
  <c r="I874" i="8"/>
  <c r="G874" i="8"/>
  <c r="F874" i="8"/>
  <c r="H874" i="8" s="1"/>
  <c r="I873" i="8"/>
  <c r="H873" i="8"/>
  <c r="G873" i="8"/>
  <c r="F873" i="8"/>
  <c r="J873" i="8" s="1"/>
  <c r="I872" i="8"/>
  <c r="G872" i="8"/>
  <c r="F872" i="8"/>
  <c r="I871" i="8"/>
  <c r="G871" i="8"/>
  <c r="F871" i="8"/>
  <c r="J870" i="8"/>
  <c r="I870" i="8"/>
  <c r="G870" i="8"/>
  <c r="F870" i="8"/>
  <c r="H870" i="8" s="1"/>
  <c r="G869" i="8"/>
  <c r="F869" i="8"/>
  <c r="I868" i="8"/>
  <c r="G868" i="8"/>
  <c r="F868" i="8"/>
  <c r="I867" i="8"/>
  <c r="G867" i="8"/>
  <c r="F867" i="8"/>
  <c r="J866" i="8"/>
  <c r="I866" i="8"/>
  <c r="G866" i="8"/>
  <c r="F866" i="8"/>
  <c r="H866" i="8" s="1"/>
  <c r="G865" i="8"/>
  <c r="F865" i="8"/>
  <c r="J865" i="8" s="1"/>
  <c r="I864" i="8"/>
  <c r="G864" i="8"/>
  <c r="F864" i="8"/>
  <c r="I863" i="8"/>
  <c r="G863" i="8"/>
  <c r="F863" i="8"/>
  <c r="G862" i="8"/>
  <c r="F862" i="8"/>
  <c r="H861" i="8"/>
  <c r="G861" i="8"/>
  <c r="F861" i="8"/>
  <c r="J861" i="8" s="1"/>
  <c r="I860" i="8"/>
  <c r="G860" i="8"/>
  <c r="F860" i="8"/>
  <c r="I859" i="8"/>
  <c r="G859" i="8"/>
  <c r="F859" i="8"/>
  <c r="I858" i="8"/>
  <c r="G858" i="8"/>
  <c r="F858" i="8"/>
  <c r="H858" i="8" s="1"/>
  <c r="I857" i="8"/>
  <c r="H857" i="8"/>
  <c r="G857" i="8"/>
  <c r="F857" i="8"/>
  <c r="J857" i="8" s="1"/>
  <c r="I856" i="8"/>
  <c r="G856" i="8"/>
  <c r="F856" i="8"/>
  <c r="G855" i="8"/>
  <c r="F855" i="8"/>
  <c r="J854" i="8"/>
  <c r="I854" i="8"/>
  <c r="G854" i="8"/>
  <c r="F854" i="8"/>
  <c r="H854" i="8" s="1"/>
  <c r="G853" i="8"/>
  <c r="F853" i="8"/>
  <c r="I852" i="8"/>
  <c r="G852" i="8"/>
  <c r="F852" i="8"/>
  <c r="J852" i="8" s="1"/>
  <c r="G851" i="8"/>
  <c r="F851" i="8"/>
  <c r="I850" i="8"/>
  <c r="G850" i="8"/>
  <c r="F850" i="8"/>
  <c r="H850" i="8" s="1"/>
  <c r="G849" i="8"/>
  <c r="F849" i="8"/>
  <c r="I848" i="8"/>
  <c r="G848" i="8"/>
  <c r="F848" i="8"/>
  <c r="J848" i="8" s="1"/>
  <c r="G847" i="8"/>
  <c r="F847" i="8"/>
  <c r="I846" i="8"/>
  <c r="G846" i="8"/>
  <c r="F846" i="8"/>
  <c r="H846" i="8" s="1"/>
  <c r="G845" i="8"/>
  <c r="F845" i="8"/>
  <c r="I844" i="8"/>
  <c r="G844" i="8"/>
  <c r="F844" i="8"/>
  <c r="J844" i="8" s="1"/>
  <c r="G843" i="8"/>
  <c r="F843" i="8"/>
  <c r="I842" i="8"/>
  <c r="H842" i="8"/>
  <c r="G842" i="8"/>
  <c r="F842" i="8"/>
  <c r="J842" i="8" s="1"/>
  <c r="G841" i="8"/>
  <c r="F841" i="8"/>
  <c r="G840" i="8"/>
  <c r="F840" i="8"/>
  <c r="J840" i="8" s="1"/>
  <c r="J839" i="8"/>
  <c r="I839" i="8"/>
  <c r="G839" i="8"/>
  <c r="F839" i="8"/>
  <c r="H839" i="8" s="1"/>
  <c r="G838" i="8"/>
  <c r="F838" i="8"/>
  <c r="H837" i="8"/>
  <c r="G837" i="8"/>
  <c r="F837" i="8"/>
  <c r="J837" i="8" s="1"/>
  <c r="H836" i="8"/>
  <c r="G836" i="8"/>
  <c r="F836" i="8"/>
  <c r="G835" i="8"/>
  <c r="F835" i="8"/>
  <c r="H835" i="8" s="1"/>
  <c r="J834" i="8"/>
  <c r="I834" i="8"/>
  <c r="G834" i="8"/>
  <c r="F834" i="8"/>
  <c r="H834" i="8" s="1"/>
  <c r="G833" i="8"/>
  <c r="F833" i="8"/>
  <c r="I832" i="8"/>
  <c r="H832" i="8"/>
  <c r="G832" i="8"/>
  <c r="F832" i="8"/>
  <c r="J832" i="8" s="1"/>
  <c r="J831" i="8"/>
  <c r="I831" i="8"/>
  <c r="H831" i="8"/>
  <c r="G831" i="8"/>
  <c r="F831" i="8"/>
  <c r="H830" i="8"/>
  <c r="G830" i="8"/>
  <c r="F830" i="8"/>
  <c r="H829" i="8"/>
  <c r="G829" i="8"/>
  <c r="F829" i="8"/>
  <c r="J829" i="8" s="1"/>
  <c r="I828" i="8"/>
  <c r="H828" i="8"/>
  <c r="G828" i="8"/>
  <c r="F828" i="8"/>
  <c r="J828" i="8" s="1"/>
  <c r="J827" i="8"/>
  <c r="I827" i="8"/>
  <c r="H827" i="8"/>
  <c r="G827" i="8"/>
  <c r="F827" i="8"/>
  <c r="H826" i="8"/>
  <c r="G826" i="8"/>
  <c r="F826" i="8"/>
  <c r="H825" i="8"/>
  <c r="G825" i="8"/>
  <c r="F825" i="8"/>
  <c r="J825" i="8" s="1"/>
  <c r="I824" i="8"/>
  <c r="H824" i="8"/>
  <c r="G824" i="8"/>
  <c r="F824" i="8"/>
  <c r="J824" i="8" s="1"/>
  <c r="J823" i="8"/>
  <c r="I823" i="8"/>
  <c r="H823" i="8"/>
  <c r="G823" i="8"/>
  <c r="F823" i="8"/>
  <c r="G822" i="8"/>
  <c r="F822" i="8"/>
  <c r="H821" i="8"/>
  <c r="G821" i="8"/>
  <c r="F821" i="8"/>
  <c r="J821" i="8" s="1"/>
  <c r="I820" i="8"/>
  <c r="H820" i="8"/>
  <c r="G820" i="8"/>
  <c r="F820" i="8"/>
  <c r="J820" i="8" s="1"/>
  <c r="J819" i="8"/>
  <c r="I819" i="8"/>
  <c r="H819" i="8"/>
  <c r="G819" i="8"/>
  <c r="F819" i="8"/>
  <c r="G818" i="8"/>
  <c r="F818" i="8"/>
  <c r="H817" i="8"/>
  <c r="G817" i="8"/>
  <c r="F817" i="8"/>
  <c r="J817" i="8" s="1"/>
  <c r="I816" i="8"/>
  <c r="H816" i="8"/>
  <c r="G816" i="8"/>
  <c r="F816" i="8"/>
  <c r="J816" i="8" s="1"/>
  <c r="J815" i="8"/>
  <c r="I815" i="8"/>
  <c r="H815" i="8"/>
  <c r="G815" i="8"/>
  <c r="F815" i="8"/>
  <c r="H814" i="8"/>
  <c r="G814" i="8"/>
  <c r="F814" i="8"/>
  <c r="H813" i="8"/>
  <c r="G813" i="8"/>
  <c r="F813" i="8"/>
  <c r="J813" i="8" s="1"/>
  <c r="I812" i="8"/>
  <c r="H812" i="8"/>
  <c r="G812" i="8"/>
  <c r="F812" i="8"/>
  <c r="J812" i="8" s="1"/>
  <c r="J811" i="8"/>
  <c r="I811" i="8"/>
  <c r="H811" i="8"/>
  <c r="G811" i="8"/>
  <c r="F811" i="8"/>
  <c r="G810" i="8"/>
  <c r="F810" i="8"/>
  <c r="H809" i="8"/>
  <c r="G809" i="8"/>
  <c r="F809" i="8"/>
  <c r="J809" i="8" s="1"/>
  <c r="I808" i="8"/>
  <c r="H808" i="8"/>
  <c r="G808" i="8"/>
  <c r="F808" i="8"/>
  <c r="J808" i="8" s="1"/>
  <c r="J807" i="8"/>
  <c r="I807" i="8"/>
  <c r="H807" i="8"/>
  <c r="G807" i="8"/>
  <c r="F807" i="8"/>
  <c r="H806" i="8"/>
  <c r="G806" i="8"/>
  <c r="F806" i="8"/>
  <c r="H805" i="8"/>
  <c r="G805" i="8"/>
  <c r="F805" i="8"/>
  <c r="J805" i="8" s="1"/>
  <c r="I804" i="8"/>
  <c r="H804" i="8"/>
  <c r="G804" i="8"/>
  <c r="F804" i="8"/>
  <c r="J804" i="8" s="1"/>
  <c r="J803" i="8"/>
  <c r="I803" i="8"/>
  <c r="H803" i="8"/>
  <c r="G803" i="8"/>
  <c r="F803" i="8"/>
  <c r="G802" i="8"/>
  <c r="F802" i="8"/>
  <c r="H801" i="8"/>
  <c r="G801" i="8"/>
  <c r="F801" i="8"/>
  <c r="J801" i="8" s="1"/>
  <c r="I800" i="8"/>
  <c r="H800" i="8"/>
  <c r="G800" i="8"/>
  <c r="F800" i="8"/>
  <c r="J800" i="8" s="1"/>
  <c r="J799" i="8"/>
  <c r="I799" i="8"/>
  <c r="H799" i="8"/>
  <c r="G799" i="8"/>
  <c r="F799" i="8"/>
  <c r="G798" i="8"/>
  <c r="F798" i="8"/>
  <c r="H797" i="8"/>
  <c r="G797" i="8"/>
  <c r="F797" i="8"/>
  <c r="J797" i="8" s="1"/>
  <c r="I796" i="8"/>
  <c r="H796" i="8"/>
  <c r="G796" i="8"/>
  <c r="F796" i="8"/>
  <c r="J796" i="8" s="1"/>
  <c r="J795" i="8"/>
  <c r="I795" i="8"/>
  <c r="H795" i="8"/>
  <c r="G795" i="8"/>
  <c r="F795" i="8"/>
  <c r="H794" i="8"/>
  <c r="G794" i="8"/>
  <c r="F794" i="8"/>
  <c r="H793" i="8"/>
  <c r="G793" i="8"/>
  <c r="F793" i="8"/>
  <c r="J793" i="8" s="1"/>
  <c r="I792" i="8"/>
  <c r="H792" i="8"/>
  <c r="G792" i="8"/>
  <c r="F792" i="8"/>
  <c r="J792" i="8" s="1"/>
  <c r="G791" i="8"/>
  <c r="F791" i="8"/>
  <c r="J791" i="8" s="1"/>
  <c r="H790" i="8"/>
  <c r="G790" i="8"/>
  <c r="F790" i="8"/>
  <c r="H789" i="8"/>
  <c r="G789" i="8"/>
  <c r="F789" i="8"/>
  <c r="J789" i="8" s="1"/>
  <c r="I788" i="8"/>
  <c r="H788" i="8"/>
  <c r="G788" i="8"/>
  <c r="F788" i="8"/>
  <c r="J788" i="8" s="1"/>
  <c r="G787" i="8"/>
  <c r="F787" i="8"/>
  <c r="G786" i="8"/>
  <c r="F786" i="8"/>
  <c r="H785" i="8"/>
  <c r="G785" i="8"/>
  <c r="F785" i="8"/>
  <c r="J785" i="8" s="1"/>
  <c r="I784" i="8"/>
  <c r="H784" i="8"/>
  <c r="G784" i="8"/>
  <c r="F784" i="8"/>
  <c r="J784" i="8" s="1"/>
  <c r="J783" i="8"/>
  <c r="I783" i="8"/>
  <c r="H783" i="8"/>
  <c r="G783" i="8"/>
  <c r="F783" i="8"/>
  <c r="G782" i="8"/>
  <c r="F782" i="8"/>
  <c r="H781" i="8"/>
  <c r="G781" i="8"/>
  <c r="F781" i="8"/>
  <c r="J781" i="8" s="1"/>
  <c r="I780" i="8"/>
  <c r="H780" i="8"/>
  <c r="G780" i="8"/>
  <c r="F780" i="8"/>
  <c r="J780" i="8" s="1"/>
  <c r="J779" i="8"/>
  <c r="I779" i="8"/>
  <c r="G779" i="8"/>
  <c r="F779" i="8"/>
  <c r="H779" i="8" s="1"/>
  <c r="G778" i="8"/>
  <c r="F778" i="8"/>
  <c r="H777" i="8"/>
  <c r="G777" i="8"/>
  <c r="F777" i="8"/>
  <c r="J777" i="8" s="1"/>
  <c r="I776" i="8"/>
  <c r="H776" i="8"/>
  <c r="G776" i="8"/>
  <c r="F776" i="8"/>
  <c r="J776" i="8" s="1"/>
  <c r="H775" i="8"/>
  <c r="G775" i="8"/>
  <c r="F775" i="8"/>
  <c r="J775" i="8" s="1"/>
  <c r="H774" i="8"/>
  <c r="G774" i="8"/>
  <c r="F774" i="8"/>
  <c r="H773" i="8"/>
  <c r="G773" i="8"/>
  <c r="F773" i="8"/>
  <c r="J773" i="8" s="1"/>
  <c r="I772" i="8"/>
  <c r="H772" i="8"/>
  <c r="G772" i="8"/>
  <c r="F772" i="8"/>
  <c r="J772" i="8" s="1"/>
  <c r="J771" i="8"/>
  <c r="H771" i="8"/>
  <c r="G771" i="8"/>
  <c r="F771" i="8"/>
  <c r="I771" i="8" s="1"/>
  <c r="G770" i="8"/>
  <c r="F770" i="8"/>
  <c r="H769" i="8"/>
  <c r="G769" i="8"/>
  <c r="F769" i="8"/>
  <c r="J769" i="8" s="1"/>
  <c r="I768" i="8"/>
  <c r="H768" i="8"/>
  <c r="G768" i="8"/>
  <c r="F768" i="8"/>
  <c r="J768" i="8" s="1"/>
  <c r="G767" i="8"/>
  <c r="F767" i="8"/>
  <c r="J767" i="8" s="1"/>
  <c r="H766" i="8"/>
  <c r="G766" i="8"/>
  <c r="F766" i="8"/>
  <c r="H765" i="8"/>
  <c r="G765" i="8"/>
  <c r="F765" i="8"/>
  <c r="J765" i="8" s="1"/>
  <c r="I764" i="8"/>
  <c r="H764" i="8"/>
  <c r="G764" i="8"/>
  <c r="F764" i="8"/>
  <c r="J764" i="8" s="1"/>
  <c r="G763" i="8"/>
  <c r="F763" i="8"/>
  <c r="G762" i="8"/>
  <c r="F762" i="8"/>
  <c r="H761" i="8"/>
  <c r="G761" i="8"/>
  <c r="F761" i="8"/>
  <c r="J761" i="8" s="1"/>
  <c r="I760" i="8"/>
  <c r="H760" i="8"/>
  <c r="G760" i="8"/>
  <c r="F760" i="8"/>
  <c r="J760" i="8" s="1"/>
  <c r="J759" i="8"/>
  <c r="I759" i="8"/>
  <c r="H759" i="8"/>
  <c r="G759" i="8"/>
  <c r="F759" i="8"/>
  <c r="G758" i="8"/>
  <c r="F758" i="8"/>
  <c r="H757" i="8"/>
  <c r="G757" i="8"/>
  <c r="F757" i="8"/>
  <c r="J757" i="8" s="1"/>
  <c r="I756" i="8"/>
  <c r="H756" i="8"/>
  <c r="G756" i="8"/>
  <c r="F756" i="8"/>
  <c r="J756" i="8" s="1"/>
  <c r="J755" i="8"/>
  <c r="I755" i="8"/>
  <c r="G755" i="8"/>
  <c r="F755" i="8"/>
  <c r="H755" i="8" s="1"/>
  <c r="G754" i="8"/>
  <c r="F754" i="8"/>
  <c r="H753" i="8"/>
  <c r="G753" i="8"/>
  <c r="F753" i="8"/>
  <c r="J753" i="8" s="1"/>
  <c r="I752" i="8"/>
  <c r="H752" i="8"/>
  <c r="G752" i="8"/>
  <c r="F752" i="8"/>
  <c r="J752" i="8" s="1"/>
  <c r="H751" i="8"/>
  <c r="G751" i="8"/>
  <c r="F751" i="8"/>
  <c r="J751" i="8" s="1"/>
  <c r="H750" i="8"/>
  <c r="G750" i="8"/>
  <c r="F750" i="8"/>
  <c r="G749" i="8"/>
  <c r="F749" i="8"/>
  <c r="I748" i="8"/>
  <c r="H748" i="8"/>
  <c r="G748" i="8"/>
  <c r="F748" i="8"/>
  <c r="J748" i="8" s="1"/>
  <c r="G747" i="8"/>
  <c r="F747" i="8"/>
  <c r="J747" i="8" s="1"/>
  <c r="J746" i="8"/>
  <c r="G746" i="8"/>
  <c r="F746" i="8"/>
  <c r="I746" i="8" s="1"/>
  <c r="H745" i="8"/>
  <c r="G745" i="8"/>
  <c r="F745" i="8"/>
  <c r="I744" i="8"/>
  <c r="H744" i="8"/>
  <c r="G744" i="8"/>
  <c r="F744" i="8"/>
  <c r="J744" i="8" s="1"/>
  <c r="J743" i="8"/>
  <c r="I743" i="8"/>
  <c r="G743" i="8"/>
  <c r="F743" i="8"/>
  <c r="H743" i="8" s="1"/>
  <c r="H742" i="8"/>
  <c r="G742" i="8"/>
  <c r="F742" i="8"/>
  <c r="J742" i="8" s="1"/>
  <c r="G741" i="8"/>
  <c r="F741" i="8"/>
  <c r="I740" i="8"/>
  <c r="H740" i="8"/>
  <c r="G740" i="8"/>
  <c r="F740" i="8"/>
  <c r="J740" i="8" s="1"/>
  <c r="G739" i="8"/>
  <c r="F739" i="8"/>
  <c r="J739" i="8" s="1"/>
  <c r="J738" i="8"/>
  <c r="G738" i="8"/>
  <c r="F738" i="8"/>
  <c r="I738" i="8" s="1"/>
  <c r="H737" i="8"/>
  <c r="G737" i="8"/>
  <c r="F737" i="8"/>
  <c r="I736" i="8"/>
  <c r="G736" i="8"/>
  <c r="F736" i="8"/>
  <c r="J736" i="8" s="1"/>
  <c r="J735" i="8"/>
  <c r="I735" i="8"/>
  <c r="G735" i="8"/>
  <c r="F735" i="8"/>
  <c r="H735" i="8" s="1"/>
  <c r="G734" i="8"/>
  <c r="F734" i="8"/>
  <c r="I733" i="8"/>
  <c r="G733" i="8"/>
  <c r="F733" i="8"/>
  <c r="J733" i="8" s="1"/>
  <c r="I732" i="8"/>
  <c r="H732" i="8"/>
  <c r="G732" i="8"/>
  <c r="F732" i="8"/>
  <c r="J732" i="8" s="1"/>
  <c r="G731" i="8"/>
  <c r="F731" i="8"/>
  <c r="J730" i="8"/>
  <c r="G730" i="8"/>
  <c r="F730" i="8"/>
  <c r="I730" i="8" s="1"/>
  <c r="I729" i="8"/>
  <c r="H729" i="8"/>
  <c r="G729" i="8"/>
  <c r="F729" i="8"/>
  <c r="J729" i="8" s="1"/>
  <c r="H728" i="8"/>
  <c r="G728" i="8"/>
  <c r="F728" i="8"/>
  <c r="J728" i="8" s="1"/>
  <c r="J727" i="8"/>
  <c r="G727" i="8"/>
  <c r="F727" i="8"/>
  <c r="I727" i="8" s="1"/>
  <c r="J726" i="8"/>
  <c r="I726" i="8"/>
  <c r="G726" i="8"/>
  <c r="F726" i="8"/>
  <c r="H726" i="8" s="1"/>
  <c r="H725" i="8"/>
  <c r="G725" i="8"/>
  <c r="F725" i="8"/>
  <c r="J725" i="8" s="1"/>
  <c r="I724" i="8"/>
  <c r="G724" i="8"/>
  <c r="F724" i="8"/>
  <c r="J724" i="8" s="1"/>
  <c r="J723" i="8"/>
  <c r="I723" i="8"/>
  <c r="G723" i="8"/>
  <c r="F723" i="8"/>
  <c r="H723" i="8" s="1"/>
  <c r="G722" i="8"/>
  <c r="F722" i="8"/>
  <c r="I721" i="8"/>
  <c r="G721" i="8"/>
  <c r="F721" i="8"/>
  <c r="J721" i="8" s="1"/>
  <c r="I720" i="8"/>
  <c r="H720" i="8"/>
  <c r="G720" i="8"/>
  <c r="F720" i="8"/>
  <c r="J720" i="8" s="1"/>
  <c r="G719" i="8"/>
  <c r="F719" i="8"/>
  <c r="J718" i="8"/>
  <c r="G718" i="8"/>
  <c r="F718" i="8"/>
  <c r="I718" i="8" s="1"/>
  <c r="I717" i="8"/>
  <c r="G717" i="8"/>
  <c r="F717" i="8"/>
  <c r="J717" i="8" s="1"/>
  <c r="G716" i="8"/>
  <c r="F716" i="8"/>
  <c r="G715" i="8"/>
  <c r="F715" i="8"/>
  <c r="J715" i="8" s="1"/>
  <c r="I714" i="8"/>
  <c r="H714" i="8"/>
  <c r="G714" i="8"/>
  <c r="F714" i="8"/>
  <c r="J714" i="8" s="1"/>
  <c r="I713" i="8"/>
  <c r="H713" i="8"/>
  <c r="G713" i="8"/>
  <c r="F713" i="8"/>
  <c r="J713" i="8" s="1"/>
  <c r="H712" i="8"/>
  <c r="G712" i="8"/>
  <c r="F712" i="8"/>
  <c r="J712" i="8" s="1"/>
  <c r="J711" i="8"/>
  <c r="G711" i="8"/>
  <c r="F711" i="8"/>
  <c r="I711" i="8" s="1"/>
  <c r="J710" i="8"/>
  <c r="I710" i="8"/>
  <c r="G710" i="8"/>
  <c r="F710" i="8"/>
  <c r="H710" i="8" s="1"/>
  <c r="G709" i="8"/>
  <c r="F709" i="8"/>
  <c r="G708" i="8"/>
  <c r="F708" i="8"/>
  <c r="J708" i="8" s="1"/>
  <c r="I707" i="8"/>
  <c r="H707" i="8"/>
  <c r="G707" i="8"/>
  <c r="F707" i="8"/>
  <c r="J707" i="8" s="1"/>
  <c r="J706" i="8"/>
  <c r="I706" i="8"/>
  <c r="H706" i="8"/>
  <c r="G706" i="8"/>
  <c r="F706" i="8"/>
  <c r="G705" i="8"/>
  <c r="F705" i="8"/>
  <c r="G704" i="8"/>
  <c r="F704" i="8"/>
  <c r="J704" i="8" s="1"/>
  <c r="I703" i="8"/>
  <c r="H703" i="8"/>
  <c r="G703" i="8"/>
  <c r="F703" i="8"/>
  <c r="J703" i="8" s="1"/>
  <c r="J702" i="8"/>
  <c r="I702" i="8"/>
  <c r="H702" i="8"/>
  <c r="G702" i="8"/>
  <c r="F702" i="8"/>
  <c r="G701" i="8"/>
  <c r="F701" i="8"/>
  <c r="G700" i="8"/>
  <c r="F700" i="8"/>
  <c r="J700" i="8" s="1"/>
  <c r="I699" i="8"/>
  <c r="H699" i="8"/>
  <c r="G699" i="8"/>
  <c r="F699" i="8"/>
  <c r="J699" i="8" s="1"/>
  <c r="J698" i="8"/>
  <c r="I698" i="8"/>
  <c r="H698" i="8"/>
  <c r="G698" i="8"/>
  <c r="F698" i="8"/>
  <c r="G697" i="8"/>
  <c r="F697" i="8"/>
  <c r="G696" i="8"/>
  <c r="F696" i="8"/>
  <c r="J696" i="8" s="1"/>
  <c r="I695" i="8"/>
  <c r="H695" i="8"/>
  <c r="G695" i="8"/>
  <c r="F695" i="8"/>
  <c r="J695" i="8" s="1"/>
  <c r="J694" i="8"/>
  <c r="I694" i="8"/>
  <c r="H694" i="8"/>
  <c r="G694" i="8"/>
  <c r="F694" i="8"/>
  <c r="G693" i="8"/>
  <c r="F693" i="8"/>
  <c r="G692" i="8"/>
  <c r="F692" i="8"/>
  <c r="J692" i="8" s="1"/>
  <c r="I691" i="8"/>
  <c r="H691" i="8"/>
  <c r="G691" i="8"/>
  <c r="F691" i="8"/>
  <c r="J691" i="8" s="1"/>
  <c r="J690" i="8"/>
  <c r="I690" i="8"/>
  <c r="H690" i="8"/>
  <c r="G690" i="8"/>
  <c r="F690" i="8"/>
  <c r="G689" i="8"/>
  <c r="F689" i="8"/>
  <c r="G688" i="8"/>
  <c r="F688" i="8"/>
  <c r="J688" i="8" s="1"/>
  <c r="I687" i="8"/>
  <c r="H687" i="8"/>
  <c r="G687" i="8"/>
  <c r="F687" i="8"/>
  <c r="J687" i="8" s="1"/>
  <c r="J686" i="8"/>
  <c r="I686" i="8"/>
  <c r="H686" i="8"/>
  <c r="G686" i="8"/>
  <c r="F686" i="8"/>
  <c r="G685" i="8"/>
  <c r="F685" i="8"/>
  <c r="G684" i="8"/>
  <c r="F684" i="8"/>
  <c r="J684" i="8" s="1"/>
  <c r="I683" i="8"/>
  <c r="H683" i="8"/>
  <c r="G683" i="8"/>
  <c r="F683" i="8"/>
  <c r="J683" i="8" s="1"/>
  <c r="J682" i="8"/>
  <c r="I682" i="8"/>
  <c r="H682" i="8"/>
  <c r="G682" i="8"/>
  <c r="F682" i="8"/>
  <c r="G681" i="8"/>
  <c r="F681" i="8"/>
  <c r="G680" i="8"/>
  <c r="F680" i="8"/>
  <c r="J680" i="8" s="1"/>
  <c r="I679" i="8"/>
  <c r="H679" i="8"/>
  <c r="G679" i="8"/>
  <c r="F679" i="8"/>
  <c r="J679" i="8" s="1"/>
  <c r="J678" i="8"/>
  <c r="I678" i="8"/>
  <c r="H678" i="8"/>
  <c r="G678" i="8"/>
  <c r="F678" i="8"/>
  <c r="G677" i="8"/>
  <c r="F677" i="8"/>
  <c r="G676" i="8"/>
  <c r="F676" i="8"/>
  <c r="J676" i="8" s="1"/>
  <c r="I675" i="8"/>
  <c r="H675" i="8"/>
  <c r="G675" i="8"/>
  <c r="F675" i="8"/>
  <c r="J675" i="8" s="1"/>
  <c r="J674" i="8"/>
  <c r="I674" i="8"/>
  <c r="H674" i="8"/>
  <c r="G674" i="8"/>
  <c r="F674" i="8"/>
  <c r="G673" i="8"/>
  <c r="F673" i="8"/>
  <c r="G672" i="8"/>
  <c r="F672" i="8"/>
  <c r="J672" i="8" s="1"/>
  <c r="I671" i="8"/>
  <c r="H671" i="8"/>
  <c r="G671" i="8"/>
  <c r="F671" i="8"/>
  <c r="J671" i="8" s="1"/>
  <c r="J670" i="8"/>
  <c r="I670" i="8"/>
  <c r="H670" i="8"/>
  <c r="G670" i="8"/>
  <c r="F670" i="8"/>
  <c r="G669" i="8"/>
  <c r="F669" i="8"/>
  <c r="G668" i="8"/>
  <c r="F668" i="8"/>
  <c r="J668" i="8" s="1"/>
  <c r="I667" i="8"/>
  <c r="H667" i="8"/>
  <c r="G667" i="8"/>
  <c r="F667" i="8"/>
  <c r="J667" i="8" s="1"/>
  <c r="J666" i="8"/>
  <c r="I666" i="8"/>
  <c r="H666" i="8"/>
  <c r="G666" i="8"/>
  <c r="F666" i="8"/>
  <c r="G665" i="8"/>
  <c r="F665" i="8"/>
  <c r="G664" i="8"/>
  <c r="F664" i="8"/>
  <c r="J664" i="8" s="1"/>
  <c r="I663" i="8"/>
  <c r="H663" i="8"/>
  <c r="G663" i="8"/>
  <c r="F663" i="8"/>
  <c r="J663" i="8" s="1"/>
  <c r="J662" i="8"/>
  <c r="I662" i="8"/>
  <c r="H662" i="8"/>
  <c r="G662" i="8"/>
  <c r="F662" i="8"/>
  <c r="G661" i="8"/>
  <c r="F661" i="8"/>
  <c r="G660" i="8"/>
  <c r="F660" i="8"/>
  <c r="J660" i="8" s="1"/>
  <c r="I659" i="8"/>
  <c r="H659" i="8"/>
  <c r="G659" i="8"/>
  <c r="F659" i="8"/>
  <c r="J659" i="8" s="1"/>
  <c r="J658" i="8"/>
  <c r="I658" i="8"/>
  <c r="H658" i="8"/>
  <c r="G658" i="8"/>
  <c r="F658" i="8"/>
  <c r="G657" i="8"/>
  <c r="F657" i="8"/>
  <c r="G656" i="8"/>
  <c r="F656" i="8"/>
  <c r="J656" i="8" s="1"/>
  <c r="I655" i="8"/>
  <c r="H655" i="8"/>
  <c r="G655" i="8"/>
  <c r="F655" i="8"/>
  <c r="J655" i="8" s="1"/>
  <c r="J654" i="8"/>
  <c r="I654" i="8"/>
  <c r="H654" i="8"/>
  <c r="G654" i="8"/>
  <c r="F654" i="8"/>
  <c r="G653" i="8"/>
  <c r="F653" i="8"/>
  <c r="G652" i="8"/>
  <c r="F652" i="8"/>
  <c r="J652" i="8" s="1"/>
  <c r="I651" i="8"/>
  <c r="H651" i="8"/>
  <c r="G651" i="8"/>
  <c r="F651" i="8"/>
  <c r="J651" i="8" s="1"/>
  <c r="J650" i="8"/>
  <c r="I650" i="8"/>
  <c r="H650" i="8"/>
  <c r="G650" i="8"/>
  <c r="F650" i="8"/>
  <c r="G649" i="8"/>
  <c r="F649" i="8"/>
  <c r="G648" i="8"/>
  <c r="F648" i="8"/>
  <c r="J648" i="8" s="1"/>
  <c r="I647" i="8"/>
  <c r="H647" i="8"/>
  <c r="G647" i="8"/>
  <c r="F647" i="8"/>
  <c r="J647" i="8" s="1"/>
  <c r="J646" i="8"/>
  <c r="I646" i="8"/>
  <c r="H646" i="8"/>
  <c r="G646" i="8"/>
  <c r="F646" i="8"/>
  <c r="G645" i="8"/>
  <c r="F645" i="8"/>
  <c r="G644" i="8"/>
  <c r="F644" i="8"/>
  <c r="J644" i="8" s="1"/>
  <c r="I643" i="8"/>
  <c r="H643" i="8"/>
  <c r="G643" i="8"/>
  <c r="F643" i="8"/>
  <c r="J643" i="8" s="1"/>
  <c r="J642" i="8"/>
  <c r="I642" i="8"/>
  <c r="H642" i="8"/>
  <c r="G642" i="8"/>
  <c r="F642" i="8"/>
  <c r="G641" i="8"/>
  <c r="F641" i="8"/>
  <c r="G640" i="8"/>
  <c r="F640" i="8"/>
  <c r="J640" i="8" s="1"/>
  <c r="I639" i="8"/>
  <c r="H639" i="8"/>
  <c r="G639" i="8"/>
  <c r="F639" i="8"/>
  <c r="J639" i="8" s="1"/>
  <c r="J638" i="8"/>
  <c r="I638" i="8"/>
  <c r="H638" i="8"/>
  <c r="G638" i="8"/>
  <c r="F638" i="8"/>
  <c r="G637" i="8"/>
  <c r="F637" i="8"/>
  <c r="G636" i="8"/>
  <c r="F636" i="8"/>
  <c r="I635" i="8"/>
  <c r="H635" i="8"/>
  <c r="G635" i="8"/>
  <c r="F635" i="8"/>
  <c r="J635" i="8" s="1"/>
  <c r="J634" i="8"/>
  <c r="I634" i="8"/>
  <c r="H634" i="8"/>
  <c r="G634" i="8"/>
  <c r="F634" i="8"/>
  <c r="G633" i="8"/>
  <c r="F633" i="8"/>
  <c r="G632" i="8"/>
  <c r="F632" i="8"/>
  <c r="I631" i="8"/>
  <c r="H631" i="8"/>
  <c r="G631" i="8"/>
  <c r="F631" i="8"/>
  <c r="J631" i="8" s="1"/>
  <c r="J630" i="8"/>
  <c r="I630" i="8"/>
  <c r="H630" i="8"/>
  <c r="G630" i="8"/>
  <c r="F630" i="8"/>
  <c r="G629" i="8"/>
  <c r="F629" i="8"/>
  <c r="G628" i="8"/>
  <c r="F628" i="8"/>
  <c r="I627" i="8"/>
  <c r="H627" i="8"/>
  <c r="G627" i="8"/>
  <c r="F627" i="8"/>
  <c r="J627" i="8" s="1"/>
  <c r="J626" i="8"/>
  <c r="I626" i="8"/>
  <c r="H626" i="8"/>
  <c r="G626" i="8"/>
  <c r="F626" i="8"/>
  <c r="G625" i="8"/>
  <c r="F625" i="8"/>
  <c r="G624" i="8"/>
  <c r="F624" i="8"/>
  <c r="I623" i="8"/>
  <c r="H623" i="8"/>
  <c r="G623" i="8"/>
  <c r="F623" i="8"/>
  <c r="J623" i="8" s="1"/>
  <c r="J622" i="8"/>
  <c r="I622" i="8"/>
  <c r="H622" i="8"/>
  <c r="G622" i="8"/>
  <c r="F622" i="8"/>
  <c r="G621" i="8"/>
  <c r="F621" i="8"/>
  <c r="G620" i="8"/>
  <c r="F620" i="8"/>
  <c r="I619" i="8"/>
  <c r="H619" i="8"/>
  <c r="G619" i="8"/>
  <c r="F619" i="8"/>
  <c r="J619" i="8" s="1"/>
  <c r="J618" i="8"/>
  <c r="I618" i="8"/>
  <c r="H618" i="8"/>
  <c r="G618" i="8"/>
  <c r="F618" i="8"/>
  <c r="G617" i="8"/>
  <c r="F617" i="8"/>
  <c r="G616" i="8"/>
  <c r="F616" i="8"/>
  <c r="I615" i="8"/>
  <c r="H615" i="8"/>
  <c r="G615" i="8"/>
  <c r="F615" i="8"/>
  <c r="J615" i="8" s="1"/>
  <c r="J614" i="8"/>
  <c r="I614" i="8"/>
  <c r="H614" i="8"/>
  <c r="G614" i="8"/>
  <c r="F614" i="8"/>
  <c r="G613" i="8"/>
  <c r="F613" i="8"/>
  <c r="G612" i="8"/>
  <c r="F612" i="8"/>
  <c r="I611" i="8"/>
  <c r="H611" i="8"/>
  <c r="G611" i="8"/>
  <c r="F611" i="8"/>
  <c r="J611" i="8" s="1"/>
  <c r="J610" i="8"/>
  <c r="I610" i="8"/>
  <c r="H610" i="8"/>
  <c r="G610" i="8"/>
  <c r="F610" i="8"/>
  <c r="I609" i="8"/>
  <c r="G609" i="8"/>
  <c r="F609" i="8"/>
  <c r="G608" i="8"/>
  <c r="F608" i="8"/>
  <c r="I607" i="8"/>
  <c r="H607" i="8"/>
  <c r="G607" i="8"/>
  <c r="F607" i="8"/>
  <c r="J607" i="8" s="1"/>
  <c r="J606" i="8"/>
  <c r="I606" i="8"/>
  <c r="H606" i="8"/>
  <c r="G606" i="8"/>
  <c r="F606" i="8"/>
  <c r="I605" i="8"/>
  <c r="G605" i="8"/>
  <c r="F605" i="8"/>
  <c r="G604" i="8"/>
  <c r="F604" i="8"/>
  <c r="I603" i="8"/>
  <c r="H603" i="8"/>
  <c r="G603" i="8"/>
  <c r="F603" i="8"/>
  <c r="J603" i="8" s="1"/>
  <c r="J602" i="8"/>
  <c r="I602" i="8"/>
  <c r="H602" i="8"/>
  <c r="G602" i="8"/>
  <c r="F602" i="8"/>
  <c r="G601" i="8"/>
  <c r="F601" i="8"/>
  <c r="G600" i="8"/>
  <c r="F600" i="8"/>
  <c r="I599" i="8"/>
  <c r="H599" i="8"/>
  <c r="G599" i="8"/>
  <c r="F599" i="8"/>
  <c r="J599" i="8" s="1"/>
  <c r="J598" i="8"/>
  <c r="I598" i="8"/>
  <c r="H598" i="8"/>
  <c r="G598" i="8"/>
  <c r="F598" i="8"/>
  <c r="G597" i="8"/>
  <c r="F597" i="8"/>
  <c r="G596" i="8"/>
  <c r="F596" i="8"/>
  <c r="I595" i="8"/>
  <c r="H595" i="8"/>
  <c r="G595" i="8"/>
  <c r="F595" i="8"/>
  <c r="J595" i="8" s="1"/>
  <c r="J594" i="8"/>
  <c r="I594" i="8"/>
  <c r="H594" i="8"/>
  <c r="G594" i="8"/>
  <c r="F594" i="8"/>
  <c r="G593" i="8"/>
  <c r="F593" i="8"/>
  <c r="G592" i="8"/>
  <c r="F592" i="8"/>
  <c r="I591" i="8"/>
  <c r="H591" i="8"/>
  <c r="G591" i="8"/>
  <c r="F591" i="8"/>
  <c r="J591" i="8" s="1"/>
  <c r="J590" i="8"/>
  <c r="I590" i="8"/>
  <c r="H590" i="8"/>
  <c r="G590" i="8"/>
  <c r="F590" i="8"/>
  <c r="I589" i="8"/>
  <c r="G589" i="8"/>
  <c r="F589" i="8"/>
  <c r="G588" i="8"/>
  <c r="F588" i="8"/>
  <c r="I587" i="8"/>
  <c r="H587" i="8"/>
  <c r="G587" i="8"/>
  <c r="F587" i="8"/>
  <c r="J587" i="8" s="1"/>
  <c r="J586" i="8"/>
  <c r="I586" i="8"/>
  <c r="H586" i="8"/>
  <c r="G586" i="8"/>
  <c r="F586" i="8"/>
  <c r="G585" i="8"/>
  <c r="F585" i="8"/>
  <c r="G584" i="8"/>
  <c r="F584" i="8"/>
  <c r="I583" i="8"/>
  <c r="H583" i="8"/>
  <c r="G583" i="8"/>
  <c r="F583" i="8"/>
  <c r="J583" i="8" s="1"/>
  <c r="J582" i="8"/>
  <c r="I582" i="8"/>
  <c r="H582" i="8"/>
  <c r="G582" i="8"/>
  <c r="F582" i="8"/>
  <c r="G581" i="8"/>
  <c r="F581" i="8"/>
  <c r="G580" i="8"/>
  <c r="F580" i="8"/>
  <c r="I579" i="8"/>
  <c r="H579" i="8"/>
  <c r="G579" i="8"/>
  <c r="F579" i="8"/>
  <c r="J579" i="8" s="1"/>
  <c r="J578" i="8"/>
  <c r="I578" i="8"/>
  <c r="H578" i="8"/>
  <c r="G578" i="8"/>
  <c r="F578" i="8"/>
  <c r="G577" i="8"/>
  <c r="F577" i="8"/>
  <c r="G576" i="8"/>
  <c r="F576" i="8"/>
  <c r="I575" i="8"/>
  <c r="H575" i="8"/>
  <c r="G575" i="8"/>
  <c r="F575" i="8"/>
  <c r="J575" i="8" s="1"/>
  <c r="G574" i="8"/>
  <c r="F574" i="8"/>
  <c r="G573" i="8"/>
  <c r="F573" i="8"/>
  <c r="G572" i="8"/>
  <c r="F572" i="8"/>
  <c r="I571" i="8"/>
  <c r="H571" i="8"/>
  <c r="G571" i="8"/>
  <c r="F571" i="8"/>
  <c r="J571" i="8" s="1"/>
  <c r="G570" i="8"/>
  <c r="F570" i="8"/>
  <c r="J570" i="8" s="1"/>
  <c r="I569" i="8"/>
  <c r="G569" i="8"/>
  <c r="F569" i="8"/>
  <c r="G568" i="8"/>
  <c r="F568" i="8"/>
  <c r="I567" i="8"/>
  <c r="H567" i="8"/>
  <c r="G567" i="8"/>
  <c r="F567" i="8"/>
  <c r="J567" i="8" s="1"/>
  <c r="G566" i="8"/>
  <c r="F566" i="8"/>
  <c r="J566" i="8" s="1"/>
  <c r="I565" i="8"/>
  <c r="H565" i="8"/>
  <c r="G565" i="8"/>
  <c r="F565" i="8"/>
  <c r="J565" i="8" s="1"/>
  <c r="G564" i="8"/>
  <c r="F564" i="8"/>
  <c r="I563" i="8"/>
  <c r="H563" i="8"/>
  <c r="G563" i="8"/>
  <c r="F563" i="8"/>
  <c r="J563" i="8" s="1"/>
  <c r="H562" i="8"/>
  <c r="G562" i="8"/>
  <c r="F562" i="8"/>
  <c r="J562" i="8" s="1"/>
  <c r="I561" i="8"/>
  <c r="G561" i="8"/>
  <c r="F561" i="8"/>
  <c r="J561" i="8" s="1"/>
  <c r="G560" i="8"/>
  <c r="F560" i="8"/>
  <c r="I559" i="8"/>
  <c r="H559" i="8"/>
  <c r="G559" i="8"/>
  <c r="F559" i="8"/>
  <c r="J559" i="8" s="1"/>
  <c r="G558" i="8"/>
  <c r="F558" i="8"/>
  <c r="G557" i="8"/>
  <c r="F557" i="8"/>
  <c r="J557" i="8" s="1"/>
  <c r="G556" i="8"/>
  <c r="F556" i="8"/>
  <c r="J555" i="8"/>
  <c r="I555" i="8"/>
  <c r="H555" i="8"/>
  <c r="G555" i="8"/>
  <c r="F555" i="8"/>
  <c r="J554" i="8"/>
  <c r="I554" i="8"/>
  <c r="H554" i="8"/>
  <c r="G554" i="8"/>
  <c r="F554" i="8"/>
  <c r="I553" i="8"/>
  <c r="H553" i="8"/>
  <c r="G553" i="8"/>
  <c r="F553" i="8"/>
  <c r="J553" i="8" s="1"/>
  <c r="G552" i="8"/>
  <c r="F552" i="8"/>
  <c r="J551" i="8"/>
  <c r="I551" i="8"/>
  <c r="H551" i="8"/>
  <c r="G551" i="8"/>
  <c r="F551" i="8"/>
  <c r="G550" i="8"/>
  <c r="F550" i="8"/>
  <c r="G549" i="8"/>
  <c r="F549" i="8"/>
  <c r="G548" i="8"/>
  <c r="F548" i="8"/>
  <c r="G547" i="8"/>
  <c r="F547" i="8"/>
  <c r="G546" i="8"/>
  <c r="F546" i="8"/>
  <c r="G545" i="8"/>
  <c r="F545" i="8"/>
  <c r="G544" i="8"/>
  <c r="F544" i="8"/>
  <c r="G543" i="8"/>
  <c r="F543" i="8"/>
  <c r="G542" i="8"/>
  <c r="F542" i="8"/>
  <c r="G541" i="8"/>
  <c r="F541" i="8"/>
  <c r="G540" i="8"/>
  <c r="F540" i="8"/>
  <c r="G539" i="8"/>
  <c r="F539" i="8"/>
  <c r="G538" i="8"/>
  <c r="F538" i="8"/>
  <c r="G537" i="8"/>
  <c r="F537" i="8"/>
  <c r="G536" i="8"/>
  <c r="F536" i="8"/>
  <c r="G535" i="8"/>
  <c r="F535" i="8"/>
  <c r="H535" i="8" s="1"/>
  <c r="I535" i="8" s="1"/>
  <c r="G534" i="8"/>
  <c r="F534" i="8"/>
  <c r="G533" i="8"/>
  <c r="F533" i="8"/>
  <c r="G532" i="8"/>
  <c r="F532" i="8"/>
  <c r="H531" i="8"/>
  <c r="I531" i="8" s="1"/>
  <c r="G531" i="8"/>
  <c r="F531" i="8"/>
  <c r="G530" i="8"/>
  <c r="F530" i="8"/>
  <c r="G529" i="8"/>
  <c r="F529" i="8"/>
  <c r="G528" i="8"/>
  <c r="F528" i="8"/>
  <c r="H527" i="8"/>
  <c r="I527" i="8" s="1"/>
  <c r="G527" i="8"/>
  <c r="F527" i="8"/>
  <c r="G526" i="8"/>
  <c r="F526" i="8"/>
  <c r="G525" i="8"/>
  <c r="F525" i="8"/>
  <c r="G524" i="8"/>
  <c r="F524" i="8"/>
  <c r="G523" i="8"/>
  <c r="F523" i="8"/>
  <c r="G522" i="8"/>
  <c r="F522" i="8"/>
  <c r="G521" i="8"/>
  <c r="F521" i="8"/>
  <c r="G520" i="8"/>
  <c r="F520" i="8"/>
  <c r="G519" i="8"/>
  <c r="F519" i="8"/>
  <c r="G518" i="8"/>
  <c r="F518" i="8"/>
  <c r="G517" i="8"/>
  <c r="F517" i="8"/>
  <c r="G516" i="8"/>
  <c r="F516" i="8"/>
  <c r="H515" i="8"/>
  <c r="I515" i="8" s="1"/>
  <c r="G515" i="8"/>
  <c r="F515" i="8"/>
  <c r="G514" i="8"/>
  <c r="F514" i="8"/>
  <c r="G513" i="8"/>
  <c r="F513" i="8"/>
  <c r="G512" i="8"/>
  <c r="F512" i="8"/>
  <c r="H511" i="8"/>
  <c r="I511" i="8" s="1"/>
  <c r="G511" i="8"/>
  <c r="F511" i="8"/>
  <c r="G510" i="8"/>
  <c r="F510" i="8"/>
  <c r="G509" i="8"/>
  <c r="F509" i="8"/>
  <c r="G508" i="8"/>
  <c r="F508" i="8"/>
  <c r="H507" i="8"/>
  <c r="G507" i="8"/>
  <c r="F507" i="8"/>
  <c r="G506" i="8"/>
  <c r="F506" i="8"/>
  <c r="G505" i="8"/>
  <c r="F505" i="8"/>
  <c r="G504" i="8"/>
  <c r="F504" i="8"/>
  <c r="G503" i="8"/>
  <c r="F503" i="8"/>
  <c r="H503" i="8" s="1"/>
  <c r="I503" i="8" s="1"/>
  <c r="G502" i="8"/>
  <c r="F502" i="8"/>
  <c r="G501" i="8"/>
  <c r="F501" i="8"/>
  <c r="G500" i="8"/>
  <c r="F500" i="8"/>
  <c r="H500" i="8" s="1"/>
  <c r="I500" i="8" s="1"/>
  <c r="G499" i="8"/>
  <c r="F499" i="8"/>
  <c r="H499" i="8" s="1"/>
  <c r="I499" i="8" s="1"/>
  <c r="G498" i="8"/>
  <c r="F498" i="8"/>
  <c r="G497" i="8"/>
  <c r="F497" i="8"/>
  <c r="G496" i="8"/>
  <c r="F496" i="8"/>
  <c r="H496" i="8" s="1"/>
  <c r="I496" i="8" s="1"/>
  <c r="G495" i="8"/>
  <c r="F495" i="8"/>
  <c r="H495" i="8" s="1"/>
  <c r="I495" i="8" s="1"/>
  <c r="G494" i="8"/>
  <c r="F494" i="8"/>
  <c r="G493" i="8"/>
  <c r="F493" i="8"/>
  <c r="G492" i="8"/>
  <c r="F492" i="8"/>
  <c r="H492" i="8" s="1"/>
  <c r="I492" i="8" s="1"/>
  <c r="G491" i="8"/>
  <c r="F491" i="8"/>
  <c r="H491" i="8" s="1"/>
  <c r="I491" i="8" s="1"/>
  <c r="G490" i="8"/>
  <c r="F490" i="8"/>
  <c r="G489" i="8"/>
  <c r="F489" i="8"/>
  <c r="G488" i="8"/>
  <c r="F488" i="8"/>
  <c r="H488" i="8" s="1"/>
  <c r="I488" i="8" s="1"/>
  <c r="G487" i="8"/>
  <c r="F487" i="8"/>
  <c r="H487" i="8" s="1"/>
  <c r="I487" i="8" s="1"/>
  <c r="G486" i="8"/>
  <c r="F486" i="8"/>
  <c r="G485" i="8"/>
  <c r="F485" i="8"/>
  <c r="G484" i="8"/>
  <c r="F484" i="8"/>
  <c r="H484" i="8" s="1"/>
  <c r="I484" i="8" s="1"/>
  <c r="G483" i="8"/>
  <c r="F483" i="8"/>
  <c r="H483" i="8" s="1"/>
  <c r="I483" i="8" s="1"/>
  <c r="G482" i="8"/>
  <c r="F482" i="8"/>
  <c r="G481" i="8"/>
  <c r="F481" i="8"/>
  <c r="G480" i="8"/>
  <c r="F480" i="8"/>
  <c r="G479" i="8"/>
  <c r="F479" i="8"/>
  <c r="H479" i="8" s="1"/>
  <c r="I479" i="8" s="1"/>
  <c r="G478" i="8"/>
  <c r="F478" i="8"/>
  <c r="G477" i="8"/>
  <c r="F477" i="8"/>
  <c r="G476" i="8"/>
  <c r="F476" i="8"/>
  <c r="G475" i="8"/>
  <c r="F475" i="8"/>
  <c r="H475" i="8" s="1"/>
  <c r="I475" i="8" s="1"/>
  <c r="G474" i="8"/>
  <c r="F474" i="8"/>
  <c r="G473" i="8"/>
  <c r="F473" i="8"/>
  <c r="G472" i="8"/>
  <c r="F472" i="8"/>
  <c r="G471" i="8"/>
  <c r="F471" i="8"/>
  <c r="H471" i="8" s="1"/>
  <c r="I471" i="8" s="1"/>
  <c r="G470" i="8"/>
  <c r="F470" i="8"/>
  <c r="G469" i="8"/>
  <c r="F469" i="8"/>
  <c r="G468" i="8"/>
  <c r="F468" i="8"/>
  <c r="G467" i="8"/>
  <c r="F467" i="8"/>
  <c r="H467" i="8" s="1"/>
  <c r="I467" i="8" s="1"/>
  <c r="G466" i="8"/>
  <c r="F466" i="8"/>
  <c r="G465" i="8"/>
  <c r="F465" i="8"/>
  <c r="G464" i="8"/>
  <c r="F464" i="8"/>
  <c r="G463" i="8"/>
  <c r="F463" i="8"/>
  <c r="H463" i="8" s="1"/>
  <c r="I463" i="8" s="1"/>
  <c r="G462" i="8"/>
  <c r="F462" i="8"/>
  <c r="G461" i="8"/>
  <c r="F461" i="8"/>
  <c r="G460" i="8"/>
  <c r="F460" i="8"/>
  <c r="G459" i="8"/>
  <c r="F459" i="8"/>
  <c r="H459" i="8" s="1"/>
  <c r="I459" i="8" s="1"/>
  <c r="G458" i="8"/>
  <c r="F458" i="8"/>
  <c r="G457" i="8"/>
  <c r="F457" i="8"/>
  <c r="G456" i="8"/>
  <c r="F456" i="8"/>
  <c r="G455" i="8"/>
  <c r="F455" i="8"/>
  <c r="H455" i="8" s="1"/>
  <c r="I455" i="8" s="1"/>
  <c r="G454" i="8"/>
  <c r="F454" i="8"/>
  <c r="G453" i="8"/>
  <c r="F453" i="8"/>
  <c r="G452" i="8"/>
  <c r="F452" i="8"/>
  <c r="G451" i="8"/>
  <c r="F451" i="8"/>
  <c r="H451" i="8" s="1"/>
  <c r="I451" i="8" s="1"/>
  <c r="G450" i="8"/>
  <c r="F450" i="8"/>
  <c r="G449" i="8"/>
  <c r="F449" i="8"/>
  <c r="G448" i="8"/>
  <c r="F448" i="8"/>
  <c r="G447" i="8"/>
  <c r="F447" i="8"/>
  <c r="H447" i="8" s="1"/>
  <c r="I447" i="8" s="1"/>
  <c r="G446" i="8"/>
  <c r="F446" i="8"/>
  <c r="G445" i="8"/>
  <c r="F445" i="8"/>
  <c r="G444" i="8"/>
  <c r="F444" i="8"/>
  <c r="G443" i="8"/>
  <c r="F443" i="8"/>
  <c r="H443" i="8" s="1"/>
  <c r="I443" i="8" s="1"/>
  <c r="G442" i="8"/>
  <c r="F442" i="8"/>
  <c r="G441" i="8"/>
  <c r="F441" i="8"/>
  <c r="G440" i="8"/>
  <c r="F440" i="8"/>
  <c r="G439" i="8"/>
  <c r="F439" i="8"/>
  <c r="H439" i="8" s="1"/>
  <c r="I439" i="8" s="1"/>
  <c r="G438" i="8"/>
  <c r="F438" i="8"/>
  <c r="G437" i="8"/>
  <c r="F437" i="8"/>
  <c r="G436" i="8"/>
  <c r="F436" i="8"/>
  <c r="G435" i="8"/>
  <c r="F435" i="8"/>
  <c r="H435" i="8" s="1"/>
  <c r="I435" i="8" s="1"/>
  <c r="G434" i="8"/>
  <c r="F434" i="8"/>
  <c r="G433" i="8"/>
  <c r="F433" i="8"/>
  <c r="G432" i="8"/>
  <c r="F432" i="8"/>
  <c r="G431" i="8"/>
  <c r="F431" i="8"/>
  <c r="H431" i="8" s="1"/>
  <c r="I431" i="8" s="1"/>
  <c r="G430" i="8"/>
  <c r="F430" i="8"/>
  <c r="G429" i="8"/>
  <c r="F429" i="8"/>
  <c r="G428" i="8"/>
  <c r="F428" i="8"/>
  <c r="G427" i="8"/>
  <c r="F427" i="8"/>
  <c r="H427" i="8" s="1"/>
  <c r="I427" i="8" s="1"/>
  <c r="G426" i="8"/>
  <c r="F426" i="8"/>
  <c r="G425" i="8"/>
  <c r="F425" i="8"/>
  <c r="G424" i="8"/>
  <c r="F424" i="8"/>
  <c r="H424" i="8" s="1"/>
  <c r="G423" i="8"/>
  <c r="F423" i="8"/>
  <c r="H423" i="8" s="1"/>
  <c r="I423" i="8" s="1"/>
  <c r="G422" i="8"/>
  <c r="F422" i="8"/>
  <c r="G421" i="8"/>
  <c r="F421" i="8"/>
  <c r="H421" i="8" s="1"/>
  <c r="I421" i="8" s="1"/>
  <c r="G420" i="8"/>
  <c r="F420" i="8"/>
  <c r="H420" i="8" s="1"/>
  <c r="I420" i="8" s="1"/>
  <c r="G419" i="8"/>
  <c r="F419" i="8"/>
  <c r="H419" i="8" s="1"/>
  <c r="G418" i="8"/>
  <c r="F418" i="8"/>
  <c r="G417" i="8"/>
  <c r="F417" i="8"/>
  <c r="H417" i="8" s="1"/>
  <c r="I417" i="8" s="1"/>
  <c r="G416" i="8"/>
  <c r="F416" i="8"/>
  <c r="H416" i="8" s="1"/>
  <c r="I416" i="8" s="1"/>
  <c r="G415" i="8"/>
  <c r="F415" i="8"/>
  <c r="G414" i="8"/>
  <c r="F414" i="8"/>
  <c r="H414" i="8" s="1"/>
  <c r="G413" i="8"/>
  <c r="F413" i="8"/>
  <c r="H413" i="8" s="1"/>
  <c r="I413" i="8" s="1"/>
  <c r="G412" i="8"/>
  <c r="F412" i="8"/>
  <c r="G411" i="8"/>
  <c r="F411" i="8"/>
  <c r="G410" i="8"/>
  <c r="F410" i="8"/>
  <c r="H410" i="8" s="1"/>
  <c r="I410" i="8" s="1"/>
  <c r="G409" i="8"/>
  <c r="F409" i="8"/>
  <c r="H409" i="8" s="1"/>
  <c r="I409" i="8" s="1"/>
  <c r="G408" i="8"/>
  <c r="F408" i="8"/>
  <c r="H408" i="8" s="1"/>
  <c r="G407" i="8"/>
  <c r="F407" i="8"/>
  <c r="H407" i="8" s="1"/>
  <c r="I407" i="8" s="1"/>
  <c r="G406" i="8"/>
  <c r="F406" i="8"/>
  <c r="G405" i="8"/>
  <c r="F405" i="8"/>
  <c r="H405" i="8" s="1"/>
  <c r="G404" i="8"/>
  <c r="F404" i="8"/>
  <c r="H404" i="8" s="1"/>
  <c r="I404" i="8" s="1"/>
  <c r="G403" i="8"/>
  <c r="F403" i="8"/>
  <c r="H403" i="8" s="1"/>
  <c r="G402" i="8"/>
  <c r="F402" i="8"/>
  <c r="G401" i="8"/>
  <c r="F401" i="8"/>
  <c r="H401" i="8" s="1"/>
  <c r="I401" i="8" s="1"/>
  <c r="G400" i="8"/>
  <c r="F400" i="8"/>
  <c r="H400" i="8" s="1"/>
  <c r="I400" i="8" s="1"/>
  <c r="G399" i="8"/>
  <c r="F399" i="8"/>
  <c r="G398" i="8"/>
  <c r="F398" i="8"/>
  <c r="H398" i="8" s="1"/>
  <c r="I398" i="8" s="1"/>
  <c r="G397" i="8"/>
  <c r="F397" i="8"/>
  <c r="H397" i="8" s="1"/>
  <c r="I397" i="8" s="1"/>
  <c r="G396" i="8"/>
  <c r="F396" i="8"/>
  <c r="G395" i="8"/>
  <c r="F395" i="8"/>
  <c r="G394" i="8"/>
  <c r="F394" i="8"/>
  <c r="H394" i="8" s="1"/>
  <c r="I394" i="8" s="1"/>
  <c r="G393" i="8"/>
  <c r="F393" i="8"/>
  <c r="G392" i="8"/>
  <c r="F392" i="8"/>
  <c r="H392" i="8" s="1"/>
  <c r="H391" i="8"/>
  <c r="I391" i="8" s="1"/>
  <c r="G391" i="8"/>
  <c r="F391" i="8"/>
  <c r="G390" i="8"/>
  <c r="F390" i="8"/>
  <c r="G389" i="8"/>
  <c r="F389" i="8"/>
  <c r="H389" i="8" s="1"/>
  <c r="G388" i="8"/>
  <c r="F388" i="8"/>
  <c r="H388" i="8" s="1"/>
  <c r="I388" i="8" s="1"/>
  <c r="G387" i="8"/>
  <c r="F387" i="8"/>
  <c r="H387" i="8" s="1"/>
  <c r="G386" i="8"/>
  <c r="F386" i="8"/>
  <c r="G385" i="8"/>
  <c r="F385" i="8"/>
  <c r="H385" i="8" s="1"/>
  <c r="G384" i="8"/>
  <c r="F384" i="8"/>
  <c r="H384" i="8" s="1"/>
  <c r="G383" i="8"/>
  <c r="F383" i="8"/>
  <c r="G382" i="8"/>
  <c r="F382" i="8"/>
  <c r="H382" i="8" s="1"/>
  <c r="I382" i="8" s="1"/>
  <c r="G381" i="8"/>
  <c r="F381" i="8"/>
  <c r="H381" i="8" s="1"/>
  <c r="G380" i="8"/>
  <c r="F380" i="8"/>
  <c r="G379" i="8"/>
  <c r="F379" i="8"/>
  <c r="H379" i="8" s="1"/>
  <c r="I379" i="8" s="1"/>
  <c r="G378" i="8"/>
  <c r="F378" i="8"/>
  <c r="H378" i="8" s="1"/>
  <c r="I378" i="8" s="1"/>
  <c r="G377" i="8"/>
  <c r="F377" i="8"/>
  <c r="G376" i="8"/>
  <c r="F376" i="8"/>
  <c r="G375" i="8"/>
  <c r="F375" i="8"/>
  <c r="H375" i="8" s="1"/>
  <c r="I375" i="8" s="1"/>
  <c r="G374" i="8"/>
  <c r="F374" i="8"/>
  <c r="H374" i="8" s="1"/>
  <c r="I374" i="8" s="1"/>
  <c r="G373" i="8"/>
  <c r="F373" i="8"/>
  <c r="H373" i="8" s="1"/>
  <c r="G372" i="8"/>
  <c r="F372" i="8"/>
  <c r="G371" i="8"/>
  <c r="F371" i="8"/>
  <c r="H371" i="8" s="1"/>
  <c r="I371" i="8" s="1"/>
  <c r="G370" i="8"/>
  <c r="F370" i="8"/>
  <c r="H370" i="8" s="1"/>
  <c r="I370" i="8" s="1"/>
  <c r="G369" i="8"/>
  <c r="F369" i="8"/>
  <c r="H369" i="8" s="1"/>
  <c r="I369" i="8" s="1"/>
  <c r="G368" i="8"/>
  <c r="F368" i="8"/>
  <c r="G367" i="8"/>
  <c r="F367" i="8"/>
  <c r="H367" i="8" s="1"/>
  <c r="I367" i="8" s="1"/>
  <c r="G366" i="8"/>
  <c r="F366" i="8"/>
  <c r="H366" i="8" s="1"/>
  <c r="I366" i="8" s="1"/>
  <c r="G365" i="8"/>
  <c r="F365" i="8"/>
  <c r="H365" i="8" s="1"/>
  <c r="I365" i="8" s="1"/>
  <c r="G364" i="8"/>
  <c r="F364" i="8"/>
  <c r="G363" i="8"/>
  <c r="F363" i="8"/>
  <c r="H363" i="8" s="1"/>
  <c r="I363" i="8" s="1"/>
  <c r="G362" i="8"/>
  <c r="F362" i="8"/>
  <c r="H362" i="8" s="1"/>
  <c r="I362" i="8" s="1"/>
  <c r="G361" i="8"/>
  <c r="F361" i="8"/>
  <c r="H361" i="8" s="1"/>
  <c r="G360" i="8"/>
  <c r="F360" i="8"/>
  <c r="G359" i="8"/>
  <c r="F359" i="8"/>
  <c r="H359" i="8" s="1"/>
  <c r="I359" i="8" s="1"/>
  <c r="G358" i="8"/>
  <c r="F358" i="8"/>
  <c r="H358" i="8" s="1"/>
  <c r="I358" i="8" s="1"/>
  <c r="G357" i="8"/>
  <c r="F357" i="8"/>
  <c r="H357" i="8" s="1"/>
  <c r="I357" i="8" s="1"/>
  <c r="G356" i="8"/>
  <c r="F356" i="8"/>
  <c r="G355" i="8"/>
  <c r="F355" i="8"/>
  <c r="H355" i="8" s="1"/>
  <c r="I355" i="8" s="1"/>
  <c r="G354" i="8"/>
  <c r="F354" i="8"/>
  <c r="H354" i="8" s="1"/>
  <c r="I354" i="8" s="1"/>
  <c r="G353" i="8"/>
  <c r="F353" i="8"/>
  <c r="G352" i="8"/>
  <c r="F352" i="8"/>
  <c r="G351" i="8"/>
  <c r="F351" i="8"/>
  <c r="H351" i="8" s="1"/>
  <c r="I351" i="8" s="1"/>
  <c r="G350" i="8"/>
  <c r="F350" i="8"/>
  <c r="H350" i="8" s="1"/>
  <c r="I350" i="8" s="1"/>
  <c r="G349" i="8"/>
  <c r="F349" i="8"/>
  <c r="H349" i="8" s="1"/>
  <c r="G348" i="8"/>
  <c r="F348" i="8"/>
  <c r="G347" i="8"/>
  <c r="F347" i="8"/>
  <c r="H347" i="8" s="1"/>
  <c r="I347" i="8" s="1"/>
  <c r="G346" i="8"/>
  <c r="F346" i="8"/>
  <c r="H346" i="8" s="1"/>
  <c r="I346" i="8" s="1"/>
  <c r="G345" i="8"/>
  <c r="F345" i="8"/>
  <c r="H345" i="8" s="1"/>
  <c r="I345" i="8" s="1"/>
  <c r="G344" i="8"/>
  <c r="F344" i="8"/>
  <c r="G343" i="8"/>
  <c r="F343" i="8"/>
  <c r="H343" i="8" s="1"/>
  <c r="I343" i="8" s="1"/>
  <c r="G342" i="8"/>
  <c r="F342" i="8"/>
  <c r="H342" i="8" s="1"/>
  <c r="I342" i="8" s="1"/>
  <c r="G341" i="8"/>
  <c r="F341" i="8"/>
  <c r="H341" i="8" s="1"/>
  <c r="I341" i="8" s="1"/>
  <c r="G340" i="8"/>
  <c r="F340" i="8"/>
  <c r="G339" i="8"/>
  <c r="F339" i="8"/>
  <c r="H339" i="8" s="1"/>
  <c r="I339" i="8" s="1"/>
  <c r="H338" i="8"/>
  <c r="I338" i="8" s="1"/>
  <c r="G338" i="8"/>
  <c r="F338" i="8"/>
  <c r="G337" i="8"/>
  <c r="F337" i="8"/>
  <c r="H337" i="8" s="1"/>
  <c r="G336" i="8"/>
  <c r="F336" i="8"/>
  <c r="G335" i="8"/>
  <c r="F335" i="8"/>
  <c r="H335" i="8" s="1"/>
  <c r="I335" i="8" s="1"/>
  <c r="G334" i="8"/>
  <c r="F334" i="8"/>
  <c r="H334" i="8" s="1"/>
  <c r="I334" i="8" s="1"/>
  <c r="G333" i="8"/>
  <c r="F333" i="8"/>
  <c r="H333" i="8" s="1"/>
  <c r="I333" i="8" s="1"/>
  <c r="G332" i="8"/>
  <c r="F332" i="8"/>
  <c r="G331" i="8"/>
  <c r="F331" i="8"/>
  <c r="H331" i="8" s="1"/>
  <c r="I331" i="8" s="1"/>
  <c r="G330" i="8"/>
  <c r="F330" i="8"/>
  <c r="H330" i="8" s="1"/>
  <c r="I330" i="8" s="1"/>
  <c r="G329" i="8"/>
  <c r="F329" i="8"/>
  <c r="G328" i="8"/>
  <c r="F328" i="8"/>
  <c r="H327" i="8"/>
  <c r="I327" i="8" s="1"/>
  <c r="G327" i="8"/>
  <c r="F327" i="8"/>
  <c r="G326" i="8"/>
  <c r="F326" i="8"/>
  <c r="H326" i="8" s="1"/>
  <c r="I326" i="8" s="1"/>
  <c r="G325" i="8"/>
  <c r="F325" i="8"/>
  <c r="H325" i="8" s="1"/>
  <c r="G324" i="8"/>
  <c r="F324" i="8"/>
  <c r="G323" i="8"/>
  <c r="F323" i="8"/>
  <c r="H323" i="8" s="1"/>
  <c r="I323" i="8" s="1"/>
  <c r="G322" i="8"/>
  <c r="F322" i="8"/>
  <c r="H322" i="8" s="1"/>
  <c r="I322" i="8" s="1"/>
  <c r="G321" i="8"/>
  <c r="F321" i="8"/>
  <c r="H321" i="8" s="1"/>
  <c r="I321" i="8" s="1"/>
  <c r="G320" i="8"/>
  <c r="F320" i="8"/>
  <c r="H319" i="8"/>
  <c r="I319" i="8" s="1"/>
  <c r="G319" i="8"/>
  <c r="F319" i="8"/>
  <c r="G318" i="8"/>
  <c r="F318" i="8"/>
  <c r="H318" i="8" s="1"/>
  <c r="I318" i="8" s="1"/>
  <c r="G317" i="8"/>
  <c r="F317" i="8"/>
  <c r="H317" i="8" s="1"/>
  <c r="I317" i="8" s="1"/>
  <c r="G316" i="8"/>
  <c r="F316" i="8"/>
  <c r="G315" i="8"/>
  <c r="F315" i="8"/>
  <c r="H315" i="8" s="1"/>
  <c r="I315" i="8" s="1"/>
  <c r="H314" i="8"/>
  <c r="I314" i="8" s="1"/>
  <c r="G314" i="8"/>
  <c r="F314" i="8"/>
  <c r="G313" i="8"/>
  <c r="F313" i="8"/>
  <c r="H313" i="8" s="1"/>
  <c r="G312" i="8"/>
  <c r="F312" i="8"/>
  <c r="G311" i="8"/>
  <c r="F311" i="8"/>
  <c r="H311" i="8" s="1"/>
  <c r="I311" i="8" s="1"/>
  <c r="G310" i="8"/>
  <c r="F310" i="8"/>
  <c r="H310" i="8" s="1"/>
  <c r="I310" i="8" s="1"/>
  <c r="G309" i="8"/>
  <c r="F309" i="8"/>
  <c r="H309" i="8" s="1"/>
  <c r="G308" i="8"/>
  <c r="F308" i="8"/>
  <c r="G307" i="8"/>
  <c r="F307" i="8"/>
  <c r="H307" i="8" s="1"/>
  <c r="I307" i="8" s="1"/>
  <c r="G306" i="8"/>
  <c r="F306" i="8"/>
  <c r="H306" i="8" s="1"/>
  <c r="I306" i="8" s="1"/>
  <c r="G305" i="8"/>
  <c r="F305" i="8"/>
  <c r="H305" i="8" s="1"/>
  <c r="G304" i="8"/>
  <c r="F304" i="8"/>
  <c r="G303" i="8"/>
  <c r="F303" i="8"/>
  <c r="H303" i="8" s="1"/>
  <c r="I303" i="8" s="1"/>
  <c r="G302" i="8"/>
  <c r="F302" i="8"/>
  <c r="H302" i="8" s="1"/>
  <c r="I302" i="8" s="1"/>
  <c r="G301" i="8"/>
  <c r="F301" i="8"/>
  <c r="H301" i="8" s="1"/>
  <c r="G300" i="8"/>
  <c r="F300" i="8"/>
  <c r="G299" i="8"/>
  <c r="F299" i="8"/>
  <c r="H299" i="8" s="1"/>
  <c r="I299" i="8" s="1"/>
  <c r="G298" i="8"/>
  <c r="F298" i="8"/>
  <c r="H298" i="8" s="1"/>
  <c r="I298" i="8" s="1"/>
  <c r="G297" i="8"/>
  <c r="F297" i="8"/>
  <c r="H297" i="8" s="1"/>
  <c r="G296" i="8"/>
  <c r="F296" i="8"/>
  <c r="G295" i="8"/>
  <c r="F295" i="8"/>
  <c r="H295" i="8" s="1"/>
  <c r="I295" i="8" s="1"/>
  <c r="G294" i="8"/>
  <c r="F294" i="8"/>
  <c r="H294" i="8" s="1"/>
  <c r="I294" i="8" s="1"/>
  <c r="G293" i="8"/>
  <c r="F293" i="8"/>
  <c r="H293" i="8" s="1"/>
  <c r="G292" i="8"/>
  <c r="F292" i="8"/>
  <c r="G291" i="8"/>
  <c r="F291" i="8"/>
  <c r="H291" i="8" s="1"/>
  <c r="I291" i="8" s="1"/>
  <c r="G290" i="8"/>
  <c r="F290" i="8"/>
  <c r="H290" i="8" s="1"/>
  <c r="I290" i="8" s="1"/>
  <c r="G289" i="8"/>
  <c r="F289" i="8"/>
  <c r="H289" i="8" s="1"/>
  <c r="G288" i="8"/>
  <c r="F288" i="8"/>
  <c r="G287" i="8"/>
  <c r="F287" i="8"/>
  <c r="H287" i="8" s="1"/>
  <c r="I287" i="8" s="1"/>
  <c r="G286" i="8"/>
  <c r="F286" i="8"/>
  <c r="G285" i="8"/>
  <c r="F285" i="8"/>
  <c r="H285" i="8" s="1"/>
  <c r="G284" i="8"/>
  <c r="F284" i="8"/>
  <c r="G283" i="8"/>
  <c r="F283" i="8"/>
  <c r="H283" i="8" s="1"/>
  <c r="I283" i="8" s="1"/>
  <c r="G282" i="8"/>
  <c r="F282" i="8"/>
  <c r="G281" i="8"/>
  <c r="F281" i="8"/>
  <c r="H281" i="8" s="1"/>
  <c r="I281" i="8" s="1"/>
  <c r="G280" i="8"/>
  <c r="F280" i="8"/>
  <c r="G279" i="8"/>
  <c r="F279" i="8"/>
  <c r="H279" i="8" s="1"/>
  <c r="I279" i="8" s="1"/>
  <c r="G278" i="8"/>
  <c r="F278" i="8"/>
  <c r="H278" i="8" s="1"/>
  <c r="G277" i="8"/>
  <c r="F277" i="8"/>
  <c r="H277" i="8" s="1"/>
  <c r="G276" i="8"/>
  <c r="F276" i="8"/>
  <c r="H275" i="8"/>
  <c r="I275" i="8" s="1"/>
  <c r="G275" i="8"/>
  <c r="F275" i="8"/>
  <c r="G274" i="8"/>
  <c r="F274" i="8"/>
  <c r="G273" i="8"/>
  <c r="F273" i="8"/>
  <c r="H273" i="8" s="1"/>
  <c r="G272" i="8"/>
  <c r="F272" i="8"/>
  <c r="G271" i="8"/>
  <c r="F271" i="8"/>
  <c r="H271" i="8" s="1"/>
  <c r="I271" i="8" s="1"/>
  <c r="G270" i="8"/>
  <c r="F270" i="8"/>
  <c r="H270" i="8" s="1"/>
  <c r="G269" i="8"/>
  <c r="F269" i="8"/>
  <c r="G268" i="8"/>
  <c r="F268" i="8"/>
  <c r="H267" i="8"/>
  <c r="I267" i="8" s="1"/>
  <c r="G267" i="8"/>
  <c r="F267" i="8"/>
  <c r="G266" i="8"/>
  <c r="F266" i="8"/>
  <c r="G265" i="8"/>
  <c r="F265" i="8"/>
  <c r="H265" i="8" s="1"/>
  <c r="I265" i="8" s="1"/>
  <c r="G264" i="8"/>
  <c r="F264" i="8"/>
  <c r="H263" i="8"/>
  <c r="I263" i="8" s="1"/>
  <c r="G263" i="8"/>
  <c r="F263" i="8"/>
  <c r="G262" i="8"/>
  <c r="F262" i="8"/>
  <c r="H262" i="8" s="1"/>
  <c r="I262" i="8" s="1"/>
  <c r="G261" i="8"/>
  <c r="F261" i="8"/>
  <c r="G260" i="8"/>
  <c r="F260" i="8"/>
  <c r="G259" i="8"/>
  <c r="F259" i="8"/>
  <c r="H259" i="8" s="1"/>
  <c r="I259" i="8" s="1"/>
  <c r="G258" i="8"/>
  <c r="F258" i="8"/>
  <c r="G257" i="8"/>
  <c r="F257" i="8"/>
  <c r="H257" i="8" s="1"/>
  <c r="I257" i="8" s="1"/>
  <c r="G256" i="8"/>
  <c r="F256" i="8"/>
  <c r="G255" i="8"/>
  <c r="F255" i="8"/>
  <c r="H255" i="8" s="1"/>
  <c r="I255" i="8" s="1"/>
  <c r="G254" i="8"/>
  <c r="F254" i="8"/>
  <c r="G253" i="8"/>
  <c r="F253" i="8"/>
  <c r="G252" i="8"/>
  <c r="F252" i="8"/>
  <c r="G251" i="8"/>
  <c r="F251" i="8"/>
  <c r="H251" i="8" s="1"/>
  <c r="I251" i="8" s="1"/>
  <c r="G250" i="8"/>
  <c r="F250" i="8"/>
  <c r="H250" i="8" s="1"/>
  <c r="G249" i="8"/>
  <c r="F249" i="8"/>
  <c r="G248" i="8"/>
  <c r="F248" i="8"/>
  <c r="G247" i="8"/>
  <c r="F247" i="8"/>
  <c r="H247" i="8" s="1"/>
  <c r="I247" i="8" s="1"/>
  <c r="G246" i="8"/>
  <c r="F246" i="8"/>
  <c r="G245" i="8"/>
  <c r="F245" i="8"/>
  <c r="G244" i="8"/>
  <c r="F244" i="8"/>
  <c r="G243" i="8"/>
  <c r="F243" i="8"/>
  <c r="H243" i="8" s="1"/>
  <c r="I243" i="8" s="1"/>
  <c r="G242" i="8"/>
  <c r="F242" i="8"/>
  <c r="G241" i="8"/>
  <c r="F241" i="8"/>
  <c r="H241" i="8" s="1"/>
  <c r="I241" i="8" s="1"/>
  <c r="G240" i="8"/>
  <c r="F240" i="8"/>
  <c r="G239" i="8"/>
  <c r="F239" i="8"/>
  <c r="H239" i="8" s="1"/>
  <c r="I239" i="8" s="1"/>
  <c r="H238" i="8"/>
  <c r="I238" i="8" s="1"/>
  <c r="G238" i="8"/>
  <c r="F238" i="8"/>
  <c r="G237" i="8"/>
  <c r="F237" i="8"/>
  <c r="G236" i="8"/>
  <c r="F236" i="8"/>
  <c r="H236" i="8" s="1"/>
  <c r="I236" i="8" s="1"/>
  <c r="G235" i="8"/>
  <c r="F235" i="8"/>
  <c r="H235" i="8" s="1"/>
  <c r="I235" i="8" s="1"/>
  <c r="G234" i="8"/>
  <c r="F234" i="8"/>
  <c r="G233" i="8"/>
  <c r="F233" i="8"/>
  <c r="G232" i="8"/>
  <c r="F232" i="8"/>
  <c r="H232" i="8" s="1"/>
  <c r="G231" i="8"/>
  <c r="F231" i="8"/>
  <c r="H231" i="8" s="1"/>
  <c r="I231" i="8" s="1"/>
  <c r="G230" i="8"/>
  <c r="F230" i="8"/>
  <c r="G229" i="8"/>
  <c r="F229" i="8"/>
  <c r="G228" i="8"/>
  <c r="F228" i="8"/>
  <c r="H228" i="8" s="1"/>
  <c r="G227" i="8"/>
  <c r="F227" i="8"/>
  <c r="H227" i="8" s="1"/>
  <c r="I227" i="8" s="1"/>
  <c r="G226" i="8"/>
  <c r="F226" i="8"/>
  <c r="G225" i="8"/>
  <c r="F225" i="8"/>
  <c r="G224" i="8"/>
  <c r="F224" i="8"/>
  <c r="H224" i="8" s="1"/>
  <c r="G223" i="8"/>
  <c r="F223" i="8"/>
  <c r="H223" i="8" s="1"/>
  <c r="I223" i="8" s="1"/>
  <c r="G222" i="8"/>
  <c r="F222" i="8"/>
  <c r="G221" i="8"/>
  <c r="F221" i="8"/>
  <c r="G220" i="8"/>
  <c r="F220" i="8"/>
  <c r="H220" i="8" s="1"/>
  <c r="G219" i="8"/>
  <c r="F219" i="8"/>
  <c r="H219" i="8" s="1"/>
  <c r="I219" i="8" s="1"/>
  <c r="G218" i="8"/>
  <c r="F218" i="8"/>
  <c r="G217" i="8"/>
  <c r="F217" i="8"/>
  <c r="H216" i="8"/>
  <c r="G216" i="8"/>
  <c r="F216" i="8"/>
  <c r="G215" i="8"/>
  <c r="F215" i="8"/>
  <c r="H215" i="8" s="1"/>
  <c r="I215" i="8" s="1"/>
  <c r="G214" i="8"/>
  <c r="F214" i="8"/>
  <c r="G213" i="8"/>
  <c r="F213" i="8"/>
  <c r="G212" i="8"/>
  <c r="F212" i="8"/>
  <c r="H212" i="8" s="1"/>
  <c r="G211" i="8"/>
  <c r="F211" i="8"/>
  <c r="H211" i="8" s="1"/>
  <c r="I211" i="8" s="1"/>
  <c r="G210" i="8"/>
  <c r="F210" i="8"/>
  <c r="G209" i="8"/>
  <c r="F209" i="8"/>
  <c r="G208" i="8"/>
  <c r="F208" i="8"/>
  <c r="H208" i="8" s="1"/>
  <c r="G207" i="8"/>
  <c r="F207" i="8"/>
  <c r="H207" i="8" s="1"/>
  <c r="I207" i="8" s="1"/>
  <c r="G206" i="8"/>
  <c r="F206" i="8"/>
  <c r="G205" i="8"/>
  <c r="F205" i="8"/>
  <c r="G204" i="8"/>
  <c r="F204" i="8"/>
  <c r="H204" i="8" s="1"/>
  <c r="G203" i="8"/>
  <c r="F203" i="8"/>
  <c r="H203" i="8" s="1"/>
  <c r="I203" i="8" s="1"/>
  <c r="G202" i="8"/>
  <c r="F202" i="8"/>
  <c r="G201" i="8"/>
  <c r="F201" i="8"/>
  <c r="G200" i="8"/>
  <c r="F200" i="8"/>
  <c r="H200" i="8" s="1"/>
  <c r="G199" i="8"/>
  <c r="F199" i="8"/>
  <c r="H199" i="8" s="1"/>
  <c r="I199" i="8" s="1"/>
  <c r="G198" i="8"/>
  <c r="F198" i="8"/>
  <c r="G197" i="8"/>
  <c r="F197" i="8"/>
  <c r="G196" i="8"/>
  <c r="F196" i="8"/>
  <c r="H196" i="8" s="1"/>
  <c r="H195" i="8"/>
  <c r="I195" i="8" s="1"/>
  <c r="G195" i="8"/>
  <c r="F195" i="8"/>
  <c r="G194" i="8"/>
  <c r="F194" i="8"/>
  <c r="G193" i="8"/>
  <c r="F193" i="8"/>
  <c r="G192" i="8"/>
  <c r="F192" i="8"/>
  <c r="H192" i="8" s="1"/>
  <c r="G191" i="8"/>
  <c r="F191" i="8"/>
  <c r="H191" i="8" s="1"/>
  <c r="I191" i="8" s="1"/>
  <c r="G190" i="8"/>
  <c r="F190" i="8"/>
  <c r="G189" i="8"/>
  <c r="F189" i="8"/>
  <c r="G188" i="8"/>
  <c r="F188" i="8"/>
  <c r="H188" i="8" s="1"/>
  <c r="G187" i="8"/>
  <c r="F187" i="8"/>
  <c r="H187" i="8" s="1"/>
  <c r="I187" i="8" s="1"/>
  <c r="G186" i="8"/>
  <c r="F186" i="8"/>
  <c r="G185" i="8"/>
  <c r="F185" i="8"/>
  <c r="G184" i="8"/>
  <c r="F184" i="8"/>
  <c r="H184" i="8" s="1"/>
  <c r="G183" i="8"/>
  <c r="F183" i="8"/>
  <c r="H183" i="8" s="1"/>
  <c r="I183" i="8" s="1"/>
  <c r="G182" i="8"/>
  <c r="F182" i="8"/>
  <c r="G181" i="8"/>
  <c r="F181" i="8"/>
  <c r="G180" i="8"/>
  <c r="F180" i="8"/>
  <c r="H180" i="8" s="1"/>
  <c r="G179" i="8"/>
  <c r="F179" i="8"/>
  <c r="H179" i="8" s="1"/>
  <c r="I179" i="8" s="1"/>
  <c r="G178" i="8"/>
  <c r="F178" i="8"/>
  <c r="G177" i="8"/>
  <c r="F177" i="8"/>
  <c r="G176" i="8"/>
  <c r="F176" i="8"/>
  <c r="H176" i="8" s="1"/>
  <c r="G175" i="8"/>
  <c r="F175" i="8"/>
  <c r="H175" i="8" s="1"/>
  <c r="I175" i="8" s="1"/>
  <c r="G174" i="8"/>
  <c r="F174" i="8"/>
  <c r="G173" i="8"/>
  <c r="F173" i="8"/>
  <c r="G172" i="8"/>
  <c r="F172" i="8"/>
  <c r="H172" i="8" s="1"/>
  <c r="H171" i="8"/>
  <c r="I171" i="8" s="1"/>
  <c r="G171" i="8"/>
  <c r="F171" i="8"/>
  <c r="G170" i="8"/>
  <c r="F170" i="8"/>
  <c r="G169" i="8"/>
  <c r="F169" i="8"/>
  <c r="H168" i="8"/>
  <c r="G168" i="8"/>
  <c r="F168" i="8"/>
  <c r="G167" i="8"/>
  <c r="F167" i="8"/>
  <c r="H167" i="8" s="1"/>
  <c r="I167" i="8" s="1"/>
  <c r="G166" i="8"/>
  <c r="F166" i="8"/>
  <c r="G165" i="8"/>
  <c r="F165" i="8"/>
  <c r="G164" i="8"/>
  <c r="F164" i="8"/>
  <c r="H164" i="8" s="1"/>
  <c r="G163" i="8"/>
  <c r="F163" i="8"/>
  <c r="H163" i="8" s="1"/>
  <c r="I163" i="8" s="1"/>
  <c r="G162" i="8"/>
  <c r="F162" i="8"/>
  <c r="G161" i="8"/>
  <c r="F161" i="8"/>
  <c r="G160" i="8"/>
  <c r="F160" i="8"/>
  <c r="H160" i="8" s="1"/>
  <c r="G159" i="8"/>
  <c r="F159" i="8"/>
  <c r="H159" i="8" s="1"/>
  <c r="I159" i="8" s="1"/>
  <c r="G158" i="8"/>
  <c r="F158" i="8"/>
  <c r="G157" i="8"/>
  <c r="F157" i="8"/>
  <c r="G156" i="8"/>
  <c r="F156" i="8"/>
  <c r="H156" i="8" s="1"/>
  <c r="G155" i="8"/>
  <c r="F155" i="8"/>
  <c r="H155" i="8" s="1"/>
  <c r="I155" i="8" s="1"/>
  <c r="H154" i="8"/>
  <c r="I154" i="8" s="1"/>
  <c r="G154" i="8"/>
  <c r="F154" i="8"/>
  <c r="G153" i="8"/>
  <c r="F153" i="8"/>
  <c r="G152" i="8"/>
  <c r="F152" i="8"/>
  <c r="H152" i="8" s="1"/>
  <c r="G151" i="8"/>
  <c r="F151" i="8"/>
  <c r="H151" i="8" s="1"/>
  <c r="I151" i="8" s="1"/>
  <c r="G150" i="8"/>
  <c r="F150" i="8"/>
  <c r="G149" i="8"/>
  <c r="F149" i="8"/>
  <c r="G148" i="8"/>
  <c r="F148" i="8"/>
  <c r="H148" i="8" s="1"/>
  <c r="G147" i="8"/>
  <c r="F147" i="8"/>
  <c r="H147" i="8" s="1"/>
  <c r="I147" i="8" s="1"/>
  <c r="G146" i="8"/>
  <c r="F146" i="8"/>
  <c r="H146" i="8" s="1"/>
  <c r="I146" i="8" s="1"/>
  <c r="G145" i="8"/>
  <c r="F145" i="8"/>
  <c r="G144" i="8"/>
  <c r="F144" i="8"/>
  <c r="H144" i="8" s="1"/>
  <c r="G143" i="8"/>
  <c r="F143" i="8"/>
  <c r="H143" i="8" s="1"/>
  <c r="I143" i="8" s="1"/>
  <c r="G142" i="8"/>
  <c r="F142" i="8"/>
  <c r="G141" i="8"/>
  <c r="F141" i="8"/>
  <c r="H140" i="8"/>
  <c r="G140" i="8"/>
  <c r="F140" i="8"/>
  <c r="G139" i="8"/>
  <c r="F139" i="8"/>
  <c r="H139" i="8" s="1"/>
  <c r="I139" i="8" s="1"/>
  <c r="G138" i="8"/>
  <c r="F138" i="8"/>
  <c r="H138" i="8" s="1"/>
  <c r="I138" i="8" s="1"/>
  <c r="G137" i="8"/>
  <c r="F137" i="8"/>
  <c r="G136" i="8"/>
  <c r="F136" i="8"/>
  <c r="H136" i="8" s="1"/>
  <c r="G135" i="8"/>
  <c r="F135" i="8"/>
  <c r="H135" i="8" s="1"/>
  <c r="I135" i="8" s="1"/>
  <c r="G134" i="8"/>
  <c r="F134" i="8"/>
  <c r="G133" i="8"/>
  <c r="F133" i="8"/>
  <c r="G132" i="8"/>
  <c r="F132" i="8"/>
  <c r="H132" i="8" s="1"/>
  <c r="G131" i="8"/>
  <c r="F131" i="8"/>
  <c r="H131" i="8" s="1"/>
  <c r="I131" i="8" s="1"/>
  <c r="G130" i="8"/>
  <c r="F130" i="8"/>
  <c r="H130" i="8" s="1"/>
  <c r="I130" i="8" s="1"/>
  <c r="G129" i="8"/>
  <c r="F129" i="8"/>
  <c r="G128" i="8"/>
  <c r="F128" i="8"/>
  <c r="H128" i="8" s="1"/>
  <c r="G127" i="8"/>
  <c r="F127" i="8"/>
  <c r="H127" i="8" s="1"/>
  <c r="I127" i="8" s="1"/>
  <c r="G126" i="8"/>
  <c r="F126" i="8"/>
  <c r="G125" i="8"/>
  <c r="F125" i="8"/>
  <c r="G124" i="8"/>
  <c r="F124" i="8"/>
  <c r="H124" i="8" s="1"/>
  <c r="G123" i="8"/>
  <c r="F123" i="8"/>
  <c r="H123" i="8" s="1"/>
  <c r="I123" i="8" s="1"/>
  <c r="G122" i="8"/>
  <c r="F122" i="8"/>
  <c r="H122" i="8" s="1"/>
  <c r="I122" i="8" s="1"/>
  <c r="G121" i="8"/>
  <c r="F121" i="8"/>
  <c r="G120" i="8"/>
  <c r="F120" i="8"/>
  <c r="H120" i="8" s="1"/>
  <c r="G119" i="8"/>
  <c r="F119" i="8"/>
  <c r="H119" i="8" s="1"/>
  <c r="I119" i="8" s="1"/>
  <c r="G118" i="8"/>
  <c r="F118" i="8"/>
  <c r="G117" i="8"/>
  <c r="F117" i="8"/>
  <c r="G116" i="8"/>
  <c r="F116" i="8"/>
  <c r="H116" i="8" s="1"/>
  <c r="G115" i="8"/>
  <c r="F115" i="8"/>
  <c r="H115" i="8" s="1"/>
  <c r="I115" i="8" s="1"/>
  <c r="G114" i="8"/>
  <c r="F114" i="8"/>
  <c r="H114" i="8" s="1"/>
  <c r="I114" i="8" s="1"/>
  <c r="G113" i="8"/>
  <c r="F113" i="8"/>
  <c r="G112" i="8"/>
  <c r="F112" i="8"/>
  <c r="H112" i="8" s="1"/>
  <c r="G111" i="8"/>
  <c r="F111" i="8"/>
  <c r="H111" i="8" s="1"/>
  <c r="I111" i="8" s="1"/>
  <c r="G110" i="8"/>
  <c r="F110" i="8"/>
  <c r="G109" i="8"/>
  <c r="F109" i="8"/>
  <c r="G108" i="8"/>
  <c r="F108" i="8"/>
  <c r="H108" i="8" s="1"/>
  <c r="G107" i="8"/>
  <c r="F107" i="8"/>
  <c r="H107" i="8" s="1"/>
  <c r="I107" i="8" s="1"/>
  <c r="G106" i="8"/>
  <c r="F106" i="8"/>
  <c r="H106" i="8" s="1"/>
  <c r="I106" i="8" s="1"/>
  <c r="G105" i="8"/>
  <c r="F105" i="8"/>
  <c r="G104" i="8"/>
  <c r="F104" i="8"/>
  <c r="H104" i="8" s="1"/>
  <c r="G103" i="8"/>
  <c r="F103" i="8"/>
  <c r="H103" i="8" s="1"/>
  <c r="I103" i="8" s="1"/>
  <c r="G102" i="8"/>
  <c r="F102" i="8"/>
  <c r="G101" i="8"/>
  <c r="F101" i="8"/>
  <c r="G100" i="8"/>
  <c r="F100" i="8"/>
  <c r="H100" i="8" s="1"/>
  <c r="G99" i="8"/>
  <c r="F99" i="8"/>
  <c r="H99" i="8" s="1"/>
  <c r="I99" i="8" s="1"/>
  <c r="G98" i="8"/>
  <c r="F98" i="8"/>
  <c r="H98" i="8" s="1"/>
  <c r="I98" i="8" s="1"/>
  <c r="G97" i="8"/>
  <c r="F97" i="8"/>
  <c r="G96" i="8"/>
  <c r="F96" i="8"/>
  <c r="H96" i="8" s="1"/>
  <c r="G95" i="8"/>
  <c r="F95" i="8"/>
  <c r="H95" i="8" s="1"/>
  <c r="I95" i="8" s="1"/>
  <c r="G94" i="8"/>
  <c r="F94" i="8"/>
  <c r="G93" i="8"/>
  <c r="F93" i="8"/>
  <c r="G92" i="8"/>
  <c r="F92" i="8"/>
  <c r="H92" i="8" s="1"/>
  <c r="G91" i="8"/>
  <c r="F91" i="8"/>
  <c r="H91" i="8" s="1"/>
  <c r="I91" i="8" s="1"/>
  <c r="G90" i="8"/>
  <c r="F90" i="8"/>
  <c r="H90" i="8" s="1"/>
  <c r="I90" i="8" s="1"/>
  <c r="G89" i="8"/>
  <c r="F89" i="8"/>
  <c r="G88" i="8"/>
  <c r="F88" i="8"/>
  <c r="H88" i="8" s="1"/>
  <c r="G87" i="8"/>
  <c r="F87" i="8"/>
  <c r="H87" i="8" s="1"/>
  <c r="I87" i="8" s="1"/>
  <c r="G86" i="8"/>
  <c r="F86" i="8"/>
  <c r="G85" i="8"/>
  <c r="F85" i="8"/>
  <c r="G84" i="8"/>
  <c r="F84" i="8"/>
  <c r="H84" i="8" s="1"/>
  <c r="G83" i="8"/>
  <c r="F83" i="8"/>
  <c r="H83" i="8" s="1"/>
  <c r="I83" i="8" s="1"/>
  <c r="G82" i="8"/>
  <c r="F82" i="8"/>
  <c r="H82" i="8" s="1"/>
  <c r="I82" i="8" s="1"/>
  <c r="G81" i="8"/>
  <c r="F81" i="8"/>
  <c r="G80" i="8"/>
  <c r="F80" i="8"/>
  <c r="H80" i="8" s="1"/>
  <c r="G79" i="8"/>
  <c r="F79" i="8"/>
  <c r="H79" i="8" s="1"/>
  <c r="I79" i="8" s="1"/>
  <c r="G78" i="8"/>
  <c r="F78" i="8"/>
  <c r="G77" i="8"/>
  <c r="F77" i="8"/>
  <c r="G76" i="8"/>
  <c r="F76" i="8"/>
  <c r="H76" i="8" s="1"/>
  <c r="G75" i="8"/>
  <c r="F75" i="8"/>
  <c r="H75" i="8" s="1"/>
  <c r="I75" i="8" s="1"/>
  <c r="G74" i="8"/>
  <c r="F74" i="8"/>
  <c r="H74" i="8" s="1"/>
  <c r="I74" i="8" s="1"/>
  <c r="G73" i="8"/>
  <c r="F73" i="8"/>
  <c r="G72" i="8"/>
  <c r="F72" i="8"/>
  <c r="H72" i="8" s="1"/>
  <c r="G71" i="8"/>
  <c r="F71" i="8"/>
  <c r="H71" i="8" s="1"/>
  <c r="I71" i="8" s="1"/>
  <c r="G70" i="8"/>
  <c r="F70" i="8"/>
  <c r="G69" i="8"/>
  <c r="F69" i="8"/>
  <c r="G68" i="8"/>
  <c r="F68" i="8"/>
  <c r="H68" i="8" s="1"/>
  <c r="G67" i="8"/>
  <c r="F67" i="8"/>
  <c r="H67" i="8" s="1"/>
  <c r="I67" i="8" s="1"/>
  <c r="G66" i="8"/>
  <c r="F66" i="8"/>
  <c r="G65" i="8"/>
  <c r="F65" i="8"/>
  <c r="G64" i="8"/>
  <c r="F64" i="8"/>
  <c r="H64" i="8" s="1"/>
  <c r="G63" i="8"/>
  <c r="F63" i="8"/>
  <c r="H63" i="8" s="1"/>
  <c r="I63" i="8" s="1"/>
  <c r="G62" i="8"/>
  <c r="F62" i="8"/>
  <c r="G61" i="8"/>
  <c r="F61" i="8"/>
  <c r="G60" i="8"/>
  <c r="F60" i="8"/>
  <c r="G59" i="8"/>
  <c r="F59" i="8"/>
  <c r="H59" i="8" s="1"/>
  <c r="I59" i="8" s="1"/>
  <c r="G58" i="8"/>
  <c r="F58" i="8"/>
  <c r="G57" i="8"/>
  <c r="F57" i="8"/>
  <c r="G56" i="8"/>
  <c r="F56" i="8"/>
  <c r="G55" i="8"/>
  <c r="F55" i="8"/>
  <c r="H55" i="8" s="1"/>
  <c r="I55" i="8" s="1"/>
  <c r="G54" i="8"/>
  <c r="F54" i="8"/>
  <c r="H54" i="8" s="1"/>
  <c r="I54" i="8" s="1"/>
  <c r="G53" i="8"/>
  <c r="F53" i="8"/>
  <c r="G52" i="8"/>
  <c r="F52" i="8"/>
  <c r="H51" i="8"/>
  <c r="I51" i="8" s="1"/>
  <c r="G51" i="8"/>
  <c r="F51" i="8"/>
  <c r="G50" i="8"/>
  <c r="F50" i="8"/>
  <c r="H50" i="8" s="1"/>
  <c r="G49" i="8"/>
  <c r="F49" i="8"/>
  <c r="G48" i="8"/>
  <c r="F48" i="8"/>
  <c r="H48" i="8" s="1"/>
  <c r="G47" i="8"/>
  <c r="F47" i="8"/>
  <c r="H47" i="8" s="1"/>
  <c r="I47" i="8" s="1"/>
  <c r="G46" i="8"/>
  <c r="F46" i="8"/>
  <c r="H46" i="8" s="1"/>
  <c r="I46" i="8" s="1"/>
  <c r="G45" i="8"/>
  <c r="F45" i="8"/>
  <c r="G44" i="8"/>
  <c r="F44" i="8"/>
  <c r="H43" i="8"/>
  <c r="I43" i="8" s="1"/>
  <c r="G43" i="8"/>
  <c r="F43" i="8"/>
  <c r="H42" i="8"/>
  <c r="I42" i="8" s="1"/>
  <c r="G42" i="8"/>
  <c r="F42" i="8"/>
  <c r="G41" i="8"/>
  <c r="F41" i="8"/>
  <c r="G40" i="8"/>
  <c r="F40" i="8"/>
  <c r="G39" i="8"/>
  <c r="F39" i="8"/>
  <c r="H39" i="8" s="1"/>
  <c r="I39" i="8" s="1"/>
  <c r="G38" i="8"/>
  <c r="F38" i="8"/>
  <c r="G37" i="8"/>
  <c r="F37" i="8"/>
  <c r="G36" i="8"/>
  <c r="F36" i="8"/>
  <c r="H36" i="8" s="1"/>
  <c r="G35" i="8"/>
  <c r="F35" i="8"/>
  <c r="H35" i="8" s="1"/>
  <c r="I35" i="8" s="1"/>
  <c r="G34" i="8"/>
  <c r="F34" i="8"/>
  <c r="G33" i="8"/>
  <c r="F33" i="8"/>
  <c r="G32" i="8"/>
  <c r="F32" i="8"/>
  <c r="H32" i="8" s="1"/>
  <c r="H31" i="8"/>
  <c r="I31" i="8" s="1"/>
  <c r="G31" i="8"/>
  <c r="F31" i="8"/>
  <c r="G30" i="8"/>
  <c r="F30" i="8"/>
  <c r="G29" i="8"/>
  <c r="F29" i="8"/>
  <c r="G28" i="8"/>
  <c r="F28" i="8"/>
  <c r="H28" i="8" s="1"/>
  <c r="G27" i="8"/>
  <c r="F27" i="8"/>
  <c r="H27" i="8" s="1"/>
  <c r="I27" i="8" s="1"/>
  <c r="G26" i="8"/>
  <c r="F26" i="8"/>
  <c r="H26" i="8" s="1"/>
  <c r="I26" i="8" s="1"/>
  <c r="G25" i="8"/>
  <c r="F25" i="8"/>
  <c r="G24" i="8"/>
  <c r="F24" i="8"/>
  <c r="H24" i="8" s="1"/>
  <c r="I24" i="8" s="1"/>
  <c r="G23" i="8"/>
  <c r="F23" i="8"/>
  <c r="H23" i="8" s="1"/>
  <c r="I23" i="8" s="1"/>
  <c r="G22" i="8"/>
  <c r="F22" i="8"/>
  <c r="H22" i="8" s="1"/>
  <c r="G21" i="8"/>
  <c r="F21" i="8"/>
  <c r="H21" i="8" s="1"/>
  <c r="I21" i="8" s="1"/>
  <c r="G20" i="8"/>
  <c r="F20" i="8"/>
  <c r="G19" i="8"/>
  <c r="F19" i="8"/>
  <c r="G18" i="8"/>
  <c r="F18" i="8"/>
  <c r="H18" i="8" s="1"/>
  <c r="I18" i="8" s="1"/>
  <c r="G17" i="8"/>
  <c r="F17" i="8"/>
  <c r="G16" i="8"/>
  <c r="F16" i="8"/>
  <c r="H16" i="8" s="1"/>
  <c r="I16" i="8" s="1"/>
  <c r="G15" i="8"/>
  <c r="F15" i="8"/>
  <c r="G14" i="8"/>
  <c r="F14" i="8"/>
  <c r="G13" i="8"/>
  <c r="F13" i="8"/>
  <c r="H13" i="8" s="1"/>
  <c r="I13" i="8" s="1"/>
  <c r="G12" i="8"/>
  <c r="F12" i="8"/>
  <c r="G11" i="8"/>
  <c r="F11" i="8"/>
  <c r="H11" i="8" s="1"/>
  <c r="I11" i="8" s="1"/>
  <c r="G10" i="8"/>
  <c r="F10" i="8"/>
  <c r="H10" i="8" s="1"/>
  <c r="I10" i="8" s="1"/>
  <c r="G9" i="8"/>
  <c r="F9" i="8"/>
  <c r="G8" i="8"/>
  <c r="F8" i="8"/>
  <c r="G7" i="8"/>
  <c r="F7" i="8"/>
  <c r="H7" i="8" s="1"/>
  <c r="I7" i="8" s="1"/>
  <c r="G6" i="8"/>
  <c r="F6" i="8"/>
  <c r="G5" i="8"/>
  <c r="F5" i="8"/>
  <c r="H5" i="8" s="1"/>
  <c r="I5" i="8" s="1"/>
  <c r="G4" i="8"/>
  <c r="F4" i="8"/>
  <c r="G3" i="8"/>
  <c r="F3" i="8"/>
  <c r="H3" i="8" s="1"/>
  <c r="I3" i="8" s="1"/>
  <c r="G2" i="8"/>
  <c r="F2" i="8"/>
  <c r="H2" i="8" s="1"/>
  <c r="I2" i="8" s="1"/>
  <c r="G1501" i="7"/>
  <c r="F1501" i="7"/>
  <c r="J1500" i="7"/>
  <c r="I1500" i="7"/>
  <c r="H1500" i="7"/>
  <c r="G1500" i="7"/>
  <c r="F1500" i="7"/>
  <c r="J1499" i="7"/>
  <c r="H1499" i="7"/>
  <c r="G1499" i="7"/>
  <c r="F1499" i="7"/>
  <c r="I1499" i="7" s="1"/>
  <c r="G1498" i="7"/>
  <c r="F1498" i="7"/>
  <c r="J1497" i="7"/>
  <c r="I1497" i="7"/>
  <c r="G1497" i="7"/>
  <c r="F1497" i="7"/>
  <c r="H1497" i="7" s="1"/>
  <c r="G1496" i="7"/>
  <c r="F1496" i="7"/>
  <c r="J1495" i="7"/>
  <c r="I1495" i="7"/>
  <c r="H1495" i="7"/>
  <c r="G1495" i="7"/>
  <c r="F1495" i="7"/>
  <c r="J1494" i="7"/>
  <c r="I1494" i="7"/>
  <c r="H1494" i="7"/>
  <c r="G1494" i="7"/>
  <c r="F1494" i="7"/>
  <c r="G1493" i="7"/>
  <c r="F1493" i="7"/>
  <c r="I1492" i="7"/>
  <c r="H1492" i="7"/>
  <c r="G1492" i="7"/>
  <c r="F1492" i="7"/>
  <c r="J1492" i="7" s="1"/>
  <c r="J1491" i="7"/>
  <c r="G1491" i="7"/>
  <c r="F1491" i="7"/>
  <c r="H1491" i="7" s="1"/>
  <c r="J1490" i="7"/>
  <c r="H1490" i="7"/>
  <c r="G1490" i="7"/>
  <c r="F1490" i="7"/>
  <c r="I1490" i="7" s="1"/>
  <c r="J1489" i="7"/>
  <c r="G1489" i="7"/>
  <c r="F1489" i="7"/>
  <c r="H1489" i="7" s="1"/>
  <c r="J1488" i="7"/>
  <c r="G1488" i="7"/>
  <c r="F1488" i="7"/>
  <c r="I1487" i="7"/>
  <c r="G1487" i="7"/>
  <c r="F1487" i="7"/>
  <c r="J1487" i="7" s="1"/>
  <c r="J1486" i="7"/>
  <c r="I1486" i="7"/>
  <c r="G1486" i="7"/>
  <c r="F1486" i="7"/>
  <c r="H1486" i="7" s="1"/>
  <c r="G1485" i="7"/>
  <c r="F1485" i="7"/>
  <c r="J1484" i="7"/>
  <c r="I1484" i="7"/>
  <c r="H1484" i="7"/>
  <c r="G1484" i="7"/>
  <c r="F1484" i="7"/>
  <c r="J1483" i="7"/>
  <c r="G1483" i="7"/>
  <c r="F1483" i="7"/>
  <c r="I1483" i="7" s="1"/>
  <c r="H1482" i="7"/>
  <c r="G1482" i="7"/>
  <c r="F1482" i="7"/>
  <c r="J1481" i="7"/>
  <c r="I1481" i="7"/>
  <c r="G1481" i="7"/>
  <c r="F1481" i="7"/>
  <c r="H1481" i="7" s="1"/>
  <c r="I1480" i="7"/>
  <c r="G1480" i="7"/>
  <c r="F1480" i="7"/>
  <c r="J1479" i="7"/>
  <c r="I1479" i="7"/>
  <c r="H1479" i="7"/>
  <c r="G1479" i="7"/>
  <c r="F1479" i="7"/>
  <c r="J1478" i="7"/>
  <c r="I1478" i="7"/>
  <c r="H1478" i="7"/>
  <c r="G1478" i="7"/>
  <c r="F1478" i="7"/>
  <c r="G1477" i="7"/>
  <c r="F1477" i="7"/>
  <c r="I1476" i="7"/>
  <c r="H1476" i="7"/>
  <c r="G1476" i="7"/>
  <c r="F1476" i="7"/>
  <c r="J1476" i="7" s="1"/>
  <c r="G1475" i="7"/>
  <c r="F1475" i="7"/>
  <c r="J1474" i="7"/>
  <c r="H1474" i="7"/>
  <c r="G1474" i="7"/>
  <c r="F1474" i="7"/>
  <c r="I1474" i="7" s="1"/>
  <c r="G1473" i="7"/>
  <c r="F1473" i="7"/>
  <c r="J1472" i="7"/>
  <c r="G1472" i="7"/>
  <c r="F1472" i="7"/>
  <c r="G1471" i="7"/>
  <c r="F1471" i="7"/>
  <c r="J1470" i="7"/>
  <c r="I1470" i="7"/>
  <c r="G1470" i="7"/>
  <c r="F1470" i="7"/>
  <c r="H1470" i="7" s="1"/>
  <c r="G1469" i="7"/>
  <c r="F1469" i="7"/>
  <c r="J1468" i="7"/>
  <c r="I1468" i="7"/>
  <c r="H1468" i="7"/>
  <c r="G1468" i="7"/>
  <c r="F1468" i="7"/>
  <c r="G1467" i="7"/>
  <c r="F1467" i="7"/>
  <c r="H1466" i="7"/>
  <c r="G1466" i="7"/>
  <c r="F1466" i="7"/>
  <c r="J1465" i="7"/>
  <c r="I1465" i="7"/>
  <c r="G1465" i="7"/>
  <c r="F1465" i="7"/>
  <c r="H1465" i="7" s="1"/>
  <c r="I1464" i="7"/>
  <c r="G1464" i="7"/>
  <c r="F1464" i="7"/>
  <c r="J1463" i="7"/>
  <c r="I1463" i="7"/>
  <c r="H1463" i="7"/>
  <c r="G1463" i="7"/>
  <c r="F1463" i="7"/>
  <c r="J1462" i="7"/>
  <c r="I1462" i="7"/>
  <c r="H1462" i="7"/>
  <c r="G1462" i="7"/>
  <c r="F1462" i="7"/>
  <c r="J1461" i="7"/>
  <c r="G1461" i="7"/>
  <c r="F1461" i="7"/>
  <c r="I1460" i="7"/>
  <c r="G1460" i="7"/>
  <c r="F1460" i="7"/>
  <c r="J1460" i="7" s="1"/>
  <c r="J1459" i="7"/>
  <c r="I1459" i="7"/>
  <c r="G1459" i="7"/>
  <c r="F1459" i="7"/>
  <c r="H1459" i="7" s="1"/>
  <c r="J1458" i="7"/>
  <c r="G1458" i="7"/>
  <c r="F1458" i="7"/>
  <c r="I1458" i="7" s="1"/>
  <c r="J1457" i="7"/>
  <c r="I1457" i="7"/>
  <c r="G1457" i="7"/>
  <c r="F1457" i="7"/>
  <c r="H1457" i="7" s="1"/>
  <c r="G1456" i="7"/>
  <c r="F1456" i="7"/>
  <c r="I1455" i="7"/>
  <c r="H1455" i="7"/>
  <c r="G1455" i="7"/>
  <c r="F1455" i="7"/>
  <c r="J1455" i="7" s="1"/>
  <c r="J1454" i="7"/>
  <c r="I1454" i="7"/>
  <c r="G1454" i="7"/>
  <c r="F1454" i="7"/>
  <c r="H1454" i="7" s="1"/>
  <c r="G1453" i="7"/>
  <c r="F1453" i="7"/>
  <c r="J1452" i="7"/>
  <c r="I1452" i="7"/>
  <c r="H1452" i="7"/>
  <c r="G1452" i="7"/>
  <c r="F1452" i="7"/>
  <c r="J1451" i="7"/>
  <c r="H1451" i="7"/>
  <c r="G1451" i="7"/>
  <c r="F1451" i="7"/>
  <c r="I1451" i="7" s="1"/>
  <c r="G1450" i="7"/>
  <c r="F1450" i="7"/>
  <c r="J1449" i="7"/>
  <c r="I1449" i="7"/>
  <c r="G1449" i="7"/>
  <c r="F1449" i="7"/>
  <c r="H1449" i="7" s="1"/>
  <c r="G1448" i="7"/>
  <c r="F1448" i="7"/>
  <c r="J1447" i="7"/>
  <c r="I1447" i="7"/>
  <c r="H1447" i="7"/>
  <c r="G1447" i="7"/>
  <c r="F1447" i="7"/>
  <c r="J1446" i="7"/>
  <c r="I1446" i="7"/>
  <c r="H1446" i="7"/>
  <c r="G1446" i="7"/>
  <c r="F1446" i="7"/>
  <c r="J1445" i="7"/>
  <c r="H1445" i="7"/>
  <c r="G1445" i="7"/>
  <c r="F1445" i="7"/>
  <c r="I1445" i="7" s="1"/>
  <c r="J1444" i="7"/>
  <c r="I1444" i="7"/>
  <c r="G1444" i="7"/>
  <c r="F1444" i="7"/>
  <c r="H1444" i="7" s="1"/>
  <c r="H1443" i="7"/>
  <c r="G1443" i="7"/>
  <c r="F1443" i="7"/>
  <c r="J1442" i="7"/>
  <c r="I1442" i="7"/>
  <c r="H1442" i="7"/>
  <c r="G1442" i="7"/>
  <c r="F1442" i="7"/>
  <c r="J1441" i="7"/>
  <c r="G1441" i="7"/>
  <c r="F1441" i="7"/>
  <c r="I1441" i="7" s="1"/>
  <c r="J1440" i="7"/>
  <c r="I1440" i="7"/>
  <c r="G1440" i="7"/>
  <c r="F1440" i="7"/>
  <c r="H1440" i="7" s="1"/>
  <c r="H1439" i="7"/>
  <c r="G1439" i="7"/>
  <c r="F1439" i="7"/>
  <c r="J1438" i="7"/>
  <c r="I1438" i="7"/>
  <c r="H1438" i="7"/>
  <c r="G1438" i="7"/>
  <c r="F1438" i="7"/>
  <c r="G1437" i="7"/>
  <c r="F1437" i="7"/>
  <c r="J1436" i="7"/>
  <c r="I1436" i="7"/>
  <c r="G1436" i="7"/>
  <c r="F1436" i="7"/>
  <c r="H1436" i="7" s="1"/>
  <c r="G1435" i="7"/>
  <c r="F1435" i="7"/>
  <c r="J1434" i="7"/>
  <c r="I1434" i="7"/>
  <c r="H1434" i="7"/>
  <c r="G1434" i="7"/>
  <c r="F1434" i="7"/>
  <c r="J1433" i="7"/>
  <c r="H1433" i="7"/>
  <c r="G1433" i="7"/>
  <c r="F1433" i="7"/>
  <c r="I1433" i="7" s="1"/>
  <c r="J1432" i="7"/>
  <c r="I1432" i="7"/>
  <c r="G1432" i="7"/>
  <c r="F1432" i="7"/>
  <c r="H1432" i="7" s="1"/>
  <c r="G1431" i="7"/>
  <c r="F1431" i="7"/>
  <c r="J1430" i="7"/>
  <c r="I1430" i="7"/>
  <c r="H1430" i="7"/>
  <c r="G1430" i="7"/>
  <c r="F1430" i="7"/>
  <c r="J1429" i="7"/>
  <c r="I1429" i="7"/>
  <c r="H1429" i="7"/>
  <c r="G1429" i="7"/>
  <c r="F1429" i="7"/>
  <c r="G1428" i="7"/>
  <c r="F1428" i="7"/>
  <c r="G1427" i="7"/>
  <c r="F1427" i="7"/>
  <c r="J1426" i="7"/>
  <c r="I1426" i="7"/>
  <c r="H1426" i="7"/>
  <c r="G1426" i="7"/>
  <c r="F1426" i="7"/>
  <c r="J1425" i="7"/>
  <c r="G1425" i="7"/>
  <c r="F1425" i="7"/>
  <c r="J1424" i="7"/>
  <c r="G1424" i="7"/>
  <c r="F1424" i="7"/>
  <c r="H1424" i="7" s="1"/>
  <c r="G1423" i="7"/>
  <c r="F1423" i="7"/>
  <c r="J1422" i="7"/>
  <c r="I1422" i="7"/>
  <c r="H1422" i="7"/>
  <c r="G1422" i="7"/>
  <c r="F1422" i="7"/>
  <c r="J1421" i="7"/>
  <c r="H1421" i="7"/>
  <c r="G1421" i="7"/>
  <c r="F1421" i="7"/>
  <c r="I1421" i="7" s="1"/>
  <c r="J1420" i="7"/>
  <c r="G1420" i="7"/>
  <c r="F1420" i="7"/>
  <c r="H1420" i="7" s="1"/>
  <c r="G1419" i="7"/>
  <c r="F1419" i="7"/>
  <c r="J1418" i="7"/>
  <c r="I1418" i="7"/>
  <c r="H1418" i="7"/>
  <c r="G1418" i="7"/>
  <c r="F1418" i="7"/>
  <c r="H1417" i="7"/>
  <c r="G1417" i="7"/>
  <c r="F1417" i="7"/>
  <c r="J1417" i="7" s="1"/>
  <c r="J1416" i="7"/>
  <c r="G1416" i="7"/>
  <c r="F1416" i="7"/>
  <c r="H1416" i="7" s="1"/>
  <c r="G1415" i="7"/>
  <c r="F1415" i="7"/>
  <c r="J1414" i="7"/>
  <c r="I1414" i="7"/>
  <c r="H1414" i="7"/>
  <c r="G1414" i="7"/>
  <c r="F1414" i="7"/>
  <c r="H1413" i="7"/>
  <c r="G1413" i="7"/>
  <c r="F1413" i="7"/>
  <c r="J1413" i="7" s="1"/>
  <c r="J1412" i="7"/>
  <c r="G1412" i="7"/>
  <c r="F1412" i="7"/>
  <c r="H1412" i="7" s="1"/>
  <c r="G1411" i="7"/>
  <c r="F1411" i="7"/>
  <c r="J1410" i="7"/>
  <c r="I1410" i="7"/>
  <c r="H1410" i="7"/>
  <c r="G1410" i="7"/>
  <c r="F1410" i="7"/>
  <c r="G1409" i="7"/>
  <c r="F1409" i="7"/>
  <c r="J1408" i="7"/>
  <c r="I1408" i="7"/>
  <c r="G1408" i="7"/>
  <c r="F1408" i="7"/>
  <c r="H1408" i="7" s="1"/>
  <c r="G1407" i="7"/>
  <c r="F1407" i="7"/>
  <c r="J1406" i="7"/>
  <c r="I1406" i="7"/>
  <c r="H1406" i="7"/>
  <c r="G1406" i="7"/>
  <c r="F1406" i="7"/>
  <c r="G1405" i="7"/>
  <c r="F1405" i="7"/>
  <c r="J1404" i="7"/>
  <c r="I1404" i="7"/>
  <c r="G1404" i="7"/>
  <c r="F1404" i="7"/>
  <c r="H1404" i="7" s="1"/>
  <c r="H1403" i="7"/>
  <c r="G1403" i="7"/>
  <c r="F1403" i="7"/>
  <c r="H1402" i="7"/>
  <c r="G1402" i="7"/>
  <c r="F1402" i="7"/>
  <c r="J1402" i="7" s="1"/>
  <c r="I1401" i="7"/>
  <c r="G1401" i="7"/>
  <c r="F1401" i="7"/>
  <c r="J1401" i="7" s="1"/>
  <c r="G1400" i="7"/>
  <c r="F1400" i="7"/>
  <c r="I1399" i="7"/>
  <c r="G1399" i="7"/>
  <c r="F1399" i="7"/>
  <c r="J1399" i="7" s="1"/>
  <c r="J1398" i="7"/>
  <c r="H1398" i="7"/>
  <c r="G1398" i="7"/>
  <c r="F1398" i="7"/>
  <c r="I1398" i="7" s="1"/>
  <c r="G1397" i="7"/>
  <c r="F1397" i="7"/>
  <c r="G1396" i="7"/>
  <c r="F1396" i="7"/>
  <c r="I1395" i="7"/>
  <c r="G1395" i="7"/>
  <c r="F1395" i="7"/>
  <c r="J1395" i="7" s="1"/>
  <c r="J1394" i="7"/>
  <c r="G1394" i="7"/>
  <c r="F1394" i="7"/>
  <c r="G1393" i="7"/>
  <c r="F1393" i="7"/>
  <c r="G1392" i="7"/>
  <c r="F1392" i="7"/>
  <c r="H1392" i="7" s="1"/>
  <c r="I1391" i="7"/>
  <c r="H1391" i="7"/>
  <c r="G1391" i="7"/>
  <c r="F1391" i="7"/>
  <c r="J1391" i="7" s="1"/>
  <c r="J1390" i="7"/>
  <c r="I1390" i="7"/>
  <c r="H1390" i="7"/>
  <c r="G1390" i="7"/>
  <c r="F1390" i="7"/>
  <c r="I1389" i="7"/>
  <c r="H1389" i="7"/>
  <c r="G1389" i="7"/>
  <c r="F1389" i="7"/>
  <c r="J1389" i="7" s="1"/>
  <c r="G1388" i="7"/>
  <c r="F1388" i="7"/>
  <c r="I1387" i="7"/>
  <c r="G1387" i="7"/>
  <c r="F1387" i="7"/>
  <c r="J1387" i="7" s="1"/>
  <c r="J1386" i="7"/>
  <c r="I1386" i="7"/>
  <c r="H1386" i="7"/>
  <c r="G1386" i="7"/>
  <c r="F1386" i="7"/>
  <c r="G1385" i="7"/>
  <c r="F1385" i="7"/>
  <c r="I1384" i="7"/>
  <c r="G1384" i="7"/>
  <c r="F1384" i="7"/>
  <c r="H1384" i="7" s="1"/>
  <c r="G1383" i="7"/>
  <c r="F1383" i="7"/>
  <c r="I1382" i="7"/>
  <c r="G1382" i="7"/>
  <c r="F1382" i="7"/>
  <c r="J1382" i="7" s="1"/>
  <c r="J1381" i="7"/>
  <c r="H1381" i="7"/>
  <c r="G1381" i="7"/>
  <c r="F1381" i="7"/>
  <c r="I1381" i="7" s="1"/>
  <c r="I1380" i="7"/>
  <c r="G1380" i="7"/>
  <c r="F1380" i="7"/>
  <c r="G1379" i="7"/>
  <c r="F1379" i="7"/>
  <c r="J1378" i="7"/>
  <c r="I1378" i="7"/>
  <c r="G1378" i="7"/>
  <c r="F1378" i="7"/>
  <c r="H1378" i="7" s="1"/>
  <c r="G1377" i="7"/>
  <c r="F1377" i="7"/>
  <c r="I1377" i="7" s="1"/>
  <c r="J1376" i="7"/>
  <c r="I1376" i="7"/>
  <c r="G1376" i="7"/>
  <c r="F1376" i="7"/>
  <c r="H1376" i="7" s="1"/>
  <c r="G1375" i="7"/>
  <c r="F1375" i="7"/>
  <c r="J1375" i="7" s="1"/>
  <c r="I1374" i="7"/>
  <c r="G1374" i="7"/>
  <c r="F1374" i="7"/>
  <c r="J1374" i="7" s="1"/>
  <c r="J1373" i="7"/>
  <c r="I1373" i="7"/>
  <c r="H1373" i="7"/>
  <c r="G1373" i="7"/>
  <c r="F1373" i="7"/>
  <c r="J1372" i="7"/>
  <c r="I1372" i="7"/>
  <c r="G1372" i="7"/>
  <c r="F1372" i="7"/>
  <c r="H1372" i="7" s="1"/>
  <c r="G1371" i="7"/>
  <c r="F1371" i="7"/>
  <c r="I1370" i="7"/>
  <c r="G1370" i="7"/>
  <c r="F1370" i="7"/>
  <c r="J1370" i="7" s="1"/>
  <c r="J1369" i="7"/>
  <c r="I1369" i="7"/>
  <c r="H1369" i="7"/>
  <c r="G1369" i="7"/>
  <c r="F1369" i="7"/>
  <c r="J1368" i="7"/>
  <c r="G1368" i="7"/>
  <c r="F1368" i="7"/>
  <c r="H1368" i="7" s="1"/>
  <c r="H1367" i="7"/>
  <c r="G1367" i="7"/>
  <c r="F1367" i="7"/>
  <c r="J1367" i="7" s="1"/>
  <c r="G1366" i="7"/>
  <c r="F1366" i="7"/>
  <c r="I1365" i="7"/>
  <c r="G1365" i="7"/>
  <c r="F1365" i="7"/>
  <c r="J1365" i="7" s="1"/>
  <c r="J1364" i="7"/>
  <c r="G1364" i="7"/>
  <c r="F1364" i="7"/>
  <c r="H1364" i="7" s="1"/>
  <c r="H1363" i="7"/>
  <c r="G1363" i="7"/>
  <c r="F1363" i="7"/>
  <c r="G1362" i="7"/>
  <c r="F1362" i="7"/>
  <c r="J1361" i="7"/>
  <c r="I1361" i="7"/>
  <c r="G1361" i="7"/>
  <c r="F1361" i="7"/>
  <c r="H1361" i="7" s="1"/>
  <c r="J1360" i="7"/>
  <c r="I1360" i="7"/>
  <c r="G1360" i="7"/>
  <c r="F1360" i="7"/>
  <c r="H1360" i="7" s="1"/>
  <c r="I1359" i="7"/>
  <c r="H1359" i="7"/>
  <c r="G1359" i="7"/>
  <c r="F1359" i="7"/>
  <c r="J1359" i="7" s="1"/>
  <c r="J1358" i="7"/>
  <c r="I1358" i="7"/>
  <c r="G1358" i="7"/>
  <c r="F1358" i="7"/>
  <c r="H1358" i="7" s="1"/>
  <c r="G1357" i="7"/>
  <c r="F1357" i="7"/>
  <c r="I1356" i="7"/>
  <c r="G1356" i="7"/>
  <c r="F1356" i="7"/>
  <c r="J1356" i="7" s="1"/>
  <c r="H1355" i="7"/>
  <c r="G1355" i="7"/>
  <c r="F1355" i="7"/>
  <c r="J1355" i="7" s="1"/>
  <c r="J1354" i="7"/>
  <c r="I1354" i="7"/>
  <c r="H1354" i="7"/>
  <c r="G1354" i="7"/>
  <c r="F1354" i="7"/>
  <c r="I1353" i="7"/>
  <c r="G1353" i="7"/>
  <c r="F1353" i="7"/>
  <c r="J1353" i="7" s="1"/>
  <c r="J1352" i="7"/>
  <c r="I1352" i="7"/>
  <c r="H1352" i="7"/>
  <c r="G1352" i="7"/>
  <c r="F1352" i="7"/>
  <c r="G1351" i="7"/>
  <c r="F1351" i="7"/>
  <c r="J1351" i="7" s="1"/>
  <c r="J1350" i="7"/>
  <c r="H1350" i="7"/>
  <c r="G1350" i="7"/>
  <c r="F1350" i="7"/>
  <c r="I1350" i="7" s="1"/>
  <c r="I1349" i="7"/>
  <c r="G1349" i="7"/>
  <c r="F1349" i="7"/>
  <c r="J1349" i="7" s="1"/>
  <c r="J1348" i="7"/>
  <c r="H1348" i="7"/>
  <c r="G1348" i="7"/>
  <c r="F1348" i="7"/>
  <c r="I1348" i="7" s="1"/>
  <c r="G1347" i="7"/>
  <c r="F1347" i="7"/>
  <c r="G1346" i="7"/>
  <c r="F1346" i="7"/>
  <c r="I1346" i="7" s="1"/>
  <c r="J1345" i="7"/>
  <c r="I1345" i="7"/>
  <c r="H1345" i="7"/>
  <c r="G1345" i="7"/>
  <c r="F1345" i="7"/>
  <c r="I1344" i="7"/>
  <c r="G1344" i="7"/>
  <c r="F1344" i="7"/>
  <c r="H1344" i="7" s="1"/>
  <c r="I1343" i="7"/>
  <c r="G1343" i="7"/>
  <c r="F1343" i="7"/>
  <c r="G1342" i="7"/>
  <c r="F1342" i="7"/>
  <c r="I1342" i="7" s="1"/>
  <c r="J1341" i="7"/>
  <c r="I1341" i="7"/>
  <c r="H1341" i="7"/>
  <c r="G1341" i="7"/>
  <c r="F1341" i="7"/>
  <c r="I1340" i="7"/>
  <c r="G1340" i="7"/>
  <c r="F1340" i="7"/>
  <c r="H1340" i="7" s="1"/>
  <c r="I1339" i="7"/>
  <c r="G1339" i="7"/>
  <c r="F1339" i="7"/>
  <c r="G1338" i="7"/>
  <c r="F1338" i="7"/>
  <c r="I1338" i="7" s="1"/>
  <c r="J1337" i="7"/>
  <c r="I1337" i="7"/>
  <c r="H1337" i="7"/>
  <c r="G1337" i="7"/>
  <c r="F1337" i="7"/>
  <c r="I1336" i="7"/>
  <c r="G1336" i="7"/>
  <c r="F1336" i="7"/>
  <c r="H1336" i="7" s="1"/>
  <c r="I1335" i="7"/>
  <c r="G1335" i="7"/>
  <c r="F1335" i="7"/>
  <c r="G1334" i="7"/>
  <c r="F1334" i="7"/>
  <c r="I1334" i="7" s="1"/>
  <c r="J1333" i="7"/>
  <c r="I1333" i="7"/>
  <c r="H1333" i="7"/>
  <c r="G1333" i="7"/>
  <c r="F1333" i="7"/>
  <c r="I1332" i="7"/>
  <c r="G1332" i="7"/>
  <c r="F1332" i="7"/>
  <c r="H1332" i="7" s="1"/>
  <c r="G1331" i="7"/>
  <c r="F1331" i="7"/>
  <c r="J1330" i="7"/>
  <c r="H1330" i="7"/>
  <c r="G1330" i="7"/>
  <c r="F1330" i="7"/>
  <c r="I1330" i="7" s="1"/>
  <c r="J1329" i="7"/>
  <c r="I1329" i="7"/>
  <c r="H1329" i="7"/>
  <c r="G1329" i="7"/>
  <c r="F1329" i="7"/>
  <c r="J1328" i="7"/>
  <c r="I1328" i="7"/>
  <c r="G1328" i="7"/>
  <c r="F1328" i="7"/>
  <c r="H1328" i="7" s="1"/>
  <c r="I1327" i="7"/>
  <c r="H1327" i="7"/>
  <c r="G1327" i="7"/>
  <c r="F1327" i="7"/>
  <c r="J1327" i="7" s="1"/>
  <c r="H1326" i="7"/>
  <c r="G1326" i="7"/>
  <c r="F1326" i="7"/>
  <c r="I1326" i="7" s="1"/>
  <c r="J1325" i="7"/>
  <c r="I1325" i="7"/>
  <c r="H1325" i="7"/>
  <c r="G1325" i="7"/>
  <c r="F1325" i="7"/>
  <c r="I1324" i="7"/>
  <c r="G1324" i="7"/>
  <c r="F1324" i="7"/>
  <c r="H1324" i="7" s="1"/>
  <c r="H1323" i="7"/>
  <c r="G1323" i="7"/>
  <c r="F1323" i="7"/>
  <c r="J1323" i="7" s="1"/>
  <c r="J1322" i="7"/>
  <c r="H1322" i="7"/>
  <c r="G1322" i="7"/>
  <c r="F1322" i="7"/>
  <c r="I1322" i="7" s="1"/>
  <c r="J1321" i="7"/>
  <c r="I1321" i="7"/>
  <c r="H1321" i="7"/>
  <c r="G1321" i="7"/>
  <c r="F1321" i="7"/>
  <c r="G1320" i="7"/>
  <c r="F1320" i="7"/>
  <c r="H1320" i="7" s="1"/>
  <c r="J1319" i="7"/>
  <c r="I1319" i="7"/>
  <c r="H1319" i="7"/>
  <c r="G1319" i="7"/>
  <c r="F1319" i="7"/>
  <c r="G1318" i="7"/>
  <c r="F1318" i="7"/>
  <c r="I1318" i="7" s="1"/>
  <c r="J1317" i="7"/>
  <c r="I1317" i="7"/>
  <c r="H1317" i="7"/>
  <c r="G1317" i="7"/>
  <c r="F1317" i="7"/>
  <c r="G1316" i="7"/>
  <c r="F1316" i="7"/>
  <c r="G1315" i="7"/>
  <c r="F1315" i="7"/>
  <c r="J1315" i="7" s="1"/>
  <c r="J1314" i="7"/>
  <c r="H1314" i="7"/>
  <c r="G1314" i="7"/>
  <c r="F1314" i="7"/>
  <c r="I1314" i="7" s="1"/>
  <c r="J1313" i="7"/>
  <c r="I1313" i="7"/>
  <c r="H1313" i="7"/>
  <c r="G1313" i="7"/>
  <c r="F1313" i="7"/>
  <c r="J1312" i="7"/>
  <c r="I1312" i="7"/>
  <c r="G1312" i="7"/>
  <c r="F1312" i="7"/>
  <c r="H1312" i="7" s="1"/>
  <c r="J1311" i="7"/>
  <c r="I1311" i="7"/>
  <c r="H1311" i="7"/>
  <c r="G1311" i="7"/>
  <c r="F1311" i="7"/>
  <c r="H1310" i="7"/>
  <c r="G1310" i="7"/>
  <c r="F1310" i="7"/>
  <c r="I1310" i="7" s="1"/>
  <c r="J1309" i="7"/>
  <c r="I1309" i="7"/>
  <c r="H1309" i="7"/>
  <c r="G1309" i="7"/>
  <c r="F1309" i="7"/>
  <c r="J1308" i="7"/>
  <c r="I1308" i="7"/>
  <c r="G1308" i="7"/>
  <c r="F1308" i="7"/>
  <c r="H1308" i="7" s="1"/>
  <c r="H1307" i="7"/>
  <c r="G1307" i="7"/>
  <c r="F1307" i="7"/>
  <c r="J1307" i="7" s="1"/>
  <c r="G1306" i="7"/>
  <c r="F1306" i="7"/>
  <c r="I1306" i="7" s="1"/>
  <c r="J1305" i="7"/>
  <c r="I1305" i="7"/>
  <c r="H1305" i="7"/>
  <c r="G1305" i="7"/>
  <c r="F1305" i="7"/>
  <c r="G1304" i="7"/>
  <c r="F1304" i="7"/>
  <c r="H1304" i="7" s="1"/>
  <c r="G1303" i="7"/>
  <c r="F1303" i="7"/>
  <c r="J1303" i="7" s="1"/>
  <c r="G1302" i="7"/>
  <c r="F1302" i="7"/>
  <c r="J1301" i="7"/>
  <c r="I1301" i="7"/>
  <c r="H1301" i="7"/>
  <c r="G1301" i="7"/>
  <c r="F1301" i="7"/>
  <c r="G1300" i="7"/>
  <c r="F1300" i="7"/>
  <c r="H1300" i="7" s="1"/>
  <c r="G1299" i="7"/>
  <c r="F1299" i="7"/>
  <c r="J1298" i="7"/>
  <c r="H1298" i="7"/>
  <c r="G1298" i="7"/>
  <c r="F1298" i="7"/>
  <c r="I1298" i="7" s="1"/>
  <c r="J1297" i="7"/>
  <c r="I1297" i="7"/>
  <c r="H1297" i="7"/>
  <c r="G1297" i="7"/>
  <c r="F1297" i="7"/>
  <c r="J1296" i="7"/>
  <c r="I1296" i="7"/>
  <c r="G1296" i="7"/>
  <c r="F1296" i="7"/>
  <c r="H1296" i="7" s="1"/>
  <c r="J1295" i="7"/>
  <c r="I1295" i="7"/>
  <c r="H1295" i="7"/>
  <c r="G1295" i="7"/>
  <c r="F1295" i="7"/>
  <c r="J1294" i="7"/>
  <c r="H1294" i="7"/>
  <c r="G1294" i="7"/>
  <c r="F1294" i="7"/>
  <c r="I1294" i="7" s="1"/>
  <c r="J1293" i="7"/>
  <c r="I1293" i="7"/>
  <c r="H1293" i="7"/>
  <c r="G1293" i="7"/>
  <c r="F1293" i="7"/>
  <c r="I1292" i="7"/>
  <c r="G1292" i="7"/>
  <c r="F1292" i="7"/>
  <c r="H1292" i="7" s="1"/>
  <c r="J1291" i="7"/>
  <c r="I1291" i="7"/>
  <c r="H1291" i="7"/>
  <c r="G1291" i="7"/>
  <c r="F1291" i="7"/>
  <c r="G1290" i="7"/>
  <c r="F1290" i="7"/>
  <c r="I1290" i="7" s="1"/>
  <c r="J1289" i="7"/>
  <c r="I1289" i="7"/>
  <c r="H1289" i="7"/>
  <c r="G1289" i="7"/>
  <c r="F1289" i="7"/>
  <c r="J1288" i="7"/>
  <c r="I1288" i="7"/>
  <c r="G1288" i="7"/>
  <c r="F1288" i="7"/>
  <c r="H1288" i="7" s="1"/>
  <c r="G1287" i="7"/>
  <c r="F1287" i="7"/>
  <c r="J1287" i="7" s="1"/>
  <c r="G1286" i="7"/>
  <c r="F1286" i="7"/>
  <c r="I1286" i="7" s="1"/>
  <c r="J1285" i="7"/>
  <c r="I1285" i="7"/>
  <c r="H1285" i="7"/>
  <c r="G1285" i="7"/>
  <c r="F1285" i="7"/>
  <c r="G1284" i="7"/>
  <c r="F1284" i="7"/>
  <c r="H1284" i="7" s="1"/>
  <c r="J1283" i="7"/>
  <c r="G1283" i="7"/>
  <c r="F1283" i="7"/>
  <c r="I1283" i="7" s="1"/>
  <c r="J1282" i="7"/>
  <c r="H1282" i="7"/>
  <c r="G1282" i="7"/>
  <c r="F1282" i="7"/>
  <c r="I1282" i="7" s="1"/>
  <c r="J1281" i="7"/>
  <c r="I1281" i="7"/>
  <c r="H1281" i="7"/>
  <c r="G1281" i="7"/>
  <c r="F1281" i="7"/>
  <c r="J1280" i="7"/>
  <c r="I1280" i="7"/>
  <c r="G1280" i="7"/>
  <c r="F1280" i="7"/>
  <c r="H1280" i="7" s="1"/>
  <c r="I1279" i="7"/>
  <c r="H1279" i="7"/>
  <c r="G1279" i="7"/>
  <c r="F1279" i="7"/>
  <c r="J1279" i="7" s="1"/>
  <c r="H1278" i="7"/>
  <c r="G1278" i="7"/>
  <c r="F1278" i="7"/>
  <c r="I1278" i="7" s="1"/>
  <c r="J1277" i="7"/>
  <c r="I1277" i="7"/>
  <c r="H1277" i="7"/>
  <c r="G1277" i="7"/>
  <c r="F1277" i="7"/>
  <c r="I1276" i="7"/>
  <c r="G1276" i="7"/>
  <c r="F1276" i="7"/>
  <c r="H1276" i="7" s="1"/>
  <c r="H1275" i="7"/>
  <c r="G1275" i="7"/>
  <c r="F1275" i="7"/>
  <c r="J1275" i="7" s="1"/>
  <c r="J1274" i="7"/>
  <c r="H1274" i="7"/>
  <c r="G1274" i="7"/>
  <c r="F1274" i="7"/>
  <c r="I1274" i="7" s="1"/>
  <c r="J1273" i="7"/>
  <c r="I1273" i="7"/>
  <c r="H1273" i="7"/>
  <c r="G1273" i="7"/>
  <c r="F1273" i="7"/>
  <c r="G1272" i="7"/>
  <c r="F1272" i="7"/>
  <c r="H1272" i="7" s="1"/>
  <c r="J1271" i="7"/>
  <c r="I1271" i="7"/>
  <c r="H1271" i="7"/>
  <c r="G1271" i="7"/>
  <c r="F1271" i="7"/>
  <c r="G1270" i="7"/>
  <c r="F1270" i="7"/>
  <c r="I1270" i="7" s="1"/>
  <c r="J1269" i="7"/>
  <c r="I1269" i="7"/>
  <c r="H1269" i="7"/>
  <c r="G1269" i="7"/>
  <c r="F1269" i="7"/>
  <c r="G1268" i="7"/>
  <c r="F1268" i="7"/>
  <c r="G1267" i="7"/>
  <c r="F1267" i="7"/>
  <c r="J1267" i="7" s="1"/>
  <c r="J1266" i="7"/>
  <c r="H1266" i="7"/>
  <c r="G1266" i="7"/>
  <c r="F1266" i="7"/>
  <c r="I1266" i="7" s="1"/>
  <c r="J1265" i="7"/>
  <c r="I1265" i="7"/>
  <c r="H1265" i="7"/>
  <c r="G1265" i="7"/>
  <c r="F1265" i="7"/>
  <c r="J1264" i="7"/>
  <c r="I1264" i="7"/>
  <c r="G1264" i="7"/>
  <c r="F1264" i="7"/>
  <c r="H1264" i="7" s="1"/>
  <c r="J1263" i="7"/>
  <c r="I1263" i="7"/>
  <c r="H1263" i="7"/>
  <c r="G1263" i="7"/>
  <c r="F1263" i="7"/>
  <c r="H1262" i="7"/>
  <c r="G1262" i="7"/>
  <c r="F1262" i="7"/>
  <c r="I1262" i="7" s="1"/>
  <c r="J1261" i="7"/>
  <c r="I1261" i="7"/>
  <c r="H1261" i="7"/>
  <c r="G1261" i="7"/>
  <c r="F1261" i="7"/>
  <c r="J1260" i="7"/>
  <c r="I1260" i="7"/>
  <c r="G1260" i="7"/>
  <c r="F1260" i="7"/>
  <c r="H1260" i="7" s="1"/>
  <c r="H1259" i="7"/>
  <c r="G1259" i="7"/>
  <c r="F1259" i="7"/>
  <c r="J1259" i="7" s="1"/>
  <c r="G1258" i="7"/>
  <c r="F1258" i="7"/>
  <c r="I1258" i="7" s="1"/>
  <c r="J1257" i="7"/>
  <c r="I1257" i="7"/>
  <c r="H1257" i="7"/>
  <c r="G1257" i="7"/>
  <c r="F1257" i="7"/>
  <c r="G1256" i="7"/>
  <c r="F1256" i="7"/>
  <c r="H1256" i="7" s="1"/>
  <c r="G1255" i="7"/>
  <c r="F1255" i="7"/>
  <c r="J1255" i="7" s="1"/>
  <c r="G1254" i="7"/>
  <c r="F1254" i="7"/>
  <c r="J1253" i="7"/>
  <c r="I1253" i="7"/>
  <c r="H1253" i="7"/>
  <c r="G1253" i="7"/>
  <c r="F1253" i="7"/>
  <c r="G1252" i="7"/>
  <c r="F1252" i="7"/>
  <c r="H1252" i="7" s="1"/>
  <c r="G1251" i="7"/>
  <c r="F1251" i="7"/>
  <c r="J1250" i="7"/>
  <c r="H1250" i="7"/>
  <c r="G1250" i="7"/>
  <c r="F1250" i="7"/>
  <c r="I1250" i="7" s="1"/>
  <c r="J1249" i="7"/>
  <c r="I1249" i="7"/>
  <c r="H1249" i="7"/>
  <c r="G1249" i="7"/>
  <c r="F1249" i="7"/>
  <c r="J1248" i="7"/>
  <c r="I1248" i="7"/>
  <c r="G1248" i="7"/>
  <c r="F1248" i="7"/>
  <c r="H1248" i="7" s="1"/>
  <c r="J1247" i="7"/>
  <c r="I1247" i="7"/>
  <c r="H1247" i="7"/>
  <c r="G1247" i="7"/>
  <c r="F1247" i="7"/>
  <c r="J1246" i="7"/>
  <c r="H1246" i="7"/>
  <c r="G1246" i="7"/>
  <c r="F1246" i="7"/>
  <c r="I1246" i="7" s="1"/>
  <c r="J1245" i="7"/>
  <c r="I1245" i="7"/>
  <c r="H1245" i="7"/>
  <c r="G1245" i="7"/>
  <c r="F1245" i="7"/>
  <c r="I1244" i="7"/>
  <c r="G1244" i="7"/>
  <c r="F1244" i="7"/>
  <c r="H1244" i="7" s="1"/>
  <c r="J1243" i="7"/>
  <c r="I1243" i="7"/>
  <c r="H1243" i="7"/>
  <c r="G1243" i="7"/>
  <c r="F1243" i="7"/>
  <c r="G1242" i="7"/>
  <c r="F1242" i="7"/>
  <c r="I1242" i="7" s="1"/>
  <c r="J1241" i="7"/>
  <c r="I1241" i="7"/>
  <c r="H1241" i="7"/>
  <c r="G1241" i="7"/>
  <c r="F1241" i="7"/>
  <c r="J1240" i="7"/>
  <c r="I1240" i="7"/>
  <c r="G1240" i="7"/>
  <c r="F1240" i="7"/>
  <c r="H1240" i="7" s="1"/>
  <c r="G1239" i="7"/>
  <c r="F1239" i="7"/>
  <c r="J1239" i="7" s="1"/>
  <c r="G1238" i="7"/>
  <c r="F1238" i="7"/>
  <c r="I1238" i="7" s="1"/>
  <c r="J1237" i="7"/>
  <c r="I1237" i="7"/>
  <c r="H1237" i="7"/>
  <c r="G1237" i="7"/>
  <c r="F1237" i="7"/>
  <c r="G1236" i="7"/>
  <c r="F1236" i="7"/>
  <c r="H1236" i="7" s="1"/>
  <c r="J1235" i="7"/>
  <c r="G1235" i="7"/>
  <c r="F1235" i="7"/>
  <c r="I1235" i="7" s="1"/>
  <c r="J1234" i="7"/>
  <c r="H1234" i="7"/>
  <c r="G1234" i="7"/>
  <c r="F1234" i="7"/>
  <c r="I1234" i="7" s="1"/>
  <c r="J1233" i="7"/>
  <c r="I1233" i="7"/>
  <c r="H1233" i="7"/>
  <c r="G1233" i="7"/>
  <c r="F1233" i="7"/>
  <c r="J1232" i="7"/>
  <c r="I1232" i="7"/>
  <c r="G1232" i="7"/>
  <c r="F1232" i="7"/>
  <c r="H1232" i="7" s="1"/>
  <c r="I1231" i="7"/>
  <c r="H1231" i="7"/>
  <c r="G1231" i="7"/>
  <c r="F1231" i="7"/>
  <c r="J1231" i="7" s="1"/>
  <c r="H1230" i="7"/>
  <c r="G1230" i="7"/>
  <c r="F1230" i="7"/>
  <c r="I1230" i="7" s="1"/>
  <c r="J1229" i="7"/>
  <c r="I1229" i="7"/>
  <c r="H1229" i="7"/>
  <c r="G1229" i="7"/>
  <c r="F1229" i="7"/>
  <c r="I1228" i="7"/>
  <c r="G1228" i="7"/>
  <c r="F1228" i="7"/>
  <c r="H1228" i="7" s="1"/>
  <c r="J1227" i="7"/>
  <c r="I1227" i="7"/>
  <c r="H1227" i="7"/>
  <c r="G1227" i="7"/>
  <c r="F1227" i="7"/>
  <c r="J1226" i="7"/>
  <c r="G1226" i="7"/>
  <c r="F1226" i="7"/>
  <c r="I1226" i="7" s="1"/>
  <c r="J1225" i="7"/>
  <c r="I1225" i="7"/>
  <c r="H1225" i="7"/>
  <c r="G1225" i="7"/>
  <c r="F1225" i="7"/>
  <c r="H1224" i="7"/>
  <c r="G1224" i="7"/>
  <c r="F1224" i="7"/>
  <c r="J1224" i="7" s="1"/>
  <c r="J1223" i="7"/>
  <c r="I1223" i="7"/>
  <c r="H1223" i="7"/>
  <c r="G1223" i="7"/>
  <c r="F1223" i="7"/>
  <c r="J1222" i="7"/>
  <c r="G1222" i="7"/>
  <c r="F1222" i="7"/>
  <c r="I1222" i="7" s="1"/>
  <c r="J1221" i="7"/>
  <c r="I1221" i="7"/>
  <c r="H1221" i="7"/>
  <c r="G1221" i="7"/>
  <c r="F1221" i="7"/>
  <c r="H1220" i="7"/>
  <c r="G1220" i="7"/>
  <c r="F1220" i="7"/>
  <c r="J1220" i="7" s="1"/>
  <c r="J1219" i="7"/>
  <c r="I1219" i="7"/>
  <c r="H1219" i="7"/>
  <c r="G1219" i="7"/>
  <c r="F1219" i="7"/>
  <c r="J1218" i="7"/>
  <c r="G1218" i="7"/>
  <c r="F1218" i="7"/>
  <c r="I1218" i="7" s="1"/>
  <c r="J1217" i="7"/>
  <c r="I1217" i="7"/>
  <c r="H1217" i="7"/>
  <c r="G1217" i="7"/>
  <c r="F1217" i="7"/>
  <c r="H1216" i="7"/>
  <c r="G1216" i="7"/>
  <c r="F1216" i="7"/>
  <c r="J1216" i="7" s="1"/>
  <c r="J1215" i="7"/>
  <c r="I1215" i="7"/>
  <c r="H1215" i="7"/>
  <c r="G1215" i="7"/>
  <c r="F1215" i="7"/>
  <c r="J1214" i="7"/>
  <c r="G1214" i="7"/>
  <c r="F1214" i="7"/>
  <c r="I1214" i="7" s="1"/>
  <c r="J1213" i="7"/>
  <c r="I1213" i="7"/>
  <c r="H1213" i="7"/>
  <c r="G1213" i="7"/>
  <c r="F1213" i="7"/>
  <c r="H1212" i="7"/>
  <c r="G1212" i="7"/>
  <c r="F1212" i="7"/>
  <c r="J1212" i="7" s="1"/>
  <c r="J1211" i="7"/>
  <c r="I1211" i="7"/>
  <c r="H1211" i="7"/>
  <c r="G1211" i="7"/>
  <c r="F1211" i="7"/>
  <c r="J1210" i="7"/>
  <c r="G1210" i="7"/>
  <c r="F1210" i="7"/>
  <c r="I1210" i="7" s="1"/>
  <c r="J1209" i="7"/>
  <c r="I1209" i="7"/>
  <c r="H1209" i="7"/>
  <c r="G1209" i="7"/>
  <c r="F1209" i="7"/>
  <c r="H1208" i="7"/>
  <c r="G1208" i="7"/>
  <c r="F1208" i="7"/>
  <c r="J1208" i="7" s="1"/>
  <c r="J1207" i="7"/>
  <c r="I1207" i="7"/>
  <c r="H1207" i="7"/>
  <c r="G1207" i="7"/>
  <c r="F1207" i="7"/>
  <c r="J1206" i="7"/>
  <c r="G1206" i="7"/>
  <c r="F1206" i="7"/>
  <c r="I1206" i="7" s="1"/>
  <c r="J1205" i="7"/>
  <c r="I1205" i="7"/>
  <c r="H1205" i="7"/>
  <c r="G1205" i="7"/>
  <c r="F1205" i="7"/>
  <c r="H1204" i="7"/>
  <c r="G1204" i="7"/>
  <c r="F1204" i="7"/>
  <c r="J1204" i="7" s="1"/>
  <c r="J1203" i="7"/>
  <c r="I1203" i="7"/>
  <c r="H1203" i="7"/>
  <c r="G1203" i="7"/>
  <c r="F1203" i="7"/>
  <c r="J1202" i="7"/>
  <c r="G1202" i="7"/>
  <c r="F1202" i="7"/>
  <c r="I1202" i="7" s="1"/>
  <c r="J1201" i="7"/>
  <c r="I1201" i="7"/>
  <c r="H1201" i="7"/>
  <c r="G1201" i="7"/>
  <c r="F1201" i="7"/>
  <c r="H1200" i="7"/>
  <c r="G1200" i="7"/>
  <c r="F1200" i="7"/>
  <c r="J1200" i="7" s="1"/>
  <c r="J1199" i="7"/>
  <c r="I1199" i="7"/>
  <c r="H1199" i="7"/>
  <c r="G1199" i="7"/>
  <c r="F1199" i="7"/>
  <c r="J1198" i="7"/>
  <c r="G1198" i="7"/>
  <c r="F1198" i="7"/>
  <c r="I1198" i="7" s="1"/>
  <c r="J1197" i="7"/>
  <c r="I1197" i="7"/>
  <c r="H1197" i="7"/>
  <c r="G1197" i="7"/>
  <c r="F1197" i="7"/>
  <c r="H1196" i="7"/>
  <c r="G1196" i="7"/>
  <c r="F1196" i="7"/>
  <c r="J1196" i="7" s="1"/>
  <c r="J1195" i="7"/>
  <c r="I1195" i="7"/>
  <c r="H1195" i="7"/>
  <c r="G1195" i="7"/>
  <c r="F1195" i="7"/>
  <c r="J1194" i="7"/>
  <c r="G1194" i="7"/>
  <c r="F1194" i="7"/>
  <c r="I1194" i="7" s="1"/>
  <c r="J1193" i="7"/>
  <c r="I1193" i="7"/>
  <c r="H1193" i="7"/>
  <c r="G1193" i="7"/>
  <c r="F1193" i="7"/>
  <c r="H1192" i="7"/>
  <c r="G1192" i="7"/>
  <c r="F1192" i="7"/>
  <c r="J1192" i="7" s="1"/>
  <c r="J1191" i="7"/>
  <c r="I1191" i="7"/>
  <c r="H1191" i="7"/>
  <c r="G1191" i="7"/>
  <c r="F1191" i="7"/>
  <c r="J1190" i="7"/>
  <c r="G1190" i="7"/>
  <c r="F1190" i="7"/>
  <c r="I1190" i="7" s="1"/>
  <c r="J1189" i="7"/>
  <c r="I1189" i="7"/>
  <c r="H1189" i="7"/>
  <c r="G1189" i="7"/>
  <c r="F1189" i="7"/>
  <c r="H1188" i="7"/>
  <c r="G1188" i="7"/>
  <c r="F1188" i="7"/>
  <c r="J1188" i="7" s="1"/>
  <c r="J1187" i="7"/>
  <c r="I1187" i="7"/>
  <c r="H1187" i="7"/>
  <c r="G1187" i="7"/>
  <c r="F1187" i="7"/>
  <c r="J1186" i="7"/>
  <c r="G1186" i="7"/>
  <c r="F1186" i="7"/>
  <c r="I1186" i="7" s="1"/>
  <c r="J1185" i="7"/>
  <c r="I1185" i="7"/>
  <c r="H1185" i="7"/>
  <c r="G1185" i="7"/>
  <c r="F1185" i="7"/>
  <c r="H1184" i="7"/>
  <c r="G1184" i="7"/>
  <c r="F1184" i="7"/>
  <c r="J1184" i="7" s="1"/>
  <c r="J1183" i="7"/>
  <c r="I1183" i="7"/>
  <c r="H1183" i="7"/>
  <c r="G1183" i="7"/>
  <c r="F1183" i="7"/>
  <c r="J1182" i="7"/>
  <c r="G1182" i="7"/>
  <c r="F1182" i="7"/>
  <c r="I1182" i="7" s="1"/>
  <c r="J1181" i="7"/>
  <c r="I1181" i="7"/>
  <c r="H1181" i="7"/>
  <c r="G1181" i="7"/>
  <c r="F1181" i="7"/>
  <c r="H1180" i="7"/>
  <c r="G1180" i="7"/>
  <c r="F1180" i="7"/>
  <c r="J1180" i="7" s="1"/>
  <c r="J1179" i="7"/>
  <c r="I1179" i="7"/>
  <c r="H1179" i="7"/>
  <c r="G1179" i="7"/>
  <c r="F1179" i="7"/>
  <c r="J1178" i="7"/>
  <c r="G1178" i="7"/>
  <c r="F1178" i="7"/>
  <c r="I1178" i="7" s="1"/>
  <c r="J1177" i="7"/>
  <c r="I1177" i="7"/>
  <c r="H1177" i="7"/>
  <c r="G1177" i="7"/>
  <c r="F1177" i="7"/>
  <c r="H1176" i="7"/>
  <c r="G1176" i="7"/>
  <c r="F1176" i="7"/>
  <c r="J1176" i="7" s="1"/>
  <c r="J1175" i="7"/>
  <c r="I1175" i="7"/>
  <c r="H1175" i="7"/>
  <c r="G1175" i="7"/>
  <c r="F1175" i="7"/>
  <c r="J1174" i="7"/>
  <c r="G1174" i="7"/>
  <c r="F1174" i="7"/>
  <c r="I1174" i="7" s="1"/>
  <c r="J1173" i="7"/>
  <c r="I1173" i="7"/>
  <c r="H1173" i="7"/>
  <c r="G1173" i="7"/>
  <c r="F1173" i="7"/>
  <c r="H1172" i="7"/>
  <c r="G1172" i="7"/>
  <c r="F1172" i="7"/>
  <c r="J1172" i="7" s="1"/>
  <c r="J1171" i="7"/>
  <c r="I1171" i="7"/>
  <c r="H1171" i="7"/>
  <c r="G1171" i="7"/>
  <c r="F1171" i="7"/>
  <c r="J1170" i="7"/>
  <c r="G1170" i="7"/>
  <c r="F1170" i="7"/>
  <c r="I1170" i="7" s="1"/>
  <c r="J1169" i="7"/>
  <c r="I1169" i="7"/>
  <c r="H1169" i="7"/>
  <c r="G1169" i="7"/>
  <c r="F1169" i="7"/>
  <c r="H1168" i="7"/>
  <c r="G1168" i="7"/>
  <c r="F1168" i="7"/>
  <c r="J1168" i="7" s="1"/>
  <c r="J1167" i="7"/>
  <c r="I1167" i="7"/>
  <c r="H1167" i="7"/>
  <c r="G1167" i="7"/>
  <c r="F1167" i="7"/>
  <c r="J1166" i="7"/>
  <c r="G1166" i="7"/>
  <c r="F1166" i="7"/>
  <c r="I1166" i="7" s="1"/>
  <c r="J1165" i="7"/>
  <c r="I1165" i="7"/>
  <c r="H1165" i="7"/>
  <c r="G1165" i="7"/>
  <c r="F1165" i="7"/>
  <c r="H1164" i="7"/>
  <c r="G1164" i="7"/>
  <c r="F1164" i="7"/>
  <c r="J1164" i="7" s="1"/>
  <c r="J1163" i="7"/>
  <c r="I1163" i="7"/>
  <c r="H1163" i="7"/>
  <c r="G1163" i="7"/>
  <c r="F1163" i="7"/>
  <c r="J1162" i="7"/>
  <c r="G1162" i="7"/>
  <c r="F1162" i="7"/>
  <c r="I1162" i="7" s="1"/>
  <c r="J1161" i="7"/>
  <c r="I1161" i="7"/>
  <c r="H1161" i="7"/>
  <c r="G1161" i="7"/>
  <c r="F1161" i="7"/>
  <c r="H1160" i="7"/>
  <c r="G1160" i="7"/>
  <c r="F1160" i="7"/>
  <c r="J1160" i="7" s="1"/>
  <c r="J1159" i="7"/>
  <c r="I1159" i="7"/>
  <c r="H1159" i="7"/>
  <c r="G1159" i="7"/>
  <c r="F1159" i="7"/>
  <c r="J1158" i="7"/>
  <c r="G1158" i="7"/>
  <c r="F1158" i="7"/>
  <c r="I1158" i="7" s="1"/>
  <c r="J1157" i="7"/>
  <c r="I1157" i="7"/>
  <c r="H1157" i="7"/>
  <c r="G1157" i="7"/>
  <c r="F1157" i="7"/>
  <c r="H1156" i="7"/>
  <c r="G1156" i="7"/>
  <c r="F1156" i="7"/>
  <c r="J1155" i="7"/>
  <c r="I1155" i="7"/>
  <c r="H1155" i="7"/>
  <c r="G1155" i="7"/>
  <c r="F1155" i="7"/>
  <c r="J1154" i="7"/>
  <c r="G1154" i="7"/>
  <c r="F1154" i="7"/>
  <c r="I1154" i="7" s="1"/>
  <c r="J1153" i="7"/>
  <c r="I1153" i="7"/>
  <c r="H1153" i="7"/>
  <c r="G1153" i="7"/>
  <c r="F1153" i="7"/>
  <c r="G1152" i="7"/>
  <c r="F1152" i="7"/>
  <c r="J1151" i="7"/>
  <c r="I1151" i="7"/>
  <c r="H1151" i="7"/>
  <c r="G1151" i="7"/>
  <c r="F1151" i="7"/>
  <c r="J1150" i="7"/>
  <c r="G1150" i="7"/>
  <c r="F1150" i="7"/>
  <c r="I1150" i="7" s="1"/>
  <c r="J1149" i="7"/>
  <c r="I1149" i="7"/>
  <c r="H1149" i="7"/>
  <c r="G1149" i="7"/>
  <c r="F1149" i="7"/>
  <c r="G1148" i="7"/>
  <c r="F1148" i="7"/>
  <c r="J1147" i="7"/>
  <c r="I1147" i="7"/>
  <c r="H1147" i="7"/>
  <c r="G1147" i="7"/>
  <c r="F1147" i="7"/>
  <c r="J1146" i="7"/>
  <c r="G1146" i="7"/>
  <c r="F1146" i="7"/>
  <c r="J1145" i="7"/>
  <c r="I1145" i="7"/>
  <c r="H1145" i="7"/>
  <c r="G1145" i="7"/>
  <c r="F1145" i="7"/>
  <c r="G1144" i="7"/>
  <c r="F1144" i="7"/>
  <c r="J1143" i="7"/>
  <c r="I1143" i="7"/>
  <c r="H1143" i="7"/>
  <c r="G1143" i="7"/>
  <c r="F1143" i="7"/>
  <c r="J1142" i="7"/>
  <c r="G1142" i="7"/>
  <c r="F1142" i="7"/>
  <c r="J1141" i="7"/>
  <c r="I1141" i="7"/>
  <c r="H1141" i="7"/>
  <c r="G1141" i="7"/>
  <c r="F1141" i="7"/>
  <c r="G1140" i="7"/>
  <c r="F1140" i="7"/>
  <c r="J1139" i="7"/>
  <c r="I1139" i="7"/>
  <c r="H1139" i="7"/>
  <c r="G1139" i="7"/>
  <c r="F1139" i="7"/>
  <c r="J1138" i="7"/>
  <c r="G1138" i="7"/>
  <c r="F1138" i="7"/>
  <c r="J1137" i="7"/>
  <c r="I1137" i="7"/>
  <c r="H1137" i="7"/>
  <c r="G1137" i="7"/>
  <c r="F1137" i="7"/>
  <c r="H1136" i="7"/>
  <c r="G1136" i="7"/>
  <c r="F1136" i="7"/>
  <c r="J1135" i="7"/>
  <c r="I1135" i="7"/>
  <c r="H1135" i="7"/>
  <c r="G1135" i="7"/>
  <c r="F1135" i="7"/>
  <c r="J1134" i="7"/>
  <c r="G1134" i="7"/>
  <c r="F1134" i="7"/>
  <c r="J1133" i="7"/>
  <c r="I1133" i="7"/>
  <c r="H1133" i="7"/>
  <c r="G1133" i="7"/>
  <c r="F1133" i="7"/>
  <c r="G1132" i="7"/>
  <c r="F1132" i="7"/>
  <c r="J1131" i="7"/>
  <c r="I1131" i="7"/>
  <c r="H1131" i="7"/>
  <c r="G1131" i="7"/>
  <c r="F1131" i="7"/>
  <c r="J1130" i="7"/>
  <c r="G1130" i="7"/>
  <c r="F1130" i="7"/>
  <c r="J1129" i="7"/>
  <c r="I1129" i="7"/>
  <c r="H1129" i="7"/>
  <c r="G1129" i="7"/>
  <c r="F1129" i="7"/>
  <c r="G1128" i="7"/>
  <c r="F1128" i="7"/>
  <c r="J1127" i="7"/>
  <c r="I1127" i="7"/>
  <c r="H1127" i="7"/>
  <c r="G1127" i="7"/>
  <c r="F1127" i="7"/>
  <c r="J1126" i="7"/>
  <c r="G1126" i="7"/>
  <c r="F1126" i="7"/>
  <c r="J1125" i="7"/>
  <c r="I1125" i="7"/>
  <c r="H1125" i="7"/>
  <c r="G1125" i="7"/>
  <c r="F1125" i="7"/>
  <c r="G1124" i="7"/>
  <c r="F1124" i="7"/>
  <c r="J1123" i="7"/>
  <c r="I1123" i="7"/>
  <c r="H1123" i="7"/>
  <c r="G1123" i="7"/>
  <c r="F1123" i="7"/>
  <c r="J1122" i="7"/>
  <c r="G1122" i="7"/>
  <c r="F1122" i="7"/>
  <c r="J1121" i="7"/>
  <c r="I1121" i="7"/>
  <c r="H1121" i="7"/>
  <c r="G1121" i="7"/>
  <c r="F1121" i="7"/>
  <c r="H1120" i="7"/>
  <c r="G1120" i="7"/>
  <c r="F1120" i="7"/>
  <c r="J1119" i="7"/>
  <c r="I1119" i="7"/>
  <c r="H1119" i="7"/>
  <c r="G1119" i="7"/>
  <c r="F1119" i="7"/>
  <c r="G1118" i="7"/>
  <c r="F1118" i="7"/>
  <c r="J1117" i="7"/>
  <c r="I1117" i="7"/>
  <c r="H1117" i="7"/>
  <c r="G1117" i="7"/>
  <c r="F1117" i="7"/>
  <c r="G1116" i="7"/>
  <c r="F1116" i="7"/>
  <c r="J1115" i="7"/>
  <c r="I1115" i="7"/>
  <c r="H1115" i="7"/>
  <c r="G1115" i="7"/>
  <c r="F1115" i="7"/>
  <c r="J1114" i="7"/>
  <c r="G1114" i="7"/>
  <c r="F1114" i="7"/>
  <c r="J1113" i="7"/>
  <c r="I1113" i="7"/>
  <c r="H1113" i="7"/>
  <c r="G1113" i="7"/>
  <c r="F1113" i="7"/>
  <c r="G1112" i="7"/>
  <c r="F1112" i="7"/>
  <c r="J1111" i="7"/>
  <c r="I1111" i="7"/>
  <c r="H1111" i="7"/>
  <c r="G1111" i="7"/>
  <c r="F1111" i="7"/>
  <c r="J1110" i="7"/>
  <c r="G1110" i="7"/>
  <c r="F1110" i="7"/>
  <c r="J1109" i="7"/>
  <c r="I1109" i="7"/>
  <c r="H1109" i="7"/>
  <c r="G1109" i="7"/>
  <c r="F1109" i="7"/>
  <c r="H1108" i="7"/>
  <c r="G1108" i="7"/>
  <c r="F1108" i="7"/>
  <c r="I1108" i="7" s="1"/>
  <c r="J1107" i="7"/>
  <c r="I1107" i="7"/>
  <c r="H1107" i="7"/>
  <c r="G1107" i="7"/>
  <c r="F1107" i="7"/>
  <c r="J1106" i="7"/>
  <c r="G1106" i="7"/>
  <c r="F1106" i="7"/>
  <c r="J1105" i="7"/>
  <c r="I1105" i="7"/>
  <c r="H1105" i="7"/>
  <c r="G1105" i="7"/>
  <c r="F1105" i="7"/>
  <c r="H1104" i="7"/>
  <c r="G1104" i="7"/>
  <c r="F1104" i="7"/>
  <c r="I1104" i="7" s="1"/>
  <c r="J1103" i="7"/>
  <c r="I1103" i="7"/>
  <c r="H1103" i="7"/>
  <c r="G1103" i="7"/>
  <c r="F1103" i="7"/>
  <c r="G1102" i="7"/>
  <c r="F1102" i="7"/>
  <c r="J1101" i="7"/>
  <c r="G1101" i="7"/>
  <c r="F1101" i="7"/>
  <c r="I1101" i="7" s="1"/>
  <c r="J1100" i="7"/>
  <c r="G1100" i="7"/>
  <c r="F1100" i="7"/>
  <c r="I1100" i="7" s="1"/>
  <c r="J1099" i="7"/>
  <c r="I1099" i="7"/>
  <c r="H1099" i="7"/>
  <c r="G1099" i="7"/>
  <c r="F1099" i="7"/>
  <c r="J1098" i="7"/>
  <c r="I1098" i="7"/>
  <c r="G1098" i="7"/>
  <c r="F1098" i="7"/>
  <c r="H1098" i="7" s="1"/>
  <c r="I1097" i="7"/>
  <c r="G1097" i="7"/>
  <c r="F1097" i="7"/>
  <c r="J1097" i="7" s="1"/>
  <c r="H1096" i="7"/>
  <c r="G1096" i="7"/>
  <c r="F1096" i="7"/>
  <c r="I1096" i="7" s="1"/>
  <c r="J1095" i="7"/>
  <c r="I1095" i="7"/>
  <c r="H1095" i="7"/>
  <c r="G1095" i="7"/>
  <c r="F1095" i="7"/>
  <c r="I1094" i="7"/>
  <c r="G1094" i="7"/>
  <c r="F1094" i="7"/>
  <c r="H1094" i="7" s="1"/>
  <c r="G1093" i="7"/>
  <c r="F1093" i="7"/>
  <c r="J1093" i="7" s="1"/>
  <c r="H1092" i="7"/>
  <c r="G1092" i="7"/>
  <c r="F1092" i="7"/>
  <c r="I1092" i="7" s="1"/>
  <c r="J1091" i="7"/>
  <c r="I1091" i="7"/>
  <c r="H1091" i="7"/>
  <c r="G1091" i="7"/>
  <c r="F1091" i="7"/>
  <c r="G1090" i="7"/>
  <c r="F1090" i="7"/>
  <c r="H1090" i="7" s="1"/>
  <c r="H1089" i="7"/>
  <c r="G1089" i="7"/>
  <c r="F1089" i="7"/>
  <c r="J1089" i="7" s="1"/>
  <c r="G1088" i="7"/>
  <c r="F1088" i="7"/>
  <c r="I1088" i="7" s="1"/>
  <c r="J1087" i="7"/>
  <c r="I1087" i="7"/>
  <c r="H1087" i="7"/>
  <c r="G1087" i="7"/>
  <c r="F1087" i="7"/>
  <c r="G1086" i="7"/>
  <c r="F1086" i="7"/>
  <c r="G1085" i="7"/>
  <c r="F1085" i="7"/>
  <c r="J1085" i="7" s="1"/>
  <c r="G1084" i="7"/>
  <c r="F1084" i="7"/>
  <c r="J1084" i="7" s="1"/>
  <c r="I1083" i="7"/>
  <c r="H1083" i="7"/>
  <c r="G1083" i="7"/>
  <c r="F1083" i="7"/>
  <c r="J1083" i="7" s="1"/>
  <c r="I1082" i="7"/>
  <c r="G1082" i="7"/>
  <c r="F1082" i="7"/>
  <c r="J1082" i="7" s="1"/>
  <c r="G1081" i="7"/>
  <c r="F1081" i="7"/>
  <c r="J1081" i="7" s="1"/>
  <c r="G1080" i="7"/>
  <c r="F1080" i="7"/>
  <c r="J1080" i="7" s="1"/>
  <c r="I1079" i="7"/>
  <c r="H1079" i="7"/>
  <c r="G1079" i="7"/>
  <c r="F1079" i="7"/>
  <c r="J1079" i="7" s="1"/>
  <c r="I1078" i="7"/>
  <c r="G1078" i="7"/>
  <c r="F1078" i="7"/>
  <c r="J1078" i="7" s="1"/>
  <c r="G1077" i="7"/>
  <c r="F1077" i="7"/>
  <c r="J1077" i="7" s="1"/>
  <c r="G1076" i="7"/>
  <c r="F1076" i="7"/>
  <c r="J1076" i="7" s="1"/>
  <c r="I1075" i="7"/>
  <c r="H1075" i="7"/>
  <c r="G1075" i="7"/>
  <c r="F1075" i="7"/>
  <c r="J1075" i="7" s="1"/>
  <c r="I1074" i="7"/>
  <c r="G1074" i="7"/>
  <c r="F1074" i="7"/>
  <c r="J1074" i="7" s="1"/>
  <c r="G1073" i="7"/>
  <c r="F1073" i="7"/>
  <c r="J1073" i="7" s="1"/>
  <c r="G1072" i="7"/>
  <c r="F1072" i="7"/>
  <c r="J1072" i="7" s="1"/>
  <c r="I1071" i="7"/>
  <c r="H1071" i="7"/>
  <c r="G1071" i="7"/>
  <c r="F1071" i="7"/>
  <c r="J1071" i="7" s="1"/>
  <c r="I1070" i="7"/>
  <c r="G1070" i="7"/>
  <c r="F1070" i="7"/>
  <c r="J1070" i="7" s="1"/>
  <c r="G1069" i="7"/>
  <c r="F1069" i="7"/>
  <c r="J1069" i="7" s="1"/>
  <c r="G1068" i="7"/>
  <c r="F1068" i="7"/>
  <c r="J1068" i="7" s="1"/>
  <c r="I1067" i="7"/>
  <c r="H1067" i="7"/>
  <c r="G1067" i="7"/>
  <c r="F1067" i="7"/>
  <c r="J1067" i="7" s="1"/>
  <c r="I1066" i="7"/>
  <c r="G1066" i="7"/>
  <c r="F1066" i="7"/>
  <c r="J1066" i="7" s="1"/>
  <c r="G1065" i="7"/>
  <c r="F1065" i="7"/>
  <c r="J1065" i="7" s="1"/>
  <c r="G1064" i="7"/>
  <c r="F1064" i="7"/>
  <c r="J1064" i="7" s="1"/>
  <c r="I1063" i="7"/>
  <c r="H1063" i="7"/>
  <c r="G1063" i="7"/>
  <c r="F1063" i="7"/>
  <c r="J1063" i="7" s="1"/>
  <c r="I1062" i="7"/>
  <c r="G1062" i="7"/>
  <c r="F1062" i="7"/>
  <c r="J1062" i="7" s="1"/>
  <c r="G1061" i="7"/>
  <c r="F1061" i="7"/>
  <c r="J1061" i="7" s="1"/>
  <c r="G1060" i="7"/>
  <c r="F1060" i="7"/>
  <c r="J1060" i="7" s="1"/>
  <c r="I1059" i="7"/>
  <c r="H1059" i="7"/>
  <c r="G1059" i="7"/>
  <c r="F1059" i="7"/>
  <c r="J1059" i="7" s="1"/>
  <c r="I1058" i="7"/>
  <c r="G1058" i="7"/>
  <c r="F1058" i="7"/>
  <c r="J1058" i="7" s="1"/>
  <c r="G1057" i="7"/>
  <c r="F1057" i="7"/>
  <c r="J1057" i="7" s="1"/>
  <c r="G1056" i="7"/>
  <c r="F1056" i="7"/>
  <c r="J1056" i="7" s="1"/>
  <c r="I1055" i="7"/>
  <c r="H1055" i="7"/>
  <c r="G1055" i="7"/>
  <c r="F1055" i="7"/>
  <c r="J1055" i="7" s="1"/>
  <c r="I1054" i="7"/>
  <c r="G1054" i="7"/>
  <c r="F1054" i="7"/>
  <c r="J1054" i="7" s="1"/>
  <c r="G1053" i="7"/>
  <c r="F1053" i="7"/>
  <c r="J1053" i="7" s="1"/>
  <c r="G1052" i="7"/>
  <c r="F1052" i="7"/>
  <c r="J1052" i="7" s="1"/>
  <c r="I1051" i="7"/>
  <c r="H1051" i="7"/>
  <c r="G1051" i="7"/>
  <c r="F1051" i="7"/>
  <c r="J1051" i="7" s="1"/>
  <c r="I1050" i="7"/>
  <c r="G1050" i="7"/>
  <c r="F1050" i="7"/>
  <c r="J1050" i="7" s="1"/>
  <c r="G1049" i="7"/>
  <c r="F1049" i="7"/>
  <c r="J1049" i="7" s="1"/>
  <c r="G1048" i="7"/>
  <c r="F1048" i="7"/>
  <c r="J1048" i="7" s="1"/>
  <c r="I1047" i="7"/>
  <c r="H1047" i="7"/>
  <c r="G1047" i="7"/>
  <c r="F1047" i="7"/>
  <c r="J1047" i="7" s="1"/>
  <c r="I1046" i="7"/>
  <c r="G1046" i="7"/>
  <c r="F1046" i="7"/>
  <c r="J1046" i="7" s="1"/>
  <c r="G1045" i="7"/>
  <c r="F1045" i="7"/>
  <c r="J1045" i="7" s="1"/>
  <c r="G1044" i="7"/>
  <c r="F1044" i="7"/>
  <c r="J1044" i="7" s="1"/>
  <c r="I1043" i="7"/>
  <c r="H1043" i="7"/>
  <c r="G1043" i="7"/>
  <c r="F1043" i="7"/>
  <c r="J1043" i="7" s="1"/>
  <c r="I1042" i="7"/>
  <c r="G1042" i="7"/>
  <c r="F1042" i="7"/>
  <c r="J1042" i="7" s="1"/>
  <c r="G1041" i="7"/>
  <c r="F1041" i="7"/>
  <c r="J1041" i="7" s="1"/>
  <c r="G1040" i="7"/>
  <c r="F1040" i="7"/>
  <c r="J1040" i="7" s="1"/>
  <c r="I1039" i="7"/>
  <c r="H1039" i="7"/>
  <c r="G1039" i="7"/>
  <c r="F1039" i="7"/>
  <c r="J1039" i="7" s="1"/>
  <c r="I1038" i="7"/>
  <c r="G1038" i="7"/>
  <c r="F1038" i="7"/>
  <c r="J1038" i="7" s="1"/>
  <c r="G1037" i="7"/>
  <c r="F1037" i="7"/>
  <c r="J1037" i="7" s="1"/>
  <c r="G1036" i="7"/>
  <c r="F1036" i="7"/>
  <c r="J1036" i="7" s="1"/>
  <c r="I1035" i="7"/>
  <c r="H1035" i="7"/>
  <c r="G1035" i="7"/>
  <c r="F1035" i="7"/>
  <c r="J1035" i="7" s="1"/>
  <c r="I1034" i="7"/>
  <c r="G1034" i="7"/>
  <c r="F1034" i="7"/>
  <c r="J1034" i="7" s="1"/>
  <c r="G1033" i="7"/>
  <c r="F1033" i="7"/>
  <c r="J1033" i="7" s="1"/>
  <c r="G1032" i="7"/>
  <c r="F1032" i="7"/>
  <c r="J1032" i="7" s="1"/>
  <c r="I1031" i="7"/>
  <c r="H1031" i="7"/>
  <c r="G1031" i="7"/>
  <c r="F1031" i="7"/>
  <c r="J1031" i="7" s="1"/>
  <c r="I1030" i="7"/>
  <c r="G1030" i="7"/>
  <c r="F1030" i="7"/>
  <c r="J1030" i="7" s="1"/>
  <c r="G1029" i="7"/>
  <c r="F1029" i="7"/>
  <c r="J1029" i="7" s="1"/>
  <c r="G1028" i="7"/>
  <c r="F1028" i="7"/>
  <c r="J1028" i="7" s="1"/>
  <c r="I1027" i="7"/>
  <c r="H1027" i="7"/>
  <c r="G1027" i="7"/>
  <c r="F1027" i="7"/>
  <c r="J1027" i="7" s="1"/>
  <c r="I1026" i="7"/>
  <c r="G1026" i="7"/>
  <c r="F1026" i="7"/>
  <c r="J1026" i="7" s="1"/>
  <c r="G1025" i="7"/>
  <c r="F1025" i="7"/>
  <c r="J1025" i="7" s="1"/>
  <c r="G1024" i="7"/>
  <c r="F1024" i="7"/>
  <c r="J1024" i="7" s="1"/>
  <c r="I1023" i="7"/>
  <c r="H1023" i="7"/>
  <c r="G1023" i="7"/>
  <c r="F1023" i="7"/>
  <c r="J1023" i="7" s="1"/>
  <c r="I1022" i="7"/>
  <c r="G1022" i="7"/>
  <c r="F1022" i="7"/>
  <c r="J1022" i="7" s="1"/>
  <c r="G1021" i="7"/>
  <c r="F1021" i="7"/>
  <c r="J1021" i="7" s="1"/>
  <c r="G1020" i="7"/>
  <c r="F1020" i="7"/>
  <c r="J1020" i="7" s="1"/>
  <c r="I1019" i="7"/>
  <c r="H1019" i="7"/>
  <c r="G1019" i="7"/>
  <c r="F1019" i="7"/>
  <c r="J1019" i="7" s="1"/>
  <c r="I1018" i="7"/>
  <c r="G1018" i="7"/>
  <c r="F1018" i="7"/>
  <c r="J1018" i="7" s="1"/>
  <c r="G1017" i="7"/>
  <c r="F1017" i="7"/>
  <c r="J1017" i="7" s="1"/>
  <c r="G1016" i="7"/>
  <c r="F1016" i="7"/>
  <c r="J1016" i="7" s="1"/>
  <c r="I1015" i="7"/>
  <c r="H1015" i="7"/>
  <c r="G1015" i="7"/>
  <c r="F1015" i="7"/>
  <c r="J1015" i="7" s="1"/>
  <c r="I1014" i="7"/>
  <c r="G1014" i="7"/>
  <c r="F1014" i="7"/>
  <c r="J1014" i="7" s="1"/>
  <c r="G1013" i="7"/>
  <c r="F1013" i="7"/>
  <c r="J1013" i="7" s="1"/>
  <c r="G1012" i="7"/>
  <c r="F1012" i="7"/>
  <c r="J1012" i="7" s="1"/>
  <c r="I1011" i="7"/>
  <c r="H1011" i="7"/>
  <c r="G1011" i="7"/>
  <c r="F1011" i="7"/>
  <c r="J1011" i="7" s="1"/>
  <c r="I1010" i="7"/>
  <c r="G1010" i="7"/>
  <c r="F1010" i="7"/>
  <c r="J1010" i="7" s="1"/>
  <c r="G1009" i="7"/>
  <c r="F1009" i="7"/>
  <c r="J1009" i="7" s="1"/>
  <c r="G1008" i="7"/>
  <c r="F1008" i="7"/>
  <c r="J1008" i="7" s="1"/>
  <c r="I1007" i="7"/>
  <c r="H1007" i="7"/>
  <c r="G1007" i="7"/>
  <c r="F1007" i="7"/>
  <c r="J1007" i="7" s="1"/>
  <c r="I1006" i="7"/>
  <c r="G1006" i="7"/>
  <c r="F1006" i="7"/>
  <c r="J1006" i="7" s="1"/>
  <c r="G1005" i="7"/>
  <c r="F1005" i="7"/>
  <c r="J1005" i="7" s="1"/>
  <c r="G1004" i="7"/>
  <c r="F1004" i="7"/>
  <c r="J1004" i="7" s="1"/>
  <c r="I1003" i="7"/>
  <c r="H1003" i="7"/>
  <c r="G1003" i="7"/>
  <c r="F1003" i="7"/>
  <c r="J1003" i="7" s="1"/>
  <c r="I1002" i="7"/>
  <c r="G1002" i="7"/>
  <c r="F1002" i="7"/>
  <c r="J1002" i="7" s="1"/>
  <c r="G1001" i="7"/>
  <c r="F1001" i="7"/>
  <c r="J1001" i="7" s="1"/>
  <c r="G1000" i="7"/>
  <c r="F1000" i="7"/>
  <c r="J1000" i="7" s="1"/>
  <c r="I999" i="7"/>
  <c r="H999" i="7"/>
  <c r="G999" i="7"/>
  <c r="F999" i="7"/>
  <c r="J999" i="7" s="1"/>
  <c r="I998" i="7"/>
  <c r="G998" i="7"/>
  <c r="F998" i="7"/>
  <c r="J998" i="7" s="1"/>
  <c r="G997" i="7"/>
  <c r="F997" i="7"/>
  <c r="J997" i="7" s="1"/>
  <c r="G996" i="7"/>
  <c r="F996" i="7"/>
  <c r="J996" i="7" s="1"/>
  <c r="I995" i="7"/>
  <c r="H995" i="7"/>
  <c r="G995" i="7"/>
  <c r="F995" i="7"/>
  <c r="J995" i="7" s="1"/>
  <c r="I994" i="7"/>
  <c r="G994" i="7"/>
  <c r="F994" i="7"/>
  <c r="J994" i="7" s="1"/>
  <c r="G993" i="7"/>
  <c r="F993" i="7"/>
  <c r="J993" i="7" s="1"/>
  <c r="G992" i="7"/>
  <c r="F992" i="7"/>
  <c r="J992" i="7" s="1"/>
  <c r="I991" i="7"/>
  <c r="H991" i="7"/>
  <c r="G991" i="7"/>
  <c r="F991" i="7"/>
  <c r="J991" i="7" s="1"/>
  <c r="I990" i="7"/>
  <c r="G990" i="7"/>
  <c r="F990" i="7"/>
  <c r="J990" i="7" s="1"/>
  <c r="G989" i="7"/>
  <c r="F989" i="7"/>
  <c r="J989" i="7" s="1"/>
  <c r="G988" i="7"/>
  <c r="F988" i="7"/>
  <c r="J988" i="7" s="1"/>
  <c r="I987" i="7"/>
  <c r="H987" i="7"/>
  <c r="G987" i="7"/>
  <c r="F987" i="7"/>
  <c r="J987" i="7" s="1"/>
  <c r="I986" i="7"/>
  <c r="G986" i="7"/>
  <c r="F986" i="7"/>
  <c r="J986" i="7" s="1"/>
  <c r="G985" i="7"/>
  <c r="F985" i="7"/>
  <c r="J985" i="7" s="1"/>
  <c r="G984" i="7"/>
  <c r="F984" i="7"/>
  <c r="J984" i="7" s="1"/>
  <c r="I983" i="7"/>
  <c r="H983" i="7"/>
  <c r="G983" i="7"/>
  <c r="F983" i="7"/>
  <c r="J983" i="7" s="1"/>
  <c r="I982" i="7"/>
  <c r="G982" i="7"/>
  <c r="F982" i="7"/>
  <c r="J982" i="7" s="1"/>
  <c r="G981" i="7"/>
  <c r="F981" i="7"/>
  <c r="J981" i="7" s="1"/>
  <c r="G980" i="7"/>
  <c r="F980" i="7"/>
  <c r="J980" i="7" s="1"/>
  <c r="I979" i="7"/>
  <c r="H979" i="7"/>
  <c r="G979" i="7"/>
  <c r="F979" i="7"/>
  <c r="J979" i="7" s="1"/>
  <c r="I978" i="7"/>
  <c r="G978" i="7"/>
  <c r="F978" i="7"/>
  <c r="J978" i="7" s="1"/>
  <c r="G977" i="7"/>
  <c r="F977" i="7"/>
  <c r="J977" i="7" s="1"/>
  <c r="G976" i="7"/>
  <c r="F976" i="7"/>
  <c r="J976" i="7" s="1"/>
  <c r="I975" i="7"/>
  <c r="H975" i="7"/>
  <c r="G975" i="7"/>
  <c r="F975" i="7"/>
  <c r="J975" i="7" s="1"/>
  <c r="I974" i="7"/>
  <c r="G974" i="7"/>
  <c r="F974" i="7"/>
  <c r="J974" i="7" s="1"/>
  <c r="G973" i="7"/>
  <c r="F973" i="7"/>
  <c r="J973" i="7" s="1"/>
  <c r="G972" i="7"/>
  <c r="F972" i="7"/>
  <c r="J972" i="7" s="1"/>
  <c r="I971" i="7"/>
  <c r="H971" i="7"/>
  <c r="G971" i="7"/>
  <c r="F971" i="7"/>
  <c r="J971" i="7" s="1"/>
  <c r="I970" i="7"/>
  <c r="G970" i="7"/>
  <c r="F970" i="7"/>
  <c r="J970" i="7" s="1"/>
  <c r="G969" i="7"/>
  <c r="F969" i="7"/>
  <c r="J969" i="7" s="1"/>
  <c r="G968" i="7"/>
  <c r="F968" i="7"/>
  <c r="J968" i="7" s="1"/>
  <c r="I967" i="7"/>
  <c r="H967" i="7"/>
  <c r="G967" i="7"/>
  <c r="F967" i="7"/>
  <c r="J967" i="7" s="1"/>
  <c r="I966" i="7"/>
  <c r="G966" i="7"/>
  <c r="F966" i="7"/>
  <c r="J966" i="7" s="1"/>
  <c r="G965" i="7"/>
  <c r="F965" i="7"/>
  <c r="J965" i="7" s="1"/>
  <c r="G964" i="7"/>
  <c r="F964" i="7"/>
  <c r="J964" i="7" s="1"/>
  <c r="I963" i="7"/>
  <c r="H963" i="7"/>
  <c r="G963" i="7"/>
  <c r="F963" i="7"/>
  <c r="J963" i="7" s="1"/>
  <c r="I962" i="7"/>
  <c r="G962" i="7"/>
  <c r="F962" i="7"/>
  <c r="J962" i="7" s="1"/>
  <c r="G961" i="7"/>
  <c r="F961" i="7"/>
  <c r="J961" i="7" s="1"/>
  <c r="G960" i="7"/>
  <c r="F960" i="7"/>
  <c r="J960" i="7" s="1"/>
  <c r="I959" i="7"/>
  <c r="H959" i="7"/>
  <c r="G959" i="7"/>
  <c r="F959" i="7"/>
  <c r="J959" i="7" s="1"/>
  <c r="I958" i="7"/>
  <c r="G958" i="7"/>
  <c r="F958" i="7"/>
  <c r="J958" i="7" s="1"/>
  <c r="G957" i="7"/>
  <c r="F957" i="7"/>
  <c r="G956" i="7"/>
  <c r="F956" i="7"/>
  <c r="J956" i="7" s="1"/>
  <c r="I955" i="7"/>
  <c r="H955" i="7"/>
  <c r="G955" i="7"/>
  <c r="F955" i="7"/>
  <c r="J955" i="7" s="1"/>
  <c r="I954" i="7"/>
  <c r="G954" i="7"/>
  <c r="F954" i="7"/>
  <c r="J954" i="7" s="1"/>
  <c r="G953" i="7"/>
  <c r="F953" i="7"/>
  <c r="G952" i="7"/>
  <c r="F952" i="7"/>
  <c r="J952" i="7" s="1"/>
  <c r="I951" i="7"/>
  <c r="H951" i="7"/>
  <c r="G951" i="7"/>
  <c r="F951" i="7"/>
  <c r="J951" i="7" s="1"/>
  <c r="I950" i="7"/>
  <c r="G950" i="7"/>
  <c r="F950" i="7"/>
  <c r="G949" i="7"/>
  <c r="F949" i="7"/>
  <c r="G948" i="7"/>
  <c r="F948" i="7"/>
  <c r="J948" i="7" s="1"/>
  <c r="I947" i="7"/>
  <c r="H947" i="7"/>
  <c r="G947" i="7"/>
  <c r="F947" i="7"/>
  <c r="J947" i="7" s="1"/>
  <c r="G946" i="7"/>
  <c r="F946" i="7"/>
  <c r="G945" i="7"/>
  <c r="F945" i="7"/>
  <c r="I944" i="7"/>
  <c r="G944" i="7"/>
  <c r="F944" i="7"/>
  <c r="J944" i="7" s="1"/>
  <c r="I943" i="7"/>
  <c r="H943" i="7"/>
  <c r="G943" i="7"/>
  <c r="F943" i="7"/>
  <c r="J943" i="7" s="1"/>
  <c r="G942" i="7"/>
  <c r="F942" i="7"/>
  <c r="G941" i="7"/>
  <c r="F941" i="7"/>
  <c r="I940" i="7"/>
  <c r="G940" i="7"/>
  <c r="F940" i="7"/>
  <c r="J940" i="7" s="1"/>
  <c r="I939" i="7"/>
  <c r="H939" i="7"/>
  <c r="G939" i="7"/>
  <c r="F939" i="7"/>
  <c r="J939" i="7" s="1"/>
  <c r="I938" i="7"/>
  <c r="G938" i="7"/>
  <c r="F938" i="7"/>
  <c r="G937" i="7"/>
  <c r="F937" i="7"/>
  <c r="I936" i="7"/>
  <c r="G936" i="7"/>
  <c r="F936" i="7"/>
  <c r="J936" i="7" s="1"/>
  <c r="I935" i="7"/>
  <c r="H935" i="7"/>
  <c r="G935" i="7"/>
  <c r="F935" i="7"/>
  <c r="J935" i="7" s="1"/>
  <c r="G934" i="7"/>
  <c r="F934" i="7"/>
  <c r="G933" i="7"/>
  <c r="F933" i="7"/>
  <c r="I932" i="7"/>
  <c r="G932" i="7"/>
  <c r="F932" i="7"/>
  <c r="J932" i="7" s="1"/>
  <c r="I931" i="7"/>
  <c r="H931" i="7"/>
  <c r="G931" i="7"/>
  <c r="F931" i="7"/>
  <c r="J931" i="7" s="1"/>
  <c r="G930" i="7"/>
  <c r="F930" i="7"/>
  <c r="G929" i="7"/>
  <c r="F929" i="7"/>
  <c r="I928" i="7"/>
  <c r="G928" i="7"/>
  <c r="F928" i="7"/>
  <c r="J928" i="7" s="1"/>
  <c r="I927" i="7"/>
  <c r="H927" i="7"/>
  <c r="G927" i="7"/>
  <c r="F927" i="7"/>
  <c r="J927" i="7" s="1"/>
  <c r="I926" i="7"/>
  <c r="G926" i="7"/>
  <c r="F926" i="7"/>
  <c r="G925" i="7"/>
  <c r="F925" i="7"/>
  <c r="I924" i="7"/>
  <c r="G924" i="7"/>
  <c r="F924" i="7"/>
  <c r="J924" i="7" s="1"/>
  <c r="I923" i="7"/>
  <c r="H923" i="7"/>
  <c r="G923" i="7"/>
  <c r="F923" i="7"/>
  <c r="J923" i="7" s="1"/>
  <c r="G922" i="7"/>
  <c r="F922" i="7"/>
  <c r="G921" i="7"/>
  <c r="F921" i="7"/>
  <c r="I920" i="7"/>
  <c r="G920" i="7"/>
  <c r="F920" i="7"/>
  <c r="J920" i="7" s="1"/>
  <c r="I919" i="7"/>
  <c r="H919" i="7"/>
  <c r="G919" i="7"/>
  <c r="F919" i="7"/>
  <c r="J919" i="7" s="1"/>
  <c r="G918" i="7"/>
  <c r="F918" i="7"/>
  <c r="G917" i="7"/>
  <c r="F917" i="7"/>
  <c r="I916" i="7"/>
  <c r="G916" i="7"/>
  <c r="F916" i="7"/>
  <c r="J916" i="7" s="1"/>
  <c r="I915" i="7"/>
  <c r="H915" i="7"/>
  <c r="G915" i="7"/>
  <c r="F915" i="7"/>
  <c r="J915" i="7" s="1"/>
  <c r="I914" i="7"/>
  <c r="G914" i="7"/>
  <c r="F914" i="7"/>
  <c r="G913" i="7"/>
  <c r="F913" i="7"/>
  <c r="I912" i="7"/>
  <c r="G912" i="7"/>
  <c r="F912" i="7"/>
  <c r="J912" i="7" s="1"/>
  <c r="I911" i="7"/>
  <c r="G911" i="7"/>
  <c r="F911" i="7"/>
  <c r="J911" i="7" s="1"/>
  <c r="G910" i="7"/>
  <c r="F910" i="7"/>
  <c r="G909" i="7"/>
  <c r="F909" i="7"/>
  <c r="I908" i="7"/>
  <c r="G908" i="7"/>
  <c r="F908" i="7"/>
  <c r="J908" i="7" s="1"/>
  <c r="H907" i="7"/>
  <c r="G907" i="7"/>
  <c r="F907" i="7"/>
  <c r="J907" i="7" s="1"/>
  <c r="G906" i="7"/>
  <c r="F906" i="7"/>
  <c r="G905" i="7"/>
  <c r="F905" i="7"/>
  <c r="I904" i="7"/>
  <c r="G904" i="7"/>
  <c r="F904" i="7"/>
  <c r="J904" i="7" s="1"/>
  <c r="I903" i="7"/>
  <c r="H903" i="7"/>
  <c r="G903" i="7"/>
  <c r="F903" i="7"/>
  <c r="J903" i="7" s="1"/>
  <c r="I902" i="7"/>
  <c r="G902" i="7"/>
  <c r="F902" i="7"/>
  <c r="G901" i="7"/>
  <c r="F901" i="7"/>
  <c r="I900" i="7"/>
  <c r="G900" i="7"/>
  <c r="F900" i="7"/>
  <c r="J900" i="7" s="1"/>
  <c r="G899" i="7"/>
  <c r="F899" i="7"/>
  <c r="G898" i="7"/>
  <c r="F898" i="7"/>
  <c r="G897" i="7"/>
  <c r="F897" i="7"/>
  <c r="J896" i="7"/>
  <c r="I896" i="7"/>
  <c r="G896" i="7"/>
  <c r="F896" i="7"/>
  <c r="H896" i="7" s="1"/>
  <c r="H895" i="7"/>
  <c r="G895" i="7"/>
  <c r="F895" i="7"/>
  <c r="J895" i="7" s="1"/>
  <c r="J894" i="7"/>
  <c r="H894" i="7"/>
  <c r="G894" i="7"/>
  <c r="F894" i="7"/>
  <c r="I894" i="7" s="1"/>
  <c r="J893" i="7"/>
  <c r="I893" i="7"/>
  <c r="H893" i="7"/>
  <c r="G893" i="7"/>
  <c r="F893" i="7"/>
  <c r="J892" i="7"/>
  <c r="H892" i="7"/>
  <c r="G892" i="7"/>
  <c r="F892" i="7"/>
  <c r="I892" i="7" s="1"/>
  <c r="J891" i="7"/>
  <c r="I891" i="7"/>
  <c r="H891" i="7"/>
  <c r="G891" i="7"/>
  <c r="F891" i="7"/>
  <c r="J890" i="7"/>
  <c r="H890" i="7"/>
  <c r="G890" i="7"/>
  <c r="F890" i="7"/>
  <c r="I890" i="7" s="1"/>
  <c r="J889" i="7"/>
  <c r="I889" i="7"/>
  <c r="H889" i="7"/>
  <c r="G889" i="7"/>
  <c r="F889" i="7"/>
  <c r="J888" i="7"/>
  <c r="H888" i="7"/>
  <c r="G888" i="7"/>
  <c r="F888" i="7"/>
  <c r="I888" i="7" s="1"/>
  <c r="J887" i="7"/>
  <c r="I887" i="7"/>
  <c r="H887" i="7"/>
  <c r="G887" i="7"/>
  <c r="F887" i="7"/>
  <c r="J886" i="7"/>
  <c r="H886" i="7"/>
  <c r="G886" i="7"/>
  <c r="F886" i="7"/>
  <c r="I886" i="7" s="1"/>
  <c r="J885" i="7"/>
  <c r="I885" i="7"/>
  <c r="H885" i="7"/>
  <c r="G885" i="7"/>
  <c r="F885" i="7"/>
  <c r="J884" i="7"/>
  <c r="H884" i="7"/>
  <c r="G884" i="7"/>
  <c r="F884" i="7"/>
  <c r="I884" i="7" s="1"/>
  <c r="J883" i="7"/>
  <c r="I883" i="7"/>
  <c r="H883" i="7"/>
  <c r="G883" i="7"/>
  <c r="F883" i="7"/>
  <c r="J882" i="7"/>
  <c r="H882" i="7"/>
  <c r="G882" i="7"/>
  <c r="F882" i="7"/>
  <c r="I882" i="7" s="1"/>
  <c r="J881" i="7"/>
  <c r="I881" i="7"/>
  <c r="H881" i="7"/>
  <c r="G881" i="7"/>
  <c r="F881" i="7"/>
  <c r="J880" i="7"/>
  <c r="H880" i="7"/>
  <c r="G880" i="7"/>
  <c r="F880" i="7"/>
  <c r="I880" i="7" s="1"/>
  <c r="J879" i="7"/>
  <c r="I879" i="7"/>
  <c r="H879" i="7"/>
  <c r="G879" i="7"/>
  <c r="F879" i="7"/>
  <c r="J878" i="7"/>
  <c r="H878" i="7"/>
  <c r="G878" i="7"/>
  <c r="F878" i="7"/>
  <c r="I878" i="7" s="1"/>
  <c r="J877" i="7"/>
  <c r="I877" i="7"/>
  <c r="H877" i="7"/>
  <c r="G877" i="7"/>
  <c r="F877" i="7"/>
  <c r="J876" i="7"/>
  <c r="H876" i="7"/>
  <c r="G876" i="7"/>
  <c r="F876" i="7"/>
  <c r="I876" i="7" s="1"/>
  <c r="J875" i="7"/>
  <c r="I875" i="7"/>
  <c r="H875" i="7"/>
  <c r="G875" i="7"/>
  <c r="F875" i="7"/>
  <c r="J874" i="7"/>
  <c r="H874" i="7"/>
  <c r="G874" i="7"/>
  <c r="F874" i="7"/>
  <c r="I874" i="7" s="1"/>
  <c r="J873" i="7"/>
  <c r="I873" i="7"/>
  <c r="H873" i="7"/>
  <c r="G873" i="7"/>
  <c r="F873" i="7"/>
  <c r="J872" i="7"/>
  <c r="H872" i="7"/>
  <c r="G872" i="7"/>
  <c r="F872" i="7"/>
  <c r="I872" i="7" s="1"/>
  <c r="J871" i="7"/>
  <c r="I871" i="7"/>
  <c r="H871" i="7"/>
  <c r="G871" i="7"/>
  <c r="F871" i="7"/>
  <c r="J870" i="7"/>
  <c r="G870" i="7"/>
  <c r="F870" i="7"/>
  <c r="I870" i="7" s="1"/>
  <c r="J869" i="7"/>
  <c r="I869" i="7"/>
  <c r="H869" i="7"/>
  <c r="G869" i="7"/>
  <c r="F869" i="7"/>
  <c r="J868" i="7"/>
  <c r="H868" i="7"/>
  <c r="G868" i="7"/>
  <c r="F868" i="7"/>
  <c r="I868" i="7" s="1"/>
  <c r="J867" i="7"/>
  <c r="I867" i="7"/>
  <c r="H867" i="7"/>
  <c r="G867" i="7"/>
  <c r="F867" i="7"/>
  <c r="J866" i="7"/>
  <c r="G866" i="7"/>
  <c r="F866" i="7"/>
  <c r="I866" i="7" s="1"/>
  <c r="J865" i="7"/>
  <c r="I865" i="7"/>
  <c r="H865" i="7"/>
  <c r="G865" i="7"/>
  <c r="F865" i="7"/>
  <c r="J864" i="7"/>
  <c r="H864" i="7"/>
  <c r="G864" i="7"/>
  <c r="F864" i="7"/>
  <c r="I864" i="7" s="1"/>
  <c r="J863" i="7"/>
  <c r="I863" i="7"/>
  <c r="H863" i="7"/>
  <c r="G863" i="7"/>
  <c r="F863" i="7"/>
  <c r="J862" i="7"/>
  <c r="G862" i="7"/>
  <c r="F862" i="7"/>
  <c r="I862" i="7" s="1"/>
  <c r="J861" i="7"/>
  <c r="I861" i="7"/>
  <c r="H861" i="7"/>
  <c r="G861" i="7"/>
  <c r="F861" i="7"/>
  <c r="J860" i="7"/>
  <c r="H860" i="7"/>
  <c r="G860" i="7"/>
  <c r="F860" i="7"/>
  <c r="I860" i="7" s="1"/>
  <c r="J859" i="7"/>
  <c r="I859" i="7"/>
  <c r="H859" i="7"/>
  <c r="G859" i="7"/>
  <c r="F859" i="7"/>
  <c r="J858" i="7"/>
  <c r="G858" i="7"/>
  <c r="F858" i="7"/>
  <c r="I858" i="7" s="1"/>
  <c r="J857" i="7"/>
  <c r="I857" i="7"/>
  <c r="H857" i="7"/>
  <c r="G857" i="7"/>
  <c r="F857" i="7"/>
  <c r="J856" i="7"/>
  <c r="H856" i="7"/>
  <c r="G856" i="7"/>
  <c r="F856" i="7"/>
  <c r="I856" i="7" s="1"/>
  <c r="J855" i="7"/>
  <c r="I855" i="7"/>
  <c r="H855" i="7"/>
  <c r="G855" i="7"/>
  <c r="F855" i="7"/>
  <c r="J854" i="7"/>
  <c r="G854" i="7"/>
  <c r="F854" i="7"/>
  <c r="I854" i="7" s="1"/>
  <c r="J853" i="7"/>
  <c r="I853" i="7"/>
  <c r="H853" i="7"/>
  <c r="G853" i="7"/>
  <c r="F853" i="7"/>
  <c r="J852" i="7"/>
  <c r="H852" i="7"/>
  <c r="G852" i="7"/>
  <c r="F852" i="7"/>
  <c r="I852" i="7" s="1"/>
  <c r="J851" i="7"/>
  <c r="I851" i="7"/>
  <c r="H851" i="7"/>
  <c r="G851" i="7"/>
  <c r="F851" i="7"/>
  <c r="J850" i="7"/>
  <c r="G850" i="7"/>
  <c r="F850" i="7"/>
  <c r="I850" i="7" s="1"/>
  <c r="J849" i="7"/>
  <c r="I849" i="7"/>
  <c r="H849" i="7"/>
  <c r="G849" i="7"/>
  <c r="F849" i="7"/>
  <c r="J848" i="7"/>
  <c r="H848" i="7"/>
  <c r="G848" i="7"/>
  <c r="F848" i="7"/>
  <c r="I848" i="7" s="1"/>
  <c r="J847" i="7"/>
  <c r="I847" i="7"/>
  <c r="H847" i="7"/>
  <c r="G847" i="7"/>
  <c r="F847" i="7"/>
  <c r="J846" i="7"/>
  <c r="G846" i="7"/>
  <c r="F846" i="7"/>
  <c r="I846" i="7" s="1"/>
  <c r="J845" i="7"/>
  <c r="I845" i="7"/>
  <c r="H845" i="7"/>
  <c r="G845" i="7"/>
  <c r="F845" i="7"/>
  <c r="J844" i="7"/>
  <c r="H844" i="7"/>
  <c r="G844" i="7"/>
  <c r="F844" i="7"/>
  <c r="I844" i="7" s="1"/>
  <c r="J843" i="7"/>
  <c r="I843" i="7"/>
  <c r="H843" i="7"/>
  <c r="G843" i="7"/>
  <c r="F843" i="7"/>
  <c r="J842" i="7"/>
  <c r="G842" i="7"/>
  <c r="F842" i="7"/>
  <c r="I842" i="7" s="1"/>
  <c r="J841" i="7"/>
  <c r="I841" i="7"/>
  <c r="H841" i="7"/>
  <c r="G841" i="7"/>
  <c r="F841" i="7"/>
  <c r="J840" i="7"/>
  <c r="H840" i="7"/>
  <c r="G840" i="7"/>
  <c r="F840" i="7"/>
  <c r="I840" i="7" s="1"/>
  <c r="J839" i="7"/>
  <c r="I839" i="7"/>
  <c r="H839" i="7"/>
  <c r="G839" i="7"/>
  <c r="F839" i="7"/>
  <c r="J838" i="7"/>
  <c r="G838" i="7"/>
  <c r="F838" i="7"/>
  <c r="I838" i="7" s="1"/>
  <c r="J837" i="7"/>
  <c r="I837" i="7"/>
  <c r="H837" i="7"/>
  <c r="G837" i="7"/>
  <c r="F837" i="7"/>
  <c r="J836" i="7"/>
  <c r="H836" i="7"/>
  <c r="G836" i="7"/>
  <c r="F836" i="7"/>
  <c r="I836" i="7" s="1"/>
  <c r="J835" i="7"/>
  <c r="I835" i="7"/>
  <c r="H835" i="7"/>
  <c r="G835" i="7"/>
  <c r="F835" i="7"/>
  <c r="J834" i="7"/>
  <c r="G834" i="7"/>
  <c r="F834" i="7"/>
  <c r="I834" i="7" s="1"/>
  <c r="J833" i="7"/>
  <c r="I833" i="7"/>
  <c r="H833" i="7"/>
  <c r="G833" i="7"/>
  <c r="F833" i="7"/>
  <c r="J832" i="7"/>
  <c r="H832" i="7"/>
  <c r="G832" i="7"/>
  <c r="F832" i="7"/>
  <c r="I832" i="7" s="1"/>
  <c r="J831" i="7"/>
  <c r="I831" i="7"/>
  <c r="H831" i="7"/>
  <c r="G831" i="7"/>
  <c r="F831" i="7"/>
  <c r="J830" i="7"/>
  <c r="G830" i="7"/>
  <c r="F830" i="7"/>
  <c r="I830" i="7" s="1"/>
  <c r="J829" i="7"/>
  <c r="I829" i="7"/>
  <c r="H829" i="7"/>
  <c r="G829" i="7"/>
  <c r="F829" i="7"/>
  <c r="J828" i="7"/>
  <c r="H828" i="7"/>
  <c r="G828" i="7"/>
  <c r="F828" i="7"/>
  <c r="I828" i="7" s="1"/>
  <c r="J827" i="7"/>
  <c r="I827" i="7"/>
  <c r="H827" i="7"/>
  <c r="G827" i="7"/>
  <c r="F827" i="7"/>
  <c r="J826" i="7"/>
  <c r="G826" i="7"/>
  <c r="F826" i="7"/>
  <c r="I826" i="7" s="1"/>
  <c r="J825" i="7"/>
  <c r="I825" i="7"/>
  <c r="H825" i="7"/>
  <c r="G825" i="7"/>
  <c r="F825" i="7"/>
  <c r="J824" i="7"/>
  <c r="H824" i="7"/>
  <c r="G824" i="7"/>
  <c r="F824" i="7"/>
  <c r="I824" i="7" s="1"/>
  <c r="J823" i="7"/>
  <c r="I823" i="7"/>
  <c r="H823" i="7"/>
  <c r="G823" i="7"/>
  <c r="F823" i="7"/>
  <c r="J822" i="7"/>
  <c r="G822" i="7"/>
  <c r="F822" i="7"/>
  <c r="I822" i="7" s="1"/>
  <c r="J821" i="7"/>
  <c r="I821" i="7"/>
  <c r="H821" i="7"/>
  <c r="G821" i="7"/>
  <c r="F821" i="7"/>
  <c r="J820" i="7"/>
  <c r="H820" i="7"/>
  <c r="G820" i="7"/>
  <c r="F820" i="7"/>
  <c r="I820" i="7" s="1"/>
  <c r="J819" i="7"/>
  <c r="I819" i="7"/>
  <c r="H819" i="7"/>
  <c r="G819" i="7"/>
  <c r="F819" i="7"/>
  <c r="J818" i="7"/>
  <c r="G818" i="7"/>
  <c r="F818" i="7"/>
  <c r="I818" i="7" s="1"/>
  <c r="J817" i="7"/>
  <c r="I817" i="7"/>
  <c r="H817" i="7"/>
  <c r="G817" i="7"/>
  <c r="F817" i="7"/>
  <c r="J816" i="7"/>
  <c r="H816" i="7"/>
  <c r="G816" i="7"/>
  <c r="F816" i="7"/>
  <c r="I816" i="7" s="1"/>
  <c r="J815" i="7"/>
  <c r="I815" i="7"/>
  <c r="H815" i="7"/>
  <c r="G815" i="7"/>
  <c r="F815" i="7"/>
  <c r="J814" i="7"/>
  <c r="G814" i="7"/>
  <c r="F814" i="7"/>
  <c r="I814" i="7" s="1"/>
  <c r="J813" i="7"/>
  <c r="I813" i="7"/>
  <c r="H813" i="7"/>
  <c r="G813" i="7"/>
  <c r="F813" i="7"/>
  <c r="J812" i="7"/>
  <c r="H812" i="7"/>
  <c r="G812" i="7"/>
  <c r="F812" i="7"/>
  <c r="I812" i="7" s="1"/>
  <c r="J811" i="7"/>
  <c r="I811" i="7"/>
  <c r="H811" i="7"/>
  <c r="G811" i="7"/>
  <c r="F811" i="7"/>
  <c r="J810" i="7"/>
  <c r="G810" i="7"/>
  <c r="F810" i="7"/>
  <c r="I810" i="7" s="1"/>
  <c r="J809" i="7"/>
  <c r="I809" i="7"/>
  <c r="H809" i="7"/>
  <c r="G809" i="7"/>
  <c r="F809" i="7"/>
  <c r="J808" i="7"/>
  <c r="H808" i="7"/>
  <c r="G808" i="7"/>
  <c r="F808" i="7"/>
  <c r="I808" i="7" s="1"/>
  <c r="J807" i="7"/>
  <c r="I807" i="7"/>
  <c r="H807" i="7"/>
  <c r="G807" i="7"/>
  <c r="F807" i="7"/>
  <c r="J806" i="7"/>
  <c r="G806" i="7"/>
  <c r="F806" i="7"/>
  <c r="I806" i="7" s="1"/>
  <c r="J805" i="7"/>
  <c r="I805" i="7"/>
  <c r="H805" i="7"/>
  <c r="G805" i="7"/>
  <c r="F805" i="7"/>
  <c r="J804" i="7"/>
  <c r="H804" i="7"/>
  <c r="G804" i="7"/>
  <c r="F804" i="7"/>
  <c r="I804" i="7" s="1"/>
  <c r="J803" i="7"/>
  <c r="I803" i="7"/>
  <c r="H803" i="7"/>
  <c r="G803" i="7"/>
  <c r="F803" i="7"/>
  <c r="J802" i="7"/>
  <c r="G802" i="7"/>
  <c r="F802" i="7"/>
  <c r="I802" i="7" s="1"/>
  <c r="J801" i="7"/>
  <c r="I801" i="7"/>
  <c r="H801" i="7"/>
  <c r="G801" i="7"/>
  <c r="F801" i="7"/>
  <c r="J800" i="7"/>
  <c r="H800" i="7"/>
  <c r="G800" i="7"/>
  <c r="F800" i="7"/>
  <c r="I800" i="7" s="1"/>
  <c r="J799" i="7"/>
  <c r="I799" i="7"/>
  <c r="H799" i="7"/>
  <c r="G799" i="7"/>
  <c r="F799" i="7"/>
  <c r="J798" i="7"/>
  <c r="G798" i="7"/>
  <c r="F798" i="7"/>
  <c r="I798" i="7" s="1"/>
  <c r="J797" i="7"/>
  <c r="I797" i="7"/>
  <c r="H797" i="7"/>
  <c r="G797" i="7"/>
  <c r="F797" i="7"/>
  <c r="J796" i="7"/>
  <c r="H796" i="7"/>
  <c r="G796" i="7"/>
  <c r="F796" i="7"/>
  <c r="I796" i="7" s="1"/>
  <c r="J795" i="7"/>
  <c r="I795" i="7"/>
  <c r="H795" i="7"/>
  <c r="G795" i="7"/>
  <c r="F795" i="7"/>
  <c r="J794" i="7"/>
  <c r="G794" i="7"/>
  <c r="F794" i="7"/>
  <c r="I794" i="7" s="1"/>
  <c r="J793" i="7"/>
  <c r="I793" i="7"/>
  <c r="H793" i="7"/>
  <c r="G793" i="7"/>
  <c r="F793" i="7"/>
  <c r="J792" i="7"/>
  <c r="H792" i="7"/>
  <c r="G792" i="7"/>
  <c r="F792" i="7"/>
  <c r="I792" i="7" s="1"/>
  <c r="J791" i="7"/>
  <c r="I791" i="7"/>
  <c r="H791" i="7"/>
  <c r="G791" i="7"/>
  <c r="F791" i="7"/>
  <c r="J790" i="7"/>
  <c r="G790" i="7"/>
  <c r="F790" i="7"/>
  <c r="I790" i="7" s="1"/>
  <c r="J789" i="7"/>
  <c r="I789" i="7"/>
  <c r="H789" i="7"/>
  <c r="G789" i="7"/>
  <c r="F789" i="7"/>
  <c r="J788" i="7"/>
  <c r="H788" i="7"/>
  <c r="G788" i="7"/>
  <c r="F788" i="7"/>
  <c r="I788" i="7" s="1"/>
  <c r="J787" i="7"/>
  <c r="I787" i="7"/>
  <c r="H787" i="7"/>
  <c r="G787" i="7"/>
  <c r="F787" i="7"/>
  <c r="J786" i="7"/>
  <c r="G786" i="7"/>
  <c r="F786" i="7"/>
  <c r="I786" i="7" s="1"/>
  <c r="J785" i="7"/>
  <c r="I785" i="7"/>
  <c r="H785" i="7"/>
  <c r="G785" i="7"/>
  <c r="F785" i="7"/>
  <c r="J784" i="7"/>
  <c r="H784" i="7"/>
  <c r="G784" i="7"/>
  <c r="F784" i="7"/>
  <c r="I784" i="7" s="1"/>
  <c r="J783" i="7"/>
  <c r="I783" i="7"/>
  <c r="H783" i="7"/>
  <c r="G783" i="7"/>
  <c r="F783" i="7"/>
  <c r="J782" i="7"/>
  <c r="G782" i="7"/>
  <c r="F782" i="7"/>
  <c r="I782" i="7" s="1"/>
  <c r="J781" i="7"/>
  <c r="I781" i="7"/>
  <c r="H781" i="7"/>
  <c r="G781" i="7"/>
  <c r="F781" i="7"/>
  <c r="J780" i="7"/>
  <c r="H780" i="7"/>
  <c r="G780" i="7"/>
  <c r="F780" i="7"/>
  <c r="I780" i="7" s="1"/>
  <c r="J779" i="7"/>
  <c r="I779" i="7"/>
  <c r="H779" i="7"/>
  <c r="G779" i="7"/>
  <c r="F779" i="7"/>
  <c r="J778" i="7"/>
  <c r="G778" i="7"/>
  <c r="F778" i="7"/>
  <c r="I778" i="7" s="1"/>
  <c r="J777" i="7"/>
  <c r="I777" i="7"/>
  <c r="H777" i="7"/>
  <c r="G777" i="7"/>
  <c r="F777" i="7"/>
  <c r="J776" i="7"/>
  <c r="H776" i="7"/>
  <c r="G776" i="7"/>
  <c r="F776" i="7"/>
  <c r="I776" i="7" s="1"/>
  <c r="J775" i="7"/>
  <c r="I775" i="7"/>
  <c r="H775" i="7"/>
  <c r="G775" i="7"/>
  <c r="F775" i="7"/>
  <c r="J774" i="7"/>
  <c r="G774" i="7"/>
  <c r="F774" i="7"/>
  <c r="I774" i="7" s="1"/>
  <c r="J773" i="7"/>
  <c r="I773" i="7"/>
  <c r="H773" i="7"/>
  <c r="G773" i="7"/>
  <c r="F773" i="7"/>
  <c r="J772" i="7"/>
  <c r="H772" i="7"/>
  <c r="G772" i="7"/>
  <c r="F772" i="7"/>
  <c r="I772" i="7" s="1"/>
  <c r="J771" i="7"/>
  <c r="I771" i="7"/>
  <c r="H771" i="7"/>
  <c r="G771" i="7"/>
  <c r="F771" i="7"/>
  <c r="J770" i="7"/>
  <c r="G770" i="7"/>
  <c r="F770" i="7"/>
  <c r="I770" i="7" s="1"/>
  <c r="J769" i="7"/>
  <c r="I769" i="7"/>
  <c r="H769" i="7"/>
  <c r="G769" i="7"/>
  <c r="F769" i="7"/>
  <c r="J768" i="7"/>
  <c r="H768" i="7"/>
  <c r="G768" i="7"/>
  <c r="F768" i="7"/>
  <c r="I768" i="7" s="1"/>
  <c r="J767" i="7"/>
  <c r="I767" i="7"/>
  <c r="H767" i="7"/>
  <c r="G767" i="7"/>
  <c r="F767" i="7"/>
  <c r="J766" i="7"/>
  <c r="G766" i="7"/>
  <c r="F766" i="7"/>
  <c r="I766" i="7" s="1"/>
  <c r="J765" i="7"/>
  <c r="I765" i="7"/>
  <c r="H765" i="7"/>
  <c r="G765" i="7"/>
  <c r="F765" i="7"/>
  <c r="J764" i="7"/>
  <c r="H764" i="7"/>
  <c r="G764" i="7"/>
  <c r="F764" i="7"/>
  <c r="I764" i="7" s="1"/>
  <c r="J763" i="7"/>
  <c r="I763" i="7"/>
  <c r="H763" i="7"/>
  <c r="G763" i="7"/>
  <c r="F763" i="7"/>
  <c r="J762" i="7"/>
  <c r="G762" i="7"/>
  <c r="F762" i="7"/>
  <c r="I762" i="7" s="1"/>
  <c r="J761" i="7"/>
  <c r="I761" i="7"/>
  <c r="H761" i="7"/>
  <c r="G761" i="7"/>
  <c r="F761" i="7"/>
  <c r="J760" i="7"/>
  <c r="H760" i="7"/>
  <c r="G760" i="7"/>
  <c r="F760" i="7"/>
  <c r="I760" i="7" s="1"/>
  <c r="J759" i="7"/>
  <c r="I759" i="7"/>
  <c r="H759" i="7"/>
  <c r="G759" i="7"/>
  <c r="F759" i="7"/>
  <c r="J758" i="7"/>
  <c r="G758" i="7"/>
  <c r="F758" i="7"/>
  <c r="I758" i="7" s="1"/>
  <c r="J757" i="7"/>
  <c r="I757" i="7"/>
  <c r="H757" i="7"/>
  <c r="G757" i="7"/>
  <c r="F757" i="7"/>
  <c r="J756" i="7"/>
  <c r="H756" i="7"/>
  <c r="G756" i="7"/>
  <c r="F756" i="7"/>
  <c r="I756" i="7" s="1"/>
  <c r="J755" i="7"/>
  <c r="I755" i="7"/>
  <c r="H755" i="7"/>
  <c r="G755" i="7"/>
  <c r="F755" i="7"/>
  <c r="J754" i="7"/>
  <c r="G754" i="7"/>
  <c r="F754" i="7"/>
  <c r="I754" i="7" s="1"/>
  <c r="J753" i="7"/>
  <c r="I753" i="7"/>
  <c r="H753" i="7"/>
  <c r="G753" i="7"/>
  <c r="F753" i="7"/>
  <c r="J752" i="7"/>
  <c r="H752" i="7"/>
  <c r="G752" i="7"/>
  <c r="F752" i="7"/>
  <c r="I752" i="7" s="1"/>
  <c r="J751" i="7"/>
  <c r="I751" i="7"/>
  <c r="H751" i="7"/>
  <c r="G751" i="7"/>
  <c r="F751" i="7"/>
  <c r="J750" i="7"/>
  <c r="G750" i="7"/>
  <c r="F750" i="7"/>
  <c r="I750" i="7" s="1"/>
  <c r="J749" i="7"/>
  <c r="I749" i="7"/>
  <c r="H749" i="7"/>
  <c r="G749" i="7"/>
  <c r="F749" i="7"/>
  <c r="J748" i="7"/>
  <c r="H748" i="7"/>
  <c r="G748" i="7"/>
  <c r="F748" i="7"/>
  <c r="I748" i="7" s="1"/>
  <c r="J747" i="7"/>
  <c r="I747" i="7"/>
  <c r="H747" i="7"/>
  <c r="G747" i="7"/>
  <c r="F747" i="7"/>
  <c r="J746" i="7"/>
  <c r="G746" i="7"/>
  <c r="F746" i="7"/>
  <c r="I746" i="7" s="1"/>
  <c r="J745" i="7"/>
  <c r="I745" i="7"/>
  <c r="H745" i="7"/>
  <c r="G745" i="7"/>
  <c r="F745" i="7"/>
  <c r="J744" i="7"/>
  <c r="H744" i="7"/>
  <c r="G744" i="7"/>
  <c r="F744" i="7"/>
  <c r="I744" i="7" s="1"/>
  <c r="J743" i="7"/>
  <c r="I743" i="7"/>
  <c r="H743" i="7"/>
  <c r="G743" i="7"/>
  <c r="F743" i="7"/>
  <c r="J742" i="7"/>
  <c r="G742" i="7"/>
  <c r="F742" i="7"/>
  <c r="I742" i="7" s="1"/>
  <c r="J741" i="7"/>
  <c r="I741" i="7"/>
  <c r="H741" i="7"/>
  <c r="G741" i="7"/>
  <c r="F741" i="7"/>
  <c r="J740" i="7"/>
  <c r="H740" i="7"/>
  <c r="G740" i="7"/>
  <c r="F740" i="7"/>
  <c r="I740" i="7" s="1"/>
  <c r="J739" i="7"/>
  <c r="I739" i="7"/>
  <c r="H739" i="7"/>
  <c r="G739" i="7"/>
  <c r="F739" i="7"/>
  <c r="J738" i="7"/>
  <c r="G738" i="7"/>
  <c r="F738" i="7"/>
  <c r="I738" i="7" s="1"/>
  <c r="J737" i="7"/>
  <c r="I737" i="7"/>
  <c r="H737" i="7"/>
  <c r="G737" i="7"/>
  <c r="F737" i="7"/>
  <c r="J736" i="7"/>
  <c r="H736" i="7"/>
  <c r="G736" i="7"/>
  <c r="F736" i="7"/>
  <c r="I736" i="7" s="1"/>
  <c r="J735" i="7"/>
  <c r="I735" i="7"/>
  <c r="H735" i="7"/>
  <c r="G735" i="7"/>
  <c r="F735" i="7"/>
  <c r="J734" i="7"/>
  <c r="G734" i="7"/>
  <c r="F734" i="7"/>
  <c r="I734" i="7" s="1"/>
  <c r="J733" i="7"/>
  <c r="I733" i="7"/>
  <c r="H733" i="7"/>
  <c r="G733" i="7"/>
  <c r="F733" i="7"/>
  <c r="J732" i="7"/>
  <c r="H732" i="7"/>
  <c r="G732" i="7"/>
  <c r="F732" i="7"/>
  <c r="I732" i="7" s="1"/>
  <c r="J731" i="7"/>
  <c r="I731" i="7"/>
  <c r="H731" i="7"/>
  <c r="G731" i="7"/>
  <c r="F731" i="7"/>
  <c r="J730" i="7"/>
  <c r="G730" i="7"/>
  <c r="F730" i="7"/>
  <c r="I730" i="7" s="1"/>
  <c r="J729" i="7"/>
  <c r="I729" i="7"/>
  <c r="H729" i="7"/>
  <c r="G729" i="7"/>
  <c r="F729" i="7"/>
  <c r="J728" i="7"/>
  <c r="H728" i="7"/>
  <c r="G728" i="7"/>
  <c r="F728" i="7"/>
  <c r="I728" i="7" s="1"/>
  <c r="J727" i="7"/>
  <c r="I727" i="7"/>
  <c r="H727" i="7"/>
  <c r="G727" i="7"/>
  <c r="F727" i="7"/>
  <c r="J726" i="7"/>
  <c r="G726" i="7"/>
  <c r="F726" i="7"/>
  <c r="J725" i="7"/>
  <c r="I725" i="7"/>
  <c r="H725" i="7"/>
  <c r="G725" i="7"/>
  <c r="F725" i="7"/>
  <c r="J724" i="7"/>
  <c r="H724" i="7"/>
  <c r="G724" i="7"/>
  <c r="F724" i="7"/>
  <c r="I724" i="7" s="1"/>
  <c r="J723" i="7"/>
  <c r="I723" i="7"/>
  <c r="H723" i="7"/>
  <c r="G723" i="7"/>
  <c r="F723" i="7"/>
  <c r="G722" i="7"/>
  <c r="F722" i="7"/>
  <c r="J721" i="7"/>
  <c r="I721" i="7"/>
  <c r="H721" i="7"/>
  <c r="G721" i="7"/>
  <c r="F721" i="7"/>
  <c r="J720" i="7"/>
  <c r="H720" i="7"/>
  <c r="G720" i="7"/>
  <c r="F720" i="7"/>
  <c r="I720" i="7" s="1"/>
  <c r="J719" i="7"/>
  <c r="I719" i="7"/>
  <c r="H719" i="7"/>
  <c r="G719" i="7"/>
  <c r="F719" i="7"/>
  <c r="G718" i="7"/>
  <c r="F718" i="7"/>
  <c r="J717" i="7"/>
  <c r="I717" i="7"/>
  <c r="H717" i="7"/>
  <c r="G717" i="7"/>
  <c r="F717" i="7"/>
  <c r="J716" i="7"/>
  <c r="G716" i="7"/>
  <c r="F716" i="7"/>
  <c r="I716" i="7" s="1"/>
  <c r="J715" i="7"/>
  <c r="I715" i="7"/>
  <c r="H715" i="7"/>
  <c r="G715" i="7"/>
  <c r="F715" i="7"/>
  <c r="G714" i="7"/>
  <c r="F714" i="7"/>
  <c r="J713" i="7"/>
  <c r="I713" i="7"/>
  <c r="H713" i="7"/>
  <c r="G713" i="7"/>
  <c r="F713" i="7"/>
  <c r="J712" i="7"/>
  <c r="H712" i="7"/>
  <c r="G712" i="7"/>
  <c r="F712" i="7"/>
  <c r="I712" i="7" s="1"/>
  <c r="J711" i="7"/>
  <c r="I711" i="7"/>
  <c r="H711" i="7"/>
  <c r="G711" i="7"/>
  <c r="F711" i="7"/>
  <c r="J710" i="7"/>
  <c r="G710" i="7"/>
  <c r="F710" i="7"/>
  <c r="J709" i="7"/>
  <c r="I709" i="7"/>
  <c r="H709" i="7"/>
  <c r="G709" i="7"/>
  <c r="F709" i="7"/>
  <c r="H708" i="7"/>
  <c r="G708" i="7"/>
  <c r="F708" i="7"/>
  <c r="I708" i="7" s="1"/>
  <c r="J707" i="7"/>
  <c r="I707" i="7"/>
  <c r="H707" i="7"/>
  <c r="G707" i="7"/>
  <c r="F707" i="7"/>
  <c r="G706" i="7"/>
  <c r="F706" i="7"/>
  <c r="J705" i="7"/>
  <c r="I705" i="7"/>
  <c r="H705" i="7"/>
  <c r="G705" i="7"/>
  <c r="F705" i="7"/>
  <c r="G704" i="7"/>
  <c r="F704" i="7"/>
  <c r="I704" i="7" s="1"/>
  <c r="J703" i="7"/>
  <c r="I703" i="7"/>
  <c r="H703" i="7"/>
  <c r="G703" i="7"/>
  <c r="F703" i="7"/>
  <c r="J702" i="7"/>
  <c r="G702" i="7"/>
  <c r="F702" i="7"/>
  <c r="J701" i="7"/>
  <c r="I701" i="7"/>
  <c r="H701" i="7"/>
  <c r="G701" i="7"/>
  <c r="F701" i="7"/>
  <c r="G700" i="7"/>
  <c r="F700" i="7"/>
  <c r="I700" i="7" s="1"/>
  <c r="J699" i="7"/>
  <c r="I699" i="7"/>
  <c r="H699" i="7"/>
  <c r="G699" i="7"/>
  <c r="F699" i="7"/>
  <c r="J698" i="7"/>
  <c r="G698" i="7"/>
  <c r="F698" i="7"/>
  <c r="J697" i="7"/>
  <c r="I697" i="7"/>
  <c r="H697" i="7"/>
  <c r="G697" i="7"/>
  <c r="F697" i="7"/>
  <c r="J696" i="7"/>
  <c r="H696" i="7"/>
  <c r="G696" i="7"/>
  <c r="F696" i="7"/>
  <c r="I696" i="7" s="1"/>
  <c r="J695" i="7"/>
  <c r="I695" i="7"/>
  <c r="H695" i="7"/>
  <c r="G695" i="7"/>
  <c r="F695" i="7"/>
  <c r="G694" i="7"/>
  <c r="F694" i="7"/>
  <c r="J693" i="7"/>
  <c r="I693" i="7"/>
  <c r="H693" i="7"/>
  <c r="G693" i="7"/>
  <c r="F693" i="7"/>
  <c r="J692" i="7"/>
  <c r="G692" i="7"/>
  <c r="F692" i="7"/>
  <c r="I692" i="7" s="1"/>
  <c r="J691" i="7"/>
  <c r="I691" i="7"/>
  <c r="H691" i="7"/>
  <c r="G691" i="7"/>
  <c r="F691" i="7"/>
  <c r="G690" i="7"/>
  <c r="F690" i="7"/>
  <c r="J689" i="7"/>
  <c r="I689" i="7"/>
  <c r="H689" i="7"/>
  <c r="G689" i="7"/>
  <c r="F689" i="7"/>
  <c r="J688" i="7"/>
  <c r="H688" i="7"/>
  <c r="G688" i="7"/>
  <c r="F688" i="7"/>
  <c r="I688" i="7" s="1"/>
  <c r="J687" i="7"/>
  <c r="I687" i="7"/>
  <c r="H687" i="7"/>
  <c r="G687" i="7"/>
  <c r="F687" i="7"/>
  <c r="J686" i="7"/>
  <c r="G686" i="7"/>
  <c r="F686" i="7"/>
  <c r="J685" i="7"/>
  <c r="I685" i="7"/>
  <c r="H685" i="7"/>
  <c r="G685" i="7"/>
  <c r="F685" i="7"/>
  <c r="I684" i="7"/>
  <c r="H684" i="7"/>
  <c r="G684" i="7"/>
  <c r="F684" i="7"/>
  <c r="J684" i="7" s="1"/>
  <c r="G683" i="7"/>
  <c r="F683" i="7"/>
  <c r="J683" i="7" s="1"/>
  <c r="I682" i="7"/>
  <c r="H682" i="7"/>
  <c r="G682" i="7"/>
  <c r="F682" i="7"/>
  <c r="J682" i="7" s="1"/>
  <c r="G681" i="7"/>
  <c r="F681" i="7"/>
  <c r="J681" i="7" s="1"/>
  <c r="I680" i="7"/>
  <c r="H680" i="7"/>
  <c r="G680" i="7"/>
  <c r="F680" i="7"/>
  <c r="J680" i="7" s="1"/>
  <c r="G679" i="7"/>
  <c r="F679" i="7"/>
  <c r="J679" i="7" s="1"/>
  <c r="I678" i="7"/>
  <c r="H678" i="7"/>
  <c r="G678" i="7"/>
  <c r="F678" i="7"/>
  <c r="J678" i="7" s="1"/>
  <c r="G677" i="7"/>
  <c r="F677" i="7"/>
  <c r="J677" i="7" s="1"/>
  <c r="I676" i="7"/>
  <c r="H676" i="7"/>
  <c r="G676" i="7"/>
  <c r="F676" i="7"/>
  <c r="J676" i="7" s="1"/>
  <c r="G675" i="7"/>
  <c r="F675" i="7"/>
  <c r="J675" i="7" s="1"/>
  <c r="I674" i="7"/>
  <c r="H674" i="7"/>
  <c r="G674" i="7"/>
  <c r="F674" i="7"/>
  <c r="J674" i="7" s="1"/>
  <c r="G673" i="7"/>
  <c r="F673" i="7"/>
  <c r="J673" i="7" s="1"/>
  <c r="I672" i="7"/>
  <c r="H672" i="7"/>
  <c r="G672" i="7"/>
  <c r="F672" i="7"/>
  <c r="J672" i="7" s="1"/>
  <c r="G671" i="7"/>
  <c r="F671" i="7"/>
  <c r="J671" i="7" s="1"/>
  <c r="I670" i="7"/>
  <c r="H670" i="7"/>
  <c r="G670" i="7"/>
  <c r="F670" i="7"/>
  <c r="J670" i="7" s="1"/>
  <c r="G669" i="7"/>
  <c r="F669" i="7"/>
  <c r="J669" i="7" s="1"/>
  <c r="I668" i="7"/>
  <c r="H668" i="7"/>
  <c r="G668" i="7"/>
  <c r="F668" i="7"/>
  <c r="J668" i="7" s="1"/>
  <c r="G667" i="7"/>
  <c r="F667" i="7"/>
  <c r="J667" i="7" s="1"/>
  <c r="I666" i="7"/>
  <c r="H666" i="7"/>
  <c r="G666" i="7"/>
  <c r="F666" i="7"/>
  <c r="J666" i="7" s="1"/>
  <c r="G665" i="7"/>
  <c r="F665" i="7"/>
  <c r="J665" i="7" s="1"/>
  <c r="I664" i="7"/>
  <c r="H664" i="7"/>
  <c r="G664" i="7"/>
  <c r="F664" i="7"/>
  <c r="J664" i="7" s="1"/>
  <c r="G663" i="7"/>
  <c r="F663" i="7"/>
  <c r="J663" i="7" s="1"/>
  <c r="I662" i="7"/>
  <c r="H662" i="7"/>
  <c r="G662" i="7"/>
  <c r="F662" i="7"/>
  <c r="J662" i="7" s="1"/>
  <c r="G661" i="7"/>
  <c r="F661" i="7"/>
  <c r="J661" i="7" s="1"/>
  <c r="I660" i="7"/>
  <c r="H660" i="7"/>
  <c r="G660" i="7"/>
  <c r="F660" i="7"/>
  <c r="J660" i="7" s="1"/>
  <c r="G659" i="7"/>
  <c r="F659" i="7"/>
  <c r="J659" i="7" s="1"/>
  <c r="I658" i="7"/>
  <c r="H658" i="7"/>
  <c r="G658" i="7"/>
  <c r="F658" i="7"/>
  <c r="J658" i="7" s="1"/>
  <c r="G657" i="7"/>
  <c r="F657" i="7"/>
  <c r="J657" i="7" s="1"/>
  <c r="I656" i="7"/>
  <c r="H656" i="7"/>
  <c r="G656" i="7"/>
  <c r="F656" i="7"/>
  <c r="J656" i="7" s="1"/>
  <c r="G655" i="7"/>
  <c r="F655" i="7"/>
  <c r="J655" i="7" s="1"/>
  <c r="I654" i="7"/>
  <c r="H654" i="7"/>
  <c r="G654" i="7"/>
  <c r="F654" i="7"/>
  <c r="J654" i="7" s="1"/>
  <c r="G653" i="7"/>
  <c r="F653" i="7"/>
  <c r="J653" i="7" s="1"/>
  <c r="I652" i="7"/>
  <c r="H652" i="7"/>
  <c r="G652" i="7"/>
  <c r="F652" i="7"/>
  <c r="J652" i="7" s="1"/>
  <c r="G651" i="7"/>
  <c r="F651" i="7"/>
  <c r="J651" i="7" s="1"/>
  <c r="I650" i="7"/>
  <c r="H650" i="7"/>
  <c r="G650" i="7"/>
  <c r="F650" i="7"/>
  <c r="J650" i="7" s="1"/>
  <c r="G649" i="7"/>
  <c r="F649" i="7"/>
  <c r="J649" i="7" s="1"/>
  <c r="I648" i="7"/>
  <c r="H648" i="7"/>
  <c r="G648" i="7"/>
  <c r="F648" i="7"/>
  <c r="J648" i="7" s="1"/>
  <c r="G647" i="7"/>
  <c r="F647" i="7"/>
  <c r="J647" i="7" s="1"/>
  <c r="I646" i="7"/>
  <c r="H646" i="7"/>
  <c r="G646" i="7"/>
  <c r="F646" i="7"/>
  <c r="J646" i="7" s="1"/>
  <c r="G645" i="7"/>
  <c r="F645" i="7"/>
  <c r="J645" i="7" s="1"/>
  <c r="I644" i="7"/>
  <c r="H644" i="7"/>
  <c r="G644" i="7"/>
  <c r="F644" i="7"/>
  <c r="J644" i="7" s="1"/>
  <c r="G643" i="7"/>
  <c r="F643" i="7"/>
  <c r="J643" i="7" s="1"/>
  <c r="I642" i="7"/>
  <c r="H642" i="7"/>
  <c r="G642" i="7"/>
  <c r="F642" i="7"/>
  <c r="J642" i="7" s="1"/>
  <c r="G641" i="7"/>
  <c r="F641" i="7"/>
  <c r="J641" i="7" s="1"/>
  <c r="I640" i="7"/>
  <c r="H640" i="7"/>
  <c r="G640" i="7"/>
  <c r="F640" i="7"/>
  <c r="J640" i="7" s="1"/>
  <c r="G639" i="7"/>
  <c r="F639" i="7"/>
  <c r="J639" i="7" s="1"/>
  <c r="I638" i="7"/>
  <c r="H638" i="7"/>
  <c r="G638" i="7"/>
  <c r="F638" i="7"/>
  <c r="J638" i="7" s="1"/>
  <c r="G637" i="7"/>
  <c r="F637" i="7"/>
  <c r="J637" i="7" s="1"/>
  <c r="I636" i="7"/>
  <c r="H636" i="7"/>
  <c r="G636" i="7"/>
  <c r="F636" i="7"/>
  <c r="J636" i="7" s="1"/>
  <c r="G635" i="7"/>
  <c r="F635" i="7"/>
  <c r="J635" i="7" s="1"/>
  <c r="I634" i="7"/>
  <c r="H634" i="7"/>
  <c r="G634" i="7"/>
  <c r="F634" i="7"/>
  <c r="J634" i="7" s="1"/>
  <c r="G633" i="7"/>
  <c r="F633" i="7"/>
  <c r="J633" i="7" s="1"/>
  <c r="I632" i="7"/>
  <c r="H632" i="7"/>
  <c r="G632" i="7"/>
  <c r="F632" i="7"/>
  <c r="J632" i="7" s="1"/>
  <c r="G631" i="7"/>
  <c r="F631" i="7"/>
  <c r="J631" i="7" s="1"/>
  <c r="I630" i="7"/>
  <c r="H630" i="7"/>
  <c r="G630" i="7"/>
  <c r="F630" i="7"/>
  <c r="J630" i="7" s="1"/>
  <c r="G629" i="7"/>
  <c r="F629" i="7"/>
  <c r="J629" i="7" s="1"/>
  <c r="I628" i="7"/>
  <c r="H628" i="7"/>
  <c r="G628" i="7"/>
  <c r="F628" i="7"/>
  <c r="J628" i="7" s="1"/>
  <c r="G627" i="7"/>
  <c r="F627" i="7"/>
  <c r="J627" i="7" s="1"/>
  <c r="I626" i="7"/>
  <c r="H626" i="7"/>
  <c r="G626" i="7"/>
  <c r="F626" i="7"/>
  <c r="J626" i="7" s="1"/>
  <c r="G625" i="7"/>
  <c r="F625" i="7"/>
  <c r="J625" i="7" s="1"/>
  <c r="I624" i="7"/>
  <c r="H624" i="7"/>
  <c r="G624" i="7"/>
  <c r="F624" i="7"/>
  <c r="J624" i="7" s="1"/>
  <c r="G623" i="7"/>
  <c r="F623" i="7"/>
  <c r="J623" i="7" s="1"/>
  <c r="I622" i="7"/>
  <c r="H622" i="7"/>
  <c r="G622" i="7"/>
  <c r="F622" i="7"/>
  <c r="J622" i="7" s="1"/>
  <c r="G621" i="7"/>
  <c r="F621" i="7"/>
  <c r="J621" i="7" s="1"/>
  <c r="I620" i="7"/>
  <c r="H620" i="7"/>
  <c r="G620" i="7"/>
  <c r="F620" i="7"/>
  <c r="J620" i="7" s="1"/>
  <c r="G619" i="7"/>
  <c r="F619" i="7"/>
  <c r="J619" i="7" s="1"/>
  <c r="I618" i="7"/>
  <c r="H618" i="7"/>
  <c r="G618" i="7"/>
  <c r="F618" i="7"/>
  <c r="J618" i="7" s="1"/>
  <c r="G617" i="7"/>
  <c r="F617" i="7"/>
  <c r="J617" i="7" s="1"/>
  <c r="I616" i="7"/>
  <c r="H616" i="7"/>
  <c r="G616" i="7"/>
  <c r="F616" i="7"/>
  <c r="J616" i="7" s="1"/>
  <c r="G615" i="7"/>
  <c r="F615" i="7"/>
  <c r="J615" i="7" s="1"/>
  <c r="I614" i="7"/>
  <c r="H614" i="7"/>
  <c r="G614" i="7"/>
  <c r="F614" i="7"/>
  <c r="J614" i="7" s="1"/>
  <c r="G613" i="7"/>
  <c r="F613" i="7"/>
  <c r="J613" i="7" s="1"/>
  <c r="I612" i="7"/>
  <c r="H612" i="7"/>
  <c r="G612" i="7"/>
  <c r="F612" i="7"/>
  <c r="J612" i="7" s="1"/>
  <c r="G611" i="7"/>
  <c r="F611" i="7"/>
  <c r="J611" i="7" s="1"/>
  <c r="I610" i="7"/>
  <c r="H610" i="7"/>
  <c r="G610" i="7"/>
  <c r="F610" i="7"/>
  <c r="J610" i="7" s="1"/>
  <c r="G609" i="7"/>
  <c r="F609" i="7"/>
  <c r="J609" i="7" s="1"/>
  <c r="I608" i="7"/>
  <c r="H608" i="7"/>
  <c r="G608" i="7"/>
  <c r="F608" i="7"/>
  <c r="J608" i="7" s="1"/>
  <c r="G607" i="7"/>
  <c r="F607" i="7"/>
  <c r="J607" i="7" s="1"/>
  <c r="I606" i="7"/>
  <c r="H606" i="7"/>
  <c r="G606" i="7"/>
  <c r="F606" i="7"/>
  <c r="J606" i="7" s="1"/>
  <c r="G605" i="7"/>
  <c r="F605" i="7"/>
  <c r="J605" i="7" s="1"/>
  <c r="I604" i="7"/>
  <c r="H604" i="7"/>
  <c r="G604" i="7"/>
  <c r="F604" i="7"/>
  <c r="J604" i="7" s="1"/>
  <c r="G603" i="7"/>
  <c r="F603" i="7"/>
  <c r="J603" i="7" s="1"/>
  <c r="I602" i="7"/>
  <c r="H602" i="7"/>
  <c r="G602" i="7"/>
  <c r="F602" i="7"/>
  <c r="J602" i="7" s="1"/>
  <c r="G601" i="7"/>
  <c r="F601" i="7"/>
  <c r="J601" i="7" s="1"/>
  <c r="I600" i="7"/>
  <c r="H600" i="7"/>
  <c r="G600" i="7"/>
  <c r="F600" i="7"/>
  <c r="J600" i="7" s="1"/>
  <c r="G599" i="7"/>
  <c r="F599" i="7"/>
  <c r="J599" i="7" s="1"/>
  <c r="I598" i="7"/>
  <c r="H598" i="7"/>
  <c r="G598" i="7"/>
  <c r="F598" i="7"/>
  <c r="J598" i="7" s="1"/>
  <c r="G597" i="7"/>
  <c r="F597" i="7"/>
  <c r="J597" i="7" s="1"/>
  <c r="I596" i="7"/>
  <c r="H596" i="7"/>
  <c r="G596" i="7"/>
  <c r="F596" i="7"/>
  <c r="J596" i="7" s="1"/>
  <c r="G595" i="7"/>
  <c r="F595" i="7"/>
  <c r="J595" i="7" s="1"/>
  <c r="I594" i="7"/>
  <c r="H594" i="7"/>
  <c r="G594" i="7"/>
  <c r="F594" i="7"/>
  <c r="J594" i="7" s="1"/>
  <c r="G593" i="7"/>
  <c r="F593" i="7"/>
  <c r="J593" i="7" s="1"/>
  <c r="I592" i="7"/>
  <c r="H592" i="7"/>
  <c r="G592" i="7"/>
  <c r="F592" i="7"/>
  <c r="J592" i="7" s="1"/>
  <c r="G591" i="7"/>
  <c r="F591" i="7"/>
  <c r="J591" i="7" s="1"/>
  <c r="I590" i="7"/>
  <c r="H590" i="7"/>
  <c r="G590" i="7"/>
  <c r="F590" i="7"/>
  <c r="J590" i="7" s="1"/>
  <c r="G589" i="7"/>
  <c r="F589" i="7"/>
  <c r="J589" i="7" s="1"/>
  <c r="I588" i="7"/>
  <c r="H588" i="7"/>
  <c r="G588" i="7"/>
  <c r="F588" i="7"/>
  <c r="J588" i="7" s="1"/>
  <c r="G587" i="7"/>
  <c r="F587" i="7"/>
  <c r="J587" i="7" s="1"/>
  <c r="I586" i="7"/>
  <c r="H586" i="7"/>
  <c r="G586" i="7"/>
  <c r="F586" i="7"/>
  <c r="J586" i="7" s="1"/>
  <c r="G585" i="7"/>
  <c r="F585" i="7"/>
  <c r="J585" i="7" s="1"/>
  <c r="I584" i="7"/>
  <c r="H584" i="7"/>
  <c r="G584" i="7"/>
  <c r="F584" i="7"/>
  <c r="J584" i="7" s="1"/>
  <c r="G583" i="7"/>
  <c r="F583" i="7"/>
  <c r="J583" i="7" s="1"/>
  <c r="I582" i="7"/>
  <c r="H582" i="7"/>
  <c r="G582" i="7"/>
  <c r="F582" i="7"/>
  <c r="J582" i="7" s="1"/>
  <c r="G581" i="7"/>
  <c r="F581" i="7"/>
  <c r="J581" i="7" s="1"/>
  <c r="I580" i="7"/>
  <c r="H580" i="7"/>
  <c r="G580" i="7"/>
  <c r="F580" i="7"/>
  <c r="J580" i="7" s="1"/>
  <c r="G579" i="7"/>
  <c r="F579" i="7"/>
  <c r="J579" i="7" s="1"/>
  <c r="I578" i="7"/>
  <c r="H578" i="7"/>
  <c r="G578" i="7"/>
  <c r="F578" i="7"/>
  <c r="J578" i="7" s="1"/>
  <c r="G577" i="7"/>
  <c r="F577" i="7"/>
  <c r="J577" i="7" s="1"/>
  <c r="I576" i="7"/>
  <c r="H576" i="7"/>
  <c r="G576" i="7"/>
  <c r="F576" i="7"/>
  <c r="J576" i="7" s="1"/>
  <c r="G575" i="7"/>
  <c r="F575" i="7"/>
  <c r="J575" i="7" s="1"/>
  <c r="I574" i="7"/>
  <c r="H574" i="7"/>
  <c r="G574" i="7"/>
  <c r="F574" i="7"/>
  <c r="J574" i="7" s="1"/>
  <c r="G573" i="7"/>
  <c r="F573" i="7"/>
  <c r="J573" i="7" s="1"/>
  <c r="I572" i="7"/>
  <c r="H572" i="7"/>
  <c r="G572" i="7"/>
  <c r="F572" i="7"/>
  <c r="J572" i="7" s="1"/>
  <c r="G571" i="7"/>
  <c r="F571" i="7"/>
  <c r="J571" i="7" s="1"/>
  <c r="I570" i="7"/>
  <c r="H570" i="7"/>
  <c r="G570" i="7"/>
  <c r="F570" i="7"/>
  <c r="J570" i="7" s="1"/>
  <c r="G569" i="7"/>
  <c r="F569" i="7"/>
  <c r="J569" i="7" s="1"/>
  <c r="I568" i="7"/>
  <c r="H568" i="7"/>
  <c r="G568" i="7"/>
  <c r="F568" i="7"/>
  <c r="J568" i="7" s="1"/>
  <c r="G567" i="7"/>
  <c r="F567" i="7"/>
  <c r="J567" i="7" s="1"/>
  <c r="I566" i="7"/>
  <c r="H566" i="7"/>
  <c r="G566" i="7"/>
  <c r="F566" i="7"/>
  <c r="J566" i="7" s="1"/>
  <c r="G565" i="7"/>
  <c r="F565" i="7"/>
  <c r="J565" i="7" s="1"/>
  <c r="I564" i="7"/>
  <c r="H564" i="7"/>
  <c r="G564" i="7"/>
  <c r="F564" i="7"/>
  <c r="J564" i="7" s="1"/>
  <c r="G563" i="7"/>
  <c r="F563" i="7"/>
  <c r="J563" i="7" s="1"/>
  <c r="I562" i="7"/>
  <c r="H562" i="7"/>
  <c r="G562" i="7"/>
  <c r="F562" i="7"/>
  <c r="J562" i="7" s="1"/>
  <c r="G561" i="7"/>
  <c r="F561" i="7"/>
  <c r="J561" i="7" s="1"/>
  <c r="I560" i="7"/>
  <c r="H560" i="7"/>
  <c r="G560" i="7"/>
  <c r="F560" i="7"/>
  <c r="J560" i="7" s="1"/>
  <c r="G559" i="7"/>
  <c r="F559" i="7"/>
  <c r="J559" i="7" s="1"/>
  <c r="I558" i="7"/>
  <c r="H558" i="7"/>
  <c r="G558" i="7"/>
  <c r="F558" i="7"/>
  <c r="J558" i="7" s="1"/>
  <c r="G557" i="7"/>
  <c r="F557" i="7"/>
  <c r="J557" i="7" s="1"/>
  <c r="I556" i="7"/>
  <c r="H556" i="7"/>
  <c r="G556" i="7"/>
  <c r="F556" i="7"/>
  <c r="J556" i="7" s="1"/>
  <c r="G555" i="7"/>
  <c r="F555" i="7"/>
  <c r="J555" i="7" s="1"/>
  <c r="I554" i="7"/>
  <c r="H554" i="7"/>
  <c r="G554" i="7"/>
  <c r="F554" i="7"/>
  <c r="J554" i="7" s="1"/>
  <c r="G553" i="7"/>
  <c r="F553" i="7"/>
  <c r="J553" i="7" s="1"/>
  <c r="I552" i="7"/>
  <c r="H552" i="7"/>
  <c r="G552" i="7"/>
  <c r="F552" i="7"/>
  <c r="J552" i="7" s="1"/>
  <c r="G551" i="7"/>
  <c r="F551" i="7"/>
  <c r="J551" i="7" s="1"/>
  <c r="H550" i="7"/>
  <c r="I550" i="7" s="1"/>
  <c r="G550" i="7"/>
  <c r="F550" i="7"/>
  <c r="G549" i="7"/>
  <c r="F549" i="7"/>
  <c r="G548" i="7"/>
  <c r="F548" i="7"/>
  <c r="G547" i="7"/>
  <c r="F547" i="7"/>
  <c r="H546" i="7"/>
  <c r="I546" i="7" s="1"/>
  <c r="G546" i="7"/>
  <c r="F546" i="7"/>
  <c r="G545" i="7"/>
  <c r="F545" i="7"/>
  <c r="G544" i="7"/>
  <c r="F544" i="7"/>
  <c r="G543" i="7"/>
  <c r="F543" i="7"/>
  <c r="H542" i="7"/>
  <c r="I542" i="7" s="1"/>
  <c r="G542" i="7"/>
  <c r="F542" i="7"/>
  <c r="G541" i="7"/>
  <c r="F541" i="7"/>
  <c r="G540" i="7"/>
  <c r="F540" i="7"/>
  <c r="G539" i="7"/>
  <c r="F539" i="7"/>
  <c r="H538" i="7"/>
  <c r="I538" i="7" s="1"/>
  <c r="G538" i="7"/>
  <c r="F538" i="7"/>
  <c r="G537" i="7"/>
  <c r="F537" i="7"/>
  <c r="G536" i="7"/>
  <c r="F536" i="7"/>
  <c r="G535" i="7"/>
  <c r="F535" i="7"/>
  <c r="H534" i="7"/>
  <c r="I534" i="7" s="1"/>
  <c r="G534" i="7"/>
  <c r="F534" i="7"/>
  <c r="G533" i="7"/>
  <c r="F533" i="7"/>
  <c r="G532" i="7"/>
  <c r="F532" i="7"/>
  <c r="G531" i="7"/>
  <c r="F531" i="7"/>
  <c r="H530" i="7"/>
  <c r="I530" i="7" s="1"/>
  <c r="G530" i="7"/>
  <c r="F530" i="7"/>
  <c r="G529" i="7"/>
  <c r="F529" i="7"/>
  <c r="G528" i="7"/>
  <c r="F528" i="7"/>
  <c r="G527" i="7"/>
  <c r="F527" i="7"/>
  <c r="H526" i="7"/>
  <c r="I526" i="7" s="1"/>
  <c r="G526" i="7"/>
  <c r="F526" i="7"/>
  <c r="G525" i="7"/>
  <c r="F525" i="7"/>
  <c r="G524" i="7"/>
  <c r="F524" i="7"/>
  <c r="G523" i="7"/>
  <c r="F523" i="7"/>
  <c r="H522" i="7"/>
  <c r="I522" i="7" s="1"/>
  <c r="G522" i="7"/>
  <c r="F522" i="7"/>
  <c r="G521" i="7"/>
  <c r="F521" i="7"/>
  <c r="G520" i="7"/>
  <c r="F520" i="7"/>
  <c r="G519" i="7"/>
  <c r="F519" i="7"/>
  <c r="H518" i="7"/>
  <c r="I518" i="7" s="1"/>
  <c r="G518" i="7"/>
  <c r="F518" i="7"/>
  <c r="G517" i="7"/>
  <c r="F517" i="7"/>
  <c r="G516" i="7"/>
  <c r="F516" i="7"/>
  <c r="G515" i="7"/>
  <c r="F515" i="7"/>
  <c r="H514" i="7"/>
  <c r="I514" i="7" s="1"/>
  <c r="G514" i="7"/>
  <c r="F514" i="7"/>
  <c r="G513" i="7"/>
  <c r="F513" i="7"/>
  <c r="G512" i="7"/>
  <c r="F512" i="7"/>
  <c r="G511" i="7"/>
  <c r="F511" i="7"/>
  <c r="H510" i="7"/>
  <c r="I510" i="7" s="1"/>
  <c r="G510" i="7"/>
  <c r="F510" i="7"/>
  <c r="G509" i="7"/>
  <c r="F509" i="7"/>
  <c r="G508" i="7"/>
  <c r="F508" i="7"/>
  <c r="G507" i="7"/>
  <c r="F507" i="7"/>
  <c r="H506" i="7"/>
  <c r="I506" i="7" s="1"/>
  <c r="G506" i="7"/>
  <c r="F506" i="7"/>
  <c r="G505" i="7"/>
  <c r="F505" i="7"/>
  <c r="G504" i="7"/>
  <c r="F504" i="7"/>
  <c r="G503" i="7"/>
  <c r="F503" i="7"/>
  <c r="G502" i="7"/>
  <c r="F502" i="7"/>
  <c r="H502" i="7" s="1"/>
  <c r="I502" i="7" s="1"/>
  <c r="G501" i="7"/>
  <c r="F501" i="7"/>
  <c r="G500" i="7"/>
  <c r="F500" i="7"/>
  <c r="H500" i="7" s="1"/>
  <c r="I500" i="7" s="1"/>
  <c r="G499" i="7"/>
  <c r="F499" i="7"/>
  <c r="G498" i="7"/>
  <c r="F498" i="7"/>
  <c r="H498" i="7" s="1"/>
  <c r="I498" i="7" s="1"/>
  <c r="G497" i="7"/>
  <c r="F497" i="7"/>
  <c r="G496" i="7"/>
  <c r="F496" i="7"/>
  <c r="H496" i="7" s="1"/>
  <c r="I496" i="7" s="1"/>
  <c r="G495" i="7"/>
  <c r="F495" i="7"/>
  <c r="G494" i="7"/>
  <c r="F494" i="7"/>
  <c r="H494" i="7" s="1"/>
  <c r="I494" i="7" s="1"/>
  <c r="G493" i="7"/>
  <c r="F493" i="7"/>
  <c r="G492" i="7"/>
  <c r="F492" i="7"/>
  <c r="H492" i="7" s="1"/>
  <c r="I492" i="7" s="1"/>
  <c r="G491" i="7"/>
  <c r="F491" i="7"/>
  <c r="H490" i="7"/>
  <c r="I490" i="7" s="1"/>
  <c r="G490" i="7"/>
  <c r="F490" i="7"/>
  <c r="G489" i="7"/>
  <c r="F489" i="7"/>
  <c r="H488" i="7"/>
  <c r="I488" i="7" s="1"/>
  <c r="G488" i="7"/>
  <c r="F488" i="7"/>
  <c r="G487" i="7"/>
  <c r="F487" i="7"/>
  <c r="G486" i="7"/>
  <c r="F486" i="7"/>
  <c r="H486" i="7" s="1"/>
  <c r="I486" i="7" s="1"/>
  <c r="G485" i="7"/>
  <c r="F485" i="7"/>
  <c r="G484" i="7"/>
  <c r="F484" i="7"/>
  <c r="H484" i="7" s="1"/>
  <c r="I484" i="7" s="1"/>
  <c r="G483" i="7"/>
  <c r="F483" i="7"/>
  <c r="G482" i="7"/>
  <c r="F482" i="7"/>
  <c r="H482" i="7" s="1"/>
  <c r="I482" i="7" s="1"/>
  <c r="G481" i="7"/>
  <c r="F481" i="7"/>
  <c r="G480" i="7"/>
  <c r="F480" i="7"/>
  <c r="H480" i="7" s="1"/>
  <c r="I480" i="7" s="1"/>
  <c r="G479" i="7"/>
  <c r="F479" i="7"/>
  <c r="G478" i="7"/>
  <c r="F478" i="7"/>
  <c r="H478" i="7" s="1"/>
  <c r="I478" i="7" s="1"/>
  <c r="G477" i="7"/>
  <c r="F477" i="7"/>
  <c r="G476" i="7"/>
  <c r="F476" i="7"/>
  <c r="H476" i="7" s="1"/>
  <c r="I476" i="7" s="1"/>
  <c r="G475" i="7"/>
  <c r="F475" i="7"/>
  <c r="G474" i="7"/>
  <c r="F474" i="7"/>
  <c r="H474" i="7" s="1"/>
  <c r="I474" i="7" s="1"/>
  <c r="G473" i="7"/>
  <c r="F473" i="7"/>
  <c r="G472" i="7"/>
  <c r="F472" i="7"/>
  <c r="H472" i="7" s="1"/>
  <c r="I472" i="7" s="1"/>
  <c r="G471" i="7"/>
  <c r="F471" i="7"/>
  <c r="G470" i="7"/>
  <c r="F470" i="7"/>
  <c r="H470" i="7" s="1"/>
  <c r="I470" i="7" s="1"/>
  <c r="G469" i="7"/>
  <c r="F469" i="7"/>
  <c r="G468" i="7"/>
  <c r="F468" i="7"/>
  <c r="H468" i="7" s="1"/>
  <c r="I468" i="7" s="1"/>
  <c r="G467" i="7"/>
  <c r="F467" i="7"/>
  <c r="G466" i="7"/>
  <c r="F466" i="7"/>
  <c r="H466" i="7" s="1"/>
  <c r="I466" i="7" s="1"/>
  <c r="G465" i="7"/>
  <c r="F465" i="7"/>
  <c r="H464" i="7"/>
  <c r="I464" i="7" s="1"/>
  <c r="G464" i="7"/>
  <c r="F464" i="7"/>
  <c r="G463" i="7"/>
  <c r="F463" i="7"/>
  <c r="G462" i="7"/>
  <c r="F462" i="7"/>
  <c r="H462" i="7" s="1"/>
  <c r="I462" i="7" s="1"/>
  <c r="G461" i="7"/>
  <c r="F461" i="7"/>
  <c r="G460" i="7"/>
  <c r="F460" i="7"/>
  <c r="H460" i="7" s="1"/>
  <c r="I460" i="7" s="1"/>
  <c r="G459" i="7"/>
  <c r="F459" i="7"/>
  <c r="G458" i="7"/>
  <c r="F458" i="7"/>
  <c r="H458" i="7" s="1"/>
  <c r="I458" i="7" s="1"/>
  <c r="G457" i="7"/>
  <c r="F457" i="7"/>
  <c r="G456" i="7"/>
  <c r="F456" i="7"/>
  <c r="H456" i="7" s="1"/>
  <c r="I456" i="7" s="1"/>
  <c r="G455" i="7"/>
  <c r="F455" i="7"/>
  <c r="G454" i="7"/>
  <c r="F454" i="7"/>
  <c r="H454" i="7" s="1"/>
  <c r="I454" i="7" s="1"/>
  <c r="G453" i="7"/>
  <c r="F453" i="7"/>
  <c r="H452" i="7"/>
  <c r="I452" i="7" s="1"/>
  <c r="G452" i="7"/>
  <c r="F452" i="7"/>
  <c r="G451" i="7"/>
  <c r="F451" i="7"/>
  <c r="G450" i="7"/>
  <c r="F450" i="7"/>
  <c r="H450" i="7" s="1"/>
  <c r="I450" i="7" s="1"/>
  <c r="G449" i="7"/>
  <c r="F449" i="7"/>
  <c r="G448" i="7"/>
  <c r="F448" i="7"/>
  <c r="H448" i="7" s="1"/>
  <c r="I448" i="7" s="1"/>
  <c r="G447" i="7"/>
  <c r="F447" i="7"/>
  <c r="H446" i="7"/>
  <c r="I446" i="7" s="1"/>
  <c r="G446" i="7"/>
  <c r="F446" i="7"/>
  <c r="G445" i="7"/>
  <c r="F445" i="7"/>
  <c r="G444" i="7"/>
  <c r="F444" i="7"/>
  <c r="H444" i="7" s="1"/>
  <c r="I444" i="7" s="1"/>
  <c r="G443" i="7"/>
  <c r="F443" i="7"/>
  <c r="G442" i="7"/>
  <c r="F442" i="7"/>
  <c r="H442" i="7" s="1"/>
  <c r="I442" i="7" s="1"/>
  <c r="G441" i="7"/>
  <c r="F441" i="7"/>
  <c r="G440" i="7"/>
  <c r="F440" i="7"/>
  <c r="H440" i="7" s="1"/>
  <c r="I440" i="7" s="1"/>
  <c r="G439" i="7"/>
  <c r="F439" i="7"/>
  <c r="G438" i="7"/>
  <c r="F438" i="7"/>
  <c r="H438" i="7" s="1"/>
  <c r="I438" i="7" s="1"/>
  <c r="G437" i="7"/>
  <c r="F437" i="7"/>
  <c r="G436" i="7"/>
  <c r="F436" i="7"/>
  <c r="H436" i="7" s="1"/>
  <c r="I436" i="7" s="1"/>
  <c r="G435" i="7"/>
  <c r="F435" i="7"/>
  <c r="G434" i="7"/>
  <c r="F434" i="7"/>
  <c r="H434" i="7" s="1"/>
  <c r="I434" i="7" s="1"/>
  <c r="G433" i="7"/>
  <c r="F433" i="7"/>
  <c r="G432" i="7"/>
  <c r="F432" i="7"/>
  <c r="H432" i="7" s="1"/>
  <c r="I432" i="7" s="1"/>
  <c r="G431" i="7"/>
  <c r="F431" i="7"/>
  <c r="G430" i="7"/>
  <c r="F430" i="7"/>
  <c r="H430" i="7" s="1"/>
  <c r="I430" i="7" s="1"/>
  <c r="G429" i="7"/>
  <c r="F429" i="7"/>
  <c r="H428" i="7"/>
  <c r="I428" i="7" s="1"/>
  <c r="G428" i="7"/>
  <c r="F428" i="7"/>
  <c r="G427" i="7"/>
  <c r="F427" i="7"/>
  <c r="G426" i="7"/>
  <c r="F426" i="7"/>
  <c r="H426" i="7" s="1"/>
  <c r="I426" i="7" s="1"/>
  <c r="G425" i="7"/>
  <c r="F425" i="7"/>
  <c r="G424" i="7"/>
  <c r="F424" i="7"/>
  <c r="H424" i="7" s="1"/>
  <c r="I424" i="7" s="1"/>
  <c r="G423" i="7"/>
  <c r="F423" i="7"/>
  <c r="G422" i="7"/>
  <c r="F422" i="7"/>
  <c r="H422" i="7" s="1"/>
  <c r="I422" i="7" s="1"/>
  <c r="G421" i="7"/>
  <c r="F421" i="7"/>
  <c r="G420" i="7"/>
  <c r="F420" i="7"/>
  <c r="H420" i="7" s="1"/>
  <c r="I420" i="7" s="1"/>
  <c r="G419" i="7"/>
  <c r="F419" i="7"/>
  <c r="G418" i="7"/>
  <c r="F418" i="7"/>
  <c r="H418" i="7" s="1"/>
  <c r="I418" i="7" s="1"/>
  <c r="G417" i="7"/>
  <c r="F417" i="7"/>
  <c r="G416" i="7"/>
  <c r="F416" i="7"/>
  <c r="H416" i="7" s="1"/>
  <c r="I416" i="7" s="1"/>
  <c r="G415" i="7"/>
  <c r="F415" i="7"/>
  <c r="G414" i="7"/>
  <c r="F414" i="7"/>
  <c r="H414" i="7" s="1"/>
  <c r="I414" i="7" s="1"/>
  <c r="G413" i="7"/>
  <c r="F413" i="7"/>
  <c r="G412" i="7"/>
  <c r="F412" i="7"/>
  <c r="H412" i="7" s="1"/>
  <c r="I412" i="7" s="1"/>
  <c r="G411" i="7"/>
  <c r="F411" i="7"/>
  <c r="H410" i="7"/>
  <c r="I410" i="7" s="1"/>
  <c r="G410" i="7"/>
  <c r="F410" i="7"/>
  <c r="G409" i="7"/>
  <c r="F409" i="7"/>
  <c r="G408" i="7"/>
  <c r="F408" i="7"/>
  <c r="H408" i="7" s="1"/>
  <c r="I408" i="7" s="1"/>
  <c r="G407" i="7"/>
  <c r="F407" i="7"/>
  <c r="G406" i="7"/>
  <c r="F406" i="7"/>
  <c r="H406" i="7" s="1"/>
  <c r="I406" i="7" s="1"/>
  <c r="G405" i="7"/>
  <c r="F405" i="7"/>
  <c r="G404" i="7"/>
  <c r="F404" i="7"/>
  <c r="H404" i="7" s="1"/>
  <c r="I404" i="7" s="1"/>
  <c r="G403" i="7"/>
  <c r="F403" i="7"/>
  <c r="G402" i="7"/>
  <c r="F402" i="7"/>
  <c r="H402" i="7" s="1"/>
  <c r="I402" i="7" s="1"/>
  <c r="G401" i="7"/>
  <c r="F401" i="7"/>
  <c r="G400" i="7"/>
  <c r="F400" i="7"/>
  <c r="H400" i="7" s="1"/>
  <c r="I400" i="7" s="1"/>
  <c r="G399" i="7"/>
  <c r="F399" i="7"/>
  <c r="G398" i="7"/>
  <c r="F398" i="7"/>
  <c r="H398" i="7" s="1"/>
  <c r="I398" i="7" s="1"/>
  <c r="G397" i="7"/>
  <c r="F397" i="7"/>
  <c r="G396" i="7"/>
  <c r="F396" i="7"/>
  <c r="H396" i="7" s="1"/>
  <c r="I396" i="7" s="1"/>
  <c r="G395" i="7"/>
  <c r="F395" i="7"/>
  <c r="G394" i="7"/>
  <c r="F394" i="7"/>
  <c r="H394" i="7" s="1"/>
  <c r="I394" i="7" s="1"/>
  <c r="G393" i="7"/>
  <c r="F393" i="7"/>
  <c r="G392" i="7"/>
  <c r="F392" i="7"/>
  <c r="H392" i="7" s="1"/>
  <c r="I392" i="7" s="1"/>
  <c r="G391" i="7"/>
  <c r="F391" i="7"/>
  <c r="G390" i="7"/>
  <c r="F390" i="7"/>
  <c r="G389" i="7"/>
  <c r="F389" i="7"/>
  <c r="H388" i="7"/>
  <c r="I388" i="7" s="1"/>
  <c r="G388" i="7"/>
  <c r="F388" i="7"/>
  <c r="G387" i="7"/>
  <c r="F387" i="7"/>
  <c r="G386" i="7"/>
  <c r="F386" i="7"/>
  <c r="H386" i="7" s="1"/>
  <c r="I386" i="7" s="1"/>
  <c r="G385" i="7"/>
  <c r="F385" i="7"/>
  <c r="G384" i="7"/>
  <c r="F384" i="7"/>
  <c r="H384" i="7" s="1"/>
  <c r="I384" i="7" s="1"/>
  <c r="G383" i="7"/>
  <c r="F383" i="7"/>
  <c r="G382" i="7"/>
  <c r="F382" i="7"/>
  <c r="H382" i="7" s="1"/>
  <c r="I382" i="7" s="1"/>
  <c r="G381" i="7"/>
  <c r="F381" i="7"/>
  <c r="H381" i="7" s="1"/>
  <c r="I381" i="7" s="1"/>
  <c r="G380" i="7"/>
  <c r="F380" i="7"/>
  <c r="H380" i="7" s="1"/>
  <c r="I380" i="7" s="1"/>
  <c r="G379" i="7"/>
  <c r="F379" i="7"/>
  <c r="G378" i="7"/>
  <c r="F378" i="7"/>
  <c r="H378" i="7" s="1"/>
  <c r="I378" i="7" s="1"/>
  <c r="G377" i="7"/>
  <c r="F377" i="7"/>
  <c r="G376" i="7"/>
  <c r="F376" i="7"/>
  <c r="H376" i="7" s="1"/>
  <c r="G375" i="7"/>
  <c r="F375" i="7"/>
  <c r="H375" i="7" s="1"/>
  <c r="I375" i="7" s="1"/>
  <c r="G374" i="7"/>
  <c r="F374" i="7"/>
  <c r="G373" i="7"/>
  <c r="F373" i="7"/>
  <c r="G372" i="7"/>
  <c r="F372" i="7"/>
  <c r="H372" i="7" s="1"/>
  <c r="G371" i="7"/>
  <c r="F371" i="7"/>
  <c r="H371" i="7" s="1"/>
  <c r="I371" i="7" s="1"/>
  <c r="G370" i="7"/>
  <c r="F370" i="7"/>
  <c r="G369" i="7"/>
  <c r="F369" i="7"/>
  <c r="G368" i="7"/>
  <c r="F368" i="7"/>
  <c r="H368" i="7" s="1"/>
  <c r="G367" i="7"/>
  <c r="F367" i="7"/>
  <c r="H367" i="7" s="1"/>
  <c r="I367" i="7" s="1"/>
  <c r="G366" i="7"/>
  <c r="F366" i="7"/>
  <c r="G365" i="7"/>
  <c r="F365" i="7"/>
  <c r="G364" i="7"/>
  <c r="F364" i="7"/>
  <c r="H364" i="7" s="1"/>
  <c r="G363" i="7"/>
  <c r="F363" i="7"/>
  <c r="H363" i="7" s="1"/>
  <c r="I363" i="7" s="1"/>
  <c r="G362" i="7"/>
  <c r="F362" i="7"/>
  <c r="G361" i="7"/>
  <c r="F361" i="7"/>
  <c r="G360" i="7"/>
  <c r="F360" i="7"/>
  <c r="H360" i="7" s="1"/>
  <c r="G359" i="7"/>
  <c r="F359" i="7"/>
  <c r="H359" i="7" s="1"/>
  <c r="I359" i="7" s="1"/>
  <c r="G358" i="7"/>
  <c r="F358" i="7"/>
  <c r="G357" i="7"/>
  <c r="F357" i="7"/>
  <c r="G356" i="7"/>
  <c r="F356" i="7"/>
  <c r="H356" i="7" s="1"/>
  <c r="G355" i="7"/>
  <c r="F355" i="7"/>
  <c r="H355" i="7" s="1"/>
  <c r="I355" i="7" s="1"/>
  <c r="G354" i="7"/>
  <c r="F354" i="7"/>
  <c r="G353" i="7"/>
  <c r="F353" i="7"/>
  <c r="G352" i="7"/>
  <c r="F352" i="7"/>
  <c r="H352" i="7" s="1"/>
  <c r="G351" i="7"/>
  <c r="F351" i="7"/>
  <c r="H351" i="7" s="1"/>
  <c r="I351" i="7" s="1"/>
  <c r="G350" i="7"/>
  <c r="F350" i="7"/>
  <c r="G349" i="7"/>
  <c r="F349" i="7"/>
  <c r="G348" i="7"/>
  <c r="F348" i="7"/>
  <c r="H348" i="7" s="1"/>
  <c r="G347" i="7"/>
  <c r="F347" i="7"/>
  <c r="H347" i="7" s="1"/>
  <c r="I347" i="7" s="1"/>
  <c r="G346" i="7"/>
  <c r="F346" i="7"/>
  <c r="G345" i="7"/>
  <c r="F345" i="7"/>
  <c r="G344" i="7"/>
  <c r="F344" i="7"/>
  <c r="H344" i="7" s="1"/>
  <c r="G343" i="7"/>
  <c r="F343" i="7"/>
  <c r="H343" i="7" s="1"/>
  <c r="I343" i="7" s="1"/>
  <c r="G342" i="7"/>
  <c r="F342" i="7"/>
  <c r="G341" i="7"/>
  <c r="F341" i="7"/>
  <c r="G340" i="7"/>
  <c r="F340" i="7"/>
  <c r="H340" i="7" s="1"/>
  <c r="G339" i="7"/>
  <c r="F339" i="7"/>
  <c r="H339" i="7" s="1"/>
  <c r="I339" i="7" s="1"/>
  <c r="G338" i="7"/>
  <c r="F338" i="7"/>
  <c r="G337" i="7"/>
  <c r="F337" i="7"/>
  <c r="G336" i="7"/>
  <c r="F336" i="7"/>
  <c r="H336" i="7" s="1"/>
  <c r="G335" i="7"/>
  <c r="F335" i="7"/>
  <c r="H335" i="7" s="1"/>
  <c r="I335" i="7" s="1"/>
  <c r="G334" i="7"/>
  <c r="F334" i="7"/>
  <c r="G333" i="7"/>
  <c r="F333" i="7"/>
  <c r="G332" i="7"/>
  <c r="F332" i="7"/>
  <c r="H332" i="7" s="1"/>
  <c r="G331" i="7"/>
  <c r="F331" i="7"/>
  <c r="H331" i="7" s="1"/>
  <c r="I331" i="7" s="1"/>
  <c r="G330" i="7"/>
  <c r="F330" i="7"/>
  <c r="G329" i="7"/>
  <c r="F329" i="7"/>
  <c r="G328" i="7"/>
  <c r="F328" i="7"/>
  <c r="G327" i="7"/>
  <c r="F327" i="7"/>
  <c r="H327" i="7" s="1"/>
  <c r="I327" i="7" s="1"/>
  <c r="G326" i="7"/>
  <c r="F326" i="7"/>
  <c r="G325" i="7"/>
  <c r="F325" i="7"/>
  <c r="G324" i="7"/>
  <c r="F324" i="7"/>
  <c r="H324" i="7" s="1"/>
  <c r="G323" i="7"/>
  <c r="F323" i="7"/>
  <c r="H323" i="7" s="1"/>
  <c r="I323" i="7" s="1"/>
  <c r="G322" i="7"/>
  <c r="F322" i="7"/>
  <c r="G321" i="7"/>
  <c r="F321" i="7"/>
  <c r="G320" i="7"/>
  <c r="F320" i="7"/>
  <c r="G319" i="7"/>
  <c r="F319" i="7"/>
  <c r="H319" i="7" s="1"/>
  <c r="I319" i="7" s="1"/>
  <c r="G318" i="7"/>
  <c r="F318" i="7"/>
  <c r="G317" i="7"/>
  <c r="F317" i="7"/>
  <c r="G316" i="7"/>
  <c r="F316" i="7"/>
  <c r="G315" i="7"/>
  <c r="F315" i="7"/>
  <c r="H315" i="7" s="1"/>
  <c r="I315" i="7" s="1"/>
  <c r="G314" i="7"/>
  <c r="F314" i="7"/>
  <c r="G313" i="7"/>
  <c r="F313" i="7"/>
  <c r="H312" i="7"/>
  <c r="G312" i="7"/>
  <c r="F312" i="7"/>
  <c r="G311" i="7"/>
  <c r="F311" i="7"/>
  <c r="H311" i="7" s="1"/>
  <c r="I311" i="7" s="1"/>
  <c r="G310" i="7"/>
  <c r="F310" i="7"/>
  <c r="G309" i="7"/>
  <c r="F309" i="7"/>
  <c r="G308" i="7"/>
  <c r="F308" i="7"/>
  <c r="H308" i="7" s="1"/>
  <c r="G307" i="7"/>
  <c r="F307" i="7"/>
  <c r="H307" i="7" s="1"/>
  <c r="I307" i="7" s="1"/>
  <c r="G306" i="7"/>
  <c r="F306" i="7"/>
  <c r="G305" i="7"/>
  <c r="F305" i="7"/>
  <c r="G304" i="7"/>
  <c r="F304" i="7"/>
  <c r="G303" i="7"/>
  <c r="F303" i="7"/>
  <c r="H303" i="7" s="1"/>
  <c r="I303" i="7" s="1"/>
  <c r="G302" i="7"/>
  <c r="F302" i="7"/>
  <c r="G301" i="7"/>
  <c r="F301" i="7"/>
  <c r="G300" i="7"/>
  <c r="F300" i="7"/>
  <c r="G299" i="7"/>
  <c r="F299" i="7"/>
  <c r="H299" i="7" s="1"/>
  <c r="I299" i="7" s="1"/>
  <c r="G298" i="7"/>
  <c r="F298" i="7"/>
  <c r="G297" i="7"/>
  <c r="F297" i="7"/>
  <c r="G296" i="7"/>
  <c r="F296" i="7"/>
  <c r="H296" i="7" s="1"/>
  <c r="G295" i="7"/>
  <c r="F295" i="7"/>
  <c r="H295" i="7" s="1"/>
  <c r="I295" i="7" s="1"/>
  <c r="G294" i="7"/>
  <c r="F294" i="7"/>
  <c r="G293" i="7"/>
  <c r="F293" i="7"/>
  <c r="G292" i="7"/>
  <c r="F292" i="7"/>
  <c r="G291" i="7"/>
  <c r="F291" i="7"/>
  <c r="H291" i="7" s="1"/>
  <c r="I291" i="7" s="1"/>
  <c r="G290" i="7"/>
  <c r="F290" i="7"/>
  <c r="G289" i="7"/>
  <c r="F289" i="7"/>
  <c r="G288" i="7"/>
  <c r="F288" i="7"/>
  <c r="H288" i="7" s="1"/>
  <c r="G287" i="7"/>
  <c r="F287" i="7"/>
  <c r="H287" i="7" s="1"/>
  <c r="G286" i="7"/>
  <c r="F286" i="7"/>
  <c r="G285" i="7"/>
  <c r="F285" i="7"/>
  <c r="G284" i="7"/>
  <c r="F284" i="7"/>
  <c r="H284" i="7" s="1"/>
  <c r="G283" i="7"/>
  <c r="F283" i="7"/>
  <c r="H283" i="7" s="1"/>
  <c r="G282" i="7"/>
  <c r="F282" i="7"/>
  <c r="G281" i="7"/>
  <c r="F281" i="7"/>
  <c r="G280" i="7"/>
  <c r="F280" i="7"/>
  <c r="H280" i="7" s="1"/>
  <c r="I280" i="7" s="1"/>
  <c r="G279" i="7"/>
  <c r="F279" i="7"/>
  <c r="G278" i="7"/>
  <c r="F278" i="7"/>
  <c r="G277" i="7"/>
  <c r="F277" i="7"/>
  <c r="G276" i="7"/>
  <c r="F276" i="7"/>
  <c r="G275" i="7"/>
  <c r="F275" i="7"/>
  <c r="H275" i="7" s="1"/>
  <c r="G274" i="7"/>
  <c r="F274" i="7"/>
  <c r="G273" i="7"/>
  <c r="F273" i="7"/>
  <c r="G272" i="7"/>
  <c r="F272" i="7"/>
  <c r="H272" i="7" s="1"/>
  <c r="I272" i="7" s="1"/>
  <c r="G271" i="7"/>
  <c r="F271" i="7"/>
  <c r="H271" i="7" s="1"/>
  <c r="G270" i="7"/>
  <c r="F270" i="7"/>
  <c r="G269" i="7"/>
  <c r="F269" i="7"/>
  <c r="G268" i="7"/>
  <c r="F268" i="7"/>
  <c r="H268" i="7" s="1"/>
  <c r="G267" i="7"/>
  <c r="F267" i="7"/>
  <c r="H267" i="7" s="1"/>
  <c r="G266" i="7"/>
  <c r="F266" i="7"/>
  <c r="G265" i="7"/>
  <c r="F265" i="7"/>
  <c r="G264" i="7"/>
  <c r="F264" i="7"/>
  <c r="H264" i="7" s="1"/>
  <c r="I264" i="7" s="1"/>
  <c r="G263" i="7"/>
  <c r="F263" i="7"/>
  <c r="G262" i="7"/>
  <c r="F262" i="7"/>
  <c r="G261" i="7"/>
  <c r="F261" i="7"/>
  <c r="G260" i="7"/>
  <c r="F260" i="7"/>
  <c r="G259" i="7"/>
  <c r="F259" i="7"/>
  <c r="H259" i="7" s="1"/>
  <c r="G258" i="7"/>
  <c r="F258" i="7"/>
  <c r="G257" i="7"/>
  <c r="F257" i="7"/>
  <c r="G256" i="7"/>
  <c r="F256" i="7"/>
  <c r="H256" i="7" s="1"/>
  <c r="I256" i="7" s="1"/>
  <c r="G255" i="7"/>
  <c r="F255" i="7"/>
  <c r="H255" i="7" s="1"/>
  <c r="G254" i="7"/>
  <c r="F254" i="7"/>
  <c r="G253" i="7"/>
  <c r="F253" i="7"/>
  <c r="G252" i="7"/>
  <c r="F252" i="7"/>
  <c r="H252" i="7" s="1"/>
  <c r="G251" i="7"/>
  <c r="F251" i="7"/>
  <c r="H251" i="7" s="1"/>
  <c r="G250" i="7"/>
  <c r="F250" i="7"/>
  <c r="G249" i="7"/>
  <c r="F249" i="7"/>
  <c r="G248" i="7"/>
  <c r="F248" i="7"/>
  <c r="G247" i="7"/>
  <c r="F247" i="7"/>
  <c r="H247" i="7" s="1"/>
  <c r="G246" i="7"/>
  <c r="F246" i="7"/>
  <c r="H246" i="7" s="1"/>
  <c r="I246" i="7" s="1"/>
  <c r="G245" i="7"/>
  <c r="F245" i="7"/>
  <c r="H245" i="7" s="1"/>
  <c r="G244" i="7"/>
  <c r="F244" i="7"/>
  <c r="G243" i="7"/>
  <c r="F243" i="7"/>
  <c r="H243" i="7" s="1"/>
  <c r="G242" i="7"/>
  <c r="F242" i="7"/>
  <c r="H242" i="7" s="1"/>
  <c r="I242" i="7" s="1"/>
  <c r="G241" i="7"/>
  <c r="F241" i="7"/>
  <c r="H241" i="7" s="1"/>
  <c r="I241" i="7" s="1"/>
  <c r="G240" i="7"/>
  <c r="F240" i="7"/>
  <c r="H240" i="7" s="1"/>
  <c r="I240" i="7" s="1"/>
  <c r="G239" i="7"/>
  <c r="F239" i="7"/>
  <c r="H239" i="7" s="1"/>
  <c r="G238" i="7"/>
  <c r="F238" i="7"/>
  <c r="H238" i="7" s="1"/>
  <c r="G237" i="7"/>
  <c r="F237" i="7"/>
  <c r="H237" i="7" s="1"/>
  <c r="I237" i="7" s="1"/>
  <c r="G236" i="7"/>
  <c r="F236" i="7"/>
  <c r="G235" i="7"/>
  <c r="F235" i="7"/>
  <c r="G234" i="7"/>
  <c r="F234" i="7"/>
  <c r="H234" i="7" s="1"/>
  <c r="I234" i="7" s="1"/>
  <c r="G233" i="7"/>
  <c r="F233" i="7"/>
  <c r="H233" i="7" s="1"/>
  <c r="I233" i="7" s="1"/>
  <c r="G232" i="7"/>
  <c r="F232" i="7"/>
  <c r="G231" i="7"/>
  <c r="F231" i="7"/>
  <c r="H231" i="7" s="1"/>
  <c r="G230" i="7"/>
  <c r="F230" i="7"/>
  <c r="H230" i="7" s="1"/>
  <c r="I230" i="7" s="1"/>
  <c r="G229" i="7"/>
  <c r="F229" i="7"/>
  <c r="H229" i="7" s="1"/>
  <c r="G228" i="7"/>
  <c r="F228" i="7"/>
  <c r="G227" i="7"/>
  <c r="F227" i="7"/>
  <c r="H227" i="7" s="1"/>
  <c r="G226" i="7"/>
  <c r="F226" i="7"/>
  <c r="H226" i="7" s="1"/>
  <c r="I226" i="7" s="1"/>
  <c r="G225" i="7"/>
  <c r="F225" i="7"/>
  <c r="H225" i="7" s="1"/>
  <c r="I225" i="7" s="1"/>
  <c r="G224" i="7"/>
  <c r="F224" i="7"/>
  <c r="H224" i="7" s="1"/>
  <c r="I224" i="7" s="1"/>
  <c r="G223" i="7"/>
  <c r="F223" i="7"/>
  <c r="H223" i="7" s="1"/>
  <c r="G222" i="7"/>
  <c r="F222" i="7"/>
  <c r="H222" i="7" s="1"/>
  <c r="G221" i="7"/>
  <c r="F221" i="7"/>
  <c r="H221" i="7" s="1"/>
  <c r="I221" i="7" s="1"/>
  <c r="G220" i="7"/>
  <c r="F220" i="7"/>
  <c r="G219" i="7"/>
  <c r="F219" i="7"/>
  <c r="G218" i="7"/>
  <c r="F218" i="7"/>
  <c r="H218" i="7" s="1"/>
  <c r="I218" i="7" s="1"/>
  <c r="G217" i="7"/>
  <c r="F217" i="7"/>
  <c r="H217" i="7" s="1"/>
  <c r="I217" i="7" s="1"/>
  <c r="G216" i="7"/>
  <c r="F216" i="7"/>
  <c r="G215" i="7"/>
  <c r="F215" i="7"/>
  <c r="H215" i="7" s="1"/>
  <c r="G214" i="7"/>
  <c r="F214" i="7"/>
  <c r="H214" i="7" s="1"/>
  <c r="I214" i="7" s="1"/>
  <c r="G213" i="7"/>
  <c r="F213" i="7"/>
  <c r="H213" i="7" s="1"/>
  <c r="G212" i="7"/>
  <c r="F212" i="7"/>
  <c r="G211" i="7"/>
  <c r="F211" i="7"/>
  <c r="H211" i="7" s="1"/>
  <c r="G210" i="7"/>
  <c r="F210" i="7"/>
  <c r="H210" i="7" s="1"/>
  <c r="I210" i="7" s="1"/>
  <c r="G209" i="7"/>
  <c r="F209" i="7"/>
  <c r="H209" i="7" s="1"/>
  <c r="I209" i="7" s="1"/>
  <c r="G208" i="7"/>
  <c r="F208" i="7"/>
  <c r="H208" i="7" s="1"/>
  <c r="I208" i="7" s="1"/>
  <c r="G207" i="7"/>
  <c r="F207" i="7"/>
  <c r="H207" i="7" s="1"/>
  <c r="G206" i="7"/>
  <c r="F206" i="7"/>
  <c r="H206" i="7" s="1"/>
  <c r="G205" i="7"/>
  <c r="F205" i="7"/>
  <c r="H205" i="7" s="1"/>
  <c r="I205" i="7" s="1"/>
  <c r="G204" i="7"/>
  <c r="F204" i="7"/>
  <c r="G203" i="7"/>
  <c r="F203" i="7"/>
  <c r="G202" i="7"/>
  <c r="F202" i="7"/>
  <c r="H202" i="7" s="1"/>
  <c r="I202" i="7" s="1"/>
  <c r="G201" i="7"/>
  <c r="F201" i="7"/>
  <c r="H201" i="7" s="1"/>
  <c r="I201" i="7" s="1"/>
  <c r="G200" i="7"/>
  <c r="F200" i="7"/>
  <c r="H200" i="7" s="1"/>
  <c r="G199" i="7"/>
  <c r="F199" i="7"/>
  <c r="H199" i="7" s="1"/>
  <c r="H198" i="7"/>
  <c r="I198" i="7" s="1"/>
  <c r="G198" i="7"/>
  <c r="F198" i="7"/>
  <c r="G197" i="7"/>
  <c r="F197" i="7"/>
  <c r="H197" i="7" s="1"/>
  <c r="I197" i="7" s="1"/>
  <c r="G196" i="7"/>
  <c r="F196" i="7"/>
  <c r="G195" i="7"/>
  <c r="F195" i="7"/>
  <c r="H195" i="7" s="1"/>
  <c r="I195" i="7" s="1"/>
  <c r="G194" i="7"/>
  <c r="F194" i="7"/>
  <c r="H194" i="7" s="1"/>
  <c r="I194" i="7" s="1"/>
  <c r="G193" i="7"/>
  <c r="F193" i="7"/>
  <c r="H193" i="7" s="1"/>
  <c r="I193" i="7" s="1"/>
  <c r="G192" i="7"/>
  <c r="F192" i="7"/>
  <c r="H192" i="7" s="1"/>
  <c r="G191" i="7"/>
  <c r="F191" i="7"/>
  <c r="H191" i="7" s="1"/>
  <c r="I191" i="7" s="1"/>
  <c r="G190" i="7"/>
  <c r="F190" i="7"/>
  <c r="G189" i="7"/>
  <c r="F189" i="7"/>
  <c r="H189" i="7" s="1"/>
  <c r="I189" i="7" s="1"/>
  <c r="H188" i="7"/>
  <c r="G188" i="7"/>
  <c r="F188" i="7"/>
  <c r="G187" i="7"/>
  <c r="F187" i="7"/>
  <c r="H187" i="7" s="1"/>
  <c r="I187" i="7" s="1"/>
  <c r="G186" i="7"/>
  <c r="F186" i="7"/>
  <c r="G185" i="7"/>
  <c r="F185" i="7"/>
  <c r="H185" i="7" s="1"/>
  <c r="I185" i="7" s="1"/>
  <c r="G184" i="7"/>
  <c r="F184" i="7"/>
  <c r="H184" i="7" s="1"/>
  <c r="H183" i="7"/>
  <c r="I183" i="7" s="1"/>
  <c r="G183" i="7"/>
  <c r="F183" i="7"/>
  <c r="G182" i="7"/>
  <c r="F182" i="7"/>
  <c r="G181" i="7"/>
  <c r="F181" i="7"/>
  <c r="H181" i="7" s="1"/>
  <c r="I181" i="7" s="1"/>
  <c r="G180" i="7"/>
  <c r="F180" i="7"/>
  <c r="H180" i="7" s="1"/>
  <c r="G179" i="7"/>
  <c r="F179" i="7"/>
  <c r="H179" i="7" s="1"/>
  <c r="I179" i="7" s="1"/>
  <c r="G178" i="7"/>
  <c r="F178" i="7"/>
  <c r="G177" i="7"/>
  <c r="F177" i="7"/>
  <c r="H177" i="7" s="1"/>
  <c r="I177" i="7" s="1"/>
  <c r="H176" i="7"/>
  <c r="G176" i="7"/>
  <c r="F176" i="7"/>
  <c r="G175" i="7"/>
  <c r="F175" i="7"/>
  <c r="H175" i="7" s="1"/>
  <c r="I175" i="7" s="1"/>
  <c r="G174" i="7"/>
  <c r="F174" i="7"/>
  <c r="G173" i="7"/>
  <c r="F173" i="7"/>
  <c r="H173" i="7" s="1"/>
  <c r="I173" i="7" s="1"/>
  <c r="G172" i="7"/>
  <c r="F172" i="7"/>
  <c r="H172" i="7" s="1"/>
  <c r="G171" i="7"/>
  <c r="F171" i="7"/>
  <c r="H171" i="7" s="1"/>
  <c r="I171" i="7" s="1"/>
  <c r="G170" i="7"/>
  <c r="F170" i="7"/>
  <c r="G169" i="7"/>
  <c r="F169" i="7"/>
  <c r="H169" i="7" s="1"/>
  <c r="I169" i="7" s="1"/>
  <c r="G168" i="7"/>
  <c r="F168" i="7"/>
  <c r="H168" i="7" s="1"/>
  <c r="G167" i="7"/>
  <c r="F167" i="7"/>
  <c r="H167" i="7" s="1"/>
  <c r="I167" i="7" s="1"/>
  <c r="G166" i="7"/>
  <c r="F166" i="7"/>
  <c r="G165" i="7"/>
  <c r="F165" i="7"/>
  <c r="H165" i="7" s="1"/>
  <c r="I165" i="7" s="1"/>
  <c r="G164" i="7"/>
  <c r="F164" i="7"/>
  <c r="H164" i="7" s="1"/>
  <c r="G163" i="7"/>
  <c r="F163" i="7"/>
  <c r="H163" i="7" s="1"/>
  <c r="I163" i="7" s="1"/>
  <c r="G162" i="7"/>
  <c r="F162" i="7"/>
  <c r="G161" i="7"/>
  <c r="F161" i="7"/>
  <c r="H161" i="7" s="1"/>
  <c r="I161" i="7" s="1"/>
  <c r="H160" i="7"/>
  <c r="G160" i="7"/>
  <c r="F160" i="7"/>
  <c r="G159" i="7"/>
  <c r="F159" i="7"/>
  <c r="H159" i="7" s="1"/>
  <c r="I159" i="7" s="1"/>
  <c r="G158" i="7"/>
  <c r="F158" i="7"/>
  <c r="G157" i="7"/>
  <c r="F157" i="7"/>
  <c r="H157" i="7" s="1"/>
  <c r="I157" i="7" s="1"/>
  <c r="G156" i="7"/>
  <c r="F156" i="7"/>
  <c r="H156" i="7" s="1"/>
  <c r="G155" i="7"/>
  <c r="F155" i="7"/>
  <c r="H155" i="7" s="1"/>
  <c r="I155" i="7" s="1"/>
  <c r="G154" i="7"/>
  <c r="F154" i="7"/>
  <c r="G153" i="7"/>
  <c r="F153" i="7"/>
  <c r="H153" i="7" s="1"/>
  <c r="I153" i="7" s="1"/>
  <c r="G152" i="7"/>
  <c r="F152" i="7"/>
  <c r="H152" i="7" s="1"/>
  <c r="G151" i="7"/>
  <c r="F151" i="7"/>
  <c r="H151" i="7" s="1"/>
  <c r="I151" i="7" s="1"/>
  <c r="G150" i="7"/>
  <c r="F150" i="7"/>
  <c r="H149" i="7"/>
  <c r="I149" i="7" s="1"/>
  <c r="G149" i="7"/>
  <c r="F149" i="7"/>
  <c r="H148" i="7"/>
  <c r="G148" i="7"/>
  <c r="F148" i="7"/>
  <c r="H147" i="7"/>
  <c r="I147" i="7" s="1"/>
  <c r="G147" i="7"/>
  <c r="F147" i="7"/>
  <c r="G146" i="7"/>
  <c r="F146" i="7"/>
  <c r="G145" i="7"/>
  <c r="F145" i="7"/>
  <c r="H145" i="7" s="1"/>
  <c r="I145" i="7" s="1"/>
  <c r="G144" i="7"/>
  <c r="F144" i="7"/>
  <c r="H144" i="7" s="1"/>
  <c r="G143" i="7"/>
  <c r="F143" i="7"/>
  <c r="H143" i="7" s="1"/>
  <c r="I143" i="7" s="1"/>
  <c r="G142" i="7"/>
  <c r="F142" i="7"/>
  <c r="G141" i="7"/>
  <c r="F141" i="7"/>
  <c r="H141" i="7" s="1"/>
  <c r="I141" i="7" s="1"/>
  <c r="G140" i="7"/>
  <c r="F140" i="7"/>
  <c r="H140" i="7" s="1"/>
  <c r="H139" i="7"/>
  <c r="I139" i="7" s="1"/>
  <c r="G139" i="7"/>
  <c r="F139" i="7"/>
  <c r="G138" i="7"/>
  <c r="F138" i="7"/>
  <c r="G137" i="7"/>
  <c r="F137" i="7"/>
  <c r="H137" i="7" s="1"/>
  <c r="I137" i="7" s="1"/>
  <c r="G136" i="7"/>
  <c r="F136" i="7"/>
  <c r="H136" i="7" s="1"/>
  <c r="H135" i="7"/>
  <c r="I135" i="7" s="1"/>
  <c r="G135" i="7"/>
  <c r="F135" i="7"/>
  <c r="G134" i="7"/>
  <c r="F134" i="7"/>
  <c r="G133" i="7"/>
  <c r="F133" i="7"/>
  <c r="H133" i="7" s="1"/>
  <c r="I133" i="7" s="1"/>
  <c r="G132" i="7"/>
  <c r="F132" i="7"/>
  <c r="H132" i="7" s="1"/>
  <c r="G131" i="7"/>
  <c r="F131" i="7"/>
  <c r="H131" i="7" s="1"/>
  <c r="I131" i="7" s="1"/>
  <c r="G130" i="7"/>
  <c r="F130" i="7"/>
  <c r="G129" i="7"/>
  <c r="F129" i="7"/>
  <c r="H129" i="7" s="1"/>
  <c r="I129" i="7" s="1"/>
  <c r="G128" i="7"/>
  <c r="F128" i="7"/>
  <c r="H128" i="7" s="1"/>
  <c r="G127" i="7"/>
  <c r="F127" i="7"/>
  <c r="H127" i="7" s="1"/>
  <c r="I127" i="7" s="1"/>
  <c r="G126" i="7"/>
  <c r="F126" i="7"/>
  <c r="G125" i="7"/>
  <c r="F125" i="7"/>
  <c r="H125" i="7" s="1"/>
  <c r="I125" i="7" s="1"/>
  <c r="G124" i="7"/>
  <c r="F124" i="7"/>
  <c r="H124" i="7" s="1"/>
  <c r="G123" i="7"/>
  <c r="F123" i="7"/>
  <c r="H123" i="7" s="1"/>
  <c r="I123" i="7" s="1"/>
  <c r="G122" i="7"/>
  <c r="F122" i="7"/>
  <c r="G121" i="7"/>
  <c r="F121" i="7"/>
  <c r="H121" i="7" s="1"/>
  <c r="I121" i="7" s="1"/>
  <c r="G120" i="7"/>
  <c r="F120" i="7"/>
  <c r="H120" i="7" s="1"/>
  <c r="G119" i="7"/>
  <c r="F119" i="7"/>
  <c r="H119" i="7" s="1"/>
  <c r="I119" i="7" s="1"/>
  <c r="G118" i="7"/>
  <c r="F118" i="7"/>
  <c r="G117" i="7"/>
  <c r="F117" i="7"/>
  <c r="H117" i="7" s="1"/>
  <c r="I117" i="7" s="1"/>
  <c r="G116" i="7"/>
  <c r="F116" i="7"/>
  <c r="H116" i="7" s="1"/>
  <c r="G115" i="7"/>
  <c r="F115" i="7"/>
  <c r="H115" i="7" s="1"/>
  <c r="I115" i="7" s="1"/>
  <c r="G114" i="7"/>
  <c r="F114" i="7"/>
  <c r="G113" i="7"/>
  <c r="F113" i="7"/>
  <c r="H113" i="7" s="1"/>
  <c r="I113" i="7" s="1"/>
  <c r="G112" i="7"/>
  <c r="F112" i="7"/>
  <c r="H112" i="7" s="1"/>
  <c r="G111" i="7"/>
  <c r="F111" i="7"/>
  <c r="H111" i="7" s="1"/>
  <c r="I111" i="7" s="1"/>
  <c r="G110" i="7"/>
  <c r="F110" i="7"/>
  <c r="G109" i="7"/>
  <c r="F109" i="7"/>
  <c r="H109" i="7" s="1"/>
  <c r="I109" i="7" s="1"/>
  <c r="G108" i="7"/>
  <c r="F108" i="7"/>
  <c r="H108" i="7" s="1"/>
  <c r="H107" i="7"/>
  <c r="I107" i="7" s="1"/>
  <c r="G107" i="7"/>
  <c r="F107" i="7"/>
  <c r="G106" i="7"/>
  <c r="F106" i="7"/>
  <c r="H105" i="7"/>
  <c r="I105" i="7" s="1"/>
  <c r="G105" i="7"/>
  <c r="F105" i="7"/>
  <c r="G104" i="7"/>
  <c r="F104" i="7"/>
  <c r="H104" i="7" s="1"/>
  <c r="G103" i="7"/>
  <c r="F103" i="7"/>
  <c r="H103" i="7" s="1"/>
  <c r="I103" i="7" s="1"/>
  <c r="G102" i="7"/>
  <c r="F102" i="7"/>
  <c r="G101" i="7"/>
  <c r="F101" i="7"/>
  <c r="H101" i="7" s="1"/>
  <c r="I101" i="7" s="1"/>
  <c r="G100" i="7"/>
  <c r="F100" i="7"/>
  <c r="H100" i="7" s="1"/>
  <c r="G99" i="7"/>
  <c r="F99" i="7"/>
  <c r="H99" i="7" s="1"/>
  <c r="I99" i="7" s="1"/>
  <c r="G98" i="7"/>
  <c r="F98" i="7"/>
  <c r="G97" i="7"/>
  <c r="F97" i="7"/>
  <c r="H97" i="7" s="1"/>
  <c r="I97" i="7" s="1"/>
  <c r="G96" i="7"/>
  <c r="F96" i="7"/>
  <c r="H96" i="7" s="1"/>
  <c r="G95" i="7"/>
  <c r="F95" i="7"/>
  <c r="H95" i="7" s="1"/>
  <c r="I95" i="7" s="1"/>
  <c r="G94" i="7"/>
  <c r="F94" i="7"/>
  <c r="G93" i="7"/>
  <c r="F93" i="7"/>
  <c r="H93" i="7" s="1"/>
  <c r="I93" i="7" s="1"/>
  <c r="G92" i="7"/>
  <c r="F92" i="7"/>
  <c r="H92" i="7" s="1"/>
  <c r="G91" i="7"/>
  <c r="F91" i="7"/>
  <c r="H91" i="7" s="1"/>
  <c r="I91" i="7" s="1"/>
  <c r="G90" i="7"/>
  <c r="F90" i="7"/>
  <c r="G89" i="7"/>
  <c r="F89" i="7"/>
  <c r="H89" i="7" s="1"/>
  <c r="I89" i="7" s="1"/>
  <c r="G88" i="7"/>
  <c r="F88" i="7"/>
  <c r="H88" i="7" s="1"/>
  <c r="G87" i="7"/>
  <c r="F87" i="7"/>
  <c r="H87" i="7" s="1"/>
  <c r="I87" i="7" s="1"/>
  <c r="G86" i="7"/>
  <c r="F86" i="7"/>
  <c r="G85" i="7"/>
  <c r="F85" i="7"/>
  <c r="H85" i="7" s="1"/>
  <c r="I85" i="7" s="1"/>
  <c r="G84" i="7"/>
  <c r="F84" i="7"/>
  <c r="H84" i="7" s="1"/>
  <c r="G83" i="7"/>
  <c r="F83" i="7"/>
  <c r="H83" i="7" s="1"/>
  <c r="I83" i="7" s="1"/>
  <c r="G82" i="7"/>
  <c r="F82" i="7"/>
  <c r="H81" i="7"/>
  <c r="I81" i="7" s="1"/>
  <c r="G81" i="7"/>
  <c r="F81" i="7"/>
  <c r="G80" i="7"/>
  <c r="F80" i="7"/>
  <c r="H80" i="7" s="1"/>
  <c r="G79" i="7"/>
  <c r="F79" i="7"/>
  <c r="H79" i="7" s="1"/>
  <c r="I79" i="7" s="1"/>
  <c r="G78" i="7"/>
  <c r="F78" i="7"/>
  <c r="G77" i="7"/>
  <c r="F77" i="7"/>
  <c r="H77" i="7" s="1"/>
  <c r="I77" i="7" s="1"/>
  <c r="G76" i="7"/>
  <c r="F76" i="7"/>
  <c r="H76" i="7" s="1"/>
  <c r="G75" i="7"/>
  <c r="F75" i="7"/>
  <c r="H75" i="7" s="1"/>
  <c r="I75" i="7" s="1"/>
  <c r="G74" i="7"/>
  <c r="F74" i="7"/>
  <c r="G73" i="7"/>
  <c r="F73" i="7"/>
  <c r="H73" i="7" s="1"/>
  <c r="I73" i="7" s="1"/>
  <c r="H72" i="7"/>
  <c r="G72" i="7"/>
  <c r="F72" i="7"/>
  <c r="G71" i="7"/>
  <c r="F71" i="7"/>
  <c r="H71" i="7" s="1"/>
  <c r="I71" i="7" s="1"/>
  <c r="G70" i="7"/>
  <c r="F70" i="7"/>
  <c r="G69" i="7"/>
  <c r="F69" i="7"/>
  <c r="H69" i="7" s="1"/>
  <c r="I69" i="7" s="1"/>
  <c r="G68" i="7"/>
  <c r="F68" i="7"/>
  <c r="H68" i="7" s="1"/>
  <c r="G67" i="7"/>
  <c r="F67" i="7"/>
  <c r="H67" i="7" s="1"/>
  <c r="I67" i="7" s="1"/>
  <c r="G66" i="7"/>
  <c r="F66" i="7"/>
  <c r="G65" i="7"/>
  <c r="F65" i="7"/>
  <c r="H65" i="7" s="1"/>
  <c r="I65" i="7" s="1"/>
  <c r="G64" i="7"/>
  <c r="F64" i="7"/>
  <c r="H64" i="7" s="1"/>
  <c r="G63" i="7"/>
  <c r="F63" i="7"/>
  <c r="H63" i="7" s="1"/>
  <c r="I63" i="7" s="1"/>
  <c r="G62" i="7"/>
  <c r="F62" i="7"/>
  <c r="G61" i="7"/>
  <c r="F61" i="7"/>
  <c r="H61" i="7" s="1"/>
  <c r="I61" i="7" s="1"/>
  <c r="G60" i="7"/>
  <c r="F60" i="7"/>
  <c r="H60" i="7" s="1"/>
  <c r="G59" i="7"/>
  <c r="F59" i="7"/>
  <c r="H59" i="7" s="1"/>
  <c r="I59" i="7" s="1"/>
  <c r="G58" i="7"/>
  <c r="F58" i="7"/>
  <c r="G57" i="7"/>
  <c r="F57" i="7"/>
  <c r="H57" i="7" s="1"/>
  <c r="I57" i="7" s="1"/>
  <c r="G56" i="7"/>
  <c r="F56" i="7"/>
  <c r="H56" i="7" s="1"/>
  <c r="G55" i="7"/>
  <c r="F55" i="7"/>
  <c r="H55" i="7" s="1"/>
  <c r="I55" i="7" s="1"/>
  <c r="G54" i="7"/>
  <c r="F54" i="7"/>
  <c r="G53" i="7"/>
  <c r="F53" i="7"/>
  <c r="H53" i="7" s="1"/>
  <c r="I53" i="7" s="1"/>
  <c r="G52" i="7"/>
  <c r="F52" i="7"/>
  <c r="H52" i="7" s="1"/>
  <c r="G51" i="7"/>
  <c r="F51" i="7"/>
  <c r="H51" i="7" s="1"/>
  <c r="I51" i="7" s="1"/>
  <c r="G50" i="7"/>
  <c r="F50" i="7"/>
  <c r="G49" i="7"/>
  <c r="F49" i="7"/>
  <c r="H49" i="7" s="1"/>
  <c r="I49" i="7" s="1"/>
  <c r="G48" i="7"/>
  <c r="F48" i="7"/>
  <c r="H48" i="7" s="1"/>
  <c r="G47" i="7"/>
  <c r="F47" i="7"/>
  <c r="H47" i="7" s="1"/>
  <c r="I47" i="7" s="1"/>
  <c r="G46" i="7"/>
  <c r="F46" i="7"/>
  <c r="G45" i="7"/>
  <c r="F45" i="7"/>
  <c r="H45" i="7" s="1"/>
  <c r="I45" i="7" s="1"/>
  <c r="G44" i="7"/>
  <c r="F44" i="7"/>
  <c r="H44" i="7" s="1"/>
  <c r="G43" i="7"/>
  <c r="F43" i="7"/>
  <c r="H43" i="7" s="1"/>
  <c r="I43" i="7" s="1"/>
  <c r="G42" i="7"/>
  <c r="F42" i="7"/>
  <c r="G41" i="7"/>
  <c r="F41" i="7"/>
  <c r="H41" i="7" s="1"/>
  <c r="I41" i="7" s="1"/>
  <c r="G40" i="7"/>
  <c r="F40" i="7"/>
  <c r="H40" i="7" s="1"/>
  <c r="G39" i="7"/>
  <c r="F39" i="7"/>
  <c r="H39" i="7" s="1"/>
  <c r="I39" i="7" s="1"/>
  <c r="G38" i="7"/>
  <c r="F38" i="7"/>
  <c r="G37" i="7"/>
  <c r="F37" i="7"/>
  <c r="H37" i="7" s="1"/>
  <c r="I37" i="7" s="1"/>
  <c r="G36" i="7"/>
  <c r="F36" i="7"/>
  <c r="H36" i="7" s="1"/>
  <c r="G35" i="7"/>
  <c r="F35" i="7"/>
  <c r="H35" i="7" s="1"/>
  <c r="I35" i="7" s="1"/>
  <c r="G34" i="7"/>
  <c r="F34" i="7"/>
  <c r="G33" i="7"/>
  <c r="F33" i="7"/>
  <c r="H33" i="7" s="1"/>
  <c r="I33" i="7" s="1"/>
  <c r="G32" i="7"/>
  <c r="F32" i="7"/>
  <c r="H32" i="7" s="1"/>
  <c r="H31" i="7"/>
  <c r="I31" i="7" s="1"/>
  <c r="G31" i="7"/>
  <c r="F31" i="7"/>
  <c r="G30" i="7"/>
  <c r="F30" i="7"/>
  <c r="G29" i="7"/>
  <c r="F29" i="7"/>
  <c r="H29" i="7" s="1"/>
  <c r="I29" i="7" s="1"/>
  <c r="G28" i="7"/>
  <c r="F28" i="7"/>
  <c r="H28" i="7" s="1"/>
  <c r="G27" i="7"/>
  <c r="F27" i="7"/>
  <c r="H27" i="7" s="1"/>
  <c r="I27" i="7" s="1"/>
  <c r="G26" i="7"/>
  <c r="F26" i="7"/>
  <c r="G25" i="7"/>
  <c r="F25" i="7"/>
  <c r="H25" i="7" s="1"/>
  <c r="I25" i="7" s="1"/>
  <c r="G24" i="7"/>
  <c r="F24" i="7"/>
  <c r="H24" i="7" s="1"/>
  <c r="G23" i="7"/>
  <c r="F23" i="7"/>
  <c r="H23" i="7" s="1"/>
  <c r="I23" i="7" s="1"/>
  <c r="G22" i="7"/>
  <c r="F22" i="7"/>
  <c r="H21" i="7"/>
  <c r="I21" i="7" s="1"/>
  <c r="G21" i="7"/>
  <c r="F21" i="7"/>
  <c r="G20" i="7"/>
  <c r="F20" i="7"/>
  <c r="H20" i="7" s="1"/>
  <c r="G19" i="7"/>
  <c r="F19" i="7"/>
  <c r="H19" i="7" s="1"/>
  <c r="I19" i="7" s="1"/>
  <c r="G18" i="7"/>
  <c r="F18" i="7"/>
  <c r="G17" i="7"/>
  <c r="F17" i="7"/>
  <c r="H17" i="7" s="1"/>
  <c r="I17" i="7" s="1"/>
  <c r="G16" i="7"/>
  <c r="F16" i="7"/>
  <c r="H16" i="7" s="1"/>
  <c r="G15" i="7"/>
  <c r="F15" i="7"/>
  <c r="H15" i="7" s="1"/>
  <c r="I15" i="7" s="1"/>
  <c r="G14" i="7"/>
  <c r="F14" i="7"/>
  <c r="G13" i="7"/>
  <c r="F13" i="7"/>
  <c r="H13" i="7" s="1"/>
  <c r="I13" i="7" s="1"/>
  <c r="G12" i="7"/>
  <c r="F12" i="7"/>
  <c r="H12" i="7" s="1"/>
  <c r="H11" i="7"/>
  <c r="I11" i="7" s="1"/>
  <c r="G11" i="7"/>
  <c r="F11" i="7"/>
  <c r="G10" i="7"/>
  <c r="F10" i="7"/>
  <c r="G9" i="7"/>
  <c r="F9" i="7"/>
  <c r="H9" i="7" s="1"/>
  <c r="I9" i="7" s="1"/>
  <c r="G8" i="7"/>
  <c r="F8" i="7"/>
  <c r="H8" i="7" s="1"/>
  <c r="G7" i="7"/>
  <c r="F7" i="7"/>
  <c r="H7" i="7" s="1"/>
  <c r="I7" i="7" s="1"/>
  <c r="G6" i="7"/>
  <c r="F6" i="7"/>
  <c r="G5" i="7"/>
  <c r="F5" i="7"/>
  <c r="H5" i="7" s="1"/>
  <c r="I5" i="7" s="1"/>
  <c r="G4" i="7"/>
  <c r="F4" i="7"/>
  <c r="H4" i="7" s="1"/>
  <c r="G3" i="7"/>
  <c r="F3" i="7"/>
  <c r="H3" i="7" s="1"/>
  <c r="I3" i="7" s="1"/>
  <c r="G2" i="7"/>
  <c r="F2" i="7"/>
  <c r="J1501" i="6"/>
  <c r="I1501" i="6"/>
  <c r="H1501" i="6"/>
  <c r="G1501" i="6"/>
  <c r="F1501" i="6"/>
  <c r="J1500" i="6"/>
  <c r="H1500" i="6"/>
  <c r="G1500" i="6"/>
  <c r="F1500" i="6"/>
  <c r="I1500" i="6" s="1"/>
  <c r="J1499" i="6"/>
  <c r="I1499" i="6"/>
  <c r="H1499" i="6"/>
  <c r="G1499" i="6"/>
  <c r="F1499" i="6"/>
  <c r="J1498" i="6"/>
  <c r="G1498" i="6"/>
  <c r="F1498" i="6"/>
  <c r="I1498" i="6" s="1"/>
  <c r="J1497" i="6"/>
  <c r="I1497" i="6"/>
  <c r="H1497" i="6"/>
  <c r="G1497" i="6"/>
  <c r="F1497" i="6"/>
  <c r="J1496" i="6"/>
  <c r="H1496" i="6"/>
  <c r="G1496" i="6"/>
  <c r="F1496" i="6"/>
  <c r="I1496" i="6" s="1"/>
  <c r="J1495" i="6"/>
  <c r="I1495" i="6"/>
  <c r="H1495" i="6"/>
  <c r="G1495" i="6"/>
  <c r="F1495" i="6"/>
  <c r="J1494" i="6"/>
  <c r="G1494" i="6"/>
  <c r="F1494" i="6"/>
  <c r="I1494" i="6" s="1"/>
  <c r="J1493" i="6"/>
  <c r="I1493" i="6"/>
  <c r="H1493" i="6"/>
  <c r="G1493" i="6"/>
  <c r="F1493" i="6"/>
  <c r="J1492" i="6"/>
  <c r="H1492" i="6"/>
  <c r="G1492" i="6"/>
  <c r="F1492" i="6"/>
  <c r="I1492" i="6" s="1"/>
  <c r="J1491" i="6"/>
  <c r="I1491" i="6"/>
  <c r="H1491" i="6"/>
  <c r="G1491" i="6"/>
  <c r="F1491" i="6"/>
  <c r="J1490" i="6"/>
  <c r="G1490" i="6"/>
  <c r="F1490" i="6"/>
  <c r="I1490" i="6" s="1"/>
  <c r="J1489" i="6"/>
  <c r="I1489" i="6"/>
  <c r="H1489" i="6"/>
  <c r="G1489" i="6"/>
  <c r="F1489" i="6"/>
  <c r="J1488" i="6"/>
  <c r="H1488" i="6"/>
  <c r="G1488" i="6"/>
  <c r="F1488" i="6"/>
  <c r="I1488" i="6" s="1"/>
  <c r="J1487" i="6"/>
  <c r="I1487" i="6"/>
  <c r="H1487" i="6"/>
  <c r="G1487" i="6"/>
  <c r="F1487" i="6"/>
  <c r="J1486" i="6"/>
  <c r="G1486" i="6"/>
  <c r="F1486" i="6"/>
  <c r="I1486" i="6" s="1"/>
  <c r="J1485" i="6"/>
  <c r="I1485" i="6"/>
  <c r="H1485" i="6"/>
  <c r="G1485" i="6"/>
  <c r="F1485" i="6"/>
  <c r="J1484" i="6"/>
  <c r="H1484" i="6"/>
  <c r="G1484" i="6"/>
  <c r="F1484" i="6"/>
  <c r="I1484" i="6" s="1"/>
  <c r="J1483" i="6"/>
  <c r="I1483" i="6"/>
  <c r="H1483" i="6"/>
  <c r="G1483" i="6"/>
  <c r="F1483" i="6"/>
  <c r="J1482" i="6"/>
  <c r="G1482" i="6"/>
  <c r="F1482" i="6"/>
  <c r="I1482" i="6" s="1"/>
  <c r="J1481" i="6"/>
  <c r="I1481" i="6"/>
  <c r="H1481" i="6"/>
  <c r="G1481" i="6"/>
  <c r="F1481" i="6"/>
  <c r="J1480" i="6"/>
  <c r="H1480" i="6"/>
  <c r="G1480" i="6"/>
  <c r="F1480" i="6"/>
  <c r="I1480" i="6" s="1"/>
  <c r="J1479" i="6"/>
  <c r="I1479" i="6"/>
  <c r="H1479" i="6"/>
  <c r="G1479" i="6"/>
  <c r="F1479" i="6"/>
  <c r="J1478" i="6"/>
  <c r="G1478" i="6"/>
  <c r="F1478" i="6"/>
  <c r="I1478" i="6" s="1"/>
  <c r="J1477" i="6"/>
  <c r="I1477" i="6"/>
  <c r="H1477" i="6"/>
  <c r="G1477" i="6"/>
  <c r="F1477" i="6"/>
  <c r="J1476" i="6"/>
  <c r="H1476" i="6"/>
  <c r="G1476" i="6"/>
  <c r="F1476" i="6"/>
  <c r="I1476" i="6" s="1"/>
  <c r="J1475" i="6"/>
  <c r="I1475" i="6"/>
  <c r="H1475" i="6"/>
  <c r="G1475" i="6"/>
  <c r="F1475" i="6"/>
  <c r="J1474" i="6"/>
  <c r="G1474" i="6"/>
  <c r="F1474" i="6"/>
  <c r="I1474" i="6" s="1"/>
  <c r="J1473" i="6"/>
  <c r="I1473" i="6"/>
  <c r="H1473" i="6"/>
  <c r="G1473" i="6"/>
  <c r="F1473" i="6"/>
  <c r="J1472" i="6"/>
  <c r="H1472" i="6"/>
  <c r="G1472" i="6"/>
  <c r="F1472" i="6"/>
  <c r="I1472" i="6" s="1"/>
  <c r="J1471" i="6"/>
  <c r="I1471" i="6"/>
  <c r="H1471" i="6"/>
  <c r="G1471" i="6"/>
  <c r="F1471" i="6"/>
  <c r="J1470" i="6"/>
  <c r="G1470" i="6"/>
  <c r="F1470" i="6"/>
  <c r="I1470" i="6" s="1"/>
  <c r="J1469" i="6"/>
  <c r="I1469" i="6"/>
  <c r="H1469" i="6"/>
  <c r="G1469" i="6"/>
  <c r="F1469" i="6"/>
  <c r="J1468" i="6"/>
  <c r="H1468" i="6"/>
  <c r="G1468" i="6"/>
  <c r="F1468" i="6"/>
  <c r="I1468" i="6" s="1"/>
  <c r="J1467" i="6"/>
  <c r="I1467" i="6"/>
  <c r="H1467" i="6"/>
  <c r="G1467" i="6"/>
  <c r="F1467" i="6"/>
  <c r="J1466" i="6"/>
  <c r="G1466" i="6"/>
  <c r="F1466" i="6"/>
  <c r="I1466" i="6" s="1"/>
  <c r="J1465" i="6"/>
  <c r="I1465" i="6"/>
  <c r="H1465" i="6"/>
  <c r="G1465" i="6"/>
  <c r="F1465" i="6"/>
  <c r="J1464" i="6"/>
  <c r="H1464" i="6"/>
  <c r="G1464" i="6"/>
  <c r="F1464" i="6"/>
  <c r="I1464" i="6" s="1"/>
  <c r="J1463" i="6"/>
  <c r="I1463" i="6"/>
  <c r="H1463" i="6"/>
  <c r="G1463" i="6"/>
  <c r="F1463" i="6"/>
  <c r="J1462" i="6"/>
  <c r="G1462" i="6"/>
  <c r="F1462" i="6"/>
  <c r="I1462" i="6" s="1"/>
  <c r="J1461" i="6"/>
  <c r="I1461" i="6"/>
  <c r="H1461" i="6"/>
  <c r="G1461" i="6"/>
  <c r="F1461" i="6"/>
  <c r="J1460" i="6"/>
  <c r="H1460" i="6"/>
  <c r="G1460" i="6"/>
  <c r="F1460" i="6"/>
  <c r="I1460" i="6" s="1"/>
  <c r="J1459" i="6"/>
  <c r="I1459" i="6"/>
  <c r="H1459" i="6"/>
  <c r="G1459" i="6"/>
  <c r="F1459" i="6"/>
  <c r="J1458" i="6"/>
  <c r="G1458" i="6"/>
  <c r="F1458" i="6"/>
  <c r="I1458" i="6" s="1"/>
  <c r="J1457" i="6"/>
  <c r="I1457" i="6"/>
  <c r="H1457" i="6"/>
  <c r="G1457" i="6"/>
  <c r="F1457" i="6"/>
  <c r="J1456" i="6"/>
  <c r="H1456" i="6"/>
  <c r="G1456" i="6"/>
  <c r="F1456" i="6"/>
  <c r="I1456" i="6" s="1"/>
  <c r="J1455" i="6"/>
  <c r="I1455" i="6"/>
  <c r="H1455" i="6"/>
  <c r="G1455" i="6"/>
  <c r="F1455" i="6"/>
  <c r="J1454" i="6"/>
  <c r="G1454" i="6"/>
  <c r="F1454" i="6"/>
  <c r="I1454" i="6" s="1"/>
  <c r="J1453" i="6"/>
  <c r="I1453" i="6"/>
  <c r="H1453" i="6"/>
  <c r="G1453" i="6"/>
  <c r="F1453" i="6"/>
  <c r="J1452" i="6"/>
  <c r="H1452" i="6"/>
  <c r="G1452" i="6"/>
  <c r="F1452" i="6"/>
  <c r="I1452" i="6" s="1"/>
  <c r="J1451" i="6"/>
  <c r="I1451" i="6"/>
  <c r="H1451" i="6"/>
  <c r="G1451" i="6"/>
  <c r="F1451" i="6"/>
  <c r="J1450" i="6"/>
  <c r="G1450" i="6"/>
  <c r="F1450" i="6"/>
  <c r="I1450" i="6" s="1"/>
  <c r="J1449" i="6"/>
  <c r="I1449" i="6"/>
  <c r="H1449" i="6"/>
  <c r="G1449" i="6"/>
  <c r="F1449" i="6"/>
  <c r="J1448" i="6"/>
  <c r="H1448" i="6"/>
  <c r="G1448" i="6"/>
  <c r="F1448" i="6"/>
  <c r="I1448" i="6" s="1"/>
  <c r="J1447" i="6"/>
  <c r="I1447" i="6"/>
  <c r="H1447" i="6"/>
  <c r="G1447" i="6"/>
  <c r="F1447" i="6"/>
  <c r="J1446" i="6"/>
  <c r="G1446" i="6"/>
  <c r="F1446" i="6"/>
  <c r="I1446" i="6" s="1"/>
  <c r="J1445" i="6"/>
  <c r="I1445" i="6"/>
  <c r="H1445" i="6"/>
  <c r="G1445" i="6"/>
  <c r="F1445" i="6"/>
  <c r="J1444" i="6"/>
  <c r="H1444" i="6"/>
  <c r="G1444" i="6"/>
  <c r="F1444" i="6"/>
  <c r="I1444" i="6" s="1"/>
  <c r="J1443" i="6"/>
  <c r="I1443" i="6"/>
  <c r="H1443" i="6"/>
  <c r="G1443" i="6"/>
  <c r="F1443" i="6"/>
  <c r="J1442" i="6"/>
  <c r="G1442" i="6"/>
  <c r="F1442" i="6"/>
  <c r="I1442" i="6" s="1"/>
  <c r="J1441" i="6"/>
  <c r="I1441" i="6"/>
  <c r="H1441" i="6"/>
  <c r="G1441" i="6"/>
  <c r="F1441" i="6"/>
  <c r="J1440" i="6"/>
  <c r="H1440" i="6"/>
  <c r="G1440" i="6"/>
  <c r="F1440" i="6"/>
  <c r="I1440" i="6" s="1"/>
  <c r="J1439" i="6"/>
  <c r="I1439" i="6"/>
  <c r="H1439" i="6"/>
  <c r="G1439" i="6"/>
  <c r="F1439" i="6"/>
  <c r="J1438" i="6"/>
  <c r="G1438" i="6"/>
  <c r="F1438" i="6"/>
  <c r="I1438" i="6" s="1"/>
  <c r="J1437" i="6"/>
  <c r="I1437" i="6"/>
  <c r="H1437" i="6"/>
  <c r="G1437" i="6"/>
  <c r="F1437" i="6"/>
  <c r="J1436" i="6"/>
  <c r="H1436" i="6"/>
  <c r="G1436" i="6"/>
  <c r="F1436" i="6"/>
  <c r="I1436" i="6" s="1"/>
  <c r="J1435" i="6"/>
  <c r="I1435" i="6"/>
  <c r="H1435" i="6"/>
  <c r="G1435" i="6"/>
  <c r="F1435" i="6"/>
  <c r="J1434" i="6"/>
  <c r="G1434" i="6"/>
  <c r="F1434" i="6"/>
  <c r="I1434" i="6" s="1"/>
  <c r="J1433" i="6"/>
  <c r="I1433" i="6"/>
  <c r="H1433" i="6"/>
  <c r="G1433" i="6"/>
  <c r="F1433" i="6"/>
  <c r="J1432" i="6"/>
  <c r="H1432" i="6"/>
  <c r="G1432" i="6"/>
  <c r="F1432" i="6"/>
  <c r="I1432" i="6" s="1"/>
  <c r="J1431" i="6"/>
  <c r="I1431" i="6"/>
  <c r="H1431" i="6"/>
  <c r="G1431" i="6"/>
  <c r="F1431" i="6"/>
  <c r="J1430" i="6"/>
  <c r="G1430" i="6"/>
  <c r="F1430" i="6"/>
  <c r="I1430" i="6" s="1"/>
  <c r="J1429" i="6"/>
  <c r="I1429" i="6"/>
  <c r="H1429" i="6"/>
  <c r="G1429" i="6"/>
  <c r="F1429" i="6"/>
  <c r="J1428" i="6"/>
  <c r="H1428" i="6"/>
  <c r="G1428" i="6"/>
  <c r="F1428" i="6"/>
  <c r="I1428" i="6" s="1"/>
  <c r="J1427" i="6"/>
  <c r="I1427" i="6"/>
  <c r="H1427" i="6"/>
  <c r="G1427" i="6"/>
  <c r="F1427" i="6"/>
  <c r="J1426" i="6"/>
  <c r="G1426" i="6"/>
  <c r="F1426" i="6"/>
  <c r="I1426" i="6" s="1"/>
  <c r="J1425" i="6"/>
  <c r="I1425" i="6"/>
  <c r="H1425" i="6"/>
  <c r="G1425" i="6"/>
  <c r="F1425" i="6"/>
  <c r="J1424" i="6"/>
  <c r="H1424" i="6"/>
  <c r="G1424" i="6"/>
  <c r="F1424" i="6"/>
  <c r="I1424" i="6" s="1"/>
  <c r="J1423" i="6"/>
  <c r="I1423" i="6"/>
  <c r="H1423" i="6"/>
  <c r="G1423" i="6"/>
  <c r="F1423" i="6"/>
  <c r="J1422" i="6"/>
  <c r="G1422" i="6"/>
  <c r="F1422" i="6"/>
  <c r="I1422" i="6" s="1"/>
  <c r="J1421" i="6"/>
  <c r="I1421" i="6"/>
  <c r="H1421" i="6"/>
  <c r="G1421" i="6"/>
  <c r="F1421" i="6"/>
  <c r="J1420" i="6"/>
  <c r="H1420" i="6"/>
  <c r="G1420" i="6"/>
  <c r="F1420" i="6"/>
  <c r="I1420" i="6" s="1"/>
  <c r="J1419" i="6"/>
  <c r="I1419" i="6"/>
  <c r="H1419" i="6"/>
  <c r="G1419" i="6"/>
  <c r="F1419" i="6"/>
  <c r="J1418" i="6"/>
  <c r="G1418" i="6"/>
  <c r="F1418" i="6"/>
  <c r="I1418" i="6" s="1"/>
  <c r="J1417" i="6"/>
  <c r="I1417" i="6"/>
  <c r="H1417" i="6"/>
  <c r="G1417" i="6"/>
  <c r="F1417" i="6"/>
  <c r="J1416" i="6"/>
  <c r="H1416" i="6"/>
  <c r="G1416" i="6"/>
  <c r="F1416" i="6"/>
  <c r="I1416" i="6" s="1"/>
  <c r="J1415" i="6"/>
  <c r="I1415" i="6"/>
  <c r="H1415" i="6"/>
  <c r="G1415" i="6"/>
  <c r="F1415" i="6"/>
  <c r="J1414" i="6"/>
  <c r="G1414" i="6"/>
  <c r="F1414" i="6"/>
  <c r="I1414" i="6" s="1"/>
  <c r="J1413" i="6"/>
  <c r="I1413" i="6"/>
  <c r="H1413" i="6"/>
  <c r="G1413" i="6"/>
  <c r="F1413" i="6"/>
  <c r="J1412" i="6"/>
  <c r="H1412" i="6"/>
  <c r="G1412" i="6"/>
  <c r="F1412" i="6"/>
  <c r="I1412" i="6" s="1"/>
  <c r="J1411" i="6"/>
  <c r="I1411" i="6"/>
  <c r="H1411" i="6"/>
  <c r="G1411" i="6"/>
  <c r="F1411" i="6"/>
  <c r="J1410" i="6"/>
  <c r="G1410" i="6"/>
  <c r="F1410" i="6"/>
  <c r="I1410" i="6" s="1"/>
  <c r="J1409" i="6"/>
  <c r="I1409" i="6"/>
  <c r="H1409" i="6"/>
  <c r="G1409" i="6"/>
  <c r="F1409" i="6"/>
  <c r="J1408" i="6"/>
  <c r="H1408" i="6"/>
  <c r="G1408" i="6"/>
  <c r="F1408" i="6"/>
  <c r="I1408" i="6" s="1"/>
  <c r="J1407" i="6"/>
  <c r="I1407" i="6"/>
  <c r="H1407" i="6"/>
  <c r="G1407" i="6"/>
  <c r="F1407" i="6"/>
  <c r="J1406" i="6"/>
  <c r="G1406" i="6"/>
  <c r="F1406" i="6"/>
  <c r="I1406" i="6" s="1"/>
  <c r="J1405" i="6"/>
  <c r="I1405" i="6"/>
  <c r="H1405" i="6"/>
  <c r="G1405" i="6"/>
  <c r="F1405" i="6"/>
  <c r="J1404" i="6"/>
  <c r="H1404" i="6"/>
  <c r="G1404" i="6"/>
  <c r="F1404" i="6"/>
  <c r="I1404" i="6" s="1"/>
  <c r="J1403" i="6"/>
  <c r="I1403" i="6"/>
  <c r="H1403" i="6"/>
  <c r="G1403" i="6"/>
  <c r="F1403" i="6"/>
  <c r="J1402" i="6"/>
  <c r="G1402" i="6"/>
  <c r="F1402" i="6"/>
  <c r="I1402" i="6" s="1"/>
  <c r="J1401" i="6"/>
  <c r="I1401" i="6"/>
  <c r="H1401" i="6"/>
  <c r="G1401" i="6"/>
  <c r="F1401" i="6"/>
  <c r="J1400" i="6"/>
  <c r="H1400" i="6"/>
  <c r="G1400" i="6"/>
  <c r="F1400" i="6"/>
  <c r="I1400" i="6" s="1"/>
  <c r="J1399" i="6"/>
  <c r="I1399" i="6"/>
  <c r="H1399" i="6"/>
  <c r="G1399" i="6"/>
  <c r="F1399" i="6"/>
  <c r="J1398" i="6"/>
  <c r="G1398" i="6"/>
  <c r="F1398" i="6"/>
  <c r="I1398" i="6" s="1"/>
  <c r="J1397" i="6"/>
  <c r="I1397" i="6"/>
  <c r="H1397" i="6"/>
  <c r="G1397" i="6"/>
  <c r="F1397" i="6"/>
  <c r="J1396" i="6"/>
  <c r="H1396" i="6"/>
  <c r="G1396" i="6"/>
  <c r="F1396" i="6"/>
  <c r="I1396" i="6" s="1"/>
  <c r="J1395" i="6"/>
  <c r="I1395" i="6"/>
  <c r="H1395" i="6"/>
  <c r="G1395" i="6"/>
  <c r="F1395" i="6"/>
  <c r="J1394" i="6"/>
  <c r="G1394" i="6"/>
  <c r="F1394" i="6"/>
  <c r="I1394" i="6" s="1"/>
  <c r="J1393" i="6"/>
  <c r="I1393" i="6"/>
  <c r="H1393" i="6"/>
  <c r="G1393" i="6"/>
  <c r="F1393" i="6"/>
  <c r="J1392" i="6"/>
  <c r="H1392" i="6"/>
  <c r="G1392" i="6"/>
  <c r="F1392" i="6"/>
  <c r="I1392" i="6" s="1"/>
  <c r="J1391" i="6"/>
  <c r="I1391" i="6"/>
  <c r="H1391" i="6"/>
  <c r="G1391" i="6"/>
  <c r="F1391" i="6"/>
  <c r="J1390" i="6"/>
  <c r="G1390" i="6"/>
  <c r="F1390" i="6"/>
  <c r="I1390" i="6" s="1"/>
  <c r="J1389" i="6"/>
  <c r="I1389" i="6"/>
  <c r="H1389" i="6"/>
  <c r="G1389" i="6"/>
  <c r="F1389" i="6"/>
  <c r="J1388" i="6"/>
  <c r="H1388" i="6"/>
  <c r="G1388" i="6"/>
  <c r="F1388" i="6"/>
  <c r="I1388" i="6" s="1"/>
  <c r="J1387" i="6"/>
  <c r="I1387" i="6"/>
  <c r="H1387" i="6"/>
  <c r="G1387" i="6"/>
  <c r="F1387" i="6"/>
  <c r="J1386" i="6"/>
  <c r="G1386" i="6"/>
  <c r="F1386" i="6"/>
  <c r="I1386" i="6" s="1"/>
  <c r="J1385" i="6"/>
  <c r="I1385" i="6"/>
  <c r="H1385" i="6"/>
  <c r="G1385" i="6"/>
  <c r="F1385" i="6"/>
  <c r="J1384" i="6"/>
  <c r="H1384" i="6"/>
  <c r="G1384" i="6"/>
  <c r="F1384" i="6"/>
  <c r="I1384" i="6" s="1"/>
  <c r="J1383" i="6"/>
  <c r="I1383" i="6"/>
  <c r="H1383" i="6"/>
  <c r="G1383" i="6"/>
  <c r="F1383" i="6"/>
  <c r="J1382" i="6"/>
  <c r="G1382" i="6"/>
  <c r="F1382" i="6"/>
  <c r="I1382" i="6" s="1"/>
  <c r="J1381" i="6"/>
  <c r="I1381" i="6"/>
  <c r="H1381" i="6"/>
  <c r="G1381" i="6"/>
  <c r="F1381" i="6"/>
  <c r="J1380" i="6"/>
  <c r="H1380" i="6"/>
  <c r="G1380" i="6"/>
  <c r="F1380" i="6"/>
  <c r="I1380" i="6" s="1"/>
  <c r="J1379" i="6"/>
  <c r="I1379" i="6"/>
  <c r="H1379" i="6"/>
  <c r="G1379" i="6"/>
  <c r="F1379" i="6"/>
  <c r="J1378" i="6"/>
  <c r="G1378" i="6"/>
  <c r="F1378" i="6"/>
  <c r="I1378" i="6" s="1"/>
  <c r="J1377" i="6"/>
  <c r="I1377" i="6"/>
  <c r="H1377" i="6"/>
  <c r="G1377" i="6"/>
  <c r="F1377" i="6"/>
  <c r="J1376" i="6"/>
  <c r="H1376" i="6"/>
  <c r="G1376" i="6"/>
  <c r="F1376" i="6"/>
  <c r="I1376" i="6" s="1"/>
  <c r="J1375" i="6"/>
  <c r="I1375" i="6"/>
  <c r="H1375" i="6"/>
  <c r="G1375" i="6"/>
  <c r="F1375" i="6"/>
  <c r="J1374" i="6"/>
  <c r="G1374" i="6"/>
  <c r="F1374" i="6"/>
  <c r="I1374" i="6" s="1"/>
  <c r="J1373" i="6"/>
  <c r="I1373" i="6"/>
  <c r="H1373" i="6"/>
  <c r="G1373" i="6"/>
  <c r="F1373" i="6"/>
  <c r="J1372" i="6"/>
  <c r="H1372" i="6"/>
  <c r="G1372" i="6"/>
  <c r="F1372" i="6"/>
  <c r="I1372" i="6" s="1"/>
  <c r="J1371" i="6"/>
  <c r="I1371" i="6"/>
  <c r="H1371" i="6"/>
  <c r="G1371" i="6"/>
  <c r="F1371" i="6"/>
  <c r="J1370" i="6"/>
  <c r="G1370" i="6"/>
  <c r="F1370" i="6"/>
  <c r="I1370" i="6" s="1"/>
  <c r="J1369" i="6"/>
  <c r="I1369" i="6"/>
  <c r="H1369" i="6"/>
  <c r="G1369" i="6"/>
  <c r="F1369" i="6"/>
  <c r="J1368" i="6"/>
  <c r="H1368" i="6"/>
  <c r="G1368" i="6"/>
  <c r="F1368" i="6"/>
  <c r="I1368" i="6" s="1"/>
  <c r="J1367" i="6"/>
  <c r="I1367" i="6"/>
  <c r="H1367" i="6"/>
  <c r="G1367" i="6"/>
  <c r="F1367" i="6"/>
  <c r="J1366" i="6"/>
  <c r="G1366" i="6"/>
  <c r="F1366" i="6"/>
  <c r="I1366" i="6" s="1"/>
  <c r="J1365" i="6"/>
  <c r="I1365" i="6"/>
  <c r="H1365" i="6"/>
  <c r="G1365" i="6"/>
  <c r="F1365" i="6"/>
  <c r="J1364" i="6"/>
  <c r="H1364" i="6"/>
  <c r="G1364" i="6"/>
  <c r="F1364" i="6"/>
  <c r="I1364" i="6" s="1"/>
  <c r="J1363" i="6"/>
  <c r="I1363" i="6"/>
  <c r="H1363" i="6"/>
  <c r="G1363" i="6"/>
  <c r="F1363" i="6"/>
  <c r="J1362" i="6"/>
  <c r="G1362" i="6"/>
  <c r="F1362" i="6"/>
  <c r="I1362" i="6" s="1"/>
  <c r="J1361" i="6"/>
  <c r="I1361" i="6"/>
  <c r="H1361" i="6"/>
  <c r="G1361" i="6"/>
  <c r="F1361" i="6"/>
  <c r="J1360" i="6"/>
  <c r="G1360" i="6"/>
  <c r="F1360" i="6"/>
  <c r="J1359" i="6"/>
  <c r="I1359" i="6"/>
  <c r="H1359" i="6"/>
  <c r="G1359" i="6"/>
  <c r="F1359" i="6"/>
  <c r="J1358" i="6"/>
  <c r="G1358" i="6"/>
  <c r="F1358" i="6"/>
  <c r="J1357" i="6"/>
  <c r="I1357" i="6"/>
  <c r="H1357" i="6"/>
  <c r="G1357" i="6"/>
  <c r="F1357" i="6"/>
  <c r="J1356" i="6"/>
  <c r="H1356" i="6"/>
  <c r="G1356" i="6"/>
  <c r="F1356" i="6"/>
  <c r="I1356" i="6" s="1"/>
  <c r="J1355" i="6"/>
  <c r="I1355" i="6"/>
  <c r="H1355" i="6"/>
  <c r="G1355" i="6"/>
  <c r="F1355" i="6"/>
  <c r="G1354" i="6"/>
  <c r="F1354" i="6"/>
  <c r="J1353" i="6"/>
  <c r="I1353" i="6"/>
  <c r="H1353" i="6"/>
  <c r="G1353" i="6"/>
  <c r="F1353" i="6"/>
  <c r="J1352" i="6"/>
  <c r="H1352" i="6"/>
  <c r="G1352" i="6"/>
  <c r="F1352" i="6"/>
  <c r="I1352" i="6" s="1"/>
  <c r="J1351" i="6"/>
  <c r="I1351" i="6"/>
  <c r="H1351" i="6"/>
  <c r="G1351" i="6"/>
  <c r="F1351" i="6"/>
  <c r="G1350" i="6"/>
  <c r="F1350" i="6"/>
  <c r="J1349" i="6"/>
  <c r="I1349" i="6"/>
  <c r="H1349" i="6"/>
  <c r="G1349" i="6"/>
  <c r="F1349" i="6"/>
  <c r="J1348" i="6"/>
  <c r="H1348" i="6"/>
  <c r="G1348" i="6"/>
  <c r="F1348" i="6"/>
  <c r="I1348" i="6" s="1"/>
  <c r="J1347" i="6"/>
  <c r="I1347" i="6"/>
  <c r="H1347" i="6"/>
  <c r="G1347" i="6"/>
  <c r="F1347" i="6"/>
  <c r="J1346" i="6"/>
  <c r="G1346" i="6"/>
  <c r="F1346" i="6"/>
  <c r="J1345" i="6"/>
  <c r="I1345" i="6"/>
  <c r="H1345" i="6"/>
  <c r="G1345" i="6"/>
  <c r="F1345" i="6"/>
  <c r="H1344" i="6"/>
  <c r="G1344" i="6"/>
  <c r="F1344" i="6"/>
  <c r="I1344" i="6" s="1"/>
  <c r="J1343" i="6"/>
  <c r="I1343" i="6"/>
  <c r="H1343" i="6"/>
  <c r="G1343" i="6"/>
  <c r="F1343" i="6"/>
  <c r="J1342" i="6"/>
  <c r="G1342" i="6"/>
  <c r="F1342" i="6"/>
  <c r="J1341" i="6"/>
  <c r="I1341" i="6"/>
  <c r="H1341" i="6"/>
  <c r="G1341" i="6"/>
  <c r="F1341" i="6"/>
  <c r="H1340" i="6"/>
  <c r="G1340" i="6"/>
  <c r="F1340" i="6"/>
  <c r="I1340" i="6" s="1"/>
  <c r="J1339" i="6"/>
  <c r="I1339" i="6"/>
  <c r="H1339" i="6"/>
  <c r="G1339" i="6"/>
  <c r="F1339" i="6"/>
  <c r="J1338" i="6"/>
  <c r="G1338" i="6"/>
  <c r="F1338" i="6"/>
  <c r="J1337" i="6"/>
  <c r="I1337" i="6"/>
  <c r="H1337" i="6"/>
  <c r="G1337" i="6"/>
  <c r="F1337" i="6"/>
  <c r="G1336" i="6"/>
  <c r="F1336" i="6"/>
  <c r="J1335" i="6"/>
  <c r="I1335" i="6"/>
  <c r="H1335" i="6"/>
  <c r="G1335" i="6"/>
  <c r="F1335" i="6"/>
  <c r="J1334" i="6"/>
  <c r="G1334" i="6"/>
  <c r="F1334" i="6"/>
  <c r="J1333" i="6"/>
  <c r="I1333" i="6"/>
  <c r="H1333" i="6"/>
  <c r="G1333" i="6"/>
  <c r="F1333" i="6"/>
  <c r="H1332" i="6"/>
  <c r="G1332" i="6"/>
  <c r="F1332" i="6"/>
  <c r="I1332" i="6" s="1"/>
  <c r="J1331" i="6"/>
  <c r="I1331" i="6"/>
  <c r="H1331" i="6"/>
  <c r="G1331" i="6"/>
  <c r="F1331" i="6"/>
  <c r="J1330" i="6"/>
  <c r="G1330" i="6"/>
  <c r="F1330" i="6"/>
  <c r="J1329" i="6"/>
  <c r="I1329" i="6"/>
  <c r="H1329" i="6"/>
  <c r="G1329" i="6"/>
  <c r="F1329" i="6"/>
  <c r="J1328" i="6"/>
  <c r="H1328" i="6"/>
  <c r="G1328" i="6"/>
  <c r="F1328" i="6"/>
  <c r="I1328" i="6" s="1"/>
  <c r="J1327" i="6"/>
  <c r="I1327" i="6"/>
  <c r="H1327" i="6"/>
  <c r="G1327" i="6"/>
  <c r="F1327" i="6"/>
  <c r="G1326" i="6"/>
  <c r="F1326" i="6"/>
  <c r="J1325" i="6"/>
  <c r="I1325" i="6"/>
  <c r="H1325" i="6"/>
  <c r="G1325" i="6"/>
  <c r="F1325" i="6"/>
  <c r="J1324" i="6"/>
  <c r="G1324" i="6"/>
  <c r="F1324" i="6"/>
  <c r="J1323" i="6"/>
  <c r="I1323" i="6"/>
  <c r="H1323" i="6"/>
  <c r="G1323" i="6"/>
  <c r="F1323" i="6"/>
  <c r="J1322" i="6"/>
  <c r="G1322" i="6"/>
  <c r="F1322" i="6"/>
  <c r="J1321" i="6"/>
  <c r="I1321" i="6"/>
  <c r="H1321" i="6"/>
  <c r="G1321" i="6"/>
  <c r="F1321" i="6"/>
  <c r="H1320" i="6"/>
  <c r="G1320" i="6"/>
  <c r="F1320" i="6"/>
  <c r="I1320" i="6" s="1"/>
  <c r="J1319" i="6"/>
  <c r="I1319" i="6"/>
  <c r="H1319" i="6"/>
  <c r="G1319" i="6"/>
  <c r="F1319" i="6"/>
  <c r="J1318" i="6"/>
  <c r="G1318" i="6"/>
  <c r="F1318" i="6"/>
  <c r="J1317" i="6"/>
  <c r="I1317" i="6"/>
  <c r="H1317" i="6"/>
  <c r="G1317" i="6"/>
  <c r="F1317" i="6"/>
  <c r="G1316" i="6"/>
  <c r="F1316" i="6"/>
  <c r="I1316" i="6" s="1"/>
  <c r="J1315" i="6"/>
  <c r="I1315" i="6"/>
  <c r="H1315" i="6"/>
  <c r="G1315" i="6"/>
  <c r="F1315" i="6"/>
  <c r="G1314" i="6"/>
  <c r="F1314" i="6"/>
  <c r="J1313" i="6"/>
  <c r="I1313" i="6"/>
  <c r="H1313" i="6"/>
  <c r="G1313" i="6"/>
  <c r="F1313" i="6"/>
  <c r="J1312" i="6"/>
  <c r="G1312" i="6"/>
  <c r="F1312" i="6"/>
  <c r="J1311" i="6"/>
  <c r="I1311" i="6"/>
  <c r="H1311" i="6"/>
  <c r="G1311" i="6"/>
  <c r="F1311" i="6"/>
  <c r="J1310" i="6"/>
  <c r="G1310" i="6"/>
  <c r="F1310" i="6"/>
  <c r="J1309" i="6"/>
  <c r="I1309" i="6"/>
  <c r="H1309" i="6"/>
  <c r="G1309" i="6"/>
  <c r="F1309" i="6"/>
  <c r="G1308" i="6"/>
  <c r="F1308" i="6"/>
  <c r="J1307" i="6"/>
  <c r="I1307" i="6"/>
  <c r="H1307" i="6"/>
  <c r="G1307" i="6"/>
  <c r="F1307" i="6"/>
  <c r="J1306" i="6"/>
  <c r="H1306" i="6"/>
  <c r="G1306" i="6"/>
  <c r="F1306" i="6"/>
  <c r="I1306" i="6" s="1"/>
  <c r="J1305" i="6"/>
  <c r="I1305" i="6"/>
  <c r="H1305" i="6"/>
  <c r="G1305" i="6"/>
  <c r="F1305" i="6"/>
  <c r="G1304" i="6"/>
  <c r="F1304" i="6"/>
  <c r="J1303" i="6"/>
  <c r="I1303" i="6"/>
  <c r="H1303" i="6"/>
  <c r="G1303" i="6"/>
  <c r="F1303" i="6"/>
  <c r="J1302" i="6"/>
  <c r="H1302" i="6"/>
  <c r="G1302" i="6"/>
  <c r="F1302" i="6"/>
  <c r="I1302" i="6" s="1"/>
  <c r="J1301" i="6"/>
  <c r="I1301" i="6"/>
  <c r="H1301" i="6"/>
  <c r="G1301" i="6"/>
  <c r="F1301" i="6"/>
  <c r="G1300" i="6"/>
  <c r="F1300" i="6"/>
  <c r="J1299" i="6"/>
  <c r="I1299" i="6"/>
  <c r="H1299" i="6"/>
  <c r="G1299" i="6"/>
  <c r="F1299" i="6"/>
  <c r="J1298" i="6"/>
  <c r="H1298" i="6"/>
  <c r="G1298" i="6"/>
  <c r="F1298" i="6"/>
  <c r="I1298" i="6" s="1"/>
  <c r="J1297" i="6"/>
  <c r="I1297" i="6"/>
  <c r="H1297" i="6"/>
  <c r="G1297" i="6"/>
  <c r="F1297" i="6"/>
  <c r="G1296" i="6"/>
  <c r="F1296" i="6"/>
  <c r="J1295" i="6"/>
  <c r="I1295" i="6"/>
  <c r="H1295" i="6"/>
  <c r="G1295" i="6"/>
  <c r="F1295" i="6"/>
  <c r="J1294" i="6"/>
  <c r="H1294" i="6"/>
  <c r="G1294" i="6"/>
  <c r="F1294" i="6"/>
  <c r="I1294" i="6" s="1"/>
  <c r="J1293" i="6"/>
  <c r="I1293" i="6"/>
  <c r="H1293" i="6"/>
  <c r="G1293" i="6"/>
  <c r="F1293" i="6"/>
  <c r="G1292" i="6"/>
  <c r="F1292" i="6"/>
  <c r="J1291" i="6"/>
  <c r="I1291" i="6"/>
  <c r="H1291" i="6"/>
  <c r="G1291" i="6"/>
  <c r="F1291" i="6"/>
  <c r="J1290" i="6"/>
  <c r="H1290" i="6"/>
  <c r="G1290" i="6"/>
  <c r="F1290" i="6"/>
  <c r="I1290" i="6" s="1"/>
  <c r="J1289" i="6"/>
  <c r="I1289" i="6"/>
  <c r="H1289" i="6"/>
  <c r="G1289" i="6"/>
  <c r="F1289" i="6"/>
  <c r="G1288" i="6"/>
  <c r="F1288" i="6"/>
  <c r="J1287" i="6"/>
  <c r="I1287" i="6"/>
  <c r="H1287" i="6"/>
  <c r="G1287" i="6"/>
  <c r="F1287" i="6"/>
  <c r="J1286" i="6"/>
  <c r="H1286" i="6"/>
  <c r="G1286" i="6"/>
  <c r="F1286" i="6"/>
  <c r="I1286" i="6" s="1"/>
  <c r="J1285" i="6"/>
  <c r="I1285" i="6"/>
  <c r="H1285" i="6"/>
  <c r="G1285" i="6"/>
  <c r="F1285" i="6"/>
  <c r="G1284" i="6"/>
  <c r="F1284" i="6"/>
  <c r="J1283" i="6"/>
  <c r="I1283" i="6"/>
  <c r="H1283" i="6"/>
  <c r="G1283" i="6"/>
  <c r="F1283" i="6"/>
  <c r="J1282" i="6"/>
  <c r="H1282" i="6"/>
  <c r="G1282" i="6"/>
  <c r="F1282" i="6"/>
  <c r="I1282" i="6" s="1"/>
  <c r="J1281" i="6"/>
  <c r="I1281" i="6"/>
  <c r="H1281" i="6"/>
  <c r="G1281" i="6"/>
  <c r="F1281" i="6"/>
  <c r="G1280" i="6"/>
  <c r="F1280" i="6"/>
  <c r="J1279" i="6"/>
  <c r="I1279" i="6"/>
  <c r="H1279" i="6"/>
  <c r="G1279" i="6"/>
  <c r="F1279" i="6"/>
  <c r="J1278" i="6"/>
  <c r="H1278" i="6"/>
  <c r="G1278" i="6"/>
  <c r="F1278" i="6"/>
  <c r="I1278" i="6" s="1"/>
  <c r="J1277" i="6"/>
  <c r="I1277" i="6"/>
  <c r="H1277" i="6"/>
  <c r="G1277" i="6"/>
  <c r="F1277" i="6"/>
  <c r="G1276" i="6"/>
  <c r="F1276" i="6"/>
  <c r="J1275" i="6"/>
  <c r="I1275" i="6"/>
  <c r="H1275" i="6"/>
  <c r="G1275" i="6"/>
  <c r="F1275" i="6"/>
  <c r="J1274" i="6"/>
  <c r="H1274" i="6"/>
  <c r="G1274" i="6"/>
  <c r="F1274" i="6"/>
  <c r="I1274" i="6" s="1"/>
  <c r="J1273" i="6"/>
  <c r="I1273" i="6"/>
  <c r="H1273" i="6"/>
  <c r="G1273" i="6"/>
  <c r="F1273" i="6"/>
  <c r="G1272" i="6"/>
  <c r="F1272" i="6"/>
  <c r="J1271" i="6"/>
  <c r="I1271" i="6"/>
  <c r="H1271" i="6"/>
  <c r="G1271" i="6"/>
  <c r="F1271" i="6"/>
  <c r="J1270" i="6"/>
  <c r="H1270" i="6"/>
  <c r="G1270" i="6"/>
  <c r="F1270" i="6"/>
  <c r="I1270" i="6" s="1"/>
  <c r="J1269" i="6"/>
  <c r="I1269" i="6"/>
  <c r="H1269" i="6"/>
  <c r="G1269" i="6"/>
  <c r="F1269" i="6"/>
  <c r="G1268" i="6"/>
  <c r="F1268" i="6"/>
  <c r="J1267" i="6"/>
  <c r="I1267" i="6"/>
  <c r="H1267" i="6"/>
  <c r="G1267" i="6"/>
  <c r="F1267" i="6"/>
  <c r="J1266" i="6"/>
  <c r="H1266" i="6"/>
  <c r="G1266" i="6"/>
  <c r="F1266" i="6"/>
  <c r="I1266" i="6" s="1"/>
  <c r="J1265" i="6"/>
  <c r="I1265" i="6"/>
  <c r="H1265" i="6"/>
  <c r="G1265" i="6"/>
  <c r="F1265" i="6"/>
  <c r="G1264" i="6"/>
  <c r="F1264" i="6"/>
  <c r="J1263" i="6"/>
  <c r="I1263" i="6"/>
  <c r="H1263" i="6"/>
  <c r="G1263" i="6"/>
  <c r="F1263" i="6"/>
  <c r="J1262" i="6"/>
  <c r="H1262" i="6"/>
  <c r="G1262" i="6"/>
  <c r="F1262" i="6"/>
  <c r="I1262" i="6" s="1"/>
  <c r="J1261" i="6"/>
  <c r="I1261" i="6"/>
  <c r="H1261" i="6"/>
  <c r="G1261" i="6"/>
  <c r="F1261" i="6"/>
  <c r="G1260" i="6"/>
  <c r="F1260" i="6"/>
  <c r="J1259" i="6"/>
  <c r="I1259" i="6"/>
  <c r="H1259" i="6"/>
  <c r="G1259" i="6"/>
  <c r="F1259" i="6"/>
  <c r="J1258" i="6"/>
  <c r="H1258" i="6"/>
  <c r="G1258" i="6"/>
  <c r="F1258" i="6"/>
  <c r="I1258" i="6" s="1"/>
  <c r="J1257" i="6"/>
  <c r="I1257" i="6"/>
  <c r="H1257" i="6"/>
  <c r="G1257" i="6"/>
  <c r="F1257" i="6"/>
  <c r="G1256" i="6"/>
  <c r="F1256" i="6"/>
  <c r="J1255" i="6"/>
  <c r="I1255" i="6"/>
  <c r="H1255" i="6"/>
  <c r="G1255" i="6"/>
  <c r="F1255" i="6"/>
  <c r="J1254" i="6"/>
  <c r="H1254" i="6"/>
  <c r="G1254" i="6"/>
  <c r="F1254" i="6"/>
  <c r="I1254" i="6" s="1"/>
  <c r="J1253" i="6"/>
  <c r="I1253" i="6"/>
  <c r="H1253" i="6"/>
  <c r="G1253" i="6"/>
  <c r="F1253" i="6"/>
  <c r="G1252" i="6"/>
  <c r="F1252" i="6"/>
  <c r="J1251" i="6"/>
  <c r="I1251" i="6"/>
  <c r="H1251" i="6"/>
  <c r="G1251" i="6"/>
  <c r="F1251" i="6"/>
  <c r="J1250" i="6"/>
  <c r="H1250" i="6"/>
  <c r="G1250" i="6"/>
  <c r="F1250" i="6"/>
  <c r="I1250" i="6" s="1"/>
  <c r="J1249" i="6"/>
  <c r="I1249" i="6"/>
  <c r="H1249" i="6"/>
  <c r="G1249" i="6"/>
  <c r="F1249" i="6"/>
  <c r="G1248" i="6"/>
  <c r="F1248" i="6"/>
  <c r="J1247" i="6"/>
  <c r="I1247" i="6"/>
  <c r="H1247" i="6"/>
  <c r="G1247" i="6"/>
  <c r="F1247" i="6"/>
  <c r="J1246" i="6"/>
  <c r="G1246" i="6"/>
  <c r="F1246" i="6"/>
  <c r="I1246" i="6" s="1"/>
  <c r="J1245" i="6"/>
  <c r="I1245" i="6"/>
  <c r="H1245" i="6"/>
  <c r="G1245" i="6"/>
  <c r="F1245" i="6"/>
  <c r="G1244" i="6"/>
  <c r="F1244" i="6"/>
  <c r="J1243" i="6"/>
  <c r="I1243" i="6"/>
  <c r="H1243" i="6"/>
  <c r="G1243" i="6"/>
  <c r="F1243" i="6"/>
  <c r="J1242" i="6"/>
  <c r="H1242" i="6"/>
  <c r="G1242" i="6"/>
  <c r="F1242" i="6"/>
  <c r="I1242" i="6" s="1"/>
  <c r="J1241" i="6"/>
  <c r="I1241" i="6"/>
  <c r="H1241" i="6"/>
  <c r="G1241" i="6"/>
  <c r="F1241" i="6"/>
  <c r="G1240" i="6"/>
  <c r="F1240" i="6"/>
  <c r="J1239" i="6"/>
  <c r="I1239" i="6"/>
  <c r="H1239" i="6"/>
  <c r="G1239" i="6"/>
  <c r="F1239" i="6"/>
  <c r="J1238" i="6"/>
  <c r="H1238" i="6"/>
  <c r="G1238" i="6"/>
  <c r="F1238" i="6"/>
  <c r="I1238" i="6" s="1"/>
  <c r="J1237" i="6"/>
  <c r="I1237" i="6"/>
  <c r="H1237" i="6"/>
  <c r="G1237" i="6"/>
  <c r="F1237" i="6"/>
  <c r="G1236" i="6"/>
  <c r="F1236" i="6"/>
  <c r="J1235" i="6"/>
  <c r="I1235" i="6"/>
  <c r="H1235" i="6"/>
  <c r="G1235" i="6"/>
  <c r="F1235" i="6"/>
  <c r="G1234" i="6"/>
  <c r="F1234" i="6"/>
  <c r="I1234" i="6" s="1"/>
  <c r="J1233" i="6"/>
  <c r="I1233" i="6"/>
  <c r="H1233" i="6"/>
  <c r="G1233" i="6"/>
  <c r="F1233" i="6"/>
  <c r="G1232" i="6"/>
  <c r="F1232" i="6"/>
  <c r="J1231" i="6"/>
  <c r="I1231" i="6"/>
  <c r="H1231" i="6"/>
  <c r="G1231" i="6"/>
  <c r="F1231" i="6"/>
  <c r="J1230" i="6"/>
  <c r="H1230" i="6"/>
  <c r="G1230" i="6"/>
  <c r="F1230" i="6"/>
  <c r="I1230" i="6" s="1"/>
  <c r="J1229" i="6"/>
  <c r="I1229" i="6"/>
  <c r="H1229" i="6"/>
  <c r="G1229" i="6"/>
  <c r="F1229" i="6"/>
  <c r="G1228" i="6"/>
  <c r="F1228" i="6"/>
  <c r="J1227" i="6"/>
  <c r="I1227" i="6"/>
  <c r="H1227" i="6"/>
  <c r="G1227" i="6"/>
  <c r="F1227" i="6"/>
  <c r="H1226" i="6"/>
  <c r="G1226" i="6"/>
  <c r="F1226" i="6"/>
  <c r="I1226" i="6" s="1"/>
  <c r="J1225" i="6"/>
  <c r="I1225" i="6"/>
  <c r="H1225" i="6"/>
  <c r="G1225" i="6"/>
  <c r="F1225" i="6"/>
  <c r="G1224" i="6"/>
  <c r="F1224" i="6"/>
  <c r="J1223" i="6"/>
  <c r="I1223" i="6"/>
  <c r="H1223" i="6"/>
  <c r="G1223" i="6"/>
  <c r="F1223" i="6"/>
  <c r="G1222" i="6"/>
  <c r="F1222" i="6"/>
  <c r="J1221" i="6"/>
  <c r="I1221" i="6"/>
  <c r="H1221" i="6"/>
  <c r="G1221" i="6"/>
  <c r="F1221" i="6"/>
  <c r="G1220" i="6"/>
  <c r="F1220" i="6"/>
  <c r="J1219" i="6"/>
  <c r="I1219" i="6"/>
  <c r="H1219" i="6"/>
  <c r="G1219" i="6"/>
  <c r="F1219" i="6"/>
  <c r="J1218" i="6"/>
  <c r="H1218" i="6"/>
  <c r="G1218" i="6"/>
  <c r="F1218" i="6"/>
  <c r="I1218" i="6" s="1"/>
  <c r="J1217" i="6"/>
  <c r="I1217" i="6"/>
  <c r="H1217" i="6"/>
  <c r="G1217" i="6"/>
  <c r="F1217" i="6"/>
  <c r="G1216" i="6"/>
  <c r="F1216" i="6"/>
  <c r="J1215" i="6"/>
  <c r="I1215" i="6"/>
  <c r="H1215" i="6"/>
  <c r="G1215" i="6"/>
  <c r="F1215" i="6"/>
  <c r="J1214" i="6"/>
  <c r="H1214" i="6"/>
  <c r="G1214" i="6"/>
  <c r="F1214" i="6"/>
  <c r="I1214" i="6" s="1"/>
  <c r="J1213" i="6"/>
  <c r="I1213" i="6"/>
  <c r="H1213" i="6"/>
  <c r="G1213" i="6"/>
  <c r="F1213" i="6"/>
  <c r="G1212" i="6"/>
  <c r="F1212" i="6"/>
  <c r="J1211" i="6"/>
  <c r="I1211" i="6"/>
  <c r="H1211" i="6"/>
  <c r="G1211" i="6"/>
  <c r="F1211" i="6"/>
  <c r="G1210" i="6"/>
  <c r="F1210" i="6"/>
  <c r="I1210" i="6" s="1"/>
  <c r="J1209" i="6"/>
  <c r="I1209" i="6"/>
  <c r="H1209" i="6"/>
  <c r="G1209" i="6"/>
  <c r="F1209" i="6"/>
  <c r="G1208" i="6"/>
  <c r="F1208" i="6"/>
  <c r="J1207" i="6"/>
  <c r="I1207" i="6"/>
  <c r="H1207" i="6"/>
  <c r="G1207" i="6"/>
  <c r="F1207" i="6"/>
  <c r="G1206" i="6"/>
  <c r="F1206" i="6"/>
  <c r="J1205" i="6"/>
  <c r="I1205" i="6"/>
  <c r="H1205" i="6"/>
  <c r="G1205" i="6"/>
  <c r="F1205" i="6"/>
  <c r="J1204" i="6"/>
  <c r="G1204" i="6"/>
  <c r="F1204" i="6"/>
  <c r="H1204" i="6" s="1"/>
  <c r="G1203" i="6"/>
  <c r="F1203" i="6"/>
  <c r="G1202" i="6"/>
  <c r="F1202" i="6"/>
  <c r="I1202" i="6" s="1"/>
  <c r="J1201" i="6"/>
  <c r="I1201" i="6"/>
  <c r="H1201" i="6"/>
  <c r="G1201" i="6"/>
  <c r="F1201" i="6"/>
  <c r="I1200" i="6"/>
  <c r="G1200" i="6"/>
  <c r="F1200" i="6"/>
  <c r="H1200" i="6" s="1"/>
  <c r="G1199" i="6"/>
  <c r="F1199" i="6"/>
  <c r="J1199" i="6" s="1"/>
  <c r="J1198" i="6"/>
  <c r="H1198" i="6"/>
  <c r="G1198" i="6"/>
  <c r="F1198" i="6"/>
  <c r="I1198" i="6" s="1"/>
  <c r="J1197" i="6"/>
  <c r="I1197" i="6"/>
  <c r="H1197" i="6"/>
  <c r="G1197" i="6"/>
  <c r="F1197" i="6"/>
  <c r="G1196" i="6"/>
  <c r="F1196" i="6"/>
  <c r="J1196" i="6" s="1"/>
  <c r="J1195" i="6"/>
  <c r="I1195" i="6"/>
  <c r="G1195" i="6"/>
  <c r="F1195" i="6"/>
  <c r="H1195" i="6" s="1"/>
  <c r="G1194" i="6"/>
  <c r="F1194" i="6"/>
  <c r="J1193" i="6"/>
  <c r="I1193" i="6"/>
  <c r="G1193" i="6"/>
  <c r="F1193" i="6"/>
  <c r="H1193" i="6" s="1"/>
  <c r="G1192" i="6"/>
  <c r="F1192" i="6"/>
  <c r="J1192" i="6" s="1"/>
  <c r="J1191" i="6"/>
  <c r="I1191" i="6"/>
  <c r="G1191" i="6"/>
  <c r="F1191" i="6"/>
  <c r="H1191" i="6" s="1"/>
  <c r="G1190" i="6"/>
  <c r="F1190" i="6"/>
  <c r="J1189" i="6"/>
  <c r="I1189" i="6"/>
  <c r="G1189" i="6"/>
  <c r="F1189" i="6"/>
  <c r="H1189" i="6" s="1"/>
  <c r="G1188" i="6"/>
  <c r="F1188" i="6"/>
  <c r="J1188" i="6" s="1"/>
  <c r="J1187" i="6"/>
  <c r="I1187" i="6"/>
  <c r="G1187" i="6"/>
  <c r="F1187" i="6"/>
  <c r="H1187" i="6" s="1"/>
  <c r="G1186" i="6"/>
  <c r="F1186" i="6"/>
  <c r="J1185" i="6"/>
  <c r="I1185" i="6"/>
  <c r="G1185" i="6"/>
  <c r="F1185" i="6"/>
  <c r="H1185" i="6" s="1"/>
  <c r="G1184" i="6"/>
  <c r="F1184" i="6"/>
  <c r="J1184" i="6" s="1"/>
  <c r="J1183" i="6"/>
  <c r="I1183" i="6"/>
  <c r="G1183" i="6"/>
  <c r="F1183" i="6"/>
  <c r="H1183" i="6" s="1"/>
  <c r="G1182" i="6"/>
  <c r="F1182" i="6"/>
  <c r="J1181" i="6"/>
  <c r="I1181" i="6"/>
  <c r="G1181" i="6"/>
  <c r="F1181" i="6"/>
  <c r="H1181" i="6" s="1"/>
  <c r="G1180" i="6"/>
  <c r="F1180" i="6"/>
  <c r="J1180" i="6" s="1"/>
  <c r="J1179" i="6"/>
  <c r="I1179" i="6"/>
  <c r="G1179" i="6"/>
  <c r="F1179" i="6"/>
  <c r="H1179" i="6" s="1"/>
  <c r="G1178" i="6"/>
  <c r="F1178" i="6"/>
  <c r="J1177" i="6"/>
  <c r="I1177" i="6"/>
  <c r="G1177" i="6"/>
  <c r="F1177" i="6"/>
  <c r="H1177" i="6" s="1"/>
  <c r="G1176" i="6"/>
  <c r="F1176" i="6"/>
  <c r="J1176" i="6" s="1"/>
  <c r="J1175" i="6"/>
  <c r="I1175" i="6"/>
  <c r="G1175" i="6"/>
  <c r="F1175" i="6"/>
  <c r="H1175" i="6" s="1"/>
  <c r="G1174" i="6"/>
  <c r="F1174" i="6"/>
  <c r="J1173" i="6"/>
  <c r="I1173" i="6"/>
  <c r="G1173" i="6"/>
  <c r="F1173" i="6"/>
  <c r="H1173" i="6" s="1"/>
  <c r="G1172" i="6"/>
  <c r="F1172" i="6"/>
  <c r="J1172" i="6" s="1"/>
  <c r="J1171" i="6"/>
  <c r="I1171" i="6"/>
  <c r="G1171" i="6"/>
  <c r="F1171" i="6"/>
  <c r="H1171" i="6" s="1"/>
  <c r="G1170" i="6"/>
  <c r="F1170" i="6"/>
  <c r="J1169" i="6"/>
  <c r="I1169" i="6"/>
  <c r="G1169" i="6"/>
  <c r="F1169" i="6"/>
  <c r="H1169" i="6" s="1"/>
  <c r="G1168" i="6"/>
  <c r="F1168" i="6"/>
  <c r="J1168" i="6" s="1"/>
  <c r="J1167" i="6"/>
  <c r="I1167" i="6"/>
  <c r="G1167" i="6"/>
  <c r="F1167" i="6"/>
  <c r="H1167" i="6" s="1"/>
  <c r="G1166" i="6"/>
  <c r="F1166" i="6"/>
  <c r="J1165" i="6"/>
  <c r="I1165" i="6"/>
  <c r="G1165" i="6"/>
  <c r="F1165" i="6"/>
  <c r="H1165" i="6" s="1"/>
  <c r="G1164" i="6"/>
  <c r="F1164" i="6"/>
  <c r="J1164" i="6" s="1"/>
  <c r="J1163" i="6"/>
  <c r="I1163" i="6"/>
  <c r="G1163" i="6"/>
  <c r="F1163" i="6"/>
  <c r="H1163" i="6" s="1"/>
  <c r="G1162" i="6"/>
  <c r="F1162" i="6"/>
  <c r="J1161" i="6"/>
  <c r="I1161" i="6"/>
  <c r="G1161" i="6"/>
  <c r="F1161" i="6"/>
  <c r="H1161" i="6" s="1"/>
  <c r="G1160" i="6"/>
  <c r="F1160" i="6"/>
  <c r="J1160" i="6" s="1"/>
  <c r="J1159" i="6"/>
  <c r="I1159" i="6"/>
  <c r="G1159" i="6"/>
  <c r="F1159" i="6"/>
  <c r="H1159" i="6" s="1"/>
  <c r="G1158" i="6"/>
  <c r="F1158" i="6"/>
  <c r="J1157" i="6"/>
  <c r="I1157" i="6"/>
  <c r="G1157" i="6"/>
  <c r="F1157" i="6"/>
  <c r="H1157" i="6" s="1"/>
  <c r="G1156" i="6"/>
  <c r="F1156" i="6"/>
  <c r="J1156" i="6" s="1"/>
  <c r="J1155" i="6"/>
  <c r="I1155" i="6"/>
  <c r="G1155" i="6"/>
  <c r="F1155" i="6"/>
  <c r="H1155" i="6" s="1"/>
  <c r="G1154" i="6"/>
  <c r="F1154" i="6"/>
  <c r="J1153" i="6"/>
  <c r="I1153" i="6"/>
  <c r="G1153" i="6"/>
  <c r="F1153" i="6"/>
  <c r="H1153" i="6" s="1"/>
  <c r="G1152" i="6"/>
  <c r="F1152" i="6"/>
  <c r="J1152" i="6" s="1"/>
  <c r="J1151" i="6"/>
  <c r="I1151" i="6"/>
  <c r="G1151" i="6"/>
  <c r="F1151" i="6"/>
  <c r="H1151" i="6" s="1"/>
  <c r="G1150" i="6"/>
  <c r="F1150" i="6"/>
  <c r="J1149" i="6"/>
  <c r="I1149" i="6"/>
  <c r="G1149" i="6"/>
  <c r="F1149" i="6"/>
  <c r="H1149" i="6" s="1"/>
  <c r="G1148" i="6"/>
  <c r="F1148" i="6"/>
  <c r="J1148" i="6" s="1"/>
  <c r="J1147" i="6"/>
  <c r="I1147" i="6"/>
  <c r="G1147" i="6"/>
  <c r="F1147" i="6"/>
  <c r="H1147" i="6" s="1"/>
  <c r="G1146" i="6"/>
  <c r="F1146" i="6"/>
  <c r="J1145" i="6"/>
  <c r="I1145" i="6"/>
  <c r="G1145" i="6"/>
  <c r="F1145" i="6"/>
  <c r="H1145" i="6" s="1"/>
  <c r="G1144" i="6"/>
  <c r="F1144" i="6"/>
  <c r="J1144" i="6" s="1"/>
  <c r="J1143" i="6"/>
  <c r="I1143" i="6"/>
  <c r="G1143" i="6"/>
  <c r="F1143" i="6"/>
  <c r="H1143" i="6" s="1"/>
  <c r="G1142" i="6"/>
  <c r="F1142" i="6"/>
  <c r="J1141" i="6"/>
  <c r="I1141" i="6"/>
  <c r="G1141" i="6"/>
  <c r="F1141" i="6"/>
  <c r="H1141" i="6" s="1"/>
  <c r="G1140" i="6"/>
  <c r="F1140" i="6"/>
  <c r="J1140" i="6" s="1"/>
  <c r="J1139" i="6"/>
  <c r="I1139" i="6"/>
  <c r="G1139" i="6"/>
  <c r="F1139" i="6"/>
  <c r="H1139" i="6" s="1"/>
  <c r="G1138" i="6"/>
  <c r="F1138" i="6"/>
  <c r="J1137" i="6"/>
  <c r="I1137" i="6"/>
  <c r="G1137" i="6"/>
  <c r="F1137" i="6"/>
  <c r="H1137" i="6" s="1"/>
  <c r="G1136" i="6"/>
  <c r="F1136" i="6"/>
  <c r="J1136" i="6" s="1"/>
  <c r="J1135" i="6"/>
  <c r="I1135" i="6"/>
  <c r="G1135" i="6"/>
  <c r="F1135" i="6"/>
  <c r="H1135" i="6" s="1"/>
  <c r="G1134" i="6"/>
  <c r="F1134" i="6"/>
  <c r="J1133" i="6"/>
  <c r="I1133" i="6"/>
  <c r="G1133" i="6"/>
  <c r="F1133" i="6"/>
  <c r="H1133" i="6" s="1"/>
  <c r="G1132" i="6"/>
  <c r="F1132" i="6"/>
  <c r="J1132" i="6" s="1"/>
  <c r="J1131" i="6"/>
  <c r="I1131" i="6"/>
  <c r="G1131" i="6"/>
  <c r="F1131" i="6"/>
  <c r="H1131" i="6" s="1"/>
  <c r="G1130" i="6"/>
  <c r="F1130" i="6"/>
  <c r="J1129" i="6"/>
  <c r="I1129" i="6"/>
  <c r="G1129" i="6"/>
  <c r="F1129" i="6"/>
  <c r="H1129" i="6" s="1"/>
  <c r="G1128" i="6"/>
  <c r="F1128" i="6"/>
  <c r="J1128" i="6" s="1"/>
  <c r="J1127" i="6"/>
  <c r="I1127" i="6"/>
  <c r="G1127" i="6"/>
  <c r="F1127" i="6"/>
  <c r="H1127" i="6" s="1"/>
  <c r="G1126" i="6"/>
  <c r="F1126" i="6"/>
  <c r="J1125" i="6"/>
  <c r="I1125" i="6"/>
  <c r="G1125" i="6"/>
  <c r="F1125" i="6"/>
  <c r="H1125" i="6" s="1"/>
  <c r="G1124" i="6"/>
  <c r="F1124" i="6"/>
  <c r="J1124" i="6" s="1"/>
  <c r="J1123" i="6"/>
  <c r="I1123" i="6"/>
  <c r="G1123" i="6"/>
  <c r="F1123" i="6"/>
  <c r="H1123" i="6" s="1"/>
  <c r="G1122" i="6"/>
  <c r="F1122" i="6"/>
  <c r="J1121" i="6"/>
  <c r="I1121" i="6"/>
  <c r="G1121" i="6"/>
  <c r="F1121" i="6"/>
  <c r="H1121" i="6" s="1"/>
  <c r="G1120" i="6"/>
  <c r="F1120" i="6"/>
  <c r="J1120" i="6" s="1"/>
  <c r="J1119" i="6"/>
  <c r="I1119" i="6"/>
  <c r="G1119" i="6"/>
  <c r="F1119" i="6"/>
  <c r="H1119" i="6" s="1"/>
  <c r="G1118" i="6"/>
  <c r="F1118" i="6"/>
  <c r="J1117" i="6"/>
  <c r="I1117" i="6"/>
  <c r="G1117" i="6"/>
  <c r="F1117" i="6"/>
  <c r="H1117" i="6" s="1"/>
  <c r="G1116" i="6"/>
  <c r="F1116" i="6"/>
  <c r="J1116" i="6" s="1"/>
  <c r="J1115" i="6"/>
  <c r="I1115" i="6"/>
  <c r="G1115" i="6"/>
  <c r="F1115" i="6"/>
  <c r="H1115" i="6" s="1"/>
  <c r="G1114" i="6"/>
  <c r="F1114" i="6"/>
  <c r="J1113" i="6"/>
  <c r="I1113" i="6"/>
  <c r="G1113" i="6"/>
  <c r="F1113" i="6"/>
  <c r="H1113" i="6" s="1"/>
  <c r="G1112" i="6"/>
  <c r="F1112" i="6"/>
  <c r="J1112" i="6" s="1"/>
  <c r="J1111" i="6"/>
  <c r="I1111" i="6"/>
  <c r="G1111" i="6"/>
  <c r="F1111" i="6"/>
  <c r="H1111" i="6" s="1"/>
  <c r="G1110" i="6"/>
  <c r="F1110" i="6"/>
  <c r="J1109" i="6"/>
  <c r="I1109" i="6"/>
  <c r="H1109" i="6"/>
  <c r="G1109" i="6"/>
  <c r="F1109" i="6"/>
  <c r="G1108" i="6"/>
  <c r="F1108" i="6"/>
  <c r="J1108" i="6" s="1"/>
  <c r="J1107" i="6"/>
  <c r="I1107" i="6"/>
  <c r="G1107" i="6"/>
  <c r="F1107" i="6"/>
  <c r="H1107" i="6" s="1"/>
  <c r="G1106" i="6"/>
  <c r="F1106" i="6"/>
  <c r="J1105" i="6"/>
  <c r="I1105" i="6"/>
  <c r="H1105" i="6"/>
  <c r="G1105" i="6"/>
  <c r="F1105" i="6"/>
  <c r="G1104" i="6"/>
  <c r="F1104" i="6"/>
  <c r="J1104" i="6" s="1"/>
  <c r="J1103" i="6"/>
  <c r="I1103" i="6"/>
  <c r="G1103" i="6"/>
  <c r="F1103" i="6"/>
  <c r="H1103" i="6" s="1"/>
  <c r="G1102" i="6"/>
  <c r="F1102" i="6"/>
  <c r="J1101" i="6"/>
  <c r="I1101" i="6"/>
  <c r="H1101" i="6"/>
  <c r="G1101" i="6"/>
  <c r="F1101" i="6"/>
  <c r="G1100" i="6"/>
  <c r="F1100" i="6"/>
  <c r="J1100" i="6" s="1"/>
  <c r="J1099" i="6"/>
  <c r="I1099" i="6"/>
  <c r="G1099" i="6"/>
  <c r="F1099" i="6"/>
  <c r="H1099" i="6" s="1"/>
  <c r="G1098" i="6"/>
  <c r="F1098" i="6"/>
  <c r="J1097" i="6"/>
  <c r="I1097" i="6"/>
  <c r="H1097" i="6"/>
  <c r="G1097" i="6"/>
  <c r="F1097" i="6"/>
  <c r="G1096" i="6"/>
  <c r="F1096" i="6"/>
  <c r="J1096" i="6" s="1"/>
  <c r="J1095" i="6"/>
  <c r="I1095" i="6"/>
  <c r="G1095" i="6"/>
  <c r="F1095" i="6"/>
  <c r="H1095" i="6" s="1"/>
  <c r="G1094" i="6"/>
  <c r="F1094" i="6"/>
  <c r="J1093" i="6"/>
  <c r="I1093" i="6"/>
  <c r="H1093" i="6"/>
  <c r="G1093" i="6"/>
  <c r="F1093" i="6"/>
  <c r="G1092" i="6"/>
  <c r="F1092" i="6"/>
  <c r="J1092" i="6" s="1"/>
  <c r="J1091" i="6"/>
  <c r="I1091" i="6"/>
  <c r="G1091" i="6"/>
  <c r="F1091" i="6"/>
  <c r="H1091" i="6" s="1"/>
  <c r="G1090" i="6"/>
  <c r="F1090" i="6"/>
  <c r="J1089" i="6"/>
  <c r="I1089" i="6"/>
  <c r="H1089" i="6"/>
  <c r="G1089" i="6"/>
  <c r="F1089" i="6"/>
  <c r="G1088" i="6"/>
  <c r="F1088" i="6"/>
  <c r="J1088" i="6" s="1"/>
  <c r="J1087" i="6"/>
  <c r="I1087" i="6"/>
  <c r="G1087" i="6"/>
  <c r="F1087" i="6"/>
  <c r="H1087" i="6" s="1"/>
  <c r="G1086" i="6"/>
  <c r="F1086" i="6"/>
  <c r="J1085" i="6"/>
  <c r="I1085" i="6"/>
  <c r="H1085" i="6"/>
  <c r="G1085" i="6"/>
  <c r="F1085" i="6"/>
  <c r="G1084" i="6"/>
  <c r="F1084" i="6"/>
  <c r="J1084" i="6" s="1"/>
  <c r="J1083" i="6"/>
  <c r="I1083" i="6"/>
  <c r="G1083" i="6"/>
  <c r="F1083" i="6"/>
  <c r="H1083" i="6" s="1"/>
  <c r="G1082" i="6"/>
  <c r="F1082" i="6"/>
  <c r="J1081" i="6"/>
  <c r="I1081" i="6"/>
  <c r="H1081" i="6"/>
  <c r="G1081" i="6"/>
  <c r="F1081" i="6"/>
  <c r="G1080" i="6"/>
  <c r="F1080" i="6"/>
  <c r="J1080" i="6" s="1"/>
  <c r="J1079" i="6"/>
  <c r="I1079" i="6"/>
  <c r="G1079" i="6"/>
  <c r="F1079" i="6"/>
  <c r="H1079" i="6" s="1"/>
  <c r="G1078" i="6"/>
  <c r="F1078" i="6"/>
  <c r="J1077" i="6"/>
  <c r="I1077" i="6"/>
  <c r="H1077" i="6"/>
  <c r="G1077" i="6"/>
  <c r="F1077" i="6"/>
  <c r="G1076" i="6"/>
  <c r="F1076" i="6"/>
  <c r="J1076" i="6" s="1"/>
  <c r="J1075" i="6"/>
  <c r="I1075" i="6"/>
  <c r="G1075" i="6"/>
  <c r="F1075" i="6"/>
  <c r="H1075" i="6" s="1"/>
  <c r="G1074" i="6"/>
  <c r="F1074" i="6"/>
  <c r="J1073" i="6"/>
  <c r="I1073" i="6"/>
  <c r="H1073" i="6"/>
  <c r="G1073" i="6"/>
  <c r="F1073" i="6"/>
  <c r="G1072" i="6"/>
  <c r="F1072" i="6"/>
  <c r="J1072" i="6" s="1"/>
  <c r="J1071" i="6"/>
  <c r="I1071" i="6"/>
  <c r="G1071" i="6"/>
  <c r="F1071" i="6"/>
  <c r="H1071" i="6" s="1"/>
  <c r="G1070" i="6"/>
  <c r="F1070" i="6"/>
  <c r="J1069" i="6"/>
  <c r="I1069" i="6"/>
  <c r="H1069" i="6"/>
  <c r="G1069" i="6"/>
  <c r="F1069" i="6"/>
  <c r="G1068" i="6"/>
  <c r="F1068" i="6"/>
  <c r="J1068" i="6" s="1"/>
  <c r="J1067" i="6"/>
  <c r="I1067" i="6"/>
  <c r="G1067" i="6"/>
  <c r="F1067" i="6"/>
  <c r="H1067" i="6" s="1"/>
  <c r="G1066" i="6"/>
  <c r="F1066" i="6"/>
  <c r="J1065" i="6"/>
  <c r="I1065" i="6"/>
  <c r="H1065" i="6"/>
  <c r="G1065" i="6"/>
  <c r="F1065" i="6"/>
  <c r="G1064" i="6"/>
  <c r="F1064" i="6"/>
  <c r="J1064" i="6" s="1"/>
  <c r="J1063" i="6"/>
  <c r="I1063" i="6"/>
  <c r="G1063" i="6"/>
  <c r="F1063" i="6"/>
  <c r="H1063" i="6" s="1"/>
  <c r="G1062" i="6"/>
  <c r="F1062" i="6"/>
  <c r="J1061" i="6"/>
  <c r="I1061" i="6"/>
  <c r="H1061" i="6"/>
  <c r="G1061" i="6"/>
  <c r="F1061" i="6"/>
  <c r="G1060" i="6"/>
  <c r="F1060" i="6"/>
  <c r="J1060" i="6" s="1"/>
  <c r="J1059" i="6"/>
  <c r="I1059" i="6"/>
  <c r="G1059" i="6"/>
  <c r="F1059" i="6"/>
  <c r="H1059" i="6" s="1"/>
  <c r="G1058" i="6"/>
  <c r="F1058" i="6"/>
  <c r="J1057" i="6"/>
  <c r="I1057" i="6"/>
  <c r="H1057" i="6"/>
  <c r="G1057" i="6"/>
  <c r="F1057" i="6"/>
  <c r="G1056" i="6"/>
  <c r="F1056" i="6"/>
  <c r="J1056" i="6" s="1"/>
  <c r="J1055" i="6"/>
  <c r="I1055" i="6"/>
  <c r="G1055" i="6"/>
  <c r="F1055" i="6"/>
  <c r="H1055" i="6" s="1"/>
  <c r="G1054" i="6"/>
  <c r="F1054" i="6"/>
  <c r="J1053" i="6"/>
  <c r="I1053" i="6"/>
  <c r="H1053" i="6"/>
  <c r="G1053" i="6"/>
  <c r="F1053" i="6"/>
  <c r="G1052" i="6"/>
  <c r="F1052" i="6"/>
  <c r="J1052" i="6" s="1"/>
  <c r="J1051" i="6"/>
  <c r="I1051" i="6"/>
  <c r="G1051" i="6"/>
  <c r="F1051" i="6"/>
  <c r="H1051" i="6" s="1"/>
  <c r="G1050" i="6"/>
  <c r="F1050" i="6"/>
  <c r="J1049" i="6"/>
  <c r="I1049" i="6"/>
  <c r="H1049" i="6"/>
  <c r="G1049" i="6"/>
  <c r="F1049" i="6"/>
  <c r="G1048" i="6"/>
  <c r="F1048" i="6"/>
  <c r="J1048" i="6" s="1"/>
  <c r="J1047" i="6"/>
  <c r="I1047" i="6"/>
  <c r="G1047" i="6"/>
  <c r="F1047" i="6"/>
  <c r="H1047" i="6" s="1"/>
  <c r="G1046" i="6"/>
  <c r="F1046" i="6"/>
  <c r="J1045" i="6"/>
  <c r="I1045" i="6"/>
  <c r="H1045" i="6"/>
  <c r="G1045" i="6"/>
  <c r="F1045" i="6"/>
  <c r="G1044" i="6"/>
  <c r="F1044" i="6"/>
  <c r="J1044" i="6" s="1"/>
  <c r="J1043" i="6"/>
  <c r="I1043" i="6"/>
  <c r="G1043" i="6"/>
  <c r="F1043" i="6"/>
  <c r="H1043" i="6" s="1"/>
  <c r="G1042" i="6"/>
  <c r="F1042" i="6"/>
  <c r="J1041" i="6"/>
  <c r="I1041" i="6"/>
  <c r="H1041" i="6"/>
  <c r="G1041" i="6"/>
  <c r="F1041" i="6"/>
  <c r="G1040" i="6"/>
  <c r="F1040" i="6"/>
  <c r="J1040" i="6" s="1"/>
  <c r="J1039" i="6"/>
  <c r="I1039" i="6"/>
  <c r="G1039" i="6"/>
  <c r="F1039" i="6"/>
  <c r="H1039" i="6" s="1"/>
  <c r="G1038" i="6"/>
  <c r="F1038" i="6"/>
  <c r="J1037" i="6"/>
  <c r="I1037" i="6"/>
  <c r="H1037" i="6"/>
  <c r="G1037" i="6"/>
  <c r="F1037" i="6"/>
  <c r="G1036" i="6"/>
  <c r="F1036" i="6"/>
  <c r="J1036" i="6" s="1"/>
  <c r="J1035" i="6"/>
  <c r="I1035" i="6"/>
  <c r="G1035" i="6"/>
  <c r="F1035" i="6"/>
  <c r="H1035" i="6" s="1"/>
  <c r="G1034" i="6"/>
  <c r="F1034" i="6"/>
  <c r="J1033" i="6"/>
  <c r="I1033" i="6"/>
  <c r="H1033" i="6"/>
  <c r="G1033" i="6"/>
  <c r="F1033" i="6"/>
  <c r="G1032" i="6"/>
  <c r="F1032" i="6"/>
  <c r="J1032" i="6" s="1"/>
  <c r="J1031" i="6"/>
  <c r="I1031" i="6"/>
  <c r="G1031" i="6"/>
  <c r="F1031" i="6"/>
  <c r="H1031" i="6" s="1"/>
  <c r="G1030" i="6"/>
  <c r="F1030" i="6"/>
  <c r="J1029" i="6"/>
  <c r="I1029" i="6"/>
  <c r="H1029" i="6"/>
  <c r="G1029" i="6"/>
  <c r="F1029" i="6"/>
  <c r="G1028" i="6"/>
  <c r="F1028" i="6"/>
  <c r="J1028" i="6" s="1"/>
  <c r="J1027" i="6"/>
  <c r="I1027" i="6"/>
  <c r="G1027" i="6"/>
  <c r="F1027" i="6"/>
  <c r="H1027" i="6" s="1"/>
  <c r="G1026" i="6"/>
  <c r="F1026" i="6"/>
  <c r="J1025" i="6"/>
  <c r="I1025" i="6"/>
  <c r="H1025" i="6"/>
  <c r="G1025" i="6"/>
  <c r="F1025" i="6"/>
  <c r="G1024" i="6"/>
  <c r="F1024" i="6"/>
  <c r="J1024" i="6" s="1"/>
  <c r="J1023" i="6"/>
  <c r="I1023" i="6"/>
  <c r="G1023" i="6"/>
  <c r="F1023" i="6"/>
  <c r="H1023" i="6" s="1"/>
  <c r="G1022" i="6"/>
  <c r="F1022" i="6"/>
  <c r="J1021" i="6"/>
  <c r="I1021" i="6"/>
  <c r="H1021" i="6"/>
  <c r="G1021" i="6"/>
  <c r="F1021" i="6"/>
  <c r="G1020" i="6"/>
  <c r="F1020" i="6"/>
  <c r="J1020" i="6" s="1"/>
  <c r="J1019" i="6"/>
  <c r="I1019" i="6"/>
  <c r="G1019" i="6"/>
  <c r="F1019" i="6"/>
  <c r="H1019" i="6" s="1"/>
  <c r="G1018" i="6"/>
  <c r="F1018" i="6"/>
  <c r="J1017" i="6"/>
  <c r="I1017" i="6"/>
  <c r="H1017" i="6"/>
  <c r="G1017" i="6"/>
  <c r="F1017" i="6"/>
  <c r="G1016" i="6"/>
  <c r="F1016" i="6"/>
  <c r="J1016" i="6" s="1"/>
  <c r="J1015" i="6"/>
  <c r="I1015" i="6"/>
  <c r="G1015" i="6"/>
  <c r="F1015" i="6"/>
  <c r="H1015" i="6" s="1"/>
  <c r="G1014" i="6"/>
  <c r="F1014" i="6"/>
  <c r="J1013" i="6"/>
  <c r="I1013" i="6"/>
  <c r="H1013" i="6"/>
  <c r="G1013" i="6"/>
  <c r="F1013" i="6"/>
  <c r="G1012" i="6"/>
  <c r="F1012" i="6"/>
  <c r="J1012" i="6" s="1"/>
  <c r="J1011" i="6"/>
  <c r="I1011" i="6"/>
  <c r="G1011" i="6"/>
  <c r="F1011" i="6"/>
  <c r="H1011" i="6" s="1"/>
  <c r="G1010" i="6"/>
  <c r="F1010" i="6"/>
  <c r="J1009" i="6"/>
  <c r="I1009" i="6"/>
  <c r="H1009" i="6"/>
  <c r="G1009" i="6"/>
  <c r="F1009" i="6"/>
  <c r="G1008" i="6"/>
  <c r="F1008" i="6"/>
  <c r="J1008" i="6" s="1"/>
  <c r="J1007" i="6"/>
  <c r="I1007" i="6"/>
  <c r="G1007" i="6"/>
  <c r="F1007" i="6"/>
  <c r="H1007" i="6" s="1"/>
  <c r="G1006" i="6"/>
  <c r="F1006" i="6"/>
  <c r="J1005" i="6"/>
  <c r="I1005" i="6"/>
  <c r="H1005" i="6"/>
  <c r="G1005" i="6"/>
  <c r="F1005" i="6"/>
  <c r="G1004" i="6"/>
  <c r="F1004" i="6"/>
  <c r="J1004" i="6" s="1"/>
  <c r="J1003" i="6"/>
  <c r="I1003" i="6"/>
  <c r="G1003" i="6"/>
  <c r="F1003" i="6"/>
  <c r="H1003" i="6" s="1"/>
  <c r="G1002" i="6"/>
  <c r="F1002" i="6"/>
  <c r="J1001" i="6"/>
  <c r="I1001" i="6"/>
  <c r="H1001" i="6"/>
  <c r="G1001" i="6"/>
  <c r="F1001" i="6"/>
  <c r="G1000" i="6"/>
  <c r="F1000" i="6"/>
  <c r="J1000" i="6" s="1"/>
  <c r="J999" i="6"/>
  <c r="I999" i="6"/>
  <c r="G999" i="6"/>
  <c r="F999" i="6"/>
  <c r="H999" i="6" s="1"/>
  <c r="G998" i="6"/>
  <c r="F998" i="6"/>
  <c r="J997" i="6"/>
  <c r="I997" i="6"/>
  <c r="H997" i="6"/>
  <c r="G997" i="6"/>
  <c r="F997" i="6"/>
  <c r="G996" i="6"/>
  <c r="F996" i="6"/>
  <c r="J996" i="6" s="1"/>
  <c r="J995" i="6"/>
  <c r="I995" i="6"/>
  <c r="G995" i="6"/>
  <c r="F995" i="6"/>
  <c r="H995" i="6" s="1"/>
  <c r="G994" i="6"/>
  <c r="F994" i="6"/>
  <c r="J993" i="6"/>
  <c r="I993" i="6"/>
  <c r="H993" i="6"/>
  <c r="G993" i="6"/>
  <c r="F993" i="6"/>
  <c r="G992" i="6"/>
  <c r="F992" i="6"/>
  <c r="J992" i="6" s="1"/>
  <c r="J991" i="6"/>
  <c r="I991" i="6"/>
  <c r="G991" i="6"/>
  <c r="F991" i="6"/>
  <c r="H991" i="6" s="1"/>
  <c r="G990" i="6"/>
  <c r="F990" i="6"/>
  <c r="J989" i="6"/>
  <c r="I989" i="6"/>
  <c r="H989" i="6"/>
  <c r="G989" i="6"/>
  <c r="F989" i="6"/>
  <c r="G988" i="6"/>
  <c r="F988" i="6"/>
  <c r="J988" i="6" s="1"/>
  <c r="J987" i="6"/>
  <c r="I987" i="6"/>
  <c r="G987" i="6"/>
  <c r="F987" i="6"/>
  <c r="H987" i="6" s="1"/>
  <c r="G986" i="6"/>
  <c r="F986" i="6"/>
  <c r="J985" i="6"/>
  <c r="I985" i="6"/>
  <c r="H985" i="6"/>
  <c r="G985" i="6"/>
  <c r="F985" i="6"/>
  <c r="G984" i="6"/>
  <c r="F984" i="6"/>
  <c r="J984" i="6" s="1"/>
  <c r="J983" i="6"/>
  <c r="I983" i="6"/>
  <c r="G983" i="6"/>
  <c r="F983" i="6"/>
  <c r="H983" i="6" s="1"/>
  <c r="J982" i="6"/>
  <c r="G982" i="6"/>
  <c r="F982" i="6"/>
  <c r="J981" i="6"/>
  <c r="I981" i="6"/>
  <c r="H981" i="6"/>
  <c r="G981" i="6"/>
  <c r="F981" i="6"/>
  <c r="G980" i="6"/>
  <c r="F980" i="6"/>
  <c r="J980" i="6" s="1"/>
  <c r="J979" i="6"/>
  <c r="I979" i="6"/>
  <c r="G979" i="6"/>
  <c r="F979" i="6"/>
  <c r="H979" i="6" s="1"/>
  <c r="J978" i="6"/>
  <c r="G978" i="6"/>
  <c r="F978" i="6"/>
  <c r="J977" i="6"/>
  <c r="I977" i="6"/>
  <c r="H977" i="6"/>
  <c r="G977" i="6"/>
  <c r="F977" i="6"/>
  <c r="G976" i="6"/>
  <c r="F976" i="6"/>
  <c r="J976" i="6" s="1"/>
  <c r="J975" i="6"/>
  <c r="I975" i="6"/>
  <c r="G975" i="6"/>
  <c r="F975" i="6"/>
  <c r="H975" i="6" s="1"/>
  <c r="J974" i="6"/>
  <c r="G974" i="6"/>
  <c r="F974" i="6"/>
  <c r="J973" i="6"/>
  <c r="I973" i="6"/>
  <c r="H973" i="6"/>
  <c r="G973" i="6"/>
  <c r="F973" i="6"/>
  <c r="G972" i="6"/>
  <c r="F972" i="6"/>
  <c r="J972" i="6" s="1"/>
  <c r="J971" i="6"/>
  <c r="I971" i="6"/>
  <c r="G971" i="6"/>
  <c r="F971" i="6"/>
  <c r="H971" i="6" s="1"/>
  <c r="G970" i="6"/>
  <c r="F970" i="6"/>
  <c r="J969" i="6"/>
  <c r="I969" i="6"/>
  <c r="H969" i="6"/>
  <c r="G969" i="6"/>
  <c r="F969" i="6"/>
  <c r="G968" i="6"/>
  <c r="F968" i="6"/>
  <c r="J967" i="6"/>
  <c r="I967" i="6"/>
  <c r="G967" i="6"/>
  <c r="F967" i="6"/>
  <c r="H967" i="6" s="1"/>
  <c r="J966" i="6"/>
  <c r="G966" i="6"/>
  <c r="F966" i="6"/>
  <c r="J965" i="6"/>
  <c r="I965" i="6"/>
  <c r="H965" i="6"/>
  <c r="G965" i="6"/>
  <c r="F965" i="6"/>
  <c r="G964" i="6"/>
  <c r="F964" i="6"/>
  <c r="J963" i="6"/>
  <c r="I963" i="6"/>
  <c r="G963" i="6"/>
  <c r="F963" i="6"/>
  <c r="H963" i="6" s="1"/>
  <c r="G962" i="6"/>
  <c r="F962" i="6"/>
  <c r="J961" i="6"/>
  <c r="I961" i="6"/>
  <c r="H961" i="6"/>
  <c r="G961" i="6"/>
  <c r="F961" i="6"/>
  <c r="G960" i="6"/>
  <c r="F960" i="6"/>
  <c r="J959" i="6"/>
  <c r="I959" i="6"/>
  <c r="G959" i="6"/>
  <c r="F959" i="6"/>
  <c r="H959" i="6" s="1"/>
  <c r="J958" i="6"/>
  <c r="G958" i="6"/>
  <c r="F958" i="6"/>
  <c r="J957" i="6"/>
  <c r="I957" i="6"/>
  <c r="H957" i="6"/>
  <c r="G957" i="6"/>
  <c r="F957" i="6"/>
  <c r="G956" i="6"/>
  <c r="F956" i="6"/>
  <c r="J955" i="6"/>
  <c r="I955" i="6"/>
  <c r="G955" i="6"/>
  <c r="F955" i="6"/>
  <c r="H955" i="6" s="1"/>
  <c r="G954" i="6"/>
  <c r="F954" i="6"/>
  <c r="J953" i="6"/>
  <c r="I953" i="6"/>
  <c r="H953" i="6"/>
  <c r="G953" i="6"/>
  <c r="F953" i="6"/>
  <c r="G952" i="6"/>
  <c r="F952" i="6"/>
  <c r="J951" i="6"/>
  <c r="I951" i="6"/>
  <c r="G951" i="6"/>
  <c r="F951" i="6"/>
  <c r="H951" i="6" s="1"/>
  <c r="J950" i="6"/>
  <c r="G950" i="6"/>
  <c r="F950" i="6"/>
  <c r="J949" i="6"/>
  <c r="I949" i="6"/>
  <c r="H949" i="6"/>
  <c r="G949" i="6"/>
  <c r="F949" i="6"/>
  <c r="G948" i="6"/>
  <c r="F948" i="6"/>
  <c r="J947" i="6"/>
  <c r="I947" i="6"/>
  <c r="G947" i="6"/>
  <c r="F947" i="6"/>
  <c r="H947" i="6" s="1"/>
  <c r="G946" i="6"/>
  <c r="F946" i="6"/>
  <c r="J945" i="6"/>
  <c r="I945" i="6"/>
  <c r="H945" i="6"/>
  <c r="G945" i="6"/>
  <c r="F945" i="6"/>
  <c r="G944" i="6"/>
  <c r="F944" i="6"/>
  <c r="J943" i="6"/>
  <c r="I943" i="6"/>
  <c r="G943" i="6"/>
  <c r="F943" i="6"/>
  <c r="H943" i="6" s="1"/>
  <c r="J942" i="6"/>
  <c r="G942" i="6"/>
  <c r="F942" i="6"/>
  <c r="J941" i="6"/>
  <c r="I941" i="6"/>
  <c r="H941" i="6"/>
  <c r="G941" i="6"/>
  <c r="F941" i="6"/>
  <c r="G940" i="6"/>
  <c r="F940" i="6"/>
  <c r="J939" i="6"/>
  <c r="I939" i="6"/>
  <c r="G939" i="6"/>
  <c r="F939" i="6"/>
  <c r="H939" i="6" s="1"/>
  <c r="G938" i="6"/>
  <c r="F938" i="6"/>
  <c r="J937" i="6"/>
  <c r="I937" i="6"/>
  <c r="H937" i="6"/>
  <c r="G937" i="6"/>
  <c r="F937" i="6"/>
  <c r="G936" i="6"/>
  <c r="F936" i="6"/>
  <c r="J935" i="6"/>
  <c r="I935" i="6"/>
  <c r="G935" i="6"/>
  <c r="F935" i="6"/>
  <c r="H935" i="6" s="1"/>
  <c r="J934" i="6"/>
  <c r="G934" i="6"/>
  <c r="F934" i="6"/>
  <c r="J933" i="6"/>
  <c r="I933" i="6"/>
  <c r="H933" i="6"/>
  <c r="G933" i="6"/>
  <c r="F933" i="6"/>
  <c r="G932" i="6"/>
  <c r="F932" i="6"/>
  <c r="J931" i="6"/>
  <c r="I931" i="6"/>
  <c r="G931" i="6"/>
  <c r="F931" i="6"/>
  <c r="H931" i="6" s="1"/>
  <c r="G930" i="6"/>
  <c r="F930" i="6"/>
  <c r="J929" i="6"/>
  <c r="I929" i="6"/>
  <c r="H929" i="6"/>
  <c r="G929" i="6"/>
  <c r="F929" i="6"/>
  <c r="G928" i="6"/>
  <c r="F928" i="6"/>
  <c r="J927" i="6"/>
  <c r="I927" i="6"/>
  <c r="G927" i="6"/>
  <c r="F927" i="6"/>
  <c r="H927" i="6" s="1"/>
  <c r="J926" i="6"/>
  <c r="G926" i="6"/>
  <c r="F926" i="6"/>
  <c r="J925" i="6"/>
  <c r="I925" i="6"/>
  <c r="H925" i="6"/>
  <c r="G925" i="6"/>
  <c r="F925" i="6"/>
  <c r="G924" i="6"/>
  <c r="F924" i="6"/>
  <c r="J923" i="6"/>
  <c r="I923" i="6"/>
  <c r="G923" i="6"/>
  <c r="F923" i="6"/>
  <c r="H923" i="6" s="1"/>
  <c r="G922" i="6"/>
  <c r="F922" i="6"/>
  <c r="J921" i="6"/>
  <c r="I921" i="6"/>
  <c r="H921" i="6"/>
  <c r="G921" i="6"/>
  <c r="F921" i="6"/>
  <c r="G920" i="6"/>
  <c r="F920" i="6"/>
  <c r="J919" i="6"/>
  <c r="I919" i="6"/>
  <c r="G919" i="6"/>
  <c r="F919" i="6"/>
  <c r="H919" i="6" s="1"/>
  <c r="J918" i="6"/>
  <c r="G918" i="6"/>
  <c r="F918" i="6"/>
  <c r="J917" i="6"/>
  <c r="I917" i="6"/>
  <c r="H917" i="6"/>
  <c r="G917" i="6"/>
  <c r="F917" i="6"/>
  <c r="G916" i="6"/>
  <c r="F916" i="6"/>
  <c r="J915" i="6"/>
  <c r="I915" i="6"/>
  <c r="G915" i="6"/>
  <c r="F915" i="6"/>
  <c r="H915" i="6" s="1"/>
  <c r="J914" i="6"/>
  <c r="G914" i="6"/>
  <c r="F914" i="6"/>
  <c r="J913" i="6"/>
  <c r="I913" i="6"/>
  <c r="H913" i="6"/>
  <c r="G913" i="6"/>
  <c r="F913" i="6"/>
  <c r="G912" i="6"/>
  <c r="F912" i="6"/>
  <c r="J911" i="6"/>
  <c r="I911" i="6"/>
  <c r="G911" i="6"/>
  <c r="F911" i="6"/>
  <c r="H911" i="6" s="1"/>
  <c r="J910" i="6"/>
  <c r="G910" i="6"/>
  <c r="F910" i="6"/>
  <c r="J909" i="6"/>
  <c r="I909" i="6"/>
  <c r="H909" i="6"/>
  <c r="G909" i="6"/>
  <c r="F909" i="6"/>
  <c r="G908" i="6"/>
  <c r="F908" i="6"/>
  <c r="J907" i="6"/>
  <c r="I907" i="6"/>
  <c r="G907" i="6"/>
  <c r="F907" i="6"/>
  <c r="H907" i="6" s="1"/>
  <c r="G906" i="6"/>
  <c r="F906" i="6"/>
  <c r="J905" i="6"/>
  <c r="I905" i="6"/>
  <c r="H905" i="6"/>
  <c r="G905" i="6"/>
  <c r="F905" i="6"/>
  <c r="G904" i="6"/>
  <c r="F904" i="6"/>
  <c r="J903" i="6"/>
  <c r="I903" i="6"/>
  <c r="G903" i="6"/>
  <c r="F903" i="6"/>
  <c r="H903" i="6" s="1"/>
  <c r="G902" i="6"/>
  <c r="F902" i="6"/>
  <c r="J901" i="6"/>
  <c r="I901" i="6"/>
  <c r="H901" i="6"/>
  <c r="G901" i="6"/>
  <c r="F901" i="6"/>
  <c r="G900" i="6"/>
  <c r="F900" i="6"/>
  <c r="J899" i="6"/>
  <c r="I899" i="6"/>
  <c r="G899" i="6"/>
  <c r="F899" i="6"/>
  <c r="H899" i="6" s="1"/>
  <c r="G898" i="6"/>
  <c r="F898" i="6"/>
  <c r="J897" i="6"/>
  <c r="I897" i="6"/>
  <c r="H897" i="6"/>
  <c r="G897" i="6"/>
  <c r="F897" i="6"/>
  <c r="G896" i="6"/>
  <c r="F896" i="6"/>
  <c r="J895" i="6"/>
  <c r="I895" i="6"/>
  <c r="G895" i="6"/>
  <c r="F895" i="6"/>
  <c r="H895" i="6" s="1"/>
  <c r="G894" i="6"/>
  <c r="F894" i="6"/>
  <c r="J893" i="6"/>
  <c r="I893" i="6"/>
  <c r="H893" i="6"/>
  <c r="G893" i="6"/>
  <c r="F893" i="6"/>
  <c r="G892" i="6"/>
  <c r="F892" i="6"/>
  <c r="J891" i="6"/>
  <c r="I891" i="6"/>
  <c r="G891" i="6"/>
  <c r="F891" i="6"/>
  <c r="H891" i="6" s="1"/>
  <c r="G890" i="6"/>
  <c r="F890" i="6"/>
  <c r="J889" i="6"/>
  <c r="I889" i="6"/>
  <c r="H889" i="6"/>
  <c r="G889" i="6"/>
  <c r="F889" i="6"/>
  <c r="G888" i="6"/>
  <c r="F888" i="6"/>
  <c r="J887" i="6"/>
  <c r="I887" i="6"/>
  <c r="G887" i="6"/>
  <c r="F887" i="6"/>
  <c r="H887" i="6" s="1"/>
  <c r="G886" i="6"/>
  <c r="F886" i="6"/>
  <c r="J885" i="6"/>
  <c r="I885" i="6"/>
  <c r="H885" i="6"/>
  <c r="G885" i="6"/>
  <c r="F885" i="6"/>
  <c r="G884" i="6"/>
  <c r="F884" i="6"/>
  <c r="J883" i="6"/>
  <c r="I883" i="6"/>
  <c r="G883" i="6"/>
  <c r="F883" i="6"/>
  <c r="H883" i="6" s="1"/>
  <c r="G882" i="6"/>
  <c r="F882" i="6"/>
  <c r="J881" i="6"/>
  <c r="I881" i="6"/>
  <c r="H881" i="6"/>
  <c r="G881" i="6"/>
  <c r="F881" i="6"/>
  <c r="G880" i="6"/>
  <c r="F880" i="6"/>
  <c r="J879" i="6"/>
  <c r="I879" i="6"/>
  <c r="G879" i="6"/>
  <c r="F879" i="6"/>
  <c r="H879" i="6" s="1"/>
  <c r="J878" i="6"/>
  <c r="G878" i="6"/>
  <c r="F878" i="6"/>
  <c r="J877" i="6"/>
  <c r="I877" i="6"/>
  <c r="H877" i="6"/>
  <c r="G877" i="6"/>
  <c r="F877" i="6"/>
  <c r="J876" i="6"/>
  <c r="G876" i="6"/>
  <c r="F876" i="6"/>
  <c r="J875" i="6"/>
  <c r="I875" i="6"/>
  <c r="G875" i="6"/>
  <c r="F875" i="6"/>
  <c r="H875" i="6" s="1"/>
  <c r="J874" i="6"/>
  <c r="G874" i="6"/>
  <c r="F874" i="6"/>
  <c r="J873" i="6"/>
  <c r="I873" i="6"/>
  <c r="H873" i="6"/>
  <c r="G873" i="6"/>
  <c r="F873" i="6"/>
  <c r="G872" i="6"/>
  <c r="F872" i="6"/>
  <c r="J871" i="6"/>
  <c r="I871" i="6"/>
  <c r="G871" i="6"/>
  <c r="F871" i="6"/>
  <c r="H871" i="6" s="1"/>
  <c r="G870" i="6"/>
  <c r="F870" i="6"/>
  <c r="J869" i="6"/>
  <c r="I869" i="6"/>
  <c r="H869" i="6"/>
  <c r="G869" i="6"/>
  <c r="F869" i="6"/>
  <c r="G868" i="6"/>
  <c r="F868" i="6"/>
  <c r="J867" i="6"/>
  <c r="I867" i="6"/>
  <c r="G867" i="6"/>
  <c r="F867" i="6"/>
  <c r="H867" i="6" s="1"/>
  <c r="G866" i="6"/>
  <c r="F866" i="6"/>
  <c r="J865" i="6"/>
  <c r="I865" i="6"/>
  <c r="H865" i="6"/>
  <c r="G865" i="6"/>
  <c r="F865" i="6"/>
  <c r="G864" i="6"/>
  <c r="F864" i="6"/>
  <c r="H864" i="6" s="1"/>
  <c r="J863" i="6"/>
  <c r="I863" i="6"/>
  <c r="G863" i="6"/>
  <c r="F863" i="6"/>
  <c r="H863" i="6" s="1"/>
  <c r="G862" i="6"/>
  <c r="F862" i="6"/>
  <c r="J861" i="6"/>
  <c r="I861" i="6"/>
  <c r="H861" i="6"/>
  <c r="G861" i="6"/>
  <c r="F861" i="6"/>
  <c r="J860" i="6"/>
  <c r="I860" i="6"/>
  <c r="G860" i="6"/>
  <c r="F860" i="6"/>
  <c r="H860" i="6" s="1"/>
  <c r="J859" i="6"/>
  <c r="I859" i="6"/>
  <c r="G859" i="6"/>
  <c r="F859" i="6"/>
  <c r="H859" i="6" s="1"/>
  <c r="J858" i="6"/>
  <c r="G858" i="6"/>
  <c r="F858" i="6"/>
  <c r="J857" i="6"/>
  <c r="I857" i="6"/>
  <c r="H857" i="6"/>
  <c r="G857" i="6"/>
  <c r="F857" i="6"/>
  <c r="J856" i="6"/>
  <c r="I856" i="6"/>
  <c r="G856" i="6"/>
  <c r="F856" i="6"/>
  <c r="H856" i="6" s="1"/>
  <c r="J855" i="6"/>
  <c r="G855" i="6"/>
  <c r="F855" i="6"/>
  <c r="H855" i="6" s="1"/>
  <c r="J854" i="6"/>
  <c r="G854" i="6"/>
  <c r="F854" i="6"/>
  <c r="J853" i="6"/>
  <c r="I853" i="6"/>
  <c r="H853" i="6"/>
  <c r="G853" i="6"/>
  <c r="F853" i="6"/>
  <c r="J852" i="6"/>
  <c r="G852" i="6"/>
  <c r="F852" i="6"/>
  <c r="H852" i="6" s="1"/>
  <c r="G851" i="6"/>
  <c r="F851" i="6"/>
  <c r="H851" i="6" s="1"/>
  <c r="G850" i="6"/>
  <c r="F850" i="6"/>
  <c r="J849" i="6"/>
  <c r="I849" i="6"/>
  <c r="H849" i="6"/>
  <c r="G849" i="6"/>
  <c r="F849" i="6"/>
  <c r="G848" i="6"/>
  <c r="F848" i="6"/>
  <c r="G847" i="6"/>
  <c r="F847" i="6"/>
  <c r="H847" i="6" s="1"/>
  <c r="G846" i="6"/>
  <c r="F846" i="6"/>
  <c r="J845" i="6"/>
  <c r="I845" i="6"/>
  <c r="H845" i="6"/>
  <c r="G845" i="6"/>
  <c r="F845" i="6"/>
  <c r="G844" i="6"/>
  <c r="F844" i="6"/>
  <c r="G843" i="6"/>
  <c r="F843" i="6"/>
  <c r="H843" i="6" s="1"/>
  <c r="G842" i="6"/>
  <c r="F842" i="6"/>
  <c r="J841" i="6"/>
  <c r="I841" i="6"/>
  <c r="H841" i="6"/>
  <c r="G841" i="6"/>
  <c r="F841" i="6"/>
  <c r="J840" i="6"/>
  <c r="I840" i="6"/>
  <c r="G840" i="6"/>
  <c r="F840" i="6"/>
  <c r="H840" i="6" s="1"/>
  <c r="G839" i="6"/>
  <c r="F839" i="6"/>
  <c r="H839" i="6" s="1"/>
  <c r="J838" i="6"/>
  <c r="G838" i="6"/>
  <c r="F838" i="6"/>
  <c r="J837" i="6"/>
  <c r="I837" i="6"/>
  <c r="H837" i="6"/>
  <c r="G837" i="6"/>
  <c r="F837" i="6"/>
  <c r="J836" i="6"/>
  <c r="I836" i="6"/>
  <c r="G836" i="6"/>
  <c r="F836" i="6"/>
  <c r="H836" i="6" s="1"/>
  <c r="J835" i="6"/>
  <c r="I835" i="6"/>
  <c r="G835" i="6"/>
  <c r="F835" i="6"/>
  <c r="H835" i="6" s="1"/>
  <c r="J834" i="6"/>
  <c r="G834" i="6"/>
  <c r="F834" i="6"/>
  <c r="J833" i="6"/>
  <c r="I833" i="6"/>
  <c r="H833" i="6"/>
  <c r="G833" i="6"/>
  <c r="F833" i="6"/>
  <c r="J832" i="6"/>
  <c r="G832" i="6"/>
  <c r="F832" i="6"/>
  <c r="H832" i="6" s="1"/>
  <c r="J831" i="6"/>
  <c r="I831" i="6"/>
  <c r="G831" i="6"/>
  <c r="F831" i="6"/>
  <c r="H831" i="6" s="1"/>
  <c r="G830" i="6"/>
  <c r="F830" i="6"/>
  <c r="J829" i="6"/>
  <c r="I829" i="6"/>
  <c r="H829" i="6"/>
  <c r="G829" i="6"/>
  <c r="F829" i="6"/>
  <c r="G828" i="6"/>
  <c r="F828" i="6"/>
  <c r="H828" i="6" s="1"/>
  <c r="J827" i="6"/>
  <c r="G827" i="6"/>
  <c r="F827" i="6"/>
  <c r="H827" i="6" s="1"/>
  <c r="G826" i="6"/>
  <c r="F826" i="6"/>
  <c r="J825" i="6"/>
  <c r="I825" i="6"/>
  <c r="H825" i="6"/>
  <c r="G825" i="6"/>
  <c r="F825" i="6"/>
  <c r="G824" i="6"/>
  <c r="F824" i="6"/>
  <c r="H824" i="6" s="1"/>
  <c r="G823" i="6"/>
  <c r="F823" i="6"/>
  <c r="G822" i="6"/>
  <c r="F822" i="6"/>
  <c r="J821" i="6"/>
  <c r="I821" i="6"/>
  <c r="H821" i="6"/>
  <c r="G821" i="6"/>
  <c r="F821" i="6"/>
  <c r="G820" i="6"/>
  <c r="F820" i="6"/>
  <c r="J820" i="6" s="1"/>
  <c r="J819" i="6"/>
  <c r="I819" i="6"/>
  <c r="G819" i="6"/>
  <c r="F819" i="6"/>
  <c r="H819" i="6" s="1"/>
  <c r="G818" i="6"/>
  <c r="F818" i="6"/>
  <c r="I817" i="6"/>
  <c r="H817" i="6"/>
  <c r="G817" i="6"/>
  <c r="F817" i="6"/>
  <c r="J817" i="6" s="1"/>
  <c r="G816" i="6"/>
  <c r="F816" i="6"/>
  <c r="J816" i="6" s="1"/>
  <c r="J815" i="6"/>
  <c r="I815" i="6"/>
  <c r="G815" i="6"/>
  <c r="F815" i="6"/>
  <c r="H815" i="6" s="1"/>
  <c r="G814" i="6"/>
  <c r="F814" i="6"/>
  <c r="I813" i="6"/>
  <c r="H813" i="6"/>
  <c r="G813" i="6"/>
  <c r="F813" i="6"/>
  <c r="J813" i="6" s="1"/>
  <c r="G812" i="6"/>
  <c r="F812" i="6"/>
  <c r="J812" i="6" s="1"/>
  <c r="J811" i="6"/>
  <c r="I811" i="6"/>
  <c r="G811" i="6"/>
  <c r="F811" i="6"/>
  <c r="H811" i="6" s="1"/>
  <c r="G810" i="6"/>
  <c r="F810" i="6"/>
  <c r="I809" i="6"/>
  <c r="H809" i="6"/>
  <c r="G809" i="6"/>
  <c r="F809" i="6"/>
  <c r="J809" i="6" s="1"/>
  <c r="G808" i="6"/>
  <c r="F808" i="6"/>
  <c r="J808" i="6" s="1"/>
  <c r="J807" i="6"/>
  <c r="I807" i="6"/>
  <c r="G807" i="6"/>
  <c r="F807" i="6"/>
  <c r="H807" i="6" s="1"/>
  <c r="G806" i="6"/>
  <c r="F806" i="6"/>
  <c r="I805" i="6"/>
  <c r="H805" i="6"/>
  <c r="G805" i="6"/>
  <c r="F805" i="6"/>
  <c r="J805" i="6" s="1"/>
  <c r="G804" i="6"/>
  <c r="F804" i="6"/>
  <c r="J804" i="6" s="1"/>
  <c r="J803" i="6"/>
  <c r="I803" i="6"/>
  <c r="G803" i="6"/>
  <c r="F803" i="6"/>
  <c r="H803" i="6" s="1"/>
  <c r="G802" i="6"/>
  <c r="F802" i="6"/>
  <c r="I801" i="6"/>
  <c r="H801" i="6"/>
  <c r="G801" i="6"/>
  <c r="F801" i="6"/>
  <c r="J801" i="6" s="1"/>
  <c r="G800" i="6"/>
  <c r="F800" i="6"/>
  <c r="J800" i="6" s="1"/>
  <c r="J799" i="6"/>
  <c r="I799" i="6"/>
  <c r="G799" i="6"/>
  <c r="F799" i="6"/>
  <c r="H799" i="6" s="1"/>
  <c r="G798" i="6"/>
  <c r="F798" i="6"/>
  <c r="J797" i="6"/>
  <c r="I797" i="6"/>
  <c r="H797" i="6"/>
  <c r="G797" i="6"/>
  <c r="F797" i="6"/>
  <c r="G796" i="6"/>
  <c r="F796" i="6"/>
  <c r="J796" i="6" s="1"/>
  <c r="J795" i="6"/>
  <c r="I795" i="6"/>
  <c r="G795" i="6"/>
  <c r="F795" i="6"/>
  <c r="H795" i="6" s="1"/>
  <c r="G794" i="6"/>
  <c r="F794" i="6"/>
  <c r="J793" i="6"/>
  <c r="I793" i="6"/>
  <c r="H793" i="6"/>
  <c r="G793" i="6"/>
  <c r="F793" i="6"/>
  <c r="G792" i="6"/>
  <c r="F792" i="6"/>
  <c r="J792" i="6" s="1"/>
  <c r="J791" i="6"/>
  <c r="I791" i="6"/>
  <c r="G791" i="6"/>
  <c r="F791" i="6"/>
  <c r="H791" i="6" s="1"/>
  <c r="G790" i="6"/>
  <c r="F790" i="6"/>
  <c r="J789" i="6"/>
  <c r="I789" i="6"/>
  <c r="H789" i="6"/>
  <c r="G789" i="6"/>
  <c r="F789" i="6"/>
  <c r="G788" i="6"/>
  <c r="F788" i="6"/>
  <c r="J788" i="6" s="1"/>
  <c r="J787" i="6"/>
  <c r="I787" i="6"/>
  <c r="G787" i="6"/>
  <c r="F787" i="6"/>
  <c r="H787" i="6" s="1"/>
  <c r="G786" i="6"/>
  <c r="F786" i="6"/>
  <c r="J785" i="6"/>
  <c r="I785" i="6"/>
  <c r="H785" i="6"/>
  <c r="G785" i="6"/>
  <c r="F785" i="6"/>
  <c r="G784" i="6"/>
  <c r="F784" i="6"/>
  <c r="J784" i="6" s="1"/>
  <c r="J783" i="6"/>
  <c r="I783" i="6"/>
  <c r="G783" i="6"/>
  <c r="F783" i="6"/>
  <c r="H783" i="6" s="1"/>
  <c r="G782" i="6"/>
  <c r="F782" i="6"/>
  <c r="J781" i="6"/>
  <c r="I781" i="6"/>
  <c r="H781" i="6"/>
  <c r="G781" i="6"/>
  <c r="F781" i="6"/>
  <c r="G780" i="6"/>
  <c r="F780" i="6"/>
  <c r="J780" i="6" s="1"/>
  <c r="J779" i="6"/>
  <c r="I779" i="6"/>
  <c r="G779" i="6"/>
  <c r="F779" i="6"/>
  <c r="H779" i="6" s="1"/>
  <c r="G778" i="6"/>
  <c r="F778" i="6"/>
  <c r="J777" i="6"/>
  <c r="I777" i="6"/>
  <c r="H777" i="6"/>
  <c r="G777" i="6"/>
  <c r="F777" i="6"/>
  <c r="G776" i="6"/>
  <c r="F776" i="6"/>
  <c r="J776" i="6" s="1"/>
  <c r="J775" i="6"/>
  <c r="I775" i="6"/>
  <c r="G775" i="6"/>
  <c r="F775" i="6"/>
  <c r="H775" i="6" s="1"/>
  <c r="G774" i="6"/>
  <c r="F774" i="6"/>
  <c r="J773" i="6"/>
  <c r="I773" i="6"/>
  <c r="H773" i="6"/>
  <c r="G773" i="6"/>
  <c r="F773" i="6"/>
  <c r="G772" i="6"/>
  <c r="F772" i="6"/>
  <c r="J772" i="6" s="1"/>
  <c r="J771" i="6"/>
  <c r="I771" i="6"/>
  <c r="G771" i="6"/>
  <c r="F771" i="6"/>
  <c r="H771" i="6" s="1"/>
  <c r="G770" i="6"/>
  <c r="F770" i="6"/>
  <c r="J769" i="6"/>
  <c r="I769" i="6"/>
  <c r="H769" i="6"/>
  <c r="G769" i="6"/>
  <c r="F769" i="6"/>
  <c r="G768" i="6"/>
  <c r="F768" i="6"/>
  <c r="J768" i="6" s="1"/>
  <c r="J767" i="6"/>
  <c r="I767" i="6"/>
  <c r="G767" i="6"/>
  <c r="F767" i="6"/>
  <c r="H767" i="6" s="1"/>
  <c r="G766" i="6"/>
  <c r="F766" i="6"/>
  <c r="J765" i="6"/>
  <c r="I765" i="6"/>
  <c r="H765" i="6"/>
  <c r="G765" i="6"/>
  <c r="F765" i="6"/>
  <c r="G764" i="6"/>
  <c r="F764" i="6"/>
  <c r="J764" i="6" s="1"/>
  <c r="J763" i="6"/>
  <c r="I763" i="6"/>
  <c r="G763" i="6"/>
  <c r="F763" i="6"/>
  <c r="H763" i="6" s="1"/>
  <c r="G762" i="6"/>
  <c r="F762" i="6"/>
  <c r="J761" i="6"/>
  <c r="I761" i="6"/>
  <c r="H761" i="6"/>
  <c r="G761" i="6"/>
  <c r="F761" i="6"/>
  <c r="G760" i="6"/>
  <c r="F760" i="6"/>
  <c r="J760" i="6" s="1"/>
  <c r="J759" i="6"/>
  <c r="I759" i="6"/>
  <c r="G759" i="6"/>
  <c r="F759" i="6"/>
  <c r="H759" i="6" s="1"/>
  <c r="G758" i="6"/>
  <c r="F758" i="6"/>
  <c r="J757" i="6"/>
  <c r="I757" i="6"/>
  <c r="H757" i="6"/>
  <c r="G757" i="6"/>
  <c r="F757" i="6"/>
  <c r="G756" i="6"/>
  <c r="F756" i="6"/>
  <c r="J756" i="6" s="1"/>
  <c r="J755" i="6"/>
  <c r="I755" i="6"/>
  <c r="G755" i="6"/>
  <c r="F755" i="6"/>
  <c r="H755" i="6" s="1"/>
  <c r="G754" i="6"/>
  <c r="F754" i="6"/>
  <c r="J753" i="6"/>
  <c r="I753" i="6"/>
  <c r="H753" i="6"/>
  <c r="G753" i="6"/>
  <c r="F753" i="6"/>
  <c r="G752" i="6"/>
  <c r="F752" i="6"/>
  <c r="J752" i="6" s="1"/>
  <c r="J751" i="6"/>
  <c r="I751" i="6"/>
  <c r="G751" i="6"/>
  <c r="F751" i="6"/>
  <c r="H751" i="6" s="1"/>
  <c r="G750" i="6"/>
  <c r="F750" i="6"/>
  <c r="J749" i="6"/>
  <c r="I749" i="6"/>
  <c r="H749" i="6"/>
  <c r="G749" i="6"/>
  <c r="F749" i="6"/>
  <c r="G748" i="6"/>
  <c r="F748" i="6"/>
  <c r="J748" i="6" s="1"/>
  <c r="J747" i="6"/>
  <c r="I747" i="6"/>
  <c r="G747" i="6"/>
  <c r="F747" i="6"/>
  <c r="H747" i="6" s="1"/>
  <c r="G746" i="6"/>
  <c r="F746" i="6"/>
  <c r="J745" i="6"/>
  <c r="I745" i="6"/>
  <c r="H745" i="6"/>
  <c r="G745" i="6"/>
  <c r="F745" i="6"/>
  <c r="G744" i="6"/>
  <c r="F744" i="6"/>
  <c r="J744" i="6" s="1"/>
  <c r="J743" i="6"/>
  <c r="I743" i="6"/>
  <c r="G743" i="6"/>
  <c r="F743" i="6"/>
  <c r="H743" i="6" s="1"/>
  <c r="G742" i="6"/>
  <c r="F742" i="6"/>
  <c r="J741" i="6"/>
  <c r="I741" i="6"/>
  <c r="H741" i="6"/>
  <c r="G741" i="6"/>
  <c r="F741" i="6"/>
  <c r="G740" i="6"/>
  <c r="F740" i="6"/>
  <c r="J740" i="6" s="1"/>
  <c r="J739" i="6"/>
  <c r="I739" i="6"/>
  <c r="G739" i="6"/>
  <c r="F739" i="6"/>
  <c r="H739" i="6" s="1"/>
  <c r="G738" i="6"/>
  <c r="F738" i="6"/>
  <c r="J737" i="6"/>
  <c r="I737" i="6"/>
  <c r="H737" i="6"/>
  <c r="G737" i="6"/>
  <c r="F737" i="6"/>
  <c r="G736" i="6"/>
  <c r="F736" i="6"/>
  <c r="J736" i="6" s="1"/>
  <c r="J735" i="6"/>
  <c r="I735" i="6"/>
  <c r="G735" i="6"/>
  <c r="F735" i="6"/>
  <c r="H735" i="6" s="1"/>
  <c r="G734" i="6"/>
  <c r="F734" i="6"/>
  <c r="J733" i="6"/>
  <c r="I733" i="6"/>
  <c r="H733" i="6"/>
  <c r="G733" i="6"/>
  <c r="F733" i="6"/>
  <c r="G732" i="6"/>
  <c r="F732" i="6"/>
  <c r="J732" i="6" s="1"/>
  <c r="J731" i="6"/>
  <c r="I731" i="6"/>
  <c r="G731" i="6"/>
  <c r="F731" i="6"/>
  <c r="H731" i="6" s="1"/>
  <c r="G730" i="6"/>
  <c r="F730" i="6"/>
  <c r="J729" i="6"/>
  <c r="I729" i="6"/>
  <c r="H729" i="6"/>
  <c r="G729" i="6"/>
  <c r="F729" i="6"/>
  <c r="G728" i="6"/>
  <c r="F728" i="6"/>
  <c r="J728" i="6" s="1"/>
  <c r="J727" i="6"/>
  <c r="I727" i="6"/>
  <c r="G727" i="6"/>
  <c r="F727" i="6"/>
  <c r="H727" i="6" s="1"/>
  <c r="G726" i="6"/>
  <c r="F726" i="6"/>
  <c r="J725" i="6"/>
  <c r="I725" i="6"/>
  <c r="H725" i="6"/>
  <c r="G725" i="6"/>
  <c r="F725" i="6"/>
  <c r="G724" i="6"/>
  <c r="F724" i="6"/>
  <c r="J724" i="6" s="1"/>
  <c r="J723" i="6"/>
  <c r="I723" i="6"/>
  <c r="G723" i="6"/>
  <c r="F723" i="6"/>
  <c r="H723" i="6" s="1"/>
  <c r="G722" i="6"/>
  <c r="F722" i="6"/>
  <c r="J721" i="6"/>
  <c r="I721" i="6"/>
  <c r="H721" i="6"/>
  <c r="G721" i="6"/>
  <c r="F721" i="6"/>
  <c r="G720" i="6"/>
  <c r="F720" i="6"/>
  <c r="J720" i="6" s="1"/>
  <c r="J719" i="6"/>
  <c r="I719" i="6"/>
  <c r="G719" i="6"/>
  <c r="F719" i="6"/>
  <c r="H719" i="6" s="1"/>
  <c r="G718" i="6"/>
  <c r="F718" i="6"/>
  <c r="J717" i="6"/>
  <c r="I717" i="6"/>
  <c r="H717" i="6"/>
  <c r="G717" i="6"/>
  <c r="F717" i="6"/>
  <c r="G716" i="6"/>
  <c r="F716" i="6"/>
  <c r="J716" i="6" s="1"/>
  <c r="J715" i="6"/>
  <c r="I715" i="6"/>
  <c r="G715" i="6"/>
  <c r="F715" i="6"/>
  <c r="H715" i="6" s="1"/>
  <c r="G714" i="6"/>
  <c r="F714" i="6"/>
  <c r="J713" i="6"/>
  <c r="I713" i="6"/>
  <c r="H713" i="6"/>
  <c r="G713" i="6"/>
  <c r="F713" i="6"/>
  <c r="G712" i="6"/>
  <c r="F712" i="6"/>
  <c r="J712" i="6" s="1"/>
  <c r="J711" i="6"/>
  <c r="I711" i="6"/>
  <c r="G711" i="6"/>
  <c r="F711" i="6"/>
  <c r="H711" i="6" s="1"/>
  <c r="G710" i="6"/>
  <c r="F710" i="6"/>
  <c r="J709" i="6"/>
  <c r="I709" i="6"/>
  <c r="H709" i="6"/>
  <c r="G709" i="6"/>
  <c r="F709" i="6"/>
  <c r="G708" i="6"/>
  <c r="F708" i="6"/>
  <c r="J708" i="6" s="1"/>
  <c r="J707" i="6"/>
  <c r="I707" i="6"/>
  <c r="G707" i="6"/>
  <c r="F707" i="6"/>
  <c r="H707" i="6" s="1"/>
  <c r="G706" i="6"/>
  <c r="F706" i="6"/>
  <c r="J705" i="6"/>
  <c r="I705" i="6"/>
  <c r="H705" i="6"/>
  <c r="G705" i="6"/>
  <c r="F705" i="6"/>
  <c r="G704" i="6"/>
  <c r="F704" i="6"/>
  <c r="J704" i="6" s="1"/>
  <c r="J703" i="6"/>
  <c r="I703" i="6"/>
  <c r="G703" i="6"/>
  <c r="F703" i="6"/>
  <c r="H703" i="6" s="1"/>
  <c r="G702" i="6"/>
  <c r="F702" i="6"/>
  <c r="J701" i="6"/>
  <c r="I701" i="6"/>
  <c r="H701" i="6"/>
  <c r="G701" i="6"/>
  <c r="F701" i="6"/>
  <c r="G700" i="6"/>
  <c r="F700" i="6"/>
  <c r="J700" i="6" s="1"/>
  <c r="J699" i="6"/>
  <c r="I699" i="6"/>
  <c r="G699" i="6"/>
  <c r="F699" i="6"/>
  <c r="H699" i="6" s="1"/>
  <c r="G698" i="6"/>
  <c r="F698" i="6"/>
  <c r="J697" i="6"/>
  <c r="I697" i="6"/>
  <c r="H697" i="6"/>
  <c r="G697" i="6"/>
  <c r="F697" i="6"/>
  <c r="G696" i="6"/>
  <c r="F696" i="6"/>
  <c r="J696" i="6" s="1"/>
  <c r="J695" i="6"/>
  <c r="I695" i="6"/>
  <c r="G695" i="6"/>
  <c r="F695" i="6"/>
  <c r="H695" i="6" s="1"/>
  <c r="G694" i="6"/>
  <c r="F694" i="6"/>
  <c r="J693" i="6"/>
  <c r="I693" i="6"/>
  <c r="H693" i="6"/>
  <c r="G693" i="6"/>
  <c r="F693" i="6"/>
  <c r="G692" i="6"/>
  <c r="F692" i="6"/>
  <c r="J692" i="6" s="1"/>
  <c r="J691" i="6"/>
  <c r="I691" i="6"/>
  <c r="G691" i="6"/>
  <c r="F691" i="6"/>
  <c r="H691" i="6" s="1"/>
  <c r="G690" i="6"/>
  <c r="F690" i="6"/>
  <c r="J689" i="6"/>
  <c r="I689" i="6"/>
  <c r="H689" i="6"/>
  <c r="G689" i="6"/>
  <c r="F689" i="6"/>
  <c r="G688" i="6"/>
  <c r="F688" i="6"/>
  <c r="J688" i="6" s="1"/>
  <c r="J687" i="6"/>
  <c r="I687" i="6"/>
  <c r="G687" i="6"/>
  <c r="F687" i="6"/>
  <c r="H687" i="6" s="1"/>
  <c r="G686" i="6"/>
  <c r="F686" i="6"/>
  <c r="J685" i="6"/>
  <c r="I685" i="6"/>
  <c r="H685" i="6"/>
  <c r="G685" i="6"/>
  <c r="F685" i="6"/>
  <c r="G684" i="6"/>
  <c r="F684" i="6"/>
  <c r="J684" i="6" s="1"/>
  <c r="J683" i="6"/>
  <c r="I683" i="6"/>
  <c r="G683" i="6"/>
  <c r="F683" i="6"/>
  <c r="H683" i="6" s="1"/>
  <c r="G682" i="6"/>
  <c r="F682" i="6"/>
  <c r="J681" i="6"/>
  <c r="I681" i="6"/>
  <c r="H681" i="6"/>
  <c r="G681" i="6"/>
  <c r="F681" i="6"/>
  <c r="G680" i="6"/>
  <c r="F680" i="6"/>
  <c r="J680" i="6" s="1"/>
  <c r="J679" i="6"/>
  <c r="I679" i="6"/>
  <c r="G679" i="6"/>
  <c r="F679" i="6"/>
  <c r="H679" i="6" s="1"/>
  <c r="G678" i="6"/>
  <c r="F678" i="6"/>
  <c r="J677" i="6"/>
  <c r="I677" i="6"/>
  <c r="H677" i="6"/>
  <c r="G677" i="6"/>
  <c r="F677" i="6"/>
  <c r="G676" i="6"/>
  <c r="F676" i="6"/>
  <c r="J676" i="6" s="1"/>
  <c r="J675" i="6"/>
  <c r="I675" i="6"/>
  <c r="G675" i="6"/>
  <c r="F675" i="6"/>
  <c r="H675" i="6" s="1"/>
  <c r="G674" i="6"/>
  <c r="F674" i="6"/>
  <c r="J673" i="6"/>
  <c r="I673" i="6"/>
  <c r="H673" i="6"/>
  <c r="G673" i="6"/>
  <c r="F673" i="6"/>
  <c r="G672" i="6"/>
  <c r="F672" i="6"/>
  <c r="J672" i="6" s="1"/>
  <c r="J671" i="6"/>
  <c r="I671" i="6"/>
  <c r="G671" i="6"/>
  <c r="F671" i="6"/>
  <c r="H671" i="6" s="1"/>
  <c r="G670" i="6"/>
  <c r="F670" i="6"/>
  <c r="J669" i="6"/>
  <c r="I669" i="6"/>
  <c r="H669" i="6"/>
  <c r="G669" i="6"/>
  <c r="F669" i="6"/>
  <c r="G668" i="6"/>
  <c r="F668" i="6"/>
  <c r="J668" i="6" s="1"/>
  <c r="J667" i="6"/>
  <c r="I667" i="6"/>
  <c r="G667" i="6"/>
  <c r="F667" i="6"/>
  <c r="H667" i="6" s="1"/>
  <c r="G666" i="6"/>
  <c r="F666" i="6"/>
  <c r="J665" i="6"/>
  <c r="I665" i="6"/>
  <c r="H665" i="6"/>
  <c r="G665" i="6"/>
  <c r="F665" i="6"/>
  <c r="G664" i="6"/>
  <c r="F664" i="6"/>
  <c r="J664" i="6" s="1"/>
  <c r="J663" i="6"/>
  <c r="I663" i="6"/>
  <c r="G663" i="6"/>
  <c r="F663" i="6"/>
  <c r="H663" i="6" s="1"/>
  <c r="G662" i="6"/>
  <c r="F662" i="6"/>
  <c r="J661" i="6"/>
  <c r="I661" i="6"/>
  <c r="H661" i="6"/>
  <c r="G661" i="6"/>
  <c r="F661" i="6"/>
  <c r="G660" i="6"/>
  <c r="F660" i="6"/>
  <c r="J660" i="6" s="1"/>
  <c r="J659" i="6"/>
  <c r="I659" i="6"/>
  <c r="G659" i="6"/>
  <c r="F659" i="6"/>
  <c r="H659" i="6" s="1"/>
  <c r="G658" i="6"/>
  <c r="F658" i="6"/>
  <c r="J657" i="6"/>
  <c r="I657" i="6"/>
  <c r="H657" i="6"/>
  <c r="G657" i="6"/>
  <c r="F657" i="6"/>
  <c r="G656" i="6"/>
  <c r="F656" i="6"/>
  <c r="J656" i="6" s="1"/>
  <c r="J655" i="6"/>
  <c r="I655" i="6"/>
  <c r="G655" i="6"/>
  <c r="F655" i="6"/>
  <c r="H655" i="6" s="1"/>
  <c r="G654" i="6"/>
  <c r="F654" i="6"/>
  <c r="J653" i="6"/>
  <c r="I653" i="6"/>
  <c r="H653" i="6"/>
  <c r="G653" i="6"/>
  <c r="F653" i="6"/>
  <c r="G652" i="6"/>
  <c r="F652" i="6"/>
  <c r="J652" i="6" s="1"/>
  <c r="J651" i="6"/>
  <c r="I651" i="6"/>
  <c r="G651" i="6"/>
  <c r="F651" i="6"/>
  <c r="H651" i="6" s="1"/>
  <c r="G650" i="6"/>
  <c r="F650" i="6"/>
  <c r="J649" i="6"/>
  <c r="I649" i="6"/>
  <c r="H649" i="6"/>
  <c r="G649" i="6"/>
  <c r="F649" i="6"/>
  <c r="G648" i="6"/>
  <c r="F648" i="6"/>
  <c r="J648" i="6" s="1"/>
  <c r="J647" i="6"/>
  <c r="I647" i="6"/>
  <c r="G647" i="6"/>
  <c r="F647" i="6"/>
  <c r="H647" i="6" s="1"/>
  <c r="G646" i="6"/>
  <c r="F646" i="6"/>
  <c r="J645" i="6"/>
  <c r="I645" i="6"/>
  <c r="H645" i="6"/>
  <c r="G645" i="6"/>
  <c r="F645" i="6"/>
  <c r="G644" i="6"/>
  <c r="F644" i="6"/>
  <c r="J644" i="6" s="1"/>
  <c r="J643" i="6"/>
  <c r="I643" i="6"/>
  <c r="G643" i="6"/>
  <c r="F643" i="6"/>
  <c r="H643" i="6" s="1"/>
  <c r="G642" i="6"/>
  <c r="F642" i="6"/>
  <c r="J641" i="6"/>
  <c r="I641" i="6"/>
  <c r="H641" i="6"/>
  <c r="G641" i="6"/>
  <c r="F641" i="6"/>
  <c r="G640" i="6"/>
  <c r="F640" i="6"/>
  <c r="J640" i="6" s="1"/>
  <c r="J639" i="6"/>
  <c r="I639" i="6"/>
  <c r="G639" i="6"/>
  <c r="F639" i="6"/>
  <c r="H639" i="6" s="1"/>
  <c r="G638" i="6"/>
  <c r="F638" i="6"/>
  <c r="J637" i="6"/>
  <c r="I637" i="6"/>
  <c r="H637" i="6"/>
  <c r="G637" i="6"/>
  <c r="F637" i="6"/>
  <c r="G636" i="6"/>
  <c r="F636" i="6"/>
  <c r="J636" i="6" s="1"/>
  <c r="J635" i="6"/>
  <c r="I635" i="6"/>
  <c r="G635" i="6"/>
  <c r="F635" i="6"/>
  <c r="H635" i="6" s="1"/>
  <c r="G634" i="6"/>
  <c r="F634" i="6"/>
  <c r="J633" i="6"/>
  <c r="I633" i="6"/>
  <c r="H633" i="6"/>
  <c r="G633" i="6"/>
  <c r="F633" i="6"/>
  <c r="G632" i="6"/>
  <c r="F632" i="6"/>
  <c r="J632" i="6" s="1"/>
  <c r="J631" i="6"/>
  <c r="I631" i="6"/>
  <c r="G631" i="6"/>
  <c r="F631" i="6"/>
  <c r="H631" i="6" s="1"/>
  <c r="G630" i="6"/>
  <c r="F630" i="6"/>
  <c r="J629" i="6"/>
  <c r="I629" i="6"/>
  <c r="H629" i="6"/>
  <c r="G629" i="6"/>
  <c r="F629" i="6"/>
  <c r="G628" i="6"/>
  <c r="F628" i="6"/>
  <c r="J628" i="6" s="1"/>
  <c r="J627" i="6"/>
  <c r="I627" i="6"/>
  <c r="G627" i="6"/>
  <c r="F627" i="6"/>
  <c r="H627" i="6" s="1"/>
  <c r="G626" i="6"/>
  <c r="F626" i="6"/>
  <c r="J625" i="6"/>
  <c r="I625" i="6"/>
  <c r="H625" i="6"/>
  <c r="G625" i="6"/>
  <c r="F625" i="6"/>
  <c r="G624" i="6"/>
  <c r="F624" i="6"/>
  <c r="J624" i="6" s="1"/>
  <c r="J623" i="6"/>
  <c r="I623" i="6"/>
  <c r="G623" i="6"/>
  <c r="F623" i="6"/>
  <c r="H623" i="6" s="1"/>
  <c r="G622" i="6"/>
  <c r="F622" i="6"/>
  <c r="J621" i="6"/>
  <c r="I621" i="6"/>
  <c r="H621" i="6"/>
  <c r="G621" i="6"/>
  <c r="F621" i="6"/>
  <c r="G620" i="6"/>
  <c r="F620" i="6"/>
  <c r="J620" i="6" s="1"/>
  <c r="J619" i="6"/>
  <c r="I619" i="6"/>
  <c r="G619" i="6"/>
  <c r="F619" i="6"/>
  <c r="H619" i="6" s="1"/>
  <c r="G618" i="6"/>
  <c r="F618" i="6"/>
  <c r="J617" i="6"/>
  <c r="I617" i="6"/>
  <c r="H617" i="6"/>
  <c r="G617" i="6"/>
  <c r="F617" i="6"/>
  <c r="G616" i="6"/>
  <c r="F616" i="6"/>
  <c r="J616" i="6" s="1"/>
  <c r="J615" i="6"/>
  <c r="I615" i="6"/>
  <c r="G615" i="6"/>
  <c r="F615" i="6"/>
  <c r="H615" i="6" s="1"/>
  <c r="G614" i="6"/>
  <c r="F614" i="6"/>
  <c r="J613" i="6"/>
  <c r="I613" i="6"/>
  <c r="H613" i="6"/>
  <c r="G613" i="6"/>
  <c r="F613" i="6"/>
  <c r="G612" i="6"/>
  <c r="F612" i="6"/>
  <c r="J612" i="6" s="1"/>
  <c r="J611" i="6"/>
  <c r="I611" i="6"/>
  <c r="G611" i="6"/>
  <c r="F611" i="6"/>
  <c r="H611" i="6" s="1"/>
  <c r="G610" i="6"/>
  <c r="F610" i="6"/>
  <c r="J609" i="6"/>
  <c r="I609" i="6"/>
  <c r="H609" i="6"/>
  <c r="G609" i="6"/>
  <c r="F609" i="6"/>
  <c r="G608" i="6"/>
  <c r="F608" i="6"/>
  <c r="J608" i="6" s="1"/>
  <c r="J607" i="6"/>
  <c r="I607" i="6"/>
  <c r="G607" i="6"/>
  <c r="F607" i="6"/>
  <c r="H607" i="6" s="1"/>
  <c r="G606" i="6"/>
  <c r="F606" i="6"/>
  <c r="J605" i="6"/>
  <c r="I605" i="6"/>
  <c r="H605" i="6"/>
  <c r="G605" i="6"/>
  <c r="F605" i="6"/>
  <c r="G604" i="6"/>
  <c r="F604" i="6"/>
  <c r="J604" i="6" s="1"/>
  <c r="J603" i="6"/>
  <c r="I603" i="6"/>
  <c r="G603" i="6"/>
  <c r="F603" i="6"/>
  <c r="H603" i="6" s="1"/>
  <c r="G602" i="6"/>
  <c r="F602" i="6"/>
  <c r="J601" i="6"/>
  <c r="I601" i="6"/>
  <c r="H601" i="6"/>
  <c r="G601" i="6"/>
  <c r="F601" i="6"/>
  <c r="G600" i="6"/>
  <c r="F600" i="6"/>
  <c r="J600" i="6" s="1"/>
  <c r="J599" i="6"/>
  <c r="I599" i="6"/>
  <c r="G599" i="6"/>
  <c r="F599" i="6"/>
  <c r="H599" i="6" s="1"/>
  <c r="G598" i="6"/>
  <c r="F598" i="6"/>
  <c r="J597" i="6"/>
  <c r="I597" i="6"/>
  <c r="H597" i="6"/>
  <c r="G597" i="6"/>
  <c r="F597" i="6"/>
  <c r="G596" i="6"/>
  <c r="F596" i="6"/>
  <c r="J596" i="6" s="1"/>
  <c r="J595" i="6"/>
  <c r="I595" i="6"/>
  <c r="G595" i="6"/>
  <c r="F595" i="6"/>
  <c r="H595" i="6" s="1"/>
  <c r="G594" i="6"/>
  <c r="F594" i="6"/>
  <c r="J593" i="6"/>
  <c r="I593" i="6"/>
  <c r="H593" i="6"/>
  <c r="G593" i="6"/>
  <c r="F593" i="6"/>
  <c r="G592" i="6"/>
  <c r="F592" i="6"/>
  <c r="J592" i="6" s="1"/>
  <c r="J591" i="6"/>
  <c r="I591" i="6"/>
  <c r="G591" i="6"/>
  <c r="F591" i="6"/>
  <c r="H591" i="6" s="1"/>
  <c r="G590" i="6"/>
  <c r="F590" i="6"/>
  <c r="J589" i="6"/>
  <c r="I589" i="6"/>
  <c r="H589" i="6"/>
  <c r="G589" i="6"/>
  <c r="F589" i="6"/>
  <c r="G588" i="6"/>
  <c r="F588" i="6"/>
  <c r="J588" i="6" s="1"/>
  <c r="J587" i="6"/>
  <c r="I587" i="6"/>
  <c r="G587" i="6"/>
  <c r="F587" i="6"/>
  <c r="H587" i="6" s="1"/>
  <c r="G586" i="6"/>
  <c r="F586" i="6"/>
  <c r="J585" i="6"/>
  <c r="I585" i="6"/>
  <c r="H585" i="6"/>
  <c r="G585" i="6"/>
  <c r="F585" i="6"/>
  <c r="G584" i="6"/>
  <c r="F584" i="6"/>
  <c r="J584" i="6" s="1"/>
  <c r="J583" i="6"/>
  <c r="I583" i="6"/>
  <c r="G583" i="6"/>
  <c r="F583" i="6"/>
  <c r="H583" i="6" s="1"/>
  <c r="G582" i="6"/>
  <c r="F582" i="6"/>
  <c r="J581" i="6"/>
  <c r="I581" i="6"/>
  <c r="H581" i="6"/>
  <c r="G581" i="6"/>
  <c r="F581" i="6"/>
  <c r="G580" i="6"/>
  <c r="F580" i="6"/>
  <c r="J580" i="6" s="1"/>
  <c r="J579" i="6"/>
  <c r="I579" i="6"/>
  <c r="G579" i="6"/>
  <c r="F579" i="6"/>
  <c r="H579" i="6" s="1"/>
  <c r="G578" i="6"/>
  <c r="F578" i="6"/>
  <c r="J577" i="6"/>
  <c r="I577" i="6"/>
  <c r="H577" i="6"/>
  <c r="G577" i="6"/>
  <c r="F577" i="6"/>
  <c r="G576" i="6"/>
  <c r="F576" i="6"/>
  <c r="J576" i="6" s="1"/>
  <c r="J575" i="6"/>
  <c r="I575" i="6"/>
  <c r="G575" i="6"/>
  <c r="F575" i="6"/>
  <c r="H575" i="6" s="1"/>
  <c r="G574" i="6"/>
  <c r="F574" i="6"/>
  <c r="J573" i="6"/>
  <c r="I573" i="6"/>
  <c r="H573" i="6"/>
  <c r="G573" i="6"/>
  <c r="F573" i="6"/>
  <c r="G572" i="6"/>
  <c r="F572" i="6"/>
  <c r="J572" i="6" s="1"/>
  <c r="J571" i="6"/>
  <c r="I571" i="6"/>
  <c r="G571" i="6"/>
  <c r="F571" i="6"/>
  <c r="H571" i="6" s="1"/>
  <c r="G570" i="6"/>
  <c r="F570" i="6"/>
  <c r="J569" i="6"/>
  <c r="I569" i="6"/>
  <c r="H569" i="6"/>
  <c r="G569" i="6"/>
  <c r="F569" i="6"/>
  <c r="G568" i="6"/>
  <c r="F568" i="6"/>
  <c r="J568" i="6" s="1"/>
  <c r="J567" i="6"/>
  <c r="I567" i="6"/>
  <c r="G567" i="6"/>
  <c r="F567" i="6"/>
  <c r="H567" i="6" s="1"/>
  <c r="G566" i="6"/>
  <c r="F566" i="6"/>
  <c r="J565" i="6"/>
  <c r="I565" i="6"/>
  <c r="H565" i="6"/>
  <c r="G565" i="6"/>
  <c r="F565" i="6"/>
  <c r="G564" i="6"/>
  <c r="F564" i="6"/>
  <c r="J564" i="6" s="1"/>
  <c r="J563" i="6"/>
  <c r="I563" i="6"/>
  <c r="G563" i="6"/>
  <c r="F563" i="6"/>
  <c r="H563" i="6" s="1"/>
  <c r="G562" i="6"/>
  <c r="F562" i="6"/>
  <c r="J561" i="6"/>
  <c r="I561" i="6"/>
  <c r="H561" i="6"/>
  <c r="G561" i="6"/>
  <c r="F561" i="6"/>
  <c r="G560" i="6"/>
  <c r="F560" i="6"/>
  <c r="J560" i="6" s="1"/>
  <c r="J559" i="6"/>
  <c r="I559" i="6"/>
  <c r="G559" i="6"/>
  <c r="F559" i="6"/>
  <c r="H559" i="6" s="1"/>
  <c r="G558" i="6"/>
  <c r="F558" i="6"/>
  <c r="J557" i="6"/>
  <c r="I557" i="6"/>
  <c r="H557" i="6"/>
  <c r="G557" i="6"/>
  <c r="F557" i="6"/>
  <c r="G556" i="6"/>
  <c r="F556" i="6"/>
  <c r="J556" i="6" s="1"/>
  <c r="J555" i="6"/>
  <c r="I555" i="6"/>
  <c r="G555" i="6"/>
  <c r="F555" i="6"/>
  <c r="H555" i="6" s="1"/>
  <c r="G554" i="6"/>
  <c r="F554" i="6"/>
  <c r="J553" i="6"/>
  <c r="I553" i="6"/>
  <c r="H553" i="6"/>
  <c r="G553" i="6"/>
  <c r="F553" i="6"/>
  <c r="G552" i="6"/>
  <c r="F552" i="6"/>
  <c r="J552" i="6" s="1"/>
  <c r="J551" i="6"/>
  <c r="I551" i="6"/>
  <c r="G551" i="6"/>
  <c r="F551" i="6"/>
  <c r="H551" i="6" s="1"/>
  <c r="G550" i="6"/>
  <c r="F550" i="6"/>
  <c r="G549" i="6"/>
  <c r="F549" i="6"/>
  <c r="H549" i="6" s="1"/>
  <c r="I549" i="6" s="1"/>
  <c r="G548" i="6"/>
  <c r="F548" i="6"/>
  <c r="G547" i="6"/>
  <c r="F547" i="6"/>
  <c r="H547" i="6" s="1"/>
  <c r="I547" i="6" s="1"/>
  <c r="G546" i="6"/>
  <c r="F546" i="6"/>
  <c r="G545" i="6"/>
  <c r="F545" i="6"/>
  <c r="G544" i="6"/>
  <c r="F544" i="6"/>
  <c r="G543" i="6"/>
  <c r="F543" i="6"/>
  <c r="H543" i="6" s="1"/>
  <c r="I543" i="6" s="1"/>
  <c r="G542" i="6"/>
  <c r="F542" i="6"/>
  <c r="G541" i="6"/>
  <c r="F541" i="6"/>
  <c r="G540" i="6"/>
  <c r="F540" i="6"/>
  <c r="G539" i="6"/>
  <c r="F539" i="6"/>
  <c r="H539" i="6" s="1"/>
  <c r="G538" i="6"/>
  <c r="F538" i="6"/>
  <c r="G537" i="6"/>
  <c r="F537" i="6"/>
  <c r="G536" i="6"/>
  <c r="F536" i="6"/>
  <c r="G535" i="6"/>
  <c r="F535" i="6"/>
  <c r="H535" i="6" s="1"/>
  <c r="G534" i="6"/>
  <c r="F534" i="6"/>
  <c r="G533" i="6"/>
  <c r="F533" i="6"/>
  <c r="G532" i="6"/>
  <c r="F532" i="6"/>
  <c r="G531" i="6"/>
  <c r="F531" i="6"/>
  <c r="H531" i="6" s="1"/>
  <c r="I531" i="6" s="1"/>
  <c r="G530" i="6"/>
  <c r="F530" i="6"/>
  <c r="G529" i="6"/>
  <c r="F529" i="6"/>
  <c r="G528" i="6"/>
  <c r="F528" i="6"/>
  <c r="G527" i="6"/>
  <c r="F527" i="6"/>
  <c r="H527" i="6" s="1"/>
  <c r="I527" i="6" s="1"/>
  <c r="G526" i="6"/>
  <c r="F526" i="6"/>
  <c r="H525" i="6"/>
  <c r="G525" i="6"/>
  <c r="F525" i="6"/>
  <c r="G524" i="6"/>
  <c r="F524" i="6"/>
  <c r="G523" i="6"/>
  <c r="F523" i="6"/>
  <c r="H523" i="6" s="1"/>
  <c r="I523" i="6" s="1"/>
  <c r="G522" i="6"/>
  <c r="F522" i="6"/>
  <c r="H521" i="6"/>
  <c r="I521" i="6" s="1"/>
  <c r="G521" i="6"/>
  <c r="F521" i="6"/>
  <c r="G520" i="6"/>
  <c r="F520" i="6"/>
  <c r="G519" i="6"/>
  <c r="F519" i="6"/>
  <c r="H519" i="6" s="1"/>
  <c r="G518" i="6"/>
  <c r="F518" i="6"/>
  <c r="G517" i="6"/>
  <c r="F517" i="6"/>
  <c r="H517" i="6" s="1"/>
  <c r="I517" i="6" s="1"/>
  <c r="G516" i="6"/>
  <c r="F516" i="6"/>
  <c r="G515" i="6"/>
  <c r="F515" i="6"/>
  <c r="H515" i="6" s="1"/>
  <c r="I515" i="6" s="1"/>
  <c r="G514" i="6"/>
  <c r="F514" i="6"/>
  <c r="G513" i="6"/>
  <c r="F513" i="6"/>
  <c r="G512" i="6"/>
  <c r="F512" i="6"/>
  <c r="G511" i="6"/>
  <c r="F511" i="6"/>
  <c r="H511" i="6" s="1"/>
  <c r="G510" i="6"/>
  <c r="F510" i="6"/>
  <c r="H509" i="6"/>
  <c r="I509" i="6" s="1"/>
  <c r="G509" i="6"/>
  <c r="F509" i="6"/>
  <c r="G508" i="6"/>
  <c r="F508" i="6"/>
  <c r="G507" i="6"/>
  <c r="F507" i="6"/>
  <c r="H507" i="6" s="1"/>
  <c r="G506" i="6"/>
  <c r="F506" i="6"/>
  <c r="H505" i="6"/>
  <c r="I505" i="6" s="1"/>
  <c r="G505" i="6"/>
  <c r="F505" i="6"/>
  <c r="G504" i="6"/>
  <c r="F504" i="6"/>
  <c r="G503" i="6"/>
  <c r="F503" i="6"/>
  <c r="H503" i="6" s="1"/>
  <c r="I503" i="6" s="1"/>
  <c r="G502" i="6"/>
  <c r="F502" i="6"/>
  <c r="G501" i="6"/>
  <c r="F501" i="6"/>
  <c r="H501" i="6" s="1"/>
  <c r="I501" i="6" s="1"/>
  <c r="G500" i="6"/>
  <c r="F500" i="6"/>
  <c r="G499" i="6"/>
  <c r="F499" i="6"/>
  <c r="H499" i="6" s="1"/>
  <c r="I499" i="6" s="1"/>
  <c r="G498" i="6"/>
  <c r="F498" i="6"/>
  <c r="G497" i="6"/>
  <c r="F497" i="6"/>
  <c r="H497" i="6" s="1"/>
  <c r="I497" i="6" s="1"/>
  <c r="G496" i="6"/>
  <c r="F496" i="6"/>
  <c r="G495" i="6"/>
  <c r="F495" i="6"/>
  <c r="H495" i="6" s="1"/>
  <c r="I495" i="6" s="1"/>
  <c r="G494" i="6"/>
  <c r="F494" i="6"/>
  <c r="G493" i="6"/>
  <c r="F493" i="6"/>
  <c r="H493" i="6" s="1"/>
  <c r="I493" i="6" s="1"/>
  <c r="G492" i="6"/>
  <c r="F492" i="6"/>
  <c r="G491" i="6"/>
  <c r="F491" i="6"/>
  <c r="H491" i="6" s="1"/>
  <c r="I491" i="6" s="1"/>
  <c r="G490" i="6"/>
  <c r="F490" i="6"/>
  <c r="H489" i="6"/>
  <c r="I489" i="6" s="1"/>
  <c r="G489" i="6"/>
  <c r="F489" i="6"/>
  <c r="G488" i="6"/>
  <c r="F488" i="6"/>
  <c r="G487" i="6"/>
  <c r="F487" i="6"/>
  <c r="H487" i="6" s="1"/>
  <c r="I487" i="6" s="1"/>
  <c r="G486" i="6"/>
  <c r="F486" i="6"/>
  <c r="H485" i="6"/>
  <c r="I485" i="6" s="1"/>
  <c r="G485" i="6"/>
  <c r="F485" i="6"/>
  <c r="G484" i="6"/>
  <c r="F484" i="6"/>
  <c r="G483" i="6"/>
  <c r="F483" i="6"/>
  <c r="H483" i="6" s="1"/>
  <c r="I483" i="6" s="1"/>
  <c r="G482" i="6"/>
  <c r="F482" i="6"/>
  <c r="G481" i="6"/>
  <c r="F481" i="6"/>
  <c r="H481" i="6" s="1"/>
  <c r="I481" i="6" s="1"/>
  <c r="G480" i="6"/>
  <c r="F480" i="6"/>
  <c r="G479" i="6"/>
  <c r="F479" i="6"/>
  <c r="H479" i="6" s="1"/>
  <c r="I479" i="6" s="1"/>
  <c r="G478" i="6"/>
  <c r="F478" i="6"/>
  <c r="G477" i="6"/>
  <c r="F477" i="6"/>
  <c r="H477" i="6" s="1"/>
  <c r="I477" i="6" s="1"/>
  <c r="G476" i="6"/>
  <c r="F476" i="6"/>
  <c r="G475" i="6"/>
  <c r="F475" i="6"/>
  <c r="H475" i="6" s="1"/>
  <c r="I475" i="6" s="1"/>
  <c r="G474" i="6"/>
  <c r="F474" i="6"/>
  <c r="H473" i="6"/>
  <c r="I473" i="6" s="1"/>
  <c r="G473" i="6"/>
  <c r="F473" i="6"/>
  <c r="G472" i="6"/>
  <c r="F472" i="6"/>
  <c r="G471" i="6"/>
  <c r="F471" i="6"/>
  <c r="H471" i="6" s="1"/>
  <c r="I471" i="6" s="1"/>
  <c r="G470" i="6"/>
  <c r="F470" i="6"/>
  <c r="H469" i="6"/>
  <c r="I469" i="6" s="1"/>
  <c r="G469" i="6"/>
  <c r="F469" i="6"/>
  <c r="G468" i="6"/>
  <c r="F468" i="6"/>
  <c r="G467" i="6"/>
  <c r="F467" i="6"/>
  <c r="H467" i="6" s="1"/>
  <c r="I467" i="6" s="1"/>
  <c r="G466" i="6"/>
  <c r="F466" i="6"/>
  <c r="G465" i="6"/>
  <c r="F465" i="6"/>
  <c r="H465" i="6" s="1"/>
  <c r="I465" i="6" s="1"/>
  <c r="G464" i="6"/>
  <c r="F464" i="6"/>
  <c r="G463" i="6"/>
  <c r="F463" i="6"/>
  <c r="H463" i="6" s="1"/>
  <c r="I463" i="6" s="1"/>
  <c r="G462" i="6"/>
  <c r="F462" i="6"/>
  <c r="G461" i="6"/>
  <c r="F461" i="6"/>
  <c r="H461" i="6" s="1"/>
  <c r="G460" i="6"/>
  <c r="F460" i="6"/>
  <c r="G459" i="6"/>
  <c r="F459" i="6"/>
  <c r="H459" i="6" s="1"/>
  <c r="I459" i="6" s="1"/>
  <c r="G458" i="6"/>
  <c r="F458" i="6"/>
  <c r="G457" i="6"/>
  <c r="F457" i="6"/>
  <c r="G456" i="6"/>
  <c r="F456" i="6"/>
  <c r="H456" i="6" s="1"/>
  <c r="G455" i="6"/>
  <c r="F455" i="6"/>
  <c r="H455" i="6" s="1"/>
  <c r="I455" i="6" s="1"/>
  <c r="G454" i="6"/>
  <c r="F454" i="6"/>
  <c r="H454" i="6" s="1"/>
  <c r="I454" i="6" s="1"/>
  <c r="G453" i="6"/>
  <c r="F453" i="6"/>
  <c r="H453" i="6" s="1"/>
  <c r="I453" i="6" s="1"/>
  <c r="G452" i="6"/>
  <c r="F452" i="6"/>
  <c r="H452" i="6" s="1"/>
  <c r="G451" i="6"/>
  <c r="F451" i="6"/>
  <c r="H451" i="6" s="1"/>
  <c r="I451" i="6" s="1"/>
  <c r="G450" i="6"/>
  <c r="F450" i="6"/>
  <c r="H450" i="6" s="1"/>
  <c r="G449" i="6"/>
  <c r="F449" i="6"/>
  <c r="G448" i="6"/>
  <c r="F448" i="6"/>
  <c r="H448" i="6" s="1"/>
  <c r="G447" i="6"/>
  <c r="F447" i="6"/>
  <c r="H447" i="6" s="1"/>
  <c r="I447" i="6" s="1"/>
  <c r="G446" i="6"/>
  <c r="F446" i="6"/>
  <c r="G445" i="6"/>
  <c r="F445" i="6"/>
  <c r="G444" i="6"/>
  <c r="F444" i="6"/>
  <c r="H444" i="6" s="1"/>
  <c r="I444" i="6" s="1"/>
  <c r="G443" i="6"/>
  <c r="F443" i="6"/>
  <c r="H443" i="6" s="1"/>
  <c r="I443" i="6" s="1"/>
  <c r="G442" i="6"/>
  <c r="F442" i="6"/>
  <c r="H442" i="6" s="1"/>
  <c r="G441" i="6"/>
  <c r="F441" i="6"/>
  <c r="G440" i="6"/>
  <c r="F440" i="6"/>
  <c r="H440" i="6" s="1"/>
  <c r="G439" i="6"/>
  <c r="F439" i="6"/>
  <c r="H439" i="6" s="1"/>
  <c r="I439" i="6" s="1"/>
  <c r="G438" i="6"/>
  <c r="F438" i="6"/>
  <c r="H438" i="6" s="1"/>
  <c r="G437" i="6"/>
  <c r="F437" i="6"/>
  <c r="H437" i="6" s="1"/>
  <c r="I437" i="6" s="1"/>
  <c r="G436" i="6"/>
  <c r="F436" i="6"/>
  <c r="G435" i="6"/>
  <c r="F435" i="6"/>
  <c r="H435" i="6" s="1"/>
  <c r="I435" i="6" s="1"/>
  <c r="G434" i="6"/>
  <c r="F434" i="6"/>
  <c r="H434" i="6" s="1"/>
  <c r="I434" i="6" s="1"/>
  <c r="G433" i="6"/>
  <c r="F433" i="6"/>
  <c r="G432" i="6"/>
  <c r="F432" i="6"/>
  <c r="H432" i="6" s="1"/>
  <c r="G431" i="6"/>
  <c r="F431" i="6"/>
  <c r="H431" i="6" s="1"/>
  <c r="I431" i="6" s="1"/>
  <c r="G430" i="6"/>
  <c r="F430" i="6"/>
  <c r="H430" i="6" s="1"/>
  <c r="G429" i="6"/>
  <c r="F429" i="6"/>
  <c r="H429" i="6" s="1"/>
  <c r="I429" i="6" s="1"/>
  <c r="G428" i="6"/>
  <c r="F428" i="6"/>
  <c r="H428" i="6" s="1"/>
  <c r="G427" i="6"/>
  <c r="F427" i="6"/>
  <c r="H427" i="6" s="1"/>
  <c r="I427" i="6" s="1"/>
  <c r="G426" i="6"/>
  <c r="F426" i="6"/>
  <c r="H426" i="6" s="1"/>
  <c r="G425" i="6"/>
  <c r="F425" i="6"/>
  <c r="H425" i="6" s="1"/>
  <c r="I425" i="6" s="1"/>
  <c r="G424" i="6"/>
  <c r="F424" i="6"/>
  <c r="H424" i="6" s="1"/>
  <c r="G423" i="6"/>
  <c r="F423" i="6"/>
  <c r="H423" i="6" s="1"/>
  <c r="I423" i="6" s="1"/>
  <c r="G422" i="6"/>
  <c r="F422" i="6"/>
  <c r="H422" i="6" s="1"/>
  <c r="G421" i="6"/>
  <c r="F421" i="6"/>
  <c r="G420" i="6"/>
  <c r="F420" i="6"/>
  <c r="H420" i="6" s="1"/>
  <c r="G419" i="6"/>
  <c r="F419" i="6"/>
  <c r="H419" i="6" s="1"/>
  <c r="I419" i="6" s="1"/>
  <c r="G418" i="6"/>
  <c r="F418" i="6"/>
  <c r="H418" i="6" s="1"/>
  <c r="G417" i="6"/>
  <c r="F417" i="6"/>
  <c r="H417" i="6" s="1"/>
  <c r="I417" i="6" s="1"/>
  <c r="G416" i="6"/>
  <c r="F416" i="6"/>
  <c r="H416" i="6" s="1"/>
  <c r="G415" i="6"/>
  <c r="F415" i="6"/>
  <c r="H415" i="6" s="1"/>
  <c r="I415" i="6" s="1"/>
  <c r="G414" i="6"/>
  <c r="F414" i="6"/>
  <c r="H414" i="6" s="1"/>
  <c r="G413" i="6"/>
  <c r="F413" i="6"/>
  <c r="H413" i="6" s="1"/>
  <c r="I413" i="6" s="1"/>
  <c r="G412" i="6"/>
  <c r="F412" i="6"/>
  <c r="H412" i="6" s="1"/>
  <c r="G411" i="6"/>
  <c r="F411" i="6"/>
  <c r="H411" i="6" s="1"/>
  <c r="I411" i="6" s="1"/>
  <c r="G410" i="6"/>
  <c r="F410" i="6"/>
  <c r="H410" i="6" s="1"/>
  <c r="G409" i="6"/>
  <c r="F409" i="6"/>
  <c r="H409" i="6" s="1"/>
  <c r="I409" i="6" s="1"/>
  <c r="G408" i="6"/>
  <c r="F408" i="6"/>
  <c r="H408" i="6" s="1"/>
  <c r="G407" i="6"/>
  <c r="F407" i="6"/>
  <c r="H407" i="6" s="1"/>
  <c r="I407" i="6" s="1"/>
  <c r="G406" i="6"/>
  <c r="F406" i="6"/>
  <c r="H406" i="6" s="1"/>
  <c r="G405" i="6"/>
  <c r="F405" i="6"/>
  <c r="H405" i="6" s="1"/>
  <c r="I405" i="6" s="1"/>
  <c r="G404" i="6"/>
  <c r="F404" i="6"/>
  <c r="H404" i="6" s="1"/>
  <c r="G403" i="6"/>
  <c r="F403" i="6"/>
  <c r="H403" i="6" s="1"/>
  <c r="I403" i="6" s="1"/>
  <c r="G402" i="6"/>
  <c r="F402" i="6"/>
  <c r="H402" i="6" s="1"/>
  <c r="G401" i="6"/>
  <c r="F401" i="6"/>
  <c r="H401" i="6" s="1"/>
  <c r="I401" i="6" s="1"/>
  <c r="G400" i="6"/>
  <c r="F400" i="6"/>
  <c r="H400" i="6" s="1"/>
  <c r="G399" i="6"/>
  <c r="F399" i="6"/>
  <c r="H399" i="6" s="1"/>
  <c r="I399" i="6" s="1"/>
  <c r="G398" i="6"/>
  <c r="F398" i="6"/>
  <c r="H398" i="6" s="1"/>
  <c r="G397" i="6"/>
  <c r="F397" i="6"/>
  <c r="H397" i="6" s="1"/>
  <c r="I397" i="6" s="1"/>
  <c r="G396" i="6"/>
  <c r="F396" i="6"/>
  <c r="H396" i="6" s="1"/>
  <c r="G395" i="6"/>
  <c r="F395" i="6"/>
  <c r="H395" i="6" s="1"/>
  <c r="I395" i="6" s="1"/>
  <c r="G394" i="6"/>
  <c r="F394" i="6"/>
  <c r="H394" i="6" s="1"/>
  <c r="G393" i="6"/>
  <c r="F393" i="6"/>
  <c r="H393" i="6" s="1"/>
  <c r="I393" i="6" s="1"/>
  <c r="G392" i="6"/>
  <c r="F392" i="6"/>
  <c r="H392" i="6" s="1"/>
  <c r="G391" i="6"/>
  <c r="F391" i="6"/>
  <c r="H391" i="6" s="1"/>
  <c r="I391" i="6" s="1"/>
  <c r="G390" i="6"/>
  <c r="F390" i="6"/>
  <c r="H390" i="6" s="1"/>
  <c r="G389" i="6"/>
  <c r="F389" i="6"/>
  <c r="H389" i="6" s="1"/>
  <c r="I389" i="6" s="1"/>
  <c r="G388" i="6"/>
  <c r="F388" i="6"/>
  <c r="H388" i="6" s="1"/>
  <c r="G387" i="6"/>
  <c r="F387" i="6"/>
  <c r="H387" i="6" s="1"/>
  <c r="I387" i="6" s="1"/>
  <c r="G386" i="6"/>
  <c r="F386" i="6"/>
  <c r="H386" i="6" s="1"/>
  <c r="G385" i="6"/>
  <c r="F385" i="6"/>
  <c r="H385" i="6" s="1"/>
  <c r="I385" i="6" s="1"/>
  <c r="G384" i="6"/>
  <c r="F384" i="6"/>
  <c r="H384" i="6" s="1"/>
  <c r="G383" i="6"/>
  <c r="F383" i="6"/>
  <c r="H383" i="6" s="1"/>
  <c r="I383" i="6" s="1"/>
  <c r="G382" i="6"/>
  <c r="F382" i="6"/>
  <c r="H382" i="6" s="1"/>
  <c r="G381" i="6"/>
  <c r="F381" i="6"/>
  <c r="H381" i="6" s="1"/>
  <c r="I381" i="6" s="1"/>
  <c r="G380" i="6"/>
  <c r="F380" i="6"/>
  <c r="H380" i="6" s="1"/>
  <c r="G379" i="6"/>
  <c r="F379" i="6"/>
  <c r="H379" i="6" s="1"/>
  <c r="I379" i="6" s="1"/>
  <c r="G378" i="6"/>
  <c r="F378" i="6"/>
  <c r="H378" i="6" s="1"/>
  <c r="G377" i="6"/>
  <c r="F377" i="6"/>
  <c r="H377" i="6" s="1"/>
  <c r="I377" i="6" s="1"/>
  <c r="G376" i="6"/>
  <c r="F376" i="6"/>
  <c r="H376" i="6" s="1"/>
  <c r="G375" i="6"/>
  <c r="F375" i="6"/>
  <c r="H375" i="6" s="1"/>
  <c r="I375" i="6" s="1"/>
  <c r="G374" i="6"/>
  <c r="F374" i="6"/>
  <c r="H374" i="6" s="1"/>
  <c r="G373" i="6"/>
  <c r="F373" i="6"/>
  <c r="H373" i="6" s="1"/>
  <c r="I373" i="6" s="1"/>
  <c r="G372" i="6"/>
  <c r="F372" i="6"/>
  <c r="H372" i="6" s="1"/>
  <c r="G371" i="6"/>
  <c r="F371" i="6"/>
  <c r="H371" i="6" s="1"/>
  <c r="I371" i="6" s="1"/>
  <c r="G370" i="6"/>
  <c r="F370" i="6"/>
  <c r="H370" i="6" s="1"/>
  <c r="G369" i="6"/>
  <c r="F369" i="6"/>
  <c r="H369" i="6" s="1"/>
  <c r="I369" i="6" s="1"/>
  <c r="G368" i="6"/>
  <c r="F368" i="6"/>
  <c r="H368" i="6" s="1"/>
  <c r="G367" i="6"/>
  <c r="F367" i="6"/>
  <c r="H367" i="6" s="1"/>
  <c r="I367" i="6" s="1"/>
  <c r="G366" i="6"/>
  <c r="F366" i="6"/>
  <c r="H366" i="6" s="1"/>
  <c r="G365" i="6"/>
  <c r="F365" i="6"/>
  <c r="H365" i="6" s="1"/>
  <c r="I365" i="6" s="1"/>
  <c r="G364" i="6"/>
  <c r="F364" i="6"/>
  <c r="H364" i="6" s="1"/>
  <c r="G363" i="6"/>
  <c r="F363" i="6"/>
  <c r="H363" i="6" s="1"/>
  <c r="I363" i="6" s="1"/>
  <c r="G362" i="6"/>
  <c r="F362" i="6"/>
  <c r="H362" i="6" s="1"/>
  <c r="G361" i="6"/>
  <c r="F361" i="6"/>
  <c r="H361" i="6" s="1"/>
  <c r="I361" i="6" s="1"/>
  <c r="G360" i="6"/>
  <c r="F360" i="6"/>
  <c r="H360" i="6" s="1"/>
  <c r="G359" i="6"/>
  <c r="F359" i="6"/>
  <c r="H359" i="6" s="1"/>
  <c r="I359" i="6" s="1"/>
  <c r="G358" i="6"/>
  <c r="F358" i="6"/>
  <c r="H358" i="6" s="1"/>
  <c r="G357" i="6"/>
  <c r="F357" i="6"/>
  <c r="H357" i="6" s="1"/>
  <c r="I357" i="6" s="1"/>
  <c r="G356" i="6"/>
  <c r="F356" i="6"/>
  <c r="H356" i="6" s="1"/>
  <c r="G355" i="6"/>
  <c r="F355" i="6"/>
  <c r="H355" i="6" s="1"/>
  <c r="I355" i="6" s="1"/>
  <c r="G354" i="6"/>
  <c r="F354" i="6"/>
  <c r="H354" i="6" s="1"/>
  <c r="G353" i="6"/>
  <c r="F353" i="6"/>
  <c r="H353" i="6" s="1"/>
  <c r="I353" i="6" s="1"/>
  <c r="G352" i="6"/>
  <c r="F352" i="6"/>
  <c r="H352" i="6" s="1"/>
  <c r="G351" i="6"/>
  <c r="F351" i="6"/>
  <c r="H351" i="6" s="1"/>
  <c r="I351" i="6" s="1"/>
  <c r="G350" i="6"/>
  <c r="F350" i="6"/>
  <c r="H350" i="6" s="1"/>
  <c r="G349" i="6"/>
  <c r="F349" i="6"/>
  <c r="H349" i="6" s="1"/>
  <c r="I349" i="6" s="1"/>
  <c r="G348" i="6"/>
  <c r="F348" i="6"/>
  <c r="H348" i="6" s="1"/>
  <c r="G347" i="6"/>
  <c r="F347" i="6"/>
  <c r="H347" i="6" s="1"/>
  <c r="I347" i="6" s="1"/>
  <c r="G346" i="6"/>
  <c r="F346" i="6"/>
  <c r="H346" i="6" s="1"/>
  <c r="G345" i="6"/>
  <c r="F345" i="6"/>
  <c r="H345" i="6" s="1"/>
  <c r="I345" i="6" s="1"/>
  <c r="G344" i="6"/>
  <c r="F344" i="6"/>
  <c r="H344" i="6" s="1"/>
  <c r="G343" i="6"/>
  <c r="F343" i="6"/>
  <c r="H343" i="6" s="1"/>
  <c r="I343" i="6" s="1"/>
  <c r="G342" i="6"/>
  <c r="F342" i="6"/>
  <c r="H342" i="6" s="1"/>
  <c r="G341" i="6"/>
  <c r="F341" i="6"/>
  <c r="H341" i="6" s="1"/>
  <c r="I341" i="6" s="1"/>
  <c r="G340" i="6"/>
  <c r="F340" i="6"/>
  <c r="H340" i="6" s="1"/>
  <c r="G339" i="6"/>
  <c r="F339" i="6"/>
  <c r="H339" i="6" s="1"/>
  <c r="I339" i="6" s="1"/>
  <c r="G338" i="6"/>
  <c r="F338" i="6"/>
  <c r="H338" i="6" s="1"/>
  <c r="G337" i="6"/>
  <c r="F337" i="6"/>
  <c r="H337" i="6" s="1"/>
  <c r="I337" i="6" s="1"/>
  <c r="G336" i="6"/>
  <c r="F336" i="6"/>
  <c r="H336" i="6" s="1"/>
  <c r="G335" i="6"/>
  <c r="F335" i="6"/>
  <c r="H335" i="6" s="1"/>
  <c r="I335" i="6" s="1"/>
  <c r="G334" i="6"/>
  <c r="F334" i="6"/>
  <c r="H334" i="6" s="1"/>
  <c r="G333" i="6"/>
  <c r="F333" i="6"/>
  <c r="H333" i="6" s="1"/>
  <c r="I333" i="6" s="1"/>
  <c r="G332" i="6"/>
  <c r="F332" i="6"/>
  <c r="H332" i="6" s="1"/>
  <c r="G331" i="6"/>
  <c r="F331" i="6"/>
  <c r="H331" i="6" s="1"/>
  <c r="I331" i="6" s="1"/>
  <c r="G330" i="6"/>
  <c r="F330" i="6"/>
  <c r="H330" i="6" s="1"/>
  <c r="G329" i="6"/>
  <c r="F329" i="6"/>
  <c r="H329" i="6" s="1"/>
  <c r="I329" i="6" s="1"/>
  <c r="G328" i="6"/>
  <c r="F328" i="6"/>
  <c r="H328" i="6" s="1"/>
  <c r="G327" i="6"/>
  <c r="F327" i="6"/>
  <c r="H327" i="6" s="1"/>
  <c r="I327" i="6" s="1"/>
  <c r="G326" i="6"/>
  <c r="F326" i="6"/>
  <c r="H326" i="6" s="1"/>
  <c r="G325" i="6"/>
  <c r="F325" i="6"/>
  <c r="H325" i="6" s="1"/>
  <c r="I325" i="6" s="1"/>
  <c r="G324" i="6"/>
  <c r="F324" i="6"/>
  <c r="H324" i="6" s="1"/>
  <c r="G323" i="6"/>
  <c r="F323" i="6"/>
  <c r="H323" i="6" s="1"/>
  <c r="I323" i="6" s="1"/>
  <c r="G322" i="6"/>
  <c r="F322" i="6"/>
  <c r="H322" i="6" s="1"/>
  <c r="G321" i="6"/>
  <c r="F321" i="6"/>
  <c r="H321" i="6" s="1"/>
  <c r="I321" i="6" s="1"/>
  <c r="G320" i="6"/>
  <c r="F320" i="6"/>
  <c r="H320" i="6" s="1"/>
  <c r="G319" i="6"/>
  <c r="F319" i="6"/>
  <c r="H319" i="6" s="1"/>
  <c r="I319" i="6" s="1"/>
  <c r="G318" i="6"/>
  <c r="F318" i="6"/>
  <c r="H318" i="6" s="1"/>
  <c r="G317" i="6"/>
  <c r="F317" i="6"/>
  <c r="H317" i="6" s="1"/>
  <c r="I317" i="6" s="1"/>
  <c r="G316" i="6"/>
  <c r="F316" i="6"/>
  <c r="H316" i="6" s="1"/>
  <c r="G315" i="6"/>
  <c r="F315" i="6"/>
  <c r="H315" i="6" s="1"/>
  <c r="I315" i="6" s="1"/>
  <c r="G314" i="6"/>
  <c r="F314" i="6"/>
  <c r="H314" i="6" s="1"/>
  <c r="G313" i="6"/>
  <c r="F313" i="6"/>
  <c r="H313" i="6" s="1"/>
  <c r="I313" i="6" s="1"/>
  <c r="G312" i="6"/>
  <c r="F312" i="6"/>
  <c r="H312" i="6" s="1"/>
  <c r="G311" i="6"/>
  <c r="F311" i="6"/>
  <c r="H311" i="6" s="1"/>
  <c r="I311" i="6" s="1"/>
  <c r="G310" i="6"/>
  <c r="F310" i="6"/>
  <c r="H310" i="6" s="1"/>
  <c r="G309" i="6"/>
  <c r="F309" i="6"/>
  <c r="H309" i="6" s="1"/>
  <c r="I309" i="6" s="1"/>
  <c r="G308" i="6"/>
  <c r="F308" i="6"/>
  <c r="H308" i="6" s="1"/>
  <c r="G307" i="6"/>
  <c r="F307" i="6"/>
  <c r="H307" i="6" s="1"/>
  <c r="I307" i="6" s="1"/>
  <c r="G306" i="6"/>
  <c r="F306" i="6"/>
  <c r="H306" i="6" s="1"/>
  <c r="G305" i="6"/>
  <c r="F305" i="6"/>
  <c r="H305" i="6" s="1"/>
  <c r="I305" i="6" s="1"/>
  <c r="G304" i="6"/>
  <c r="F304" i="6"/>
  <c r="H304" i="6" s="1"/>
  <c r="G303" i="6"/>
  <c r="F303" i="6"/>
  <c r="H303" i="6" s="1"/>
  <c r="I303" i="6" s="1"/>
  <c r="G302" i="6"/>
  <c r="F302" i="6"/>
  <c r="H302" i="6" s="1"/>
  <c r="G301" i="6"/>
  <c r="F301" i="6"/>
  <c r="H301" i="6" s="1"/>
  <c r="I301" i="6" s="1"/>
  <c r="G300" i="6"/>
  <c r="F300" i="6"/>
  <c r="H300" i="6" s="1"/>
  <c r="G299" i="6"/>
  <c r="F299" i="6"/>
  <c r="H299" i="6" s="1"/>
  <c r="I299" i="6" s="1"/>
  <c r="G298" i="6"/>
  <c r="F298" i="6"/>
  <c r="H298" i="6" s="1"/>
  <c r="G297" i="6"/>
  <c r="F297" i="6"/>
  <c r="H297" i="6" s="1"/>
  <c r="I297" i="6" s="1"/>
  <c r="G296" i="6"/>
  <c r="F296" i="6"/>
  <c r="H296" i="6" s="1"/>
  <c r="G295" i="6"/>
  <c r="F295" i="6"/>
  <c r="H295" i="6" s="1"/>
  <c r="I295" i="6" s="1"/>
  <c r="G294" i="6"/>
  <c r="F294" i="6"/>
  <c r="H294" i="6" s="1"/>
  <c r="G293" i="6"/>
  <c r="F293" i="6"/>
  <c r="H293" i="6" s="1"/>
  <c r="I293" i="6" s="1"/>
  <c r="G292" i="6"/>
  <c r="F292" i="6"/>
  <c r="H292" i="6" s="1"/>
  <c r="G291" i="6"/>
  <c r="F291" i="6"/>
  <c r="H291" i="6" s="1"/>
  <c r="I291" i="6" s="1"/>
  <c r="G290" i="6"/>
  <c r="F290" i="6"/>
  <c r="H290" i="6" s="1"/>
  <c r="G289" i="6"/>
  <c r="F289" i="6"/>
  <c r="H289" i="6" s="1"/>
  <c r="I289" i="6" s="1"/>
  <c r="G288" i="6"/>
  <c r="F288" i="6"/>
  <c r="H288" i="6" s="1"/>
  <c r="G287" i="6"/>
  <c r="F287" i="6"/>
  <c r="H287" i="6" s="1"/>
  <c r="I287" i="6" s="1"/>
  <c r="G286" i="6"/>
  <c r="F286" i="6"/>
  <c r="H286" i="6" s="1"/>
  <c r="G285" i="6"/>
  <c r="F285" i="6"/>
  <c r="H285" i="6" s="1"/>
  <c r="I285" i="6" s="1"/>
  <c r="G284" i="6"/>
  <c r="F284" i="6"/>
  <c r="H284" i="6" s="1"/>
  <c r="G283" i="6"/>
  <c r="F283" i="6"/>
  <c r="H283" i="6" s="1"/>
  <c r="I283" i="6" s="1"/>
  <c r="G282" i="6"/>
  <c r="F282" i="6"/>
  <c r="H282" i="6" s="1"/>
  <c r="G281" i="6"/>
  <c r="F281" i="6"/>
  <c r="H281" i="6" s="1"/>
  <c r="I281" i="6" s="1"/>
  <c r="G280" i="6"/>
  <c r="F280" i="6"/>
  <c r="H280" i="6" s="1"/>
  <c r="G279" i="6"/>
  <c r="F279" i="6"/>
  <c r="H279" i="6" s="1"/>
  <c r="I279" i="6" s="1"/>
  <c r="G278" i="6"/>
  <c r="F278" i="6"/>
  <c r="H278" i="6" s="1"/>
  <c r="G277" i="6"/>
  <c r="F277" i="6"/>
  <c r="H277" i="6" s="1"/>
  <c r="I277" i="6" s="1"/>
  <c r="G276" i="6"/>
  <c r="F276" i="6"/>
  <c r="H276" i="6" s="1"/>
  <c r="G275" i="6"/>
  <c r="F275" i="6"/>
  <c r="H275" i="6" s="1"/>
  <c r="I275" i="6" s="1"/>
  <c r="G274" i="6"/>
  <c r="F274" i="6"/>
  <c r="H274" i="6" s="1"/>
  <c r="G273" i="6"/>
  <c r="F273" i="6"/>
  <c r="H273" i="6" s="1"/>
  <c r="I273" i="6" s="1"/>
  <c r="G272" i="6"/>
  <c r="F272" i="6"/>
  <c r="H272" i="6" s="1"/>
  <c r="G271" i="6"/>
  <c r="F271" i="6"/>
  <c r="H271" i="6" s="1"/>
  <c r="I271" i="6" s="1"/>
  <c r="G270" i="6"/>
  <c r="F270" i="6"/>
  <c r="H270" i="6" s="1"/>
  <c r="G269" i="6"/>
  <c r="F269" i="6"/>
  <c r="H269" i="6" s="1"/>
  <c r="I269" i="6" s="1"/>
  <c r="G268" i="6"/>
  <c r="F268" i="6"/>
  <c r="H268" i="6" s="1"/>
  <c r="G267" i="6"/>
  <c r="F267" i="6"/>
  <c r="H267" i="6" s="1"/>
  <c r="I267" i="6" s="1"/>
  <c r="G266" i="6"/>
  <c r="F266" i="6"/>
  <c r="H266" i="6" s="1"/>
  <c r="G265" i="6"/>
  <c r="F265" i="6"/>
  <c r="H265" i="6" s="1"/>
  <c r="I265" i="6" s="1"/>
  <c r="G264" i="6"/>
  <c r="F264" i="6"/>
  <c r="H264" i="6" s="1"/>
  <c r="G263" i="6"/>
  <c r="F263" i="6"/>
  <c r="H263" i="6" s="1"/>
  <c r="I263" i="6" s="1"/>
  <c r="G262" i="6"/>
  <c r="F262" i="6"/>
  <c r="H262" i="6" s="1"/>
  <c r="G261" i="6"/>
  <c r="F261" i="6"/>
  <c r="H261" i="6" s="1"/>
  <c r="I261" i="6" s="1"/>
  <c r="G260" i="6"/>
  <c r="F260" i="6"/>
  <c r="H260" i="6" s="1"/>
  <c r="G259" i="6"/>
  <c r="F259" i="6"/>
  <c r="H259" i="6" s="1"/>
  <c r="I259" i="6" s="1"/>
  <c r="G258" i="6"/>
  <c r="F258" i="6"/>
  <c r="H258" i="6" s="1"/>
  <c r="G257" i="6"/>
  <c r="F257" i="6"/>
  <c r="H257" i="6" s="1"/>
  <c r="I257" i="6" s="1"/>
  <c r="G256" i="6"/>
  <c r="F256" i="6"/>
  <c r="H256" i="6" s="1"/>
  <c r="G255" i="6"/>
  <c r="F255" i="6"/>
  <c r="H255" i="6" s="1"/>
  <c r="I255" i="6" s="1"/>
  <c r="G254" i="6"/>
  <c r="F254" i="6"/>
  <c r="H254" i="6" s="1"/>
  <c r="G253" i="6"/>
  <c r="F253" i="6"/>
  <c r="H253" i="6" s="1"/>
  <c r="I253" i="6" s="1"/>
  <c r="G252" i="6"/>
  <c r="F252" i="6"/>
  <c r="H252" i="6" s="1"/>
  <c r="G251" i="6"/>
  <c r="F251" i="6"/>
  <c r="H251" i="6" s="1"/>
  <c r="I251" i="6" s="1"/>
  <c r="G250" i="6"/>
  <c r="F250" i="6"/>
  <c r="H250" i="6" s="1"/>
  <c r="G249" i="6"/>
  <c r="F249" i="6"/>
  <c r="H249" i="6" s="1"/>
  <c r="I249" i="6" s="1"/>
  <c r="G248" i="6"/>
  <c r="F248" i="6"/>
  <c r="H248" i="6" s="1"/>
  <c r="G247" i="6"/>
  <c r="F247" i="6"/>
  <c r="H247" i="6" s="1"/>
  <c r="I247" i="6" s="1"/>
  <c r="G246" i="6"/>
  <c r="F246" i="6"/>
  <c r="H246" i="6" s="1"/>
  <c r="G245" i="6"/>
  <c r="F245" i="6"/>
  <c r="H245" i="6" s="1"/>
  <c r="I245" i="6" s="1"/>
  <c r="G244" i="6"/>
  <c r="F244" i="6"/>
  <c r="H244" i="6" s="1"/>
  <c r="G243" i="6"/>
  <c r="F243" i="6"/>
  <c r="H243" i="6" s="1"/>
  <c r="I243" i="6" s="1"/>
  <c r="G242" i="6"/>
  <c r="F242" i="6"/>
  <c r="H242" i="6" s="1"/>
  <c r="G241" i="6"/>
  <c r="F241" i="6"/>
  <c r="H241" i="6" s="1"/>
  <c r="I241" i="6" s="1"/>
  <c r="G240" i="6"/>
  <c r="F240" i="6"/>
  <c r="H240" i="6" s="1"/>
  <c r="G239" i="6"/>
  <c r="F239" i="6"/>
  <c r="H239" i="6" s="1"/>
  <c r="I239" i="6" s="1"/>
  <c r="G238" i="6"/>
  <c r="F238" i="6"/>
  <c r="H238" i="6" s="1"/>
  <c r="G237" i="6"/>
  <c r="F237" i="6"/>
  <c r="H237" i="6" s="1"/>
  <c r="I237" i="6" s="1"/>
  <c r="G236" i="6"/>
  <c r="F236" i="6"/>
  <c r="H236" i="6" s="1"/>
  <c r="G235" i="6"/>
  <c r="F235" i="6"/>
  <c r="H235" i="6" s="1"/>
  <c r="I235" i="6" s="1"/>
  <c r="G234" i="6"/>
  <c r="F234" i="6"/>
  <c r="H234" i="6" s="1"/>
  <c r="G233" i="6"/>
  <c r="F233" i="6"/>
  <c r="H233" i="6" s="1"/>
  <c r="I233" i="6" s="1"/>
  <c r="G232" i="6"/>
  <c r="F232" i="6"/>
  <c r="H232" i="6" s="1"/>
  <c r="G231" i="6"/>
  <c r="F231" i="6"/>
  <c r="H231" i="6" s="1"/>
  <c r="I231" i="6" s="1"/>
  <c r="G230" i="6"/>
  <c r="F230" i="6"/>
  <c r="H230" i="6" s="1"/>
  <c r="G229" i="6"/>
  <c r="F229" i="6"/>
  <c r="H229" i="6" s="1"/>
  <c r="I229" i="6" s="1"/>
  <c r="G228" i="6"/>
  <c r="F228" i="6"/>
  <c r="H228" i="6" s="1"/>
  <c r="G227" i="6"/>
  <c r="F227" i="6"/>
  <c r="H227" i="6" s="1"/>
  <c r="I227" i="6" s="1"/>
  <c r="G226" i="6"/>
  <c r="F226" i="6"/>
  <c r="H226" i="6" s="1"/>
  <c r="G225" i="6"/>
  <c r="F225" i="6"/>
  <c r="H225" i="6" s="1"/>
  <c r="I225" i="6" s="1"/>
  <c r="G224" i="6"/>
  <c r="F224" i="6"/>
  <c r="H224" i="6" s="1"/>
  <c r="G223" i="6"/>
  <c r="F223" i="6"/>
  <c r="H223" i="6" s="1"/>
  <c r="I223" i="6" s="1"/>
  <c r="G222" i="6"/>
  <c r="F222" i="6"/>
  <c r="H222" i="6" s="1"/>
  <c r="G221" i="6"/>
  <c r="F221" i="6"/>
  <c r="H221" i="6" s="1"/>
  <c r="I221" i="6" s="1"/>
  <c r="G220" i="6"/>
  <c r="F220" i="6"/>
  <c r="H220" i="6" s="1"/>
  <c r="G219" i="6"/>
  <c r="F219" i="6"/>
  <c r="H219" i="6" s="1"/>
  <c r="I219" i="6" s="1"/>
  <c r="G218" i="6"/>
  <c r="F218" i="6"/>
  <c r="H218" i="6" s="1"/>
  <c r="G217" i="6"/>
  <c r="F217" i="6"/>
  <c r="H217" i="6" s="1"/>
  <c r="I217" i="6" s="1"/>
  <c r="G216" i="6"/>
  <c r="F216" i="6"/>
  <c r="H216" i="6" s="1"/>
  <c r="G215" i="6"/>
  <c r="F215" i="6"/>
  <c r="H215" i="6" s="1"/>
  <c r="I215" i="6" s="1"/>
  <c r="G214" i="6"/>
  <c r="F214" i="6"/>
  <c r="H214" i="6" s="1"/>
  <c r="G213" i="6"/>
  <c r="F213" i="6"/>
  <c r="H213" i="6" s="1"/>
  <c r="I213" i="6" s="1"/>
  <c r="G212" i="6"/>
  <c r="F212" i="6"/>
  <c r="H212" i="6" s="1"/>
  <c r="G211" i="6"/>
  <c r="F211" i="6"/>
  <c r="H211" i="6" s="1"/>
  <c r="I211" i="6" s="1"/>
  <c r="G210" i="6"/>
  <c r="F210" i="6"/>
  <c r="H210" i="6" s="1"/>
  <c r="G209" i="6"/>
  <c r="F209" i="6"/>
  <c r="H209" i="6" s="1"/>
  <c r="I209" i="6" s="1"/>
  <c r="G208" i="6"/>
  <c r="F208" i="6"/>
  <c r="H208" i="6" s="1"/>
  <c r="G207" i="6"/>
  <c r="F207" i="6"/>
  <c r="H207" i="6" s="1"/>
  <c r="I207" i="6" s="1"/>
  <c r="G206" i="6"/>
  <c r="F206" i="6"/>
  <c r="H206" i="6" s="1"/>
  <c r="G205" i="6"/>
  <c r="F205" i="6"/>
  <c r="H205" i="6" s="1"/>
  <c r="I205" i="6" s="1"/>
  <c r="G204" i="6"/>
  <c r="F204" i="6"/>
  <c r="H204" i="6" s="1"/>
  <c r="G203" i="6"/>
  <c r="F203" i="6"/>
  <c r="H203" i="6" s="1"/>
  <c r="I203" i="6" s="1"/>
  <c r="G202" i="6"/>
  <c r="F202" i="6"/>
  <c r="H202" i="6" s="1"/>
  <c r="G201" i="6"/>
  <c r="F201" i="6"/>
  <c r="H201" i="6" s="1"/>
  <c r="I201" i="6" s="1"/>
  <c r="G200" i="6"/>
  <c r="F200" i="6"/>
  <c r="H200" i="6" s="1"/>
  <c r="G199" i="6"/>
  <c r="F199" i="6"/>
  <c r="H199" i="6" s="1"/>
  <c r="I199" i="6" s="1"/>
  <c r="G198" i="6"/>
  <c r="F198" i="6"/>
  <c r="H198" i="6" s="1"/>
  <c r="G197" i="6"/>
  <c r="F197" i="6"/>
  <c r="H197" i="6" s="1"/>
  <c r="I197" i="6" s="1"/>
  <c r="G196" i="6"/>
  <c r="F196" i="6"/>
  <c r="H196" i="6" s="1"/>
  <c r="G195" i="6"/>
  <c r="F195" i="6"/>
  <c r="H195" i="6" s="1"/>
  <c r="I195" i="6" s="1"/>
  <c r="G194" i="6"/>
  <c r="F194" i="6"/>
  <c r="H194" i="6" s="1"/>
  <c r="G193" i="6"/>
  <c r="F193" i="6"/>
  <c r="H193" i="6" s="1"/>
  <c r="I193" i="6" s="1"/>
  <c r="G192" i="6"/>
  <c r="F192" i="6"/>
  <c r="H192" i="6" s="1"/>
  <c r="G191" i="6"/>
  <c r="F191" i="6"/>
  <c r="H191" i="6" s="1"/>
  <c r="I191" i="6" s="1"/>
  <c r="G190" i="6"/>
  <c r="F190" i="6"/>
  <c r="H190" i="6" s="1"/>
  <c r="G189" i="6"/>
  <c r="F189" i="6"/>
  <c r="H189" i="6" s="1"/>
  <c r="I189" i="6" s="1"/>
  <c r="G188" i="6"/>
  <c r="F188" i="6"/>
  <c r="H188" i="6" s="1"/>
  <c r="G187" i="6"/>
  <c r="F187" i="6"/>
  <c r="H187" i="6" s="1"/>
  <c r="I187" i="6" s="1"/>
  <c r="G186" i="6"/>
  <c r="F186" i="6"/>
  <c r="H186" i="6" s="1"/>
  <c r="G185" i="6"/>
  <c r="F185" i="6"/>
  <c r="H185" i="6" s="1"/>
  <c r="I185" i="6" s="1"/>
  <c r="G184" i="6"/>
  <c r="F184" i="6"/>
  <c r="H184" i="6" s="1"/>
  <c r="G183" i="6"/>
  <c r="F183" i="6"/>
  <c r="H183" i="6" s="1"/>
  <c r="I183" i="6" s="1"/>
  <c r="G182" i="6"/>
  <c r="F182" i="6"/>
  <c r="H182" i="6" s="1"/>
  <c r="G181" i="6"/>
  <c r="F181" i="6"/>
  <c r="H181" i="6" s="1"/>
  <c r="I181" i="6" s="1"/>
  <c r="G180" i="6"/>
  <c r="F180" i="6"/>
  <c r="H180" i="6" s="1"/>
  <c r="G179" i="6"/>
  <c r="F179" i="6"/>
  <c r="H179" i="6" s="1"/>
  <c r="I179" i="6" s="1"/>
  <c r="G178" i="6"/>
  <c r="F178" i="6"/>
  <c r="H178" i="6" s="1"/>
  <c r="G177" i="6"/>
  <c r="F177" i="6"/>
  <c r="H177" i="6" s="1"/>
  <c r="I177" i="6" s="1"/>
  <c r="G176" i="6"/>
  <c r="F176" i="6"/>
  <c r="H176" i="6" s="1"/>
  <c r="G175" i="6"/>
  <c r="F175" i="6"/>
  <c r="H175" i="6" s="1"/>
  <c r="I175" i="6" s="1"/>
  <c r="G174" i="6"/>
  <c r="F174" i="6"/>
  <c r="H174" i="6" s="1"/>
  <c r="G173" i="6"/>
  <c r="F173" i="6"/>
  <c r="H173" i="6" s="1"/>
  <c r="I173" i="6" s="1"/>
  <c r="G172" i="6"/>
  <c r="F172" i="6"/>
  <c r="H172" i="6" s="1"/>
  <c r="G171" i="6"/>
  <c r="F171" i="6"/>
  <c r="H171" i="6" s="1"/>
  <c r="I171" i="6" s="1"/>
  <c r="G170" i="6"/>
  <c r="F170" i="6"/>
  <c r="H170" i="6" s="1"/>
  <c r="G169" i="6"/>
  <c r="F169" i="6"/>
  <c r="H169" i="6" s="1"/>
  <c r="I169" i="6" s="1"/>
  <c r="G168" i="6"/>
  <c r="F168" i="6"/>
  <c r="H168" i="6" s="1"/>
  <c r="H167" i="6"/>
  <c r="I167" i="6" s="1"/>
  <c r="G167" i="6"/>
  <c r="F167" i="6"/>
  <c r="G166" i="6"/>
  <c r="F166" i="6"/>
  <c r="H166" i="6" s="1"/>
  <c r="G165" i="6"/>
  <c r="F165" i="6"/>
  <c r="H165" i="6" s="1"/>
  <c r="I165" i="6" s="1"/>
  <c r="G164" i="6"/>
  <c r="F164" i="6"/>
  <c r="H164" i="6" s="1"/>
  <c r="G163" i="6"/>
  <c r="F163" i="6"/>
  <c r="H163" i="6" s="1"/>
  <c r="I163" i="6" s="1"/>
  <c r="G162" i="6"/>
  <c r="F162" i="6"/>
  <c r="H162" i="6" s="1"/>
  <c r="G161" i="6"/>
  <c r="F161" i="6"/>
  <c r="H161" i="6" s="1"/>
  <c r="I161" i="6" s="1"/>
  <c r="G160" i="6"/>
  <c r="F160" i="6"/>
  <c r="H160" i="6" s="1"/>
  <c r="G159" i="6"/>
  <c r="F159" i="6"/>
  <c r="H159" i="6" s="1"/>
  <c r="I159" i="6" s="1"/>
  <c r="G158" i="6"/>
  <c r="F158" i="6"/>
  <c r="H158" i="6" s="1"/>
  <c r="G157" i="6"/>
  <c r="F157" i="6"/>
  <c r="H157" i="6" s="1"/>
  <c r="I157" i="6" s="1"/>
  <c r="G156" i="6"/>
  <c r="F156" i="6"/>
  <c r="H156" i="6" s="1"/>
  <c r="G155" i="6"/>
  <c r="F155" i="6"/>
  <c r="H155" i="6" s="1"/>
  <c r="I155" i="6" s="1"/>
  <c r="G154" i="6"/>
  <c r="F154" i="6"/>
  <c r="H154" i="6" s="1"/>
  <c r="G153" i="6"/>
  <c r="F153" i="6"/>
  <c r="H153" i="6" s="1"/>
  <c r="I153" i="6" s="1"/>
  <c r="G152" i="6"/>
  <c r="F152" i="6"/>
  <c r="H152" i="6" s="1"/>
  <c r="G151" i="6"/>
  <c r="F151" i="6"/>
  <c r="H151" i="6" s="1"/>
  <c r="I151" i="6" s="1"/>
  <c r="H150" i="6"/>
  <c r="G150" i="6"/>
  <c r="F150" i="6"/>
  <c r="G149" i="6"/>
  <c r="F149" i="6"/>
  <c r="H149" i="6" s="1"/>
  <c r="I149" i="6" s="1"/>
  <c r="G148" i="6"/>
  <c r="F148" i="6"/>
  <c r="H148" i="6" s="1"/>
  <c r="G147" i="6"/>
  <c r="F147" i="6"/>
  <c r="H147" i="6" s="1"/>
  <c r="I147" i="6" s="1"/>
  <c r="H146" i="6"/>
  <c r="G146" i="6"/>
  <c r="F146" i="6"/>
  <c r="G145" i="6"/>
  <c r="F145" i="6"/>
  <c r="H145" i="6" s="1"/>
  <c r="I145" i="6" s="1"/>
  <c r="G144" i="6"/>
  <c r="F144" i="6"/>
  <c r="H144" i="6" s="1"/>
  <c r="G143" i="6"/>
  <c r="F143" i="6"/>
  <c r="H143" i="6" s="1"/>
  <c r="I143" i="6" s="1"/>
  <c r="G142" i="6"/>
  <c r="F142" i="6"/>
  <c r="H142" i="6" s="1"/>
  <c r="G141" i="6"/>
  <c r="F141" i="6"/>
  <c r="H141" i="6" s="1"/>
  <c r="I141" i="6" s="1"/>
  <c r="G140" i="6"/>
  <c r="F140" i="6"/>
  <c r="H140" i="6" s="1"/>
  <c r="G139" i="6"/>
  <c r="F139" i="6"/>
  <c r="H139" i="6" s="1"/>
  <c r="I139" i="6" s="1"/>
  <c r="G138" i="6"/>
  <c r="F138" i="6"/>
  <c r="H138" i="6" s="1"/>
  <c r="G137" i="6"/>
  <c r="F137" i="6"/>
  <c r="H137" i="6" s="1"/>
  <c r="I137" i="6" s="1"/>
  <c r="G136" i="6"/>
  <c r="F136" i="6"/>
  <c r="H136" i="6" s="1"/>
  <c r="G135" i="6"/>
  <c r="F135" i="6"/>
  <c r="H135" i="6" s="1"/>
  <c r="I135" i="6" s="1"/>
  <c r="H134" i="6"/>
  <c r="G134" i="6"/>
  <c r="F134" i="6"/>
  <c r="G133" i="6"/>
  <c r="F133" i="6"/>
  <c r="H133" i="6" s="1"/>
  <c r="I133" i="6" s="1"/>
  <c r="G132" i="6"/>
  <c r="F132" i="6"/>
  <c r="H132" i="6" s="1"/>
  <c r="G131" i="6"/>
  <c r="F131" i="6"/>
  <c r="H131" i="6" s="1"/>
  <c r="I131" i="6" s="1"/>
  <c r="G130" i="6"/>
  <c r="F130" i="6"/>
  <c r="H130" i="6" s="1"/>
  <c r="G129" i="6"/>
  <c r="F129" i="6"/>
  <c r="H129" i="6" s="1"/>
  <c r="I129" i="6" s="1"/>
  <c r="G128" i="6"/>
  <c r="F128" i="6"/>
  <c r="H128" i="6" s="1"/>
  <c r="G127" i="6"/>
  <c r="F127" i="6"/>
  <c r="H127" i="6" s="1"/>
  <c r="I127" i="6" s="1"/>
  <c r="G126" i="6"/>
  <c r="F126" i="6"/>
  <c r="H126" i="6" s="1"/>
  <c r="G125" i="6"/>
  <c r="F125" i="6"/>
  <c r="H125" i="6" s="1"/>
  <c r="I125" i="6" s="1"/>
  <c r="G124" i="6"/>
  <c r="F124" i="6"/>
  <c r="H124" i="6" s="1"/>
  <c r="G123" i="6"/>
  <c r="F123" i="6"/>
  <c r="H123" i="6" s="1"/>
  <c r="I123" i="6" s="1"/>
  <c r="G122" i="6"/>
  <c r="F122" i="6"/>
  <c r="H122" i="6" s="1"/>
  <c r="G121" i="6"/>
  <c r="F121" i="6"/>
  <c r="H121" i="6" s="1"/>
  <c r="I121" i="6" s="1"/>
  <c r="G120" i="6"/>
  <c r="F120" i="6"/>
  <c r="H120" i="6" s="1"/>
  <c r="G119" i="6"/>
  <c r="F119" i="6"/>
  <c r="H119" i="6" s="1"/>
  <c r="I119" i="6" s="1"/>
  <c r="G118" i="6"/>
  <c r="F118" i="6"/>
  <c r="H118" i="6" s="1"/>
  <c r="G117" i="6"/>
  <c r="F117" i="6"/>
  <c r="H117" i="6" s="1"/>
  <c r="I117" i="6" s="1"/>
  <c r="G116" i="6"/>
  <c r="F116" i="6"/>
  <c r="H116" i="6" s="1"/>
  <c r="G115" i="6"/>
  <c r="F115" i="6"/>
  <c r="H115" i="6" s="1"/>
  <c r="I115" i="6" s="1"/>
  <c r="G114" i="6"/>
  <c r="F114" i="6"/>
  <c r="H114" i="6" s="1"/>
  <c r="G113" i="6"/>
  <c r="F113" i="6"/>
  <c r="H113" i="6" s="1"/>
  <c r="I113" i="6" s="1"/>
  <c r="G112" i="6"/>
  <c r="F112" i="6"/>
  <c r="H112" i="6" s="1"/>
  <c r="G111" i="6"/>
  <c r="F111" i="6"/>
  <c r="H111" i="6" s="1"/>
  <c r="I111" i="6" s="1"/>
  <c r="G110" i="6"/>
  <c r="F110" i="6"/>
  <c r="H110" i="6" s="1"/>
  <c r="G109" i="6"/>
  <c r="F109" i="6"/>
  <c r="H109" i="6" s="1"/>
  <c r="I109" i="6" s="1"/>
  <c r="G108" i="6"/>
  <c r="F108" i="6"/>
  <c r="H108" i="6" s="1"/>
  <c r="G107" i="6"/>
  <c r="F107" i="6"/>
  <c r="H107" i="6" s="1"/>
  <c r="I107" i="6" s="1"/>
  <c r="G106" i="6"/>
  <c r="F106" i="6"/>
  <c r="H106" i="6" s="1"/>
  <c r="G105" i="6"/>
  <c r="F105" i="6"/>
  <c r="H105" i="6" s="1"/>
  <c r="I105" i="6" s="1"/>
  <c r="G104" i="6"/>
  <c r="F104" i="6"/>
  <c r="H104" i="6" s="1"/>
  <c r="G103" i="6"/>
  <c r="F103" i="6"/>
  <c r="H103" i="6" s="1"/>
  <c r="I103" i="6" s="1"/>
  <c r="G102" i="6"/>
  <c r="F102" i="6"/>
  <c r="H102" i="6" s="1"/>
  <c r="G101" i="6"/>
  <c r="F101" i="6"/>
  <c r="H101" i="6" s="1"/>
  <c r="I101" i="6" s="1"/>
  <c r="G100" i="6"/>
  <c r="F100" i="6"/>
  <c r="H100" i="6" s="1"/>
  <c r="G99" i="6"/>
  <c r="F99" i="6"/>
  <c r="H99" i="6" s="1"/>
  <c r="I99" i="6" s="1"/>
  <c r="G98" i="6"/>
  <c r="F98" i="6"/>
  <c r="H98" i="6" s="1"/>
  <c r="G97" i="6"/>
  <c r="F97" i="6"/>
  <c r="H97" i="6" s="1"/>
  <c r="I97" i="6" s="1"/>
  <c r="G96" i="6"/>
  <c r="F96" i="6"/>
  <c r="H96" i="6" s="1"/>
  <c r="G95" i="6"/>
  <c r="F95" i="6"/>
  <c r="H95" i="6" s="1"/>
  <c r="I95" i="6" s="1"/>
  <c r="G94" i="6"/>
  <c r="F94" i="6"/>
  <c r="H94" i="6" s="1"/>
  <c r="G93" i="6"/>
  <c r="F93" i="6"/>
  <c r="H93" i="6" s="1"/>
  <c r="I93" i="6" s="1"/>
  <c r="G92" i="6"/>
  <c r="F92" i="6"/>
  <c r="H92" i="6" s="1"/>
  <c r="G91" i="6"/>
  <c r="F91" i="6"/>
  <c r="H91" i="6" s="1"/>
  <c r="I91" i="6" s="1"/>
  <c r="G90" i="6"/>
  <c r="F90" i="6"/>
  <c r="H90" i="6" s="1"/>
  <c r="G89" i="6"/>
  <c r="F89" i="6"/>
  <c r="H89" i="6" s="1"/>
  <c r="I89" i="6" s="1"/>
  <c r="G88" i="6"/>
  <c r="F88" i="6"/>
  <c r="H88" i="6" s="1"/>
  <c r="G87" i="6"/>
  <c r="F87" i="6"/>
  <c r="H87" i="6" s="1"/>
  <c r="I87" i="6" s="1"/>
  <c r="G86" i="6"/>
  <c r="F86" i="6"/>
  <c r="H86" i="6" s="1"/>
  <c r="G85" i="6"/>
  <c r="F85" i="6"/>
  <c r="H85" i="6" s="1"/>
  <c r="I85" i="6" s="1"/>
  <c r="G84" i="6"/>
  <c r="F84" i="6"/>
  <c r="H84" i="6" s="1"/>
  <c r="G83" i="6"/>
  <c r="F83" i="6"/>
  <c r="H83" i="6" s="1"/>
  <c r="I83" i="6" s="1"/>
  <c r="G82" i="6"/>
  <c r="F82" i="6"/>
  <c r="H82" i="6" s="1"/>
  <c r="G81" i="6"/>
  <c r="F81" i="6"/>
  <c r="H81" i="6" s="1"/>
  <c r="I81" i="6" s="1"/>
  <c r="G80" i="6"/>
  <c r="F80" i="6"/>
  <c r="H80" i="6" s="1"/>
  <c r="G79" i="6"/>
  <c r="F79" i="6"/>
  <c r="H79" i="6" s="1"/>
  <c r="I79" i="6" s="1"/>
  <c r="G78" i="6"/>
  <c r="F78" i="6"/>
  <c r="H78" i="6" s="1"/>
  <c r="G77" i="6"/>
  <c r="F77" i="6"/>
  <c r="H77" i="6" s="1"/>
  <c r="I77" i="6" s="1"/>
  <c r="G76" i="6"/>
  <c r="F76" i="6"/>
  <c r="H76" i="6" s="1"/>
  <c r="G75" i="6"/>
  <c r="F75" i="6"/>
  <c r="H75" i="6" s="1"/>
  <c r="I75" i="6" s="1"/>
  <c r="G74" i="6"/>
  <c r="F74" i="6"/>
  <c r="H74" i="6" s="1"/>
  <c r="G73" i="6"/>
  <c r="F73" i="6"/>
  <c r="H73" i="6" s="1"/>
  <c r="I73" i="6" s="1"/>
  <c r="G72" i="6"/>
  <c r="F72" i="6"/>
  <c r="H72" i="6" s="1"/>
  <c r="G71" i="6"/>
  <c r="F71" i="6"/>
  <c r="H71" i="6" s="1"/>
  <c r="I71" i="6" s="1"/>
  <c r="G70" i="6"/>
  <c r="F70" i="6"/>
  <c r="H70" i="6" s="1"/>
  <c r="G69" i="6"/>
  <c r="F69" i="6"/>
  <c r="H69" i="6" s="1"/>
  <c r="I69" i="6" s="1"/>
  <c r="G68" i="6"/>
  <c r="F68" i="6"/>
  <c r="H68" i="6" s="1"/>
  <c r="G67" i="6"/>
  <c r="F67" i="6"/>
  <c r="H67" i="6" s="1"/>
  <c r="I67" i="6" s="1"/>
  <c r="G66" i="6"/>
  <c r="F66" i="6"/>
  <c r="H66" i="6" s="1"/>
  <c r="G65" i="6"/>
  <c r="F65" i="6"/>
  <c r="H65" i="6" s="1"/>
  <c r="I65" i="6" s="1"/>
  <c r="G64" i="6"/>
  <c r="F64" i="6"/>
  <c r="H64" i="6" s="1"/>
  <c r="G63" i="6"/>
  <c r="F63" i="6"/>
  <c r="H63" i="6" s="1"/>
  <c r="I63" i="6" s="1"/>
  <c r="G62" i="6"/>
  <c r="F62" i="6"/>
  <c r="H62" i="6" s="1"/>
  <c r="G61" i="6"/>
  <c r="F61" i="6"/>
  <c r="H61" i="6" s="1"/>
  <c r="I61" i="6" s="1"/>
  <c r="G60" i="6"/>
  <c r="F60" i="6"/>
  <c r="H60" i="6" s="1"/>
  <c r="G59" i="6"/>
  <c r="F59" i="6"/>
  <c r="H59" i="6" s="1"/>
  <c r="I59" i="6" s="1"/>
  <c r="G58" i="6"/>
  <c r="F58" i="6"/>
  <c r="H58" i="6" s="1"/>
  <c r="G57" i="6"/>
  <c r="F57" i="6"/>
  <c r="H57" i="6" s="1"/>
  <c r="I57" i="6" s="1"/>
  <c r="G56" i="6"/>
  <c r="F56" i="6"/>
  <c r="H56" i="6" s="1"/>
  <c r="G55" i="6"/>
  <c r="F55" i="6"/>
  <c r="H55" i="6" s="1"/>
  <c r="I55" i="6" s="1"/>
  <c r="G54" i="6"/>
  <c r="F54" i="6"/>
  <c r="H54" i="6" s="1"/>
  <c r="G53" i="6"/>
  <c r="F53" i="6"/>
  <c r="H53" i="6" s="1"/>
  <c r="I53" i="6" s="1"/>
  <c r="G52" i="6"/>
  <c r="F52" i="6"/>
  <c r="H52" i="6" s="1"/>
  <c r="G51" i="6"/>
  <c r="F51" i="6"/>
  <c r="H51" i="6" s="1"/>
  <c r="I51" i="6" s="1"/>
  <c r="G50" i="6"/>
  <c r="F50" i="6"/>
  <c r="H50" i="6" s="1"/>
  <c r="G49" i="6"/>
  <c r="F49" i="6"/>
  <c r="H49" i="6" s="1"/>
  <c r="I49" i="6" s="1"/>
  <c r="G48" i="6"/>
  <c r="F48" i="6"/>
  <c r="H48" i="6" s="1"/>
  <c r="G47" i="6"/>
  <c r="F47" i="6"/>
  <c r="H47" i="6" s="1"/>
  <c r="I47" i="6" s="1"/>
  <c r="G46" i="6"/>
  <c r="F46" i="6"/>
  <c r="H46" i="6" s="1"/>
  <c r="G45" i="6"/>
  <c r="F45" i="6"/>
  <c r="H45" i="6" s="1"/>
  <c r="I45" i="6" s="1"/>
  <c r="G44" i="6"/>
  <c r="F44" i="6"/>
  <c r="H44" i="6" s="1"/>
  <c r="G43" i="6"/>
  <c r="F43" i="6"/>
  <c r="H43" i="6" s="1"/>
  <c r="I43" i="6" s="1"/>
  <c r="G42" i="6"/>
  <c r="F42" i="6"/>
  <c r="H42" i="6" s="1"/>
  <c r="G41" i="6"/>
  <c r="F41" i="6"/>
  <c r="H41" i="6" s="1"/>
  <c r="I41" i="6" s="1"/>
  <c r="G40" i="6"/>
  <c r="F40" i="6"/>
  <c r="H40" i="6" s="1"/>
  <c r="G39" i="6"/>
  <c r="F39" i="6"/>
  <c r="H39" i="6" s="1"/>
  <c r="I39" i="6" s="1"/>
  <c r="G38" i="6"/>
  <c r="F38" i="6"/>
  <c r="H38" i="6" s="1"/>
  <c r="G37" i="6"/>
  <c r="F37" i="6"/>
  <c r="H37" i="6" s="1"/>
  <c r="I37" i="6" s="1"/>
  <c r="G36" i="6"/>
  <c r="F36" i="6"/>
  <c r="H36" i="6" s="1"/>
  <c r="G35" i="6"/>
  <c r="F35" i="6"/>
  <c r="H35" i="6" s="1"/>
  <c r="I35" i="6" s="1"/>
  <c r="G34" i="6"/>
  <c r="F34" i="6"/>
  <c r="H34" i="6" s="1"/>
  <c r="G33" i="6"/>
  <c r="F33" i="6"/>
  <c r="H33" i="6" s="1"/>
  <c r="I33" i="6" s="1"/>
  <c r="G32" i="6"/>
  <c r="F32" i="6"/>
  <c r="H32" i="6" s="1"/>
  <c r="G31" i="6"/>
  <c r="F31" i="6"/>
  <c r="H31" i="6" s="1"/>
  <c r="I31" i="6" s="1"/>
  <c r="G30" i="6"/>
  <c r="F30" i="6"/>
  <c r="H30" i="6" s="1"/>
  <c r="G29" i="6"/>
  <c r="F29" i="6"/>
  <c r="H29" i="6" s="1"/>
  <c r="I29" i="6" s="1"/>
  <c r="G28" i="6"/>
  <c r="F28" i="6"/>
  <c r="H28" i="6" s="1"/>
  <c r="G27" i="6"/>
  <c r="F27" i="6"/>
  <c r="H27" i="6" s="1"/>
  <c r="I27" i="6" s="1"/>
  <c r="G26" i="6"/>
  <c r="F26" i="6"/>
  <c r="H26" i="6" s="1"/>
  <c r="G25" i="6"/>
  <c r="F25" i="6"/>
  <c r="H25" i="6" s="1"/>
  <c r="I25" i="6" s="1"/>
  <c r="G24" i="6"/>
  <c r="F24" i="6"/>
  <c r="H24" i="6" s="1"/>
  <c r="G23" i="6"/>
  <c r="F23" i="6"/>
  <c r="H23" i="6" s="1"/>
  <c r="I23" i="6" s="1"/>
  <c r="G22" i="6"/>
  <c r="F22" i="6"/>
  <c r="H22" i="6" s="1"/>
  <c r="G21" i="6"/>
  <c r="F21" i="6"/>
  <c r="H21" i="6" s="1"/>
  <c r="I21" i="6" s="1"/>
  <c r="G20" i="6"/>
  <c r="F20" i="6"/>
  <c r="H20" i="6" s="1"/>
  <c r="G19" i="6"/>
  <c r="F19" i="6"/>
  <c r="H19" i="6" s="1"/>
  <c r="I19" i="6" s="1"/>
  <c r="G18" i="6"/>
  <c r="F18" i="6"/>
  <c r="H18" i="6" s="1"/>
  <c r="G17" i="6"/>
  <c r="F17" i="6"/>
  <c r="H17" i="6" s="1"/>
  <c r="I17" i="6" s="1"/>
  <c r="G16" i="6"/>
  <c r="F16" i="6"/>
  <c r="H16" i="6" s="1"/>
  <c r="G15" i="6"/>
  <c r="F15" i="6"/>
  <c r="H15" i="6" s="1"/>
  <c r="I15" i="6" s="1"/>
  <c r="G14" i="6"/>
  <c r="F14" i="6"/>
  <c r="H14" i="6" s="1"/>
  <c r="G13" i="6"/>
  <c r="F13" i="6"/>
  <c r="H13" i="6" s="1"/>
  <c r="I13" i="6" s="1"/>
  <c r="G12" i="6"/>
  <c r="F12" i="6"/>
  <c r="H12" i="6" s="1"/>
  <c r="G11" i="6"/>
  <c r="F11" i="6"/>
  <c r="H11" i="6" s="1"/>
  <c r="I11" i="6" s="1"/>
  <c r="G10" i="6"/>
  <c r="F10" i="6"/>
  <c r="H10" i="6" s="1"/>
  <c r="G9" i="6"/>
  <c r="F9" i="6"/>
  <c r="H9" i="6" s="1"/>
  <c r="I9" i="6" s="1"/>
  <c r="G8" i="6"/>
  <c r="F8" i="6"/>
  <c r="H8" i="6" s="1"/>
  <c r="G7" i="6"/>
  <c r="F7" i="6"/>
  <c r="H7" i="6" s="1"/>
  <c r="I7" i="6" s="1"/>
  <c r="G6" i="6"/>
  <c r="F6" i="6"/>
  <c r="H6" i="6" s="1"/>
  <c r="G5" i="6"/>
  <c r="F5" i="6"/>
  <c r="H5" i="6" s="1"/>
  <c r="I5" i="6" s="1"/>
  <c r="G4" i="6"/>
  <c r="F4" i="6"/>
  <c r="H4" i="6" s="1"/>
  <c r="G3" i="6"/>
  <c r="F3" i="6"/>
  <c r="H3" i="6" s="1"/>
  <c r="I3" i="6" s="1"/>
  <c r="G2" i="6"/>
  <c r="F2" i="6"/>
  <c r="H2" i="6" s="1"/>
  <c r="AI1401" i="2"/>
  <c r="AG1401" i="2"/>
  <c r="AI1400" i="2"/>
  <c r="AG1400" i="2"/>
  <c r="AI1399" i="2"/>
  <c r="AG1399" i="2"/>
  <c r="AI1398" i="2"/>
  <c r="AG1398" i="2"/>
  <c r="AI1397" i="2"/>
  <c r="AG1397" i="2"/>
  <c r="AI1396" i="2"/>
  <c r="AG1396" i="2"/>
  <c r="AI1395" i="2"/>
  <c r="AG1395" i="2"/>
  <c r="AI1394" i="2"/>
  <c r="AG1394" i="2"/>
  <c r="AI1393" i="2"/>
  <c r="AG1393" i="2"/>
  <c r="AI1392" i="2"/>
  <c r="AG1392" i="2"/>
  <c r="AI1391" i="2"/>
  <c r="AG1391" i="2"/>
  <c r="AI1390" i="2"/>
  <c r="AG1390" i="2"/>
  <c r="AI1389" i="2"/>
  <c r="AG1389" i="2"/>
  <c r="AI1388" i="2"/>
  <c r="AG1388" i="2"/>
  <c r="AI1387" i="2"/>
  <c r="AG1387" i="2"/>
  <c r="AI1386" i="2"/>
  <c r="AG1386" i="2"/>
  <c r="AI1385" i="2"/>
  <c r="AG1385" i="2"/>
  <c r="AI1384" i="2"/>
  <c r="AG1384" i="2"/>
  <c r="AI1383" i="2"/>
  <c r="AG1383" i="2"/>
  <c r="AI1382" i="2"/>
  <c r="AG1382" i="2"/>
  <c r="AI1381" i="2"/>
  <c r="AG1381" i="2"/>
  <c r="AI1380" i="2"/>
  <c r="AG1380" i="2"/>
  <c r="AI1379" i="2"/>
  <c r="AG1379" i="2"/>
  <c r="AI1378" i="2"/>
  <c r="AG1378" i="2"/>
  <c r="AI1377" i="2"/>
  <c r="AG1377" i="2"/>
  <c r="AI1376" i="2"/>
  <c r="AG1376" i="2"/>
  <c r="AI1375" i="2"/>
  <c r="AG1375" i="2"/>
  <c r="AI1374" i="2"/>
  <c r="AG1374" i="2"/>
  <c r="AI1373" i="2"/>
  <c r="AG1373" i="2"/>
  <c r="AI1372" i="2"/>
  <c r="AG1372" i="2"/>
  <c r="AI1371" i="2"/>
  <c r="AG1371" i="2"/>
  <c r="AI1370" i="2"/>
  <c r="AG1370" i="2"/>
  <c r="AI1369" i="2"/>
  <c r="AG1369" i="2"/>
  <c r="AI1368" i="2"/>
  <c r="AG1368" i="2"/>
  <c r="AI1367" i="2"/>
  <c r="AG1367" i="2"/>
  <c r="AI1366" i="2"/>
  <c r="AG1366" i="2"/>
  <c r="AI1365" i="2"/>
  <c r="AG1365" i="2"/>
  <c r="AI1364" i="2"/>
  <c r="AG1364" i="2"/>
  <c r="AI1363" i="2"/>
  <c r="AG1363" i="2"/>
  <c r="AI1362" i="2"/>
  <c r="AG1362" i="2"/>
  <c r="AI1361" i="2"/>
  <c r="AG1361" i="2"/>
  <c r="AI1360" i="2"/>
  <c r="AG1360" i="2"/>
  <c r="AI1359" i="2"/>
  <c r="AG1359" i="2"/>
  <c r="AI1358" i="2"/>
  <c r="AG1358" i="2"/>
  <c r="AI1357" i="2"/>
  <c r="AG1357" i="2"/>
  <c r="AI1356" i="2"/>
  <c r="AG1356" i="2"/>
  <c r="AI1355" i="2"/>
  <c r="AG1355" i="2"/>
  <c r="AI1354" i="2"/>
  <c r="AG1354" i="2"/>
  <c r="AI1353" i="2"/>
  <c r="AG1353" i="2"/>
  <c r="AI1352" i="2"/>
  <c r="AG1352" i="2"/>
  <c r="AI1351" i="2"/>
  <c r="AG1351" i="2"/>
  <c r="AI1350" i="2"/>
  <c r="AG1350" i="2"/>
  <c r="AI1349" i="2"/>
  <c r="AG1349" i="2"/>
  <c r="AI1348" i="2"/>
  <c r="AG1348" i="2"/>
  <c r="AI1347" i="2"/>
  <c r="AG1347" i="2"/>
  <c r="AI1346" i="2"/>
  <c r="AG1346" i="2"/>
  <c r="AI1345" i="2"/>
  <c r="AG1345" i="2"/>
  <c r="AI1344" i="2"/>
  <c r="AG1344" i="2"/>
  <c r="AI1343" i="2"/>
  <c r="AG1343" i="2"/>
  <c r="AI1342" i="2"/>
  <c r="AG1342" i="2"/>
  <c r="AI1341" i="2"/>
  <c r="AG1341" i="2"/>
  <c r="AI1340" i="2"/>
  <c r="AG1340" i="2"/>
  <c r="AI1339" i="2"/>
  <c r="AG1339" i="2"/>
  <c r="AI1338" i="2"/>
  <c r="AG1338" i="2"/>
  <c r="AI1337" i="2"/>
  <c r="AG1337" i="2"/>
  <c r="AI1336" i="2"/>
  <c r="AG1336" i="2"/>
  <c r="AI1335" i="2"/>
  <c r="AG1335" i="2"/>
  <c r="AI1334" i="2"/>
  <c r="AG1334" i="2"/>
  <c r="AI1333" i="2"/>
  <c r="AG1333" i="2"/>
  <c r="AI1332" i="2"/>
  <c r="AG1332" i="2"/>
  <c r="AI1331" i="2"/>
  <c r="AG1331" i="2"/>
  <c r="AI1330" i="2"/>
  <c r="AG1330" i="2"/>
  <c r="AI1329" i="2"/>
  <c r="AG1329" i="2"/>
  <c r="AI1328" i="2"/>
  <c r="AG1328" i="2"/>
  <c r="AI1327" i="2"/>
  <c r="AG1327" i="2"/>
  <c r="AI1326" i="2"/>
  <c r="AG1326" i="2"/>
  <c r="AI1325" i="2"/>
  <c r="AG1325" i="2"/>
  <c r="AI1324" i="2"/>
  <c r="AG1324" i="2"/>
  <c r="AI1323" i="2"/>
  <c r="AG1323" i="2"/>
  <c r="AI1322" i="2"/>
  <c r="AG1322" i="2"/>
  <c r="AI1321" i="2"/>
  <c r="AG1321" i="2"/>
  <c r="AI1320" i="2"/>
  <c r="AG1320" i="2"/>
  <c r="AI1319" i="2"/>
  <c r="AG1319" i="2"/>
  <c r="AI1318" i="2"/>
  <c r="AG1318" i="2"/>
  <c r="AI1317" i="2"/>
  <c r="AG1317" i="2"/>
  <c r="AI1316" i="2"/>
  <c r="AG1316" i="2"/>
  <c r="AI1315" i="2"/>
  <c r="AG1315" i="2"/>
  <c r="AI1314" i="2"/>
  <c r="AG1314" i="2"/>
  <c r="AI1313" i="2"/>
  <c r="AG1313" i="2"/>
  <c r="AI1312" i="2"/>
  <c r="AG1312" i="2"/>
  <c r="AI1311" i="2"/>
  <c r="AG1311" i="2"/>
  <c r="AI1310" i="2"/>
  <c r="AG1310" i="2"/>
  <c r="AI1309" i="2"/>
  <c r="AG1309" i="2"/>
  <c r="AI1308" i="2"/>
  <c r="AG1308" i="2"/>
  <c r="AI1307" i="2"/>
  <c r="AG1307" i="2"/>
  <c r="AI1306" i="2"/>
  <c r="AG1306" i="2"/>
  <c r="AI1305" i="2"/>
  <c r="AG1305" i="2"/>
  <c r="AI1304" i="2"/>
  <c r="AG1304" i="2"/>
  <c r="AI1303" i="2"/>
  <c r="AG1303" i="2"/>
  <c r="AI1302" i="2"/>
  <c r="AG1302" i="2"/>
  <c r="AI1301" i="2"/>
  <c r="AG1301" i="2"/>
  <c r="AI1300" i="2"/>
  <c r="AG1300" i="2"/>
  <c r="AI1299" i="2"/>
  <c r="AG1299" i="2"/>
  <c r="AI1298" i="2"/>
  <c r="AG1298" i="2"/>
  <c r="AI1297" i="2"/>
  <c r="AG1297" i="2"/>
  <c r="AI1296" i="2"/>
  <c r="AG1296" i="2"/>
  <c r="AI1295" i="2"/>
  <c r="AG1295" i="2"/>
  <c r="AI1294" i="2"/>
  <c r="AG1294" i="2"/>
  <c r="AI1293" i="2"/>
  <c r="AG1293" i="2"/>
  <c r="AI1292" i="2"/>
  <c r="AG1292" i="2"/>
  <c r="AI1291" i="2"/>
  <c r="AG1291" i="2"/>
  <c r="AI1290" i="2"/>
  <c r="AG1290" i="2"/>
  <c r="AI1289" i="2"/>
  <c r="AG1289" i="2"/>
  <c r="AI1288" i="2"/>
  <c r="AG1288" i="2"/>
  <c r="AI1287" i="2"/>
  <c r="AG1287" i="2"/>
  <c r="AI1286" i="2"/>
  <c r="AG1286" i="2"/>
  <c r="AI1285" i="2"/>
  <c r="AG1285" i="2"/>
  <c r="AI1284" i="2"/>
  <c r="AG1284" i="2"/>
  <c r="AI1283" i="2"/>
  <c r="AG1283" i="2"/>
  <c r="AI1282" i="2"/>
  <c r="AG1282" i="2"/>
  <c r="AI1281" i="2"/>
  <c r="AG1281" i="2"/>
  <c r="AI1280" i="2"/>
  <c r="AG1280" i="2"/>
  <c r="AI1279" i="2"/>
  <c r="AG1279" i="2"/>
  <c r="AI1278" i="2"/>
  <c r="AG1278" i="2"/>
  <c r="AI1277" i="2"/>
  <c r="AG1277" i="2"/>
  <c r="AI1276" i="2"/>
  <c r="AG1276" i="2"/>
  <c r="AI1275" i="2"/>
  <c r="AG1275" i="2"/>
  <c r="AI1274" i="2"/>
  <c r="AG1274" i="2"/>
  <c r="AI1273" i="2"/>
  <c r="AG1273" i="2"/>
  <c r="AI1272" i="2"/>
  <c r="AG1272" i="2"/>
  <c r="AI1271" i="2"/>
  <c r="AG1271" i="2"/>
  <c r="AI1270" i="2"/>
  <c r="AG1270" i="2"/>
  <c r="AI1269" i="2"/>
  <c r="AG1269" i="2"/>
  <c r="AI1268" i="2"/>
  <c r="AG1268" i="2"/>
  <c r="AI1267" i="2"/>
  <c r="AG1267" i="2"/>
  <c r="AI1266" i="2"/>
  <c r="AG1266" i="2"/>
  <c r="AI1265" i="2"/>
  <c r="AG1265" i="2"/>
  <c r="AI1264" i="2"/>
  <c r="AG1264" i="2"/>
  <c r="AI1263" i="2"/>
  <c r="AG1263" i="2"/>
  <c r="AI1262" i="2"/>
  <c r="AG1262" i="2"/>
  <c r="AI1261" i="2"/>
  <c r="AG1261" i="2"/>
  <c r="AI1260" i="2"/>
  <c r="AG1260" i="2"/>
  <c r="AI1259" i="2"/>
  <c r="AG1259" i="2"/>
  <c r="AI1258" i="2"/>
  <c r="AG1258" i="2"/>
  <c r="AI1257" i="2"/>
  <c r="AG1257" i="2"/>
  <c r="AI1256" i="2"/>
  <c r="AG1256" i="2"/>
  <c r="AI1255" i="2"/>
  <c r="AG1255" i="2"/>
  <c r="AI1254" i="2"/>
  <c r="AG1254" i="2"/>
  <c r="AI1253" i="2"/>
  <c r="AG1253" i="2"/>
  <c r="AI1252" i="2"/>
  <c r="AG1252" i="2"/>
  <c r="AI1251" i="2"/>
  <c r="AG1251" i="2"/>
  <c r="AI1250" i="2"/>
  <c r="AG1250" i="2"/>
  <c r="AI1249" i="2"/>
  <c r="AG1249" i="2"/>
  <c r="AI1248" i="2"/>
  <c r="AG1248" i="2"/>
  <c r="AI1247" i="2"/>
  <c r="AG1247" i="2"/>
  <c r="AI1246" i="2"/>
  <c r="AG1246" i="2"/>
  <c r="AI1245" i="2"/>
  <c r="AG1245" i="2"/>
  <c r="AI1244" i="2"/>
  <c r="AG1244" i="2"/>
  <c r="AI1243" i="2"/>
  <c r="AG1243" i="2"/>
  <c r="AI1242" i="2"/>
  <c r="AG1242" i="2"/>
  <c r="AI1241" i="2"/>
  <c r="AG1241" i="2"/>
  <c r="AI1240" i="2"/>
  <c r="AG1240" i="2"/>
  <c r="AI1239" i="2"/>
  <c r="AG1239" i="2"/>
  <c r="AI1238" i="2"/>
  <c r="AG1238" i="2"/>
  <c r="AI1237" i="2"/>
  <c r="AG1237" i="2"/>
  <c r="AI1236" i="2"/>
  <c r="AG1236" i="2"/>
  <c r="AI1235" i="2"/>
  <c r="AG1235" i="2"/>
  <c r="AI1234" i="2"/>
  <c r="AG1234" i="2"/>
  <c r="AI1233" i="2"/>
  <c r="AG1233" i="2"/>
  <c r="AI1232" i="2"/>
  <c r="AG1232" i="2"/>
  <c r="AI1231" i="2"/>
  <c r="AG1231" i="2"/>
  <c r="AI1230" i="2"/>
  <c r="AG1230" i="2"/>
  <c r="AI1229" i="2"/>
  <c r="AG1229" i="2"/>
  <c r="AI1228" i="2"/>
  <c r="AG1228" i="2"/>
  <c r="AI1227" i="2"/>
  <c r="AG1227" i="2"/>
  <c r="AI1226" i="2"/>
  <c r="AG1226" i="2"/>
  <c r="AI1225" i="2"/>
  <c r="AG1225" i="2"/>
  <c r="AI1224" i="2"/>
  <c r="AG1224" i="2"/>
  <c r="AI1223" i="2"/>
  <c r="AG1223" i="2"/>
  <c r="AI1222" i="2"/>
  <c r="AG1222" i="2"/>
  <c r="AI1221" i="2"/>
  <c r="AG1221" i="2"/>
  <c r="AI1220" i="2"/>
  <c r="AG1220" i="2"/>
  <c r="AI1219" i="2"/>
  <c r="AG1219" i="2"/>
  <c r="AI1218" i="2"/>
  <c r="AG1218" i="2"/>
  <c r="AI1217" i="2"/>
  <c r="AG1217" i="2"/>
  <c r="AI1216" i="2"/>
  <c r="AG1216" i="2"/>
  <c r="AI1215" i="2"/>
  <c r="AG1215" i="2"/>
  <c r="AI1214" i="2"/>
  <c r="AG1214" i="2"/>
  <c r="AI1213" i="2"/>
  <c r="AG1213" i="2"/>
  <c r="AI1212" i="2"/>
  <c r="AG1212" i="2"/>
  <c r="AI1211" i="2"/>
  <c r="AG1211" i="2"/>
  <c r="AI1210" i="2"/>
  <c r="AG1210" i="2"/>
  <c r="AI1209" i="2"/>
  <c r="AG1209" i="2"/>
  <c r="AI1208" i="2"/>
  <c r="AG1208" i="2"/>
  <c r="AI1207" i="2"/>
  <c r="AG1207" i="2"/>
  <c r="AI1206" i="2"/>
  <c r="AG1206" i="2"/>
  <c r="AI1205" i="2"/>
  <c r="AG1205" i="2"/>
  <c r="AI1204" i="2"/>
  <c r="AG1204" i="2"/>
  <c r="AI1203" i="2"/>
  <c r="AG1203" i="2"/>
  <c r="AI1202" i="2"/>
  <c r="AG1202" i="2"/>
  <c r="AI1201" i="2"/>
  <c r="AG1201" i="2"/>
  <c r="AI1200" i="2"/>
  <c r="AG1200" i="2"/>
  <c r="AI1199" i="2"/>
  <c r="AG1199" i="2"/>
  <c r="AI1198" i="2"/>
  <c r="AG1198" i="2"/>
  <c r="AI1197" i="2"/>
  <c r="AG1197" i="2"/>
  <c r="AI1196" i="2"/>
  <c r="AG1196" i="2"/>
  <c r="AI1195" i="2"/>
  <c r="AG1195" i="2"/>
  <c r="AI1194" i="2"/>
  <c r="AG1194" i="2"/>
  <c r="AI1193" i="2"/>
  <c r="AG1193" i="2"/>
  <c r="AI1192" i="2"/>
  <c r="AG1192" i="2"/>
  <c r="AI1191" i="2"/>
  <c r="AG1191" i="2"/>
  <c r="AI1190" i="2"/>
  <c r="AG1190" i="2"/>
  <c r="AI1189" i="2"/>
  <c r="AG1189" i="2"/>
  <c r="AI1188" i="2"/>
  <c r="AG1188" i="2"/>
  <c r="AI1187" i="2"/>
  <c r="AG1187" i="2"/>
  <c r="AI1186" i="2"/>
  <c r="AG1186" i="2"/>
  <c r="AI1185" i="2"/>
  <c r="AG1185" i="2"/>
  <c r="AI1184" i="2"/>
  <c r="AG1184" i="2"/>
  <c r="AI1183" i="2"/>
  <c r="AG1183" i="2"/>
  <c r="AI1182" i="2"/>
  <c r="AG1182" i="2"/>
  <c r="AI1181" i="2"/>
  <c r="AG1181" i="2"/>
  <c r="AI1180" i="2"/>
  <c r="AG1180" i="2"/>
  <c r="AI1179" i="2"/>
  <c r="AG1179" i="2"/>
  <c r="AI1178" i="2"/>
  <c r="AG1178" i="2"/>
  <c r="AI1177" i="2"/>
  <c r="AG1177" i="2"/>
  <c r="AI1176" i="2"/>
  <c r="AG1176" i="2"/>
  <c r="AI1175" i="2"/>
  <c r="AG1175" i="2"/>
  <c r="AI1174" i="2"/>
  <c r="AG1174" i="2"/>
  <c r="AI1173" i="2"/>
  <c r="AG1173" i="2"/>
  <c r="AI1172" i="2"/>
  <c r="AG1172" i="2"/>
  <c r="AI1171" i="2"/>
  <c r="AG1171" i="2"/>
  <c r="AI1170" i="2"/>
  <c r="AG1170" i="2"/>
  <c r="AI1169" i="2"/>
  <c r="AG1169" i="2"/>
  <c r="AI1168" i="2"/>
  <c r="AG1168" i="2"/>
  <c r="AI1167" i="2"/>
  <c r="AG1167" i="2"/>
  <c r="AI1166" i="2"/>
  <c r="AG1166" i="2"/>
  <c r="AI1165" i="2"/>
  <c r="AG1165" i="2"/>
  <c r="AI1164" i="2"/>
  <c r="AG1164" i="2"/>
  <c r="AI1163" i="2"/>
  <c r="AG1163" i="2"/>
  <c r="AI1162" i="2"/>
  <c r="AG1162" i="2"/>
  <c r="AI1161" i="2"/>
  <c r="AG1161" i="2"/>
  <c r="AI1160" i="2"/>
  <c r="AG1160" i="2"/>
  <c r="AI1159" i="2"/>
  <c r="AG1159" i="2"/>
  <c r="AI1158" i="2"/>
  <c r="AG1158" i="2"/>
  <c r="AI1157" i="2"/>
  <c r="AG1157" i="2"/>
  <c r="AI1156" i="2"/>
  <c r="AG1156" i="2"/>
  <c r="AI1155" i="2"/>
  <c r="AG1155" i="2"/>
  <c r="AI1154" i="2"/>
  <c r="AG1154" i="2"/>
  <c r="AI1153" i="2"/>
  <c r="AG1153" i="2"/>
  <c r="AI1152" i="2"/>
  <c r="AG1152" i="2"/>
  <c r="AI1151" i="2"/>
  <c r="AG1151" i="2"/>
  <c r="AI1150" i="2"/>
  <c r="AG1150" i="2"/>
  <c r="AI1149" i="2"/>
  <c r="AG1149" i="2"/>
  <c r="AI1148" i="2"/>
  <c r="AG1148" i="2"/>
  <c r="AI1147" i="2"/>
  <c r="AG1147" i="2"/>
  <c r="AI1146" i="2"/>
  <c r="AG1146" i="2"/>
  <c r="AI1145" i="2"/>
  <c r="AG1145" i="2"/>
  <c r="AI1144" i="2"/>
  <c r="AG1144" i="2"/>
  <c r="AI1143" i="2"/>
  <c r="AG1143" i="2"/>
  <c r="AI1142" i="2"/>
  <c r="AG1142" i="2"/>
  <c r="AI1141" i="2"/>
  <c r="AG1141" i="2"/>
  <c r="AI1140" i="2"/>
  <c r="AG1140" i="2"/>
  <c r="AI1139" i="2"/>
  <c r="AG1139" i="2"/>
  <c r="AI1138" i="2"/>
  <c r="AG1138" i="2"/>
  <c r="AI1137" i="2"/>
  <c r="AG1137" i="2"/>
  <c r="AI1136" i="2"/>
  <c r="AG1136" i="2"/>
  <c r="AI1135" i="2"/>
  <c r="AG1135" i="2"/>
  <c r="AI1134" i="2"/>
  <c r="AG1134" i="2"/>
  <c r="AI1133" i="2"/>
  <c r="AG1133" i="2"/>
  <c r="AI1132" i="2"/>
  <c r="AG1132" i="2"/>
  <c r="AI1131" i="2"/>
  <c r="AG1131" i="2"/>
  <c r="AI1130" i="2"/>
  <c r="AG1130" i="2"/>
  <c r="AI1129" i="2"/>
  <c r="AG1129" i="2"/>
  <c r="AI1128" i="2"/>
  <c r="AG1128" i="2"/>
  <c r="AI1127" i="2"/>
  <c r="AG1127" i="2"/>
  <c r="AI1126" i="2"/>
  <c r="AG1126" i="2"/>
  <c r="AI1125" i="2"/>
  <c r="AG1125" i="2"/>
  <c r="AI1124" i="2"/>
  <c r="AG1124" i="2"/>
  <c r="AI1123" i="2"/>
  <c r="AG1123" i="2"/>
  <c r="AI1122" i="2"/>
  <c r="AG1122" i="2"/>
  <c r="AI1121" i="2"/>
  <c r="AG1121" i="2"/>
  <c r="AI1120" i="2"/>
  <c r="AG1120" i="2"/>
  <c r="AI1119" i="2"/>
  <c r="AG1119" i="2"/>
  <c r="AI1118" i="2"/>
  <c r="AG1118" i="2"/>
  <c r="AI1117" i="2"/>
  <c r="AG1117" i="2"/>
  <c r="AI1116" i="2"/>
  <c r="AG1116" i="2"/>
  <c r="AI1115" i="2"/>
  <c r="AG1115" i="2"/>
  <c r="AI1114" i="2"/>
  <c r="AG1114" i="2"/>
  <c r="AI1113" i="2"/>
  <c r="AG1113" i="2"/>
  <c r="AI1112" i="2"/>
  <c r="AG1112" i="2"/>
  <c r="AI1111" i="2"/>
  <c r="AG1111" i="2"/>
  <c r="AI1110" i="2"/>
  <c r="AG1110" i="2"/>
  <c r="AI1109" i="2"/>
  <c r="AG1109" i="2"/>
  <c r="AI1108" i="2"/>
  <c r="AG1108" i="2"/>
  <c r="AI1107" i="2"/>
  <c r="AG1107" i="2"/>
  <c r="AI1106" i="2"/>
  <c r="AG1106" i="2"/>
  <c r="AI1105" i="2"/>
  <c r="AG1105" i="2"/>
  <c r="AI1104" i="2"/>
  <c r="AG1104" i="2"/>
  <c r="AI1103" i="2"/>
  <c r="AG1103" i="2"/>
  <c r="AI1102" i="2"/>
  <c r="AG1102" i="2"/>
  <c r="AI1101" i="2"/>
  <c r="AG1101" i="2"/>
  <c r="AI1100" i="2"/>
  <c r="AG1100" i="2"/>
  <c r="AI1099" i="2"/>
  <c r="AG1099" i="2"/>
  <c r="AI1098" i="2"/>
  <c r="AG1098" i="2"/>
  <c r="AI1097" i="2"/>
  <c r="AG1097" i="2"/>
  <c r="AI1096" i="2"/>
  <c r="AG1096" i="2"/>
  <c r="AI1095" i="2"/>
  <c r="AG1095" i="2"/>
  <c r="AI1094" i="2"/>
  <c r="AG1094" i="2"/>
  <c r="AI1093" i="2"/>
  <c r="AG1093" i="2"/>
  <c r="AI1092" i="2"/>
  <c r="AG1092" i="2"/>
  <c r="AI1091" i="2"/>
  <c r="AG1091" i="2"/>
  <c r="AI1090" i="2"/>
  <c r="AG1090" i="2"/>
  <c r="AI1089" i="2"/>
  <c r="AG1089" i="2"/>
  <c r="AI1088" i="2"/>
  <c r="AG1088" i="2"/>
  <c r="AI1087" i="2"/>
  <c r="AG1087" i="2"/>
  <c r="AI1086" i="2"/>
  <c r="AG1086" i="2"/>
  <c r="AI1085" i="2"/>
  <c r="AG1085" i="2"/>
  <c r="AI1084" i="2"/>
  <c r="AG1084" i="2"/>
  <c r="AI1083" i="2"/>
  <c r="AG1083" i="2"/>
  <c r="AI1082" i="2"/>
  <c r="AG1082" i="2"/>
  <c r="AI1081" i="2"/>
  <c r="AG1081" i="2"/>
  <c r="AI1080" i="2"/>
  <c r="AG1080" i="2"/>
  <c r="AI1079" i="2"/>
  <c r="AG1079" i="2"/>
  <c r="AI1078" i="2"/>
  <c r="AG1078" i="2"/>
  <c r="AI1077" i="2"/>
  <c r="AG1077" i="2"/>
  <c r="AI1076" i="2"/>
  <c r="AG1076" i="2"/>
  <c r="AI1075" i="2"/>
  <c r="AG1075" i="2"/>
  <c r="AI1074" i="2"/>
  <c r="AG1074" i="2"/>
  <c r="AI1073" i="2"/>
  <c r="AG1073" i="2"/>
  <c r="AI1072" i="2"/>
  <c r="AG1072" i="2"/>
  <c r="AI1071" i="2"/>
  <c r="AG1071" i="2"/>
  <c r="AI1070" i="2"/>
  <c r="AG1070" i="2"/>
  <c r="AI1069" i="2"/>
  <c r="AG1069" i="2"/>
  <c r="AI1068" i="2"/>
  <c r="AG1068" i="2"/>
  <c r="AI1067" i="2"/>
  <c r="AG1067" i="2"/>
  <c r="AI1066" i="2"/>
  <c r="AG1066" i="2"/>
  <c r="AI1065" i="2"/>
  <c r="AG1065" i="2"/>
  <c r="AI1064" i="2"/>
  <c r="AG1064" i="2"/>
  <c r="AI1063" i="2"/>
  <c r="AG1063" i="2"/>
  <c r="AI1062" i="2"/>
  <c r="AG1062" i="2"/>
  <c r="AI1061" i="2"/>
  <c r="AG1061" i="2"/>
  <c r="AI1060" i="2"/>
  <c r="AG1060" i="2"/>
  <c r="AI1059" i="2"/>
  <c r="AG1059" i="2"/>
  <c r="AI1058" i="2"/>
  <c r="AG1058" i="2"/>
  <c r="AI1057" i="2"/>
  <c r="AG1057" i="2"/>
  <c r="AI1056" i="2"/>
  <c r="AG1056" i="2"/>
  <c r="AI1055" i="2"/>
  <c r="AG1055" i="2"/>
  <c r="AI1054" i="2"/>
  <c r="AG1054" i="2"/>
  <c r="AI1053" i="2"/>
  <c r="AG1053" i="2"/>
  <c r="AI1052" i="2"/>
  <c r="AG1052" i="2"/>
  <c r="AI1051" i="2"/>
  <c r="AG1051" i="2"/>
  <c r="AI1050" i="2"/>
  <c r="AG1050" i="2"/>
  <c r="AI1049" i="2"/>
  <c r="AG1049" i="2"/>
  <c r="AI1048" i="2"/>
  <c r="AG1048" i="2"/>
  <c r="AI1047" i="2"/>
  <c r="AG1047" i="2"/>
  <c r="AI1046" i="2"/>
  <c r="AG1046" i="2"/>
  <c r="AI1045" i="2"/>
  <c r="AG1045" i="2"/>
  <c r="AI1044" i="2"/>
  <c r="AG1044" i="2"/>
  <c r="AI1043" i="2"/>
  <c r="AG1043" i="2"/>
  <c r="AI1042" i="2"/>
  <c r="AG1042" i="2"/>
  <c r="AI1041" i="2"/>
  <c r="AG1041" i="2"/>
  <c r="AI1040" i="2"/>
  <c r="AG1040" i="2"/>
  <c r="AI1039" i="2"/>
  <c r="AG1039" i="2"/>
  <c r="AI1038" i="2"/>
  <c r="AG1038" i="2"/>
  <c r="AI1037" i="2"/>
  <c r="AG1037" i="2"/>
  <c r="AI1036" i="2"/>
  <c r="AG1036" i="2"/>
  <c r="AI1035" i="2"/>
  <c r="AG1035" i="2"/>
  <c r="AI1034" i="2"/>
  <c r="AG1034" i="2"/>
  <c r="AI1033" i="2"/>
  <c r="AG1033" i="2"/>
  <c r="AI1032" i="2"/>
  <c r="AG1032" i="2"/>
  <c r="AI1031" i="2"/>
  <c r="AG1031" i="2"/>
  <c r="AI1030" i="2"/>
  <c r="AG1030" i="2"/>
  <c r="AI1029" i="2"/>
  <c r="AG1029" i="2"/>
  <c r="AI1028" i="2"/>
  <c r="AG1028" i="2"/>
  <c r="AI1027" i="2"/>
  <c r="AG1027" i="2"/>
  <c r="AI1026" i="2"/>
  <c r="AG1026" i="2"/>
  <c r="AI1025" i="2"/>
  <c r="AG1025" i="2"/>
  <c r="AI1024" i="2"/>
  <c r="AG1024" i="2"/>
  <c r="AI1023" i="2"/>
  <c r="AG1023" i="2"/>
  <c r="AI1022" i="2"/>
  <c r="AG1022" i="2"/>
  <c r="AI1021" i="2"/>
  <c r="AG1021" i="2"/>
  <c r="AI1020" i="2"/>
  <c r="AG1020" i="2"/>
  <c r="AI1019" i="2"/>
  <c r="AG1019" i="2"/>
  <c r="AI1018" i="2"/>
  <c r="AG1018" i="2"/>
  <c r="AI1017" i="2"/>
  <c r="AG1017" i="2"/>
  <c r="AI1016" i="2"/>
  <c r="AG1016" i="2"/>
  <c r="AI1015" i="2"/>
  <c r="AG1015" i="2"/>
  <c r="AI1014" i="2"/>
  <c r="AG1014" i="2"/>
  <c r="AI1013" i="2"/>
  <c r="AG1013" i="2"/>
  <c r="AI1012" i="2"/>
  <c r="AG1012" i="2"/>
  <c r="AI1011" i="2"/>
  <c r="AG1011" i="2"/>
  <c r="AI1010" i="2"/>
  <c r="AG1010" i="2"/>
  <c r="AI1009" i="2"/>
  <c r="AG1009" i="2"/>
  <c r="AI1008" i="2"/>
  <c r="AG1008" i="2"/>
  <c r="AI1007" i="2"/>
  <c r="AG1007" i="2"/>
  <c r="AI1006" i="2"/>
  <c r="AG1006" i="2"/>
  <c r="AI1005" i="2"/>
  <c r="AG1005" i="2"/>
  <c r="AI1004" i="2"/>
  <c r="AG1004" i="2"/>
  <c r="AI1003" i="2"/>
  <c r="AG1003" i="2"/>
  <c r="AI1002" i="2"/>
  <c r="AG1002" i="2"/>
  <c r="AI1001" i="2"/>
  <c r="AG1001" i="2"/>
  <c r="AB1001" i="2"/>
  <c r="AD1001" i="2" s="1"/>
  <c r="AF1001" i="2" s="1"/>
  <c r="AA1001" i="2"/>
  <c r="AC1001" i="2" s="1"/>
  <c r="AE1001" i="2" s="1"/>
  <c r="Z1001" i="2"/>
  <c r="Y1001" i="2"/>
  <c r="X1001" i="2"/>
  <c r="W1001" i="2"/>
  <c r="AI1000" i="2"/>
  <c r="AG1000" i="2"/>
  <c r="AB1000" i="2"/>
  <c r="AD1000" i="2" s="1"/>
  <c r="AF1000" i="2" s="1"/>
  <c r="AA1000" i="2"/>
  <c r="AC1000" i="2" s="1"/>
  <c r="AE1000" i="2" s="1"/>
  <c r="Z1000" i="2"/>
  <c r="Y1000" i="2"/>
  <c r="X1000" i="2"/>
  <c r="W1000" i="2"/>
  <c r="AI999" i="2"/>
  <c r="AG999" i="2"/>
  <c r="AB999" i="2"/>
  <c r="AD999" i="2" s="1"/>
  <c r="AF999" i="2" s="1"/>
  <c r="AA999" i="2"/>
  <c r="AC999" i="2" s="1"/>
  <c r="AE999" i="2" s="1"/>
  <c r="Z999" i="2"/>
  <c r="Y999" i="2"/>
  <c r="X999" i="2"/>
  <c r="W999" i="2"/>
  <c r="AI998" i="2"/>
  <c r="AG998" i="2"/>
  <c r="AB998" i="2"/>
  <c r="AD998" i="2" s="1"/>
  <c r="AF998" i="2" s="1"/>
  <c r="AA998" i="2"/>
  <c r="AC998" i="2" s="1"/>
  <c r="AE998" i="2" s="1"/>
  <c r="Z998" i="2"/>
  <c r="Y998" i="2"/>
  <c r="X998" i="2"/>
  <c r="W998" i="2"/>
  <c r="AI997" i="2"/>
  <c r="AG997" i="2"/>
  <c r="AB997" i="2"/>
  <c r="AD997" i="2" s="1"/>
  <c r="AF997" i="2" s="1"/>
  <c r="AA997" i="2"/>
  <c r="AC997" i="2" s="1"/>
  <c r="AE997" i="2" s="1"/>
  <c r="Z997" i="2"/>
  <c r="Y997" i="2"/>
  <c r="X997" i="2"/>
  <c r="W997" i="2"/>
  <c r="AI996" i="2"/>
  <c r="AG996" i="2"/>
  <c r="AB996" i="2"/>
  <c r="AD996" i="2" s="1"/>
  <c r="AF996" i="2" s="1"/>
  <c r="AA996" i="2"/>
  <c r="AC996" i="2" s="1"/>
  <c r="AE996" i="2" s="1"/>
  <c r="Z996" i="2"/>
  <c r="Y996" i="2"/>
  <c r="X996" i="2"/>
  <c r="W996" i="2"/>
  <c r="AI995" i="2"/>
  <c r="AG995" i="2"/>
  <c r="AC995" i="2"/>
  <c r="AE995" i="2" s="1"/>
  <c r="AB995" i="2"/>
  <c r="AD995" i="2" s="1"/>
  <c r="AF995" i="2" s="1"/>
  <c r="AA995" i="2"/>
  <c r="Z995" i="2"/>
  <c r="Y995" i="2"/>
  <c r="X995" i="2"/>
  <c r="W995" i="2"/>
  <c r="AI994" i="2"/>
  <c r="AG994" i="2"/>
  <c r="AB994" i="2"/>
  <c r="AD994" i="2" s="1"/>
  <c r="AF994" i="2" s="1"/>
  <c r="AA994" i="2"/>
  <c r="AC994" i="2" s="1"/>
  <c r="AE994" i="2" s="1"/>
  <c r="Z994" i="2"/>
  <c r="Y994" i="2"/>
  <c r="X994" i="2"/>
  <c r="W994" i="2"/>
  <c r="AI993" i="2"/>
  <c r="AG993" i="2"/>
  <c r="AB993" i="2"/>
  <c r="AD993" i="2" s="1"/>
  <c r="AF993" i="2" s="1"/>
  <c r="AA993" i="2"/>
  <c r="AC993" i="2" s="1"/>
  <c r="AE993" i="2" s="1"/>
  <c r="Z993" i="2"/>
  <c r="Y993" i="2"/>
  <c r="X993" i="2"/>
  <c r="W993" i="2"/>
  <c r="AI992" i="2"/>
  <c r="AG992" i="2"/>
  <c r="AB992" i="2"/>
  <c r="AD992" i="2" s="1"/>
  <c r="AF992" i="2" s="1"/>
  <c r="AA992" i="2"/>
  <c r="AC992" i="2" s="1"/>
  <c r="AE992" i="2" s="1"/>
  <c r="Z992" i="2"/>
  <c r="Y992" i="2"/>
  <c r="X992" i="2"/>
  <c r="W992" i="2"/>
  <c r="AI991" i="2"/>
  <c r="AG991" i="2"/>
  <c r="AD991" i="2"/>
  <c r="AF991" i="2" s="1"/>
  <c r="AB991" i="2"/>
  <c r="AA991" i="2"/>
  <c r="AC991" i="2" s="1"/>
  <c r="AE991" i="2" s="1"/>
  <c r="Z991" i="2"/>
  <c r="Y991" i="2"/>
  <c r="X991" i="2"/>
  <c r="W991" i="2"/>
  <c r="AI990" i="2"/>
  <c r="AG990" i="2"/>
  <c r="AB990" i="2"/>
  <c r="AD990" i="2" s="1"/>
  <c r="AF990" i="2" s="1"/>
  <c r="AA990" i="2"/>
  <c r="AC990" i="2" s="1"/>
  <c r="AE990" i="2" s="1"/>
  <c r="Z990" i="2"/>
  <c r="Y990" i="2"/>
  <c r="X990" i="2"/>
  <c r="W990" i="2"/>
  <c r="AI989" i="2"/>
  <c r="AG989" i="2"/>
  <c r="AB989" i="2"/>
  <c r="AD989" i="2" s="1"/>
  <c r="AF989" i="2" s="1"/>
  <c r="AA989" i="2"/>
  <c r="AC989" i="2" s="1"/>
  <c r="AE989" i="2" s="1"/>
  <c r="Z989" i="2"/>
  <c r="Y989" i="2"/>
  <c r="X989" i="2"/>
  <c r="W989" i="2"/>
  <c r="AI988" i="2"/>
  <c r="AG988" i="2"/>
  <c r="AB988" i="2"/>
  <c r="AD988" i="2" s="1"/>
  <c r="AF988" i="2" s="1"/>
  <c r="AA988" i="2"/>
  <c r="AC988" i="2" s="1"/>
  <c r="AE988" i="2" s="1"/>
  <c r="Z988" i="2"/>
  <c r="Y988" i="2"/>
  <c r="X988" i="2"/>
  <c r="W988" i="2"/>
  <c r="AI987" i="2"/>
  <c r="AG987" i="2"/>
  <c r="AB987" i="2"/>
  <c r="AD987" i="2" s="1"/>
  <c r="AF987" i="2" s="1"/>
  <c r="AA987" i="2"/>
  <c r="AC987" i="2" s="1"/>
  <c r="AE987" i="2" s="1"/>
  <c r="Z987" i="2"/>
  <c r="Y987" i="2"/>
  <c r="X987" i="2"/>
  <c r="W987" i="2"/>
  <c r="AI986" i="2"/>
  <c r="AG986" i="2"/>
  <c r="AB986" i="2"/>
  <c r="AD986" i="2" s="1"/>
  <c r="AF986" i="2" s="1"/>
  <c r="AA986" i="2"/>
  <c r="AC986" i="2" s="1"/>
  <c r="AE986" i="2" s="1"/>
  <c r="Z986" i="2"/>
  <c r="Y986" i="2"/>
  <c r="X986" i="2"/>
  <c r="W986" i="2"/>
  <c r="AI985" i="2"/>
  <c r="AG985" i="2"/>
  <c r="AD985" i="2"/>
  <c r="AF985" i="2" s="1"/>
  <c r="AB985" i="2"/>
  <c r="AA985" i="2"/>
  <c r="AC985" i="2" s="1"/>
  <c r="AE985" i="2" s="1"/>
  <c r="Z985" i="2"/>
  <c r="Y985" i="2"/>
  <c r="X985" i="2"/>
  <c r="W985" i="2"/>
  <c r="AI984" i="2"/>
  <c r="AG984" i="2"/>
  <c r="AB984" i="2"/>
  <c r="AD984" i="2" s="1"/>
  <c r="AF984" i="2" s="1"/>
  <c r="AA984" i="2"/>
  <c r="AC984" i="2" s="1"/>
  <c r="AE984" i="2" s="1"/>
  <c r="Z984" i="2"/>
  <c r="Y984" i="2"/>
  <c r="X984" i="2"/>
  <c r="W984" i="2"/>
  <c r="AI983" i="2"/>
  <c r="AG983" i="2"/>
  <c r="AB983" i="2"/>
  <c r="AD983" i="2" s="1"/>
  <c r="AF983" i="2" s="1"/>
  <c r="AA983" i="2"/>
  <c r="AC983" i="2" s="1"/>
  <c r="AE983" i="2" s="1"/>
  <c r="Z983" i="2"/>
  <c r="Y983" i="2"/>
  <c r="X983" i="2"/>
  <c r="W983" i="2"/>
  <c r="AI982" i="2"/>
  <c r="AG982" i="2"/>
  <c r="AB982" i="2"/>
  <c r="AD982" i="2" s="1"/>
  <c r="AF982" i="2" s="1"/>
  <c r="AA982" i="2"/>
  <c r="AC982" i="2" s="1"/>
  <c r="AE982" i="2" s="1"/>
  <c r="Z982" i="2"/>
  <c r="Y982" i="2"/>
  <c r="X982" i="2"/>
  <c r="W982" i="2"/>
  <c r="AI981" i="2"/>
  <c r="AG981" i="2"/>
  <c r="AB981" i="2"/>
  <c r="AD981" i="2" s="1"/>
  <c r="AF981" i="2" s="1"/>
  <c r="AA981" i="2"/>
  <c r="AC981" i="2" s="1"/>
  <c r="AE981" i="2" s="1"/>
  <c r="Z981" i="2"/>
  <c r="Y981" i="2"/>
  <c r="X981" i="2"/>
  <c r="W981" i="2"/>
  <c r="AI980" i="2"/>
  <c r="AG980" i="2"/>
  <c r="AB980" i="2"/>
  <c r="AD980" i="2" s="1"/>
  <c r="AF980" i="2" s="1"/>
  <c r="AA980" i="2"/>
  <c r="AC980" i="2" s="1"/>
  <c r="AE980" i="2" s="1"/>
  <c r="Z980" i="2"/>
  <c r="Y980" i="2"/>
  <c r="X980" i="2"/>
  <c r="W980" i="2"/>
  <c r="AI979" i="2"/>
  <c r="AG979" i="2"/>
  <c r="AB979" i="2"/>
  <c r="AD979" i="2" s="1"/>
  <c r="AF979" i="2" s="1"/>
  <c r="AA979" i="2"/>
  <c r="AC979" i="2" s="1"/>
  <c r="AE979" i="2" s="1"/>
  <c r="Z979" i="2"/>
  <c r="Y979" i="2"/>
  <c r="X979" i="2"/>
  <c r="W979" i="2"/>
  <c r="AI978" i="2"/>
  <c r="AG978" i="2"/>
  <c r="AB978" i="2"/>
  <c r="AD978" i="2" s="1"/>
  <c r="AF978" i="2" s="1"/>
  <c r="AA978" i="2"/>
  <c r="AC978" i="2" s="1"/>
  <c r="AE978" i="2" s="1"/>
  <c r="Z978" i="2"/>
  <c r="Y978" i="2"/>
  <c r="X978" i="2"/>
  <c r="W978" i="2"/>
  <c r="AI977" i="2"/>
  <c r="AG977" i="2"/>
  <c r="AB977" i="2"/>
  <c r="AD977" i="2" s="1"/>
  <c r="AF977" i="2" s="1"/>
  <c r="AA977" i="2"/>
  <c r="AC977" i="2" s="1"/>
  <c r="AE977" i="2" s="1"/>
  <c r="Z977" i="2"/>
  <c r="Y977" i="2"/>
  <c r="X977" i="2"/>
  <c r="W977" i="2"/>
  <c r="AI976" i="2"/>
  <c r="AG976" i="2"/>
  <c r="AB976" i="2"/>
  <c r="AD976" i="2" s="1"/>
  <c r="AF976" i="2" s="1"/>
  <c r="AA976" i="2"/>
  <c r="AC976" i="2" s="1"/>
  <c r="AE976" i="2" s="1"/>
  <c r="Z976" i="2"/>
  <c r="Y976" i="2"/>
  <c r="X976" i="2"/>
  <c r="W976" i="2"/>
  <c r="AI975" i="2"/>
  <c r="AG975" i="2"/>
  <c r="AC975" i="2"/>
  <c r="AE975" i="2" s="1"/>
  <c r="AB975" i="2"/>
  <c r="AD975" i="2" s="1"/>
  <c r="AF975" i="2" s="1"/>
  <c r="AA975" i="2"/>
  <c r="Z975" i="2"/>
  <c r="Y975" i="2"/>
  <c r="X975" i="2"/>
  <c r="W975" i="2"/>
  <c r="AI974" i="2"/>
  <c r="AG974" i="2"/>
  <c r="AB974" i="2"/>
  <c r="AD974" i="2" s="1"/>
  <c r="AF974" i="2" s="1"/>
  <c r="AA974" i="2"/>
  <c r="AC974" i="2" s="1"/>
  <c r="AE974" i="2" s="1"/>
  <c r="Z974" i="2"/>
  <c r="Y974" i="2"/>
  <c r="X974" i="2"/>
  <c r="W974" i="2"/>
  <c r="AI973" i="2"/>
  <c r="AG973" i="2"/>
  <c r="AB973" i="2"/>
  <c r="AD973" i="2" s="1"/>
  <c r="AF973" i="2" s="1"/>
  <c r="AA973" i="2"/>
  <c r="AC973" i="2" s="1"/>
  <c r="AE973" i="2" s="1"/>
  <c r="Z973" i="2"/>
  <c r="Y973" i="2"/>
  <c r="X973" i="2"/>
  <c r="W973" i="2"/>
  <c r="AI972" i="2"/>
  <c r="AG972" i="2"/>
  <c r="AB972" i="2"/>
  <c r="AD972" i="2" s="1"/>
  <c r="AF972" i="2" s="1"/>
  <c r="AA972" i="2"/>
  <c r="AC972" i="2" s="1"/>
  <c r="AE972" i="2" s="1"/>
  <c r="Z972" i="2"/>
  <c r="Y972" i="2"/>
  <c r="X972" i="2"/>
  <c r="W972" i="2"/>
  <c r="AI971" i="2"/>
  <c r="AG971" i="2"/>
  <c r="AB971" i="2"/>
  <c r="AD971" i="2" s="1"/>
  <c r="AF971" i="2" s="1"/>
  <c r="AA971" i="2"/>
  <c r="AC971" i="2" s="1"/>
  <c r="AE971" i="2" s="1"/>
  <c r="Z971" i="2"/>
  <c r="Y971" i="2"/>
  <c r="X971" i="2"/>
  <c r="W971" i="2"/>
  <c r="AI970" i="2"/>
  <c r="AG970" i="2"/>
  <c r="AB970" i="2"/>
  <c r="AD970" i="2" s="1"/>
  <c r="AF970" i="2" s="1"/>
  <c r="AA970" i="2"/>
  <c r="AC970" i="2" s="1"/>
  <c r="AE970" i="2" s="1"/>
  <c r="Z970" i="2"/>
  <c r="Y970" i="2"/>
  <c r="X970" i="2"/>
  <c r="W970" i="2"/>
  <c r="AI969" i="2"/>
  <c r="AG969" i="2"/>
  <c r="AB969" i="2"/>
  <c r="AD969" i="2" s="1"/>
  <c r="AF969" i="2" s="1"/>
  <c r="AA969" i="2"/>
  <c r="AC969" i="2" s="1"/>
  <c r="AE969" i="2" s="1"/>
  <c r="Z969" i="2"/>
  <c r="Y969" i="2"/>
  <c r="X969" i="2"/>
  <c r="W969" i="2"/>
  <c r="AI968" i="2"/>
  <c r="AG968" i="2"/>
  <c r="AB968" i="2"/>
  <c r="AD968" i="2" s="1"/>
  <c r="AF968" i="2" s="1"/>
  <c r="AA968" i="2"/>
  <c r="AC968" i="2" s="1"/>
  <c r="AE968" i="2" s="1"/>
  <c r="Z968" i="2"/>
  <c r="Y968" i="2"/>
  <c r="X968" i="2"/>
  <c r="W968" i="2"/>
  <c r="AI967" i="2"/>
  <c r="AG967" i="2"/>
  <c r="AB967" i="2"/>
  <c r="AD967" i="2" s="1"/>
  <c r="AF967" i="2" s="1"/>
  <c r="AA967" i="2"/>
  <c r="AC967" i="2" s="1"/>
  <c r="AE967" i="2" s="1"/>
  <c r="Z967" i="2"/>
  <c r="Y967" i="2"/>
  <c r="X967" i="2"/>
  <c r="W967" i="2"/>
  <c r="AI966" i="2"/>
  <c r="AG966" i="2"/>
  <c r="AC966" i="2"/>
  <c r="AE966" i="2" s="1"/>
  <c r="AB966" i="2"/>
  <c r="AD966" i="2" s="1"/>
  <c r="AF966" i="2" s="1"/>
  <c r="AA966" i="2"/>
  <c r="Z966" i="2"/>
  <c r="Y966" i="2"/>
  <c r="X966" i="2"/>
  <c r="W966" i="2"/>
  <c r="AI965" i="2"/>
  <c r="AG965" i="2"/>
  <c r="AB965" i="2"/>
  <c r="AD965" i="2" s="1"/>
  <c r="AF965" i="2" s="1"/>
  <c r="AA965" i="2"/>
  <c r="AC965" i="2" s="1"/>
  <c r="AE965" i="2" s="1"/>
  <c r="Z965" i="2"/>
  <c r="Y965" i="2"/>
  <c r="X965" i="2"/>
  <c r="W965" i="2"/>
  <c r="AI964" i="2"/>
  <c r="AG964" i="2"/>
  <c r="AB964" i="2"/>
  <c r="AD964" i="2" s="1"/>
  <c r="AF964" i="2" s="1"/>
  <c r="AA964" i="2"/>
  <c r="AC964" i="2" s="1"/>
  <c r="AE964" i="2" s="1"/>
  <c r="Z964" i="2"/>
  <c r="Y964" i="2"/>
  <c r="X964" i="2"/>
  <c r="W964" i="2"/>
  <c r="AI963" i="2"/>
  <c r="AG963" i="2"/>
  <c r="AB963" i="2"/>
  <c r="AD963" i="2" s="1"/>
  <c r="AF963" i="2" s="1"/>
  <c r="AA963" i="2"/>
  <c r="AC963" i="2" s="1"/>
  <c r="AE963" i="2" s="1"/>
  <c r="Z963" i="2"/>
  <c r="Y963" i="2"/>
  <c r="X963" i="2"/>
  <c r="W963" i="2"/>
  <c r="AI962" i="2"/>
  <c r="AG962" i="2"/>
  <c r="AB962" i="2"/>
  <c r="AD962" i="2" s="1"/>
  <c r="AF962" i="2" s="1"/>
  <c r="AA962" i="2"/>
  <c r="AC962" i="2" s="1"/>
  <c r="AE962" i="2" s="1"/>
  <c r="Z962" i="2"/>
  <c r="Y962" i="2"/>
  <c r="X962" i="2"/>
  <c r="W962" i="2"/>
  <c r="AI961" i="2"/>
  <c r="AG961" i="2"/>
  <c r="AB961" i="2"/>
  <c r="AD961" i="2" s="1"/>
  <c r="AF961" i="2" s="1"/>
  <c r="AA961" i="2"/>
  <c r="AC961" i="2" s="1"/>
  <c r="AE961" i="2" s="1"/>
  <c r="Z961" i="2"/>
  <c r="Y961" i="2"/>
  <c r="X961" i="2"/>
  <c r="W961" i="2"/>
  <c r="AI960" i="2"/>
  <c r="AG960" i="2"/>
  <c r="AB960" i="2"/>
  <c r="AD960" i="2" s="1"/>
  <c r="AF960" i="2" s="1"/>
  <c r="AA960" i="2"/>
  <c r="AC960" i="2" s="1"/>
  <c r="AE960" i="2" s="1"/>
  <c r="Z960" i="2"/>
  <c r="Y960" i="2"/>
  <c r="X960" i="2"/>
  <c r="W960" i="2"/>
  <c r="AI959" i="2"/>
  <c r="AG959" i="2"/>
  <c r="AC959" i="2"/>
  <c r="AE959" i="2" s="1"/>
  <c r="AB959" i="2"/>
  <c r="AD959" i="2" s="1"/>
  <c r="AF959" i="2" s="1"/>
  <c r="AA959" i="2"/>
  <c r="Z959" i="2"/>
  <c r="Y959" i="2"/>
  <c r="X959" i="2"/>
  <c r="W959" i="2"/>
  <c r="AI958" i="2"/>
  <c r="AG958" i="2"/>
  <c r="AB958" i="2"/>
  <c r="AD958" i="2" s="1"/>
  <c r="AF958" i="2" s="1"/>
  <c r="AA958" i="2"/>
  <c r="AC958" i="2" s="1"/>
  <c r="AE958" i="2" s="1"/>
  <c r="Z958" i="2"/>
  <c r="Y958" i="2"/>
  <c r="X958" i="2"/>
  <c r="W958" i="2"/>
  <c r="AI957" i="2"/>
  <c r="AG957" i="2"/>
  <c r="AB957" i="2"/>
  <c r="AD957" i="2" s="1"/>
  <c r="AF957" i="2" s="1"/>
  <c r="AA957" i="2"/>
  <c r="AC957" i="2" s="1"/>
  <c r="AE957" i="2" s="1"/>
  <c r="Z957" i="2"/>
  <c r="Y957" i="2"/>
  <c r="X957" i="2"/>
  <c r="W957" i="2"/>
  <c r="AI956" i="2"/>
  <c r="AG956" i="2"/>
  <c r="AB956" i="2"/>
  <c r="AD956" i="2" s="1"/>
  <c r="AF956" i="2" s="1"/>
  <c r="AA956" i="2"/>
  <c r="AC956" i="2" s="1"/>
  <c r="AE956" i="2" s="1"/>
  <c r="Z956" i="2"/>
  <c r="Y956" i="2"/>
  <c r="X956" i="2"/>
  <c r="W956" i="2"/>
  <c r="AI955" i="2"/>
  <c r="AG955" i="2"/>
  <c r="AB955" i="2"/>
  <c r="AD955" i="2" s="1"/>
  <c r="AF955" i="2" s="1"/>
  <c r="AA955" i="2"/>
  <c r="AC955" i="2" s="1"/>
  <c r="AE955" i="2" s="1"/>
  <c r="Z955" i="2"/>
  <c r="Y955" i="2"/>
  <c r="X955" i="2"/>
  <c r="W955" i="2"/>
  <c r="AI954" i="2"/>
  <c r="AG954" i="2"/>
  <c r="AC954" i="2"/>
  <c r="AE954" i="2" s="1"/>
  <c r="AB954" i="2"/>
  <c r="AD954" i="2" s="1"/>
  <c r="AF954" i="2" s="1"/>
  <c r="AA954" i="2"/>
  <c r="Z954" i="2"/>
  <c r="Y954" i="2"/>
  <c r="X954" i="2"/>
  <c r="W954" i="2"/>
  <c r="AI953" i="2"/>
  <c r="AG953" i="2"/>
  <c r="AB953" i="2"/>
  <c r="AD953" i="2" s="1"/>
  <c r="AF953" i="2" s="1"/>
  <c r="AA953" i="2"/>
  <c r="AC953" i="2" s="1"/>
  <c r="AE953" i="2" s="1"/>
  <c r="Z953" i="2"/>
  <c r="Y953" i="2"/>
  <c r="X953" i="2"/>
  <c r="W953" i="2"/>
  <c r="AI952" i="2"/>
  <c r="AG952" i="2"/>
  <c r="AB952" i="2"/>
  <c r="AD952" i="2" s="1"/>
  <c r="AF952" i="2" s="1"/>
  <c r="AA952" i="2"/>
  <c r="AC952" i="2" s="1"/>
  <c r="AE952" i="2" s="1"/>
  <c r="Z952" i="2"/>
  <c r="Y952" i="2"/>
  <c r="X952" i="2"/>
  <c r="W952" i="2"/>
  <c r="AI951" i="2"/>
  <c r="AG951" i="2"/>
  <c r="AB951" i="2"/>
  <c r="AD951" i="2" s="1"/>
  <c r="AF951" i="2" s="1"/>
  <c r="AA951" i="2"/>
  <c r="AC951" i="2" s="1"/>
  <c r="AE951" i="2" s="1"/>
  <c r="Z951" i="2"/>
  <c r="Y951" i="2"/>
  <c r="X951" i="2"/>
  <c r="W951" i="2"/>
  <c r="AI950" i="2"/>
  <c r="AG950" i="2"/>
  <c r="AB950" i="2"/>
  <c r="AD950" i="2" s="1"/>
  <c r="AF950" i="2" s="1"/>
  <c r="AA950" i="2"/>
  <c r="AC950" i="2" s="1"/>
  <c r="AE950" i="2" s="1"/>
  <c r="Z950" i="2"/>
  <c r="Y950" i="2"/>
  <c r="X950" i="2"/>
  <c r="W950" i="2"/>
  <c r="AI949" i="2"/>
  <c r="AG949" i="2"/>
  <c r="AB949" i="2"/>
  <c r="AD949" i="2" s="1"/>
  <c r="AF949" i="2" s="1"/>
  <c r="AA949" i="2"/>
  <c r="AC949" i="2" s="1"/>
  <c r="AE949" i="2" s="1"/>
  <c r="Z949" i="2"/>
  <c r="Y949" i="2"/>
  <c r="X949" i="2"/>
  <c r="W949" i="2"/>
  <c r="AI948" i="2"/>
  <c r="AG948" i="2"/>
  <c r="AB948" i="2"/>
  <c r="AD948" i="2" s="1"/>
  <c r="AF948" i="2" s="1"/>
  <c r="AA948" i="2"/>
  <c r="AC948" i="2" s="1"/>
  <c r="AE948" i="2" s="1"/>
  <c r="Z948" i="2"/>
  <c r="Y948" i="2"/>
  <c r="X948" i="2"/>
  <c r="W948" i="2"/>
  <c r="AI947" i="2"/>
  <c r="AG947" i="2"/>
  <c r="AB947" i="2"/>
  <c r="AD947" i="2" s="1"/>
  <c r="AF947" i="2" s="1"/>
  <c r="AA947" i="2"/>
  <c r="AC947" i="2" s="1"/>
  <c r="AE947" i="2" s="1"/>
  <c r="Z947" i="2"/>
  <c r="Y947" i="2"/>
  <c r="X947" i="2"/>
  <c r="W947" i="2"/>
  <c r="AI946" i="2"/>
  <c r="AG946" i="2"/>
  <c r="AD946" i="2"/>
  <c r="AF946" i="2" s="1"/>
  <c r="AB946" i="2"/>
  <c r="AA946" i="2"/>
  <c r="AC946" i="2" s="1"/>
  <c r="AE946" i="2" s="1"/>
  <c r="Z946" i="2"/>
  <c r="Y946" i="2"/>
  <c r="X946" i="2"/>
  <c r="W946" i="2"/>
  <c r="AI945" i="2"/>
  <c r="AG945" i="2"/>
  <c r="AB945" i="2"/>
  <c r="AD945" i="2" s="1"/>
  <c r="AF945" i="2" s="1"/>
  <c r="AA945" i="2"/>
  <c r="AC945" i="2" s="1"/>
  <c r="AE945" i="2" s="1"/>
  <c r="Z945" i="2"/>
  <c r="Y945" i="2"/>
  <c r="X945" i="2"/>
  <c r="W945" i="2"/>
  <c r="AI944" i="2"/>
  <c r="AG944" i="2"/>
  <c r="AB944" i="2"/>
  <c r="AD944" i="2" s="1"/>
  <c r="AF944" i="2" s="1"/>
  <c r="AA944" i="2"/>
  <c r="AC944" i="2" s="1"/>
  <c r="AE944" i="2" s="1"/>
  <c r="Z944" i="2"/>
  <c r="Y944" i="2"/>
  <c r="X944" i="2"/>
  <c r="W944" i="2"/>
  <c r="AI943" i="2"/>
  <c r="AG943" i="2"/>
  <c r="AB943" i="2"/>
  <c r="AD943" i="2" s="1"/>
  <c r="AF943" i="2" s="1"/>
  <c r="AA943" i="2"/>
  <c r="AC943" i="2" s="1"/>
  <c r="AE943" i="2" s="1"/>
  <c r="Z943" i="2"/>
  <c r="Y943" i="2"/>
  <c r="X943" i="2"/>
  <c r="W943" i="2"/>
  <c r="AI942" i="2"/>
  <c r="AG942" i="2"/>
  <c r="AB942" i="2"/>
  <c r="AD942" i="2" s="1"/>
  <c r="AF942" i="2" s="1"/>
  <c r="AA942" i="2"/>
  <c r="AC942" i="2" s="1"/>
  <c r="AE942" i="2" s="1"/>
  <c r="Z942" i="2"/>
  <c r="Y942" i="2"/>
  <c r="X942" i="2"/>
  <c r="W942" i="2"/>
  <c r="AI941" i="2"/>
  <c r="AG941" i="2"/>
  <c r="AB941" i="2"/>
  <c r="AD941" i="2" s="1"/>
  <c r="AF941" i="2" s="1"/>
  <c r="AA941" i="2"/>
  <c r="AC941" i="2" s="1"/>
  <c r="AE941" i="2" s="1"/>
  <c r="Z941" i="2"/>
  <c r="Y941" i="2"/>
  <c r="X941" i="2"/>
  <c r="W941" i="2"/>
  <c r="AI940" i="2"/>
  <c r="AG940" i="2"/>
  <c r="AB940" i="2"/>
  <c r="AD940" i="2" s="1"/>
  <c r="AF940" i="2" s="1"/>
  <c r="AA940" i="2"/>
  <c r="AC940" i="2" s="1"/>
  <c r="AE940" i="2" s="1"/>
  <c r="Z940" i="2"/>
  <c r="Y940" i="2"/>
  <c r="X940" i="2"/>
  <c r="W940" i="2"/>
  <c r="AI939" i="2"/>
  <c r="AG939" i="2"/>
  <c r="AB939" i="2"/>
  <c r="AD939" i="2" s="1"/>
  <c r="AF939" i="2" s="1"/>
  <c r="AA939" i="2"/>
  <c r="AC939" i="2" s="1"/>
  <c r="AE939" i="2" s="1"/>
  <c r="Z939" i="2"/>
  <c r="Y939" i="2"/>
  <c r="X939" i="2"/>
  <c r="W939" i="2"/>
  <c r="AI938" i="2"/>
  <c r="AG938" i="2"/>
  <c r="AB938" i="2"/>
  <c r="AD938" i="2" s="1"/>
  <c r="AF938" i="2" s="1"/>
  <c r="AA938" i="2"/>
  <c r="AC938" i="2" s="1"/>
  <c r="AE938" i="2" s="1"/>
  <c r="Z938" i="2"/>
  <c r="Y938" i="2"/>
  <c r="X938" i="2"/>
  <c r="W938" i="2"/>
  <c r="AI937" i="2"/>
  <c r="AG937" i="2"/>
  <c r="AB937" i="2"/>
  <c r="AD937" i="2" s="1"/>
  <c r="AF937" i="2" s="1"/>
  <c r="AA937" i="2"/>
  <c r="AC937" i="2" s="1"/>
  <c r="AE937" i="2" s="1"/>
  <c r="Z937" i="2"/>
  <c r="Y937" i="2"/>
  <c r="X937" i="2"/>
  <c r="W937" i="2"/>
  <c r="AI936" i="2"/>
  <c r="AG936" i="2"/>
  <c r="AC936" i="2"/>
  <c r="AE936" i="2" s="1"/>
  <c r="AB936" i="2"/>
  <c r="AD936" i="2" s="1"/>
  <c r="AF936" i="2" s="1"/>
  <c r="AA936" i="2"/>
  <c r="Z936" i="2"/>
  <c r="Y936" i="2"/>
  <c r="X936" i="2"/>
  <c r="W936" i="2"/>
  <c r="AI935" i="2"/>
  <c r="AG935" i="2"/>
  <c r="AB935" i="2"/>
  <c r="AD935" i="2" s="1"/>
  <c r="AF935" i="2" s="1"/>
  <c r="AA935" i="2"/>
  <c r="AC935" i="2" s="1"/>
  <c r="AE935" i="2" s="1"/>
  <c r="Z935" i="2"/>
  <c r="Y935" i="2"/>
  <c r="X935" i="2"/>
  <c r="W935" i="2"/>
  <c r="AI934" i="2"/>
  <c r="AG934" i="2"/>
  <c r="AD934" i="2"/>
  <c r="AF934" i="2" s="1"/>
  <c r="AB934" i="2"/>
  <c r="AA934" i="2"/>
  <c r="AC934" i="2" s="1"/>
  <c r="AE934" i="2" s="1"/>
  <c r="Z934" i="2"/>
  <c r="Y934" i="2"/>
  <c r="X934" i="2"/>
  <c r="W934" i="2"/>
  <c r="AI933" i="2"/>
  <c r="AG933" i="2"/>
  <c r="AB933" i="2"/>
  <c r="AD933" i="2" s="1"/>
  <c r="AF933" i="2" s="1"/>
  <c r="AA933" i="2"/>
  <c r="AC933" i="2" s="1"/>
  <c r="AE933" i="2" s="1"/>
  <c r="Z933" i="2"/>
  <c r="Y933" i="2"/>
  <c r="X933" i="2"/>
  <c r="W933" i="2"/>
  <c r="AI932" i="2"/>
  <c r="AG932" i="2"/>
  <c r="AB932" i="2"/>
  <c r="AD932" i="2" s="1"/>
  <c r="AF932" i="2" s="1"/>
  <c r="AA932" i="2"/>
  <c r="AC932" i="2" s="1"/>
  <c r="AE932" i="2" s="1"/>
  <c r="Z932" i="2"/>
  <c r="Y932" i="2"/>
  <c r="X932" i="2"/>
  <c r="W932" i="2"/>
  <c r="AI931" i="2"/>
  <c r="AG931" i="2"/>
  <c r="AB931" i="2"/>
  <c r="AD931" i="2" s="1"/>
  <c r="AF931" i="2" s="1"/>
  <c r="AA931" i="2"/>
  <c r="AC931" i="2" s="1"/>
  <c r="AE931" i="2" s="1"/>
  <c r="Z931" i="2"/>
  <c r="Y931" i="2"/>
  <c r="X931" i="2"/>
  <c r="W931" i="2"/>
  <c r="AI930" i="2"/>
  <c r="AG930" i="2"/>
  <c r="AB930" i="2"/>
  <c r="AD930" i="2" s="1"/>
  <c r="AF930" i="2" s="1"/>
  <c r="AA930" i="2"/>
  <c r="AC930" i="2" s="1"/>
  <c r="AE930" i="2" s="1"/>
  <c r="Z930" i="2"/>
  <c r="Y930" i="2"/>
  <c r="X930" i="2"/>
  <c r="W930" i="2"/>
  <c r="AI929" i="2"/>
  <c r="AG929" i="2"/>
  <c r="AB929" i="2"/>
  <c r="AD929" i="2" s="1"/>
  <c r="AF929" i="2" s="1"/>
  <c r="AA929" i="2"/>
  <c r="AC929" i="2" s="1"/>
  <c r="AE929" i="2" s="1"/>
  <c r="Z929" i="2"/>
  <c r="Y929" i="2"/>
  <c r="X929" i="2"/>
  <c r="W929" i="2"/>
  <c r="AI928" i="2"/>
  <c r="AG928" i="2"/>
  <c r="AB928" i="2"/>
  <c r="AD928" i="2" s="1"/>
  <c r="AF928" i="2" s="1"/>
  <c r="AA928" i="2"/>
  <c r="AC928" i="2" s="1"/>
  <c r="AE928" i="2" s="1"/>
  <c r="Z928" i="2"/>
  <c r="Y928" i="2"/>
  <c r="X928" i="2"/>
  <c r="W928" i="2"/>
  <c r="AI927" i="2"/>
  <c r="AG927" i="2"/>
  <c r="AB927" i="2"/>
  <c r="AD927" i="2" s="1"/>
  <c r="AF927" i="2" s="1"/>
  <c r="AA927" i="2"/>
  <c r="AC927" i="2" s="1"/>
  <c r="AE927" i="2" s="1"/>
  <c r="Z927" i="2"/>
  <c r="Y927" i="2"/>
  <c r="X927" i="2"/>
  <c r="W927" i="2"/>
  <c r="AI926" i="2"/>
  <c r="AG926" i="2"/>
  <c r="AB926" i="2"/>
  <c r="AD926" i="2" s="1"/>
  <c r="AF926" i="2" s="1"/>
  <c r="AA926" i="2"/>
  <c r="AC926" i="2" s="1"/>
  <c r="AE926" i="2" s="1"/>
  <c r="Z926" i="2"/>
  <c r="Y926" i="2"/>
  <c r="X926" i="2"/>
  <c r="W926" i="2"/>
  <c r="AI925" i="2"/>
  <c r="AG925" i="2"/>
  <c r="AD925" i="2"/>
  <c r="AF925" i="2" s="1"/>
  <c r="AB925" i="2"/>
  <c r="AA925" i="2"/>
  <c r="AC925" i="2" s="1"/>
  <c r="AE925" i="2" s="1"/>
  <c r="Z925" i="2"/>
  <c r="Y925" i="2"/>
  <c r="X925" i="2"/>
  <c r="W925" i="2"/>
  <c r="AI924" i="2"/>
  <c r="AG924" i="2"/>
  <c r="AB924" i="2"/>
  <c r="AD924" i="2" s="1"/>
  <c r="AF924" i="2" s="1"/>
  <c r="AA924" i="2"/>
  <c r="AC924" i="2" s="1"/>
  <c r="AE924" i="2" s="1"/>
  <c r="Z924" i="2"/>
  <c r="Y924" i="2"/>
  <c r="X924" i="2"/>
  <c r="W924" i="2"/>
  <c r="AI923" i="2"/>
  <c r="AG923" i="2"/>
  <c r="AB923" i="2"/>
  <c r="AD923" i="2" s="1"/>
  <c r="AF923" i="2" s="1"/>
  <c r="AA923" i="2"/>
  <c r="AC923" i="2" s="1"/>
  <c r="AE923" i="2" s="1"/>
  <c r="Z923" i="2"/>
  <c r="Y923" i="2"/>
  <c r="X923" i="2"/>
  <c r="W923" i="2"/>
  <c r="AI922" i="2"/>
  <c r="AG922" i="2"/>
  <c r="AB922" i="2"/>
  <c r="AD922" i="2" s="1"/>
  <c r="AF922" i="2" s="1"/>
  <c r="AA922" i="2"/>
  <c r="AC922" i="2" s="1"/>
  <c r="AE922" i="2" s="1"/>
  <c r="Z922" i="2"/>
  <c r="Y922" i="2"/>
  <c r="X922" i="2"/>
  <c r="W922" i="2"/>
  <c r="AI921" i="2"/>
  <c r="AG921" i="2"/>
  <c r="AC921" i="2"/>
  <c r="AE921" i="2" s="1"/>
  <c r="AB921" i="2"/>
  <c r="AD921" i="2" s="1"/>
  <c r="AF921" i="2" s="1"/>
  <c r="AA921" i="2"/>
  <c r="Z921" i="2"/>
  <c r="Y921" i="2"/>
  <c r="X921" i="2"/>
  <c r="W921" i="2"/>
  <c r="AI920" i="2"/>
  <c r="AG920" i="2"/>
  <c r="AB920" i="2"/>
  <c r="AD920" i="2" s="1"/>
  <c r="AF920" i="2" s="1"/>
  <c r="AA920" i="2"/>
  <c r="AC920" i="2" s="1"/>
  <c r="AE920" i="2" s="1"/>
  <c r="Z920" i="2"/>
  <c r="Y920" i="2"/>
  <c r="X920" i="2"/>
  <c r="W920" i="2"/>
  <c r="AI919" i="2"/>
  <c r="AG919" i="2"/>
  <c r="AB919" i="2"/>
  <c r="AD919" i="2" s="1"/>
  <c r="AF919" i="2" s="1"/>
  <c r="AA919" i="2"/>
  <c r="AC919" i="2" s="1"/>
  <c r="AE919" i="2" s="1"/>
  <c r="Z919" i="2"/>
  <c r="Y919" i="2"/>
  <c r="X919" i="2"/>
  <c r="W919" i="2"/>
  <c r="AI918" i="2"/>
  <c r="AG918" i="2"/>
  <c r="AD918" i="2"/>
  <c r="AF918" i="2" s="1"/>
  <c r="AC918" i="2"/>
  <c r="AE918" i="2" s="1"/>
  <c r="AB918" i="2"/>
  <c r="AA918" i="2"/>
  <c r="Z918" i="2"/>
  <c r="Y918" i="2"/>
  <c r="X918" i="2"/>
  <c r="W918" i="2"/>
  <c r="AI917" i="2"/>
  <c r="AG917" i="2"/>
  <c r="AB917" i="2"/>
  <c r="AD917" i="2" s="1"/>
  <c r="AF917" i="2" s="1"/>
  <c r="AA917" i="2"/>
  <c r="AC917" i="2" s="1"/>
  <c r="AE917" i="2" s="1"/>
  <c r="Z917" i="2"/>
  <c r="Y917" i="2"/>
  <c r="X917" i="2"/>
  <c r="W917" i="2"/>
  <c r="AI916" i="2"/>
  <c r="AG916" i="2"/>
  <c r="AB916" i="2"/>
  <c r="AD916" i="2" s="1"/>
  <c r="AF916" i="2" s="1"/>
  <c r="AA916" i="2"/>
  <c r="AC916" i="2" s="1"/>
  <c r="AE916" i="2" s="1"/>
  <c r="Z916" i="2"/>
  <c r="Y916" i="2"/>
  <c r="X916" i="2"/>
  <c r="W916" i="2"/>
  <c r="AI915" i="2"/>
  <c r="AG915" i="2"/>
  <c r="AB915" i="2"/>
  <c r="AD915" i="2" s="1"/>
  <c r="AF915" i="2" s="1"/>
  <c r="AA915" i="2"/>
  <c r="AC915" i="2" s="1"/>
  <c r="AE915" i="2" s="1"/>
  <c r="Z915" i="2"/>
  <c r="Y915" i="2"/>
  <c r="X915" i="2"/>
  <c r="W915" i="2"/>
  <c r="AI914" i="2"/>
  <c r="AG914" i="2"/>
  <c r="AB914" i="2"/>
  <c r="AD914" i="2" s="1"/>
  <c r="AF914" i="2" s="1"/>
  <c r="AA914" i="2"/>
  <c r="AC914" i="2" s="1"/>
  <c r="AE914" i="2" s="1"/>
  <c r="Z914" i="2"/>
  <c r="Y914" i="2"/>
  <c r="X914" i="2"/>
  <c r="W914" i="2"/>
  <c r="AI913" i="2"/>
  <c r="AG913" i="2"/>
  <c r="AD913" i="2"/>
  <c r="AF913" i="2" s="1"/>
  <c r="AB913" i="2"/>
  <c r="AA913" i="2"/>
  <c r="AC913" i="2" s="1"/>
  <c r="AE913" i="2" s="1"/>
  <c r="Z913" i="2"/>
  <c r="Y913" i="2"/>
  <c r="X913" i="2"/>
  <c r="W913" i="2"/>
  <c r="AI912" i="2"/>
  <c r="AG912" i="2"/>
  <c r="AB912" i="2"/>
  <c r="AD912" i="2" s="1"/>
  <c r="AF912" i="2" s="1"/>
  <c r="AA912" i="2"/>
  <c r="AC912" i="2" s="1"/>
  <c r="AE912" i="2" s="1"/>
  <c r="Z912" i="2"/>
  <c r="Y912" i="2"/>
  <c r="X912" i="2"/>
  <c r="W912" i="2"/>
  <c r="AI911" i="2"/>
  <c r="AG911" i="2"/>
  <c r="AD911" i="2"/>
  <c r="AF911" i="2" s="1"/>
  <c r="AB911" i="2"/>
  <c r="AA911" i="2"/>
  <c r="AC911" i="2" s="1"/>
  <c r="AE911" i="2" s="1"/>
  <c r="Z911" i="2"/>
  <c r="Y911" i="2"/>
  <c r="X911" i="2"/>
  <c r="W911" i="2"/>
  <c r="AI910" i="2"/>
  <c r="AG910" i="2"/>
  <c r="AB910" i="2"/>
  <c r="AD910" i="2" s="1"/>
  <c r="AF910" i="2" s="1"/>
  <c r="AA910" i="2"/>
  <c r="AC910" i="2" s="1"/>
  <c r="AE910" i="2" s="1"/>
  <c r="Z910" i="2"/>
  <c r="Y910" i="2"/>
  <c r="X910" i="2"/>
  <c r="W910" i="2"/>
  <c r="AI909" i="2"/>
  <c r="AG909" i="2"/>
  <c r="AB909" i="2"/>
  <c r="AD909" i="2" s="1"/>
  <c r="AF909" i="2" s="1"/>
  <c r="AA909" i="2"/>
  <c r="AC909" i="2" s="1"/>
  <c r="AE909" i="2" s="1"/>
  <c r="Z909" i="2"/>
  <c r="Y909" i="2"/>
  <c r="X909" i="2"/>
  <c r="W909" i="2"/>
  <c r="AI908" i="2"/>
  <c r="AG908" i="2"/>
  <c r="AB908" i="2"/>
  <c r="AD908" i="2" s="1"/>
  <c r="AF908" i="2" s="1"/>
  <c r="AA908" i="2"/>
  <c r="AC908" i="2" s="1"/>
  <c r="AE908" i="2" s="1"/>
  <c r="Z908" i="2"/>
  <c r="Y908" i="2"/>
  <c r="X908" i="2"/>
  <c r="W908" i="2"/>
  <c r="AI907" i="2"/>
  <c r="AG907" i="2"/>
  <c r="AB907" i="2"/>
  <c r="AD907" i="2" s="1"/>
  <c r="AF907" i="2" s="1"/>
  <c r="AA907" i="2"/>
  <c r="AC907" i="2" s="1"/>
  <c r="AE907" i="2" s="1"/>
  <c r="Z907" i="2"/>
  <c r="Y907" i="2"/>
  <c r="X907" i="2"/>
  <c r="W907" i="2"/>
  <c r="AI906" i="2"/>
  <c r="AG906" i="2"/>
  <c r="AB906" i="2"/>
  <c r="AD906" i="2" s="1"/>
  <c r="AF906" i="2" s="1"/>
  <c r="AA906" i="2"/>
  <c r="AC906" i="2" s="1"/>
  <c r="AE906" i="2" s="1"/>
  <c r="Z906" i="2"/>
  <c r="Y906" i="2"/>
  <c r="X906" i="2"/>
  <c r="W906" i="2"/>
  <c r="AI905" i="2"/>
  <c r="AG905" i="2"/>
  <c r="AB905" i="2"/>
  <c r="AD905" i="2" s="1"/>
  <c r="AF905" i="2" s="1"/>
  <c r="AA905" i="2"/>
  <c r="AC905" i="2" s="1"/>
  <c r="AE905" i="2" s="1"/>
  <c r="Z905" i="2"/>
  <c r="Y905" i="2"/>
  <c r="X905" i="2"/>
  <c r="W905" i="2"/>
  <c r="AI904" i="2"/>
  <c r="AG904" i="2"/>
  <c r="AB904" i="2"/>
  <c r="AD904" i="2" s="1"/>
  <c r="AF904" i="2" s="1"/>
  <c r="AA904" i="2"/>
  <c r="AC904" i="2" s="1"/>
  <c r="AE904" i="2" s="1"/>
  <c r="Z904" i="2"/>
  <c r="Y904" i="2"/>
  <c r="X904" i="2"/>
  <c r="W904" i="2"/>
  <c r="AI903" i="2"/>
  <c r="AG903" i="2"/>
  <c r="AB903" i="2"/>
  <c r="AD903" i="2" s="1"/>
  <c r="AF903" i="2" s="1"/>
  <c r="AA903" i="2"/>
  <c r="AC903" i="2" s="1"/>
  <c r="AE903" i="2" s="1"/>
  <c r="Z903" i="2"/>
  <c r="Y903" i="2"/>
  <c r="X903" i="2"/>
  <c r="W903" i="2"/>
  <c r="AI902" i="2"/>
  <c r="AG902" i="2"/>
  <c r="AB902" i="2"/>
  <c r="AD902" i="2" s="1"/>
  <c r="AF902" i="2" s="1"/>
  <c r="AA902" i="2"/>
  <c r="AC902" i="2" s="1"/>
  <c r="AE902" i="2" s="1"/>
  <c r="Z902" i="2"/>
  <c r="Y902" i="2"/>
  <c r="X902" i="2"/>
  <c r="W902" i="2"/>
  <c r="AI901" i="2"/>
  <c r="AG901" i="2"/>
  <c r="AB901" i="2"/>
  <c r="AD901" i="2" s="1"/>
  <c r="AF901" i="2" s="1"/>
  <c r="AA901" i="2"/>
  <c r="AC901" i="2" s="1"/>
  <c r="AE901" i="2" s="1"/>
  <c r="Z901" i="2"/>
  <c r="Y901" i="2"/>
  <c r="X901" i="2"/>
  <c r="W901" i="2"/>
  <c r="AI900" i="2"/>
  <c r="AG900" i="2"/>
  <c r="AB900" i="2"/>
  <c r="AD900" i="2" s="1"/>
  <c r="AF900" i="2" s="1"/>
  <c r="AA900" i="2"/>
  <c r="AC900" i="2" s="1"/>
  <c r="AE900" i="2" s="1"/>
  <c r="Z900" i="2"/>
  <c r="Y900" i="2"/>
  <c r="X900" i="2"/>
  <c r="W900" i="2"/>
  <c r="AI899" i="2"/>
  <c r="AG899" i="2"/>
  <c r="AB899" i="2"/>
  <c r="AD899" i="2" s="1"/>
  <c r="AF899" i="2" s="1"/>
  <c r="AA899" i="2"/>
  <c r="AC899" i="2" s="1"/>
  <c r="AE899" i="2" s="1"/>
  <c r="Z899" i="2"/>
  <c r="Y899" i="2"/>
  <c r="X899" i="2"/>
  <c r="W899" i="2"/>
  <c r="AI898" i="2"/>
  <c r="AG898" i="2"/>
  <c r="AB898" i="2"/>
  <c r="AD898" i="2" s="1"/>
  <c r="AF898" i="2" s="1"/>
  <c r="AA898" i="2"/>
  <c r="AC898" i="2" s="1"/>
  <c r="AE898" i="2" s="1"/>
  <c r="Z898" i="2"/>
  <c r="Y898" i="2"/>
  <c r="X898" i="2"/>
  <c r="W898" i="2"/>
  <c r="AI897" i="2"/>
  <c r="AG897" i="2"/>
  <c r="AB897" i="2"/>
  <c r="AD897" i="2" s="1"/>
  <c r="AF897" i="2" s="1"/>
  <c r="AA897" i="2"/>
  <c r="AC897" i="2" s="1"/>
  <c r="AE897" i="2" s="1"/>
  <c r="Z897" i="2"/>
  <c r="Y897" i="2"/>
  <c r="X897" i="2"/>
  <c r="W897" i="2"/>
  <c r="AI896" i="2"/>
  <c r="AG896" i="2"/>
  <c r="AB896" i="2"/>
  <c r="AD896" i="2" s="1"/>
  <c r="AF896" i="2" s="1"/>
  <c r="AA896" i="2"/>
  <c r="AC896" i="2" s="1"/>
  <c r="AE896" i="2" s="1"/>
  <c r="Z896" i="2"/>
  <c r="Y896" i="2"/>
  <c r="X896" i="2"/>
  <c r="W896" i="2"/>
  <c r="AI895" i="2"/>
  <c r="AG895" i="2"/>
  <c r="AB895" i="2"/>
  <c r="AD895" i="2" s="1"/>
  <c r="AF895" i="2" s="1"/>
  <c r="AA895" i="2"/>
  <c r="AC895" i="2" s="1"/>
  <c r="AE895" i="2" s="1"/>
  <c r="Z895" i="2"/>
  <c r="Y895" i="2"/>
  <c r="X895" i="2"/>
  <c r="W895" i="2"/>
  <c r="AI894" i="2"/>
  <c r="AG894" i="2"/>
  <c r="AB894" i="2"/>
  <c r="AD894" i="2" s="1"/>
  <c r="AF894" i="2" s="1"/>
  <c r="AA894" i="2"/>
  <c r="AC894" i="2" s="1"/>
  <c r="AE894" i="2" s="1"/>
  <c r="Z894" i="2"/>
  <c r="Y894" i="2"/>
  <c r="X894" i="2"/>
  <c r="W894" i="2"/>
  <c r="AI893" i="2"/>
  <c r="AG893" i="2"/>
  <c r="AB893" i="2"/>
  <c r="AD893" i="2" s="1"/>
  <c r="AF893" i="2" s="1"/>
  <c r="AA893" i="2"/>
  <c r="AC893" i="2" s="1"/>
  <c r="AE893" i="2" s="1"/>
  <c r="Z893" i="2"/>
  <c r="Y893" i="2"/>
  <c r="X893" i="2"/>
  <c r="W893" i="2"/>
  <c r="AI892" i="2"/>
  <c r="AG892" i="2"/>
  <c r="AB892" i="2"/>
  <c r="AD892" i="2" s="1"/>
  <c r="AF892" i="2" s="1"/>
  <c r="AA892" i="2"/>
  <c r="AC892" i="2" s="1"/>
  <c r="AE892" i="2" s="1"/>
  <c r="Z892" i="2"/>
  <c r="Y892" i="2"/>
  <c r="X892" i="2"/>
  <c r="W892" i="2"/>
  <c r="AI891" i="2"/>
  <c r="AG891" i="2"/>
  <c r="AB891" i="2"/>
  <c r="AD891" i="2" s="1"/>
  <c r="AF891" i="2" s="1"/>
  <c r="AA891" i="2"/>
  <c r="AC891" i="2" s="1"/>
  <c r="AE891" i="2" s="1"/>
  <c r="Z891" i="2"/>
  <c r="Y891" i="2"/>
  <c r="X891" i="2"/>
  <c r="W891" i="2"/>
  <c r="AI890" i="2"/>
  <c r="AG890" i="2"/>
  <c r="AB890" i="2"/>
  <c r="AD890" i="2" s="1"/>
  <c r="AF890" i="2" s="1"/>
  <c r="AA890" i="2"/>
  <c r="AC890" i="2" s="1"/>
  <c r="AE890" i="2" s="1"/>
  <c r="Z890" i="2"/>
  <c r="Y890" i="2"/>
  <c r="X890" i="2"/>
  <c r="W890" i="2"/>
  <c r="AI889" i="2"/>
  <c r="AG889" i="2"/>
  <c r="AB889" i="2"/>
  <c r="AD889" i="2" s="1"/>
  <c r="AF889" i="2" s="1"/>
  <c r="AA889" i="2"/>
  <c r="AC889" i="2" s="1"/>
  <c r="AE889" i="2" s="1"/>
  <c r="Z889" i="2"/>
  <c r="Y889" i="2"/>
  <c r="X889" i="2"/>
  <c r="W889" i="2"/>
  <c r="AI888" i="2"/>
  <c r="AG888" i="2"/>
  <c r="AB888" i="2"/>
  <c r="AD888" i="2" s="1"/>
  <c r="AF888" i="2" s="1"/>
  <c r="AA888" i="2"/>
  <c r="AC888" i="2" s="1"/>
  <c r="AE888" i="2" s="1"/>
  <c r="Z888" i="2"/>
  <c r="Y888" i="2"/>
  <c r="X888" i="2"/>
  <c r="W888" i="2"/>
  <c r="AI887" i="2"/>
  <c r="AG887" i="2"/>
  <c r="AB887" i="2"/>
  <c r="AD887" i="2" s="1"/>
  <c r="AF887" i="2" s="1"/>
  <c r="AA887" i="2"/>
  <c r="AC887" i="2" s="1"/>
  <c r="AE887" i="2" s="1"/>
  <c r="Z887" i="2"/>
  <c r="Y887" i="2"/>
  <c r="X887" i="2"/>
  <c r="W887" i="2"/>
  <c r="AI886" i="2"/>
  <c r="AG886" i="2"/>
  <c r="AB886" i="2"/>
  <c r="AD886" i="2" s="1"/>
  <c r="AF886" i="2" s="1"/>
  <c r="AA886" i="2"/>
  <c r="AC886" i="2" s="1"/>
  <c r="AE886" i="2" s="1"/>
  <c r="Z886" i="2"/>
  <c r="Y886" i="2"/>
  <c r="X886" i="2"/>
  <c r="W886" i="2"/>
  <c r="AI885" i="2"/>
  <c r="AG885" i="2"/>
  <c r="AB885" i="2"/>
  <c r="AD885" i="2" s="1"/>
  <c r="AF885" i="2" s="1"/>
  <c r="AA885" i="2"/>
  <c r="AC885" i="2" s="1"/>
  <c r="AE885" i="2" s="1"/>
  <c r="Z885" i="2"/>
  <c r="Y885" i="2"/>
  <c r="X885" i="2"/>
  <c r="W885" i="2"/>
  <c r="AI884" i="2"/>
  <c r="AG884" i="2"/>
  <c r="AB884" i="2"/>
  <c r="AD884" i="2" s="1"/>
  <c r="AF884" i="2" s="1"/>
  <c r="AA884" i="2"/>
  <c r="AC884" i="2" s="1"/>
  <c r="AE884" i="2" s="1"/>
  <c r="Z884" i="2"/>
  <c r="Y884" i="2"/>
  <c r="X884" i="2"/>
  <c r="W884" i="2"/>
  <c r="AI883" i="2"/>
  <c r="AG883" i="2"/>
  <c r="AB883" i="2"/>
  <c r="AD883" i="2" s="1"/>
  <c r="AF883" i="2" s="1"/>
  <c r="AA883" i="2"/>
  <c r="AC883" i="2" s="1"/>
  <c r="AE883" i="2" s="1"/>
  <c r="Z883" i="2"/>
  <c r="Y883" i="2"/>
  <c r="X883" i="2"/>
  <c r="W883" i="2"/>
  <c r="AI882" i="2"/>
  <c r="AG882" i="2"/>
  <c r="AB882" i="2"/>
  <c r="AD882" i="2" s="1"/>
  <c r="AF882" i="2" s="1"/>
  <c r="AA882" i="2"/>
  <c r="AC882" i="2" s="1"/>
  <c r="AE882" i="2" s="1"/>
  <c r="Z882" i="2"/>
  <c r="Y882" i="2"/>
  <c r="X882" i="2"/>
  <c r="W882" i="2"/>
  <c r="AI881" i="2"/>
  <c r="AG881" i="2"/>
  <c r="AB881" i="2"/>
  <c r="AD881" i="2" s="1"/>
  <c r="AF881" i="2" s="1"/>
  <c r="AA881" i="2"/>
  <c r="AC881" i="2" s="1"/>
  <c r="AE881" i="2" s="1"/>
  <c r="Z881" i="2"/>
  <c r="Y881" i="2"/>
  <c r="X881" i="2"/>
  <c r="W881" i="2"/>
  <c r="AI880" i="2"/>
  <c r="AG880" i="2"/>
  <c r="AC880" i="2"/>
  <c r="AE880" i="2" s="1"/>
  <c r="AB880" i="2"/>
  <c r="AD880" i="2" s="1"/>
  <c r="AF880" i="2" s="1"/>
  <c r="AA880" i="2"/>
  <c r="Z880" i="2"/>
  <c r="Y880" i="2"/>
  <c r="X880" i="2"/>
  <c r="W880" i="2"/>
  <c r="AI879" i="2"/>
  <c r="AG879" i="2"/>
  <c r="AB879" i="2"/>
  <c r="AD879" i="2" s="1"/>
  <c r="AF879" i="2" s="1"/>
  <c r="AA879" i="2"/>
  <c r="AC879" i="2" s="1"/>
  <c r="AE879" i="2" s="1"/>
  <c r="Z879" i="2"/>
  <c r="Y879" i="2"/>
  <c r="X879" i="2"/>
  <c r="W879" i="2"/>
  <c r="AI878" i="2"/>
  <c r="AG878" i="2"/>
  <c r="AB878" i="2"/>
  <c r="AD878" i="2" s="1"/>
  <c r="AF878" i="2" s="1"/>
  <c r="AA878" i="2"/>
  <c r="AC878" i="2" s="1"/>
  <c r="AE878" i="2" s="1"/>
  <c r="Z878" i="2"/>
  <c r="Y878" i="2"/>
  <c r="X878" i="2"/>
  <c r="W878" i="2"/>
  <c r="AI877" i="2"/>
  <c r="AG877" i="2"/>
  <c r="AD877" i="2"/>
  <c r="AF877" i="2" s="1"/>
  <c r="AB877" i="2"/>
  <c r="AA877" i="2"/>
  <c r="AC877" i="2" s="1"/>
  <c r="AE877" i="2" s="1"/>
  <c r="Z877" i="2"/>
  <c r="Y877" i="2"/>
  <c r="X877" i="2"/>
  <c r="W877" i="2"/>
  <c r="AI876" i="2"/>
  <c r="AG876" i="2"/>
  <c r="AB876" i="2"/>
  <c r="AD876" i="2" s="1"/>
  <c r="AF876" i="2" s="1"/>
  <c r="AA876" i="2"/>
  <c r="AC876" i="2" s="1"/>
  <c r="AE876" i="2" s="1"/>
  <c r="Z876" i="2"/>
  <c r="Y876" i="2"/>
  <c r="X876" i="2"/>
  <c r="W876" i="2"/>
  <c r="AI875" i="2"/>
  <c r="AG875" i="2"/>
  <c r="AB875" i="2"/>
  <c r="AD875" i="2" s="1"/>
  <c r="AF875" i="2" s="1"/>
  <c r="AA875" i="2"/>
  <c r="AC875" i="2" s="1"/>
  <c r="AE875" i="2" s="1"/>
  <c r="Z875" i="2"/>
  <c r="Y875" i="2"/>
  <c r="X875" i="2"/>
  <c r="W875" i="2"/>
  <c r="AI874" i="2"/>
  <c r="AG874" i="2"/>
  <c r="AB874" i="2"/>
  <c r="AD874" i="2" s="1"/>
  <c r="AF874" i="2" s="1"/>
  <c r="AA874" i="2"/>
  <c r="AC874" i="2" s="1"/>
  <c r="AE874" i="2" s="1"/>
  <c r="Z874" i="2"/>
  <c r="Y874" i="2"/>
  <c r="X874" i="2"/>
  <c r="W874" i="2"/>
  <c r="AI873" i="2"/>
  <c r="AG873" i="2"/>
  <c r="AB873" i="2"/>
  <c r="AD873" i="2" s="1"/>
  <c r="AF873" i="2" s="1"/>
  <c r="AA873" i="2"/>
  <c r="AC873" i="2" s="1"/>
  <c r="AE873" i="2" s="1"/>
  <c r="Z873" i="2"/>
  <c r="Y873" i="2"/>
  <c r="X873" i="2"/>
  <c r="W873" i="2"/>
  <c r="AI872" i="2"/>
  <c r="AG872" i="2"/>
  <c r="AB872" i="2"/>
  <c r="AD872" i="2" s="1"/>
  <c r="AF872" i="2" s="1"/>
  <c r="AA872" i="2"/>
  <c r="AC872" i="2" s="1"/>
  <c r="AE872" i="2" s="1"/>
  <c r="Z872" i="2"/>
  <c r="Y872" i="2"/>
  <c r="X872" i="2"/>
  <c r="W872" i="2"/>
  <c r="AI871" i="2"/>
  <c r="AG871" i="2"/>
  <c r="AB871" i="2"/>
  <c r="AD871" i="2" s="1"/>
  <c r="AF871" i="2" s="1"/>
  <c r="AA871" i="2"/>
  <c r="AC871" i="2" s="1"/>
  <c r="AE871" i="2" s="1"/>
  <c r="Z871" i="2"/>
  <c r="Y871" i="2"/>
  <c r="X871" i="2"/>
  <c r="W871" i="2"/>
  <c r="AI870" i="2"/>
  <c r="AG870" i="2"/>
  <c r="AB870" i="2"/>
  <c r="AD870" i="2" s="1"/>
  <c r="AF870" i="2" s="1"/>
  <c r="AA870" i="2"/>
  <c r="AC870" i="2" s="1"/>
  <c r="AE870" i="2" s="1"/>
  <c r="Z870" i="2"/>
  <c r="Y870" i="2"/>
  <c r="X870" i="2"/>
  <c r="W870" i="2"/>
  <c r="AI869" i="2"/>
  <c r="AG869" i="2"/>
  <c r="AB869" i="2"/>
  <c r="AD869" i="2" s="1"/>
  <c r="AF869" i="2" s="1"/>
  <c r="AA869" i="2"/>
  <c r="AC869" i="2" s="1"/>
  <c r="AE869" i="2" s="1"/>
  <c r="Z869" i="2"/>
  <c r="Y869" i="2"/>
  <c r="X869" i="2"/>
  <c r="W869" i="2"/>
  <c r="AI868" i="2"/>
  <c r="AG868" i="2"/>
  <c r="AB868" i="2"/>
  <c r="AD868" i="2" s="1"/>
  <c r="AF868" i="2" s="1"/>
  <c r="AA868" i="2"/>
  <c r="AC868" i="2" s="1"/>
  <c r="AE868" i="2" s="1"/>
  <c r="Z868" i="2"/>
  <c r="Y868" i="2"/>
  <c r="X868" i="2"/>
  <c r="W868" i="2"/>
  <c r="AI867" i="2"/>
  <c r="AG867" i="2"/>
  <c r="AD867" i="2"/>
  <c r="AF867" i="2" s="1"/>
  <c r="AB867" i="2"/>
  <c r="AA867" i="2"/>
  <c r="AC867" i="2" s="1"/>
  <c r="AE867" i="2" s="1"/>
  <c r="Z867" i="2"/>
  <c r="Y867" i="2"/>
  <c r="X867" i="2"/>
  <c r="W867" i="2"/>
  <c r="AI866" i="2"/>
  <c r="AG866" i="2"/>
  <c r="AB866" i="2"/>
  <c r="AD866" i="2" s="1"/>
  <c r="AF866" i="2" s="1"/>
  <c r="AA866" i="2"/>
  <c r="AC866" i="2" s="1"/>
  <c r="AE866" i="2" s="1"/>
  <c r="Z866" i="2"/>
  <c r="Y866" i="2"/>
  <c r="X866" i="2"/>
  <c r="W866" i="2"/>
  <c r="AI865" i="2"/>
  <c r="AG865" i="2"/>
  <c r="AB865" i="2"/>
  <c r="AD865" i="2" s="1"/>
  <c r="AF865" i="2" s="1"/>
  <c r="AA865" i="2"/>
  <c r="AC865" i="2" s="1"/>
  <c r="AE865" i="2" s="1"/>
  <c r="Z865" i="2"/>
  <c r="Y865" i="2"/>
  <c r="X865" i="2"/>
  <c r="W865" i="2"/>
  <c r="AI864" i="2"/>
  <c r="AG864" i="2"/>
  <c r="AD864" i="2"/>
  <c r="AF864" i="2" s="1"/>
  <c r="AB864" i="2"/>
  <c r="AA864" i="2"/>
  <c r="AC864" i="2" s="1"/>
  <c r="AE864" i="2" s="1"/>
  <c r="Z864" i="2"/>
  <c r="Y864" i="2"/>
  <c r="X864" i="2"/>
  <c r="W864" i="2"/>
  <c r="AI863" i="2"/>
  <c r="AG863" i="2"/>
  <c r="AB863" i="2"/>
  <c r="AD863" i="2" s="1"/>
  <c r="AF863" i="2" s="1"/>
  <c r="AA863" i="2"/>
  <c r="AC863" i="2" s="1"/>
  <c r="AE863" i="2" s="1"/>
  <c r="Z863" i="2"/>
  <c r="Y863" i="2"/>
  <c r="X863" i="2"/>
  <c r="W863" i="2"/>
  <c r="AI862" i="2"/>
  <c r="AG862" i="2"/>
  <c r="AB862" i="2"/>
  <c r="AD862" i="2" s="1"/>
  <c r="AF862" i="2" s="1"/>
  <c r="AA862" i="2"/>
  <c r="AC862" i="2" s="1"/>
  <c r="AE862" i="2" s="1"/>
  <c r="Z862" i="2"/>
  <c r="Y862" i="2"/>
  <c r="X862" i="2"/>
  <c r="W862" i="2"/>
  <c r="AI861" i="2"/>
  <c r="AG861" i="2"/>
  <c r="AB861" i="2"/>
  <c r="AD861" i="2" s="1"/>
  <c r="AF861" i="2" s="1"/>
  <c r="AA861" i="2"/>
  <c r="AC861" i="2" s="1"/>
  <c r="AE861" i="2" s="1"/>
  <c r="Z861" i="2"/>
  <c r="Y861" i="2"/>
  <c r="X861" i="2"/>
  <c r="W861" i="2"/>
  <c r="AI860" i="2"/>
  <c r="AG860" i="2"/>
  <c r="AB860" i="2"/>
  <c r="AD860" i="2" s="1"/>
  <c r="AF860" i="2" s="1"/>
  <c r="AA860" i="2"/>
  <c r="AC860" i="2" s="1"/>
  <c r="AE860" i="2" s="1"/>
  <c r="Z860" i="2"/>
  <c r="Y860" i="2"/>
  <c r="X860" i="2"/>
  <c r="W860" i="2"/>
  <c r="AI859" i="2"/>
  <c r="AG859" i="2"/>
  <c r="AB859" i="2"/>
  <c r="AD859" i="2" s="1"/>
  <c r="AF859" i="2" s="1"/>
  <c r="AA859" i="2"/>
  <c r="AC859" i="2" s="1"/>
  <c r="AE859" i="2" s="1"/>
  <c r="Z859" i="2"/>
  <c r="Y859" i="2"/>
  <c r="X859" i="2"/>
  <c r="W859" i="2"/>
  <c r="AI858" i="2"/>
  <c r="AG858" i="2"/>
  <c r="AB858" i="2"/>
  <c r="AD858" i="2" s="1"/>
  <c r="AF858" i="2" s="1"/>
  <c r="AA858" i="2"/>
  <c r="AC858" i="2" s="1"/>
  <c r="AE858" i="2" s="1"/>
  <c r="Z858" i="2"/>
  <c r="Y858" i="2"/>
  <c r="X858" i="2"/>
  <c r="W858" i="2"/>
  <c r="AI857" i="2"/>
  <c r="AG857" i="2"/>
  <c r="AE857" i="2"/>
  <c r="AB857" i="2"/>
  <c r="AD857" i="2" s="1"/>
  <c r="AF857" i="2" s="1"/>
  <c r="AA857" i="2"/>
  <c r="AC857" i="2" s="1"/>
  <c r="Z857" i="2"/>
  <c r="Y857" i="2"/>
  <c r="X857" i="2"/>
  <c r="W857" i="2"/>
  <c r="AI856" i="2"/>
  <c r="AG856" i="2"/>
  <c r="AB856" i="2"/>
  <c r="AD856" i="2" s="1"/>
  <c r="AF856" i="2" s="1"/>
  <c r="AA856" i="2"/>
  <c r="AC856" i="2" s="1"/>
  <c r="AE856" i="2" s="1"/>
  <c r="Z856" i="2"/>
  <c r="Y856" i="2"/>
  <c r="X856" i="2"/>
  <c r="W856" i="2"/>
  <c r="AI855" i="2"/>
  <c r="AG855" i="2"/>
  <c r="AB855" i="2"/>
  <c r="AD855" i="2" s="1"/>
  <c r="AF855" i="2" s="1"/>
  <c r="AA855" i="2"/>
  <c r="AC855" i="2" s="1"/>
  <c r="AE855" i="2" s="1"/>
  <c r="Z855" i="2"/>
  <c r="Y855" i="2"/>
  <c r="X855" i="2"/>
  <c r="W855" i="2"/>
  <c r="AI854" i="2"/>
  <c r="AG854" i="2"/>
  <c r="AB854" i="2"/>
  <c r="AD854" i="2" s="1"/>
  <c r="AF854" i="2" s="1"/>
  <c r="AA854" i="2"/>
  <c r="AC854" i="2" s="1"/>
  <c r="AE854" i="2" s="1"/>
  <c r="Z854" i="2"/>
  <c r="Y854" i="2"/>
  <c r="X854" i="2"/>
  <c r="W854" i="2"/>
  <c r="AI853" i="2"/>
  <c r="AG853" i="2"/>
  <c r="AB853" i="2"/>
  <c r="AD853" i="2" s="1"/>
  <c r="AF853" i="2" s="1"/>
  <c r="AA853" i="2"/>
  <c r="AC853" i="2" s="1"/>
  <c r="AE853" i="2" s="1"/>
  <c r="Z853" i="2"/>
  <c r="Y853" i="2"/>
  <c r="X853" i="2"/>
  <c r="W853" i="2"/>
  <c r="AI852" i="2"/>
  <c r="AG852" i="2"/>
  <c r="AD852" i="2"/>
  <c r="AF852" i="2" s="1"/>
  <c r="AB852" i="2"/>
  <c r="AA852" i="2"/>
  <c r="AC852" i="2" s="1"/>
  <c r="AE852" i="2" s="1"/>
  <c r="Z852" i="2"/>
  <c r="Y852" i="2"/>
  <c r="X852" i="2"/>
  <c r="W852" i="2"/>
  <c r="AI851" i="2"/>
  <c r="AG851" i="2"/>
  <c r="AB851" i="2"/>
  <c r="AD851" i="2" s="1"/>
  <c r="AF851" i="2" s="1"/>
  <c r="AA851" i="2"/>
  <c r="AC851" i="2" s="1"/>
  <c r="AE851" i="2" s="1"/>
  <c r="Z851" i="2"/>
  <c r="Y851" i="2"/>
  <c r="X851" i="2"/>
  <c r="W851" i="2"/>
  <c r="AI850" i="2"/>
  <c r="AG850" i="2"/>
  <c r="AB850" i="2"/>
  <c r="AD850" i="2" s="1"/>
  <c r="AF850" i="2" s="1"/>
  <c r="AA850" i="2"/>
  <c r="AC850" i="2" s="1"/>
  <c r="AE850" i="2" s="1"/>
  <c r="Z850" i="2"/>
  <c r="Y850" i="2"/>
  <c r="X850" i="2"/>
  <c r="W850" i="2"/>
  <c r="AI849" i="2"/>
  <c r="AG849" i="2"/>
  <c r="AB849" i="2"/>
  <c r="AD849" i="2" s="1"/>
  <c r="AF849" i="2" s="1"/>
  <c r="AA849" i="2"/>
  <c r="AC849" i="2" s="1"/>
  <c r="AE849" i="2" s="1"/>
  <c r="Z849" i="2"/>
  <c r="Y849" i="2"/>
  <c r="X849" i="2"/>
  <c r="W849" i="2"/>
  <c r="AI848" i="2"/>
  <c r="AG848" i="2"/>
  <c r="AB848" i="2"/>
  <c r="AD848" i="2" s="1"/>
  <c r="AF848" i="2" s="1"/>
  <c r="AA848" i="2"/>
  <c r="AC848" i="2" s="1"/>
  <c r="AE848" i="2" s="1"/>
  <c r="Z848" i="2"/>
  <c r="Y848" i="2"/>
  <c r="X848" i="2"/>
  <c r="W848" i="2"/>
  <c r="AI847" i="2"/>
  <c r="AG847" i="2"/>
  <c r="AB847" i="2"/>
  <c r="AD847" i="2" s="1"/>
  <c r="AF847" i="2" s="1"/>
  <c r="AA847" i="2"/>
  <c r="AC847" i="2" s="1"/>
  <c r="AE847" i="2" s="1"/>
  <c r="Z847" i="2"/>
  <c r="Y847" i="2"/>
  <c r="X847" i="2"/>
  <c r="W847" i="2"/>
  <c r="AI846" i="2"/>
  <c r="AG846" i="2"/>
  <c r="AD846" i="2"/>
  <c r="AF846" i="2" s="1"/>
  <c r="AB846" i="2"/>
  <c r="AA846" i="2"/>
  <c r="AC846" i="2" s="1"/>
  <c r="AE846" i="2" s="1"/>
  <c r="Z846" i="2"/>
  <c r="Y846" i="2"/>
  <c r="X846" i="2"/>
  <c r="W846" i="2"/>
  <c r="AI845" i="2"/>
  <c r="AG845" i="2"/>
  <c r="AB845" i="2"/>
  <c r="AD845" i="2" s="1"/>
  <c r="AF845" i="2" s="1"/>
  <c r="AA845" i="2"/>
  <c r="AC845" i="2" s="1"/>
  <c r="AE845" i="2" s="1"/>
  <c r="Z845" i="2"/>
  <c r="Y845" i="2"/>
  <c r="X845" i="2"/>
  <c r="W845" i="2"/>
  <c r="AI844" i="2"/>
  <c r="AG844" i="2"/>
  <c r="AB844" i="2"/>
  <c r="AD844" i="2" s="1"/>
  <c r="AF844" i="2" s="1"/>
  <c r="AA844" i="2"/>
  <c r="AC844" i="2" s="1"/>
  <c r="AE844" i="2" s="1"/>
  <c r="Z844" i="2"/>
  <c r="Y844" i="2"/>
  <c r="X844" i="2"/>
  <c r="W844" i="2"/>
  <c r="AI843" i="2"/>
  <c r="AG843" i="2"/>
  <c r="AB843" i="2"/>
  <c r="AD843" i="2" s="1"/>
  <c r="AF843" i="2" s="1"/>
  <c r="AA843" i="2"/>
  <c r="AC843" i="2" s="1"/>
  <c r="AE843" i="2" s="1"/>
  <c r="Z843" i="2"/>
  <c r="Y843" i="2"/>
  <c r="X843" i="2"/>
  <c r="W843" i="2"/>
  <c r="AI842" i="2"/>
  <c r="AG842" i="2"/>
  <c r="AB842" i="2"/>
  <c r="AD842" i="2" s="1"/>
  <c r="AF842" i="2" s="1"/>
  <c r="AA842" i="2"/>
  <c r="AC842" i="2" s="1"/>
  <c r="AE842" i="2" s="1"/>
  <c r="Z842" i="2"/>
  <c r="Y842" i="2"/>
  <c r="X842" i="2"/>
  <c r="W842" i="2"/>
  <c r="AI841" i="2"/>
  <c r="AG841" i="2"/>
  <c r="AB841" i="2"/>
  <c r="AD841" i="2" s="1"/>
  <c r="AF841" i="2" s="1"/>
  <c r="AA841" i="2"/>
  <c r="AC841" i="2" s="1"/>
  <c r="AE841" i="2" s="1"/>
  <c r="Z841" i="2"/>
  <c r="Y841" i="2"/>
  <c r="X841" i="2"/>
  <c r="W841" i="2"/>
  <c r="AI840" i="2"/>
  <c r="AG840" i="2"/>
  <c r="AB840" i="2"/>
  <c r="AD840" i="2" s="1"/>
  <c r="AF840" i="2" s="1"/>
  <c r="AA840" i="2"/>
  <c r="AC840" i="2" s="1"/>
  <c r="AE840" i="2" s="1"/>
  <c r="Z840" i="2"/>
  <c r="Y840" i="2"/>
  <c r="X840" i="2"/>
  <c r="W840" i="2"/>
  <c r="AI839" i="2"/>
  <c r="AG839" i="2"/>
  <c r="AB839" i="2"/>
  <c r="AD839" i="2" s="1"/>
  <c r="AF839" i="2" s="1"/>
  <c r="AA839" i="2"/>
  <c r="AC839" i="2" s="1"/>
  <c r="AE839" i="2" s="1"/>
  <c r="Z839" i="2"/>
  <c r="Y839" i="2"/>
  <c r="X839" i="2"/>
  <c r="W839" i="2"/>
  <c r="AI838" i="2"/>
  <c r="AG838" i="2"/>
  <c r="AD838" i="2"/>
  <c r="AF838" i="2" s="1"/>
  <c r="AB838" i="2"/>
  <c r="AA838" i="2"/>
  <c r="AC838" i="2" s="1"/>
  <c r="AE838" i="2" s="1"/>
  <c r="Z838" i="2"/>
  <c r="Y838" i="2"/>
  <c r="X838" i="2"/>
  <c r="W838" i="2"/>
  <c r="AI837" i="2"/>
  <c r="AG837" i="2"/>
  <c r="AB837" i="2"/>
  <c r="AD837" i="2" s="1"/>
  <c r="AF837" i="2" s="1"/>
  <c r="AA837" i="2"/>
  <c r="AC837" i="2" s="1"/>
  <c r="AE837" i="2" s="1"/>
  <c r="Z837" i="2"/>
  <c r="Y837" i="2"/>
  <c r="X837" i="2"/>
  <c r="W837" i="2"/>
  <c r="AI836" i="2"/>
  <c r="AG836" i="2"/>
  <c r="AB836" i="2"/>
  <c r="AD836" i="2" s="1"/>
  <c r="AF836" i="2" s="1"/>
  <c r="AA836" i="2"/>
  <c r="AC836" i="2" s="1"/>
  <c r="AE836" i="2" s="1"/>
  <c r="Z836" i="2"/>
  <c r="Y836" i="2"/>
  <c r="X836" i="2"/>
  <c r="W836" i="2"/>
  <c r="AI835" i="2"/>
  <c r="AG835" i="2"/>
  <c r="AB835" i="2"/>
  <c r="AD835" i="2" s="1"/>
  <c r="AF835" i="2" s="1"/>
  <c r="AA835" i="2"/>
  <c r="AC835" i="2" s="1"/>
  <c r="AE835" i="2" s="1"/>
  <c r="Z835" i="2"/>
  <c r="Y835" i="2"/>
  <c r="X835" i="2"/>
  <c r="W835" i="2"/>
  <c r="AI834" i="2"/>
  <c r="AG834" i="2"/>
  <c r="AD834" i="2"/>
  <c r="AF834" i="2" s="1"/>
  <c r="AB834" i="2"/>
  <c r="AA834" i="2"/>
  <c r="AC834" i="2" s="1"/>
  <c r="AE834" i="2" s="1"/>
  <c r="Z834" i="2"/>
  <c r="Y834" i="2"/>
  <c r="X834" i="2"/>
  <c r="W834" i="2"/>
  <c r="AI833" i="2"/>
  <c r="AG833" i="2"/>
  <c r="AB833" i="2"/>
  <c r="AD833" i="2" s="1"/>
  <c r="AF833" i="2" s="1"/>
  <c r="AA833" i="2"/>
  <c r="AC833" i="2" s="1"/>
  <c r="AE833" i="2" s="1"/>
  <c r="Z833" i="2"/>
  <c r="Y833" i="2"/>
  <c r="X833" i="2"/>
  <c r="W833" i="2"/>
  <c r="AI832" i="2"/>
  <c r="AG832" i="2"/>
  <c r="AD832" i="2"/>
  <c r="AF832" i="2" s="1"/>
  <c r="AB832" i="2"/>
  <c r="AA832" i="2"/>
  <c r="AC832" i="2" s="1"/>
  <c r="AE832" i="2" s="1"/>
  <c r="Z832" i="2"/>
  <c r="Y832" i="2"/>
  <c r="X832" i="2"/>
  <c r="W832" i="2"/>
  <c r="AI831" i="2"/>
  <c r="AG831" i="2"/>
  <c r="AD831" i="2"/>
  <c r="AF831" i="2" s="1"/>
  <c r="AB831" i="2"/>
  <c r="AA831" i="2"/>
  <c r="AC831" i="2" s="1"/>
  <c r="AE831" i="2" s="1"/>
  <c r="Z831" i="2"/>
  <c r="Y831" i="2"/>
  <c r="X831" i="2"/>
  <c r="W831" i="2"/>
  <c r="AI830" i="2"/>
  <c r="AG830" i="2"/>
  <c r="AB830" i="2"/>
  <c r="AD830" i="2" s="1"/>
  <c r="AF830" i="2" s="1"/>
  <c r="AA830" i="2"/>
  <c r="AC830" i="2" s="1"/>
  <c r="AE830" i="2" s="1"/>
  <c r="Z830" i="2"/>
  <c r="Y830" i="2"/>
  <c r="X830" i="2"/>
  <c r="W830" i="2"/>
  <c r="AI829" i="2"/>
  <c r="AG829" i="2"/>
  <c r="AB829" i="2"/>
  <c r="AD829" i="2" s="1"/>
  <c r="AF829" i="2" s="1"/>
  <c r="AA829" i="2"/>
  <c r="AC829" i="2" s="1"/>
  <c r="AE829" i="2" s="1"/>
  <c r="Z829" i="2"/>
  <c r="Y829" i="2"/>
  <c r="X829" i="2"/>
  <c r="W829" i="2"/>
  <c r="AI828" i="2"/>
  <c r="AG828" i="2"/>
  <c r="AB828" i="2"/>
  <c r="AD828" i="2" s="1"/>
  <c r="AF828" i="2" s="1"/>
  <c r="AA828" i="2"/>
  <c r="AC828" i="2" s="1"/>
  <c r="AE828" i="2" s="1"/>
  <c r="Z828" i="2"/>
  <c r="Y828" i="2"/>
  <c r="X828" i="2"/>
  <c r="W828" i="2"/>
  <c r="AI827" i="2"/>
  <c r="AG827" i="2"/>
  <c r="AB827" i="2"/>
  <c r="AD827" i="2" s="1"/>
  <c r="AF827" i="2" s="1"/>
  <c r="AA827" i="2"/>
  <c r="AC827" i="2" s="1"/>
  <c r="AE827" i="2" s="1"/>
  <c r="Z827" i="2"/>
  <c r="Y827" i="2"/>
  <c r="X827" i="2"/>
  <c r="W827" i="2"/>
  <c r="AI826" i="2"/>
  <c r="AG826" i="2"/>
  <c r="AB826" i="2"/>
  <c r="AD826" i="2" s="1"/>
  <c r="AF826" i="2" s="1"/>
  <c r="AA826" i="2"/>
  <c r="AC826" i="2" s="1"/>
  <c r="AE826" i="2" s="1"/>
  <c r="Z826" i="2"/>
  <c r="Y826" i="2"/>
  <c r="X826" i="2"/>
  <c r="W826" i="2"/>
  <c r="AI825" i="2"/>
  <c r="AG825" i="2"/>
  <c r="AB825" i="2"/>
  <c r="AD825" i="2" s="1"/>
  <c r="AF825" i="2" s="1"/>
  <c r="AA825" i="2"/>
  <c r="AC825" i="2" s="1"/>
  <c r="AE825" i="2" s="1"/>
  <c r="Z825" i="2"/>
  <c r="Y825" i="2"/>
  <c r="X825" i="2"/>
  <c r="W825" i="2"/>
  <c r="AI824" i="2"/>
  <c r="AG824" i="2"/>
  <c r="AB824" i="2"/>
  <c r="AD824" i="2" s="1"/>
  <c r="AF824" i="2" s="1"/>
  <c r="AA824" i="2"/>
  <c r="AC824" i="2" s="1"/>
  <c r="AE824" i="2" s="1"/>
  <c r="Z824" i="2"/>
  <c r="Y824" i="2"/>
  <c r="X824" i="2"/>
  <c r="W824" i="2"/>
  <c r="AI823" i="2"/>
  <c r="AG823" i="2"/>
  <c r="AB823" i="2"/>
  <c r="AD823" i="2" s="1"/>
  <c r="AF823" i="2" s="1"/>
  <c r="AA823" i="2"/>
  <c r="AC823" i="2" s="1"/>
  <c r="AE823" i="2" s="1"/>
  <c r="Z823" i="2"/>
  <c r="Y823" i="2"/>
  <c r="X823" i="2"/>
  <c r="W823" i="2"/>
  <c r="AI822" i="2"/>
  <c r="AG822" i="2"/>
  <c r="AB822" i="2"/>
  <c r="AD822" i="2" s="1"/>
  <c r="AF822" i="2" s="1"/>
  <c r="AA822" i="2"/>
  <c r="AC822" i="2" s="1"/>
  <c r="AE822" i="2" s="1"/>
  <c r="Z822" i="2"/>
  <c r="Y822" i="2"/>
  <c r="X822" i="2"/>
  <c r="W822" i="2"/>
  <c r="AI821" i="2"/>
  <c r="AG821" i="2"/>
  <c r="AD821" i="2"/>
  <c r="AF821" i="2" s="1"/>
  <c r="AB821" i="2"/>
  <c r="AA821" i="2"/>
  <c r="AC821" i="2" s="1"/>
  <c r="AE821" i="2" s="1"/>
  <c r="Z821" i="2"/>
  <c r="Y821" i="2"/>
  <c r="X821" i="2"/>
  <c r="W821" i="2"/>
  <c r="AI820" i="2"/>
  <c r="AG820" i="2"/>
  <c r="AB820" i="2"/>
  <c r="AD820" i="2" s="1"/>
  <c r="AF820" i="2" s="1"/>
  <c r="AA820" i="2"/>
  <c r="AC820" i="2" s="1"/>
  <c r="AE820" i="2" s="1"/>
  <c r="Z820" i="2"/>
  <c r="Y820" i="2"/>
  <c r="X820" i="2"/>
  <c r="W820" i="2"/>
  <c r="AI819" i="2"/>
  <c r="AG819" i="2"/>
  <c r="AB819" i="2"/>
  <c r="AD819" i="2" s="1"/>
  <c r="AF819" i="2" s="1"/>
  <c r="AA819" i="2"/>
  <c r="AC819" i="2" s="1"/>
  <c r="AE819" i="2" s="1"/>
  <c r="Z819" i="2"/>
  <c r="Y819" i="2"/>
  <c r="X819" i="2"/>
  <c r="W819" i="2"/>
  <c r="AI818" i="2"/>
  <c r="AG818" i="2"/>
  <c r="AB818" i="2"/>
  <c r="AD818" i="2" s="1"/>
  <c r="AF818" i="2" s="1"/>
  <c r="AA818" i="2"/>
  <c r="AC818" i="2" s="1"/>
  <c r="AE818" i="2" s="1"/>
  <c r="Z818" i="2"/>
  <c r="Y818" i="2"/>
  <c r="X818" i="2"/>
  <c r="W818" i="2"/>
  <c r="AI817" i="2"/>
  <c r="AG817" i="2"/>
  <c r="AB817" i="2"/>
  <c r="AD817" i="2" s="1"/>
  <c r="AF817" i="2" s="1"/>
  <c r="AA817" i="2"/>
  <c r="AC817" i="2" s="1"/>
  <c r="AE817" i="2" s="1"/>
  <c r="Z817" i="2"/>
  <c r="Y817" i="2"/>
  <c r="X817" i="2"/>
  <c r="W817" i="2"/>
  <c r="AI816" i="2"/>
  <c r="AG816" i="2"/>
  <c r="AB816" i="2"/>
  <c r="AD816" i="2" s="1"/>
  <c r="AF816" i="2" s="1"/>
  <c r="AA816" i="2"/>
  <c r="AC816" i="2" s="1"/>
  <c r="AE816" i="2" s="1"/>
  <c r="Z816" i="2"/>
  <c r="Y816" i="2"/>
  <c r="X816" i="2"/>
  <c r="W816" i="2"/>
  <c r="AI815" i="2"/>
  <c r="AG815" i="2"/>
  <c r="AB815" i="2"/>
  <c r="AD815" i="2" s="1"/>
  <c r="AF815" i="2" s="1"/>
  <c r="AA815" i="2"/>
  <c r="AC815" i="2" s="1"/>
  <c r="AE815" i="2" s="1"/>
  <c r="Z815" i="2"/>
  <c r="Y815" i="2"/>
  <c r="X815" i="2"/>
  <c r="W815" i="2"/>
  <c r="AI814" i="2"/>
  <c r="AG814" i="2"/>
  <c r="AB814" i="2"/>
  <c r="AD814" i="2" s="1"/>
  <c r="AF814" i="2" s="1"/>
  <c r="AA814" i="2"/>
  <c r="AC814" i="2" s="1"/>
  <c r="AE814" i="2" s="1"/>
  <c r="Z814" i="2"/>
  <c r="Y814" i="2"/>
  <c r="X814" i="2"/>
  <c r="W814" i="2"/>
  <c r="AI813" i="2"/>
  <c r="AG813" i="2"/>
  <c r="AD813" i="2"/>
  <c r="AF813" i="2" s="1"/>
  <c r="AB813" i="2"/>
  <c r="AA813" i="2"/>
  <c r="AC813" i="2" s="1"/>
  <c r="AE813" i="2" s="1"/>
  <c r="Z813" i="2"/>
  <c r="Y813" i="2"/>
  <c r="X813" i="2"/>
  <c r="W813" i="2"/>
  <c r="AI812" i="2"/>
  <c r="AG812" i="2"/>
  <c r="AB812" i="2"/>
  <c r="AD812" i="2" s="1"/>
  <c r="AF812" i="2" s="1"/>
  <c r="AA812" i="2"/>
  <c r="AC812" i="2" s="1"/>
  <c r="AE812" i="2" s="1"/>
  <c r="Z812" i="2"/>
  <c r="Y812" i="2"/>
  <c r="X812" i="2"/>
  <c r="W812" i="2"/>
  <c r="AI811" i="2"/>
  <c r="AG811" i="2"/>
  <c r="AB811" i="2"/>
  <c r="AD811" i="2" s="1"/>
  <c r="AF811" i="2" s="1"/>
  <c r="AA811" i="2"/>
  <c r="AC811" i="2" s="1"/>
  <c r="AE811" i="2" s="1"/>
  <c r="Z811" i="2"/>
  <c r="Y811" i="2"/>
  <c r="X811" i="2"/>
  <c r="W811" i="2"/>
  <c r="AI810" i="2"/>
  <c r="AG810" i="2"/>
  <c r="AB810" i="2"/>
  <c r="AD810" i="2" s="1"/>
  <c r="AF810" i="2" s="1"/>
  <c r="AA810" i="2"/>
  <c r="AC810" i="2" s="1"/>
  <c r="AE810" i="2" s="1"/>
  <c r="Z810" i="2"/>
  <c r="Y810" i="2"/>
  <c r="X810" i="2"/>
  <c r="W810" i="2"/>
  <c r="AI809" i="2"/>
  <c r="AG809" i="2"/>
  <c r="AB809" i="2"/>
  <c r="AD809" i="2" s="1"/>
  <c r="AF809" i="2" s="1"/>
  <c r="AA809" i="2"/>
  <c r="AC809" i="2" s="1"/>
  <c r="AE809" i="2" s="1"/>
  <c r="Z809" i="2"/>
  <c r="Y809" i="2"/>
  <c r="X809" i="2"/>
  <c r="W809" i="2"/>
  <c r="AI808" i="2"/>
  <c r="AG808" i="2"/>
  <c r="AB808" i="2"/>
  <c r="AD808" i="2" s="1"/>
  <c r="AF808" i="2" s="1"/>
  <c r="AA808" i="2"/>
  <c r="AC808" i="2" s="1"/>
  <c r="AE808" i="2" s="1"/>
  <c r="Z808" i="2"/>
  <c r="Y808" i="2"/>
  <c r="X808" i="2"/>
  <c r="W808" i="2"/>
  <c r="AI807" i="2"/>
  <c r="AG807" i="2"/>
  <c r="AB807" i="2"/>
  <c r="AD807" i="2" s="1"/>
  <c r="AF807" i="2" s="1"/>
  <c r="AA807" i="2"/>
  <c r="AC807" i="2" s="1"/>
  <c r="AE807" i="2" s="1"/>
  <c r="Z807" i="2"/>
  <c r="Y807" i="2"/>
  <c r="X807" i="2"/>
  <c r="W807" i="2"/>
  <c r="AI806" i="2"/>
  <c r="AG806" i="2"/>
  <c r="AD806" i="2"/>
  <c r="AF806" i="2" s="1"/>
  <c r="AB806" i="2"/>
  <c r="AA806" i="2"/>
  <c r="AC806" i="2" s="1"/>
  <c r="AE806" i="2" s="1"/>
  <c r="Z806" i="2"/>
  <c r="Y806" i="2"/>
  <c r="X806" i="2"/>
  <c r="W806" i="2"/>
  <c r="AI805" i="2"/>
  <c r="AG805" i="2"/>
  <c r="AB805" i="2"/>
  <c r="AD805" i="2" s="1"/>
  <c r="AF805" i="2" s="1"/>
  <c r="AA805" i="2"/>
  <c r="AC805" i="2" s="1"/>
  <c r="AE805" i="2" s="1"/>
  <c r="Z805" i="2"/>
  <c r="Y805" i="2"/>
  <c r="X805" i="2"/>
  <c r="W805" i="2"/>
  <c r="AI804" i="2"/>
  <c r="AG804" i="2"/>
  <c r="AB804" i="2"/>
  <c r="AD804" i="2" s="1"/>
  <c r="AF804" i="2" s="1"/>
  <c r="AA804" i="2"/>
  <c r="AC804" i="2" s="1"/>
  <c r="AE804" i="2" s="1"/>
  <c r="Z804" i="2"/>
  <c r="Y804" i="2"/>
  <c r="X804" i="2"/>
  <c r="W804" i="2"/>
  <c r="AI803" i="2"/>
  <c r="AG803" i="2"/>
  <c r="AB803" i="2"/>
  <c r="AD803" i="2" s="1"/>
  <c r="AF803" i="2" s="1"/>
  <c r="AA803" i="2"/>
  <c r="AC803" i="2" s="1"/>
  <c r="AE803" i="2" s="1"/>
  <c r="Z803" i="2"/>
  <c r="Y803" i="2"/>
  <c r="X803" i="2"/>
  <c r="W803" i="2"/>
  <c r="AI802" i="2"/>
  <c r="AG802" i="2"/>
  <c r="AB802" i="2"/>
  <c r="AD802" i="2" s="1"/>
  <c r="AF802" i="2" s="1"/>
  <c r="AA802" i="2"/>
  <c r="AC802" i="2" s="1"/>
  <c r="AE802" i="2" s="1"/>
  <c r="Z802" i="2"/>
  <c r="Y802" i="2"/>
  <c r="X802" i="2"/>
  <c r="W802" i="2"/>
  <c r="AI801" i="2"/>
  <c r="AG801" i="2"/>
  <c r="AE801" i="2"/>
  <c r="AB801" i="2"/>
  <c r="AD801" i="2" s="1"/>
  <c r="AF801" i="2" s="1"/>
  <c r="AA801" i="2"/>
  <c r="AC801" i="2" s="1"/>
  <c r="Z801" i="2"/>
  <c r="Y801" i="2"/>
  <c r="X801" i="2"/>
  <c r="W801" i="2"/>
  <c r="AI800" i="2"/>
  <c r="AG800" i="2"/>
  <c r="AB800" i="2"/>
  <c r="AD800" i="2" s="1"/>
  <c r="AF800" i="2" s="1"/>
  <c r="AA800" i="2"/>
  <c r="AC800" i="2" s="1"/>
  <c r="AE800" i="2" s="1"/>
  <c r="Z800" i="2"/>
  <c r="Y800" i="2"/>
  <c r="X800" i="2"/>
  <c r="W800" i="2"/>
  <c r="AI799" i="2"/>
  <c r="AG799" i="2"/>
  <c r="AB799" i="2"/>
  <c r="AD799" i="2" s="1"/>
  <c r="AF799" i="2" s="1"/>
  <c r="AA799" i="2"/>
  <c r="AC799" i="2" s="1"/>
  <c r="AE799" i="2" s="1"/>
  <c r="Z799" i="2"/>
  <c r="Y799" i="2"/>
  <c r="X799" i="2"/>
  <c r="W799" i="2"/>
  <c r="AI798" i="2"/>
  <c r="AG798" i="2"/>
  <c r="AD798" i="2"/>
  <c r="AF798" i="2" s="1"/>
  <c r="AB798" i="2"/>
  <c r="AA798" i="2"/>
  <c r="AC798" i="2" s="1"/>
  <c r="AE798" i="2" s="1"/>
  <c r="Z798" i="2"/>
  <c r="Y798" i="2"/>
  <c r="X798" i="2"/>
  <c r="W798" i="2"/>
  <c r="AI797" i="2"/>
  <c r="AG797" i="2"/>
  <c r="AB797" i="2"/>
  <c r="AD797" i="2" s="1"/>
  <c r="AF797" i="2" s="1"/>
  <c r="AA797" i="2"/>
  <c r="AC797" i="2" s="1"/>
  <c r="AE797" i="2" s="1"/>
  <c r="Z797" i="2"/>
  <c r="Y797" i="2"/>
  <c r="X797" i="2"/>
  <c r="W797" i="2"/>
  <c r="AI796" i="2"/>
  <c r="AG796" i="2"/>
  <c r="AB796" i="2"/>
  <c r="AD796" i="2" s="1"/>
  <c r="AF796" i="2" s="1"/>
  <c r="AA796" i="2"/>
  <c r="AC796" i="2" s="1"/>
  <c r="AE796" i="2" s="1"/>
  <c r="Z796" i="2"/>
  <c r="Y796" i="2"/>
  <c r="X796" i="2"/>
  <c r="W796" i="2"/>
  <c r="AI795" i="2"/>
  <c r="AG795" i="2"/>
  <c r="AD795" i="2"/>
  <c r="AF795" i="2" s="1"/>
  <c r="AB795" i="2"/>
  <c r="AA795" i="2"/>
  <c r="AC795" i="2" s="1"/>
  <c r="AE795" i="2" s="1"/>
  <c r="Z795" i="2"/>
  <c r="Y795" i="2"/>
  <c r="X795" i="2"/>
  <c r="W795" i="2"/>
  <c r="AI794" i="2"/>
  <c r="AG794" i="2"/>
  <c r="AD794" i="2"/>
  <c r="AF794" i="2" s="1"/>
  <c r="AB794" i="2"/>
  <c r="AA794" i="2"/>
  <c r="AC794" i="2" s="1"/>
  <c r="AE794" i="2" s="1"/>
  <c r="Z794" i="2"/>
  <c r="Y794" i="2"/>
  <c r="X794" i="2"/>
  <c r="W794" i="2"/>
  <c r="AI793" i="2"/>
  <c r="AG793" i="2"/>
  <c r="AD793" i="2"/>
  <c r="AF793" i="2" s="1"/>
  <c r="AB793" i="2"/>
  <c r="AA793" i="2"/>
  <c r="AC793" i="2" s="1"/>
  <c r="AE793" i="2" s="1"/>
  <c r="Z793" i="2"/>
  <c r="Y793" i="2"/>
  <c r="X793" i="2"/>
  <c r="W793" i="2"/>
  <c r="AI792" i="2"/>
  <c r="AG792" i="2"/>
  <c r="AB792" i="2"/>
  <c r="AD792" i="2" s="1"/>
  <c r="AF792" i="2" s="1"/>
  <c r="AA792" i="2"/>
  <c r="AC792" i="2" s="1"/>
  <c r="AE792" i="2" s="1"/>
  <c r="Z792" i="2"/>
  <c r="Y792" i="2"/>
  <c r="X792" i="2"/>
  <c r="W792" i="2"/>
  <c r="AI791" i="2"/>
  <c r="AG791" i="2"/>
  <c r="AE791" i="2"/>
  <c r="AB791" i="2"/>
  <c r="AD791" i="2" s="1"/>
  <c r="AF791" i="2" s="1"/>
  <c r="AA791" i="2"/>
  <c r="AC791" i="2" s="1"/>
  <c r="Z791" i="2"/>
  <c r="Y791" i="2"/>
  <c r="X791" i="2"/>
  <c r="W791" i="2"/>
  <c r="AI790" i="2"/>
  <c r="AG790" i="2"/>
  <c r="AB790" i="2"/>
  <c r="AD790" i="2" s="1"/>
  <c r="AF790" i="2" s="1"/>
  <c r="AA790" i="2"/>
  <c r="AC790" i="2" s="1"/>
  <c r="AE790" i="2" s="1"/>
  <c r="Z790" i="2"/>
  <c r="Y790" i="2"/>
  <c r="X790" i="2"/>
  <c r="W790" i="2"/>
  <c r="AI789" i="2"/>
  <c r="AG789" i="2"/>
  <c r="AE789" i="2"/>
  <c r="AD789" i="2"/>
  <c r="AF789" i="2" s="1"/>
  <c r="AB789" i="2"/>
  <c r="AA789" i="2"/>
  <c r="AC789" i="2" s="1"/>
  <c r="Z789" i="2"/>
  <c r="Y789" i="2"/>
  <c r="X789" i="2"/>
  <c r="W789" i="2"/>
  <c r="AI788" i="2"/>
  <c r="AG788" i="2"/>
  <c r="AB788" i="2"/>
  <c r="AD788" i="2" s="1"/>
  <c r="AF788" i="2" s="1"/>
  <c r="AA788" i="2"/>
  <c r="AC788" i="2" s="1"/>
  <c r="AE788" i="2" s="1"/>
  <c r="Z788" i="2"/>
  <c r="Y788" i="2"/>
  <c r="X788" i="2"/>
  <c r="W788" i="2"/>
  <c r="AI787" i="2"/>
  <c r="AG787" i="2"/>
  <c r="AB787" i="2"/>
  <c r="AD787" i="2" s="1"/>
  <c r="AF787" i="2" s="1"/>
  <c r="AA787" i="2"/>
  <c r="AC787" i="2" s="1"/>
  <c r="AE787" i="2" s="1"/>
  <c r="Z787" i="2"/>
  <c r="Y787" i="2"/>
  <c r="X787" i="2"/>
  <c r="W787" i="2"/>
  <c r="AI786" i="2"/>
  <c r="AG786" i="2"/>
  <c r="AB786" i="2"/>
  <c r="AD786" i="2" s="1"/>
  <c r="AF786" i="2" s="1"/>
  <c r="AA786" i="2"/>
  <c r="AC786" i="2" s="1"/>
  <c r="AE786" i="2" s="1"/>
  <c r="Z786" i="2"/>
  <c r="Y786" i="2"/>
  <c r="X786" i="2"/>
  <c r="W786" i="2"/>
  <c r="AI785" i="2"/>
  <c r="AG785" i="2"/>
  <c r="AB785" i="2"/>
  <c r="AD785" i="2" s="1"/>
  <c r="AF785" i="2" s="1"/>
  <c r="AA785" i="2"/>
  <c r="AC785" i="2" s="1"/>
  <c r="AE785" i="2" s="1"/>
  <c r="Z785" i="2"/>
  <c r="Y785" i="2"/>
  <c r="X785" i="2"/>
  <c r="W785" i="2"/>
  <c r="AI784" i="2"/>
  <c r="AG784" i="2"/>
  <c r="AB784" i="2"/>
  <c r="AD784" i="2" s="1"/>
  <c r="AF784" i="2" s="1"/>
  <c r="AA784" i="2"/>
  <c r="AC784" i="2" s="1"/>
  <c r="AE784" i="2" s="1"/>
  <c r="Z784" i="2"/>
  <c r="Y784" i="2"/>
  <c r="X784" i="2"/>
  <c r="W784" i="2"/>
  <c r="AI783" i="2"/>
  <c r="AG783" i="2"/>
  <c r="AB783" i="2"/>
  <c r="AD783" i="2" s="1"/>
  <c r="AF783" i="2" s="1"/>
  <c r="AA783" i="2"/>
  <c r="AC783" i="2" s="1"/>
  <c r="AE783" i="2" s="1"/>
  <c r="Z783" i="2"/>
  <c r="Y783" i="2"/>
  <c r="X783" i="2"/>
  <c r="W783" i="2"/>
  <c r="AI782" i="2"/>
  <c r="AG782" i="2"/>
  <c r="AB782" i="2"/>
  <c r="AD782" i="2" s="1"/>
  <c r="AF782" i="2" s="1"/>
  <c r="AA782" i="2"/>
  <c r="AC782" i="2" s="1"/>
  <c r="AE782" i="2" s="1"/>
  <c r="Z782" i="2"/>
  <c r="Y782" i="2"/>
  <c r="X782" i="2"/>
  <c r="W782" i="2"/>
  <c r="AI781" i="2"/>
  <c r="AG781" i="2"/>
  <c r="AB781" i="2"/>
  <c r="AD781" i="2" s="1"/>
  <c r="AF781" i="2" s="1"/>
  <c r="AA781" i="2"/>
  <c r="AC781" i="2" s="1"/>
  <c r="AE781" i="2" s="1"/>
  <c r="Z781" i="2"/>
  <c r="Y781" i="2"/>
  <c r="X781" i="2"/>
  <c r="W781" i="2"/>
  <c r="AI780" i="2"/>
  <c r="AG780" i="2"/>
  <c r="AB780" i="2"/>
  <c r="AD780" i="2" s="1"/>
  <c r="AF780" i="2" s="1"/>
  <c r="AA780" i="2"/>
  <c r="AC780" i="2" s="1"/>
  <c r="AE780" i="2" s="1"/>
  <c r="Z780" i="2"/>
  <c r="Y780" i="2"/>
  <c r="X780" i="2"/>
  <c r="W780" i="2"/>
  <c r="AI779" i="2"/>
  <c r="AG779" i="2"/>
  <c r="AE779" i="2"/>
  <c r="AB779" i="2"/>
  <c r="AD779" i="2" s="1"/>
  <c r="AF779" i="2" s="1"/>
  <c r="AA779" i="2"/>
  <c r="AC779" i="2" s="1"/>
  <c r="Z779" i="2"/>
  <c r="Y779" i="2"/>
  <c r="X779" i="2"/>
  <c r="W779" i="2"/>
  <c r="AI778" i="2"/>
  <c r="AG778" i="2"/>
  <c r="AD778" i="2"/>
  <c r="AF778" i="2" s="1"/>
  <c r="AB778" i="2"/>
  <c r="AA778" i="2"/>
  <c r="AC778" i="2" s="1"/>
  <c r="AE778" i="2" s="1"/>
  <c r="Z778" i="2"/>
  <c r="Y778" i="2"/>
  <c r="X778" i="2"/>
  <c r="W778" i="2"/>
  <c r="AI777" i="2"/>
  <c r="AG777" i="2"/>
  <c r="AB777" i="2"/>
  <c r="AD777" i="2" s="1"/>
  <c r="AF777" i="2" s="1"/>
  <c r="AA777" i="2"/>
  <c r="AC777" i="2" s="1"/>
  <c r="AE777" i="2" s="1"/>
  <c r="Z777" i="2"/>
  <c r="Y777" i="2"/>
  <c r="X777" i="2"/>
  <c r="W777" i="2"/>
  <c r="AI776" i="2"/>
  <c r="AG776" i="2"/>
  <c r="AB776" i="2"/>
  <c r="AD776" i="2" s="1"/>
  <c r="AF776" i="2" s="1"/>
  <c r="AA776" i="2"/>
  <c r="AC776" i="2" s="1"/>
  <c r="AE776" i="2" s="1"/>
  <c r="Z776" i="2"/>
  <c r="Y776" i="2"/>
  <c r="X776" i="2"/>
  <c r="W776" i="2"/>
  <c r="AI775" i="2"/>
  <c r="AG775" i="2"/>
  <c r="AB775" i="2"/>
  <c r="AD775" i="2" s="1"/>
  <c r="AF775" i="2" s="1"/>
  <c r="AA775" i="2"/>
  <c r="AC775" i="2" s="1"/>
  <c r="AE775" i="2" s="1"/>
  <c r="Z775" i="2"/>
  <c r="Y775" i="2"/>
  <c r="X775" i="2"/>
  <c r="W775" i="2"/>
  <c r="AI774" i="2"/>
  <c r="AG774" i="2"/>
  <c r="AD774" i="2"/>
  <c r="AF774" i="2" s="1"/>
  <c r="AB774" i="2"/>
  <c r="AA774" i="2"/>
  <c r="AC774" i="2" s="1"/>
  <c r="AE774" i="2" s="1"/>
  <c r="Z774" i="2"/>
  <c r="Y774" i="2"/>
  <c r="X774" i="2"/>
  <c r="W774" i="2"/>
  <c r="AI773" i="2"/>
  <c r="AG773" i="2"/>
  <c r="AE773" i="2"/>
  <c r="AB773" i="2"/>
  <c r="AD773" i="2" s="1"/>
  <c r="AF773" i="2" s="1"/>
  <c r="AA773" i="2"/>
  <c r="AC773" i="2" s="1"/>
  <c r="Z773" i="2"/>
  <c r="Y773" i="2"/>
  <c r="X773" i="2"/>
  <c r="W773" i="2"/>
  <c r="AI772" i="2"/>
  <c r="AG772" i="2"/>
  <c r="AB772" i="2"/>
  <c r="AD772" i="2" s="1"/>
  <c r="AF772" i="2" s="1"/>
  <c r="AA772" i="2"/>
  <c r="AC772" i="2" s="1"/>
  <c r="AE772" i="2" s="1"/>
  <c r="Z772" i="2"/>
  <c r="Y772" i="2"/>
  <c r="X772" i="2"/>
  <c r="W772" i="2"/>
  <c r="AI771" i="2"/>
  <c r="AG771" i="2"/>
  <c r="AB771" i="2"/>
  <c r="AD771" i="2" s="1"/>
  <c r="AF771" i="2" s="1"/>
  <c r="AA771" i="2"/>
  <c r="AC771" i="2" s="1"/>
  <c r="AE771" i="2" s="1"/>
  <c r="Z771" i="2"/>
  <c r="Y771" i="2"/>
  <c r="X771" i="2"/>
  <c r="W771" i="2"/>
  <c r="AI770" i="2"/>
  <c r="AG770" i="2"/>
  <c r="AB770" i="2"/>
  <c r="AD770" i="2" s="1"/>
  <c r="AF770" i="2" s="1"/>
  <c r="AA770" i="2"/>
  <c r="AC770" i="2" s="1"/>
  <c r="AE770" i="2" s="1"/>
  <c r="Z770" i="2"/>
  <c r="Y770" i="2"/>
  <c r="X770" i="2"/>
  <c r="W770" i="2"/>
  <c r="AI769" i="2"/>
  <c r="AG769" i="2"/>
  <c r="AB769" i="2"/>
  <c r="AD769" i="2" s="1"/>
  <c r="AF769" i="2" s="1"/>
  <c r="AA769" i="2"/>
  <c r="AC769" i="2" s="1"/>
  <c r="AE769" i="2" s="1"/>
  <c r="Z769" i="2"/>
  <c r="Y769" i="2"/>
  <c r="X769" i="2"/>
  <c r="W769" i="2"/>
  <c r="AI768" i="2"/>
  <c r="AG768" i="2"/>
  <c r="AB768" i="2"/>
  <c r="AD768" i="2" s="1"/>
  <c r="AF768" i="2" s="1"/>
  <c r="AA768" i="2"/>
  <c r="AC768" i="2" s="1"/>
  <c r="AE768" i="2" s="1"/>
  <c r="Z768" i="2"/>
  <c r="Y768" i="2"/>
  <c r="X768" i="2"/>
  <c r="W768" i="2"/>
  <c r="AI767" i="2"/>
  <c r="AG767" i="2"/>
  <c r="AD767" i="2"/>
  <c r="AF767" i="2" s="1"/>
  <c r="AB767" i="2"/>
  <c r="AA767" i="2"/>
  <c r="AC767" i="2" s="1"/>
  <c r="AE767" i="2" s="1"/>
  <c r="Z767" i="2"/>
  <c r="Y767" i="2"/>
  <c r="X767" i="2"/>
  <c r="W767" i="2"/>
  <c r="AI766" i="2"/>
  <c r="AG766" i="2"/>
  <c r="AB766" i="2"/>
  <c r="AD766" i="2" s="1"/>
  <c r="AF766" i="2" s="1"/>
  <c r="AA766" i="2"/>
  <c r="AC766" i="2" s="1"/>
  <c r="AE766" i="2" s="1"/>
  <c r="Z766" i="2"/>
  <c r="Y766" i="2"/>
  <c r="X766" i="2"/>
  <c r="W766" i="2"/>
  <c r="AI765" i="2"/>
  <c r="AG765" i="2"/>
  <c r="AB765" i="2"/>
  <c r="AD765" i="2" s="1"/>
  <c r="AF765" i="2" s="1"/>
  <c r="AA765" i="2"/>
  <c r="AC765" i="2" s="1"/>
  <c r="AE765" i="2" s="1"/>
  <c r="Z765" i="2"/>
  <c r="Y765" i="2"/>
  <c r="X765" i="2"/>
  <c r="W765" i="2"/>
  <c r="AI764" i="2"/>
  <c r="AG764" i="2"/>
  <c r="AD764" i="2"/>
  <c r="AF764" i="2" s="1"/>
  <c r="AB764" i="2"/>
  <c r="AA764" i="2"/>
  <c r="AC764" i="2" s="1"/>
  <c r="AE764" i="2" s="1"/>
  <c r="Z764" i="2"/>
  <c r="Y764" i="2"/>
  <c r="X764" i="2"/>
  <c r="W764" i="2"/>
  <c r="AI763" i="2"/>
  <c r="AG763" i="2"/>
  <c r="AB763" i="2"/>
  <c r="AD763" i="2" s="1"/>
  <c r="AF763" i="2" s="1"/>
  <c r="AA763" i="2"/>
  <c r="AC763" i="2" s="1"/>
  <c r="AE763" i="2" s="1"/>
  <c r="Z763" i="2"/>
  <c r="Y763" i="2"/>
  <c r="X763" i="2"/>
  <c r="W763" i="2"/>
  <c r="AI762" i="2"/>
  <c r="AG762" i="2"/>
  <c r="AB762" i="2"/>
  <c r="AD762" i="2" s="1"/>
  <c r="AF762" i="2" s="1"/>
  <c r="AA762" i="2"/>
  <c r="AC762" i="2" s="1"/>
  <c r="AE762" i="2" s="1"/>
  <c r="Z762" i="2"/>
  <c r="Y762" i="2"/>
  <c r="X762" i="2"/>
  <c r="W762" i="2"/>
  <c r="AI761" i="2"/>
  <c r="AG761" i="2"/>
  <c r="AB761" i="2"/>
  <c r="AD761" i="2" s="1"/>
  <c r="AF761" i="2" s="1"/>
  <c r="AA761" i="2"/>
  <c r="AC761" i="2" s="1"/>
  <c r="AE761" i="2" s="1"/>
  <c r="Z761" i="2"/>
  <c r="Y761" i="2"/>
  <c r="X761" i="2"/>
  <c r="W761" i="2"/>
  <c r="AI760" i="2"/>
  <c r="AG760" i="2"/>
  <c r="AB760" i="2"/>
  <c r="AD760" i="2" s="1"/>
  <c r="AF760" i="2" s="1"/>
  <c r="AA760" i="2"/>
  <c r="AC760" i="2" s="1"/>
  <c r="AE760" i="2" s="1"/>
  <c r="Z760" i="2"/>
  <c r="Y760" i="2"/>
  <c r="X760" i="2"/>
  <c r="W760" i="2"/>
  <c r="AI759" i="2"/>
  <c r="AG759" i="2"/>
  <c r="AB759" i="2"/>
  <c r="AD759" i="2" s="1"/>
  <c r="AF759" i="2" s="1"/>
  <c r="AA759" i="2"/>
  <c r="AC759" i="2" s="1"/>
  <c r="AE759" i="2" s="1"/>
  <c r="Z759" i="2"/>
  <c r="Y759" i="2"/>
  <c r="X759" i="2"/>
  <c r="W759" i="2"/>
  <c r="AI758" i="2"/>
  <c r="AG758" i="2"/>
  <c r="AB758" i="2"/>
  <c r="AD758" i="2" s="1"/>
  <c r="AF758" i="2" s="1"/>
  <c r="AA758" i="2"/>
  <c r="AC758" i="2" s="1"/>
  <c r="AE758" i="2" s="1"/>
  <c r="Z758" i="2"/>
  <c r="Y758" i="2"/>
  <c r="X758" i="2"/>
  <c r="W758" i="2"/>
  <c r="AI757" i="2"/>
  <c r="AG757" i="2"/>
  <c r="AF757" i="2"/>
  <c r="AB757" i="2"/>
  <c r="AD757" i="2" s="1"/>
  <c r="AA757" i="2"/>
  <c r="AC757" i="2" s="1"/>
  <c r="AE757" i="2" s="1"/>
  <c r="Z757" i="2"/>
  <c r="Y757" i="2"/>
  <c r="X757" i="2"/>
  <c r="W757" i="2"/>
  <c r="AI756" i="2"/>
  <c r="AG756" i="2"/>
  <c r="AB756" i="2"/>
  <c r="AD756" i="2" s="1"/>
  <c r="AF756" i="2" s="1"/>
  <c r="AA756" i="2"/>
  <c r="AC756" i="2" s="1"/>
  <c r="AE756" i="2" s="1"/>
  <c r="Z756" i="2"/>
  <c r="Y756" i="2"/>
  <c r="X756" i="2"/>
  <c r="W756" i="2"/>
  <c r="AI755" i="2"/>
  <c r="AG755" i="2"/>
  <c r="AB755" i="2"/>
  <c r="AD755" i="2" s="1"/>
  <c r="AF755" i="2" s="1"/>
  <c r="AA755" i="2"/>
  <c r="AC755" i="2" s="1"/>
  <c r="AE755" i="2" s="1"/>
  <c r="Z755" i="2"/>
  <c r="Y755" i="2"/>
  <c r="X755" i="2"/>
  <c r="W755" i="2"/>
  <c r="AI754" i="2"/>
  <c r="AG754" i="2"/>
  <c r="AB754" i="2"/>
  <c r="AD754" i="2" s="1"/>
  <c r="AF754" i="2" s="1"/>
  <c r="AA754" i="2"/>
  <c r="AC754" i="2" s="1"/>
  <c r="AE754" i="2" s="1"/>
  <c r="Z754" i="2"/>
  <c r="Y754" i="2"/>
  <c r="X754" i="2"/>
  <c r="W754" i="2"/>
  <c r="AI753" i="2"/>
  <c r="AG753" i="2"/>
  <c r="AB753" i="2"/>
  <c r="AD753" i="2" s="1"/>
  <c r="AF753" i="2" s="1"/>
  <c r="AA753" i="2"/>
  <c r="AC753" i="2" s="1"/>
  <c r="AE753" i="2" s="1"/>
  <c r="Z753" i="2"/>
  <c r="Y753" i="2"/>
  <c r="X753" i="2"/>
  <c r="W753" i="2"/>
  <c r="AI752" i="2"/>
  <c r="AG752" i="2"/>
  <c r="AB752" i="2"/>
  <c r="AD752" i="2" s="1"/>
  <c r="AF752" i="2" s="1"/>
  <c r="AA752" i="2"/>
  <c r="AC752" i="2" s="1"/>
  <c r="AE752" i="2" s="1"/>
  <c r="Z752" i="2"/>
  <c r="Y752" i="2"/>
  <c r="X752" i="2"/>
  <c r="W752" i="2"/>
  <c r="AI751" i="2"/>
  <c r="AG751" i="2"/>
  <c r="AB751" i="2"/>
  <c r="AD751" i="2" s="1"/>
  <c r="AF751" i="2" s="1"/>
  <c r="AA751" i="2"/>
  <c r="AC751" i="2" s="1"/>
  <c r="AE751" i="2" s="1"/>
  <c r="Z751" i="2"/>
  <c r="Y751" i="2"/>
  <c r="X751" i="2"/>
  <c r="W751" i="2"/>
  <c r="AI750" i="2"/>
  <c r="AG750" i="2"/>
  <c r="AB750" i="2"/>
  <c r="AD750" i="2" s="1"/>
  <c r="AF750" i="2" s="1"/>
  <c r="AA750" i="2"/>
  <c r="AC750" i="2" s="1"/>
  <c r="AE750" i="2" s="1"/>
  <c r="Z750" i="2"/>
  <c r="Y750" i="2"/>
  <c r="X750" i="2"/>
  <c r="W750" i="2"/>
  <c r="AI749" i="2"/>
  <c r="AG749" i="2"/>
  <c r="AB749" i="2"/>
  <c r="AD749" i="2" s="1"/>
  <c r="AF749" i="2" s="1"/>
  <c r="AA749" i="2"/>
  <c r="AC749" i="2" s="1"/>
  <c r="AE749" i="2" s="1"/>
  <c r="Z749" i="2"/>
  <c r="Y749" i="2"/>
  <c r="X749" i="2"/>
  <c r="W749" i="2"/>
  <c r="AI748" i="2"/>
  <c r="AG748" i="2"/>
  <c r="AD748" i="2"/>
  <c r="AF748" i="2" s="1"/>
  <c r="AB748" i="2"/>
  <c r="AA748" i="2"/>
  <c r="AC748" i="2" s="1"/>
  <c r="AE748" i="2" s="1"/>
  <c r="Z748" i="2"/>
  <c r="Y748" i="2"/>
  <c r="X748" i="2"/>
  <c r="W748" i="2"/>
  <c r="AI747" i="2"/>
  <c r="AG747" i="2"/>
  <c r="AB747" i="2"/>
  <c r="AD747" i="2" s="1"/>
  <c r="AF747" i="2" s="1"/>
  <c r="AA747" i="2"/>
  <c r="AC747" i="2" s="1"/>
  <c r="AE747" i="2" s="1"/>
  <c r="Z747" i="2"/>
  <c r="Y747" i="2"/>
  <c r="X747" i="2"/>
  <c r="W747" i="2"/>
  <c r="AI746" i="2"/>
  <c r="AG746" i="2"/>
  <c r="AB746" i="2"/>
  <c r="AD746" i="2" s="1"/>
  <c r="AF746" i="2" s="1"/>
  <c r="AA746" i="2"/>
  <c r="AC746" i="2" s="1"/>
  <c r="AE746" i="2" s="1"/>
  <c r="Z746" i="2"/>
  <c r="Y746" i="2"/>
  <c r="X746" i="2"/>
  <c r="W746" i="2"/>
  <c r="AI745" i="2"/>
  <c r="AG745" i="2"/>
  <c r="AB745" i="2"/>
  <c r="AD745" i="2" s="1"/>
  <c r="AF745" i="2" s="1"/>
  <c r="AA745" i="2"/>
  <c r="AC745" i="2" s="1"/>
  <c r="AE745" i="2" s="1"/>
  <c r="Z745" i="2"/>
  <c r="Y745" i="2"/>
  <c r="X745" i="2"/>
  <c r="W745" i="2"/>
  <c r="AI744" i="2"/>
  <c r="AG744" i="2"/>
  <c r="AB744" i="2"/>
  <c r="AD744" i="2" s="1"/>
  <c r="AF744" i="2" s="1"/>
  <c r="AA744" i="2"/>
  <c r="AC744" i="2" s="1"/>
  <c r="AE744" i="2" s="1"/>
  <c r="Z744" i="2"/>
  <c r="Y744" i="2"/>
  <c r="X744" i="2"/>
  <c r="W744" i="2"/>
  <c r="AI743" i="2"/>
  <c r="AG743" i="2"/>
  <c r="AB743" i="2"/>
  <c r="AD743" i="2" s="1"/>
  <c r="AF743" i="2" s="1"/>
  <c r="AA743" i="2"/>
  <c r="AC743" i="2" s="1"/>
  <c r="AE743" i="2" s="1"/>
  <c r="Z743" i="2"/>
  <c r="Y743" i="2"/>
  <c r="X743" i="2"/>
  <c r="W743" i="2"/>
  <c r="AI742" i="2"/>
  <c r="AG742" i="2"/>
  <c r="AB742" i="2"/>
  <c r="AD742" i="2" s="1"/>
  <c r="AF742" i="2" s="1"/>
  <c r="AA742" i="2"/>
  <c r="AC742" i="2" s="1"/>
  <c r="AE742" i="2" s="1"/>
  <c r="Z742" i="2"/>
  <c r="Y742" i="2"/>
  <c r="X742" i="2"/>
  <c r="W742" i="2"/>
  <c r="AI741" i="2"/>
  <c r="AG741" i="2"/>
  <c r="AE741" i="2"/>
  <c r="AB741" i="2"/>
  <c r="AD741" i="2" s="1"/>
  <c r="AF741" i="2" s="1"/>
  <c r="AA741" i="2"/>
  <c r="AC741" i="2" s="1"/>
  <c r="Z741" i="2"/>
  <c r="Y741" i="2"/>
  <c r="X741" i="2"/>
  <c r="W741" i="2"/>
  <c r="AI740" i="2"/>
  <c r="AG740" i="2"/>
  <c r="AB740" i="2"/>
  <c r="AD740" i="2" s="1"/>
  <c r="AF740" i="2" s="1"/>
  <c r="AA740" i="2"/>
  <c r="AC740" i="2" s="1"/>
  <c r="AE740" i="2" s="1"/>
  <c r="Z740" i="2"/>
  <c r="Y740" i="2"/>
  <c r="X740" i="2"/>
  <c r="W740" i="2"/>
  <c r="AI739" i="2"/>
  <c r="AG739" i="2"/>
  <c r="AB739" i="2"/>
  <c r="AD739" i="2" s="1"/>
  <c r="AF739" i="2" s="1"/>
  <c r="AA739" i="2"/>
  <c r="AC739" i="2" s="1"/>
  <c r="AE739" i="2" s="1"/>
  <c r="Z739" i="2"/>
  <c r="Y739" i="2"/>
  <c r="X739" i="2"/>
  <c r="W739" i="2"/>
  <c r="AI738" i="2"/>
  <c r="AG738" i="2"/>
  <c r="AB738" i="2"/>
  <c r="AD738" i="2" s="1"/>
  <c r="AF738" i="2" s="1"/>
  <c r="AA738" i="2"/>
  <c r="AC738" i="2" s="1"/>
  <c r="AE738" i="2" s="1"/>
  <c r="Z738" i="2"/>
  <c r="Y738" i="2"/>
  <c r="X738" i="2"/>
  <c r="W738" i="2"/>
  <c r="AI737" i="2"/>
  <c r="AG737" i="2"/>
  <c r="AB737" i="2"/>
  <c r="AD737" i="2" s="1"/>
  <c r="AF737" i="2" s="1"/>
  <c r="AA737" i="2"/>
  <c r="AC737" i="2" s="1"/>
  <c r="AE737" i="2" s="1"/>
  <c r="Z737" i="2"/>
  <c r="Y737" i="2"/>
  <c r="X737" i="2"/>
  <c r="W737" i="2"/>
  <c r="AI736" i="2"/>
  <c r="AG736" i="2"/>
  <c r="AB736" i="2"/>
  <c r="AD736" i="2" s="1"/>
  <c r="AF736" i="2" s="1"/>
  <c r="AA736" i="2"/>
  <c r="AC736" i="2" s="1"/>
  <c r="AE736" i="2" s="1"/>
  <c r="Z736" i="2"/>
  <c r="Y736" i="2"/>
  <c r="X736" i="2"/>
  <c r="W736" i="2"/>
  <c r="AI735" i="2"/>
  <c r="AG735" i="2"/>
  <c r="AB735" i="2"/>
  <c r="AD735" i="2" s="1"/>
  <c r="AF735" i="2" s="1"/>
  <c r="AA735" i="2"/>
  <c r="AC735" i="2" s="1"/>
  <c r="AE735" i="2" s="1"/>
  <c r="Z735" i="2"/>
  <c r="Y735" i="2"/>
  <c r="X735" i="2"/>
  <c r="W735" i="2"/>
  <c r="AI734" i="2"/>
  <c r="AG734" i="2"/>
  <c r="AB734" i="2"/>
  <c r="AD734" i="2" s="1"/>
  <c r="AF734" i="2" s="1"/>
  <c r="AA734" i="2"/>
  <c r="AC734" i="2" s="1"/>
  <c r="AE734" i="2" s="1"/>
  <c r="Z734" i="2"/>
  <c r="Y734" i="2"/>
  <c r="X734" i="2"/>
  <c r="W734" i="2"/>
  <c r="AI733" i="2"/>
  <c r="AG733" i="2"/>
  <c r="AE733" i="2"/>
  <c r="AB733" i="2"/>
  <c r="AD733" i="2" s="1"/>
  <c r="AF733" i="2" s="1"/>
  <c r="AA733" i="2"/>
  <c r="AC733" i="2" s="1"/>
  <c r="Z733" i="2"/>
  <c r="Y733" i="2"/>
  <c r="X733" i="2"/>
  <c r="W733" i="2"/>
  <c r="AI732" i="2"/>
  <c r="AG732" i="2"/>
  <c r="AB732" i="2"/>
  <c r="AD732" i="2" s="1"/>
  <c r="AF732" i="2" s="1"/>
  <c r="AA732" i="2"/>
  <c r="AC732" i="2" s="1"/>
  <c r="AE732" i="2" s="1"/>
  <c r="Z732" i="2"/>
  <c r="Y732" i="2"/>
  <c r="X732" i="2"/>
  <c r="W732" i="2"/>
  <c r="AI731" i="2"/>
  <c r="AG731" i="2"/>
  <c r="AB731" i="2"/>
  <c r="AD731" i="2" s="1"/>
  <c r="AF731" i="2" s="1"/>
  <c r="AA731" i="2"/>
  <c r="AC731" i="2" s="1"/>
  <c r="AE731" i="2" s="1"/>
  <c r="Z731" i="2"/>
  <c r="Y731" i="2"/>
  <c r="X731" i="2"/>
  <c r="W731" i="2"/>
  <c r="AI730" i="2"/>
  <c r="AG730" i="2"/>
  <c r="AB730" i="2"/>
  <c r="AD730" i="2" s="1"/>
  <c r="AF730" i="2" s="1"/>
  <c r="AA730" i="2"/>
  <c r="AC730" i="2" s="1"/>
  <c r="AE730" i="2" s="1"/>
  <c r="Z730" i="2"/>
  <c r="Y730" i="2"/>
  <c r="X730" i="2"/>
  <c r="W730" i="2"/>
  <c r="AI729" i="2"/>
  <c r="AG729" i="2"/>
  <c r="AB729" i="2"/>
  <c r="AD729" i="2" s="1"/>
  <c r="AF729" i="2" s="1"/>
  <c r="AA729" i="2"/>
  <c r="AC729" i="2" s="1"/>
  <c r="AE729" i="2" s="1"/>
  <c r="Z729" i="2"/>
  <c r="Y729" i="2"/>
  <c r="X729" i="2"/>
  <c r="W729" i="2"/>
  <c r="AI728" i="2"/>
  <c r="AG728" i="2"/>
  <c r="AB728" i="2"/>
  <c r="AD728" i="2" s="1"/>
  <c r="AF728" i="2" s="1"/>
  <c r="AA728" i="2"/>
  <c r="AC728" i="2" s="1"/>
  <c r="AE728" i="2" s="1"/>
  <c r="Z728" i="2"/>
  <c r="Y728" i="2"/>
  <c r="X728" i="2"/>
  <c r="W728" i="2"/>
  <c r="AI727" i="2"/>
  <c r="AG727" i="2"/>
  <c r="AB727" i="2"/>
  <c r="AD727" i="2" s="1"/>
  <c r="AF727" i="2" s="1"/>
  <c r="AA727" i="2"/>
  <c r="AC727" i="2" s="1"/>
  <c r="AE727" i="2" s="1"/>
  <c r="Z727" i="2"/>
  <c r="Y727" i="2"/>
  <c r="X727" i="2"/>
  <c r="W727" i="2"/>
  <c r="AI726" i="2"/>
  <c r="AG726" i="2"/>
  <c r="AB726" i="2"/>
  <c r="AD726" i="2" s="1"/>
  <c r="AF726" i="2" s="1"/>
  <c r="AA726" i="2"/>
  <c r="AC726" i="2" s="1"/>
  <c r="AE726" i="2" s="1"/>
  <c r="Z726" i="2"/>
  <c r="Y726" i="2"/>
  <c r="X726" i="2"/>
  <c r="W726" i="2"/>
  <c r="AI725" i="2"/>
  <c r="AG725" i="2"/>
  <c r="AB725" i="2"/>
  <c r="AD725" i="2" s="1"/>
  <c r="AF725" i="2" s="1"/>
  <c r="AA725" i="2"/>
  <c r="AC725" i="2" s="1"/>
  <c r="AE725" i="2" s="1"/>
  <c r="Z725" i="2"/>
  <c r="Y725" i="2"/>
  <c r="X725" i="2"/>
  <c r="W725" i="2"/>
  <c r="AI724" i="2"/>
  <c r="AG724" i="2"/>
  <c r="AB724" i="2"/>
  <c r="AD724" i="2" s="1"/>
  <c r="AF724" i="2" s="1"/>
  <c r="AA724" i="2"/>
  <c r="AC724" i="2" s="1"/>
  <c r="AE724" i="2" s="1"/>
  <c r="Z724" i="2"/>
  <c r="Y724" i="2"/>
  <c r="X724" i="2"/>
  <c r="W724" i="2"/>
  <c r="AI723" i="2"/>
  <c r="AG723" i="2"/>
  <c r="AB723" i="2"/>
  <c r="AD723" i="2" s="1"/>
  <c r="AF723" i="2" s="1"/>
  <c r="AA723" i="2"/>
  <c r="AC723" i="2" s="1"/>
  <c r="AE723" i="2" s="1"/>
  <c r="Z723" i="2"/>
  <c r="Y723" i="2"/>
  <c r="X723" i="2"/>
  <c r="W723" i="2"/>
  <c r="AI722" i="2"/>
  <c r="AG722" i="2"/>
  <c r="AB722" i="2"/>
  <c r="AD722" i="2" s="1"/>
  <c r="AF722" i="2" s="1"/>
  <c r="AA722" i="2"/>
  <c r="AC722" i="2" s="1"/>
  <c r="AE722" i="2" s="1"/>
  <c r="Z722" i="2"/>
  <c r="Y722" i="2"/>
  <c r="X722" i="2"/>
  <c r="W722" i="2"/>
  <c r="AI721" i="2"/>
  <c r="AG721" i="2"/>
  <c r="AB721" i="2"/>
  <c r="AD721" i="2" s="1"/>
  <c r="AF721" i="2" s="1"/>
  <c r="AA721" i="2"/>
  <c r="AC721" i="2" s="1"/>
  <c r="AE721" i="2" s="1"/>
  <c r="Z721" i="2"/>
  <c r="Y721" i="2"/>
  <c r="X721" i="2"/>
  <c r="W721" i="2"/>
  <c r="AI720" i="2"/>
  <c r="AG720" i="2"/>
  <c r="AB720" i="2"/>
  <c r="AD720" i="2" s="1"/>
  <c r="AF720" i="2" s="1"/>
  <c r="AA720" i="2"/>
  <c r="AC720" i="2" s="1"/>
  <c r="AE720" i="2" s="1"/>
  <c r="Z720" i="2"/>
  <c r="Y720" i="2"/>
  <c r="X720" i="2"/>
  <c r="W720" i="2"/>
  <c r="AI719" i="2"/>
  <c r="AG719" i="2"/>
  <c r="AB719" i="2"/>
  <c r="AD719" i="2" s="1"/>
  <c r="AF719" i="2" s="1"/>
  <c r="AA719" i="2"/>
  <c r="AC719" i="2" s="1"/>
  <c r="AE719" i="2" s="1"/>
  <c r="Z719" i="2"/>
  <c r="Y719" i="2"/>
  <c r="X719" i="2"/>
  <c r="W719" i="2"/>
  <c r="AI718" i="2"/>
  <c r="AG718" i="2"/>
  <c r="AB718" i="2"/>
  <c r="AD718" i="2" s="1"/>
  <c r="AF718" i="2" s="1"/>
  <c r="AA718" i="2"/>
  <c r="AC718" i="2" s="1"/>
  <c r="AE718" i="2" s="1"/>
  <c r="Z718" i="2"/>
  <c r="Y718" i="2"/>
  <c r="X718" i="2"/>
  <c r="W718" i="2"/>
  <c r="AI717" i="2"/>
  <c r="AG717" i="2"/>
  <c r="AB717" i="2"/>
  <c r="AD717" i="2" s="1"/>
  <c r="AF717" i="2" s="1"/>
  <c r="AA717" i="2"/>
  <c r="AC717" i="2" s="1"/>
  <c r="AE717" i="2" s="1"/>
  <c r="Z717" i="2"/>
  <c r="Y717" i="2"/>
  <c r="X717" i="2"/>
  <c r="W717" i="2"/>
  <c r="AI716" i="2"/>
  <c r="AG716" i="2"/>
  <c r="AB716" i="2"/>
  <c r="AD716" i="2" s="1"/>
  <c r="AF716" i="2" s="1"/>
  <c r="AA716" i="2"/>
  <c r="AC716" i="2" s="1"/>
  <c r="AE716" i="2" s="1"/>
  <c r="Z716" i="2"/>
  <c r="Y716" i="2"/>
  <c r="X716" i="2"/>
  <c r="W716" i="2"/>
  <c r="AI715" i="2"/>
  <c r="AG715" i="2"/>
  <c r="AB715" i="2"/>
  <c r="AD715" i="2" s="1"/>
  <c r="AF715" i="2" s="1"/>
  <c r="AA715" i="2"/>
  <c r="AC715" i="2" s="1"/>
  <c r="AE715" i="2" s="1"/>
  <c r="Z715" i="2"/>
  <c r="Y715" i="2"/>
  <c r="X715" i="2"/>
  <c r="W715" i="2"/>
  <c r="AI714" i="2"/>
  <c r="AG714" i="2"/>
  <c r="AB714" i="2"/>
  <c r="AD714" i="2" s="1"/>
  <c r="AF714" i="2" s="1"/>
  <c r="AA714" i="2"/>
  <c r="AC714" i="2" s="1"/>
  <c r="AE714" i="2" s="1"/>
  <c r="Z714" i="2"/>
  <c r="Y714" i="2"/>
  <c r="X714" i="2"/>
  <c r="W714" i="2"/>
  <c r="AI713" i="2"/>
  <c r="AG713" i="2"/>
  <c r="AE713" i="2"/>
  <c r="AB713" i="2"/>
  <c r="AD713" i="2" s="1"/>
  <c r="AF713" i="2" s="1"/>
  <c r="AA713" i="2"/>
  <c r="AC713" i="2" s="1"/>
  <c r="Z713" i="2"/>
  <c r="Y713" i="2"/>
  <c r="X713" i="2"/>
  <c r="W713" i="2"/>
  <c r="AI712" i="2"/>
  <c r="AG712" i="2"/>
  <c r="AB712" i="2"/>
  <c r="AD712" i="2" s="1"/>
  <c r="AF712" i="2" s="1"/>
  <c r="AA712" i="2"/>
  <c r="AC712" i="2" s="1"/>
  <c r="AE712" i="2" s="1"/>
  <c r="Z712" i="2"/>
  <c r="Y712" i="2"/>
  <c r="X712" i="2"/>
  <c r="W712" i="2"/>
  <c r="AI711" i="2"/>
  <c r="AG711" i="2"/>
  <c r="AB711" i="2"/>
  <c r="AD711" i="2" s="1"/>
  <c r="AF711" i="2" s="1"/>
  <c r="AA711" i="2"/>
  <c r="AC711" i="2" s="1"/>
  <c r="AE711" i="2" s="1"/>
  <c r="Z711" i="2"/>
  <c r="Y711" i="2"/>
  <c r="X711" i="2"/>
  <c r="W711" i="2"/>
  <c r="AI710" i="2"/>
  <c r="AG710" i="2"/>
  <c r="AB710" i="2"/>
  <c r="AD710" i="2" s="1"/>
  <c r="AF710" i="2" s="1"/>
  <c r="AA710" i="2"/>
  <c r="AC710" i="2" s="1"/>
  <c r="AE710" i="2" s="1"/>
  <c r="Z710" i="2"/>
  <c r="Y710" i="2"/>
  <c r="X710" i="2"/>
  <c r="W710" i="2"/>
  <c r="AI709" i="2"/>
  <c r="AG709" i="2"/>
  <c r="AB709" i="2"/>
  <c r="AD709" i="2" s="1"/>
  <c r="AF709" i="2" s="1"/>
  <c r="AA709" i="2"/>
  <c r="AC709" i="2" s="1"/>
  <c r="AE709" i="2" s="1"/>
  <c r="Z709" i="2"/>
  <c r="Y709" i="2"/>
  <c r="X709" i="2"/>
  <c r="W709" i="2"/>
  <c r="AI708" i="2"/>
  <c r="AG708" i="2"/>
  <c r="AB708" i="2"/>
  <c r="AD708" i="2" s="1"/>
  <c r="AF708" i="2" s="1"/>
  <c r="AA708" i="2"/>
  <c r="AC708" i="2" s="1"/>
  <c r="AE708" i="2" s="1"/>
  <c r="Z708" i="2"/>
  <c r="Y708" i="2"/>
  <c r="X708" i="2"/>
  <c r="W708" i="2"/>
  <c r="AI707" i="2"/>
  <c r="AG707" i="2"/>
  <c r="AB707" i="2"/>
  <c r="AD707" i="2" s="1"/>
  <c r="AF707" i="2" s="1"/>
  <c r="AA707" i="2"/>
  <c r="AC707" i="2" s="1"/>
  <c r="AE707" i="2" s="1"/>
  <c r="Z707" i="2"/>
  <c r="Y707" i="2"/>
  <c r="X707" i="2"/>
  <c r="W707" i="2"/>
  <c r="AI706" i="2"/>
  <c r="AG706" i="2"/>
  <c r="AB706" i="2"/>
  <c r="AD706" i="2" s="1"/>
  <c r="AF706" i="2" s="1"/>
  <c r="AA706" i="2"/>
  <c r="AC706" i="2" s="1"/>
  <c r="AE706" i="2" s="1"/>
  <c r="Z706" i="2"/>
  <c r="Y706" i="2"/>
  <c r="X706" i="2"/>
  <c r="W706" i="2"/>
  <c r="AI705" i="2"/>
  <c r="AG705" i="2"/>
  <c r="AB705" i="2"/>
  <c r="AD705" i="2" s="1"/>
  <c r="AF705" i="2" s="1"/>
  <c r="AA705" i="2"/>
  <c r="AC705" i="2" s="1"/>
  <c r="AE705" i="2" s="1"/>
  <c r="Z705" i="2"/>
  <c r="Y705" i="2"/>
  <c r="X705" i="2"/>
  <c r="W705" i="2"/>
  <c r="AI704" i="2"/>
  <c r="AG704" i="2"/>
  <c r="AB704" i="2"/>
  <c r="AD704" i="2" s="1"/>
  <c r="AF704" i="2" s="1"/>
  <c r="AA704" i="2"/>
  <c r="AC704" i="2" s="1"/>
  <c r="AE704" i="2" s="1"/>
  <c r="Z704" i="2"/>
  <c r="Y704" i="2"/>
  <c r="X704" i="2"/>
  <c r="W704" i="2"/>
  <c r="AI703" i="2"/>
  <c r="AG703" i="2"/>
  <c r="AB703" i="2"/>
  <c r="AD703" i="2" s="1"/>
  <c r="AF703" i="2" s="1"/>
  <c r="AA703" i="2"/>
  <c r="AC703" i="2" s="1"/>
  <c r="AE703" i="2" s="1"/>
  <c r="Z703" i="2"/>
  <c r="Y703" i="2"/>
  <c r="X703" i="2"/>
  <c r="W703" i="2"/>
  <c r="AI702" i="2"/>
  <c r="AG702" i="2"/>
  <c r="AB702" i="2"/>
  <c r="AD702" i="2" s="1"/>
  <c r="AF702" i="2" s="1"/>
  <c r="AA702" i="2"/>
  <c r="AC702" i="2" s="1"/>
  <c r="AE702" i="2" s="1"/>
  <c r="Z702" i="2"/>
  <c r="Y702" i="2"/>
  <c r="X702" i="2"/>
  <c r="W702" i="2"/>
  <c r="AI701" i="2"/>
  <c r="AG701" i="2"/>
  <c r="AB701" i="2"/>
  <c r="AD701" i="2" s="1"/>
  <c r="AF701" i="2" s="1"/>
  <c r="AA701" i="2"/>
  <c r="AC701" i="2" s="1"/>
  <c r="AE701" i="2" s="1"/>
  <c r="Z701" i="2"/>
  <c r="Y701" i="2"/>
  <c r="X701" i="2"/>
  <c r="W701" i="2"/>
  <c r="AI700" i="2"/>
  <c r="AG700" i="2"/>
  <c r="AB700" i="2"/>
  <c r="AD700" i="2" s="1"/>
  <c r="AF700" i="2" s="1"/>
  <c r="AA700" i="2"/>
  <c r="AC700" i="2" s="1"/>
  <c r="AE700" i="2" s="1"/>
  <c r="Z700" i="2"/>
  <c r="Y700" i="2"/>
  <c r="X700" i="2"/>
  <c r="W700" i="2"/>
  <c r="AI699" i="2"/>
  <c r="AG699" i="2"/>
  <c r="AB699" i="2"/>
  <c r="AD699" i="2" s="1"/>
  <c r="AF699" i="2" s="1"/>
  <c r="AA699" i="2"/>
  <c r="AC699" i="2" s="1"/>
  <c r="AE699" i="2" s="1"/>
  <c r="Z699" i="2"/>
  <c r="Y699" i="2"/>
  <c r="X699" i="2"/>
  <c r="W699" i="2"/>
  <c r="AI698" i="2"/>
  <c r="AG698" i="2"/>
  <c r="AB698" i="2"/>
  <c r="AD698" i="2" s="1"/>
  <c r="AF698" i="2" s="1"/>
  <c r="AA698" i="2"/>
  <c r="AC698" i="2" s="1"/>
  <c r="AE698" i="2" s="1"/>
  <c r="Z698" i="2"/>
  <c r="Y698" i="2"/>
  <c r="X698" i="2"/>
  <c r="W698" i="2"/>
  <c r="AI697" i="2"/>
  <c r="AG697" i="2"/>
  <c r="AE697" i="2"/>
  <c r="AB697" i="2"/>
  <c r="AD697" i="2" s="1"/>
  <c r="AF697" i="2" s="1"/>
  <c r="AA697" i="2"/>
  <c r="AC697" i="2" s="1"/>
  <c r="Z697" i="2"/>
  <c r="Y697" i="2"/>
  <c r="X697" i="2"/>
  <c r="W697" i="2"/>
  <c r="AI696" i="2"/>
  <c r="AG696" i="2"/>
  <c r="AB696" i="2"/>
  <c r="AD696" i="2" s="1"/>
  <c r="AF696" i="2" s="1"/>
  <c r="AA696" i="2"/>
  <c r="AC696" i="2" s="1"/>
  <c r="AE696" i="2" s="1"/>
  <c r="Z696" i="2"/>
  <c r="Y696" i="2"/>
  <c r="X696" i="2"/>
  <c r="W696" i="2"/>
  <c r="AI695" i="2"/>
  <c r="AG695" i="2"/>
  <c r="AB695" i="2"/>
  <c r="AD695" i="2" s="1"/>
  <c r="AF695" i="2" s="1"/>
  <c r="AA695" i="2"/>
  <c r="AC695" i="2" s="1"/>
  <c r="AE695" i="2" s="1"/>
  <c r="Z695" i="2"/>
  <c r="Y695" i="2"/>
  <c r="X695" i="2"/>
  <c r="W695" i="2"/>
  <c r="AI694" i="2"/>
  <c r="AG694" i="2"/>
  <c r="AB694" i="2"/>
  <c r="AD694" i="2" s="1"/>
  <c r="AF694" i="2" s="1"/>
  <c r="AA694" i="2"/>
  <c r="AC694" i="2" s="1"/>
  <c r="AE694" i="2" s="1"/>
  <c r="Z694" i="2"/>
  <c r="Y694" i="2"/>
  <c r="X694" i="2"/>
  <c r="W694" i="2"/>
  <c r="AI693" i="2"/>
  <c r="AG693" i="2"/>
  <c r="AE693" i="2"/>
  <c r="AB693" i="2"/>
  <c r="AD693" i="2" s="1"/>
  <c r="AF693" i="2" s="1"/>
  <c r="AA693" i="2"/>
  <c r="AC693" i="2" s="1"/>
  <c r="Z693" i="2"/>
  <c r="Y693" i="2"/>
  <c r="X693" i="2"/>
  <c r="W693" i="2"/>
  <c r="AI692" i="2"/>
  <c r="AG692" i="2"/>
  <c r="AB692" i="2"/>
  <c r="AD692" i="2" s="1"/>
  <c r="AF692" i="2" s="1"/>
  <c r="AA692" i="2"/>
  <c r="AC692" i="2" s="1"/>
  <c r="AE692" i="2" s="1"/>
  <c r="Z692" i="2"/>
  <c r="Y692" i="2"/>
  <c r="X692" i="2"/>
  <c r="W692" i="2"/>
  <c r="AI691" i="2"/>
  <c r="AG691" i="2"/>
  <c r="AB691" i="2"/>
  <c r="AD691" i="2" s="1"/>
  <c r="AF691" i="2" s="1"/>
  <c r="AA691" i="2"/>
  <c r="AC691" i="2" s="1"/>
  <c r="AE691" i="2" s="1"/>
  <c r="Z691" i="2"/>
  <c r="Y691" i="2"/>
  <c r="X691" i="2"/>
  <c r="W691" i="2"/>
  <c r="AI690" i="2"/>
  <c r="AG690" i="2"/>
  <c r="AB690" i="2"/>
  <c r="AD690" i="2" s="1"/>
  <c r="AF690" i="2" s="1"/>
  <c r="AA690" i="2"/>
  <c r="AC690" i="2" s="1"/>
  <c r="AE690" i="2" s="1"/>
  <c r="Z690" i="2"/>
  <c r="Y690" i="2"/>
  <c r="X690" i="2"/>
  <c r="W690" i="2"/>
  <c r="AI689" i="2"/>
  <c r="AG689" i="2"/>
  <c r="AB689" i="2"/>
  <c r="AD689" i="2" s="1"/>
  <c r="AF689" i="2" s="1"/>
  <c r="AA689" i="2"/>
  <c r="AC689" i="2" s="1"/>
  <c r="AE689" i="2" s="1"/>
  <c r="Z689" i="2"/>
  <c r="Y689" i="2"/>
  <c r="X689" i="2"/>
  <c r="W689" i="2"/>
  <c r="AI688" i="2"/>
  <c r="AG688" i="2"/>
  <c r="AB688" i="2"/>
  <c r="AD688" i="2" s="1"/>
  <c r="AF688" i="2" s="1"/>
  <c r="AA688" i="2"/>
  <c r="AC688" i="2" s="1"/>
  <c r="AE688" i="2" s="1"/>
  <c r="Z688" i="2"/>
  <c r="Y688" i="2"/>
  <c r="X688" i="2"/>
  <c r="W688" i="2"/>
  <c r="AI687" i="2"/>
  <c r="AG687" i="2"/>
  <c r="AB687" i="2"/>
  <c r="AD687" i="2" s="1"/>
  <c r="AF687" i="2" s="1"/>
  <c r="AA687" i="2"/>
  <c r="AC687" i="2" s="1"/>
  <c r="AE687" i="2" s="1"/>
  <c r="Z687" i="2"/>
  <c r="Y687" i="2"/>
  <c r="X687" i="2"/>
  <c r="W687" i="2"/>
  <c r="AI686" i="2"/>
  <c r="AG686" i="2"/>
  <c r="AB686" i="2"/>
  <c r="AD686" i="2" s="1"/>
  <c r="AF686" i="2" s="1"/>
  <c r="AA686" i="2"/>
  <c r="AC686" i="2" s="1"/>
  <c r="AE686" i="2" s="1"/>
  <c r="Z686" i="2"/>
  <c r="Y686" i="2"/>
  <c r="X686" i="2"/>
  <c r="W686" i="2"/>
  <c r="AI685" i="2"/>
  <c r="AG685" i="2"/>
  <c r="AB685" i="2"/>
  <c r="AD685" i="2" s="1"/>
  <c r="AF685" i="2" s="1"/>
  <c r="AA685" i="2"/>
  <c r="AC685" i="2" s="1"/>
  <c r="AE685" i="2" s="1"/>
  <c r="Z685" i="2"/>
  <c r="Y685" i="2"/>
  <c r="X685" i="2"/>
  <c r="W685" i="2"/>
  <c r="AI684" i="2"/>
  <c r="AG684" i="2"/>
  <c r="AB684" i="2"/>
  <c r="AD684" i="2" s="1"/>
  <c r="AF684" i="2" s="1"/>
  <c r="AA684" i="2"/>
  <c r="AC684" i="2" s="1"/>
  <c r="AE684" i="2" s="1"/>
  <c r="Z684" i="2"/>
  <c r="Y684" i="2"/>
  <c r="X684" i="2"/>
  <c r="W684" i="2"/>
  <c r="AI683" i="2"/>
  <c r="AG683" i="2"/>
  <c r="AB683" i="2"/>
  <c r="AD683" i="2" s="1"/>
  <c r="AF683" i="2" s="1"/>
  <c r="AA683" i="2"/>
  <c r="AC683" i="2" s="1"/>
  <c r="AE683" i="2" s="1"/>
  <c r="Z683" i="2"/>
  <c r="Y683" i="2"/>
  <c r="X683" i="2"/>
  <c r="W683" i="2"/>
  <c r="AI682" i="2"/>
  <c r="AG682" i="2"/>
  <c r="AB682" i="2"/>
  <c r="AD682" i="2" s="1"/>
  <c r="AF682" i="2" s="1"/>
  <c r="AA682" i="2"/>
  <c r="AC682" i="2" s="1"/>
  <c r="AE682" i="2" s="1"/>
  <c r="Z682" i="2"/>
  <c r="Y682" i="2"/>
  <c r="X682" i="2"/>
  <c r="W682" i="2"/>
  <c r="AI681" i="2"/>
  <c r="AG681" i="2"/>
  <c r="AB681" i="2"/>
  <c r="AD681" i="2" s="1"/>
  <c r="AF681" i="2" s="1"/>
  <c r="AA681" i="2"/>
  <c r="AC681" i="2" s="1"/>
  <c r="AE681" i="2" s="1"/>
  <c r="Z681" i="2"/>
  <c r="Y681" i="2"/>
  <c r="X681" i="2"/>
  <c r="W681" i="2"/>
  <c r="AI680" i="2"/>
  <c r="AG680" i="2"/>
  <c r="AB680" i="2"/>
  <c r="AD680" i="2" s="1"/>
  <c r="AF680" i="2" s="1"/>
  <c r="AA680" i="2"/>
  <c r="AC680" i="2" s="1"/>
  <c r="AE680" i="2" s="1"/>
  <c r="Z680" i="2"/>
  <c r="Y680" i="2"/>
  <c r="X680" i="2"/>
  <c r="W680" i="2"/>
  <c r="AI679" i="2"/>
  <c r="AG679" i="2"/>
  <c r="AB679" i="2"/>
  <c r="AD679" i="2" s="1"/>
  <c r="AF679" i="2" s="1"/>
  <c r="AA679" i="2"/>
  <c r="AC679" i="2" s="1"/>
  <c r="AE679" i="2" s="1"/>
  <c r="Z679" i="2"/>
  <c r="Y679" i="2"/>
  <c r="X679" i="2"/>
  <c r="W679" i="2"/>
  <c r="AI678" i="2"/>
  <c r="AG678" i="2"/>
  <c r="AB678" i="2"/>
  <c r="AD678" i="2" s="1"/>
  <c r="AF678" i="2" s="1"/>
  <c r="AA678" i="2"/>
  <c r="AC678" i="2" s="1"/>
  <c r="AE678" i="2" s="1"/>
  <c r="Z678" i="2"/>
  <c r="Y678" i="2"/>
  <c r="X678" i="2"/>
  <c r="W678" i="2"/>
  <c r="AI677" i="2"/>
  <c r="AG677" i="2"/>
  <c r="AE677" i="2"/>
  <c r="AB677" i="2"/>
  <c r="AD677" i="2" s="1"/>
  <c r="AF677" i="2" s="1"/>
  <c r="AA677" i="2"/>
  <c r="AC677" i="2" s="1"/>
  <c r="Z677" i="2"/>
  <c r="Y677" i="2"/>
  <c r="X677" i="2"/>
  <c r="W677" i="2"/>
  <c r="AI676" i="2"/>
  <c r="AG676" i="2"/>
  <c r="AB676" i="2"/>
  <c r="AD676" i="2" s="1"/>
  <c r="AF676" i="2" s="1"/>
  <c r="AA676" i="2"/>
  <c r="AC676" i="2" s="1"/>
  <c r="AE676" i="2" s="1"/>
  <c r="Z676" i="2"/>
  <c r="Y676" i="2"/>
  <c r="X676" i="2"/>
  <c r="W676" i="2"/>
  <c r="AI675" i="2"/>
  <c r="AG675" i="2"/>
  <c r="AB675" i="2"/>
  <c r="AD675" i="2" s="1"/>
  <c r="AF675" i="2" s="1"/>
  <c r="AA675" i="2"/>
  <c r="AC675" i="2" s="1"/>
  <c r="AE675" i="2" s="1"/>
  <c r="Z675" i="2"/>
  <c r="Y675" i="2"/>
  <c r="X675" i="2"/>
  <c r="W675" i="2"/>
  <c r="AI674" i="2"/>
  <c r="AG674" i="2"/>
  <c r="AB674" i="2"/>
  <c r="AD674" i="2" s="1"/>
  <c r="AF674" i="2" s="1"/>
  <c r="AA674" i="2"/>
  <c r="AC674" i="2" s="1"/>
  <c r="AE674" i="2" s="1"/>
  <c r="Z674" i="2"/>
  <c r="Y674" i="2"/>
  <c r="X674" i="2"/>
  <c r="W674" i="2"/>
  <c r="AI673" i="2"/>
  <c r="AG673" i="2"/>
  <c r="AB673" i="2"/>
  <c r="AD673" i="2" s="1"/>
  <c r="AF673" i="2" s="1"/>
  <c r="AA673" i="2"/>
  <c r="AC673" i="2" s="1"/>
  <c r="AE673" i="2" s="1"/>
  <c r="Z673" i="2"/>
  <c r="Y673" i="2"/>
  <c r="X673" i="2"/>
  <c r="W673" i="2"/>
  <c r="AI672" i="2"/>
  <c r="AG672" i="2"/>
  <c r="AB672" i="2"/>
  <c r="AD672" i="2" s="1"/>
  <c r="AF672" i="2" s="1"/>
  <c r="AA672" i="2"/>
  <c r="AC672" i="2" s="1"/>
  <c r="AE672" i="2" s="1"/>
  <c r="Z672" i="2"/>
  <c r="Y672" i="2"/>
  <c r="X672" i="2"/>
  <c r="W672" i="2"/>
  <c r="AI671" i="2"/>
  <c r="AG671" i="2"/>
  <c r="AB671" i="2"/>
  <c r="AD671" i="2" s="1"/>
  <c r="AF671" i="2" s="1"/>
  <c r="AA671" i="2"/>
  <c r="AC671" i="2" s="1"/>
  <c r="AE671" i="2" s="1"/>
  <c r="Z671" i="2"/>
  <c r="Y671" i="2"/>
  <c r="X671" i="2"/>
  <c r="W671" i="2"/>
  <c r="AI670" i="2"/>
  <c r="AG670" i="2"/>
  <c r="AB670" i="2"/>
  <c r="AD670" i="2" s="1"/>
  <c r="AF670" i="2" s="1"/>
  <c r="AA670" i="2"/>
  <c r="AC670" i="2" s="1"/>
  <c r="AE670" i="2" s="1"/>
  <c r="Z670" i="2"/>
  <c r="Y670" i="2"/>
  <c r="X670" i="2"/>
  <c r="W670" i="2"/>
  <c r="AI669" i="2"/>
  <c r="AG669" i="2"/>
  <c r="AB669" i="2"/>
  <c r="AD669" i="2" s="1"/>
  <c r="AF669" i="2" s="1"/>
  <c r="AA669" i="2"/>
  <c r="AC669" i="2" s="1"/>
  <c r="AE669" i="2" s="1"/>
  <c r="Z669" i="2"/>
  <c r="Y669" i="2"/>
  <c r="X669" i="2"/>
  <c r="W669" i="2"/>
  <c r="AI668" i="2"/>
  <c r="AG668" i="2"/>
  <c r="AB668" i="2"/>
  <c r="AD668" i="2" s="1"/>
  <c r="AF668" i="2" s="1"/>
  <c r="AA668" i="2"/>
  <c r="AC668" i="2" s="1"/>
  <c r="AE668" i="2" s="1"/>
  <c r="Z668" i="2"/>
  <c r="Y668" i="2"/>
  <c r="X668" i="2"/>
  <c r="W668" i="2"/>
  <c r="AI667" i="2"/>
  <c r="AG667" i="2"/>
  <c r="AB667" i="2"/>
  <c r="AD667" i="2" s="1"/>
  <c r="AF667" i="2" s="1"/>
  <c r="AA667" i="2"/>
  <c r="AC667" i="2" s="1"/>
  <c r="AE667" i="2" s="1"/>
  <c r="Z667" i="2"/>
  <c r="Y667" i="2"/>
  <c r="X667" i="2"/>
  <c r="W667" i="2"/>
  <c r="AI666" i="2"/>
  <c r="AG666" i="2"/>
  <c r="AB666" i="2"/>
  <c r="AD666" i="2" s="1"/>
  <c r="AF666" i="2" s="1"/>
  <c r="AA666" i="2"/>
  <c r="AC666" i="2" s="1"/>
  <c r="AE666" i="2" s="1"/>
  <c r="Z666" i="2"/>
  <c r="Y666" i="2"/>
  <c r="X666" i="2"/>
  <c r="W666" i="2"/>
  <c r="AI665" i="2"/>
  <c r="AG665" i="2"/>
  <c r="AB665" i="2"/>
  <c r="AD665" i="2" s="1"/>
  <c r="AF665" i="2" s="1"/>
  <c r="AA665" i="2"/>
  <c r="AC665" i="2" s="1"/>
  <c r="AE665" i="2" s="1"/>
  <c r="Z665" i="2"/>
  <c r="Y665" i="2"/>
  <c r="X665" i="2"/>
  <c r="W665" i="2"/>
  <c r="AI664" i="2"/>
  <c r="AG664" i="2"/>
  <c r="AB664" i="2"/>
  <c r="AD664" i="2" s="1"/>
  <c r="AF664" i="2" s="1"/>
  <c r="AA664" i="2"/>
  <c r="AC664" i="2" s="1"/>
  <c r="AE664" i="2" s="1"/>
  <c r="Z664" i="2"/>
  <c r="Y664" i="2"/>
  <c r="X664" i="2"/>
  <c r="W664" i="2"/>
  <c r="AI663" i="2"/>
  <c r="AG663" i="2"/>
  <c r="AB663" i="2"/>
  <c r="AD663" i="2" s="1"/>
  <c r="AF663" i="2" s="1"/>
  <c r="AA663" i="2"/>
  <c r="AC663" i="2" s="1"/>
  <c r="AE663" i="2" s="1"/>
  <c r="Z663" i="2"/>
  <c r="Y663" i="2"/>
  <c r="X663" i="2"/>
  <c r="W663" i="2"/>
  <c r="AI662" i="2"/>
  <c r="AG662" i="2"/>
  <c r="AB662" i="2"/>
  <c r="AD662" i="2" s="1"/>
  <c r="AF662" i="2" s="1"/>
  <c r="AA662" i="2"/>
  <c r="AC662" i="2" s="1"/>
  <c r="AE662" i="2" s="1"/>
  <c r="Z662" i="2"/>
  <c r="Y662" i="2"/>
  <c r="X662" i="2"/>
  <c r="W662" i="2"/>
  <c r="AI661" i="2"/>
  <c r="AG661" i="2"/>
  <c r="AE661" i="2"/>
  <c r="AB661" i="2"/>
  <c r="AD661" i="2" s="1"/>
  <c r="AF661" i="2" s="1"/>
  <c r="AA661" i="2"/>
  <c r="AC661" i="2" s="1"/>
  <c r="Z661" i="2"/>
  <c r="Y661" i="2"/>
  <c r="X661" i="2"/>
  <c r="W661" i="2"/>
  <c r="AI660" i="2"/>
  <c r="AG660" i="2"/>
  <c r="AB660" i="2"/>
  <c r="AD660" i="2" s="1"/>
  <c r="AF660" i="2" s="1"/>
  <c r="AA660" i="2"/>
  <c r="AC660" i="2" s="1"/>
  <c r="AE660" i="2" s="1"/>
  <c r="Z660" i="2"/>
  <c r="Y660" i="2"/>
  <c r="X660" i="2"/>
  <c r="W660" i="2"/>
  <c r="AI659" i="2"/>
  <c r="AG659" i="2"/>
  <c r="AB659" i="2"/>
  <c r="AD659" i="2" s="1"/>
  <c r="AF659" i="2" s="1"/>
  <c r="AA659" i="2"/>
  <c r="AC659" i="2" s="1"/>
  <c r="AE659" i="2" s="1"/>
  <c r="Z659" i="2"/>
  <c r="Y659" i="2"/>
  <c r="X659" i="2"/>
  <c r="W659" i="2"/>
  <c r="AI658" i="2"/>
  <c r="AG658" i="2"/>
  <c r="AB658" i="2"/>
  <c r="AD658" i="2" s="1"/>
  <c r="AF658" i="2" s="1"/>
  <c r="AA658" i="2"/>
  <c r="AC658" i="2" s="1"/>
  <c r="AE658" i="2" s="1"/>
  <c r="Z658" i="2"/>
  <c r="Y658" i="2"/>
  <c r="X658" i="2"/>
  <c r="W658" i="2"/>
  <c r="AI657" i="2"/>
  <c r="AG657" i="2"/>
  <c r="AB657" i="2"/>
  <c r="AD657" i="2" s="1"/>
  <c r="AF657" i="2" s="1"/>
  <c r="AA657" i="2"/>
  <c r="AC657" i="2" s="1"/>
  <c r="AE657" i="2" s="1"/>
  <c r="Z657" i="2"/>
  <c r="Y657" i="2"/>
  <c r="X657" i="2"/>
  <c r="W657" i="2"/>
  <c r="AI656" i="2"/>
  <c r="AG656" i="2"/>
  <c r="AB656" i="2"/>
  <c r="AD656" i="2" s="1"/>
  <c r="AF656" i="2" s="1"/>
  <c r="AA656" i="2"/>
  <c r="AC656" i="2" s="1"/>
  <c r="AE656" i="2" s="1"/>
  <c r="Z656" i="2"/>
  <c r="Y656" i="2"/>
  <c r="X656" i="2"/>
  <c r="W656" i="2"/>
  <c r="AI655" i="2"/>
  <c r="AG655" i="2"/>
  <c r="AB655" i="2"/>
  <c r="AD655" i="2" s="1"/>
  <c r="AF655" i="2" s="1"/>
  <c r="AA655" i="2"/>
  <c r="AC655" i="2" s="1"/>
  <c r="AE655" i="2" s="1"/>
  <c r="Z655" i="2"/>
  <c r="Y655" i="2"/>
  <c r="X655" i="2"/>
  <c r="W655" i="2"/>
  <c r="AI654" i="2"/>
  <c r="AG654" i="2"/>
  <c r="AB654" i="2"/>
  <c r="AD654" i="2" s="1"/>
  <c r="AF654" i="2" s="1"/>
  <c r="AA654" i="2"/>
  <c r="AC654" i="2" s="1"/>
  <c r="AE654" i="2" s="1"/>
  <c r="Z654" i="2"/>
  <c r="Y654" i="2"/>
  <c r="X654" i="2"/>
  <c r="W654" i="2"/>
  <c r="AI653" i="2"/>
  <c r="AG653" i="2"/>
  <c r="AB653" i="2"/>
  <c r="AD653" i="2" s="1"/>
  <c r="AF653" i="2" s="1"/>
  <c r="AA653" i="2"/>
  <c r="AC653" i="2" s="1"/>
  <c r="AE653" i="2" s="1"/>
  <c r="Z653" i="2"/>
  <c r="Y653" i="2"/>
  <c r="X653" i="2"/>
  <c r="W653" i="2"/>
  <c r="AI652" i="2"/>
  <c r="AG652" i="2"/>
  <c r="AB652" i="2"/>
  <c r="AD652" i="2" s="1"/>
  <c r="AF652" i="2" s="1"/>
  <c r="AA652" i="2"/>
  <c r="AC652" i="2" s="1"/>
  <c r="AE652" i="2" s="1"/>
  <c r="Z652" i="2"/>
  <c r="Y652" i="2"/>
  <c r="X652" i="2"/>
  <c r="W652" i="2"/>
  <c r="AI651" i="2"/>
  <c r="AG651" i="2"/>
  <c r="AB651" i="2"/>
  <c r="AD651" i="2" s="1"/>
  <c r="AF651" i="2" s="1"/>
  <c r="AA651" i="2"/>
  <c r="AC651" i="2" s="1"/>
  <c r="AE651" i="2" s="1"/>
  <c r="Z651" i="2"/>
  <c r="Y651" i="2"/>
  <c r="X651" i="2"/>
  <c r="W651" i="2"/>
  <c r="AI650" i="2"/>
  <c r="AG650" i="2"/>
  <c r="AB650" i="2"/>
  <c r="AD650" i="2" s="1"/>
  <c r="AF650" i="2" s="1"/>
  <c r="AA650" i="2"/>
  <c r="AC650" i="2" s="1"/>
  <c r="AE650" i="2" s="1"/>
  <c r="Z650" i="2"/>
  <c r="Y650" i="2"/>
  <c r="X650" i="2"/>
  <c r="W650" i="2"/>
  <c r="AI649" i="2"/>
  <c r="AG649" i="2"/>
  <c r="AB649" i="2"/>
  <c r="AD649" i="2" s="1"/>
  <c r="AF649" i="2" s="1"/>
  <c r="AA649" i="2"/>
  <c r="AC649" i="2" s="1"/>
  <c r="AE649" i="2" s="1"/>
  <c r="Z649" i="2"/>
  <c r="Y649" i="2"/>
  <c r="X649" i="2"/>
  <c r="W649" i="2"/>
  <c r="AI648" i="2"/>
  <c r="AG648" i="2"/>
  <c r="AB648" i="2"/>
  <c r="AD648" i="2" s="1"/>
  <c r="AF648" i="2" s="1"/>
  <c r="AA648" i="2"/>
  <c r="AC648" i="2" s="1"/>
  <c r="AE648" i="2" s="1"/>
  <c r="Z648" i="2"/>
  <c r="Y648" i="2"/>
  <c r="X648" i="2"/>
  <c r="W648" i="2"/>
  <c r="AI647" i="2"/>
  <c r="AG647" i="2"/>
  <c r="AB647" i="2"/>
  <c r="AD647" i="2" s="1"/>
  <c r="AF647" i="2" s="1"/>
  <c r="AA647" i="2"/>
  <c r="AC647" i="2" s="1"/>
  <c r="AE647" i="2" s="1"/>
  <c r="Z647" i="2"/>
  <c r="Y647" i="2"/>
  <c r="X647" i="2"/>
  <c r="W647" i="2"/>
  <c r="AI646" i="2"/>
  <c r="AG646" i="2"/>
  <c r="AB646" i="2"/>
  <c r="AD646" i="2" s="1"/>
  <c r="AF646" i="2" s="1"/>
  <c r="AA646" i="2"/>
  <c r="AC646" i="2" s="1"/>
  <c r="AE646" i="2" s="1"/>
  <c r="Z646" i="2"/>
  <c r="Y646" i="2"/>
  <c r="X646" i="2"/>
  <c r="W646" i="2"/>
  <c r="AI645" i="2"/>
  <c r="AG645" i="2"/>
  <c r="AB645" i="2"/>
  <c r="AD645" i="2" s="1"/>
  <c r="AF645" i="2" s="1"/>
  <c r="AA645" i="2"/>
  <c r="AC645" i="2" s="1"/>
  <c r="AE645" i="2" s="1"/>
  <c r="Z645" i="2"/>
  <c r="Y645" i="2"/>
  <c r="X645" i="2"/>
  <c r="W645" i="2"/>
  <c r="AI644" i="2"/>
  <c r="AG644" i="2"/>
  <c r="AB644" i="2"/>
  <c r="AD644" i="2" s="1"/>
  <c r="AF644" i="2" s="1"/>
  <c r="AA644" i="2"/>
  <c r="AC644" i="2" s="1"/>
  <c r="AE644" i="2" s="1"/>
  <c r="Z644" i="2"/>
  <c r="Y644" i="2"/>
  <c r="X644" i="2"/>
  <c r="W644" i="2"/>
  <c r="AI643" i="2"/>
  <c r="AG643" i="2"/>
  <c r="AB643" i="2"/>
  <c r="AD643" i="2" s="1"/>
  <c r="AF643" i="2" s="1"/>
  <c r="AA643" i="2"/>
  <c r="AC643" i="2" s="1"/>
  <c r="AE643" i="2" s="1"/>
  <c r="Z643" i="2"/>
  <c r="Y643" i="2"/>
  <c r="X643" i="2"/>
  <c r="W643" i="2"/>
  <c r="AI642" i="2"/>
  <c r="AG642" i="2"/>
  <c r="AB642" i="2"/>
  <c r="AD642" i="2" s="1"/>
  <c r="AF642" i="2" s="1"/>
  <c r="AA642" i="2"/>
  <c r="AC642" i="2" s="1"/>
  <c r="AE642" i="2" s="1"/>
  <c r="Z642" i="2"/>
  <c r="Y642" i="2"/>
  <c r="X642" i="2"/>
  <c r="W642" i="2"/>
  <c r="AI641" i="2"/>
  <c r="AG641" i="2"/>
  <c r="AB641" i="2"/>
  <c r="AD641" i="2" s="1"/>
  <c r="AF641" i="2" s="1"/>
  <c r="AA641" i="2"/>
  <c r="AC641" i="2" s="1"/>
  <c r="AE641" i="2" s="1"/>
  <c r="Z641" i="2"/>
  <c r="Y641" i="2"/>
  <c r="X641" i="2"/>
  <c r="W641" i="2"/>
  <c r="AI640" i="2"/>
  <c r="AG640" i="2"/>
  <c r="AB640" i="2"/>
  <c r="AD640" i="2" s="1"/>
  <c r="AF640" i="2" s="1"/>
  <c r="AA640" i="2"/>
  <c r="AC640" i="2" s="1"/>
  <c r="AE640" i="2" s="1"/>
  <c r="Z640" i="2"/>
  <c r="Y640" i="2"/>
  <c r="X640" i="2"/>
  <c r="W640" i="2"/>
  <c r="AI639" i="2"/>
  <c r="AG639" i="2"/>
  <c r="AB639" i="2"/>
  <c r="AD639" i="2" s="1"/>
  <c r="AF639" i="2" s="1"/>
  <c r="AA639" i="2"/>
  <c r="AC639" i="2" s="1"/>
  <c r="AE639" i="2" s="1"/>
  <c r="Z639" i="2"/>
  <c r="Y639" i="2"/>
  <c r="X639" i="2"/>
  <c r="W639" i="2"/>
  <c r="AI638" i="2"/>
  <c r="AG638" i="2"/>
  <c r="AB638" i="2"/>
  <c r="AD638" i="2" s="1"/>
  <c r="AF638" i="2" s="1"/>
  <c r="AA638" i="2"/>
  <c r="AC638" i="2" s="1"/>
  <c r="AE638" i="2" s="1"/>
  <c r="Z638" i="2"/>
  <c r="Y638" i="2"/>
  <c r="X638" i="2"/>
  <c r="W638" i="2"/>
  <c r="AI637" i="2"/>
  <c r="AG637" i="2"/>
  <c r="AE637" i="2"/>
  <c r="AB637" i="2"/>
  <c r="AD637" i="2" s="1"/>
  <c r="AF637" i="2" s="1"/>
  <c r="AA637" i="2"/>
  <c r="AC637" i="2" s="1"/>
  <c r="Z637" i="2"/>
  <c r="Y637" i="2"/>
  <c r="X637" i="2"/>
  <c r="W637" i="2"/>
  <c r="AI636" i="2"/>
  <c r="AG636" i="2"/>
  <c r="AB636" i="2"/>
  <c r="AD636" i="2" s="1"/>
  <c r="AF636" i="2" s="1"/>
  <c r="AA636" i="2"/>
  <c r="AC636" i="2" s="1"/>
  <c r="AE636" i="2" s="1"/>
  <c r="Z636" i="2"/>
  <c r="Y636" i="2"/>
  <c r="X636" i="2"/>
  <c r="W636" i="2"/>
  <c r="AI635" i="2"/>
  <c r="AG635" i="2"/>
  <c r="AB635" i="2"/>
  <c r="AD635" i="2" s="1"/>
  <c r="AF635" i="2" s="1"/>
  <c r="AA635" i="2"/>
  <c r="AC635" i="2" s="1"/>
  <c r="AE635" i="2" s="1"/>
  <c r="Z635" i="2"/>
  <c r="Y635" i="2"/>
  <c r="X635" i="2"/>
  <c r="W635" i="2"/>
  <c r="AI634" i="2"/>
  <c r="AG634" i="2"/>
  <c r="AB634" i="2"/>
  <c r="AD634" i="2" s="1"/>
  <c r="AF634" i="2" s="1"/>
  <c r="AA634" i="2"/>
  <c r="AC634" i="2" s="1"/>
  <c r="AE634" i="2" s="1"/>
  <c r="Z634" i="2"/>
  <c r="Y634" i="2"/>
  <c r="X634" i="2"/>
  <c r="W634" i="2"/>
  <c r="AI633" i="2"/>
  <c r="AG633" i="2"/>
  <c r="AB633" i="2"/>
  <c r="AD633" i="2" s="1"/>
  <c r="AF633" i="2" s="1"/>
  <c r="AA633" i="2"/>
  <c r="AC633" i="2" s="1"/>
  <c r="AE633" i="2" s="1"/>
  <c r="Z633" i="2"/>
  <c r="Y633" i="2"/>
  <c r="X633" i="2"/>
  <c r="W633" i="2"/>
  <c r="AI632" i="2"/>
  <c r="AG632" i="2"/>
  <c r="AB632" i="2"/>
  <c r="AD632" i="2" s="1"/>
  <c r="AF632" i="2" s="1"/>
  <c r="AA632" i="2"/>
  <c r="AC632" i="2" s="1"/>
  <c r="AE632" i="2" s="1"/>
  <c r="Z632" i="2"/>
  <c r="Y632" i="2"/>
  <c r="X632" i="2"/>
  <c r="W632" i="2"/>
  <c r="AI631" i="2"/>
  <c r="AG631" i="2"/>
  <c r="AB631" i="2"/>
  <c r="AD631" i="2" s="1"/>
  <c r="AF631" i="2" s="1"/>
  <c r="AA631" i="2"/>
  <c r="AC631" i="2" s="1"/>
  <c r="AE631" i="2" s="1"/>
  <c r="Z631" i="2"/>
  <c r="Y631" i="2"/>
  <c r="X631" i="2"/>
  <c r="W631" i="2"/>
  <c r="AI630" i="2"/>
  <c r="AG630" i="2"/>
  <c r="AB630" i="2"/>
  <c r="AD630" i="2" s="1"/>
  <c r="AF630" i="2" s="1"/>
  <c r="AA630" i="2"/>
  <c r="AC630" i="2" s="1"/>
  <c r="AE630" i="2" s="1"/>
  <c r="Z630" i="2"/>
  <c r="Y630" i="2"/>
  <c r="X630" i="2"/>
  <c r="W630" i="2"/>
  <c r="AI629" i="2"/>
  <c r="AG629" i="2"/>
  <c r="AB629" i="2"/>
  <c r="AD629" i="2" s="1"/>
  <c r="AF629" i="2" s="1"/>
  <c r="AA629" i="2"/>
  <c r="AC629" i="2" s="1"/>
  <c r="AE629" i="2" s="1"/>
  <c r="Z629" i="2"/>
  <c r="Y629" i="2"/>
  <c r="X629" i="2"/>
  <c r="W629" i="2"/>
  <c r="AI628" i="2"/>
  <c r="AG628" i="2"/>
  <c r="AB628" i="2"/>
  <c r="AD628" i="2" s="1"/>
  <c r="AF628" i="2" s="1"/>
  <c r="AA628" i="2"/>
  <c r="AC628" i="2" s="1"/>
  <c r="AE628" i="2" s="1"/>
  <c r="Z628" i="2"/>
  <c r="Y628" i="2"/>
  <c r="X628" i="2"/>
  <c r="W628" i="2"/>
  <c r="AI627" i="2"/>
  <c r="AG627" i="2"/>
  <c r="AB627" i="2"/>
  <c r="AD627" i="2" s="1"/>
  <c r="AF627" i="2" s="1"/>
  <c r="AA627" i="2"/>
  <c r="AC627" i="2" s="1"/>
  <c r="AE627" i="2" s="1"/>
  <c r="Z627" i="2"/>
  <c r="Y627" i="2"/>
  <c r="X627" i="2"/>
  <c r="W627" i="2"/>
  <c r="AI626" i="2"/>
  <c r="AG626" i="2"/>
  <c r="AB626" i="2"/>
  <c r="AD626" i="2" s="1"/>
  <c r="AF626" i="2" s="1"/>
  <c r="AA626" i="2"/>
  <c r="AC626" i="2" s="1"/>
  <c r="AE626" i="2" s="1"/>
  <c r="Z626" i="2"/>
  <c r="Y626" i="2"/>
  <c r="X626" i="2"/>
  <c r="W626" i="2"/>
  <c r="AI625" i="2"/>
  <c r="AG625" i="2"/>
  <c r="AB625" i="2"/>
  <c r="AD625" i="2" s="1"/>
  <c r="AF625" i="2" s="1"/>
  <c r="AA625" i="2"/>
  <c r="AC625" i="2" s="1"/>
  <c r="AE625" i="2" s="1"/>
  <c r="Z625" i="2"/>
  <c r="Y625" i="2"/>
  <c r="X625" i="2"/>
  <c r="W625" i="2"/>
  <c r="AI624" i="2"/>
  <c r="AG624" i="2"/>
  <c r="AB624" i="2"/>
  <c r="AD624" i="2" s="1"/>
  <c r="AF624" i="2" s="1"/>
  <c r="AA624" i="2"/>
  <c r="AC624" i="2" s="1"/>
  <c r="AE624" i="2" s="1"/>
  <c r="Z624" i="2"/>
  <c r="Y624" i="2"/>
  <c r="X624" i="2"/>
  <c r="W624" i="2"/>
  <c r="AI623" i="2"/>
  <c r="AG623" i="2"/>
  <c r="AB623" i="2"/>
  <c r="AD623" i="2" s="1"/>
  <c r="AF623" i="2" s="1"/>
  <c r="AA623" i="2"/>
  <c r="AC623" i="2" s="1"/>
  <c r="AE623" i="2" s="1"/>
  <c r="Z623" i="2"/>
  <c r="Y623" i="2"/>
  <c r="X623" i="2"/>
  <c r="W623" i="2"/>
  <c r="AI622" i="2"/>
  <c r="AG622" i="2"/>
  <c r="AB622" i="2"/>
  <c r="AD622" i="2" s="1"/>
  <c r="AF622" i="2" s="1"/>
  <c r="AA622" i="2"/>
  <c r="AC622" i="2" s="1"/>
  <c r="AE622" i="2" s="1"/>
  <c r="Z622" i="2"/>
  <c r="Y622" i="2"/>
  <c r="X622" i="2"/>
  <c r="W622" i="2"/>
  <c r="AI621" i="2"/>
  <c r="AG621" i="2"/>
  <c r="AE621" i="2"/>
  <c r="AB621" i="2"/>
  <c r="AD621" i="2" s="1"/>
  <c r="AF621" i="2" s="1"/>
  <c r="AA621" i="2"/>
  <c r="AC621" i="2" s="1"/>
  <c r="Z621" i="2"/>
  <c r="Y621" i="2"/>
  <c r="X621" i="2"/>
  <c r="W621" i="2"/>
  <c r="AI620" i="2"/>
  <c r="AG620" i="2"/>
  <c r="AB620" i="2"/>
  <c r="AD620" i="2" s="1"/>
  <c r="AF620" i="2" s="1"/>
  <c r="AA620" i="2"/>
  <c r="AC620" i="2" s="1"/>
  <c r="AE620" i="2" s="1"/>
  <c r="Z620" i="2"/>
  <c r="Y620" i="2"/>
  <c r="X620" i="2"/>
  <c r="W620" i="2"/>
  <c r="AI619" i="2"/>
  <c r="AG619" i="2"/>
  <c r="AB619" i="2"/>
  <c r="AD619" i="2" s="1"/>
  <c r="AF619" i="2" s="1"/>
  <c r="AA619" i="2"/>
  <c r="AC619" i="2" s="1"/>
  <c r="AE619" i="2" s="1"/>
  <c r="Z619" i="2"/>
  <c r="Y619" i="2"/>
  <c r="X619" i="2"/>
  <c r="W619" i="2"/>
  <c r="AI618" i="2"/>
  <c r="AG618" i="2"/>
  <c r="AB618" i="2"/>
  <c r="AD618" i="2" s="1"/>
  <c r="AF618" i="2" s="1"/>
  <c r="AA618" i="2"/>
  <c r="AC618" i="2" s="1"/>
  <c r="AE618" i="2" s="1"/>
  <c r="Z618" i="2"/>
  <c r="Y618" i="2"/>
  <c r="X618" i="2"/>
  <c r="W618" i="2"/>
  <c r="AI617" i="2"/>
  <c r="AG617" i="2"/>
  <c r="AE617" i="2"/>
  <c r="AB617" i="2"/>
  <c r="AD617" i="2" s="1"/>
  <c r="AF617" i="2" s="1"/>
  <c r="AA617" i="2"/>
  <c r="AC617" i="2" s="1"/>
  <c r="Z617" i="2"/>
  <c r="Y617" i="2"/>
  <c r="X617" i="2"/>
  <c r="W617" i="2"/>
  <c r="AI616" i="2"/>
  <c r="AG616" i="2"/>
  <c r="AB616" i="2"/>
  <c r="AD616" i="2" s="1"/>
  <c r="AF616" i="2" s="1"/>
  <c r="AA616" i="2"/>
  <c r="AC616" i="2" s="1"/>
  <c r="AE616" i="2" s="1"/>
  <c r="Z616" i="2"/>
  <c r="Y616" i="2"/>
  <c r="X616" i="2"/>
  <c r="W616" i="2"/>
  <c r="AI615" i="2"/>
  <c r="AG615" i="2"/>
  <c r="AB615" i="2"/>
  <c r="AD615" i="2" s="1"/>
  <c r="AF615" i="2" s="1"/>
  <c r="AA615" i="2"/>
  <c r="AC615" i="2" s="1"/>
  <c r="AE615" i="2" s="1"/>
  <c r="Z615" i="2"/>
  <c r="Y615" i="2"/>
  <c r="X615" i="2"/>
  <c r="W615" i="2"/>
  <c r="AI614" i="2"/>
  <c r="AG614" i="2"/>
  <c r="AB614" i="2"/>
  <c r="AD614" i="2" s="1"/>
  <c r="AF614" i="2" s="1"/>
  <c r="AA614" i="2"/>
  <c r="AC614" i="2" s="1"/>
  <c r="AE614" i="2" s="1"/>
  <c r="Z614" i="2"/>
  <c r="Y614" i="2"/>
  <c r="X614" i="2"/>
  <c r="W614" i="2"/>
  <c r="AI613" i="2"/>
  <c r="AG613" i="2"/>
  <c r="AB613" i="2"/>
  <c r="AD613" i="2" s="1"/>
  <c r="AF613" i="2" s="1"/>
  <c r="AA613" i="2"/>
  <c r="AC613" i="2" s="1"/>
  <c r="AE613" i="2" s="1"/>
  <c r="Z613" i="2"/>
  <c r="Y613" i="2"/>
  <c r="X613" i="2"/>
  <c r="W613" i="2"/>
  <c r="AI612" i="2"/>
  <c r="AG612" i="2"/>
  <c r="AB612" i="2"/>
  <c r="AD612" i="2" s="1"/>
  <c r="AF612" i="2" s="1"/>
  <c r="AA612" i="2"/>
  <c r="AC612" i="2" s="1"/>
  <c r="AE612" i="2" s="1"/>
  <c r="Z612" i="2"/>
  <c r="Y612" i="2"/>
  <c r="X612" i="2"/>
  <c r="W612" i="2"/>
  <c r="AI611" i="2"/>
  <c r="AG611" i="2"/>
  <c r="AB611" i="2"/>
  <c r="AD611" i="2" s="1"/>
  <c r="AF611" i="2" s="1"/>
  <c r="AA611" i="2"/>
  <c r="AC611" i="2" s="1"/>
  <c r="AE611" i="2" s="1"/>
  <c r="Z611" i="2"/>
  <c r="Y611" i="2"/>
  <c r="X611" i="2"/>
  <c r="W611" i="2"/>
  <c r="AI610" i="2"/>
  <c r="AG610" i="2"/>
  <c r="AB610" i="2"/>
  <c r="AD610" i="2" s="1"/>
  <c r="AF610" i="2" s="1"/>
  <c r="AA610" i="2"/>
  <c r="AC610" i="2" s="1"/>
  <c r="AE610" i="2" s="1"/>
  <c r="Z610" i="2"/>
  <c r="Y610" i="2"/>
  <c r="X610" i="2"/>
  <c r="W610" i="2"/>
  <c r="AI609" i="2"/>
  <c r="AG609" i="2"/>
  <c r="AE609" i="2"/>
  <c r="AB609" i="2"/>
  <c r="AD609" i="2" s="1"/>
  <c r="AF609" i="2" s="1"/>
  <c r="AA609" i="2"/>
  <c r="AC609" i="2" s="1"/>
  <c r="Z609" i="2"/>
  <c r="Y609" i="2"/>
  <c r="X609" i="2"/>
  <c r="W609" i="2"/>
  <c r="AI608" i="2"/>
  <c r="AG608" i="2"/>
  <c r="AB608" i="2"/>
  <c r="AD608" i="2" s="1"/>
  <c r="AF608" i="2" s="1"/>
  <c r="AA608" i="2"/>
  <c r="AC608" i="2" s="1"/>
  <c r="AE608" i="2" s="1"/>
  <c r="Z608" i="2"/>
  <c r="Y608" i="2"/>
  <c r="X608" i="2"/>
  <c r="W608" i="2"/>
  <c r="AI607" i="2"/>
  <c r="AG607" i="2"/>
  <c r="AB607" i="2"/>
  <c r="AD607" i="2" s="1"/>
  <c r="AF607" i="2" s="1"/>
  <c r="AA607" i="2"/>
  <c r="AC607" i="2" s="1"/>
  <c r="AE607" i="2" s="1"/>
  <c r="Z607" i="2"/>
  <c r="Y607" i="2"/>
  <c r="X607" i="2"/>
  <c r="W607" i="2"/>
  <c r="AI606" i="2"/>
  <c r="AG606" i="2"/>
  <c r="AB606" i="2"/>
  <c r="AD606" i="2" s="1"/>
  <c r="AF606" i="2" s="1"/>
  <c r="AA606" i="2"/>
  <c r="AC606" i="2" s="1"/>
  <c r="AE606" i="2" s="1"/>
  <c r="Z606" i="2"/>
  <c r="Y606" i="2"/>
  <c r="X606" i="2"/>
  <c r="W606" i="2"/>
  <c r="AI605" i="2"/>
  <c r="AG605" i="2"/>
  <c r="AB605" i="2"/>
  <c r="AD605" i="2" s="1"/>
  <c r="AF605" i="2" s="1"/>
  <c r="AA605" i="2"/>
  <c r="AC605" i="2" s="1"/>
  <c r="AE605" i="2" s="1"/>
  <c r="Z605" i="2"/>
  <c r="Y605" i="2"/>
  <c r="X605" i="2"/>
  <c r="W605" i="2"/>
  <c r="AI604" i="2"/>
  <c r="AG604" i="2"/>
  <c r="AB604" i="2"/>
  <c r="AD604" i="2" s="1"/>
  <c r="AF604" i="2" s="1"/>
  <c r="AA604" i="2"/>
  <c r="AC604" i="2" s="1"/>
  <c r="AE604" i="2" s="1"/>
  <c r="Z604" i="2"/>
  <c r="Y604" i="2"/>
  <c r="X604" i="2"/>
  <c r="W604" i="2"/>
  <c r="AI603" i="2"/>
  <c r="AG603" i="2"/>
  <c r="AB603" i="2"/>
  <c r="AD603" i="2" s="1"/>
  <c r="AF603" i="2" s="1"/>
  <c r="AA603" i="2"/>
  <c r="AC603" i="2" s="1"/>
  <c r="AE603" i="2" s="1"/>
  <c r="Z603" i="2"/>
  <c r="Y603" i="2"/>
  <c r="X603" i="2"/>
  <c r="W603" i="2"/>
  <c r="AI602" i="2"/>
  <c r="AG602" i="2"/>
  <c r="AB602" i="2"/>
  <c r="AD602" i="2" s="1"/>
  <c r="AF602" i="2" s="1"/>
  <c r="AA602" i="2"/>
  <c r="AC602" i="2" s="1"/>
  <c r="AE602" i="2" s="1"/>
  <c r="Z602" i="2"/>
  <c r="Y602" i="2"/>
  <c r="X602" i="2"/>
  <c r="W602" i="2"/>
  <c r="AI601" i="2"/>
  <c r="AG601" i="2"/>
  <c r="AB601" i="2"/>
  <c r="AD601" i="2" s="1"/>
  <c r="AF601" i="2" s="1"/>
  <c r="AA601" i="2"/>
  <c r="AC601" i="2" s="1"/>
  <c r="AE601" i="2" s="1"/>
  <c r="Z601" i="2"/>
  <c r="Y601" i="2"/>
  <c r="X601" i="2"/>
  <c r="W601" i="2"/>
  <c r="AI600" i="2"/>
  <c r="AG600" i="2"/>
  <c r="AB600" i="2"/>
  <c r="AD600" i="2" s="1"/>
  <c r="AF600" i="2" s="1"/>
  <c r="AA600" i="2"/>
  <c r="AC600" i="2" s="1"/>
  <c r="AE600" i="2" s="1"/>
  <c r="Z600" i="2"/>
  <c r="Y600" i="2"/>
  <c r="X600" i="2"/>
  <c r="W600" i="2"/>
  <c r="AI599" i="2"/>
  <c r="AG599" i="2"/>
  <c r="AB599" i="2"/>
  <c r="AD599" i="2" s="1"/>
  <c r="AF599" i="2" s="1"/>
  <c r="AA599" i="2"/>
  <c r="AC599" i="2" s="1"/>
  <c r="AE599" i="2" s="1"/>
  <c r="Z599" i="2"/>
  <c r="Y599" i="2"/>
  <c r="X599" i="2"/>
  <c r="W599" i="2"/>
  <c r="AI598" i="2"/>
  <c r="AG598" i="2"/>
  <c r="AB598" i="2"/>
  <c r="AD598" i="2" s="1"/>
  <c r="AF598" i="2" s="1"/>
  <c r="AA598" i="2"/>
  <c r="AC598" i="2" s="1"/>
  <c r="AE598" i="2" s="1"/>
  <c r="Z598" i="2"/>
  <c r="Y598" i="2"/>
  <c r="X598" i="2"/>
  <c r="W598" i="2"/>
  <c r="AI597" i="2"/>
  <c r="AG597" i="2"/>
  <c r="AB597" i="2"/>
  <c r="AD597" i="2" s="1"/>
  <c r="AF597" i="2" s="1"/>
  <c r="AA597" i="2"/>
  <c r="AC597" i="2" s="1"/>
  <c r="AE597" i="2" s="1"/>
  <c r="Z597" i="2"/>
  <c r="Y597" i="2"/>
  <c r="X597" i="2"/>
  <c r="W597" i="2"/>
  <c r="AI596" i="2"/>
  <c r="AG596" i="2"/>
  <c r="AB596" i="2"/>
  <c r="AD596" i="2" s="1"/>
  <c r="AF596" i="2" s="1"/>
  <c r="AA596" i="2"/>
  <c r="AC596" i="2" s="1"/>
  <c r="AE596" i="2" s="1"/>
  <c r="Z596" i="2"/>
  <c r="Y596" i="2"/>
  <c r="X596" i="2"/>
  <c r="W596" i="2"/>
  <c r="AI595" i="2"/>
  <c r="AG595" i="2"/>
  <c r="AB595" i="2"/>
  <c r="AD595" i="2" s="1"/>
  <c r="AF595" i="2" s="1"/>
  <c r="AA595" i="2"/>
  <c r="AC595" i="2" s="1"/>
  <c r="AE595" i="2" s="1"/>
  <c r="Z595" i="2"/>
  <c r="Y595" i="2"/>
  <c r="X595" i="2"/>
  <c r="W595" i="2"/>
  <c r="AI594" i="2"/>
  <c r="AG594" i="2"/>
  <c r="AB594" i="2"/>
  <c r="AD594" i="2" s="1"/>
  <c r="AF594" i="2" s="1"/>
  <c r="AA594" i="2"/>
  <c r="AC594" i="2" s="1"/>
  <c r="AE594" i="2" s="1"/>
  <c r="Z594" i="2"/>
  <c r="Y594" i="2"/>
  <c r="X594" i="2"/>
  <c r="W594" i="2"/>
  <c r="AI593" i="2"/>
  <c r="AG593" i="2"/>
  <c r="AE593" i="2"/>
  <c r="AB593" i="2"/>
  <c r="AD593" i="2" s="1"/>
  <c r="AF593" i="2" s="1"/>
  <c r="AA593" i="2"/>
  <c r="AC593" i="2" s="1"/>
  <c r="Z593" i="2"/>
  <c r="Y593" i="2"/>
  <c r="X593" i="2"/>
  <c r="W593" i="2"/>
  <c r="AI592" i="2"/>
  <c r="AG592" i="2"/>
  <c r="AB592" i="2"/>
  <c r="AD592" i="2" s="1"/>
  <c r="AF592" i="2" s="1"/>
  <c r="AA592" i="2"/>
  <c r="AC592" i="2" s="1"/>
  <c r="AE592" i="2" s="1"/>
  <c r="Z592" i="2"/>
  <c r="Y592" i="2"/>
  <c r="X592" i="2"/>
  <c r="W592" i="2"/>
  <c r="AI591" i="2"/>
  <c r="AG591" i="2"/>
  <c r="AB591" i="2"/>
  <c r="AD591" i="2" s="1"/>
  <c r="AF591" i="2" s="1"/>
  <c r="AA591" i="2"/>
  <c r="AC591" i="2" s="1"/>
  <c r="AE591" i="2" s="1"/>
  <c r="Z591" i="2"/>
  <c r="Y591" i="2"/>
  <c r="X591" i="2"/>
  <c r="W591" i="2"/>
  <c r="AI590" i="2"/>
  <c r="AG590" i="2"/>
  <c r="AB590" i="2"/>
  <c r="AD590" i="2" s="1"/>
  <c r="AF590" i="2" s="1"/>
  <c r="AA590" i="2"/>
  <c r="AC590" i="2" s="1"/>
  <c r="AE590" i="2" s="1"/>
  <c r="Z590" i="2"/>
  <c r="Y590" i="2"/>
  <c r="X590" i="2"/>
  <c r="W590" i="2"/>
  <c r="AI589" i="2"/>
  <c r="AG589" i="2"/>
  <c r="AB589" i="2"/>
  <c r="AD589" i="2" s="1"/>
  <c r="AF589" i="2" s="1"/>
  <c r="AA589" i="2"/>
  <c r="AC589" i="2" s="1"/>
  <c r="AE589" i="2" s="1"/>
  <c r="Z589" i="2"/>
  <c r="Y589" i="2"/>
  <c r="X589" i="2"/>
  <c r="W589" i="2"/>
  <c r="AI588" i="2"/>
  <c r="AG588" i="2"/>
  <c r="AB588" i="2"/>
  <c r="AD588" i="2" s="1"/>
  <c r="AF588" i="2" s="1"/>
  <c r="AA588" i="2"/>
  <c r="AC588" i="2" s="1"/>
  <c r="AE588" i="2" s="1"/>
  <c r="Z588" i="2"/>
  <c r="Y588" i="2"/>
  <c r="X588" i="2"/>
  <c r="W588" i="2"/>
  <c r="AI587" i="2"/>
  <c r="AG587" i="2"/>
  <c r="AB587" i="2"/>
  <c r="AD587" i="2" s="1"/>
  <c r="AF587" i="2" s="1"/>
  <c r="AA587" i="2"/>
  <c r="AC587" i="2" s="1"/>
  <c r="AE587" i="2" s="1"/>
  <c r="Z587" i="2"/>
  <c r="Y587" i="2"/>
  <c r="X587" i="2"/>
  <c r="W587" i="2"/>
  <c r="AI586" i="2"/>
  <c r="AG586" i="2"/>
  <c r="AB586" i="2"/>
  <c r="AD586" i="2" s="1"/>
  <c r="AF586" i="2" s="1"/>
  <c r="AA586" i="2"/>
  <c r="AC586" i="2" s="1"/>
  <c r="AE586" i="2" s="1"/>
  <c r="Z586" i="2"/>
  <c r="Y586" i="2"/>
  <c r="X586" i="2"/>
  <c r="W586" i="2"/>
  <c r="AI585" i="2"/>
  <c r="AG585" i="2"/>
  <c r="AB585" i="2"/>
  <c r="AD585" i="2" s="1"/>
  <c r="AF585" i="2" s="1"/>
  <c r="AA585" i="2"/>
  <c r="AC585" i="2" s="1"/>
  <c r="AE585" i="2" s="1"/>
  <c r="Z585" i="2"/>
  <c r="Y585" i="2"/>
  <c r="X585" i="2"/>
  <c r="W585" i="2"/>
  <c r="AI584" i="2"/>
  <c r="AG584" i="2"/>
  <c r="AB584" i="2"/>
  <c r="AD584" i="2" s="1"/>
  <c r="AF584" i="2" s="1"/>
  <c r="AA584" i="2"/>
  <c r="AC584" i="2" s="1"/>
  <c r="AE584" i="2" s="1"/>
  <c r="Z584" i="2"/>
  <c r="Y584" i="2"/>
  <c r="X584" i="2"/>
  <c r="W584" i="2"/>
  <c r="AI583" i="2"/>
  <c r="AG583" i="2"/>
  <c r="AB583" i="2"/>
  <c r="AD583" i="2" s="1"/>
  <c r="AF583" i="2" s="1"/>
  <c r="AA583" i="2"/>
  <c r="AC583" i="2" s="1"/>
  <c r="AE583" i="2" s="1"/>
  <c r="Z583" i="2"/>
  <c r="Y583" i="2"/>
  <c r="X583" i="2"/>
  <c r="W583" i="2"/>
  <c r="AI582" i="2"/>
  <c r="AG582" i="2"/>
  <c r="AB582" i="2"/>
  <c r="AD582" i="2" s="1"/>
  <c r="AF582" i="2" s="1"/>
  <c r="AA582" i="2"/>
  <c r="AC582" i="2" s="1"/>
  <c r="AE582" i="2" s="1"/>
  <c r="Z582" i="2"/>
  <c r="Y582" i="2"/>
  <c r="X582" i="2"/>
  <c r="W582" i="2"/>
  <c r="AI581" i="2"/>
  <c r="AG581" i="2"/>
  <c r="AB581" i="2"/>
  <c r="AD581" i="2" s="1"/>
  <c r="AF581" i="2" s="1"/>
  <c r="AA581" i="2"/>
  <c r="AC581" i="2" s="1"/>
  <c r="AE581" i="2" s="1"/>
  <c r="Z581" i="2"/>
  <c r="Y581" i="2"/>
  <c r="X581" i="2"/>
  <c r="W581" i="2"/>
  <c r="AI580" i="2"/>
  <c r="AG580" i="2"/>
  <c r="AB580" i="2"/>
  <c r="AD580" i="2" s="1"/>
  <c r="AF580" i="2" s="1"/>
  <c r="AA580" i="2"/>
  <c r="AC580" i="2" s="1"/>
  <c r="AE580" i="2" s="1"/>
  <c r="Z580" i="2"/>
  <c r="Y580" i="2"/>
  <c r="X580" i="2"/>
  <c r="W580" i="2"/>
  <c r="AI579" i="2"/>
  <c r="AG579" i="2"/>
  <c r="AB579" i="2"/>
  <c r="AD579" i="2" s="1"/>
  <c r="AF579" i="2" s="1"/>
  <c r="AA579" i="2"/>
  <c r="AC579" i="2" s="1"/>
  <c r="AE579" i="2" s="1"/>
  <c r="Z579" i="2"/>
  <c r="Y579" i="2"/>
  <c r="X579" i="2"/>
  <c r="W579" i="2"/>
  <c r="AI578" i="2"/>
  <c r="AG578" i="2"/>
  <c r="AB578" i="2"/>
  <c r="AD578" i="2" s="1"/>
  <c r="AF578" i="2" s="1"/>
  <c r="AA578" i="2"/>
  <c r="AC578" i="2" s="1"/>
  <c r="AE578" i="2" s="1"/>
  <c r="Z578" i="2"/>
  <c r="Y578" i="2"/>
  <c r="X578" i="2"/>
  <c r="W578" i="2"/>
  <c r="AI577" i="2"/>
  <c r="AG577" i="2"/>
  <c r="AB577" i="2"/>
  <c r="AD577" i="2" s="1"/>
  <c r="AF577" i="2" s="1"/>
  <c r="AA577" i="2"/>
  <c r="AC577" i="2" s="1"/>
  <c r="AE577" i="2" s="1"/>
  <c r="Z577" i="2"/>
  <c r="Y577" i="2"/>
  <c r="X577" i="2"/>
  <c r="W577" i="2"/>
  <c r="AI576" i="2"/>
  <c r="AG576" i="2"/>
  <c r="AB576" i="2"/>
  <c r="AD576" i="2" s="1"/>
  <c r="AF576" i="2" s="1"/>
  <c r="AA576" i="2"/>
  <c r="AC576" i="2" s="1"/>
  <c r="AE576" i="2" s="1"/>
  <c r="Z576" i="2"/>
  <c r="Y576" i="2"/>
  <c r="X576" i="2"/>
  <c r="W576" i="2"/>
  <c r="AI575" i="2"/>
  <c r="AG575" i="2"/>
  <c r="AB575" i="2"/>
  <c r="AD575" i="2" s="1"/>
  <c r="AF575" i="2" s="1"/>
  <c r="AA575" i="2"/>
  <c r="AC575" i="2" s="1"/>
  <c r="AE575" i="2" s="1"/>
  <c r="Z575" i="2"/>
  <c r="Y575" i="2"/>
  <c r="X575" i="2"/>
  <c r="W575" i="2"/>
  <c r="AI574" i="2"/>
  <c r="AG574" i="2"/>
  <c r="AB574" i="2"/>
  <c r="AD574" i="2" s="1"/>
  <c r="AF574" i="2" s="1"/>
  <c r="AA574" i="2"/>
  <c r="AC574" i="2" s="1"/>
  <c r="AE574" i="2" s="1"/>
  <c r="Z574" i="2"/>
  <c r="Y574" i="2"/>
  <c r="X574" i="2"/>
  <c r="W574" i="2"/>
  <c r="AI573" i="2"/>
  <c r="AG573" i="2"/>
  <c r="AB573" i="2"/>
  <c r="AD573" i="2" s="1"/>
  <c r="AF573" i="2" s="1"/>
  <c r="AA573" i="2"/>
  <c r="AC573" i="2" s="1"/>
  <c r="AE573" i="2" s="1"/>
  <c r="Z573" i="2"/>
  <c r="Y573" i="2"/>
  <c r="X573" i="2"/>
  <c r="W573" i="2"/>
  <c r="AI572" i="2"/>
  <c r="AG572" i="2"/>
  <c r="AB572" i="2"/>
  <c r="AD572" i="2" s="1"/>
  <c r="AF572" i="2" s="1"/>
  <c r="AA572" i="2"/>
  <c r="AC572" i="2" s="1"/>
  <c r="AE572" i="2" s="1"/>
  <c r="Z572" i="2"/>
  <c r="Y572" i="2"/>
  <c r="X572" i="2"/>
  <c r="W572" i="2"/>
  <c r="AI571" i="2"/>
  <c r="AG571" i="2"/>
  <c r="AB571" i="2"/>
  <c r="AD571" i="2" s="1"/>
  <c r="AF571" i="2" s="1"/>
  <c r="AA571" i="2"/>
  <c r="AC571" i="2" s="1"/>
  <c r="AE571" i="2" s="1"/>
  <c r="Z571" i="2"/>
  <c r="Y571" i="2"/>
  <c r="X571" i="2"/>
  <c r="W571" i="2"/>
  <c r="AI570" i="2"/>
  <c r="AG570" i="2"/>
  <c r="AB570" i="2"/>
  <c r="AD570" i="2" s="1"/>
  <c r="AF570" i="2" s="1"/>
  <c r="AA570" i="2"/>
  <c r="AC570" i="2" s="1"/>
  <c r="AE570" i="2" s="1"/>
  <c r="Z570" i="2"/>
  <c r="Y570" i="2"/>
  <c r="X570" i="2"/>
  <c r="W570" i="2"/>
  <c r="AI569" i="2"/>
  <c r="AG569" i="2"/>
  <c r="AE569" i="2"/>
  <c r="AB569" i="2"/>
  <c r="AD569" i="2" s="1"/>
  <c r="AF569" i="2" s="1"/>
  <c r="AA569" i="2"/>
  <c r="AC569" i="2" s="1"/>
  <c r="Z569" i="2"/>
  <c r="Y569" i="2"/>
  <c r="X569" i="2"/>
  <c r="W569" i="2"/>
  <c r="AI568" i="2"/>
  <c r="AG568" i="2"/>
  <c r="AB568" i="2"/>
  <c r="AD568" i="2" s="1"/>
  <c r="AF568" i="2" s="1"/>
  <c r="AA568" i="2"/>
  <c r="AC568" i="2" s="1"/>
  <c r="AE568" i="2" s="1"/>
  <c r="Z568" i="2"/>
  <c r="Y568" i="2"/>
  <c r="X568" i="2"/>
  <c r="W568" i="2"/>
  <c r="AI567" i="2"/>
  <c r="AG567" i="2"/>
  <c r="AB567" i="2"/>
  <c r="AD567" i="2" s="1"/>
  <c r="AF567" i="2" s="1"/>
  <c r="AA567" i="2"/>
  <c r="AC567" i="2" s="1"/>
  <c r="AE567" i="2" s="1"/>
  <c r="Z567" i="2"/>
  <c r="Y567" i="2"/>
  <c r="X567" i="2"/>
  <c r="W567" i="2"/>
  <c r="AI566" i="2"/>
  <c r="AG566" i="2"/>
  <c r="AB566" i="2"/>
  <c r="AD566" i="2" s="1"/>
  <c r="AF566" i="2" s="1"/>
  <c r="AA566" i="2"/>
  <c r="AC566" i="2" s="1"/>
  <c r="AE566" i="2" s="1"/>
  <c r="Z566" i="2"/>
  <c r="Y566" i="2"/>
  <c r="X566" i="2"/>
  <c r="W566" i="2"/>
  <c r="AI565" i="2"/>
  <c r="AG565" i="2"/>
  <c r="AB565" i="2"/>
  <c r="AD565" i="2" s="1"/>
  <c r="AF565" i="2" s="1"/>
  <c r="AA565" i="2"/>
  <c r="AC565" i="2" s="1"/>
  <c r="AE565" i="2" s="1"/>
  <c r="Z565" i="2"/>
  <c r="Y565" i="2"/>
  <c r="X565" i="2"/>
  <c r="W565" i="2"/>
  <c r="AI564" i="2"/>
  <c r="AG564" i="2"/>
  <c r="AB564" i="2"/>
  <c r="AD564" i="2" s="1"/>
  <c r="AF564" i="2" s="1"/>
  <c r="AA564" i="2"/>
  <c r="AC564" i="2" s="1"/>
  <c r="AE564" i="2" s="1"/>
  <c r="Z564" i="2"/>
  <c r="Y564" i="2"/>
  <c r="X564" i="2"/>
  <c r="W564" i="2"/>
  <c r="AI563" i="2"/>
  <c r="AG563" i="2"/>
  <c r="AF563" i="2"/>
  <c r="AB563" i="2"/>
  <c r="AD563" i="2" s="1"/>
  <c r="AA563" i="2"/>
  <c r="AC563" i="2" s="1"/>
  <c r="AE563" i="2" s="1"/>
  <c r="Z563" i="2"/>
  <c r="Y563" i="2"/>
  <c r="X563" i="2"/>
  <c r="W563" i="2"/>
  <c r="AI562" i="2"/>
  <c r="AG562" i="2"/>
  <c r="AB562" i="2"/>
  <c r="AD562" i="2" s="1"/>
  <c r="AF562" i="2" s="1"/>
  <c r="AA562" i="2"/>
  <c r="AC562" i="2" s="1"/>
  <c r="AE562" i="2" s="1"/>
  <c r="Z562" i="2"/>
  <c r="Y562" i="2"/>
  <c r="X562" i="2"/>
  <c r="W562" i="2"/>
  <c r="AI561" i="2"/>
  <c r="AG561" i="2"/>
  <c r="AB561" i="2"/>
  <c r="AD561" i="2" s="1"/>
  <c r="AF561" i="2" s="1"/>
  <c r="AA561" i="2"/>
  <c r="AC561" i="2" s="1"/>
  <c r="AE561" i="2" s="1"/>
  <c r="Z561" i="2"/>
  <c r="Y561" i="2"/>
  <c r="X561" i="2"/>
  <c r="W561" i="2"/>
  <c r="AI560" i="2"/>
  <c r="AG560" i="2"/>
  <c r="AB560" i="2"/>
  <c r="AD560" i="2" s="1"/>
  <c r="AF560" i="2" s="1"/>
  <c r="AA560" i="2"/>
  <c r="AC560" i="2" s="1"/>
  <c r="AE560" i="2" s="1"/>
  <c r="Z560" i="2"/>
  <c r="Y560" i="2"/>
  <c r="X560" i="2"/>
  <c r="W560" i="2"/>
  <c r="AI559" i="2"/>
  <c r="AG559" i="2"/>
  <c r="AB559" i="2"/>
  <c r="AD559" i="2" s="1"/>
  <c r="AF559" i="2" s="1"/>
  <c r="AA559" i="2"/>
  <c r="AC559" i="2" s="1"/>
  <c r="AE559" i="2" s="1"/>
  <c r="Z559" i="2"/>
  <c r="Y559" i="2"/>
  <c r="X559" i="2"/>
  <c r="W559" i="2"/>
  <c r="AI558" i="2"/>
  <c r="AG558" i="2"/>
  <c r="AB558" i="2"/>
  <c r="AD558" i="2" s="1"/>
  <c r="AF558" i="2" s="1"/>
  <c r="AA558" i="2"/>
  <c r="AC558" i="2" s="1"/>
  <c r="AE558" i="2" s="1"/>
  <c r="Z558" i="2"/>
  <c r="Y558" i="2"/>
  <c r="X558" i="2"/>
  <c r="W558" i="2"/>
  <c r="AI557" i="2"/>
  <c r="AG557" i="2"/>
  <c r="AB557" i="2"/>
  <c r="AD557" i="2" s="1"/>
  <c r="AF557" i="2" s="1"/>
  <c r="AA557" i="2"/>
  <c r="AC557" i="2" s="1"/>
  <c r="AE557" i="2" s="1"/>
  <c r="Z557" i="2"/>
  <c r="Y557" i="2"/>
  <c r="X557" i="2"/>
  <c r="W557" i="2"/>
  <c r="AI556" i="2"/>
  <c r="AG556" i="2"/>
  <c r="AB556" i="2"/>
  <c r="AD556" i="2" s="1"/>
  <c r="AF556" i="2" s="1"/>
  <c r="AA556" i="2"/>
  <c r="AC556" i="2" s="1"/>
  <c r="AE556" i="2" s="1"/>
  <c r="Z556" i="2"/>
  <c r="Y556" i="2"/>
  <c r="X556" i="2"/>
  <c r="W556" i="2"/>
  <c r="AI555" i="2"/>
  <c r="AG555" i="2"/>
  <c r="AB555" i="2"/>
  <c r="AD555" i="2" s="1"/>
  <c r="AF555" i="2" s="1"/>
  <c r="AA555" i="2"/>
  <c r="AC555" i="2" s="1"/>
  <c r="AE555" i="2" s="1"/>
  <c r="Z555" i="2"/>
  <c r="Y555" i="2"/>
  <c r="X555" i="2"/>
  <c r="W555" i="2"/>
  <c r="AI554" i="2"/>
  <c r="AG554" i="2"/>
  <c r="AB554" i="2"/>
  <c r="AD554" i="2" s="1"/>
  <c r="AF554" i="2" s="1"/>
  <c r="AA554" i="2"/>
  <c r="AC554" i="2" s="1"/>
  <c r="AE554" i="2" s="1"/>
  <c r="Z554" i="2"/>
  <c r="Y554" i="2"/>
  <c r="X554" i="2"/>
  <c r="W554" i="2"/>
  <c r="AI553" i="2"/>
  <c r="AG553" i="2"/>
  <c r="AB553" i="2"/>
  <c r="AD553" i="2" s="1"/>
  <c r="AF553" i="2" s="1"/>
  <c r="AA553" i="2"/>
  <c r="AC553" i="2" s="1"/>
  <c r="AE553" i="2" s="1"/>
  <c r="Z553" i="2"/>
  <c r="Y553" i="2"/>
  <c r="X553" i="2"/>
  <c r="W553" i="2"/>
  <c r="AI552" i="2"/>
  <c r="AG552" i="2"/>
  <c r="AB552" i="2"/>
  <c r="AD552" i="2" s="1"/>
  <c r="AF552" i="2" s="1"/>
  <c r="AA552" i="2"/>
  <c r="AC552" i="2" s="1"/>
  <c r="AE552" i="2" s="1"/>
  <c r="Z552" i="2"/>
  <c r="Y552" i="2"/>
  <c r="X552" i="2"/>
  <c r="W552" i="2"/>
  <c r="AI551" i="2"/>
  <c r="AG551" i="2"/>
  <c r="AB551" i="2"/>
  <c r="AD551" i="2" s="1"/>
  <c r="AF551" i="2" s="1"/>
  <c r="AA551" i="2"/>
  <c r="AC551" i="2" s="1"/>
  <c r="AE551" i="2" s="1"/>
  <c r="Z551" i="2"/>
  <c r="Y551" i="2"/>
  <c r="X551" i="2"/>
  <c r="W551" i="2"/>
  <c r="AI550" i="2"/>
  <c r="AG550" i="2"/>
  <c r="AB550" i="2"/>
  <c r="AD550" i="2" s="1"/>
  <c r="AF550" i="2" s="1"/>
  <c r="AA550" i="2"/>
  <c r="AC550" i="2" s="1"/>
  <c r="AE550" i="2" s="1"/>
  <c r="Z550" i="2"/>
  <c r="Y550" i="2"/>
  <c r="X550" i="2"/>
  <c r="W550" i="2"/>
  <c r="AI549" i="2"/>
  <c r="AG549" i="2"/>
  <c r="AB549" i="2"/>
  <c r="AD549" i="2" s="1"/>
  <c r="AF549" i="2" s="1"/>
  <c r="AA549" i="2"/>
  <c r="AC549" i="2" s="1"/>
  <c r="AE549" i="2" s="1"/>
  <c r="Z549" i="2"/>
  <c r="Y549" i="2"/>
  <c r="X549" i="2"/>
  <c r="W549" i="2"/>
  <c r="AI548" i="2"/>
  <c r="AG548" i="2"/>
  <c r="AB548" i="2"/>
  <c r="AD548" i="2" s="1"/>
  <c r="AF548" i="2" s="1"/>
  <c r="AA548" i="2"/>
  <c r="AC548" i="2" s="1"/>
  <c r="AE548" i="2" s="1"/>
  <c r="Z548" i="2"/>
  <c r="Y548" i="2"/>
  <c r="X548" i="2"/>
  <c r="W548" i="2"/>
  <c r="AI547" i="2"/>
  <c r="AG547" i="2"/>
  <c r="AB547" i="2"/>
  <c r="AD547" i="2" s="1"/>
  <c r="AF547" i="2" s="1"/>
  <c r="AA547" i="2"/>
  <c r="AC547" i="2" s="1"/>
  <c r="AE547" i="2" s="1"/>
  <c r="Z547" i="2"/>
  <c r="Y547" i="2"/>
  <c r="X547" i="2"/>
  <c r="W547" i="2"/>
  <c r="AI546" i="2"/>
  <c r="AG546" i="2"/>
  <c r="AB546" i="2"/>
  <c r="AD546" i="2" s="1"/>
  <c r="AF546" i="2" s="1"/>
  <c r="AA546" i="2"/>
  <c r="AC546" i="2" s="1"/>
  <c r="AE546" i="2" s="1"/>
  <c r="Z546" i="2"/>
  <c r="Y546" i="2"/>
  <c r="X546" i="2"/>
  <c r="W546" i="2"/>
  <c r="AI545" i="2"/>
  <c r="AG545" i="2"/>
  <c r="AB545" i="2"/>
  <c r="AD545" i="2" s="1"/>
  <c r="AF545" i="2" s="1"/>
  <c r="AA545" i="2"/>
  <c r="AC545" i="2" s="1"/>
  <c r="AE545" i="2" s="1"/>
  <c r="Z545" i="2"/>
  <c r="Y545" i="2"/>
  <c r="X545" i="2"/>
  <c r="W545" i="2"/>
  <c r="AI544" i="2"/>
  <c r="AG544" i="2"/>
  <c r="AB544" i="2"/>
  <c r="AD544" i="2" s="1"/>
  <c r="AF544" i="2" s="1"/>
  <c r="AA544" i="2"/>
  <c r="AC544" i="2" s="1"/>
  <c r="AE544" i="2" s="1"/>
  <c r="Z544" i="2"/>
  <c r="Y544" i="2"/>
  <c r="X544" i="2"/>
  <c r="W544" i="2"/>
  <c r="AI543" i="2"/>
  <c r="AG543" i="2"/>
  <c r="AB543" i="2"/>
  <c r="AD543" i="2" s="1"/>
  <c r="AF543" i="2" s="1"/>
  <c r="AA543" i="2"/>
  <c r="AC543" i="2" s="1"/>
  <c r="AE543" i="2" s="1"/>
  <c r="Z543" i="2"/>
  <c r="Y543" i="2"/>
  <c r="X543" i="2"/>
  <c r="W543" i="2"/>
  <c r="AI542" i="2"/>
  <c r="AG542" i="2"/>
  <c r="AB542" i="2"/>
  <c r="AD542" i="2" s="1"/>
  <c r="AF542" i="2" s="1"/>
  <c r="AA542" i="2"/>
  <c r="AC542" i="2" s="1"/>
  <c r="AE542" i="2" s="1"/>
  <c r="Z542" i="2"/>
  <c r="Y542" i="2"/>
  <c r="X542" i="2"/>
  <c r="W542" i="2"/>
  <c r="AI541" i="2"/>
  <c r="AG541" i="2"/>
  <c r="AB541" i="2"/>
  <c r="AD541" i="2" s="1"/>
  <c r="AF541" i="2" s="1"/>
  <c r="AA541" i="2"/>
  <c r="AC541" i="2" s="1"/>
  <c r="AE541" i="2" s="1"/>
  <c r="Z541" i="2"/>
  <c r="Y541" i="2"/>
  <c r="X541" i="2"/>
  <c r="W541" i="2"/>
  <c r="AI540" i="2"/>
  <c r="AG540" i="2"/>
  <c r="AB540" i="2"/>
  <c r="AD540" i="2" s="1"/>
  <c r="AF540" i="2" s="1"/>
  <c r="AA540" i="2"/>
  <c r="AC540" i="2" s="1"/>
  <c r="AE540" i="2" s="1"/>
  <c r="Z540" i="2"/>
  <c r="Y540" i="2"/>
  <c r="X540" i="2"/>
  <c r="W540" i="2"/>
  <c r="AI539" i="2"/>
  <c r="AG539" i="2"/>
  <c r="AB539" i="2"/>
  <c r="AD539" i="2" s="1"/>
  <c r="AF539" i="2" s="1"/>
  <c r="AA539" i="2"/>
  <c r="AC539" i="2" s="1"/>
  <c r="AE539" i="2" s="1"/>
  <c r="Z539" i="2"/>
  <c r="Y539" i="2"/>
  <c r="X539" i="2"/>
  <c r="W539" i="2"/>
  <c r="AI538" i="2"/>
  <c r="AG538" i="2"/>
  <c r="AB538" i="2"/>
  <c r="AD538" i="2" s="1"/>
  <c r="AF538" i="2" s="1"/>
  <c r="AA538" i="2"/>
  <c r="AC538" i="2" s="1"/>
  <c r="AE538" i="2" s="1"/>
  <c r="Z538" i="2"/>
  <c r="Y538" i="2"/>
  <c r="X538" i="2"/>
  <c r="W538" i="2"/>
  <c r="AI537" i="2"/>
  <c r="AG537" i="2"/>
  <c r="AB537" i="2"/>
  <c r="AD537" i="2" s="1"/>
  <c r="AF537" i="2" s="1"/>
  <c r="AA537" i="2"/>
  <c r="AC537" i="2" s="1"/>
  <c r="AE537" i="2" s="1"/>
  <c r="Z537" i="2"/>
  <c r="Y537" i="2"/>
  <c r="X537" i="2"/>
  <c r="W537" i="2"/>
  <c r="AI536" i="2"/>
  <c r="AG536" i="2"/>
  <c r="AB536" i="2"/>
  <c r="AD536" i="2" s="1"/>
  <c r="AF536" i="2" s="1"/>
  <c r="AA536" i="2"/>
  <c r="AC536" i="2" s="1"/>
  <c r="AE536" i="2" s="1"/>
  <c r="Z536" i="2"/>
  <c r="Y536" i="2"/>
  <c r="X536" i="2"/>
  <c r="W536" i="2"/>
  <c r="AI535" i="2"/>
  <c r="AG535" i="2"/>
  <c r="AE535" i="2"/>
  <c r="AB535" i="2"/>
  <c r="AD535" i="2" s="1"/>
  <c r="AF535" i="2" s="1"/>
  <c r="AA535" i="2"/>
  <c r="AC535" i="2" s="1"/>
  <c r="Z535" i="2"/>
  <c r="Y535" i="2"/>
  <c r="X535" i="2"/>
  <c r="W535" i="2"/>
  <c r="AI534" i="2"/>
  <c r="AG534" i="2"/>
  <c r="AB534" i="2"/>
  <c r="AD534" i="2" s="1"/>
  <c r="AF534" i="2" s="1"/>
  <c r="AA534" i="2"/>
  <c r="AC534" i="2" s="1"/>
  <c r="AE534" i="2" s="1"/>
  <c r="Z534" i="2"/>
  <c r="Y534" i="2"/>
  <c r="X534" i="2"/>
  <c r="W534" i="2"/>
  <c r="AI533" i="2"/>
  <c r="AG533" i="2"/>
  <c r="AB533" i="2"/>
  <c r="AD533" i="2" s="1"/>
  <c r="AF533" i="2" s="1"/>
  <c r="AA533" i="2"/>
  <c r="AC533" i="2" s="1"/>
  <c r="AE533" i="2" s="1"/>
  <c r="Z533" i="2"/>
  <c r="Y533" i="2"/>
  <c r="X533" i="2"/>
  <c r="W533" i="2"/>
  <c r="AI532" i="2"/>
  <c r="AG532" i="2"/>
  <c r="AB532" i="2"/>
  <c r="AD532" i="2" s="1"/>
  <c r="AF532" i="2" s="1"/>
  <c r="AA532" i="2"/>
  <c r="AC532" i="2" s="1"/>
  <c r="AE532" i="2" s="1"/>
  <c r="Z532" i="2"/>
  <c r="Y532" i="2"/>
  <c r="X532" i="2"/>
  <c r="W532" i="2"/>
  <c r="AI531" i="2"/>
  <c r="AG531" i="2"/>
  <c r="AB531" i="2"/>
  <c r="AD531" i="2" s="1"/>
  <c r="AF531" i="2" s="1"/>
  <c r="AA531" i="2"/>
  <c r="AC531" i="2" s="1"/>
  <c r="AE531" i="2" s="1"/>
  <c r="Z531" i="2"/>
  <c r="Y531" i="2"/>
  <c r="X531" i="2"/>
  <c r="W531" i="2"/>
  <c r="AI530" i="2"/>
  <c r="AG530" i="2"/>
  <c r="AB530" i="2"/>
  <c r="AD530" i="2" s="1"/>
  <c r="AF530" i="2" s="1"/>
  <c r="AA530" i="2"/>
  <c r="AC530" i="2" s="1"/>
  <c r="AE530" i="2" s="1"/>
  <c r="Z530" i="2"/>
  <c r="Y530" i="2"/>
  <c r="X530" i="2"/>
  <c r="W530" i="2"/>
  <c r="AI529" i="2"/>
  <c r="AG529" i="2"/>
  <c r="AB529" i="2"/>
  <c r="AD529" i="2" s="1"/>
  <c r="AF529" i="2" s="1"/>
  <c r="AA529" i="2"/>
  <c r="AC529" i="2" s="1"/>
  <c r="AE529" i="2" s="1"/>
  <c r="Z529" i="2"/>
  <c r="Y529" i="2"/>
  <c r="X529" i="2"/>
  <c r="W529" i="2"/>
  <c r="AI528" i="2"/>
  <c r="AG528" i="2"/>
  <c r="AB528" i="2"/>
  <c r="AD528" i="2" s="1"/>
  <c r="AF528" i="2" s="1"/>
  <c r="AA528" i="2"/>
  <c r="AC528" i="2" s="1"/>
  <c r="AE528" i="2" s="1"/>
  <c r="Z528" i="2"/>
  <c r="Y528" i="2"/>
  <c r="X528" i="2"/>
  <c r="W528" i="2"/>
  <c r="AI527" i="2"/>
  <c r="AG527" i="2"/>
  <c r="AB527" i="2"/>
  <c r="AD527" i="2" s="1"/>
  <c r="AF527" i="2" s="1"/>
  <c r="AA527" i="2"/>
  <c r="AC527" i="2" s="1"/>
  <c r="AE527" i="2" s="1"/>
  <c r="Z527" i="2"/>
  <c r="Y527" i="2"/>
  <c r="X527" i="2"/>
  <c r="W527" i="2"/>
  <c r="AI526" i="2"/>
  <c r="AG526" i="2"/>
  <c r="AB526" i="2"/>
  <c r="AD526" i="2" s="1"/>
  <c r="AF526" i="2" s="1"/>
  <c r="AA526" i="2"/>
  <c r="AC526" i="2" s="1"/>
  <c r="AE526" i="2" s="1"/>
  <c r="Z526" i="2"/>
  <c r="Y526" i="2"/>
  <c r="X526" i="2"/>
  <c r="W526" i="2"/>
  <c r="AI525" i="2"/>
  <c r="AG525" i="2"/>
  <c r="AB525" i="2"/>
  <c r="AD525" i="2" s="1"/>
  <c r="AF525" i="2" s="1"/>
  <c r="AA525" i="2"/>
  <c r="AC525" i="2" s="1"/>
  <c r="AE525" i="2" s="1"/>
  <c r="Z525" i="2"/>
  <c r="Y525" i="2"/>
  <c r="X525" i="2"/>
  <c r="W525" i="2"/>
  <c r="AI524" i="2"/>
  <c r="AG524" i="2"/>
  <c r="AB524" i="2"/>
  <c r="AD524" i="2" s="1"/>
  <c r="AF524" i="2" s="1"/>
  <c r="AA524" i="2"/>
  <c r="AC524" i="2" s="1"/>
  <c r="AE524" i="2" s="1"/>
  <c r="Z524" i="2"/>
  <c r="Y524" i="2"/>
  <c r="X524" i="2"/>
  <c r="W524" i="2"/>
  <c r="AI523" i="2"/>
  <c r="AG523" i="2"/>
  <c r="AB523" i="2"/>
  <c r="AD523" i="2" s="1"/>
  <c r="AF523" i="2" s="1"/>
  <c r="AA523" i="2"/>
  <c r="AC523" i="2" s="1"/>
  <c r="AE523" i="2" s="1"/>
  <c r="Z523" i="2"/>
  <c r="Y523" i="2"/>
  <c r="X523" i="2"/>
  <c r="W523" i="2"/>
  <c r="AI522" i="2"/>
  <c r="AG522" i="2"/>
  <c r="AB522" i="2"/>
  <c r="AD522" i="2" s="1"/>
  <c r="AF522" i="2" s="1"/>
  <c r="AA522" i="2"/>
  <c r="AC522" i="2" s="1"/>
  <c r="AE522" i="2" s="1"/>
  <c r="Z522" i="2"/>
  <c r="Y522" i="2"/>
  <c r="X522" i="2"/>
  <c r="W522" i="2"/>
  <c r="AI521" i="2"/>
  <c r="AG521" i="2"/>
  <c r="AF521" i="2"/>
  <c r="AB521" i="2"/>
  <c r="AD521" i="2" s="1"/>
  <c r="AA521" i="2"/>
  <c r="AC521" i="2" s="1"/>
  <c r="AE521" i="2" s="1"/>
  <c r="Z521" i="2"/>
  <c r="Y521" i="2"/>
  <c r="X521" i="2"/>
  <c r="W521" i="2"/>
  <c r="AI520" i="2"/>
  <c r="AG520" i="2"/>
  <c r="AB520" i="2"/>
  <c r="AD520" i="2" s="1"/>
  <c r="AF520" i="2" s="1"/>
  <c r="AA520" i="2"/>
  <c r="AC520" i="2" s="1"/>
  <c r="AE520" i="2" s="1"/>
  <c r="Z520" i="2"/>
  <c r="Y520" i="2"/>
  <c r="X520" i="2"/>
  <c r="W520" i="2"/>
  <c r="AI519" i="2"/>
  <c r="AG519" i="2"/>
  <c r="AB519" i="2"/>
  <c r="AD519" i="2" s="1"/>
  <c r="AF519" i="2" s="1"/>
  <c r="AA519" i="2"/>
  <c r="AC519" i="2" s="1"/>
  <c r="AE519" i="2" s="1"/>
  <c r="Z519" i="2"/>
  <c r="Y519" i="2"/>
  <c r="X519" i="2"/>
  <c r="W519" i="2"/>
  <c r="AI518" i="2"/>
  <c r="AG518" i="2"/>
  <c r="AB518" i="2"/>
  <c r="AD518" i="2" s="1"/>
  <c r="AF518" i="2" s="1"/>
  <c r="AA518" i="2"/>
  <c r="AC518" i="2" s="1"/>
  <c r="AE518" i="2" s="1"/>
  <c r="Z518" i="2"/>
  <c r="Y518" i="2"/>
  <c r="X518" i="2"/>
  <c r="W518" i="2"/>
  <c r="AI517" i="2"/>
  <c r="AG517" i="2"/>
  <c r="AB517" i="2"/>
  <c r="AD517" i="2" s="1"/>
  <c r="AF517" i="2" s="1"/>
  <c r="AA517" i="2"/>
  <c r="AC517" i="2" s="1"/>
  <c r="AE517" i="2" s="1"/>
  <c r="Z517" i="2"/>
  <c r="Y517" i="2"/>
  <c r="X517" i="2"/>
  <c r="W517" i="2"/>
  <c r="AI516" i="2"/>
  <c r="AG516" i="2"/>
  <c r="AB516" i="2"/>
  <c r="AD516" i="2" s="1"/>
  <c r="AF516" i="2" s="1"/>
  <c r="AA516" i="2"/>
  <c r="AC516" i="2" s="1"/>
  <c r="AE516" i="2" s="1"/>
  <c r="Z516" i="2"/>
  <c r="Y516" i="2"/>
  <c r="X516" i="2"/>
  <c r="W516" i="2"/>
  <c r="AI515" i="2"/>
  <c r="AG515" i="2"/>
  <c r="AE515" i="2"/>
  <c r="AB515" i="2"/>
  <c r="AD515" i="2" s="1"/>
  <c r="AF515" i="2" s="1"/>
  <c r="AA515" i="2"/>
  <c r="AC515" i="2" s="1"/>
  <c r="Z515" i="2"/>
  <c r="Y515" i="2"/>
  <c r="X515" i="2"/>
  <c r="W515" i="2"/>
  <c r="AI514" i="2"/>
  <c r="AG514" i="2"/>
  <c r="AB514" i="2"/>
  <c r="AD514" i="2" s="1"/>
  <c r="AF514" i="2" s="1"/>
  <c r="AA514" i="2"/>
  <c r="AC514" i="2" s="1"/>
  <c r="AE514" i="2" s="1"/>
  <c r="Z514" i="2"/>
  <c r="Y514" i="2"/>
  <c r="X514" i="2"/>
  <c r="W514" i="2"/>
  <c r="AI513" i="2"/>
  <c r="AG513" i="2"/>
  <c r="AB513" i="2"/>
  <c r="AD513" i="2" s="1"/>
  <c r="AF513" i="2" s="1"/>
  <c r="AA513" i="2"/>
  <c r="AC513" i="2" s="1"/>
  <c r="AE513" i="2" s="1"/>
  <c r="Z513" i="2"/>
  <c r="Y513" i="2"/>
  <c r="X513" i="2"/>
  <c r="W513" i="2"/>
  <c r="AI512" i="2"/>
  <c r="AG512" i="2"/>
  <c r="AB512" i="2"/>
  <c r="AD512" i="2" s="1"/>
  <c r="AF512" i="2" s="1"/>
  <c r="AA512" i="2"/>
  <c r="AC512" i="2" s="1"/>
  <c r="AE512" i="2" s="1"/>
  <c r="Z512" i="2"/>
  <c r="Y512" i="2"/>
  <c r="X512" i="2"/>
  <c r="W512" i="2"/>
  <c r="AI511" i="2"/>
  <c r="AG511" i="2"/>
  <c r="AB511" i="2"/>
  <c r="AD511" i="2" s="1"/>
  <c r="AF511" i="2" s="1"/>
  <c r="AA511" i="2"/>
  <c r="AC511" i="2" s="1"/>
  <c r="AE511" i="2" s="1"/>
  <c r="Z511" i="2"/>
  <c r="Y511" i="2"/>
  <c r="X511" i="2"/>
  <c r="W511" i="2"/>
  <c r="AI510" i="2"/>
  <c r="AG510" i="2"/>
  <c r="AB510" i="2"/>
  <c r="AD510" i="2" s="1"/>
  <c r="AF510" i="2" s="1"/>
  <c r="AA510" i="2"/>
  <c r="AC510" i="2" s="1"/>
  <c r="AE510" i="2" s="1"/>
  <c r="Z510" i="2"/>
  <c r="Y510" i="2"/>
  <c r="X510" i="2"/>
  <c r="W510" i="2"/>
  <c r="AI509" i="2"/>
  <c r="AG509" i="2"/>
  <c r="AB509" i="2"/>
  <c r="AD509" i="2" s="1"/>
  <c r="AF509" i="2" s="1"/>
  <c r="AA509" i="2"/>
  <c r="AC509" i="2" s="1"/>
  <c r="AE509" i="2" s="1"/>
  <c r="Z509" i="2"/>
  <c r="Y509" i="2"/>
  <c r="X509" i="2"/>
  <c r="W509" i="2"/>
  <c r="AI508" i="2"/>
  <c r="AG508" i="2"/>
  <c r="AB508" i="2"/>
  <c r="AD508" i="2" s="1"/>
  <c r="AF508" i="2" s="1"/>
  <c r="AA508" i="2"/>
  <c r="AC508" i="2" s="1"/>
  <c r="AE508" i="2" s="1"/>
  <c r="Z508" i="2"/>
  <c r="Y508" i="2"/>
  <c r="X508" i="2"/>
  <c r="W508" i="2"/>
  <c r="AI507" i="2"/>
  <c r="AG507" i="2"/>
  <c r="AE507" i="2"/>
  <c r="AB507" i="2"/>
  <c r="AD507" i="2" s="1"/>
  <c r="AF507" i="2" s="1"/>
  <c r="AA507" i="2"/>
  <c r="AC507" i="2" s="1"/>
  <c r="Z507" i="2"/>
  <c r="Y507" i="2"/>
  <c r="X507" i="2"/>
  <c r="W507" i="2"/>
  <c r="AI506" i="2"/>
  <c r="AG506" i="2"/>
  <c r="AB506" i="2"/>
  <c r="AD506" i="2" s="1"/>
  <c r="AF506" i="2" s="1"/>
  <c r="AA506" i="2"/>
  <c r="AC506" i="2" s="1"/>
  <c r="AE506" i="2" s="1"/>
  <c r="Z506" i="2"/>
  <c r="Y506" i="2"/>
  <c r="X506" i="2"/>
  <c r="W506" i="2"/>
  <c r="AI505" i="2"/>
  <c r="AG505" i="2"/>
  <c r="AB505" i="2"/>
  <c r="AD505" i="2" s="1"/>
  <c r="AF505" i="2" s="1"/>
  <c r="AA505" i="2"/>
  <c r="AC505" i="2" s="1"/>
  <c r="AE505" i="2" s="1"/>
  <c r="Z505" i="2"/>
  <c r="Y505" i="2"/>
  <c r="X505" i="2"/>
  <c r="W505" i="2"/>
  <c r="AI504" i="2"/>
  <c r="AG504" i="2"/>
  <c r="AB504" i="2"/>
  <c r="AD504" i="2" s="1"/>
  <c r="AF504" i="2" s="1"/>
  <c r="AA504" i="2"/>
  <c r="AC504" i="2" s="1"/>
  <c r="AE504" i="2" s="1"/>
  <c r="Z504" i="2"/>
  <c r="Y504" i="2"/>
  <c r="X504" i="2"/>
  <c r="W504" i="2"/>
  <c r="AI503" i="2"/>
  <c r="AG503" i="2"/>
  <c r="AB503" i="2"/>
  <c r="AD503" i="2" s="1"/>
  <c r="AF503" i="2" s="1"/>
  <c r="AA503" i="2"/>
  <c r="AC503" i="2" s="1"/>
  <c r="AE503" i="2" s="1"/>
  <c r="Z503" i="2"/>
  <c r="Y503" i="2"/>
  <c r="X503" i="2"/>
  <c r="W503" i="2"/>
  <c r="AI502" i="2"/>
  <c r="AG502" i="2"/>
  <c r="AB502" i="2"/>
  <c r="AD502" i="2" s="1"/>
  <c r="AF502" i="2" s="1"/>
  <c r="AA502" i="2"/>
  <c r="AC502" i="2" s="1"/>
  <c r="AE502" i="2" s="1"/>
  <c r="Z502" i="2"/>
  <c r="Y502" i="2"/>
  <c r="X502" i="2"/>
  <c r="W502" i="2"/>
  <c r="AI501" i="2"/>
  <c r="AG501" i="2"/>
  <c r="AB501" i="2"/>
  <c r="AD501" i="2" s="1"/>
  <c r="AF501" i="2" s="1"/>
  <c r="AA501" i="2"/>
  <c r="AC501" i="2" s="1"/>
  <c r="AE501" i="2" s="1"/>
  <c r="Z501" i="2"/>
  <c r="Y501" i="2"/>
  <c r="X501" i="2"/>
  <c r="W501" i="2"/>
  <c r="AI500" i="2"/>
  <c r="AG500" i="2"/>
  <c r="AB500" i="2"/>
  <c r="AD500" i="2" s="1"/>
  <c r="AF500" i="2" s="1"/>
  <c r="AA500" i="2"/>
  <c r="AC500" i="2" s="1"/>
  <c r="AE500" i="2" s="1"/>
  <c r="Z500" i="2"/>
  <c r="Y500" i="2"/>
  <c r="X500" i="2"/>
  <c r="W500" i="2"/>
  <c r="AI499" i="2"/>
  <c r="AG499" i="2"/>
  <c r="AB499" i="2"/>
  <c r="AD499" i="2" s="1"/>
  <c r="AF499" i="2" s="1"/>
  <c r="AA499" i="2"/>
  <c r="AC499" i="2" s="1"/>
  <c r="AE499" i="2" s="1"/>
  <c r="Z499" i="2"/>
  <c r="Y499" i="2"/>
  <c r="X499" i="2"/>
  <c r="W499" i="2"/>
  <c r="AI498" i="2"/>
  <c r="AG498" i="2"/>
  <c r="AB498" i="2"/>
  <c r="AD498" i="2" s="1"/>
  <c r="AF498" i="2" s="1"/>
  <c r="AA498" i="2"/>
  <c r="AC498" i="2" s="1"/>
  <c r="AE498" i="2" s="1"/>
  <c r="Z498" i="2"/>
  <c r="Y498" i="2"/>
  <c r="X498" i="2"/>
  <c r="W498" i="2"/>
  <c r="AI497" i="2"/>
  <c r="AG497" i="2"/>
  <c r="AB497" i="2"/>
  <c r="AD497" i="2" s="1"/>
  <c r="AF497" i="2" s="1"/>
  <c r="AA497" i="2"/>
  <c r="AC497" i="2" s="1"/>
  <c r="AE497" i="2" s="1"/>
  <c r="Z497" i="2"/>
  <c r="Y497" i="2"/>
  <c r="X497" i="2"/>
  <c r="W497" i="2"/>
  <c r="AI496" i="2"/>
  <c r="AG496" i="2"/>
  <c r="AB496" i="2"/>
  <c r="AD496" i="2" s="1"/>
  <c r="AF496" i="2" s="1"/>
  <c r="AA496" i="2"/>
  <c r="AC496" i="2" s="1"/>
  <c r="AE496" i="2" s="1"/>
  <c r="Z496" i="2"/>
  <c r="Y496" i="2"/>
  <c r="X496" i="2"/>
  <c r="W496" i="2"/>
  <c r="AI495" i="2"/>
  <c r="AG495" i="2"/>
  <c r="AB495" i="2"/>
  <c r="AD495" i="2" s="1"/>
  <c r="AF495" i="2" s="1"/>
  <c r="AA495" i="2"/>
  <c r="AC495" i="2" s="1"/>
  <c r="AE495" i="2" s="1"/>
  <c r="Z495" i="2"/>
  <c r="Y495" i="2"/>
  <c r="X495" i="2"/>
  <c r="W495" i="2"/>
  <c r="AI494" i="2"/>
  <c r="AG494" i="2"/>
  <c r="AB494" i="2"/>
  <c r="AD494" i="2" s="1"/>
  <c r="AF494" i="2" s="1"/>
  <c r="AA494" i="2"/>
  <c r="AC494" i="2" s="1"/>
  <c r="AE494" i="2" s="1"/>
  <c r="Z494" i="2"/>
  <c r="Y494" i="2"/>
  <c r="X494" i="2"/>
  <c r="W494" i="2"/>
  <c r="AI493" i="2"/>
  <c r="AG493" i="2"/>
  <c r="AB493" i="2"/>
  <c r="AD493" i="2" s="1"/>
  <c r="AF493" i="2" s="1"/>
  <c r="AA493" i="2"/>
  <c r="AC493" i="2" s="1"/>
  <c r="AE493" i="2" s="1"/>
  <c r="Z493" i="2"/>
  <c r="Y493" i="2"/>
  <c r="X493" i="2"/>
  <c r="W493" i="2"/>
  <c r="AI492" i="2"/>
  <c r="AG492" i="2"/>
  <c r="AB492" i="2"/>
  <c r="AD492" i="2" s="1"/>
  <c r="AF492" i="2" s="1"/>
  <c r="AA492" i="2"/>
  <c r="AC492" i="2" s="1"/>
  <c r="AE492" i="2" s="1"/>
  <c r="Z492" i="2"/>
  <c r="Y492" i="2"/>
  <c r="X492" i="2"/>
  <c r="W492" i="2"/>
  <c r="AI491" i="2"/>
  <c r="AG491" i="2"/>
  <c r="AB491" i="2"/>
  <c r="AD491" i="2" s="1"/>
  <c r="AF491" i="2" s="1"/>
  <c r="AA491" i="2"/>
  <c r="AC491" i="2" s="1"/>
  <c r="AE491" i="2" s="1"/>
  <c r="Z491" i="2"/>
  <c r="Y491" i="2"/>
  <c r="X491" i="2"/>
  <c r="W491" i="2"/>
  <c r="AI490" i="2"/>
  <c r="AG490" i="2"/>
  <c r="AB490" i="2"/>
  <c r="AD490" i="2" s="1"/>
  <c r="AF490" i="2" s="1"/>
  <c r="AA490" i="2"/>
  <c r="AC490" i="2" s="1"/>
  <c r="AE490" i="2" s="1"/>
  <c r="Z490" i="2"/>
  <c r="Y490" i="2"/>
  <c r="X490" i="2"/>
  <c r="W490" i="2"/>
  <c r="AI489" i="2"/>
  <c r="AG489" i="2"/>
  <c r="AB489" i="2"/>
  <c r="AD489" i="2" s="1"/>
  <c r="AF489" i="2" s="1"/>
  <c r="AA489" i="2"/>
  <c r="AC489" i="2" s="1"/>
  <c r="AE489" i="2" s="1"/>
  <c r="Z489" i="2"/>
  <c r="Y489" i="2"/>
  <c r="X489" i="2"/>
  <c r="W489" i="2"/>
  <c r="AI488" i="2"/>
  <c r="AG488" i="2"/>
  <c r="AB488" i="2"/>
  <c r="AD488" i="2" s="1"/>
  <c r="AF488" i="2" s="1"/>
  <c r="AA488" i="2"/>
  <c r="AC488" i="2" s="1"/>
  <c r="AE488" i="2" s="1"/>
  <c r="Z488" i="2"/>
  <c r="Y488" i="2"/>
  <c r="X488" i="2"/>
  <c r="W488" i="2"/>
  <c r="AI487" i="2"/>
  <c r="AG487" i="2"/>
  <c r="AB487" i="2"/>
  <c r="AD487" i="2" s="1"/>
  <c r="AF487" i="2" s="1"/>
  <c r="AA487" i="2"/>
  <c r="AC487" i="2" s="1"/>
  <c r="AE487" i="2" s="1"/>
  <c r="Z487" i="2"/>
  <c r="Y487" i="2"/>
  <c r="X487" i="2"/>
  <c r="W487" i="2"/>
  <c r="AI486" i="2"/>
  <c r="AG486" i="2"/>
  <c r="AB486" i="2"/>
  <c r="AD486" i="2" s="1"/>
  <c r="AF486" i="2" s="1"/>
  <c r="AA486" i="2"/>
  <c r="AC486" i="2" s="1"/>
  <c r="AE486" i="2" s="1"/>
  <c r="Z486" i="2"/>
  <c r="Y486" i="2"/>
  <c r="X486" i="2"/>
  <c r="W486" i="2"/>
  <c r="AI485" i="2"/>
  <c r="AG485" i="2"/>
  <c r="AB485" i="2"/>
  <c r="AD485" i="2" s="1"/>
  <c r="AF485" i="2" s="1"/>
  <c r="AA485" i="2"/>
  <c r="AC485" i="2" s="1"/>
  <c r="AE485" i="2" s="1"/>
  <c r="Z485" i="2"/>
  <c r="Y485" i="2"/>
  <c r="X485" i="2"/>
  <c r="W485" i="2"/>
  <c r="AI484" i="2"/>
  <c r="AG484" i="2"/>
  <c r="AB484" i="2"/>
  <c r="AD484" i="2" s="1"/>
  <c r="AF484" i="2" s="1"/>
  <c r="AA484" i="2"/>
  <c r="AC484" i="2" s="1"/>
  <c r="AE484" i="2" s="1"/>
  <c r="Z484" i="2"/>
  <c r="Y484" i="2"/>
  <c r="X484" i="2"/>
  <c r="W484" i="2"/>
  <c r="AI483" i="2"/>
  <c r="AG483" i="2"/>
  <c r="AB483" i="2"/>
  <c r="AD483" i="2" s="1"/>
  <c r="AF483" i="2" s="1"/>
  <c r="AA483" i="2"/>
  <c r="AC483" i="2" s="1"/>
  <c r="AE483" i="2" s="1"/>
  <c r="Z483" i="2"/>
  <c r="Y483" i="2"/>
  <c r="X483" i="2"/>
  <c r="W483" i="2"/>
  <c r="AI482" i="2"/>
  <c r="AG482" i="2"/>
  <c r="AB482" i="2"/>
  <c r="AD482" i="2" s="1"/>
  <c r="AF482" i="2" s="1"/>
  <c r="AA482" i="2"/>
  <c r="AC482" i="2" s="1"/>
  <c r="AE482" i="2" s="1"/>
  <c r="Z482" i="2"/>
  <c r="Y482" i="2"/>
  <c r="X482" i="2"/>
  <c r="W482" i="2"/>
  <c r="AI481" i="2"/>
  <c r="AG481" i="2"/>
  <c r="AE481" i="2"/>
  <c r="AB481" i="2"/>
  <c r="AD481" i="2" s="1"/>
  <c r="AF481" i="2" s="1"/>
  <c r="AA481" i="2"/>
  <c r="AC481" i="2" s="1"/>
  <c r="Z481" i="2"/>
  <c r="Y481" i="2"/>
  <c r="X481" i="2"/>
  <c r="W481" i="2"/>
  <c r="AI480" i="2"/>
  <c r="AG480" i="2"/>
  <c r="AB480" i="2"/>
  <c r="AD480" i="2" s="1"/>
  <c r="AF480" i="2" s="1"/>
  <c r="AA480" i="2"/>
  <c r="AC480" i="2" s="1"/>
  <c r="AE480" i="2" s="1"/>
  <c r="Z480" i="2"/>
  <c r="Y480" i="2"/>
  <c r="X480" i="2"/>
  <c r="W480" i="2"/>
  <c r="AI479" i="2"/>
  <c r="AG479" i="2"/>
  <c r="AB479" i="2"/>
  <c r="AD479" i="2" s="1"/>
  <c r="AF479" i="2" s="1"/>
  <c r="AA479" i="2"/>
  <c r="AC479" i="2" s="1"/>
  <c r="AE479" i="2" s="1"/>
  <c r="Z479" i="2"/>
  <c r="Y479" i="2"/>
  <c r="X479" i="2"/>
  <c r="W479" i="2"/>
  <c r="AI478" i="2"/>
  <c r="AG478" i="2"/>
  <c r="AB478" i="2"/>
  <c r="AD478" i="2" s="1"/>
  <c r="AF478" i="2" s="1"/>
  <c r="AA478" i="2"/>
  <c r="AC478" i="2" s="1"/>
  <c r="AE478" i="2" s="1"/>
  <c r="Z478" i="2"/>
  <c r="Y478" i="2"/>
  <c r="X478" i="2"/>
  <c r="W478" i="2"/>
  <c r="AI477" i="2"/>
  <c r="AG477" i="2"/>
  <c r="AB477" i="2"/>
  <c r="AD477" i="2" s="1"/>
  <c r="AF477" i="2" s="1"/>
  <c r="AA477" i="2"/>
  <c r="AC477" i="2" s="1"/>
  <c r="AE477" i="2" s="1"/>
  <c r="Z477" i="2"/>
  <c r="Y477" i="2"/>
  <c r="X477" i="2"/>
  <c r="W477" i="2"/>
  <c r="AI476" i="2"/>
  <c r="AG476" i="2"/>
  <c r="AB476" i="2"/>
  <c r="AD476" i="2" s="1"/>
  <c r="AF476" i="2" s="1"/>
  <c r="AA476" i="2"/>
  <c r="AC476" i="2" s="1"/>
  <c r="AE476" i="2" s="1"/>
  <c r="Z476" i="2"/>
  <c r="Y476" i="2"/>
  <c r="X476" i="2"/>
  <c r="W476" i="2"/>
  <c r="AI475" i="2"/>
  <c r="AG475" i="2"/>
  <c r="AB475" i="2"/>
  <c r="AD475" i="2" s="1"/>
  <c r="AF475" i="2" s="1"/>
  <c r="AA475" i="2"/>
  <c r="AC475" i="2" s="1"/>
  <c r="AE475" i="2" s="1"/>
  <c r="Z475" i="2"/>
  <c r="Y475" i="2"/>
  <c r="X475" i="2"/>
  <c r="W475" i="2"/>
  <c r="AI474" i="2"/>
  <c r="AG474" i="2"/>
  <c r="AB474" i="2"/>
  <c r="AD474" i="2" s="1"/>
  <c r="AF474" i="2" s="1"/>
  <c r="AA474" i="2"/>
  <c r="AC474" i="2" s="1"/>
  <c r="AE474" i="2" s="1"/>
  <c r="Z474" i="2"/>
  <c r="Y474" i="2"/>
  <c r="X474" i="2"/>
  <c r="W474" i="2"/>
  <c r="AI473" i="2"/>
  <c r="AG473" i="2"/>
  <c r="AB473" i="2"/>
  <c r="AD473" i="2" s="1"/>
  <c r="AF473" i="2" s="1"/>
  <c r="AA473" i="2"/>
  <c r="AC473" i="2" s="1"/>
  <c r="AE473" i="2" s="1"/>
  <c r="Z473" i="2"/>
  <c r="Y473" i="2"/>
  <c r="X473" i="2"/>
  <c r="W473" i="2"/>
  <c r="AI472" i="2"/>
  <c r="AG472" i="2"/>
  <c r="AB472" i="2"/>
  <c r="AD472" i="2" s="1"/>
  <c r="AF472" i="2" s="1"/>
  <c r="AA472" i="2"/>
  <c r="AC472" i="2" s="1"/>
  <c r="AE472" i="2" s="1"/>
  <c r="Z472" i="2"/>
  <c r="Y472" i="2"/>
  <c r="X472" i="2"/>
  <c r="W472" i="2"/>
  <c r="AI471" i="2"/>
  <c r="AG471" i="2"/>
  <c r="AB471" i="2"/>
  <c r="AD471" i="2" s="1"/>
  <c r="AF471" i="2" s="1"/>
  <c r="AA471" i="2"/>
  <c r="AC471" i="2" s="1"/>
  <c r="AE471" i="2" s="1"/>
  <c r="Z471" i="2"/>
  <c r="Y471" i="2"/>
  <c r="X471" i="2"/>
  <c r="W471" i="2"/>
  <c r="AI470" i="2"/>
  <c r="AG470" i="2"/>
  <c r="AB470" i="2"/>
  <c r="AD470" i="2" s="1"/>
  <c r="AF470" i="2" s="1"/>
  <c r="AA470" i="2"/>
  <c r="AC470" i="2" s="1"/>
  <c r="AE470" i="2" s="1"/>
  <c r="Z470" i="2"/>
  <c r="Y470" i="2"/>
  <c r="X470" i="2"/>
  <c r="W470" i="2"/>
  <c r="AI469" i="2"/>
  <c r="AG469" i="2"/>
  <c r="AB469" i="2"/>
  <c r="AD469" i="2" s="1"/>
  <c r="AF469" i="2" s="1"/>
  <c r="AA469" i="2"/>
  <c r="AC469" i="2" s="1"/>
  <c r="AE469" i="2" s="1"/>
  <c r="Z469" i="2"/>
  <c r="Y469" i="2"/>
  <c r="X469" i="2"/>
  <c r="W469" i="2"/>
  <c r="AI468" i="2"/>
  <c r="AG468" i="2"/>
  <c r="AB468" i="2"/>
  <c r="AD468" i="2" s="1"/>
  <c r="AF468" i="2" s="1"/>
  <c r="AA468" i="2"/>
  <c r="AC468" i="2" s="1"/>
  <c r="AE468" i="2" s="1"/>
  <c r="Z468" i="2"/>
  <c r="Y468" i="2"/>
  <c r="X468" i="2"/>
  <c r="W468" i="2"/>
  <c r="AI467" i="2"/>
  <c r="AG467" i="2"/>
  <c r="AB467" i="2"/>
  <c r="AD467" i="2" s="1"/>
  <c r="AF467" i="2" s="1"/>
  <c r="AA467" i="2"/>
  <c r="AC467" i="2" s="1"/>
  <c r="AE467" i="2" s="1"/>
  <c r="Z467" i="2"/>
  <c r="Y467" i="2"/>
  <c r="X467" i="2"/>
  <c r="W467" i="2"/>
  <c r="AI466" i="2"/>
  <c r="AG466" i="2"/>
  <c r="AB466" i="2"/>
  <c r="AD466" i="2" s="1"/>
  <c r="AF466" i="2" s="1"/>
  <c r="AA466" i="2"/>
  <c r="AC466" i="2" s="1"/>
  <c r="AE466" i="2" s="1"/>
  <c r="Z466" i="2"/>
  <c r="Y466" i="2"/>
  <c r="X466" i="2"/>
  <c r="W466" i="2"/>
  <c r="AI465" i="2"/>
  <c r="AG465" i="2"/>
  <c r="AB465" i="2"/>
  <c r="AD465" i="2" s="1"/>
  <c r="AF465" i="2" s="1"/>
  <c r="AA465" i="2"/>
  <c r="AC465" i="2" s="1"/>
  <c r="AE465" i="2" s="1"/>
  <c r="Z465" i="2"/>
  <c r="Y465" i="2"/>
  <c r="X465" i="2"/>
  <c r="W465" i="2"/>
  <c r="AI464" i="2"/>
  <c r="AG464" i="2"/>
  <c r="AB464" i="2"/>
  <c r="AD464" i="2" s="1"/>
  <c r="AF464" i="2" s="1"/>
  <c r="AA464" i="2"/>
  <c r="AC464" i="2" s="1"/>
  <c r="AE464" i="2" s="1"/>
  <c r="Z464" i="2"/>
  <c r="Y464" i="2"/>
  <c r="X464" i="2"/>
  <c r="W464" i="2"/>
  <c r="AI463" i="2"/>
  <c r="AG463" i="2"/>
  <c r="AE463" i="2"/>
  <c r="AB463" i="2"/>
  <c r="AD463" i="2" s="1"/>
  <c r="AF463" i="2" s="1"/>
  <c r="AA463" i="2"/>
  <c r="AC463" i="2" s="1"/>
  <c r="Z463" i="2"/>
  <c r="Y463" i="2"/>
  <c r="X463" i="2"/>
  <c r="W463" i="2"/>
  <c r="AI462" i="2"/>
  <c r="AG462" i="2"/>
  <c r="AB462" i="2"/>
  <c r="AD462" i="2" s="1"/>
  <c r="AF462" i="2" s="1"/>
  <c r="AA462" i="2"/>
  <c r="AC462" i="2" s="1"/>
  <c r="AE462" i="2" s="1"/>
  <c r="Z462" i="2"/>
  <c r="Y462" i="2"/>
  <c r="X462" i="2"/>
  <c r="W462" i="2"/>
  <c r="AI461" i="2"/>
  <c r="AG461" i="2"/>
  <c r="AB461" i="2"/>
  <c r="AD461" i="2" s="1"/>
  <c r="AF461" i="2" s="1"/>
  <c r="AA461" i="2"/>
  <c r="AC461" i="2" s="1"/>
  <c r="AE461" i="2" s="1"/>
  <c r="Z461" i="2"/>
  <c r="Y461" i="2"/>
  <c r="X461" i="2"/>
  <c r="W461" i="2"/>
  <c r="AI460" i="2"/>
  <c r="AG460" i="2"/>
  <c r="AB460" i="2"/>
  <c r="AD460" i="2" s="1"/>
  <c r="AF460" i="2" s="1"/>
  <c r="AA460" i="2"/>
  <c r="AC460" i="2" s="1"/>
  <c r="AE460" i="2" s="1"/>
  <c r="Z460" i="2"/>
  <c r="Y460" i="2"/>
  <c r="X460" i="2"/>
  <c r="W460" i="2"/>
  <c r="AI459" i="2"/>
  <c r="AG459" i="2"/>
  <c r="AB459" i="2"/>
  <c r="AD459" i="2" s="1"/>
  <c r="AF459" i="2" s="1"/>
  <c r="AA459" i="2"/>
  <c r="AC459" i="2" s="1"/>
  <c r="AE459" i="2" s="1"/>
  <c r="Z459" i="2"/>
  <c r="Y459" i="2"/>
  <c r="X459" i="2"/>
  <c r="W459" i="2"/>
  <c r="AI458" i="2"/>
  <c r="AG458" i="2"/>
  <c r="AB458" i="2"/>
  <c r="AD458" i="2" s="1"/>
  <c r="AF458" i="2" s="1"/>
  <c r="AA458" i="2"/>
  <c r="AC458" i="2" s="1"/>
  <c r="AE458" i="2" s="1"/>
  <c r="Z458" i="2"/>
  <c r="Y458" i="2"/>
  <c r="X458" i="2"/>
  <c r="W458" i="2"/>
  <c r="AI457" i="2"/>
  <c r="AG457" i="2"/>
  <c r="AB457" i="2"/>
  <c r="AD457" i="2" s="1"/>
  <c r="AF457" i="2" s="1"/>
  <c r="AA457" i="2"/>
  <c r="AC457" i="2" s="1"/>
  <c r="AE457" i="2" s="1"/>
  <c r="Z457" i="2"/>
  <c r="Y457" i="2"/>
  <c r="X457" i="2"/>
  <c r="W457" i="2"/>
  <c r="AI456" i="2"/>
  <c r="AG456" i="2"/>
  <c r="AB456" i="2"/>
  <c r="AD456" i="2" s="1"/>
  <c r="AF456" i="2" s="1"/>
  <c r="AA456" i="2"/>
  <c r="AC456" i="2" s="1"/>
  <c r="AE456" i="2" s="1"/>
  <c r="Z456" i="2"/>
  <c r="Y456" i="2"/>
  <c r="X456" i="2"/>
  <c r="W456" i="2"/>
  <c r="AI455" i="2"/>
  <c r="AG455" i="2"/>
  <c r="AB455" i="2"/>
  <c r="AD455" i="2" s="1"/>
  <c r="AF455" i="2" s="1"/>
  <c r="AA455" i="2"/>
  <c r="AC455" i="2" s="1"/>
  <c r="AE455" i="2" s="1"/>
  <c r="Z455" i="2"/>
  <c r="Y455" i="2"/>
  <c r="X455" i="2"/>
  <c r="W455" i="2"/>
  <c r="AI454" i="2"/>
  <c r="AG454" i="2"/>
  <c r="AB454" i="2"/>
  <c r="AD454" i="2" s="1"/>
  <c r="AF454" i="2" s="1"/>
  <c r="AA454" i="2"/>
  <c r="AC454" i="2" s="1"/>
  <c r="AE454" i="2" s="1"/>
  <c r="Z454" i="2"/>
  <c r="Y454" i="2"/>
  <c r="X454" i="2"/>
  <c r="W454" i="2"/>
  <c r="AI453" i="2"/>
  <c r="AG453" i="2"/>
  <c r="AB453" i="2"/>
  <c r="AD453" i="2" s="1"/>
  <c r="AF453" i="2" s="1"/>
  <c r="AA453" i="2"/>
  <c r="AC453" i="2" s="1"/>
  <c r="AE453" i="2" s="1"/>
  <c r="Z453" i="2"/>
  <c r="Y453" i="2"/>
  <c r="X453" i="2"/>
  <c r="W453" i="2"/>
  <c r="AI452" i="2"/>
  <c r="AG452" i="2"/>
  <c r="AB452" i="2"/>
  <c r="AD452" i="2" s="1"/>
  <c r="AF452" i="2" s="1"/>
  <c r="AA452" i="2"/>
  <c r="AC452" i="2" s="1"/>
  <c r="AE452" i="2" s="1"/>
  <c r="Z452" i="2"/>
  <c r="Y452" i="2"/>
  <c r="X452" i="2"/>
  <c r="W452" i="2"/>
  <c r="AI451" i="2"/>
  <c r="AG451" i="2"/>
  <c r="AB451" i="2"/>
  <c r="AD451" i="2" s="1"/>
  <c r="AF451" i="2" s="1"/>
  <c r="AA451" i="2"/>
  <c r="AC451" i="2" s="1"/>
  <c r="AE451" i="2" s="1"/>
  <c r="Z451" i="2"/>
  <c r="Y451" i="2"/>
  <c r="X451" i="2"/>
  <c r="W451" i="2"/>
  <c r="AI450" i="2"/>
  <c r="AG450" i="2"/>
  <c r="AB450" i="2"/>
  <c r="AD450" i="2" s="1"/>
  <c r="AF450" i="2" s="1"/>
  <c r="AA450" i="2"/>
  <c r="AC450" i="2" s="1"/>
  <c r="AE450" i="2" s="1"/>
  <c r="Z450" i="2"/>
  <c r="Y450" i="2"/>
  <c r="X450" i="2"/>
  <c r="W450" i="2"/>
  <c r="AI449" i="2"/>
  <c r="AG449" i="2"/>
  <c r="AF449" i="2"/>
  <c r="AB449" i="2"/>
  <c r="AD449" i="2" s="1"/>
  <c r="AA449" i="2"/>
  <c r="AC449" i="2" s="1"/>
  <c r="AE449" i="2" s="1"/>
  <c r="Z449" i="2"/>
  <c r="Y449" i="2"/>
  <c r="X449" i="2"/>
  <c r="W449" i="2"/>
  <c r="AI448" i="2"/>
  <c r="AG448" i="2"/>
  <c r="AB448" i="2"/>
  <c r="AD448" i="2" s="1"/>
  <c r="AF448" i="2" s="1"/>
  <c r="AA448" i="2"/>
  <c r="AC448" i="2" s="1"/>
  <c r="AE448" i="2" s="1"/>
  <c r="Z448" i="2"/>
  <c r="Y448" i="2"/>
  <c r="X448" i="2"/>
  <c r="W448" i="2"/>
  <c r="AI447" i="2"/>
  <c r="AG447" i="2"/>
  <c r="AB447" i="2"/>
  <c r="AD447" i="2" s="1"/>
  <c r="AF447" i="2" s="1"/>
  <c r="AA447" i="2"/>
  <c r="AC447" i="2" s="1"/>
  <c r="AE447" i="2" s="1"/>
  <c r="Z447" i="2"/>
  <c r="Y447" i="2"/>
  <c r="X447" i="2"/>
  <c r="W447" i="2"/>
  <c r="AI446" i="2"/>
  <c r="AG446" i="2"/>
  <c r="AB446" i="2"/>
  <c r="AD446" i="2" s="1"/>
  <c r="AF446" i="2" s="1"/>
  <c r="AA446" i="2"/>
  <c r="AC446" i="2" s="1"/>
  <c r="AE446" i="2" s="1"/>
  <c r="Z446" i="2"/>
  <c r="Y446" i="2"/>
  <c r="X446" i="2"/>
  <c r="W446" i="2"/>
  <c r="AI445" i="2"/>
  <c r="AG445" i="2"/>
  <c r="AB445" i="2"/>
  <c r="AD445" i="2" s="1"/>
  <c r="AF445" i="2" s="1"/>
  <c r="AA445" i="2"/>
  <c r="AC445" i="2" s="1"/>
  <c r="AE445" i="2" s="1"/>
  <c r="Z445" i="2"/>
  <c r="Y445" i="2"/>
  <c r="X445" i="2"/>
  <c r="W445" i="2"/>
  <c r="AI444" i="2"/>
  <c r="AG444" i="2"/>
  <c r="AB444" i="2"/>
  <c r="AD444" i="2" s="1"/>
  <c r="AF444" i="2" s="1"/>
  <c r="AA444" i="2"/>
  <c r="AC444" i="2" s="1"/>
  <c r="AE444" i="2" s="1"/>
  <c r="Z444" i="2"/>
  <c r="Y444" i="2"/>
  <c r="X444" i="2"/>
  <c r="W444" i="2"/>
  <c r="AI443" i="2"/>
  <c r="AG443" i="2"/>
  <c r="AE443" i="2"/>
  <c r="AB443" i="2"/>
  <c r="AD443" i="2" s="1"/>
  <c r="AF443" i="2" s="1"/>
  <c r="AA443" i="2"/>
  <c r="AC443" i="2" s="1"/>
  <c r="Z443" i="2"/>
  <c r="Y443" i="2"/>
  <c r="X443" i="2"/>
  <c r="W443" i="2"/>
  <c r="AI442" i="2"/>
  <c r="AG442" i="2"/>
  <c r="AB442" i="2"/>
  <c r="AD442" i="2" s="1"/>
  <c r="AF442" i="2" s="1"/>
  <c r="AA442" i="2"/>
  <c r="AC442" i="2" s="1"/>
  <c r="AE442" i="2" s="1"/>
  <c r="Z442" i="2"/>
  <c r="Y442" i="2"/>
  <c r="X442" i="2"/>
  <c r="W442" i="2"/>
  <c r="AI441" i="2"/>
  <c r="AG441" i="2"/>
  <c r="AB441" i="2"/>
  <c r="AD441" i="2" s="1"/>
  <c r="AF441" i="2" s="1"/>
  <c r="AA441" i="2"/>
  <c r="AC441" i="2" s="1"/>
  <c r="AE441" i="2" s="1"/>
  <c r="Z441" i="2"/>
  <c r="Y441" i="2"/>
  <c r="X441" i="2"/>
  <c r="W441" i="2"/>
  <c r="AI440" i="2"/>
  <c r="AG440" i="2"/>
  <c r="AB440" i="2"/>
  <c r="AD440" i="2" s="1"/>
  <c r="AF440" i="2" s="1"/>
  <c r="AA440" i="2"/>
  <c r="AC440" i="2" s="1"/>
  <c r="AE440" i="2" s="1"/>
  <c r="Z440" i="2"/>
  <c r="Y440" i="2"/>
  <c r="X440" i="2"/>
  <c r="W440" i="2"/>
  <c r="AI439" i="2"/>
  <c r="AG439" i="2"/>
  <c r="AB439" i="2"/>
  <c r="AD439" i="2" s="1"/>
  <c r="AF439" i="2" s="1"/>
  <c r="AA439" i="2"/>
  <c r="AC439" i="2" s="1"/>
  <c r="AE439" i="2" s="1"/>
  <c r="Z439" i="2"/>
  <c r="Y439" i="2"/>
  <c r="X439" i="2"/>
  <c r="W439" i="2"/>
  <c r="AI438" i="2"/>
  <c r="AG438" i="2"/>
  <c r="AB438" i="2"/>
  <c r="AD438" i="2" s="1"/>
  <c r="AF438" i="2" s="1"/>
  <c r="AA438" i="2"/>
  <c r="AC438" i="2" s="1"/>
  <c r="AE438" i="2" s="1"/>
  <c r="Z438" i="2"/>
  <c r="Y438" i="2"/>
  <c r="X438" i="2"/>
  <c r="W438" i="2"/>
  <c r="AI437" i="2"/>
  <c r="AG437" i="2"/>
  <c r="AB437" i="2"/>
  <c r="AD437" i="2" s="1"/>
  <c r="AF437" i="2" s="1"/>
  <c r="AA437" i="2"/>
  <c r="AC437" i="2" s="1"/>
  <c r="AE437" i="2" s="1"/>
  <c r="Z437" i="2"/>
  <c r="Y437" i="2"/>
  <c r="X437" i="2"/>
  <c r="W437" i="2"/>
  <c r="AI436" i="2"/>
  <c r="AG436" i="2"/>
  <c r="AB436" i="2"/>
  <c r="AD436" i="2" s="1"/>
  <c r="AF436" i="2" s="1"/>
  <c r="AA436" i="2"/>
  <c r="AC436" i="2" s="1"/>
  <c r="AE436" i="2" s="1"/>
  <c r="Z436" i="2"/>
  <c r="Y436" i="2"/>
  <c r="X436" i="2"/>
  <c r="W436" i="2"/>
  <c r="AI435" i="2"/>
  <c r="AG435" i="2"/>
  <c r="AB435" i="2"/>
  <c r="AD435" i="2" s="1"/>
  <c r="AF435" i="2" s="1"/>
  <c r="AA435" i="2"/>
  <c r="AC435" i="2" s="1"/>
  <c r="AE435" i="2" s="1"/>
  <c r="Z435" i="2"/>
  <c r="Y435" i="2"/>
  <c r="X435" i="2"/>
  <c r="W435" i="2"/>
  <c r="AI434" i="2"/>
  <c r="AG434" i="2"/>
  <c r="AB434" i="2"/>
  <c r="AD434" i="2" s="1"/>
  <c r="AF434" i="2" s="1"/>
  <c r="AA434" i="2"/>
  <c r="AC434" i="2" s="1"/>
  <c r="AE434" i="2" s="1"/>
  <c r="Z434" i="2"/>
  <c r="Y434" i="2"/>
  <c r="X434" i="2"/>
  <c r="W434" i="2"/>
  <c r="AI433" i="2"/>
  <c r="AG433" i="2"/>
  <c r="AB433" i="2"/>
  <c r="AD433" i="2" s="1"/>
  <c r="AF433" i="2" s="1"/>
  <c r="AA433" i="2"/>
  <c r="AC433" i="2" s="1"/>
  <c r="AE433" i="2" s="1"/>
  <c r="Z433" i="2"/>
  <c r="Y433" i="2"/>
  <c r="X433" i="2"/>
  <c r="W433" i="2"/>
  <c r="AI432" i="2"/>
  <c r="AG432" i="2"/>
  <c r="AB432" i="2"/>
  <c r="AD432" i="2" s="1"/>
  <c r="AF432" i="2" s="1"/>
  <c r="AA432" i="2"/>
  <c r="AC432" i="2" s="1"/>
  <c r="AE432" i="2" s="1"/>
  <c r="Z432" i="2"/>
  <c r="Y432" i="2"/>
  <c r="X432" i="2"/>
  <c r="W432" i="2"/>
  <c r="AI431" i="2"/>
  <c r="AG431" i="2"/>
  <c r="AB431" i="2"/>
  <c r="AD431" i="2" s="1"/>
  <c r="AF431" i="2" s="1"/>
  <c r="AA431" i="2"/>
  <c r="AC431" i="2" s="1"/>
  <c r="AE431" i="2" s="1"/>
  <c r="Z431" i="2"/>
  <c r="Y431" i="2"/>
  <c r="X431" i="2"/>
  <c r="W431" i="2"/>
  <c r="AI430" i="2"/>
  <c r="AG430" i="2"/>
  <c r="AB430" i="2"/>
  <c r="AD430" i="2" s="1"/>
  <c r="AF430" i="2" s="1"/>
  <c r="AA430" i="2"/>
  <c r="AC430" i="2" s="1"/>
  <c r="AE430" i="2" s="1"/>
  <c r="Z430" i="2"/>
  <c r="Y430" i="2"/>
  <c r="X430" i="2"/>
  <c r="W430" i="2"/>
  <c r="AI429" i="2"/>
  <c r="AG429" i="2"/>
  <c r="AB429" i="2"/>
  <c r="AD429" i="2" s="1"/>
  <c r="AF429" i="2" s="1"/>
  <c r="AA429" i="2"/>
  <c r="AC429" i="2" s="1"/>
  <c r="AE429" i="2" s="1"/>
  <c r="Z429" i="2"/>
  <c r="Y429" i="2"/>
  <c r="X429" i="2"/>
  <c r="W429" i="2"/>
  <c r="AI428" i="2"/>
  <c r="AG428" i="2"/>
  <c r="AB428" i="2"/>
  <c r="AD428" i="2" s="1"/>
  <c r="AF428" i="2" s="1"/>
  <c r="AA428" i="2"/>
  <c r="AC428" i="2" s="1"/>
  <c r="AE428" i="2" s="1"/>
  <c r="Z428" i="2"/>
  <c r="Y428" i="2"/>
  <c r="X428" i="2"/>
  <c r="W428" i="2"/>
  <c r="AI427" i="2"/>
  <c r="AG427" i="2"/>
  <c r="AB427" i="2"/>
  <c r="AD427" i="2" s="1"/>
  <c r="AF427" i="2" s="1"/>
  <c r="AA427" i="2"/>
  <c r="AC427" i="2" s="1"/>
  <c r="AE427" i="2" s="1"/>
  <c r="Z427" i="2"/>
  <c r="Y427" i="2"/>
  <c r="X427" i="2"/>
  <c r="W427" i="2"/>
  <c r="AI426" i="2"/>
  <c r="AG426" i="2"/>
  <c r="AB426" i="2"/>
  <c r="AD426" i="2" s="1"/>
  <c r="AF426" i="2" s="1"/>
  <c r="AA426" i="2"/>
  <c r="AC426" i="2" s="1"/>
  <c r="AE426" i="2" s="1"/>
  <c r="Z426" i="2"/>
  <c r="Y426" i="2"/>
  <c r="X426" i="2"/>
  <c r="W426" i="2"/>
  <c r="AI425" i="2"/>
  <c r="AG425" i="2"/>
  <c r="AE425" i="2"/>
  <c r="AB425" i="2"/>
  <c r="AD425" i="2" s="1"/>
  <c r="AF425" i="2" s="1"/>
  <c r="AA425" i="2"/>
  <c r="AC425" i="2" s="1"/>
  <c r="Z425" i="2"/>
  <c r="Y425" i="2"/>
  <c r="X425" i="2"/>
  <c r="W425" i="2"/>
  <c r="AI424" i="2"/>
  <c r="AG424" i="2"/>
  <c r="AB424" i="2"/>
  <c r="AD424" i="2" s="1"/>
  <c r="AF424" i="2" s="1"/>
  <c r="AA424" i="2"/>
  <c r="AC424" i="2" s="1"/>
  <c r="AE424" i="2" s="1"/>
  <c r="Z424" i="2"/>
  <c r="Y424" i="2"/>
  <c r="X424" i="2"/>
  <c r="W424" i="2"/>
  <c r="AI423" i="2"/>
  <c r="AG423" i="2"/>
  <c r="AB423" i="2"/>
  <c r="AD423" i="2" s="1"/>
  <c r="AF423" i="2" s="1"/>
  <c r="AA423" i="2"/>
  <c r="AC423" i="2" s="1"/>
  <c r="AE423" i="2" s="1"/>
  <c r="Z423" i="2"/>
  <c r="Y423" i="2"/>
  <c r="X423" i="2"/>
  <c r="W423" i="2"/>
  <c r="AI422" i="2"/>
  <c r="AG422" i="2"/>
  <c r="AB422" i="2"/>
  <c r="AD422" i="2" s="1"/>
  <c r="AF422" i="2" s="1"/>
  <c r="AA422" i="2"/>
  <c r="AC422" i="2" s="1"/>
  <c r="AE422" i="2" s="1"/>
  <c r="Z422" i="2"/>
  <c r="Y422" i="2"/>
  <c r="X422" i="2"/>
  <c r="W422" i="2"/>
  <c r="AI421" i="2"/>
  <c r="AG421" i="2"/>
  <c r="AB421" i="2"/>
  <c r="AD421" i="2" s="1"/>
  <c r="AF421" i="2" s="1"/>
  <c r="AA421" i="2"/>
  <c r="AC421" i="2" s="1"/>
  <c r="AE421" i="2" s="1"/>
  <c r="Z421" i="2"/>
  <c r="Y421" i="2"/>
  <c r="X421" i="2"/>
  <c r="W421" i="2"/>
  <c r="AI420" i="2"/>
  <c r="AG420" i="2"/>
  <c r="AB420" i="2"/>
  <c r="AD420" i="2" s="1"/>
  <c r="AF420" i="2" s="1"/>
  <c r="AA420" i="2"/>
  <c r="AC420" i="2" s="1"/>
  <c r="AE420" i="2" s="1"/>
  <c r="Z420" i="2"/>
  <c r="Y420" i="2"/>
  <c r="X420" i="2"/>
  <c r="W420" i="2"/>
  <c r="AI419" i="2"/>
  <c r="AG419" i="2"/>
  <c r="AF419" i="2"/>
  <c r="AB419" i="2"/>
  <c r="AD419" i="2" s="1"/>
  <c r="AA419" i="2"/>
  <c r="AC419" i="2" s="1"/>
  <c r="AE419" i="2" s="1"/>
  <c r="Z419" i="2"/>
  <c r="Y419" i="2"/>
  <c r="X419" i="2"/>
  <c r="W419" i="2"/>
  <c r="AI418" i="2"/>
  <c r="AG418" i="2"/>
  <c r="AB418" i="2"/>
  <c r="AD418" i="2" s="1"/>
  <c r="AF418" i="2" s="1"/>
  <c r="AA418" i="2"/>
  <c r="AC418" i="2" s="1"/>
  <c r="AE418" i="2" s="1"/>
  <c r="Z418" i="2"/>
  <c r="Y418" i="2"/>
  <c r="X418" i="2"/>
  <c r="W418" i="2"/>
  <c r="AI417" i="2"/>
  <c r="AG417" i="2"/>
  <c r="AB417" i="2"/>
  <c r="AD417" i="2" s="1"/>
  <c r="AF417" i="2" s="1"/>
  <c r="AA417" i="2"/>
  <c r="AC417" i="2" s="1"/>
  <c r="AE417" i="2" s="1"/>
  <c r="Z417" i="2"/>
  <c r="Y417" i="2"/>
  <c r="X417" i="2"/>
  <c r="W417" i="2"/>
  <c r="AI416" i="2"/>
  <c r="AG416" i="2"/>
  <c r="AB416" i="2"/>
  <c r="AD416" i="2" s="1"/>
  <c r="AF416" i="2" s="1"/>
  <c r="AA416" i="2"/>
  <c r="AC416" i="2" s="1"/>
  <c r="AE416" i="2" s="1"/>
  <c r="Z416" i="2"/>
  <c r="Y416" i="2"/>
  <c r="X416" i="2"/>
  <c r="W416" i="2"/>
  <c r="AI415" i="2"/>
  <c r="AG415" i="2"/>
  <c r="AB415" i="2"/>
  <c r="AD415" i="2" s="1"/>
  <c r="AF415" i="2" s="1"/>
  <c r="AA415" i="2"/>
  <c r="AC415" i="2" s="1"/>
  <c r="AE415" i="2" s="1"/>
  <c r="Z415" i="2"/>
  <c r="Y415" i="2"/>
  <c r="X415" i="2"/>
  <c r="W415" i="2"/>
  <c r="AI414" i="2"/>
  <c r="AG414" i="2"/>
  <c r="AB414" i="2"/>
  <c r="AD414" i="2" s="1"/>
  <c r="AF414" i="2" s="1"/>
  <c r="AA414" i="2"/>
  <c r="AC414" i="2" s="1"/>
  <c r="AE414" i="2" s="1"/>
  <c r="Z414" i="2"/>
  <c r="Y414" i="2"/>
  <c r="X414" i="2"/>
  <c r="W414" i="2"/>
  <c r="AI413" i="2"/>
  <c r="AG413" i="2"/>
  <c r="AF413" i="2"/>
  <c r="AB413" i="2"/>
  <c r="AD413" i="2" s="1"/>
  <c r="AA413" i="2"/>
  <c r="AC413" i="2" s="1"/>
  <c r="AE413" i="2" s="1"/>
  <c r="Z413" i="2"/>
  <c r="Y413" i="2"/>
  <c r="X413" i="2"/>
  <c r="W413" i="2"/>
  <c r="AI412" i="2"/>
  <c r="AG412" i="2"/>
  <c r="AB412" i="2"/>
  <c r="AD412" i="2" s="1"/>
  <c r="AF412" i="2" s="1"/>
  <c r="AA412" i="2"/>
  <c r="AC412" i="2" s="1"/>
  <c r="AE412" i="2" s="1"/>
  <c r="Z412" i="2"/>
  <c r="Y412" i="2"/>
  <c r="X412" i="2"/>
  <c r="W412" i="2"/>
  <c r="AI411" i="2"/>
  <c r="AG411" i="2"/>
  <c r="AB411" i="2"/>
  <c r="AD411" i="2" s="1"/>
  <c r="AF411" i="2" s="1"/>
  <c r="AA411" i="2"/>
  <c r="AC411" i="2" s="1"/>
  <c r="AE411" i="2" s="1"/>
  <c r="Z411" i="2"/>
  <c r="Y411" i="2"/>
  <c r="X411" i="2"/>
  <c r="W411" i="2"/>
  <c r="AI410" i="2"/>
  <c r="AG410" i="2"/>
  <c r="AB410" i="2"/>
  <c r="AD410" i="2" s="1"/>
  <c r="AF410" i="2" s="1"/>
  <c r="AA410" i="2"/>
  <c r="AC410" i="2" s="1"/>
  <c r="AE410" i="2" s="1"/>
  <c r="Z410" i="2"/>
  <c r="Y410" i="2"/>
  <c r="X410" i="2"/>
  <c r="W410" i="2"/>
  <c r="AI409" i="2"/>
  <c r="AG409" i="2"/>
  <c r="AE409" i="2"/>
  <c r="AB409" i="2"/>
  <c r="AD409" i="2" s="1"/>
  <c r="AF409" i="2" s="1"/>
  <c r="AA409" i="2"/>
  <c r="AC409" i="2" s="1"/>
  <c r="Z409" i="2"/>
  <c r="Y409" i="2"/>
  <c r="X409" i="2"/>
  <c r="W409" i="2"/>
  <c r="AI408" i="2"/>
  <c r="AG408" i="2"/>
  <c r="AB408" i="2"/>
  <c r="AD408" i="2" s="1"/>
  <c r="AF408" i="2" s="1"/>
  <c r="AA408" i="2"/>
  <c r="AC408" i="2" s="1"/>
  <c r="AE408" i="2" s="1"/>
  <c r="Z408" i="2"/>
  <c r="Y408" i="2"/>
  <c r="X408" i="2"/>
  <c r="W408" i="2"/>
  <c r="AI407" i="2"/>
  <c r="AG407" i="2"/>
  <c r="AB407" i="2"/>
  <c r="AD407" i="2" s="1"/>
  <c r="AF407" i="2" s="1"/>
  <c r="AA407" i="2"/>
  <c r="AC407" i="2" s="1"/>
  <c r="AE407" i="2" s="1"/>
  <c r="Z407" i="2"/>
  <c r="Y407" i="2"/>
  <c r="X407" i="2"/>
  <c r="W407" i="2"/>
  <c r="AI406" i="2"/>
  <c r="AG406" i="2"/>
  <c r="AB406" i="2"/>
  <c r="AD406" i="2" s="1"/>
  <c r="AF406" i="2" s="1"/>
  <c r="AA406" i="2"/>
  <c r="AC406" i="2" s="1"/>
  <c r="AE406" i="2" s="1"/>
  <c r="Z406" i="2"/>
  <c r="Y406" i="2"/>
  <c r="X406" i="2"/>
  <c r="W406" i="2"/>
  <c r="AI405" i="2"/>
  <c r="AG405" i="2"/>
  <c r="AB405" i="2"/>
  <c r="AD405" i="2" s="1"/>
  <c r="AF405" i="2" s="1"/>
  <c r="AA405" i="2"/>
  <c r="AC405" i="2" s="1"/>
  <c r="AE405" i="2" s="1"/>
  <c r="Z405" i="2"/>
  <c r="Y405" i="2"/>
  <c r="X405" i="2"/>
  <c r="W405" i="2"/>
  <c r="AI404" i="2"/>
  <c r="AG404" i="2"/>
  <c r="AB404" i="2"/>
  <c r="AD404" i="2" s="1"/>
  <c r="AF404" i="2" s="1"/>
  <c r="AA404" i="2"/>
  <c r="AC404" i="2" s="1"/>
  <c r="AE404" i="2" s="1"/>
  <c r="Z404" i="2"/>
  <c r="Y404" i="2"/>
  <c r="X404" i="2"/>
  <c r="W404" i="2"/>
  <c r="AI403" i="2"/>
  <c r="AG403" i="2"/>
  <c r="AB403" i="2"/>
  <c r="AD403" i="2" s="1"/>
  <c r="AF403" i="2" s="1"/>
  <c r="AA403" i="2"/>
  <c r="AC403" i="2" s="1"/>
  <c r="AE403" i="2" s="1"/>
  <c r="Z403" i="2"/>
  <c r="Y403" i="2"/>
  <c r="X403" i="2"/>
  <c r="W403" i="2"/>
  <c r="AI402" i="2"/>
  <c r="AG402" i="2"/>
  <c r="AB402" i="2"/>
  <c r="AD402" i="2" s="1"/>
  <c r="AF402" i="2" s="1"/>
  <c r="AA402" i="2"/>
  <c r="AC402" i="2" s="1"/>
  <c r="AE402" i="2" s="1"/>
  <c r="Z402" i="2"/>
  <c r="Y402" i="2"/>
  <c r="X402" i="2"/>
  <c r="W402" i="2"/>
  <c r="AI401" i="2"/>
  <c r="AG401" i="2"/>
  <c r="AF401" i="2"/>
  <c r="AB401" i="2"/>
  <c r="AD401" i="2" s="1"/>
  <c r="AA401" i="2"/>
  <c r="AC401" i="2" s="1"/>
  <c r="AE401" i="2" s="1"/>
  <c r="Z401" i="2"/>
  <c r="Y401" i="2"/>
  <c r="X401" i="2"/>
  <c r="W401" i="2"/>
  <c r="AI400" i="2"/>
  <c r="AG400" i="2"/>
  <c r="AB400" i="2"/>
  <c r="AD400" i="2" s="1"/>
  <c r="AF400" i="2" s="1"/>
  <c r="AA400" i="2"/>
  <c r="AC400" i="2" s="1"/>
  <c r="AE400" i="2" s="1"/>
  <c r="Z400" i="2"/>
  <c r="Y400" i="2"/>
  <c r="X400" i="2"/>
  <c r="W400" i="2"/>
  <c r="AI399" i="2"/>
  <c r="AG399" i="2"/>
  <c r="AB399" i="2"/>
  <c r="AD399" i="2" s="1"/>
  <c r="AF399" i="2" s="1"/>
  <c r="AA399" i="2"/>
  <c r="AC399" i="2" s="1"/>
  <c r="AE399" i="2" s="1"/>
  <c r="Z399" i="2"/>
  <c r="Y399" i="2"/>
  <c r="X399" i="2"/>
  <c r="W399" i="2"/>
  <c r="AI398" i="2"/>
  <c r="AG398" i="2"/>
  <c r="AB398" i="2"/>
  <c r="AD398" i="2" s="1"/>
  <c r="AF398" i="2" s="1"/>
  <c r="AA398" i="2"/>
  <c r="AC398" i="2" s="1"/>
  <c r="AE398" i="2" s="1"/>
  <c r="Z398" i="2"/>
  <c r="Y398" i="2"/>
  <c r="X398" i="2"/>
  <c r="W398" i="2"/>
  <c r="AI397" i="2"/>
  <c r="AG397" i="2"/>
  <c r="AB397" i="2"/>
  <c r="AD397" i="2" s="1"/>
  <c r="AF397" i="2" s="1"/>
  <c r="AA397" i="2"/>
  <c r="AC397" i="2" s="1"/>
  <c r="AE397" i="2" s="1"/>
  <c r="Z397" i="2"/>
  <c r="Y397" i="2"/>
  <c r="X397" i="2"/>
  <c r="W397" i="2"/>
  <c r="AI396" i="2"/>
  <c r="AG396" i="2"/>
  <c r="AB396" i="2"/>
  <c r="AD396" i="2" s="1"/>
  <c r="AF396" i="2" s="1"/>
  <c r="AA396" i="2"/>
  <c r="AC396" i="2" s="1"/>
  <c r="AE396" i="2" s="1"/>
  <c r="Z396" i="2"/>
  <c r="Y396" i="2"/>
  <c r="X396" i="2"/>
  <c r="W396" i="2"/>
  <c r="AI395" i="2"/>
  <c r="AG395" i="2"/>
  <c r="AB395" i="2"/>
  <c r="AD395" i="2" s="1"/>
  <c r="AF395" i="2" s="1"/>
  <c r="AA395" i="2"/>
  <c r="AC395" i="2" s="1"/>
  <c r="AE395" i="2" s="1"/>
  <c r="Z395" i="2"/>
  <c r="Y395" i="2"/>
  <c r="X395" i="2"/>
  <c r="W395" i="2"/>
  <c r="AI394" i="2"/>
  <c r="AG394" i="2"/>
  <c r="AB394" i="2"/>
  <c r="AD394" i="2" s="1"/>
  <c r="AF394" i="2" s="1"/>
  <c r="AA394" i="2"/>
  <c r="AC394" i="2" s="1"/>
  <c r="AE394" i="2" s="1"/>
  <c r="Z394" i="2"/>
  <c r="Y394" i="2"/>
  <c r="X394" i="2"/>
  <c r="W394" i="2"/>
  <c r="AI393" i="2"/>
  <c r="AG393" i="2"/>
  <c r="AB393" i="2"/>
  <c r="AD393" i="2" s="1"/>
  <c r="AF393" i="2" s="1"/>
  <c r="AA393" i="2"/>
  <c r="AC393" i="2" s="1"/>
  <c r="AE393" i="2" s="1"/>
  <c r="Z393" i="2"/>
  <c r="Y393" i="2"/>
  <c r="X393" i="2"/>
  <c r="W393" i="2"/>
  <c r="AI392" i="2"/>
  <c r="AG392" i="2"/>
  <c r="AB392" i="2"/>
  <c r="AD392" i="2" s="1"/>
  <c r="AF392" i="2" s="1"/>
  <c r="AA392" i="2"/>
  <c r="AC392" i="2" s="1"/>
  <c r="AE392" i="2" s="1"/>
  <c r="Z392" i="2"/>
  <c r="Y392" i="2"/>
  <c r="X392" i="2"/>
  <c r="W392" i="2"/>
  <c r="AI391" i="2"/>
  <c r="AG391" i="2"/>
  <c r="AB391" i="2"/>
  <c r="AD391" i="2" s="1"/>
  <c r="AF391" i="2" s="1"/>
  <c r="AA391" i="2"/>
  <c r="AC391" i="2" s="1"/>
  <c r="AE391" i="2" s="1"/>
  <c r="Z391" i="2"/>
  <c r="Y391" i="2"/>
  <c r="X391" i="2"/>
  <c r="W391" i="2"/>
  <c r="AI390" i="2"/>
  <c r="AG390" i="2"/>
  <c r="AB390" i="2"/>
  <c r="AD390" i="2" s="1"/>
  <c r="AF390" i="2" s="1"/>
  <c r="AA390" i="2"/>
  <c r="AC390" i="2" s="1"/>
  <c r="AE390" i="2" s="1"/>
  <c r="Z390" i="2"/>
  <c r="Y390" i="2"/>
  <c r="X390" i="2"/>
  <c r="W390" i="2"/>
  <c r="AI389" i="2"/>
  <c r="AG389" i="2"/>
  <c r="AB389" i="2"/>
  <c r="AD389" i="2" s="1"/>
  <c r="AF389" i="2" s="1"/>
  <c r="AA389" i="2"/>
  <c r="AC389" i="2" s="1"/>
  <c r="AE389" i="2" s="1"/>
  <c r="Z389" i="2"/>
  <c r="Y389" i="2"/>
  <c r="X389" i="2"/>
  <c r="W389" i="2"/>
  <c r="AI388" i="2"/>
  <c r="AG388" i="2"/>
  <c r="AB388" i="2"/>
  <c r="AD388" i="2" s="1"/>
  <c r="AF388" i="2" s="1"/>
  <c r="AA388" i="2"/>
  <c r="AC388" i="2" s="1"/>
  <c r="AE388" i="2" s="1"/>
  <c r="Z388" i="2"/>
  <c r="Y388" i="2"/>
  <c r="X388" i="2"/>
  <c r="W388" i="2"/>
  <c r="AI387" i="2"/>
  <c r="AG387" i="2"/>
  <c r="AB387" i="2"/>
  <c r="AD387" i="2" s="1"/>
  <c r="AF387" i="2" s="1"/>
  <c r="AA387" i="2"/>
  <c r="AC387" i="2" s="1"/>
  <c r="AE387" i="2" s="1"/>
  <c r="Z387" i="2"/>
  <c r="Y387" i="2"/>
  <c r="X387" i="2"/>
  <c r="W387" i="2"/>
  <c r="AI386" i="2"/>
  <c r="AG386" i="2"/>
  <c r="AB386" i="2"/>
  <c r="AD386" i="2" s="1"/>
  <c r="AF386" i="2" s="1"/>
  <c r="AA386" i="2"/>
  <c r="AC386" i="2" s="1"/>
  <c r="AE386" i="2" s="1"/>
  <c r="Z386" i="2"/>
  <c r="Y386" i="2"/>
  <c r="X386" i="2"/>
  <c r="W386" i="2"/>
  <c r="AI385" i="2"/>
  <c r="AG385" i="2"/>
  <c r="AB385" i="2"/>
  <c r="AD385" i="2" s="1"/>
  <c r="AF385" i="2" s="1"/>
  <c r="AA385" i="2"/>
  <c r="AC385" i="2" s="1"/>
  <c r="AE385" i="2" s="1"/>
  <c r="Z385" i="2"/>
  <c r="Y385" i="2"/>
  <c r="X385" i="2"/>
  <c r="W385" i="2"/>
  <c r="AI384" i="2"/>
  <c r="AG384" i="2"/>
  <c r="AB384" i="2"/>
  <c r="AD384" i="2" s="1"/>
  <c r="AF384" i="2" s="1"/>
  <c r="AA384" i="2"/>
  <c r="AC384" i="2" s="1"/>
  <c r="AE384" i="2" s="1"/>
  <c r="Z384" i="2"/>
  <c r="Y384" i="2"/>
  <c r="X384" i="2"/>
  <c r="W384" i="2"/>
  <c r="AI383" i="2"/>
  <c r="AG383" i="2"/>
  <c r="AB383" i="2"/>
  <c r="AD383" i="2" s="1"/>
  <c r="AF383" i="2" s="1"/>
  <c r="AA383" i="2"/>
  <c r="AC383" i="2" s="1"/>
  <c r="AE383" i="2" s="1"/>
  <c r="Z383" i="2"/>
  <c r="Y383" i="2"/>
  <c r="X383" i="2"/>
  <c r="W383" i="2"/>
  <c r="AI382" i="2"/>
  <c r="AG382" i="2"/>
  <c r="AB382" i="2"/>
  <c r="AD382" i="2" s="1"/>
  <c r="AF382" i="2" s="1"/>
  <c r="AA382" i="2"/>
  <c r="AC382" i="2" s="1"/>
  <c r="AE382" i="2" s="1"/>
  <c r="Z382" i="2"/>
  <c r="Y382" i="2"/>
  <c r="X382" i="2"/>
  <c r="W382" i="2"/>
  <c r="AI381" i="2"/>
  <c r="AG381" i="2"/>
  <c r="AB381" i="2"/>
  <c r="AD381" i="2" s="1"/>
  <c r="AF381" i="2" s="1"/>
  <c r="AA381" i="2"/>
  <c r="AC381" i="2" s="1"/>
  <c r="AE381" i="2" s="1"/>
  <c r="Z381" i="2"/>
  <c r="Y381" i="2"/>
  <c r="X381" i="2"/>
  <c r="W381" i="2"/>
  <c r="AI380" i="2"/>
  <c r="AG380" i="2"/>
  <c r="AB380" i="2"/>
  <c r="AD380" i="2" s="1"/>
  <c r="AF380" i="2" s="1"/>
  <c r="AA380" i="2"/>
  <c r="AC380" i="2" s="1"/>
  <c r="AE380" i="2" s="1"/>
  <c r="Z380" i="2"/>
  <c r="Y380" i="2"/>
  <c r="X380" i="2"/>
  <c r="W380" i="2"/>
  <c r="AI379" i="2"/>
  <c r="AG379" i="2"/>
  <c r="AB379" i="2"/>
  <c r="AD379" i="2" s="1"/>
  <c r="AF379" i="2" s="1"/>
  <c r="AA379" i="2"/>
  <c r="AC379" i="2" s="1"/>
  <c r="AE379" i="2" s="1"/>
  <c r="Z379" i="2"/>
  <c r="Y379" i="2"/>
  <c r="X379" i="2"/>
  <c r="W379" i="2"/>
  <c r="AI378" i="2"/>
  <c r="AG378" i="2"/>
  <c r="AB378" i="2"/>
  <c r="AD378" i="2" s="1"/>
  <c r="AF378" i="2" s="1"/>
  <c r="AA378" i="2"/>
  <c r="AC378" i="2" s="1"/>
  <c r="AE378" i="2" s="1"/>
  <c r="Z378" i="2"/>
  <c r="Y378" i="2"/>
  <c r="X378" i="2"/>
  <c r="W378" i="2"/>
  <c r="AI377" i="2"/>
  <c r="AG377" i="2"/>
  <c r="AB377" i="2"/>
  <c r="AD377" i="2" s="1"/>
  <c r="AF377" i="2" s="1"/>
  <c r="AA377" i="2"/>
  <c r="AC377" i="2" s="1"/>
  <c r="AE377" i="2" s="1"/>
  <c r="Z377" i="2"/>
  <c r="Y377" i="2"/>
  <c r="X377" i="2"/>
  <c r="W377" i="2"/>
  <c r="AI376" i="2"/>
  <c r="AG376" i="2"/>
  <c r="AB376" i="2"/>
  <c r="AD376" i="2" s="1"/>
  <c r="AF376" i="2" s="1"/>
  <c r="AA376" i="2"/>
  <c r="AC376" i="2" s="1"/>
  <c r="AE376" i="2" s="1"/>
  <c r="Z376" i="2"/>
  <c r="Y376" i="2"/>
  <c r="X376" i="2"/>
  <c r="W376" i="2"/>
  <c r="AI375" i="2"/>
  <c r="AG375" i="2"/>
  <c r="AB375" i="2"/>
  <c r="AD375" i="2" s="1"/>
  <c r="AF375" i="2" s="1"/>
  <c r="AA375" i="2"/>
  <c r="AC375" i="2" s="1"/>
  <c r="AE375" i="2" s="1"/>
  <c r="Z375" i="2"/>
  <c r="Y375" i="2"/>
  <c r="X375" i="2"/>
  <c r="W375" i="2"/>
  <c r="AI374" i="2"/>
  <c r="AG374" i="2"/>
  <c r="AB374" i="2"/>
  <c r="AD374" i="2" s="1"/>
  <c r="AF374" i="2" s="1"/>
  <c r="AA374" i="2"/>
  <c r="AC374" i="2" s="1"/>
  <c r="AE374" i="2" s="1"/>
  <c r="Z374" i="2"/>
  <c r="Y374" i="2"/>
  <c r="X374" i="2"/>
  <c r="W374" i="2"/>
  <c r="AI373" i="2"/>
  <c r="AG373" i="2"/>
  <c r="AE373" i="2"/>
  <c r="AB373" i="2"/>
  <c r="AD373" i="2" s="1"/>
  <c r="AF373" i="2" s="1"/>
  <c r="AA373" i="2"/>
  <c r="AC373" i="2" s="1"/>
  <c r="Z373" i="2"/>
  <c r="Y373" i="2"/>
  <c r="X373" i="2"/>
  <c r="W373" i="2"/>
  <c r="AI372" i="2"/>
  <c r="AG372" i="2"/>
  <c r="AB372" i="2"/>
  <c r="AD372" i="2" s="1"/>
  <c r="AF372" i="2" s="1"/>
  <c r="AA372" i="2"/>
  <c r="AC372" i="2" s="1"/>
  <c r="AE372" i="2" s="1"/>
  <c r="Z372" i="2"/>
  <c r="Y372" i="2"/>
  <c r="X372" i="2"/>
  <c r="W372" i="2"/>
  <c r="AI371" i="2"/>
  <c r="AG371" i="2"/>
  <c r="AB371" i="2"/>
  <c r="AD371" i="2" s="1"/>
  <c r="AF371" i="2" s="1"/>
  <c r="AA371" i="2"/>
  <c r="AC371" i="2" s="1"/>
  <c r="AE371" i="2" s="1"/>
  <c r="Z371" i="2"/>
  <c r="Y371" i="2"/>
  <c r="X371" i="2"/>
  <c r="W371" i="2"/>
  <c r="AI370" i="2"/>
  <c r="AG370" i="2"/>
  <c r="AB370" i="2"/>
  <c r="AD370" i="2" s="1"/>
  <c r="AF370" i="2" s="1"/>
  <c r="AA370" i="2"/>
  <c r="AC370" i="2" s="1"/>
  <c r="AE370" i="2" s="1"/>
  <c r="Z370" i="2"/>
  <c r="Y370" i="2"/>
  <c r="X370" i="2"/>
  <c r="W370" i="2"/>
  <c r="AI369" i="2"/>
  <c r="AG369" i="2"/>
  <c r="AB369" i="2"/>
  <c r="AD369" i="2" s="1"/>
  <c r="AF369" i="2" s="1"/>
  <c r="AA369" i="2"/>
  <c r="AC369" i="2" s="1"/>
  <c r="AE369" i="2" s="1"/>
  <c r="Z369" i="2"/>
  <c r="Y369" i="2"/>
  <c r="X369" i="2"/>
  <c r="W369" i="2"/>
  <c r="AI368" i="2"/>
  <c r="AG368" i="2"/>
  <c r="AB368" i="2"/>
  <c r="AD368" i="2" s="1"/>
  <c r="AF368" i="2" s="1"/>
  <c r="AA368" i="2"/>
  <c r="AC368" i="2" s="1"/>
  <c r="AE368" i="2" s="1"/>
  <c r="Z368" i="2"/>
  <c r="Y368" i="2"/>
  <c r="X368" i="2"/>
  <c r="W368" i="2"/>
  <c r="AI367" i="2"/>
  <c r="AG367" i="2"/>
  <c r="AB367" i="2"/>
  <c r="AD367" i="2" s="1"/>
  <c r="AF367" i="2" s="1"/>
  <c r="AA367" i="2"/>
  <c r="AC367" i="2" s="1"/>
  <c r="AE367" i="2" s="1"/>
  <c r="Z367" i="2"/>
  <c r="Y367" i="2"/>
  <c r="X367" i="2"/>
  <c r="W367" i="2"/>
  <c r="AI366" i="2"/>
  <c r="AG366" i="2"/>
  <c r="AB366" i="2"/>
  <c r="AD366" i="2" s="1"/>
  <c r="AF366" i="2" s="1"/>
  <c r="AA366" i="2"/>
  <c r="AC366" i="2" s="1"/>
  <c r="AE366" i="2" s="1"/>
  <c r="Z366" i="2"/>
  <c r="Y366" i="2"/>
  <c r="X366" i="2"/>
  <c r="W366" i="2"/>
  <c r="AI365" i="2"/>
  <c r="AG365" i="2"/>
  <c r="AB365" i="2"/>
  <c r="AD365" i="2" s="1"/>
  <c r="AF365" i="2" s="1"/>
  <c r="AA365" i="2"/>
  <c r="AC365" i="2" s="1"/>
  <c r="AE365" i="2" s="1"/>
  <c r="Z365" i="2"/>
  <c r="Y365" i="2"/>
  <c r="X365" i="2"/>
  <c r="W365" i="2"/>
  <c r="AI364" i="2"/>
  <c r="AG364" i="2"/>
  <c r="AB364" i="2"/>
  <c r="AD364" i="2" s="1"/>
  <c r="AF364" i="2" s="1"/>
  <c r="AA364" i="2"/>
  <c r="AC364" i="2" s="1"/>
  <c r="AE364" i="2" s="1"/>
  <c r="Z364" i="2"/>
  <c r="Y364" i="2"/>
  <c r="X364" i="2"/>
  <c r="W364" i="2"/>
  <c r="AI363" i="2"/>
  <c r="AG363" i="2"/>
  <c r="AB363" i="2"/>
  <c r="AD363" i="2" s="1"/>
  <c r="AF363" i="2" s="1"/>
  <c r="AA363" i="2"/>
  <c r="AC363" i="2" s="1"/>
  <c r="AE363" i="2" s="1"/>
  <c r="Z363" i="2"/>
  <c r="Y363" i="2"/>
  <c r="X363" i="2"/>
  <c r="W363" i="2"/>
  <c r="AI362" i="2"/>
  <c r="AG362" i="2"/>
  <c r="AB362" i="2"/>
  <c r="AD362" i="2" s="1"/>
  <c r="AF362" i="2" s="1"/>
  <c r="AA362" i="2"/>
  <c r="AC362" i="2" s="1"/>
  <c r="AE362" i="2" s="1"/>
  <c r="Z362" i="2"/>
  <c r="Y362" i="2"/>
  <c r="X362" i="2"/>
  <c r="W362" i="2"/>
  <c r="AI361" i="2"/>
  <c r="AG361" i="2"/>
  <c r="AB361" i="2"/>
  <c r="AD361" i="2" s="1"/>
  <c r="AF361" i="2" s="1"/>
  <c r="AA361" i="2"/>
  <c r="AC361" i="2" s="1"/>
  <c r="AE361" i="2" s="1"/>
  <c r="Z361" i="2"/>
  <c r="Y361" i="2"/>
  <c r="X361" i="2"/>
  <c r="W361" i="2"/>
  <c r="AI360" i="2"/>
  <c r="AG360" i="2"/>
  <c r="AB360" i="2"/>
  <c r="AD360" i="2" s="1"/>
  <c r="AF360" i="2" s="1"/>
  <c r="AA360" i="2"/>
  <c r="AC360" i="2" s="1"/>
  <c r="AE360" i="2" s="1"/>
  <c r="Z360" i="2"/>
  <c r="Y360" i="2"/>
  <c r="X360" i="2"/>
  <c r="W360" i="2"/>
  <c r="AI359" i="2"/>
  <c r="AG359" i="2"/>
  <c r="AB359" i="2"/>
  <c r="AD359" i="2" s="1"/>
  <c r="AF359" i="2" s="1"/>
  <c r="AA359" i="2"/>
  <c r="AC359" i="2" s="1"/>
  <c r="AE359" i="2" s="1"/>
  <c r="Z359" i="2"/>
  <c r="Y359" i="2"/>
  <c r="X359" i="2"/>
  <c r="W359" i="2"/>
  <c r="AI358" i="2"/>
  <c r="AG358" i="2"/>
  <c r="AB358" i="2"/>
  <c r="AD358" i="2" s="1"/>
  <c r="AF358" i="2" s="1"/>
  <c r="AA358" i="2"/>
  <c r="AC358" i="2" s="1"/>
  <c r="AE358" i="2" s="1"/>
  <c r="Z358" i="2"/>
  <c r="Y358" i="2"/>
  <c r="X358" i="2"/>
  <c r="W358" i="2"/>
  <c r="AI357" i="2"/>
  <c r="AG357" i="2"/>
  <c r="AB357" i="2"/>
  <c r="AD357" i="2" s="1"/>
  <c r="AF357" i="2" s="1"/>
  <c r="AA357" i="2"/>
  <c r="AC357" i="2" s="1"/>
  <c r="AE357" i="2" s="1"/>
  <c r="Z357" i="2"/>
  <c r="Y357" i="2"/>
  <c r="X357" i="2"/>
  <c r="W357" i="2"/>
  <c r="AI356" i="2"/>
  <c r="AG356" i="2"/>
  <c r="AB356" i="2"/>
  <c r="AD356" i="2" s="1"/>
  <c r="AF356" i="2" s="1"/>
  <c r="AA356" i="2"/>
  <c r="AC356" i="2" s="1"/>
  <c r="AE356" i="2" s="1"/>
  <c r="Z356" i="2"/>
  <c r="Y356" i="2"/>
  <c r="X356" i="2"/>
  <c r="W356" i="2"/>
  <c r="AI355" i="2"/>
  <c r="AG355" i="2"/>
  <c r="AB355" i="2"/>
  <c r="AD355" i="2" s="1"/>
  <c r="AF355" i="2" s="1"/>
  <c r="AA355" i="2"/>
  <c r="AC355" i="2" s="1"/>
  <c r="AE355" i="2" s="1"/>
  <c r="Z355" i="2"/>
  <c r="Y355" i="2"/>
  <c r="X355" i="2"/>
  <c r="W355" i="2"/>
  <c r="AI354" i="2"/>
  <c r="AG354" i="2"/>
  <c r="AB354" i="2"/>
  <c r="AD354" i="2" s="1"/>
  <c r="AF354" i="2" s="1"/>
  <c r="AA354" i="2"/>
  <c r="AC354" i="2" s="1"/>
  <c r="AE354" i="2" s="1"/>
  <c r="Z354" i="2"/>
  <c r="Y354" i="2"/>
  <c r="X354" i="2"/>
  <c r="W354" i="2"/>
  <c r="AI353" i="2"/>
  <c r="AG353" i="2"/>
  <c r="AB353" i="2"/>
  <c r="AD353" i="2" s="1"/>
  <c r="AF353" i="2" s="1"/>
  <c r="AA353" i="2"/>
  <c r="AC353" i="2" s="1"/>
  <c r="AE353" i="2" s="1"/>
  <c r="Z353" i="2"/>
  <c r="Y353" i="2"/>
  <c r="X353" i="2"/>
  <c r="W353" i="2"/>
  <c r="AI352" i="2"/>
  <c r="AG352" i="2"/>
  <c r="AB352" i="2"/>
  <c r="AD352" i="2" s="1"/>
  <c r="AF352" i="2" s="1"/>
  <c r="AA352" i="2"/>
  <c r="AC352" i="2" s="1"/>
  <c r="AE352" i="2" s="1"/>
  <c r="Z352" i="2"/>
  <c r="Y352" i="2"/>
  <c r="X352" i="2"/>
  <c r="W352" i="2"/>
  <c r="AI351" i="2"/>
  <c r="AG351" i="2"/>
  <c r="AB351" i="2"/>
  <c r="AD351" i="2" s="1"/>
  <c r="AF351" i="2" s="1"/>
  <c r="AA351" i="2"/>
  <c r="AC351" i="2" s="1"/>
  <c r="AE351" i="2" s="1"/>
  <c r="Z351" i="2"/>
  <c r="Y351" i="2"/>
  <c r="X351" i="2"/>
  <c r="W351" i="2"/>
  <c r="AI350" i="2"/>
  <c r="AG350" i="2"/>
  <c r="AB350" i="2"/>
  <c r="AD350" i="2" s="1"/>
  <c r="AF350" i="2" s="1"/>
  <c r="AA350" i="2"/>
  <c r="AC350" i="2" s="1"/>
  <c r="AE350" i="2" s="1"/>
  <c r="Z350" i="2"/>
  <c r="Y350" i="2"/>
  <c r="X350" i="2"/>
  <c r="W350" i="2"/>
  <c r="AI349" i="2"/>
  <c r="AG349" i="2"/>
  <c r="AB349" i="2"/>
  <c r="AD349" i="2" s="1"/>
  <c r="AF349" i="2" s="1"/>
  <c r="AA349" i="2"/>
  <c r="AC349" i="2" s="1"/>
  <c r="AE349" i="2" s="1"/>
  <c r="Z349" i="2"/>
  <c r="Y349" i="2"/>
  <c r="X349" i="2"/>
  <c r="W349" i="2"/>
  <c r="AI348" i="2"/>
  <c r="AG348" i="2"/>
  <c r="AB348" i="2"/>
  <c r="AD348" i="2" s="1"/>
  <c r="AF348" i="2" s="1"/>
  <c r="AA348" i="2"/>
  <c r="AC348" i="2" s="1"/>
  <c r="AE348" i="2" s="1"/>
  <c r="Z348" i="2"/>
  <c r="Y348" i="2"/>
  <c r="X348" i="2"/>
  <c r="W348" i="2"/>
  <c r="AI347" i="2"/>
  <c r="AG347" i="2"/>
  <c r="AF347" i="2"/>
  <c r="AB347" i="2"/>
  <c r="AD347" i="2" s="1"/>
  <c r="AA347" i="2"/>
  <c r="AC347" i="2" s="1"/>
  <c r="AE347" i="2" s="1"/>
  <c r="Z347" i="2"/>
  <c r="Y347" i="2"/>
  <c r="X347" i="2"/>
  <c r="W347" i="2"/>
  <c r="AI346" i="2"/>
  <c r="AG346" i="2"/>
  <c r="AB346" i="2"/>
  <c r="AD346" i="2" s="1"/>
  <c r="AF346" i="2" s="1"/>
  <c r="AA346" i="2"/>
  <c r="AC346" i="2" s="1"/>
  <c r="AE346" i="2" s="1"/>
  <c r="Z346" i="2"/>
  <c r="Y346" i="2"/>
  <c r="X346" i="2"/>
  <c r="W346" i="2"/>
  <c r="AI345" i="2"/>
  <c r="AG345" i="2"/>
  <c r="AB345" i="2"/>
  <c r="AD345" i="2" s="1"/>
  <c r="AF345" i="2" s="1"/>
  <c r="AA345" i="2"/>
  <c r="AC345" i="2" s="1"/>
  <c r="AE345" i="2" s="1"/>
  <c r="Z345" i="2"/>
  <c r="Y345" i="2"/>
  <c r="X345" i="2"/>
  <c r="W345" i="2"/>
  <c r="AI344" i="2"/>
  <c r="AG344" i="2"/>
  <c r="AF344" i="2"/>
  <c r="AB344" i="2"/>
  <c r="AD344" i="2" s="1"/>
  <c r="AA344" i="2"/>
  <c r="AC344" i="2" s="1"/>
  <c r="AE344" i="2" s="1"/>
  <c r="Z344" i="2"/>
  <c r="Y344" i="2"/>
  <c r="X344" i="2"/>
  <c r="W344" i="2"/>
  <c r="AI343" i="2"/>
  <c r="AG343" i="2"/>
  <c r="AE343" i="2"/>
  <c r="AB343" i="2"/>
  <c r="AD343" i="2" s="1"/>
  <c r="AF343" i="2" s="1"/>
  <c r="AA343" i="2"/>
  <c r="AC343" i="2" s="1"/>
  <c r="Z343" i="2"/>
  <c r="Y343" i="2"/>
  <c r="X343" i="2"/>
  <c r="W343" i="2"/>
  <c r="AI342" i="2"/>
  <c r="AG342" i="2"/>
  <c r="AB342" i="2"/>
  <c r="AD342" i="2" s="1"/>
  <c r="AF342" i="2" s="1"/>
  <c r="AA342" i="2"/>
  <c r="AC342" i="2" s="1"/>
  <c r="AE342" i="2" s="1"/>
  <c r="Z342" i="2"/>
  <c r="Y342" i="2"/>
  <c r="X342" i="2"/>
  <c r="W342" i="2"/>
  <c r="AI341" i="2"/>
  <c r="AG341" i="2"/>
  <c r="AB341" i="2"/>
  <c r="AD341" i="2" s="1"/>
  <c r="AF341" i="2" s="1"/>
  <c r="AA341" i="2"/>
  <c r="AC341" i="2" s="1"/>
  <c r="AE341" i="2" s="1"/>
  <c r="Z341" i="2"/>
  <c r="Y341" i="2"/>
  <c r="X341" i="2"/>
  <c r="W341" i="2"/>
  <c r="AI340" i="2"/>
  <c r="AG340" i="2"/>
  <c r="AB340" i="2"/>
  <c r="AD340" i="2" s="1"/>
  <c r="AF340" i="2" s="1"/>
  <c r="AA340" i="2"/>
  <c r="AC340" i="2" s="1"/>
  <c r="AE340" i="2" s="1"/>
  <c r="Z340" i="2"/>
  <c r="Y340" i="2"/>
  <c r="X340" i="2"/>
  <c r="W340" i="2"/>
  <c r="AI339" i="2"/>
  <c r="AG339" i="2"/>
  <c r="AB339" i="2"/>
  <c r="AD339" i="2" s="1"/>
  <c r="AF339" i="2" s="1"/>
  <c r="AA339" i="2"/>
  <c r="AC339" i="2" s="1"/>
  <c r="AE339" i="2" s="1"/>
  <c r="Z339" i="2"/>
  <c r="Y339" i="2"/>
  <c r="X339" i="2"/>
  <c r="W339" i="2"/>
  <c r="AI338" i="2"/>
  <c r="AG338" i="2"/>
  <c r="AB338" i="2"/>
  <c r="AD338" i="2" s="1"/>
  <c r="AF338" i="2" s="1"/>
  <c r="AA338" i="2"/>
  <c r="AC338" i="2" s="1"/>
  <c r="AE338" i="2" s="1"/>
  <c r="Z338" i="2"/>
  <c r="Y338" i="2"/>
  <c r="X338" i="2"/>
  <c r="W338" i="2"/>
  <c r="AI337" i="2"/>
  <c r="AG337" i="2"/>
  <c r="AB337" i="2"/>
  <c r="AD337" i="2" s="1"/>
  <c r="AF337" i="2" s="1"/>
  <c r="AA337" i="2"/>
  <c r="AC337" i="2" s="1"/>
  <c r="AE337" i="2" s="1"/>
  <c r="Z337" i="2"/>
  <c r="Y337" i="2"/>
  <c r="X337" i="2"/>
  <c r="W337" i="2"/>
  <c r="AI336" i="2"/>
  <c r="AG336" i="2"/>
  <c r="AB336" i="2"/>
  <c r="AD336" i="2" s="1"/>
  <c r="AF336" i="2" s="1"/>
  <c r="AA336" i="2"/>
  <c r="AC336" i="2" s="1"/>
  <c r="AE336" i="2" s="1"/>
  <c r="Z336" i="2"/>
  <c r="Y336" i="2"/>
  <c r="X336" i="2"/>
  <c r="W336" i="2"/>
  <c r="AI335" i="2"/>
  <c r="AG335" i="2"/>
  <c r="AB335" i="2"/>
  <c r="AD335" i="2" s="1"/>
  <c r="AF335" i="2" s="1"/>
  <c r="AA335" i="2"/>
  <c r="AC335" i="2" s="1"/>
  <c r="AE335" i="2" s="1"/>
  <c r="Z335" i="2"/>
  <c r="Y335" i="2"/>
  <c r="X335" i="2"/>
  <c r="W335" i="2"/>
  <c r="AI334" i="2"/>
  <c r="AG334" i="2"/>
  <c r="AB334" i="2"/>
  <c r="AD334" i="2" s="1"/>
  <c r="AF334" i="2" s="1"/>
  <c r="AA334" i="2"/>
  <c r="AC334" i="2" s="1"/>
  <c r="AE334" i="2" s="1"/>
  <c r="Z334" i="2"/>
  <c r="Y334" i="2"/>
  <c r="X334" i="2"/>
  <c r="W334" i="2"/>
  <c r="AI333" i="2"/>
  <c r="AG333" i="2"/>
  <c r="AB333" i="2"/>
  <c r="AD333" i="2" s="1"/>
  <c r="AF333" i="2" s="1"/>
  <c r="AA333" i="2"/>
  <c r="AC333" i="2" s="1"/>
  <c r="AE333" i="2" s="1"/>
  <c r="Z333" i="2"/>
  <c r="Y333" i="2"/>
  <c r="X333" i="2"/>
  <c r="W333" i="2"/>
  <c r="AI332" i="2"/>
  <c r="AG332" i="2"/>
  <c r="AB332" i="2"/>
  <c r="AD332" i="2" s="1"/>
  <c r="AF332" i="2" s="1"/>
  <c r="AA332" i="2"/>
  <c r="AC332" i="2" s="1"/>
  <c r="AE332" i="2" s="1"/>
  <c r="Z332" i="2"/>
  <c r="Y332" i="2"/>
  <c r="X332" i="2"/>
  <c r="W332" i="2"/>
  <c r="AI331" i="2"/>
  <c r="AG331" i="2"/>
  <c r="AB331" i="2"/>
  <c r="AD331" i="2" s="1"/>
  <c r="AF331" i="2" s="1"/>
  <c r="AA331" i="2"/>
  <c r="AC331" i="2" s="1"/>
  <c r="AE331" i="2" s="1"/>
  <c r="Z331" i="2"/>
  <c r="Y331" i="2"/>
  <c r="X331" i="2"/>
  <c r="W331" i="2"/>
  <c r="AI330" i="2"/>
  <c r="AG330" i="2"/>
  <c r="AF330" i="2"/>
  <c r="AB330" i="2"/>
  <c r="AD330" i="2" s="1"/>
  <c r="AA330" i="2"/>
  <c r="AC330" i="2" s="1"/>
  <c r="AE330" i="2" s="1"/>
  <c r="Z330" i="2"/>
  <c r="Y330" i="2"/>
  <c r="X330" i="2"/>
  <c r="W330" i="2"/>
  <c r="AI329" i="2"/>
  <c r="AG329" i="2"/>
  <c r="AB329" i="2"/>
  <c r="AD329" i="2" s="1"/>
  <c r="AF329" i="2" s="1"/>
  <c r="AA329" i="2"/>
  <c r="AC329" i="2" s="1"/>
  <c r="AE329" i="2" s="1"/>
  <c r="Z329" i="2"/>
  <c r="Y329" i="2"/>
  <c r="X329" i="2"/>
  <c r="W329" i="2"/>
  <c r="AI328" i="2"/>
  <c r="AG328" i="2"/>
  <c r="AF328" i="2"/>
  <c r="AB328" i="2"/>
  <c r="AD328" i="2" s="1"/>
  <c r="AA328" i="2"/>
  <c r="AC328" i="2" s="1"/>
  <c r="AE328" i="2" s="1"/>
  <c r="Z328" i="2"/>
  <c r="Y328" i="2"/>
  <c r="X328" i="2"/>
  <c r="W328" i="2"/>
  <c r="AI327" i="2"/>
  <c r="AG327" i="2"/>
  <c r="AB327" i="2"/>
  <c r="AD327" i="2" s="1"/>
  <c r="AF327" i="2" s="1"/>
  <c r="AA327" i="2"/>
  <c r="AC327" i="2" s="1"/>
  <c r="AE327" i="2" s="1"/>
  <c r="Z327" i="2"/>
  <c r="Y327" i="2"/>
  <c r="X327" i="2"/>
  <c r="W327" i="2"/>
  <c r="AI326" i="2"/>
  <c r="AG326" i="2"/>
  <c r="AB326" i="2"/>
  <c r="AD326" i="2" s="1"/>
  <c r="AF326" i="2" s="1"/>
  <c r="AA326" i="2"/>
  <c r="AC326" i="2" s="1"/>
  <c r="AE326" i="2" s="1"/>
  <c r="Z326" i="2"/>
  <c r="Y326" i="2"/>
  <c r="X326" i="2"/>
  <c r="W326" i="2"/>
  <c r="AI325" i="2"/>
  <c r="AG325" i="2"/>
  <c r="AB325" i="2"/>
  <c r="AD325" i="2" s="1"/>
  <c r="AF325" i="2" s="1"/>
  <c r="AA325" i="2"/>
  <c r="AC325" i="2" s="1"/>
  <c r="AE325" i="2" s="1"/>
  <c r="Z325" i="2"/>
  <c r="Y325" i="2"/>
  <c r="X325" i="2"/>
  <c r="W325" i="2"/>
  <c r="AI324" i="2"/>
  <c r="AG324" i="2"/>
  <c r="AB324" i="2"/>
  <c r="AD324" i="2" s="1"/>
  <c r="AF324" i="2" s="1"/>
  <c r="AA324" i="2"/>
  <c r="AC324" i="2" s="1"/>
  <c r="AE324" i="2" s="1"/>
  <c r="Z324" i="2"/>
  <c r="Y324" i="2"/>
  <c r="X324" i="2"/>
  <c r="W324" i="2"/>
  <c r="AI323" i="2"/>
  <c r="AG323" i="2"/>
  <c r="AB323" i="2"/>
  <c r="AD323" i="2" s="1"/>
  <c r="AF323" i="2" s="1"/>
  <c r="AA323" i="2"/>
  <c r="AC323" i="2" s="1"/>
  <c r="AE323" i="2" s="1"/>
  <c r="Z323" i="2"/>
  <c r="Y323" i="2"/>
  <c r="X323" i="2"/>
  <c r="W323" i="2"/>
  <c r="AI322" i="2"/>
  <c r="AG322" i="2"/>
  <c r="AB322" i="2"/>
  <c r="AD322" i="2" s="1"/>
  <c r="AF322" i="2" s="1"/>
  <c r="AA322" i="2"/>
  <c r="AC322" i="2" s="1"/>
  <c r="AE322" i="2" s="1"/>
  <c r="Z322" i="2"/>
  <c r="Y322" i="2"/>
  <c r="X322" i="2"/>
  <c r="W322" i="2"/>
  <c r="AI321" i="2"/>
  <c r="AG321" i="2"/>
  <c r="AB321" i="2"/>
  <c r="AD321" i="2" s="1"/>
  <c r="AF321" i="2" s="1"/>
  <c r="AA321" i="2"/>
  <c r="AC321" i="2" s="1"/>
  <c r="AE321" i="2" s="1"/>
  <c r="Z321" i="2"/>
  <c r="Y321" i="2"/>
  <c r="X321" i="2"/>
  <c r="W321" i="2"/>
  <c r="AI320" i="2"/>
  <c r="AG320" i="2"/>
  <c r="AB320" i="2"/>
  <c r="AD320" i="2" s="1"/>
  <c r="AF320" i="2" s="1"/>
  <c r="AA320" i="2"/>
  <c r="AC320" i="2" s="1"/>
  <c r="AE320" i="2" s="1"/>
  <c r="Z320" i="2"/>
  <c r="Y320" i="2"/>
  <c r="X320" i="2"/>
  <c r="W320" i="2"/>
  <c r="AI319" i="2"/>
  <c r="AG319" i="2"/>
  <c r="AB319" i="2"/>
  <c r="AD319" i="2" s="1"/>
  <c r="AF319" i="2" s="1"/>
  <c r="AA319" i="2"/>
  <c r="AC319" i="2" s="1"/>
  <c r="AE319" i="2" s="1"/>
  <c r="Z319" i="2"/>
  <c r="Y319" i="2"/>
  <c r="X319" i="2"/>
  <c r="W319" i="2"/>
  <c r="AI318" i="2"/>
  <c r="AG318" i="2"/>
  <c r="AB318" i="2"/>
  <c r="AD318" i="2" s="1"/>
  <c r="AF318" i="2" s="1"/>
  <c r="AA318" i="2"/>
  <c r="AC318" i="2" s="1"/>
  <c r="AE318" i="2" s="1"/>
  <c r="Z318" i="2"/>
  <c r="Y318" i="2"/>
  <c r="X318" i="2"/>
  <c r="W318" i="2"/>
  <c r="AI317" i="2"/>
  <c r="AG317" i="2"/>
  <c r="AB317" i="2"/>
  <c r="AD317" i="2" s="1"/>
  <c r="AF317" i="2" s="1"/>
  <c r="AA317" i="2"/>
  <c r="AC317" i="2" s="1"/>
  <c r="AE317" i="2" s="1"/>
  <c r="Z317" i="2"/>
  <c r="Y317" i="2"/>
  <c r="X317" i="2"/>
  <c r="W317" i="2"/>
  <c r="AI316" i="2"/>
  <c r="AG316" i="2"/>
  <c r="AB316" i="2"/>
  <c r="AD316" i="2" s="1"/>
  <c r="AF316" i="2" s="1"/>
  <c r="AA316" i="2"/>
  <c r="AC316" i="2" s="1"/>
  <c r="AE316" i="2" s="1"/>
  <c r="Z316" i="2"/>
  <c r="Y316" i="2"/>
  <c r="X316" i="2"/>
  <c r="W316" i="2"/>
  <c r="AI315" i="2"/>
  <c r="AG315" i="2"/>
  <c r="AB315" i="2"/>
  <c r="AD315" i="2" s="1"/>
  <c r="AF315" i="2" s="1"/>
  <c r="AA315" i="2"/>
  <c r="AC315" i="2" s="1"/>
  <c r="AE315" i="2" s="1"/>
  <c r="Z315" i="2"/>
  <c r="Y315" i="2"/>
  <c r="X315" i="2"/>
  <c r="W315" i="2"/>
  <c r="AI314" i="2"/>
  <c r="AG314" i="2"/>
  <c r="AB314" i="2"/>
  <c r="AD314" i="2" s="1"/>
  <c r="AF314" i="2" s="1"/>
  <c r="AA314" i="2"/>
  <c r="AC314" i="2" s="1"/>
  <c r="AE314" i="2" s="1"/>
  <c r="Z314" i="2"/>
  <c r="Y314" i="2"/>
  <c r="X314" i="2"/>
  <c r="W314" i="2"/>
  <c r="AI313" i="2"/>
  <c r="AG313" i="2"/>
  <c r="AB313" i="2"/>
  <c r="AD313" i="2" s="1"/>
  <c r="AF313" i="2" s="1"/>
  <c r="AA313" i="2"/>
  <c r="AC313" i="2" s="1"/>
  <c r="AE313" i="2" s="1"/>
  <c r="Z313" i="2"/>
  <c r="Y313" i="2"/>
  <c r="X313" i="2"/>
  <c r="W313" i="2"/>
  <c r="AI312" i="2"/>
  <c r="AG312" i="2"/>
  <c r="AB312" i="2"/>
  <c r="AD312" i="2" s="1"/>
  <c r="AF312" i="2" s="1"/>
  <c r="AA312" i="2"/>
  <c r="AC312" i="2" s="1"/>
  <c r="AE312" i="2" s="1"/>
  <c r="Z312" i="2"/>
  <c r="Y312" i="2"/>
  <c r="X312" i="2"/>
  <c r="W312" i="2"/>
  <c r="AI311" i="2"/>
  <c r="AG311" i="2"/>
  <c r="AB311" i="2"/>
  <c r="AD311" i="2" s="1"/>
  <c r="AF311" i="2" s="1"/>
  <c r="AA311" i="2"/>
  <c r="AC311" i="2" s="1"/>
  <c r="AE311" i="2" s="1"/>
  <c r="Z311" i="2"/>
  <c r="Y311" i="2"/>
  <c r="X311" i="2"/>
  <c r="W311" i="2"/>
  <c r="AI310" i="2"/>
  <c r="AG310" i="2"/>
  <c r="AF310" i="2"/>
  <c r="AB310" i="2"/>
  <c r="AD310" i="2" s="1"/>
  <c r="AA310" i="2"/>
  <c r="AC310" i="2" s="1"/>
  <c r="AE310" i="2" s="1"/>
  <c r="Z310" i="2"/>
  <c r="Y310" i="2"/>
  <c r="X310" i="2"/>
  <c r="W310" i="2"/>
  <c r="AI309" i="2"/>
  <c r="AG309" i="2"/>
  <c r="AB309" i="2"/>
  <c r="AD309" i="2" s="1"/>
  <c r="AF309" i="2" s="1"/>
  <c r="AA309" i="2"/>
  <c r="AC309" i="2" s="1"/>
  <c r="AE309" i="2" s="1"/>
  <c r="Z309" i="2"/>
  <c r="Y309" i="2"/>
  <c r="X309" i="2"/>
  <c r="W309" i="2"/>
  <c r="AI308" i="2"/>
  <c r="AG308" i="2"/>
  <c r="AB308" i="2"/>
  <c r="AD308" i="2" s="1"/>
  <c r="AF308" i="2" s="1"/>
  <c r="AA308" i="2"/>
  <c r="AC308" i="2" s="1"/>
  <c r="AE308" i="2" s="1"/>
  <c r="Z308" i="2"/>
  <c r="Y308" i="2"/>
  <c r="X308" i="2"/>
  <c r="W308" i="2"/>
  <c r="AI307" i="2"/>
  <c r="AG307" i="2"/>
  <c r="AB307" i="2"/>
  <c r="AD307" i="2" s="1"/>
  <c r="AF307" i="2" s="1"/>
  <c r="AA307" i="2"/>
  <c r="AC307" i="2" s="1"/>
  <c r="AE307" i="2" s="1"/>
  <c r="Z307" i="2"/>
  <c r="Y307" i="2"/>
  <c r="X307" i="2"/>
  <c r="W307" i="2"/>
  <c r="AI306" i="2"/>
  <c r="AG306" i="2"/>
  <c r="AF306" i="2"/>
  <c r="AB306" i="2"/>
  <c r="AD306" i="2" s="1"/>
  <c r="AA306" i="2"/>
  <c r="AC306" i="2" s="1"/>
  <c r="AE306" i="2" s="1"/>
  <c r="Z306" i="2"/>
  <c r="Y306" i="2"/>
  <c r="X306" i="2"/>
  <c r="W306" i="2"/>
  <c r="AI305" i="2"/>
  <c r="AG305" i="2"/>
  <c r="AF305" i="2"/>
  <c r="AB305" i="2"/>
  <c r="AD305" i="2" s="1"/>
  <c r="AA305" i="2"/>
  <c r="AC305" i="2" s="1"/>
  <c r="AE305" i="2" s="1"/>
  <c r="Z305" i="2"/>
  <c r="Y305" i="2"/>
  <c r="X305" i="2"/>
  <c r="W305" i="2"/>
  <c r="AI304" i="2"/>
  <c r="AG304" i="2"/>
  <c r="AB304" i="2"/>
  <c r="AD304" i="2" s="1"/>
  <c r="AF304" i="2" s="1"/>
  <c r="AA304" i="2"/>
  <c r="AC304" i="2" s="1"/>
  <c r="AE304" i="2" s="1"/>
  <c r="Z304" i="2"/>
  <c r="Y304" i="2"/>
  <c r="X304" i="2"/>
  <c r="W304" i="2"/>
  <c r="AI303" i="2"/>
  <c r="AG303" i="2"/>
  <c r="AB303" i="2"/>
  <c r="AD303" i="2" s="1"/>
  <c r="AF303" i="2" s="1"/>
  <c r="AA303" i="2"/>
  <c r="AC303" i="2" s="1"/>
  <c r="AE303" i="2" s="1"/>
  <c r="Z303" i="2"/>
  <c r="Y303" i="2"/>
  <c r="X303" i="2"/>
  <c r="W303" i="2"/>
  <c r="AI302" i="2"/>
  <c r="AG302" i="2"/>
  <c r="AB302" i="2"/>
  <c r="AD302" i="2" s="1"/>
  <c r="AF302" i="2" s="1"/>
  <c r="AA302" i="2"/>
  <c r="AC302" i="2" s="1"/>
  <c r="AE302" i="2" s="1"/>
  <c r="Z302" i="2"/>
  <c r="Y302" i="2"/>
  <c r="X302" i="2"/>
  <c r="W302" i="2"/>
  <c r="AI301" i="2"/>
  <c r="AG301" i="2"/>
  <c r="AB301" i="2"/>
  <c r="AD301" i="2" s="1"/>
  <c r="AF301" i="2" s="1"/>
  <c r="AA301" i="2"/>
  <c r="AC301" i="2" s="1"/>
  <c r="AE301" i="2" s="1"/>
  <c r="Z301" i="2"/>
  <c r="Y301" i="2"/>
  <c r="X301" i="2"/>
  <c r="W301" i="2"/>
  <c r="AI300" i="2"/>
  <c r="AG300" i="2"/>
  <c r="AB300" i="2"/>
  <c r="AD300" i="2" s="1"/>
  <c r="AF300" i="2" s="1"/>
  <c r="AA300" i="2"/>
  <c r="AC300" i="2" s="1"/>
  <c r="AE300" i="2" s="1"/>
  <c r="Z300" i="2"/>
  <c r="Y300" i="2"/>
  <c r="X300" i="2"/>
  <c r="W300" i="2"/>
  <c r="AI299" i="2"/>
  <c r="AG299" i="2"/>
  <c r="AB299" i="2"/>
  <c r="AD299" i="2" s="1"/>
  <c r="AF299" i="2" s="1"/>
  <c r="AA299" i="2"/>
  <c r="AC299" i="2" s="1"/>
  <c r="AE299" i="2" s="1"/>
  <c r="Z299" i="2"/>
  <c r="Y299" i="2"/>
  <c r="X299" i="2"/>
  <c r="W299" i="2"/>
  <c r="AI298" i="2"/>
  <c r="AG298" i="2"/>
  <c r="AB298" i="2"/>
  <c r="AD298" i="2" s="1"/>
  <c r="AF298" i="2" s="1"/>
  <c r="AA298" i="2"/>
  <c r="AC298" i="2" s="1"/>
  <c r="AE298" i="2" s="1"/>
  <c r="Z298" i="2"/>
  <c r="Y298" i="2"/>
  <c r="X298" i="2"/>
  <c r="W298" i="2"/>
  <c r="AI297" i="2"/>
  <c r="AG297" i="2"/>
  <c r="AB297" i="2"/>
  <c r="AD297" i="2" s="1"/>
  <c r="AF297" i="2" s="1"/>
  <c r="AA297" i="2"/>
  <c r="AC297" i="2" s="1"/>
  <c r="AE297" i="2" s="1"/>
  <c r="Z297" i="2"/>
  <c r="Y297" i="2"/>
  <c r="X297" i="2"/>
  <c r="W297" i="2"/>
  <c r="AI296" i="2"/>
  <c r="AG296" i="2"/>
  <c r="AB296" i="2"/>
  <c r="AD296" i="2" s="1"/>
  <c r="AF296" i="2" s="1"/>
  <c r="AA296" i="2"/>
  <c r="AC296" i="2" s="1"/>
  <c r="AE296" i="2" s="1"/>
  <c r="Z296" i="2"/>
  <c r="Y296" i="2"/>
  <c r="X296" i="2"/>
  <c r="W296" i="2"/>
  <c r="AI295" i="2"/>
  <c r="AG295" i="2"/>
  <c r="AB295" i="2"/>
  <c r="AD295" i="2" s="1"/>
  <c r="AF295" i="2" s="1"/>
  <c r="AA295" i="2"/>
  <c r="AC295" i="2" s="1"/>
  <c r="AE295" i="2" s="1"/>
  <c r="Z295" i="2"/>
  <c r="Y295" i="2"/>
  <c r="X295" i="2"/>
  <c r="W295" i="2"/>
  <c r="AI294" i="2"/>
  <c r="AG294" i="2"/>
  <c r="AB294" i="2"/>
  <c r="AD294" i="2" s="1"/>
  <c r="AF294" i="2" s="1"/>
  <c r="AA294" i="2"/>
  <c r="AC294" i="2" s="1"/>
  <c r="AE294" i="2" s="1"/>
  <c r="Z294" i="2"/>
  <c r="Y294" i="2"/>
  <c r="X294" i="2"/>
  <c r="W294" i="2"/>
  <c r="AI293" i="2"/>
  <c r="AG293" i="2"/>
  <c r="AB293" i="2"/>
  <c r="AD293" i="2" s="1"/>
  <c r="AF293" i="2" s="1"/>
  <c r="AA293" i="2"/>
  <c r="AC293" i="2" s="1"/>
  <c r="AE293" i="2" s="1"/>
  <c r="Z293" i="2"/>
  <c r="Y293" i="2"/>
  <c r="X293" i="2"/>
  <c r="W293" i="2"/>
  <c r="AI292" i="2"/>
  <c r="AG292" i="2"/>
  <c r="AB292" i="2"/>
  <c r="AD292" i="2" s="1"/>
  <c r="AF292" i="2" s="1"/>
  <c r="AA292" i="2"/>
  <c r="AC292" i="2" s="1"/>
  <c r="AE292" i="2" s="1"/>
  <c r="Z292" i="2"/>
  <c r="Y292" i="2"/>
  <c r="X292" i="2"/>
  <c r="W292" i="2"/>
  <c r="AI291" i="2"/>
  <c r="AG291" i="2"/>
  <c r="AB291" i="2"/>
  <c r="AD291" i="2" s="1"/>
  <c r="AF291" i="2" s="1"/>
  <c r="AA291" i="2"/>
  <c r="AC291" i="2" s="1"/>
  <c r="AE291" i="2" s="1"/>
  <c r="Z291" i="2"/>
  <c r="Y291" i="2"/>
  <c r="X291" i="2"/>
  <c r="W291" i="2"/>
  <c r="AI290" i="2"/>
  <c r="AG290" i="2"/>
  <c r="AB290" i="2"/>
  <c r="AD290" i="2" s="1"/>
  <c r="AF290" i="2" s="1"/>
  <c r="AA290" i="2"/>
  <c r="AC290" i="2" s="1"/>
  <c r="AE290" i="2" s="1"/>
  <c r="Z290" i="2"/>
  <c r="Y290" i="2"/>
  <c r="X290" i="2"/>
  <c r="W290" i="2"/>
  <c r="AI289" i="2"/>
  <c r="AG289" i="2"/>
  <c r="AB289" i="2"/>
  <c r="AD289" i="2" s="1"/>
  <c r="AF289" i="2" s="1"/>
  <c r="AA289" i="2"/>
  <c r="AC289" i="2" s="1"/>
  <c r="AE289" i="2" s="1"/>
  <c r="Z289" i="2"/>
  <c r="Y289" i="2"/>
  <c r="X289" i="2"/>
  <c r="W289" i="2"/>
  <c r="AI288" i="2"/>
  <c r="AG288" i="2"/>
  <c r="AB288" i="2"/>
  <c r="AD288" i="2" s="1"/>
  <c r="AF288" i="2" s="1"/>
  <c r="AA288" i="2"/>
  <c r="AC288" i="2" s="1"/>
  <c r="AE288" i="2" s="1"/>
  <c r="Z288" i="2"/>
  <c r="Y288" i="2"/>
  <c r="X288" i="2"/>
  <c r="W288" i="2"/>
  <c r="AI287" i="2"/>
  <c r="AG287" i="2"/>
  <c r="AB287" i="2"/>
  <c r="AD287" i="2" s="1"/>
  <c r="AF287" i="2" s="1"/>
  <c r="AA287" i="2"/>
  <c r="AC287" i="2" s="1"/>
  <c r="AE287" i="2" s="1"/>
  <c r="Z287" i="2"/>
  <c r="Y287" i="2"/>
  <c r="X287" i="2"/>
  <c r="W287" i="2"/>
  <c r="AI286" i="2"/>
  <c r="AG286" i="2"/>
  <c r="AF286" i="2"/>
  <c r="AB286" i="2"/>
  <c r="AD286" i="2" s="1"/>
  <c r="AA286" i="2"/>
  <c r="AC286" i="2" s="1"/>
  <c r="AE286" i="2" s="1"/>
  <c r="Z286" i="2"/>
  <c r="Y286" i="2"/>
  <c r="X286" i="2"/>
  <c r="W286" i="2"/>
  <c r="AI285" i="2"/>
  <c r="AG285" i="2"/>
  <c r="AF285" i="2"/>
  <c r="AB285" i="2"/>
  <c r="AD285" i="2" s="1"/>
  <c r="AA285" i="2"/>
  <c r="AC285" i="2" s="1"/>
  <c r="AE285" i="2" s="1"/>
  <c r="Z285" i="2"/>
  <c r="Y285" i="2"/>
  <c r="X285" i="2"/>
  <c r="W285" i="2"/>
  <c r="AI284" i="2"/>
  <c r="AG284" i="2"/>
  <c r="AB284" i="2"/>
  <c r="AD284" i="2" s="1"/>
  <c r="AF284" i="2" s="1"/>
  <c r="AA284" i="2"/>
  <c r="AC284" i="2" s="1"/>
  <c r="AE284" i="2" s="1"/>
  <c r="Z284" i="2"/>
  <c r="Y284" i="2"/>
  <c r="X284" i="2"/>
  <c r="W284" i="2"/>
  <c r="AI283" i="2"/>
  <c r="AG283" i="2"/>
  <c r="AB283" i="2"/>
  <c r="AD283" i="2" s="1"/>
  <c r="AF283" i="2" s="1"/>
  <c r="AA283" i="2"/>
  <c r="AC283" i="2" s="1"/>
  <c r="AE283" i="2" s="1"/>
  <c r="Z283" i="2"/>
  <c r="Y283" i="2"/>
  <c r="X283" i="2"/>
  <c r="W283" i="2"/>
  <c r="AI282" i="2"/>
  <c r="AG282" i="2"/>
  <c r="AB282" i="2"/>
  <c r="AD282" i="2" s="1"/>
  <c r="AF282" i="2" s="1"/>
  <c r="AA282" i="2"/>
  <c r="AC282" i="2" s="1"/>
  <c r="AE282" i="2" s="1"/>
  <c r="Z282" i="2"/>
  <c r="Y282" i="2"/>
  <c r="X282" i="2"/>
  <c r="W282" i="2"/>
  <c r="AI281" i="2"/>
  <c r="AG281" i="2"/>
  <c r="AB281" i="2"/>
  <c r="AD281" i="2" s="1"/>
  <c r="AF281" i="2" s="1"/>
  <c r="AA281" i="2"/>
  <c r="AC281" i="2" s="1"/>
  <c r="AE281" i="2" s="1"/>
  <c r="Z281" i="2"/>
  <c r="Y281" i="2"/>
  <c r="X281" i="2"/>
  <c r="W281" i="2"/>
  <c r="AI280" i="2"/>
  <c r="AG280" i="2"/>
  <c r="AB280" i="2"/>
  <c r="AD280" i="2" s="1"/>
  <c r="AF280" i="2" s="1"/>
  <c r="AA280" i="2"/>
  <c r="AC280" i="2" s="1"/>
  <c r="AE280" i="2" s="1"/>
  <c r="Z280" i="2"/>
  <c r="Y280" i="2"/>
  <c r="X280" i="2"/>
  <c r="W280" i="2"/>
  <c r="AI279" i="2"/>
  <c r="AG279" i="2"/>
  <c r="AB279" i="2"/>
  <c r="AD279" i="2" s="1"/>
  <c r="AF279" i="2" s="1"/>
  <c r="AA279" i="2"/>
  <c r="AC279" i="2" s="1"/>
  <c r="AE279" i="2" s="1"/>
  <c r="Z279" i="2"/>
  <c r="Y279" i="2"/>
  <c r="X279" i="2"/>
  <c r="W279" i="2"/>
  <c r="AI278" i="2"/>
  <c r="AG278" i="2"/>
  <c r="AB278" i="2"/>
  <c r="AD278" i="2" s="1"/>
  <c r="AF278" i="2" s="1"/>
  <c r="AA278" i="2"/>
  <c r="AC278" i="2" s="1"/>
  <c r="AE278" i="2" s="1"/>
  <c r="Z278" i="2"/>
  <c r="Y278" i="2"/>
  <c r="X278" i="2"/>
  <c r="W278" i="2"/>
  <c r="AI277" i="2"/>
  <c r="AG277" i="2"/>
  <c r="AB277" i="2"/>
  <c r="AD277" i="2" s="1"/>
  <c r="AF277" i="2" s="1"/>
  <c r="AA277" i="2"/>
  <c r="AC277" i="2" s="1"/>
  <c r="AE277" i="2" s="1"/>
  <c r="Z277" i="2"/>
  <c r="Y277" i="2"/>
  <c r="X277" i="2"/>
  <c r="W277" i="2"/>
  <c r="AI276" i="2"/>
  <c r="AG276" i="2"/>
  <c r="AB276" i="2"/>
  <c r="AD276" i="2" s="1"/>
  <c r="AF276" i="2" s="1"/>
  <c r="AA276" i="2"/>
  <c r="AC276" i="2" s="1"/>
  <c r="AE276" i="2" s="1"/>
  <c r="Z276" i="2"/>
  <c r="Y276" i="2"/>
  <c r="X276" i="2"/>
  <c r="W276" i="2"/>
  <c r="AI275" i="2"/>
  <c r="AG275" i="2"/>
  <c r="AB275" i="2"/>
  <c r="AD275" i="2" s="1"/>
  <c r="AF275" i="2" s="1"/>
  <c r="AA275" i="2"/>
  <c r="AC275" i="2" s="1"/>
  <c r="AE275" i="2" s="1"/>
  <c r="Z275" i="2"/>
  <c r="Y275" i="2"/>
  <c r="X275" i="2"/>
  <c r="W275" i="2"/>
  <c r="AI274" i="2"/>
  <c r="AG274" i="2"/>
  <c r="AF274" i="2"/>
  <c r="AB274" i="2"/>
  <c r="AD274" i="2" s="1"/>
  <c r="AA274" i="2"/>
  <c r="AC274" i="2" s="1"/>
  <c r="AE274" i="2" s="1"/>
  <c r="Z274" i="2"/>
  <c r="Y274" i="2"/>
  <c r="X274" i="2"/>
  <c r="W274" i="2"/>
  <c r="AI273" i="2"/>
  <c r="AG273" i="2"/>
  <c r="AB273" i="2"/>
  <c r="AD273" i="2" s="1"/>
  <c r="AF273" i="2" s="1"/>
  <c r="AA273" i="2"/>
  <c r="AC273" i="2" s="1"/>
  <c r="AE273" i="2" s="1"/>
  <c r="Z273" i="2"/>
  <c r="Y273" i="2"/>
  <c r="X273" i="2"/>
  <c r="W273" i="2"/>
  <c r="AI272" i="2"/>
  <c r="AG272" i="2"/>
  <c r="AB272" i="2"/>
  <c r="AD272" i="2" s="1"/>
  <c r="AF272" i="2" s="1"/>
  <c r="AA272" i="2"/>
  <c r="AC272" i="2" s="1"/>
  <c r="AE272" i="2" s="1"/>
  <c r="Z272" i="2"/>
  <c r="Y272" i="2"/>
  <c r="X272" i="2"/>
  <c r="W272" i="2"/>
  <c r="AI271" i="2"/>
  <c r="AG271" i="2"/>
  <c r="AB271" i="2"/>
  <c r="AD271" i="2" s="1"/>
  <c r="AF271" i="2" s="1"/>
  <c r="AA271" i="2"/>
  <c r="AC271" i="2" s="1"/>
  <c r="AE271" i="2" s="1"/>
  <c r="Z271" i="2"/>
  <c r="Y271" i="2"/>
  <c r="X271" i="2"/>
  <c r="W271" i="2"/>
  <c r="AI270" i="2"/>
  <c r="AG270" i="2"/>
  <c r="AB270" i="2"/>
  <c r="AD270" i="2" s="1"/>
  <c r="AF270" i="2" s="1"/>
  <c r="AA270" i="2"/>
  <c r="AC270" i="2" s="1"/>
  <c r="AE270" i="2" s="1"/>
  <c r="Z270" i="2"/>
  <c r="Y270" i="2"/>
  <c r="X270" i="2"/>
  <c r="W270" i="2"/>
  <c r="AI269" i="2"/>
  <c r="AG269" i="2"/>
  <c r="AF269" i="2"/>
  <c r="AB269" i="2"/>
  <c r="AD269" i="2" s="1"/>
  <c r="AA269" i="2"/>
  <c r="AC269" i="2" s="1"/>
  <c r="AE269" i="2" s="1"/>
  <c r="Z269" i="2"/>
  <c r="Y269" i="2"/>
  <c r="X269" i="2"/>
  <c r="W269" i="2"/>
  <c r="AI268" i="2"/>
  <c r="AG268" i="2"/>
  <c r="AF268" i="2"/>
  <c r="AB268" i="2"/>
  <c r="AD268" i="2" s="1"/>
  <c r="AA268" i="2"/>
  <c r="AC268" i="2" s="1"/>
  <c r="AE268" i="2" s="1"/>
  <c r="Z268" i="2"/>
  <c r="Y268" i="2"/>
  <c r="X268" i="2"/>
  <c r="W268" i="2"/>
  <c r="AI267" i="2"/>
  <c r="AG267" i="2"/>
  <c r="AB267" i="2"/>
  <c r="AD267" i="2" s="1"/>
  <c r="AF267" i="2" s="1"/>
  <c r="AA267" i="2"/>
  <c r="AC267" i="2" s="1"/>
  <c r="AE267" i="2" s="1"/>
  <c r="Z267" i="2"/>
  <c r="Y267" i="2"/>
  <c r="X267" i="2"/>
  <c r="W267" i="2"/>
  <c r="AI266" i="2"/>
  <c r="AG266" i="2"/>
  <c r="AB266" i="2"/>
  <c r="AD266" i="2" s="1"/>
  <c r="AF266" i="2" s="1"/>
  <c r="AA266" i="2"/>
  <c r="AC266" i="2" s="1"/>
  <c r="AE266" i="2" s="1"/>
  <c r="Z266" i="2"/>
  <c r="Y266" i="2"/>
  <c r="X266" i="2"/>
  <c r="W266" i="2"/>
  <c r="AI265" i="2"/>
  <c r="AG265" i="2"/>
  <c r="AB265" i="2"/>
  <c r="AD265" i="2" s="1"/>
  <c r="AF265" i="2" s="1"/>
  <c r="AA265" i="2"/>
  <c r="AC265" i="2" s="1"/>
  <c r="AE265" i="2" s="1"/>
  <c r="Z265" i="2"/>
  <c r="Y265" i="2"/>
  <c r="X265" i="2"/>
  <c r="W265" i="2"/>
  <c r="AI264" i="2"/>
  <c r="AG264" i="2"/>
  <c r="AB264" i="2"/>
  <c r="AD264" i="2" s="1"/>
  <c r="AF264" i="2" s="1"/>
  <c r="AA264" i="2"/>
  <c r="AC264" i="2" s="1"/>
  <c r="AE264" i="2" s="1"/>
  <c r="Z264" i="2"/>
  <c r="Y264" i="2"/>
  <c r="X264" i="2"/>
  <c r="W264" i="2"/>
  <c r="AI263" i="2"/>
  <c r="AG263" i="2"/>
  <c r="AB263" i="2"/>
  <c r="AD263" i="2" s="1"/>
  <c r="AF263" i="2" s="1"/>
  <c r="AA263" i="2"/>
  <c r="AC263" i="2" s="1"/>
  <c r="AE263" i="2" s="1"/>
  <c r="Z263" i="2"/>
  <c r="Y263" i="2"/>
  <c r="X263" i="2"/>
  <c r="W263" i="2"/>
  <c r="AI262" i="2"/>
  <c r="AG262" i="2"/>
  <c r="AB262" i="2"/>
  <c r="AD262" i="2" s="1"/>
  <c r="AF262" i="2" s="1"/>
  <c r="AA262" i="2"/>
  <c r="AC262" i="2" s="1"/>
  <c r="AE262" i="2" s="1"/>
  <c r="Z262" i="2"/>
  <c r="Y262" i="2"/>
  <c r="X262" i="2"/>
  <c r="W262" i="2"/>
  <c r="AI261" i="2"/>
  <c r="AG261" i="2"/>
  <c r="AB261" i="2"/>
  <c r="AD261" i="2" s="1"/>
  <c r="AF261" i="2" s="1"/>
  <c r="AA261" i="2"/>
  <c r="AC261" i="2" s="1"/>
  <c r="AE261" i="2" s="1"/>
  <c r="Z261" i="2"/>
  <c r="Y261" i="2"/>
  <c r="X261" i="2"/>
  <c r="W261" i="2"/>
  <c r="AI260" i="2"/>
  <c r="AG260" i="2"/>
  <c r="AB260" i="2"/>
  <c r="AD260" i="2" s="1"/>
  <c r="AF260" i="2" s="1"/>
  <c r="AA260" i="2"/>
  <c r="AC260" i="2" s="1"/>
  <c r="AE260" i="2" s="1"/>
  <c r="Z260" i="2"/>
  <c r="Y260" i="2"/>
  <c r="X260" i="2"/>
  <c r="W260" i="2"/>
  <c r="AI259" i="2"/>
  <c r="AG259" i="2"/>
  <c r="AB259" i="2"/>
  <c r="AD259" i="2" s="1"/>
  <c r="AF259" i="2" s="1"/>
  <c r="AA259" i="2"/>
  <c r="AC259" i="2" s="1"/>
  <c r="AE259" i="2" s="1"/>
  <c r="Z259" i="2"/>
  <c r="Y259" i="2"/>
  <c r="X259" i="2"/>
  <c r="W259" i="2"/>
  <c r="AI258" i="2"/>
  <c r="AG258" i="2"/>
  <c r="AF258" i="2"/>
  <c r="AB258" i="2"/>
  <c r="AD258" i="2" s="1"/>
  <c r="AA258" i="2"/>
  <c r="AC258" i="2" s="1"/>
  <c r="AE258" i="2" s="1"/>
  <c r="Z258" i="2"/>
  <c r="Y258" i="2"/>
  <c r="X258" i="2"/>
  <c r="W258" i="2"/>
  <c r="AI257" i="2"/>
  <c r="AG257" i="2"/>
  <c r="AB257" i="2"/>
  <c r="AD257" i="2" s="1"/>
  <c r="AF257" i="2" s="1"/>
  <c r="AA257" i="2"/>
  <c r="AC257" i="2" s="1"/>
  <c r="AE257" i="2" s="1"/>
  <c r="Z257" i="2"/>
  <c r="Y257" i="2"/>
  <c r="X257" i="2"/>
  <c r="W257" i="2"/>
  <c r="AI256" i="2"/>
  <c r="AG256" i="2"/>
  <c r="AF256" i="2"/>
  <c r="AB256" i="2"/>
  <c r="AD256" i="2" s="1"/>
  <c r="AA256" i="2"/>
  <c r="AC256" i="2" s="1"/>
  <c r="AE256" i="2" s="1"/>
  <c r="Z256" i="2"/>
  <c r="Y256" i="2"/>
  <c r="X256" i="2"/>
  <c r="W256" i="2"/>
  <c r="AI255" i="2"/>
  <c r="AG255" i="2"/>
  <c r="AB255" i="2"/>
  <c r="AD255" i="2" s="1"/>
  <c r="AF255" i="2" s="1"/>
  <c r="AA255" i="2"/>
  <c r="AC255" i="2" s="1"/>
  <c r="AE255" i="2" s="1"/>
  <c r="Z255" i="2"/>
  <c r="Y255" i="2"/>
  <c r="X255" i="2"/>
  <c r="W255" i="2"/>
  <c r="AI254" i="2"/>
  <c r="AG254" i="2"/>
  <c r="AB254" i="2"/>
  <c r="AD254" i="2" s="1"/>
  <c r="AF254" i="2" s="1"/>
  <c r="AA254" i="2"/>
  <c r="AC254" i="2" s="1"/>
  <c r="AE254" i="2" s="1"/>
  <c r="Z254" i="2"/>
  <c r="Y254" i="2"/>
  <c r="X254" i="2"/>
  <c r="W254" i="2"/>
  <c r="AI253" i="2"/>
  <c r="AG253" i="2"/>
  <c r="AB253" i="2"/>
  <c r="AD253" i="2" s="1"/>
  <c r="AF253" i="2" s="1"/>
  <c r="AA253" i="2"/>
  <c r="AC253" i="2" s="1"/>
  <c r="AE253" i="2" s="1"/>
  <c r="Z253" i="2"/>
  <c r="Y253" i="2"/>
  <c r="X253" i="2"/>
  <c r="W253" i="2"/>
  <c r="AI252" i="2"/>
  <c r="AG252" i="2"/>
  <c r="AB252" i="2"/>
  <c r="AD252" i="2" s="1"/>
  <c r="AF252" i="2" s="1"/>
  <c r="AA252" i="2"/>
  <c r="AC252" i="2" s="1"/>
  <c r="AE252" i="2" s="1"/>
  <c r="Z252" i="2"/>
  <c r="Y252" i="2"/>
  <c r="X252" i="2"/>
  <c r="W252" i="2"/>
  <c r="AI251" i="2"/>
  <c r="AG251" i="2"/>
  <c r="AB251" i="2"/>
  <c r="AD251" i="2" s="1"/>
  <c r="AF251" i="2" s="1"/>
  <c r="AA251" i="2"/>
  <c r="AC251" i="2" s="1"/>
  <c r="AE251" i="2" s="1"/>
  <c r="Z251" i="2"/>
  <c r="Y251" i="2"/>
  <c r="X251" i="2"/>
  <c r="W251" i="2"/>
  <c r="AI250" i="2"/>
  <c r="AG250" i="2"/>
  <c r="AB250" i="2"/>
  <c r="AD250" i="2" s="1"/>
  <c r="AF250" i="2" s="1"/>
  <c r="AA250" i="2"/>
  <c r="AC250" i="2" s="1"/>
  <c r="AE250" i="2" s="1"/>
  <c r="Z250" i="2"/>
  <c r="Y250" i="2"/>
  <c r="X250" i="2"/>
  <c r="W250" i="2"/>
  <c r="AI249" i="2"/>
  <c r="AG249" i="2"/>
  <c r="AB249" i="2"/>
  <c r="AD249" i="2" s="1"/>
  <c r="AF249" i="2" s="1"/>
  <c r="AA249" i="2"/>
  <c r="AC249" i="2" s="1"/>
  <c r="AE249" i="2" s="1"/>
  <c r="Z249" i="2"/>
  <c r="Y249" i="2"/>
  <c r="X249" i="2"/>
  <c r="W249" i="2"/>
  <c r="AI248" i="2"/>
  <c r="AG248" i="2"/>
  <c r="AB248" i="2"/>
  <c r="AD248" i="2" s="1"/>
  <c r="AF248" i="2" s="1"/>
  <c r="AA248" i="2"/>
  <c r="AC248" i="2" s="1"/>
  <c r="AE248" i="2" s="1"/>
  <c r="Z248" i="2"/>
  <c r="Y248" i="2"/>
  <c r="X248" i="2"/>
  <c r="W248" i="2"/>
  <c r="AI247" i="2"/>
  <c r="AG247" i="2"/>
  <c r="AB247" i="2"/>
  <c r="AD247" i="2" s="1"/>
  <c r="AF247" i="2" s="1"/>
  <c r="AA247" i="2"/>
  <c r="AC247" i="2" s="1"/>
  <c r="AE247" i="2" s="1"/>
  <c r="Z247" i="2"/>
  <c r="Y247" i="2"/>
  <c r="X247" i="2"/>
  <c r="W247" i="2"/>
  <c r="AI246" i="2"/>
  <c r="AG246" i="2"/>
  <c r="AF246" i="2"/>
  <c r="AB246" i="2"/>
  <c r="AD246" i="2" s="1"/>
  <c r="AA246" i="2"/>
  <c r="AC246" i="2" s="1"/>
  <c r="AE246" i="2" s="1"/>
  <c r="Z246" i="2"/>
  <c r="Y246" i="2"/>
  <c r="X246" i="2"/>
  <c r="W246" i="2"/>
  <c r="AI245" i="2"/>
  <c r="AG245" i="2"/>
  <c r="AB245" i="2"/>
  <c r="AD245" i="2" s="1"/>
  <c r="AF245" i="2" s="1"/>
  <c r="AA245" i="2"/>
  <c r="AC245" i="2" s="1"/>
  <c r="AE245" i="2" s="1"/>
  <c r="Z245" i="2"/>
  <c r="Y245" i="2"/>
  <c r="X245" i="2"/>
  <c r="W245" i="2"/>
  <c r="AI244" i="2"/>
  <c r="AG244" i="2"/>
  <c r="AB244" i="2"/>
  <c r="AD244" i="2" s="1"/>
  <c r="AF244" i="2" s="1"/>
  <c r="AA244" i="2"/>
  <c r="AC244" i="2" s="1"/>
  <c r="AE244" i="2" s="1"/>
  <c r="Z244" i="2"/>
  <c r="Y244" i="2"/>
  <c r="X244" i="2"/>
  <c r="W244" i="2"/>
  <c r="AI243" i="2"/>
  <c r="AG243" i="2"/>
  <c r="AB243" i="2"/>
  <c r="AD243" i="2" s="1"/>
  <c r="AF243" i="2" s="1"/>
  <c r="AA243" i="2"/>
  <c r="AC243" i="2" s="1"/>
  <c r="AE243" i="2" s="1"/>
  <c r="Z243" i="2"/>
  <c r="Y243" i="2"/>
  <c r="X243" i="2"/>
  <c r="W243" i="2"/>
  <c r="AI242" i="2"/>
  <c r="AG242" i="2"/>
  <c r="AB242" i="2"/>
  <c r="AD242" i="2" s="1"/>
  <c r="AF242" i="2" s="1"/>
  <c r="AA242" i="2"/>
  <c r="AC242" i="2" s="1"/>
  <c r="AE242" i="2" s="1"/>
  <c r="Z242" i="2"/>
  <c r="Y242" i="2"/>
  <c r="X242" i="2"/>
  <c r="W242" i="2"/>
  <c r="AI241" i="2"/>
  <c r="AG241" i="2"/>
  <c r="AB241" i="2"/>
  <c r="AD241" i="2" s="1"/>
  <c r="AF241" i="2" s="1"/>
  <c r="AA241" i="2"/>
  <c r="AC241" i="2" s="1"/>
  <c r="AE241" i="2" s="1"/>
  <c r="Z241" i="2"/>
  <c r="Y241" i="2"/>
  <c r="X241" i="2"/>
  <c r="W241" i="2"/>
  <c r="AI240" i="2"/>
  <c r="AG240" i="2"/>
  <c r="AB240" i="2"/>
  <c r="AD240" i="2" s="1"/>
  <c r="AF240" i="2" s="1"/>
  <c r="AA240" i="2"/>
  <c r="AC240" i="2" s="1"/>
  <c r="AE240" i="2" s="1"/>
  <c r="Z240" i="2"/>
  <c r="Y240" i="2"/>
  <c r="X240" i="2"/>
  <c r="W240" i="2"/>
  <c r="AI239" i="2"/>
  <c r="AG239" i="2"/>
  <c r="AB239" i="2"/>
  <c r="AD239" i="2" s="1"/>
  <c r="AF239" i="2" s="1"/>
  <c r="AA239" i="2"/>
  <c r="AC239" i="2" s="1"/>
  <c r="AE239" i="2" s="1"/>
  <c r="Z239" i="2"/>
  <c r="Y239" i="2"/>
  <c r="X239" i="2"/>
  <c r="W239" i="2"/>
  <c r="AI238" i="2"/>
  <c r="AG238" i="2"/>
  <c r="AB238" i="2"/>
  <c r="AD238" i="2" s="1"/>
  <c r="AF238" i="2" s="1"/>
  <c r="AA238" i="2"/>
  <c r="AC238" i="2" s="1"/>
  <c r="AE238" i="2" s="1"/>
  <c r="Z238" i="2"/>
  <c r="Y238" i="2"/>
  <c r="X238" i="2"/>
  <c r="W238" i="2"/>
  <c r="AI237" i="2"/>
  <c r="AG237" i="2"/>
  <c r="AB237" i="2"/>
  <c r="AD237" i="2" s="1"/>
  <c r="AF237" i="2" s="1"/>
  <c r="AA237" i="2"/>
  <c r="AC237" i="2" s="1"/>
  <c r="AE237" i="2" s="1"/>
  <c r="Z237" i="2"/>
  <c r="Y237" i="2"/>
  <c r="X237" i="2"/>
  <c r="W237" i="2"/>
  <c r="AI236" i="2"/>
  <c r="AG236" i="2"/>
  <c r="AB236" i="2"/>
  <c r="AD236" i="2" s="1"/>
  <c r="AF236" i="2" s="1"/>
  <c r="AA236" i="2"/>
  <c r="AC236" i="2" s="1"/>
  <c r="AE236" i="2" s="1"/>
  <c r="Z236" i="2"/>
  <c r="Y236" i="2"/>
  <c r="X236" i="2"/>
  <c r="W236" i="2"/>
  <c r="AI235" i="2"/>
  <c r="AG235" i="2"/>
  <c r="AB235" i="2"/>
  <c r="AD235" i="2" s="1"/>
  <c r="AF235" i="2" s="1"/>
  <c r="AA235" i="2"/>
  <c r="AC235" i="2" s="1"/>
  <c r="AE235" i="2" s="1"/>
  <c r="Z235" i="2"/>
  <c r="Y235" i="2"/>
  <c r="X235" i="2"/>
  <c r="W235" i="2"/>
  <c r="AI234" i="2"/>
  <c r="AG234" i="2"/>
  <c r="AB234" i="2"/>
  <c r="AD234" i="2" s="1"/>
  <c r="AF234" i="2" s="1"/>
  <c r="AA234" i="2"/>
  <c r="AC234" i="2" s="1"/>
  <c r="AE234" i="2" s="1"/>
  <c r="Z234" i="2"/>
  <c r="Y234" i="2"/>
  <c r="X234" i="2"/>
  <c r="W234" i="2"/>
  <c r="AI233" i="2"/>
  <c r="AG233" i="2"/>
  <c r="AB233" i="2"/>
  <c r="AD233" i="2" s="1"/>
  <c r="AF233" i="2" s="1"/>
  <c r="AA233" i="2"/>
  <c r="AC233" i="2" s="1"/>
  <c r="AE233" i="2" s="1"/>
  <c r="Z233" i="2"/>
  <c r="Y233" i="2"/>
  <c r="X233" i="2"/>
  <c r="W233" i="2"/>
  <c r="AI232" i="2"/>
  <c r="AG232" i="2"/>
  <c r="AB232" i="2"/>
  <c r="AD232" i="2" s="1"/>
  <c r="AF232" i="2" s="1"/>
  <c r="AA232" i="2"/>
  <c r="AC232" i="2" s="1"/>
  <c r="AE232" i="2" s="1"/>
  <c r="Z232" i="2"/>
  <c r="Y232" i="2"/>
  <c r="X232" i="2"/>
  <c r="W232" i="2"/>
  <c r="AI231" i="2"/>
  <c r="AG231" i="2"/>
  <c r="AB231" i="2"/>
  <c r="AD231" i="2" s="1"/>
  <c r="AF231" i="2" s="1"/>
  <c r="AA231" i="2"/>
  <c r="AC231" i="2" s="1"/>
  <c r="AE231" i="2" s="1"/>
  <c r="Z231" i="2"/>
  <c r="Y231" i="2"/>
  <c r="X231" i="2"/>
  <c r="W231" i="2"/>
  <c r="AI230" i="2"/>
  <c r="AG230" i="2"/>
  <c r="AB230" i="2"/>
  <c r="AD230" i="2" s="1"/>
  <c r="AF230" i="2" s="1"/>
  <c r="AA230" i="2"/>
  <c r="AC230" i="2" s="1"/>
  <c r="AE230" i="2" s="1"/>
  <c r="Z230" i="2"/>
  <c r="Y230" i="2"/>
  <c r="X230" i="2"/>
  <c r="W230" i="2"/>
  <c r="AI229" i="2"/>
  <c r="AG229" i="2"/>
  <c r="AB229" i="2"/>
  <c r="AD229" i="2" s="1"/>
  <c r="AF229" i="2" s="1"/>
  <c r="AA229" i="2"/>
  <c r="AC229" i="2" s="1"/>
  <c r="AE229" i="2" s="1"/>
  <c r="Z229" i="2"/>
  <c r="Y229" i="2"/>
  <c r="X229" i="2"/>
  <c r="W229" i="2"/>
  <c r="AI228" i="2"/>
  <c r="AG228" i="2"/>
  <c r="AB228" i="2"/>
  <c r="AD228" i="2" s="1"/>
  <c r="AF228" i="2" s="1"/>
  <c r="AA228" i="2"/>
  <c r="AC228" i="2" s="1"/>
  <c r="AE228" i="2" s="1"/>
  <c r="Z228" i="2"/>
  <c r="Y228" i="2"/>
  <c r="X228" i="2"/>
  <c r="W228" i="2"/>
  <c r="AI227" i="2"/>
  <c r="AG227" i="2"/>
  <c r="AB227" i="2"/>
  <c r="AD227" i="2" s="1"/>
  <c r="AF227" i="2" s="1"/>
  <c r="AA227" i="2"/>
  <c r="AC227" i="2" s="1"/>
  <c r="AE227" i="2" s="1"/>
  <c r="Z227" i="2"/>
  <c r="Y227" i="2"/>
  <c r="X227" i="2"/>
  <c r="W227" i="2"/>
  <c r="AI226" i="2"/>
  <c r="AG226" i="2"/>
  <c r="AB226" i="2"/>
  <c r="AD226" i="2" s="1"/>
  <c r="AF226" i="2" s="1"/>
  <c r="AA226" i="2"/>
  <c r="AC226" i="2" s="1"/>
  <c r="AE226" i="2" s="1"/>
  <c r="Z226" i="2"/>
  <c r="Y226" i="2"/>
  <c r="X226" i="2"/>
  <c r="W226" i="2"/>
  <c r="AI225" i="2"/>
  <c r="AG225" i="2"/>
  <c r="AF225" i="2"/>
  <c r="AB225" i="2"/>
  <c r="AD225" i="2" s="1"/>
  <c r="AA225" i="2"/>
  <c r="AC225" i="2" s="1"/>
  <c r="AE225" i="2" s="1"/>
  <c r="Z225" i="2"/>
  <c r="Y225" i="2"/>
  <c r="X225" i="2"/>
  <c r="W225" i="2"/>
  <c r="AI224" i="2"/>
  <c r="AG224" i="2"/>
  <c r="AB224" i="2"/>
  <c r="AD224" i="2" s="1"/>
  <c r="AF224" i="2" s="1"/>
  <c r="AA224" i="2"/>
  <c r="AC224" i="2" s="1"/>
  <c r="AE224" i="2" s="1"/>
  <c r="Z224" i="2"/>
  <c r="Y224" i="2"/>
  <c r="X224" i="2"/>
  <c r="W224" i="2"/>
  <c r="AI223" i="2"/>
  <c r="AG223" i="2"/>
  <c r="AB223" i="2"/>
  <c r="AD223" i="2" s="1"/>
  <c r="AF223" i="2" s="1"/>
  <c r="AA223" i="2"/>
  <c r="AC223" i="2" s="1"/>
  <c r="AE223" i="2" s="1"/>
  <c r="Z223" i="2"/>
  <c r="Y223" i="2"/>
  <c r="X223" i="2"/>
  <c r="W223" i="2"/>
  <c r="AI222" i="2"/>
  <c r="AG222" i="2"/>
  <c r="AB222" i="2"/>
  <c r="AD222" i="2" s="1"/>
  <c r="AF222" i="2" s="1"/>
  <c r="AA222" i="2"/>
  <c r="AC222" i="2" s="1"/>
  <c r="AE222" i="2" s="1"/>
  <c r="Z222" i="2"/>
  <c r="Y222" i="2"/>
  <c r="X222" i="2"/>
  <c r="W222" i="2"/>
  <c r="AI221" i="2"/>
  <c r="AG221" i="2"/>
  <c r="AB221" i="2"/>
  <c r="AD221" i="2" s="1"/>
  <c r="AF221" i="2" s="1"/>
  <c r="AA221" i="2"/>
  <c r="AC221" i="2" s="1"/>
  <c r="AE221" i="2" s="1"/>
  <c r="Z221" i="2"/>
  <c r="Y221" i="2"/>
  <c r="X221" i="2"/>
  <c r="W221" i="2"/>
  <c r="AI220" i="2"/>
  <c r="AG220" i="2"/>
  <c r="AB220" i="2"/>
  <c r="AD220" i="2" s="1"/>
  <c r="AF220" i="2" s="1"/>
  <c r="AA220" i="2"/>
  <c r="AC220" i="2" s="1"/>
  <c r="AE220" i="2" s="1"/>
  <c r="Z220" i="2"/>
  <c r="Y220" i="2"/>
  <c r="X220" i="2"/>
  <c r="W220" i="2"/>
  <c r="AI219" i="2"/>
  <c r="AG219" i="2"/>
  <c r="AB219" i="2"/>
  <c r="AD219" i="2" s="1"/>
  <c r="AF219" i="2" s="1"/>
  <c r="AA219" i="2"/>
  <c r="AC219" i="2" s="1"/>
  <c r="AE219" i="2" s="1"/>
  <c r="Z219" i="2"/>
  <c r="Y219" i="2"/>
  <c r="X219" i="2"/>
  <c r="W219" i="2"/>
  <c r="AI218" i="2"/>
  <c r="AG218" i="2"/>
  <c r="AB218" i="2"/>
  <c r="AD218" i="2" s="1"/>
  <c r="AF218" i="2" s="1"/>
  <c r="AA218" i="2"/>
  <c r="AC218" i="2" s="1"/>
  <c r="AE218" i="2" s="1"/>
  <c r="Z218" i="2"/>
  <c r="Y218" i="2"/>
  <c r="X218" i="2"/>
  <c r="W218" i="2"/>
  <c r="AI217" i="2"/>
  <c r="AG217" i="2"/>
  <c r="AB217" i="2"/>
  <c r="AD217" i="2" s="1"/>
  <c r="AF217" i="2" s="1"/>
  <c r="AA217" i="2"/>
  <c r="AC217" i="2" s="1"/>
  <c r="AE217" i="2" s="1"/>
  <c r="Z217" i="2"/>
  <c r="Y217" i="2"/>
  <c r="X217" i="2"/>
  <c r="W217" i="2"/>
  <c r="AI216" i="2"/>
  <c r="AG216" i="2"/>
  <c r="AB216" i="2"/>
  <c r="AD216" i="2" s="1"/>
  <c r="AF216" i="2" s="1"/>
  <c r="AA216" i="2"/>
  <c r="AC216" i="2" s="1"/>
  <c r="AE216" i="2" s="1"/>
  <c r="Z216" i="2"/>
  <c r="Y216" i="2"/>
  <c r="X216" i="2"/>
  <c r="W216" i="2"/>
  <c r="AI215" i="2"/>
  <c r="AG215" i="2"/>
  <c r="AB215" i="2"/>
  <c r="AD215" i="2" s="1"/>
  <c r="AF215" i="2" s="1"/>
  <c r="AA215" i="2"/>
  <c r="AC215" i="2" s="1"/>
  <c r="AE215" i="2" s="1"/>
  <c r="Z215" i="2"/>
  <c r="Y215" i="2"/>
  <c r="X215" i="2"/>
  <c r="W215" i="2"/>
  <c r="AI214" i="2"/>
  <c r="AG214" i="2"/>
  <c r="AB214" i="2"/>
  <c r="AD214" i="2" s="1"/>
  <c r="AF214" i="2" s="1"/>
  <c r="AA214" i="2"/>
  <c r="AC214" i="2" s="1"/>
  <c r="AE214" i="2" s="1"/>
  <c r="Z214" i="2"/>
  <c r="Y214" i="2"/>
  <c r="X214" i="2"/>
  <c r="W214" i="2"/>
  <c r="AI213" i="2"/>
  <c r="AG213" i="2"/>
  <c r="AF213" i="2"/>
  <c r="AB213" i="2"/>
  <c r="AD213" i="2" s="1"/>
  <c r="AA213" i="2"/>
  <c r="AC213" i="2" s="1"/>
  <c r="AE213" i="2" s="1"/>
  <c r="Z213" i="2"/>
  <c r="Y213" i="2"/>
  <c r="X213" i="2"/>
  <c r="W213" i="2"/>
  <c r="AI212" i="2"/>
  <c r="AG212" i="2"/>
  <c r="AB212" i="2"/>
  <c r="AD212" i="2" s="1"/>
  <c r="AF212" i="2" s="1"/>
  <c r="AA212" i="2"/>
  <c r="AC212" i="2" s="1"/>
  <c r="AE212" i="2" s="1"/>
  <c r="Z212" i="2"/>
  <c r="Y212" i="2"/>
  <c r="X212" i="2"/>
  <c r="W212" i="2"/>
  <c r="AI211" i="2"/>
  <c r="AG211" i="2"/>
  <c r="AB211" i="2"/>
  <c r="AD211" i="2" s="1"/>
  <c r="AF211" i="2" s="1"/>
  <c r="AA211" i="2"/>
  <c r="AC211" i="2" s="1"/>
  <c r="AE211" i="2" s="1"/>
  <c r="Z211" i="2"/>
  <c r="Y211" i="2"/>
  <c r="X211" i="2"/>
  <c r="W211" i="2"/>
  <c r="AI210" i="2"/>
  <c r="AG210" i="2"/>
  <c r="AB210" i="2"/>
  <c r="AD210" i="2" s="1"/>
  <c r="AF210" i="2" s="1"/>
  <c r="AA210" i="2"/>
  <c r="AC210" i="2" s="1"/>
  <c r="AE210" i="2" s="1"/>
  <c r="Z210" i="2"/>
  <c r="Y210" i="2"/>
  <c r="X210" i="2"/>
  <c r="W210" i="2"/>
  <c r="AI209" i="2"/>
  <c r="AG209" i="2"/>
  <c r="AB209" i="2"/>
  <c r="AD209" i="2" s="1"/>
  <c r="AF209" i="2" s="1"/>
  <c r="AA209" i="2"/>
  <c r="AC209" i="2" s="1"/>
  <c r="AE209" i="2" s="1"/>
  <c r="Z209" i="2"/>
  <c r="Y209" i="2"/>
  <c r="X209" i="2"/>
  <c r="W209" i="2"/>
  <c r="AI208" i="2"/>
  <c r="AG208" i="2"/>
  <c r="AB208" i="2"/>
  <c r="AD208" i="2" s="1"/>
  <c r="AF208" i="2" s="1"/>
  <c r="AA208" i="2"/>
  <c r="AC208" i="2" s="1"/>
  <c r="AE208" i="2" s="1"/>
  <c r="Z208" i="2"/>
  <c r="Y208" i="2"/>
  <c r="X208" i="2"/>
  <c r="W208" i="2"/>
  <c r="AI207" i="2"/>
  <c r="AG207" i="2"/>
  <c r="AB207" i="2"/>
  <c r="AD207" i="2" s="1"/>
  <c r="AF207" i="2" s="1"/>
  <c r="AA207" i="2"/>
  <c r="AC207" i="2" s="1"/>
  <c r="AE207" i="2" s="1"/>
  <c r="Z207" i="2"/>
  <c r="Y207" i="2"/>
  <c r="X207" i="2"/>
  <c r="W207" i="2"/>
  <c r="AI206" i="2"/>
  <c r="AG206" i="2"/>
  <c r="AB206" i="2"/>
  <c r="AD206" i="2" s="1"/>
  <c r="AF206" i="2" s="1"/>
  <c r="AA206" i="2"/>
  <c r="AC206" i="2" s="1"/>
  <c r="AE206" i="2" s="1"/>
  <c r="Z206" i="2"/>
  <c r="Y206" i="2"/>
  <c r="X206" i="2"/>
  <c r="W206" i="2"/>
  <c r="AI205" i="2"/>
  <c r="AG205" i="2"/>
  <c r="AB205" i="2"/>
  <c r="AD205" i="2" s="1"/>
  <c r="AF205" i="2" s="1"/>
  <c r="AA205" i="2"/>
  <c r="AC205" i="2" s="1"/>
  <c r="AE205" i="2" s="1"/>
  <c r="Z205" i="2"/>
  <c r="Y205" i="2"/>
  <c r="X205" i="2"/>
  <c r="W205" i="2"/>
  <c r="AI204" i="2"/>
  <c r="AG204" i="2"/>
  <c r="AB204" i="2"/>
  <c r="AD204" i="2" s="1"/>
  <c r="AF204" i="2" s="1"/>
  <c r="AA204" i="2"/>
  <c r="AC204" i="2" s="1"/>
  <c r="AE204" i="2" s="1"/>
  <c r="Z204" i="2"/>
  <c r="Y204" i="2"/>
  <c r="X204" i="2"/>
  <c r="W204" i="2"/>
  <c r="AI203" i="2"/>
  <c r="AG203" i="2"/>
  <c r="AB203" i="2"/>
  <c r="AD203" i="2" s="1"/>
  <c r="AF203" i="2" s="1"/>
  <c r="AA203" i="2"/>
  <c r="AC203" i="2" s="1"/>
  <c r="AE203" i="2" s="1"/>
  <c r="Z203" i="2"/>
  <c r="Y203" i="2"/>
  <c r="X203" i="2"/>
  <c r="W203" i="2"/>
  <c r="AI202" i="2"/>
  <c r="AG202" i="2"/>
  <c r="AB202" i="2"/>
  <c r="AD202" i="2" s="1"/>
  <c r="AF202" i="2" s="1"/>
  <c r="AA202" i="2"/>
  <c r="AC202" i="2" s="1"/>
  <c r="AE202" i="2" s="1"/>
  <c r="Z202" i="2"/>
  <c r="Y202" i="2"/>
  <c r="X202" i="2"/>
  <c r="W202" i="2"/>
  <c r="AI201" i="2"/>
  <c r="AG201" i="2"/>
  <c r="AB201" i="2"/>
  <c r="AD201" i="2" s="1"/>
  <c r="AF201" i="2" s="1"/>
  <c r="AA201" i="2"/>
  <c r="AC201" i="2" s="1"/>
  <c r="AE201" i="2" s="1"/>
  <c r="Z201" i="2"/>
  <c r="Y201" i="2"/>
  <c r="X201" i="2"/>
  <c r="W201" i="2"/>
  <c r="AI200" i="2"/>
  <c r="AG200" i="2"/>
  <c r="AB200" i="2"/>
  <c r="AD200" i="2" s="1"/>
  <c r="AF200" i="2" s="1"/>
  <c r="AA200" i="2"/>
  <c r="AC200" i="2" s="1"/>
  <c r="AE200" i="2" s="1"/>
  <c r="Z200" i="2"/>
  <c r="Y200" i="2"/>
  <c r="X200" i="2"/>
  <c r="W200" i="2"/>
  <c r="AI199" i="2"/>
  <c r="AG199" i="2"/>
  <c r="AB199" i="2"/>
  <c r="AD199" i="2" s="1"/>
  <c r="AF199" i="2" s="1"/>
  <c r="AA199" i="2"/>
  <c r="AC199" i="2" s="1"/>
  <c r="AE199" i="2" s="1"/>
  <c r="Z199" i="2"/>
  <c r="Y199" i="2"/>
  <c r="X199" i="2"/>
  <c r="W199" i="2"/>
  <c r="AI198" i="2"/>
  <c r="AG198" i="2"/>
  <c r="AB198" i="2"/>
  <c r="AD198" i="2" s="1"/>
  <c r="AF198" i="2" s="1"/>
  <c r="AA198" i="2"/>
  <c r="AC198" i="2" s="1"/>
  <c r="AE198" i="2" s="1"/>
  <c r="Z198" i="2"/>
  <c r="Y198" i="2"/>
  <c r="X198" i="2"/>
  <c r="W198" i="2"/>
  <c r="AI197" i="2"/>
  <c r="AG197" i="2"/>
  <c r="AB197" i="2"/>
  <c r="AD197" i="2" s="1"/>
  <c r="AF197" i="2" s="1"/>
  <c r="AA197" i="2"/>
  <c r="AC197" i="2" s="1"/>
  <c r="AE197" i="2" s="1"/>
  <c r="Z197" i="2"/>
  <c r="Y197" i="2"/>
  <c r="X197" i="2"/>
  <c r="W197" i="2"/>
  <c r="AI196" i="2"/>
  <c r="AG196" i="2"/>
  <c r="AB196" i="2"/>
  <c r="AD196" i="2" s="1"/>
  <c r="AF196" i="2" s="1"/>
  <c r="AA196" i="2"/>
  <c r="AC196" i="2" s="1"/>
  <c r="AE196" i="2" s="1"/>
  <c r="Z196" i="2"/>
  <c r="Y196" i="2"/>
  <c r="X196" i="2"/>
  <c r="W196" i="2"/>
  <c r="AI195" i="2"/>
  <c r="AG195" i="2"/>
  <c r="AB195" i="2"/>
  <c r="AD195" i="2" s="1"/>
  <c r="AF195" i="2" s="1"/>
  <c r="AA195" i="2"/>
  <c r="AC195" i="2" s="1"/>
  <c r="AE195" i="2" s="1"/>
  <c r="Z195" i="2"/>
  <c r="Y195" i="2"/>
  <c r="X195" i="2"/>
  <c r="W195" i="2"/>
  <c r="AI194" i="2"/>
  <c r="AG194" i="2"/>
  <c r="AB194" i="2"/>
  <c r="AD194" i="2" s="1"/>
  <c r="AF194" i="2" s="1"/>
  <c r="AA194" i="2"/>
  <c r="AC194" i="2" s="1"/>
  <c r="AE194" i="2" s="1"/>
  <c r="Z194" i="2"/>
  <c r="Y194" i="2"/>
  <c r="X194" i="2"/>
  <c r="W194" i="2"/>
  <c r="AI193" i="2"/>
  <c r="AG193" i="2"/>
  <c r="AB193" i="2"/>
  <c r="AD193" i="2" s="1"/>
  <c r="AF193" i="2" s="1"/>
  <c r="AA193" i="2"/>
  <c r="AC193" i="2" s="1"/>
  <c r="AE193" i="2" s="1"/>
  <c r="Z193" i="2"/>
  <c r="Y193" i="2"/>
  <c r="X193" i="2"/>
  <c r="W193" i="2"/>
  <c r="AI192" i="2"/>
  <c r="AG192" i="2"/>
  <c r="AB192" i="2"/>
  <c r="AD192" i="2" s="1"/>
  <c r="AF192" i="2" s="1"/>
  <c r="AA192" i="2"/>
  <c r="AC192" i="2" s="1"/>
  <c r="AE192" i="2" s="1"/>
  <c r="Z192" i="2"/>
  <c r="Y192" i="2"/>
  <c r="X192" i="2"/>
  <c r="W192" i="2"/>
  <c r="AI191" i="2"/>
  <c r="AG191" i="2"/>
  <c r="AB191" i="2"/>
  <c r="AD191" i="2" s="1"/>
  <c r="AF191" i="2" s="1"/>
  <c r="AA191" i="2"/>
  <c r="AC191" i="2" s="1"/>
  <c r="AE191" i="2" s="1"/>
  <c r="Z191" i="2"/>
  <c r="Y191" i="2"/>
  <c r="X191" i="2"/>
  <c r="W191" i="2"/>
  <c r="AI190" i="2"/>
  <c r="AG190" i="2"/>
  <c r="AB190" i="2"/>
  <c r="AD190" i="2" s="1"/>
  <c r="AF190" i="2" s="1"/>
  <c r="AA190" i="2"/>
  <c r="AC190" i="2" s="1"/>
  <c r="AE190" i="2" s="1"/>
  <c r="Z190" i="2"/>
  <c r="Y190" i="2"/>
  <c r="X190" i="2"/>
  <c r="W190" i="2"/>
  <c r="AI189" i="2"/>
  <c r="AG189" i="2"/>
  <c r="AB189" i="2"/>
  <c r="AD189" i="2" s="1"/>
  <c r="AF189" i="2" s="1"/>
  <c r="AA189" i="2"/>
  <c r="AC189" i="2" s="1"/>
  <c r="AE189" i="2" s="1"/>
  <c r="Z189" i="2"/>
  <c r="Y189" i="2"/>
  <c r="X189" i="2"/>
  <c r="W189" i="2"/>
  <c r="AI188" i="2"/>
  <c r="AG188" i="2"/>
  <c r="AF188" i="2"/>
  <c r="AB188" i="2"/>
  <c r="AD188" i="2" s="1"/>
  <c r="AA188" i="2"/>
  <c r="AC188" i="2" s="1"/>
  <c r="AE188" i="2" s="1"/>
  <c r="Z188" i="2"/>
  <c r="Y188" i="2"/>
  <c r="X188" i="2"/>
  <c r="W188" i="2"/>
  <c r="AI187" i="2"/>
  <c r="AG187" i="2"/>
  <c r="AB187" i="2"/>
  <c r="AD187" i="2" s="1"/>
  <c r="AF187" i="2" s="1"/>
  <c r="AA187" i="2"/>
  <c r="AC187" i="2" s="1"/>
  <c r="AE187" i="2" s="1"/>
  <c r="Z187" i="2"/>
  <c r="Y187" i="2"/>
  <c r="X187" i="2"/>
  <c r="W187" i="2"/>
  <c r="AI186" i="2"/>
  <c r="AG186" i="2"/>
  <c r="AB186" i="2"/>
  <c r="AD186" i="2" s="1"/>
  <c r="AF186" i="2" s="1"/>
  <c r="AA186" i="2"/>
  <c r="AC186" i="2" s="1"/>
  <c r="AE186" i="2" s="1"/>
  <c r="Z186" i="2"/>
  <c r="Y186" i="2"/>
  <c r="X186" i="2"/>
  <c r="W186" i="2"/>
  <c r="AI185" i="2"/>
  <c r="AG185" i="2"/>
  <c r="AB185" i="2"/>
  <c r="AD185" i="2" s="1"/>
  <c r="AF185" i="2" s="1"/>
  <c r="AA185" i="2"/>
  <c r="AC185" i="2" s="1"/>
  <c r="AE185" i="2" s="1"/>
  <c r="Z185" i="2"/>
  <c r="Y185" i="2"/>
  <c r="X185" i="2"/>
  <c r="W185" i="2"/>
  <c r="AI184" i="2"/>
  <c r="AG184" i="2"/>
  <c r="AB184" i="2"/>
  <c r="AD184" i="2" s="1"/>
  <c r="AF184" i="2" s="1"/>
  <c r="AA184" i="2"/>
  <c r="AC184" i="2" s="1"/>
  <c r="AE184" i="2" s="1"/>
  <c r="Z184" i="2"/>
  <c r="Y184" i="2"/>
  <c r="X184" i="2"/>
  <c r="W184" i="2"/>
  <c r="AI183" i="2"/>
  <c r="AG183" i="2"/>
  <c r="AB183" i="2"/>
  <c r="AD183" i="2" s="1"/>
  <c r="AF183" i="2" s="1"/>
  <c r="AA183" i="2"/>
  <c r="AC183" i="2" s="1"/>
  <c r="AE183" i="2" s="1"/>
  <c r="Z183" i="2"/>
  <c r="Y183" i="2"/>
  <c r="X183" i="2"/>
  <c r="W183" i="2"/>
  <c r="AI182" i="2"/>
  <c r="AG182" i="2"/>
  <c r="AB182" i="2"/>
  <c r="AD182" i="2" s="1"/>
  <c r="AF182" i="2" s="1"/>
  <c r="AA182" i="2"/>
  <c r="AC182" i="2" s="1"/>
  <c r="AE182" i="2" s="1"/>
  <c r="Z182" i="2"/>
  <c r="Y182" i="2"/>
  <c r="X182" i="2"/>
  <c r="W182" i="2"/>
  <c r="AI181" i="2"/>
  <c r="AG181" i="2"/>
  <c r="AB181" i="2"/>
  <c r="AD181" i="2" s="1"/>
  <c r="AF181" i="2" s="1"/>
  <c r="AA181" i="2"/>
  <c r="AC181" i="2" s="1"/>
  <c r="AE181" i="2" s="1"/>
  <c r="Z181" i="2"/>
  <c r="Y181" i="2"/>
  <c r="X181" i="2"/>
  <c r="W181" i="2"/>
  <c r="AI180" i="2"/>
  <c r="AG180" i="2"/>
  <c r="AB180" i="2"/>
  <c r="AD180" i="2" s="1"/>
  <c r="AF180" i="2" s="1"/>
  <c r="AA180" i="2"/>
  <c r="AC180" i="2" s="1"/>
  <c r="AE180" i="2" s="1"/>
  <c r="Z180" i="2"/>
  <c r="Y180" i="2"/>
  <c r="X180" i="2"/>
  <c r="W180" i="2"/>
  <c r="AI179" i="2"/>
  <c r="AG179" i="2"/>
  <c r="AB179" i="2"/>
  <c r="AD179" i="2" s="1"/>
  <c r="AF179" i="2" s="1"/>
  <c r="AA179" i="2"/>
  <c r="AC179" i="2" s="1"/>
  <c r="AE179" i="2" s="1"/>
  <c r="Z179" i="2"/>
  <c r="Y179" i="2"/>
  <c r="X179" i="2"/>
  <c r="W179" i="2"/>
  <c r="AI178" i="2"/>
  <c r="AG178" i="2"/>
  <c r="AB178" i="2"/>
  <c r="AD178" i="2" s="1"/>
  <c r="AF178" i="2" s="1"/>
  <c r="AA178" i="2"/>
  <c r="AC178" i="2" s="1"/>
  <c r="AE178" i="2" s="1"/>
  <c r="Z178" i="2"/>
  <c r="Y178" i="2"/>
  <c r="X178" i="2"/>
  <c r="W178" i="2"/>
  <c r="AI177" i="2"/>
  <c r="AG177" i="2"/>
  <c r="AB177" i="2"/>
  <c r="AD177" i="2" s="1"/>
  <c r="AF177" i="2" s="1"/>
  <c r="AA177" i="2"/>
  <c r="AC177" i="2" s="1"/>
  <c r="AE177" i="2" s="1"/>
  <c r="Z177" i="2"/>
  <c r="Y177" i="2"/>
  <c r="X177" i="2"/>
  <c r="W177" i="2"/>
  <c r="AI176" i="2"/>
  <c r="AG176" i="2"/>
  <c r="AB176" i="2"/>
  <c r="AD176" i="2" s="1"/>
  <c r="AF176" i="2" s="1"/>
  <c r="AA176" i="2"/>
  <c r="AC176" i="2" s="1"/>
  <c r="AE176" i="2" s="1"/>
  <c r="Z176" i="2"/>
  <c r="Y176" i="2"/>
  <c r="X176" i="2"/>
  <c r="W176" i="2"/>
  <c r="AI175" i="2"/>
  <c r="AG175" i="2"/>
  <c r="AB175" i="2"/>
  <c r="AD175" i="2" s="1"/>
  <c r="AF175" i="2" s="1"/>
  <c r="AA175" i="2"/>
  <c r="AC175" i="2" s="1"/>
  <c r="AE175" i="2" s="1"/>
  <c r="Z175" i="2"/>
  <c r="Y175" i="2"/>
  <c r="X175" i="2"/>
  <c r="W175" i="2"/>
  <c r="AI174" i="2"/>
  <c r="AG174" i="2"/>
  <c r="AB174" i="2"/>
  <c r="AD174" i="2" s="1"/>
  <c r="AF174" i="2" s="1"/>
  <c r="AA174" i="2"/>
  <c r="AC174" i="2" s="1"/>
  <c r="AE174" i="2" s="1"/>
  <c r="Z174" i="2"/>
  <c r="Y174" i="2"/>
  <c r="X174" i="2"/>
  <c r="W174" i="2"/>
  <c r="AI173" i="2"/>
  <c r="AG173" i="2"/>
  <c r="AB173" i="2"/>
  <c r="AD173" i="2" s="1"/>
  <c r="AF173" i="2" s="1"/>
  <c r="AA173" i="2"/>
  <c r="AC173" i="2" s="1"/>
  <c r="AE173" i="2" s="1"/>
  <c r="Z173" i="2"/>
  <c r="Y173" i="2"/>
  <c r="X173" i="2"/>
  <c r="W173" i="2"/>
  <c r="AI172" i="2"/>
  <c r="AG172" i="2"/>
  <c r="AB172" i="2"/>
  <c r="AD172" i="2" s="1"/>
  <c r="AF172" i="2" s="1"/>
  <c r="AA172" i="2"/>
  <c r="AC172" i="2" s="1"/>
  <c r="AE172" i="2" s="1"/>
  <c r="Z172" i="2"/>
  <c r="Y172" i="2"/>
  <c r="X172" i="2"/>
  <c r="W172" i="2"/>
  <c r="AI171" i="2"/>
  <c r="AG171" i="2"/>
  <c r="AB171" i="2"/>
  <c r="AD171" i="2" s="1"/>
  <c r="AF171" i="2" s="1"/>
  <c r="AA171" i="2"/>
  <c r="AC171" i="2" s="1"/>
  <c r="AE171" i="2" s="1"/>
  <c r="Z171" i="2"/>
  <c r="Y171" i="2"/>
  <c r="X171" i="2"/>
  <c r="W171" i="2"/>
  <c r="AI170" i="2"/>
  <c r="AG170" i="2"/>
  <c r="AB170" i="2"/>
  <c r="AD170" i="2" s="1"/>
  <c r="AF170" i="2" s="1"/>
  <c r="AA170" i="2"/>
  <c r="AC170" i="2" s="1"/>
  <c r="AE170" i="2" s="1"/>
  <c r="Z170" i="2"/>
  <c r="Y170" i="2"/>
  <c r="X170" i="2"/>
  <c r="W170" i="2"/>
  <c r="AI169" i="2"/>
  <c r="AG169" i="2"/>
  <c r="AB169" i="2"/>
  <c r="AD169" i="2" s="1"/>
  <c r="AF169" i="2" s="1"/>
  <c r="AA169" i="2"/>
  <c r="AC169" i="2" s="1"/>
  <c r="AE169" i="2" s="1"/>
  <c r="Z169" i="2"/>
  <c r="Y169" i="2"/>
  <c r="X169" i="2"/>
  <c r="W169" i="2"/>
  <c r="AI168" i="2"/>
  <c r="AG168" i="2"/>
  <c r="AB168" i="2"/>
  <c r="AD168" i="2" s="1"/>
  <c r="AF168" i="2" s="1"/>
  <c r="AA168" i="2"/>
  <c r="AC168" i="2" s="1"/>
  <c r="AE168" i="2" s="1"/>
  <c r="Z168" i="2"/>
  <c r="Y168" i="2"/>
  <c r="X168" i="2"/>
  <c r="W168" i="2"/>
  <c r="AI167" i="2"/>
  <c r="AG167" i="2"/>
  <c r="AB167" i="2"/>
  <c r="AD167" i="2" s="1"/>
  <c r="AF167" i="2" s="1"/>
  <c r="AA167" i="2"/>
  <c r="AC167" i="2" s="1"/>
  <c r="AE167" i="2" s="1"/>
  <c r="Z167" i="2"/>
  <c r="Y167" i="2"/>
  <c r="X167" i="2"/>
  <c r="W167" i="2"/>
  <c r="AI166" i="2"/>
  <c r="AG166" i="2"/>
  <c r="AF166" i="2"/>
  <c r="AB166" i="2"/>
  <c r="AD166" i="2" s="1"/>
  <c r="AA166" i="2"/>
  <c r="AC166" i="2" s="1"/>
  <c r="AE166" i="2" s="1"/>
  <c r="Z166" i="2"/>
  <c r="Y166" i="2"/>
  <c r="X166" i="2"/>
  <c r="W166" i="2"/>
  <c r="AI165" i="2"/>
  <c r="AG165" i="2"/>
  <c r="AF165" i="2"/>
  <c r="AB165" i="2"/>
  <c r="AD165" i="2" s="1"/>
  <c r="AA165" i="2"/>
  <c r="AC165" i="2" s="1"/>
  <c r="AE165" i="2" s="1"/>
  <c r="Z165" i="2"/>
  <c r="Y165" i="2"/>
  <c r="X165" i="2"/>
  <c r="W165" i="2"/>
  <c r="AI164" i="2"/>
  <c r="AG164" i="2"/>
  <c r="AB164" i="2"/>
  <c r="AD164" i="2" s="1"/>
  <c r="AF164" i="2" s="1"/>
  <c r="AA164" i="2"/>
  <c r="AC164" i="2" s="1"/>
  <c r="AE164" i="2" s="1"/>
  <c r="Z164" i="2"/>
  <c r="Y164" i="2"/>
  <c r="X164" i="2"/>
  <c r="W164" i="2"/>
  <c r="AI163" i="2"/>
  <c r="AG163" i="2"/>
  <c r="AB163" i="2"/>
  <c r="AD163" i="2" s="1"/>
  <c r="AF163" i="2" s="1"/>
  <c r="AA163" i="2"/>
  <c r="AC163" i="2" s="1"/>
  <c r="AE163" i="2" s="1"/>
  <c r="Z163" i="2"/>
  <c r="Y163" i="2"/>
  <c r="X163" i="2"/>
  <c r="W163" i="2"/>
  <c r="AI162" i="2"/>
  <c r="AG162" i="2"/>
  <c r="AB162" i="2"/>
  <c r="AD162" i="2" s="1"/>
  <c r="AF162" i="2" s="1"/>
  <c r="AA162" i="2"/>
  <c r="AC162" i="2" s="1"/>
  <c r="AE162" i="2" s="1"/>
  <c r="Z162" i="2"/>
  <c r="Y162" i="2"/>
  <c r="X162" i="2"/>
  <c r="W162" i="2"/>
  <c r="AI161" i="2"/>
  <c r="AG161" i="2"/>
  <c r="AB161" i="2"/>
  <c r="AD161" i="2" s="1"/>
  <c r="AF161" i="2" s="1"/>
  <c r="AA161" i="2"/>
  <c r="AC161" i="2" s="1"/>
  <c r="AE161" i="2" s="1"/>
  <c r="Z161" i="2"/>
  <c r="Y161" i="2"/>
  <c r="X161" i="2"/>
  <c r="W161" i="2"/>
  <c r="AI160" i="2"/>
  <c r="AG160" i="2"/>
  <c r="AB160" i="2"/>
  <c r="AD160" i="2" s="1"/>
  <c r="AF160" i="2" s="1"/>
  <c r="AA160" i="2"/>
  <c r="AC160" i="2" s="1"/>
  <c r="AE160" i="2" s="1"/>
  <c r="Z160" i="2"/>
  <c r="Y160" i="2"/>
  <c r="X160" i="2"/>
  <c r="W160" i="2"/>
  <c r="AI159" i="2"/>
  <c r="AG159" i="2"/>
  <c r="AB159" i="2"/>
  <c r="AD159" i="2" s="1"/>
  <c r="AF159" i="2" s="1"/>
  <c r="AA159" i="2"/>
  <c r="AC159" i="2" s="1"/>
  <c r="AE159" i="2" s="1"/>
  <c r="Z159" i="2"/>
  <c r="Y159" i="2"/>
  <c r="X159" i="2"/>
  <c r="W159" i="2"/>
  <c r="AI158" i="2"/>
  <c r="AG158" i="2"/>
  <c r="AB158" i="2"/>
  <c r="AD158" i="2" s="1"/>
  <c r="AF158" i="2" s="1"/>
  <c r="AA158" i="2"/>
  <c r="AC158" i="2" s="1"/>
  <c r="AE158" i="2" s="1"/>
  <c r="Z158" i="2"/>
  <c r="Y158" i="2"/>
  <c r="X158" i="2"/>
  <c r="W158" i="2"/>
  <c r="AI157" i="2"/>
  <c r="AG157" i="2"/>
  <c r="AB157" i="2"/>
  <c r="AD157" i="2" s="1"/>
  <c r="AF157" i="2" s="1"/>
  <c r="AA157" i="2"/>
  <c r="AC157" i="2" s="1"/>
  <c r="AE157" i="2" s="1"/>
  <c r="Z157" i="2"/>
  <c r="Y157" i="2"/>
  <c r="X157" i="2"/>
  <c r="W157" i="2"/>
  <c r="AI156" i="2"/>
  <c r="AG156" i="2"/>
  <c r="AB156" i="2"/>
  <c r="AD156" i="2" s="1"/>
  <c r="AF156" i="2" s="1"/>
  <c r="AA156" i="2"/>
  <c r="AC156" i="2" s="1"/>
  <c r="AE156" i="2" s="1"/>
  <c r="Z156" i="2"/>
  <c r="Y156" i="2"/>
  <c r="X156" i="2"/>
  <c r="W156" i="2"/>
  <c r="AI155" i="2"/>
  <c r="AG155" i="2"/>
  <c r="AB155" i="2"/>
  <c r="AD155" i="2" s="1"/>
  <c r="AF155" i="2" s="1"/>
  <c r="AA155" i="2"/>
  <c r="AC155" i="2" s="1"/>
  <c r="AE155" i="2" s="1"/>
  <c r="Z155" i="2"/>
  <c r="Y155" i="2"/>
  <c r="X155" i="2"/>
  <c r="W155" i="2"/>
  <c r="AI154" i="2"/>
  <c r="AG154" i="2"/>
  <c r="AB154" i="2"/>
  <c r="AD154" i="2" s="1"/>
  <c r="AF154" i="2" s="1"/>
  <c r="AA154" i="2"/>
  <c r="AC154" i="2" s="1"/>
  <c r="AE154" i="2" s="1"/>
  <c r="Z154" i="2"/>
  <c r="Y154" i="2"/>
  <c r="X154" i="2"/>
  <c r="W154" i="2"/>
  <c r="AI153" i="2"/>
  <c r="AG153" i="2"/>
  <c r="AB153" i="2"/>
  <c r="AD153" i="2" s="1"/>
  <c r="AF153" i="2" s="1"/>
  <c r="AA153" i="2"/>
  <c r="AC153" i="2" s="1"/>
  <c r="AE153" i="2" s="1"/>
  <c r="Z153" i="2"/>
  <c r="Y153" i="2"/>
  <c r="X153" i="2"/>
  <c r="W153" i="2"/>
  <c r="AI152" i="2"/>
  <c r="AG152" i="2"/>
  <c r="AF152" i="2"/>
  <c r="AB152" i="2"/>
  <c r="AD152" i="2" s="1"/>
  <c r="AA152" i="2"/>
  <c r="AC152" i="2" s="1"/>
  <c r="AE152" i="2" s="1"/>
  <c r="Z152" i="2"/>
  <c r="Y152" i="2"/>
  <c r="X152" i="2"/>
  <c r="W152" i="2"/>
  <c r="AI151" i="2"/>
  <c r="AG151" i="2"/>
  <c r="AB151" i="2"/>
  <c r="AD151" i="2" s="1"/>
  <c r="AF151" i="2" s="1"/>
  <c r="AA151" i="2"/>
  <c r="AC151" i="2" s="1"/>
  <c r="AE151" i="2" s="1"/>
  <c r="Z151" i="2"/>
  <c r="Y151" i="2"/>
  <c r="X151" i="2"/>
  <c r="W151" i="2"/>
  <c r="AI150" i="2"/>
  <c r="AG150" i="2"/>
  <c r="AB150" i="2"/>
  <c r="AD150" i="2" s="1"/>
  <c r="AF150" i="2" s="1"/>
  <c r="AA150" i="2"/>
  <c r="AC150" i="2" s="1"/>
  <c r="AE150" i="2" s="1"/>
  <c r="Z150" i="2"/>
  <c r="Y150" i="2"/>
  <c r="X150" i="2"/>
  <c r="W150" i="2"/>
  <c r="AI149" i="2"/>
  <c r="AG149" i="2"/>
  <c r="AB149" i="2"/>
  <c r="AD149" i="2" s="1"/>
  <c r="AF149" i="2" s="1"/>
  <c r="AA149" i="2"/>
  <c r="AC149" i="2" s="1"/>
  <c r="AE149" i="2" s="1"/>
  <c r="Z149" i="2"/>
  <c r="Y149" i="2"/>
  <c r="X149" i="2"/>
  <c r="W149" i="2"/>
  <c r="AI148" i="2"/>
  <c r="AG148" i="2"/>
  <c r="AB148" i="2"/>
  <c r="AD148" i="2" s="1"/>
  <c r="AF148" i="2" s="1"/>
  <c r="AA148" i="2"/>
  <c r="AC148" i="2" s="1"/>
  <c r="AE148" i="2" s="1"/>
  <c r="Z148" i="2"/>
  <c r="Y148" i="2"/>
  <c r="X148" i="2"/>
  <c r="W148" i="2"/>
  <c r="AI147" i="2"/>
  <c r="AG147" i="2"/>
  <c r="AB147" i="2"/>
  <c r="AD147" i="2" s="1"/>
  <c r="AF147" i="2" s="1"/>
  <c r="AA147" i="2"/>
  <c r="AC147" i="2" s="1"/>
  <c r="AE147" i="2" s="1"/>
  <c r="Z147" i="2"/>
  <c r="Y147" i="2"/>
  <c r="X147" i="2"/>
  <c r="W147" i="2"/>
  <c r="AI146" i="2"/>
  <c r="AG146" i="2"/>
  <c r="AB146" i="2"/>
  <c r="AD146" i="2" s="1"/>
  <c r="AF146" i="2" s="1"/>
  <c r="AA146" i="2"/>
  <c r="AC146" i="2" s="1"/>
  <c r="AE146" i="2" s="1"/>
  <c r="Z146" i="2"/>
  <c r="Y146" i="2"/>
  <c r="X146" i="2"/>
  <c r="W146" i="2"/>
  <c r="AI145" i="2"/>
  <c r="AG145" i="2"/>
  <c r="AB145" i="2"/>
  <c r="AD145" i="2" s="1"/>
  <c r="AF145" i="2" s="1"/>
  <c r="AA145" i="2"/>
  <c r="AC145" i="2" s="1"/>
  <c r="AE145" i="2" s="1"/>
  <c r="Z145" i="2"/>
  <c r="Y145" i="2"/>
  <c r="X145" i="2"/>
  <c r="W145" i="2"/>
  <c r="AI144" i="2"/>
  <c r="AG144" i="2"/>
  <c r="AB144" i="2"/>
  <c r="AD144" i="2" s="1"/>
  <c r="AF144" i="2" s="1"/>
  <c r="AA144" i="2"/>
  <c r="AC144" i="2" s="1"/>
  <c r="AE144" i="2" s="1"/>
  <c r="Z144" i="2"/>
  <c r="Y144" i="2"/>
  <c r="X144" i="2"/>
  <c r="W144" i="2"/>
  <c r="AI143" i="2"/>
  <c r="AG143" i="2"/>
  <c r="AB143" i="2"/>
  <c r="AD143" i="2" s="1"/>
  <c r="AF143" i="2" s="1"/>
  <c r="AA143" i="2"/>
  <c r="AC143" i="2" s="1"/>
  <c r="AE143" i="2" s="1"/>
  <c r="Z143" i="2"/>
  <c r="Y143" i="2"/>
  <c r="X143" i="2"/>
  <c r="W143" i="2"/>
  <c r="AI142" i="2"/>
  <c r="AG142" i="2"/>
  <c r="AB142" i="2"/>
  <c r="AD142" i="2" s="1"/>
  <c r="AF142" i="2" s="1"/>
  <c r="AA142" i="2"/>
  <c r="AC142" i="2" s="1"/>
  <c r="AE142" i="2" s="1"/>
  <c r="Z142" i="2"/>
  <c r="Y142" i="2"/>
  <c r="X142" i="2"/>
  <c r="W142" i="2"/>
  <c r="AI141" i="2"/>
  <c r="AG141" i="2"/>
  <c r="AF141" i="2"/>
  <c r="AB141" i="2"/>
  <c r="AD141" i="2" s="1"/>
  <c r="AA141" i="2"/>
  <c r="AC141" i="2" s="1"/>
  <c r="AE141" i="2" s="1"/>
  <c r="Z141" i="2"/>
  <c r="Y141" i="2"/>
  <c r="X141" i="2"/>
  <c r="W141" i="2"/>
  <c r="AI140" i="2"/>
  <c r="AG140" i="2"/>
  <c r="AF140" i="2"/>
  <c r="AB140" i="2"/>
  <c r="AD140" i="2" s="1"/>
  <c r="AA140" i="2"/>
  <c r="AC140" i="2" s="1"/>
  <c r="AE140" i="2" s="1"/>
  <c r="Z140" i="2"/>
  <c r="Y140" i="2"/>
  <c r="X140" i="2"/>
  <c r="W140" i="2"/>
  <c r="AI139" i="2"/>
  <c r="AG139" i="2"/>
  <c r="AB139" i="2"/>
  <c r="AD139" i="2" s="1"/>
  <c r="AF139" i="2" s="1"/>
  <c r="AA139" i="2"/>
  <c r="AC139" i="2" s="1"/>
  <c r="AE139" i="2" s="1"/>
  <c r="Z139" i="2"/>
  <c r="Y139" i="2"/>
  <c r="X139" i="2"/>
  <c r="W139" i="2"/>
  <c r="AI138" i="2"/>
  <c r="AG138" i="2"/>
  <c r="AB138" i="2"/>
  <c r="AD138" i="2" s="1"/>
  <c r="AF138" i="2" s="1"/>
  <c r="AA138" i="2"/>
  <c r="AC138" i="2" s="1"/>
  <c r="AE138" i="2" s="1"/>
  <c r="Z138" i="2"/>
  <c r="Y138" i="2"/>
  <c r="X138" i="2"/>
  <c r="W138" i="2"/>
  <c r="AI137" i="2"/>
  <c r="AG137" i="2"/>
  <c r="AB137" i="2"/>
  <c r="AD137" i="2" s="1"/>
  <c r="AF137" i="2" s="1"/>
  <c r="AA137" i="2"/>
  <c r="AC137" i="2" s="1"/>
  <c r="AE137" i="2" s="1"/>
  <c r="Z137" i="2"/>
  <c r="Y137" i="2"/>
  <c r="X137" i="2"/>
  <c r="W137" i="2"/>
  <c r="AI136" i="2"/>
  <c r="AG136" i="2"/>
  <c r="AF136" i="2"/>
  <c r="AB136" i="2"/>
  <c r="AD136" i="2" s="1"/>
  <c r="AA136" i="2"/>
  <c r="AC136" i="2" s="1"/>
  <c r="AE136" i="2" s="1"/>
  <c r="Z136" i="2"/>
  <c r="Y136" i="2"/>
  <c r="X136" i="2"/>
  <c r="W136" i="2"/>
  <c r="AI135" i="2"/>
  <c r="AG135" i="2"/>
  <c r="AB135" i="2"/>
  <c r="AD135" i="2" s="1"/>
  <c r="AF135" i="2" s="1"/>
  <c r="AA135" i="2"/>
  <c r="AC135" i="2" s="1"/>
  <c r="AE135" i="2" s="1"/>
  <c r="Z135" i="2"/>
  <c r="Y135" i="2"/>
  <c r="X135" i="2"/>
  <c r="W135" i="2"/>
  <c r="AI134" i="2"/>
  <c r="AG134" i="2"/>
  <c r="AB134" i="2"/>
  <c r="AD134" i="2" s="1"/>
  <c r="AF134" i="2" s="1"/>
  <c r="AA134" i="2"/>
  <c r="AC134" i="2" s="1"/>
  <c r="AE134" i="2" s="1"/>
  <c r="Z134" i="2"/>
  <c r="Y134" i="2"/>
  <c r="X134" i="2"/>
  <c r="W134" i="2"/>
  <c r="AI133" i="2"/>
  <c r="AG133" i="2"/>
  <c r="AB133" i="2"/>
  <c r="AD133" i="2" s="1"/>
  <c r="AF133" i="2" s="1"/>
  <c r="AA133" i="2"/>
  <c r="AC133" i="2" s="1"/>
  <c r="AE133" i="2" s="1"/>
  <c r="Z133" i="2"/>
  <c r="Y133" i="2"/>
  <c r="X133" i="2"/>
  <c r="W133" i="2"/>
  <c r="AI132" i="2"/>
  <c r="AG132" i="2"/>
  <c r="AB132" i="2"/>
  <c r="AD132" i="2" s="1"/>
  <c r="AF132" i="2" s="1"/>
  <c r="AA132" i="2"/>
  <c r="AC132" i="2" s="1"/>
  <c r="AE132" i="2" s="1"/>
  <c r="Z132" i="2"/>
  <c r="Y132" i="2"/>
  <c r="X132" i="2"/>
  <c r="W132" i="2"/>
  <c r="AI131" i="2"/>
  <c r="AG131" i="2"/>
  <c r="AB131" i="2"/>
  <c r="AD131" i="2" s="1"/>
  <c r="AF131" i="2" s="1"/>
  <c r="AA131" i="2"/>
  <c r="AC131" i="2" s="1"/>
  <c r="AE131" i="2" s="1"/>
  <c r="Z131" i="2"/>
  <c r="Y131" i="2"/>
  <c r="X131" i="2"/>
  <c r="W131" i="2"/>
  <c r="AI130" i="2"/>
  <c r="AG130" i="2"/>
  <c r="AB130" i="2"/>
  <c r="AD130" i="2" s="1"/>
  <c r="AF130" i="2" s="1"/>
  <c r="AA130" i="2"/>
  <c r="AC130" i="2" s="1"/>
  <c r="AE130" i="2" s="1"/>
  <c r="Z130" i="2"/>
  <c r="Y130" i="2"/>
  <c r="X130" i="2"/>
  <c r="W130" i="2"/>
  <c r="AI129" i="2"/>
  <c r="AG129" i="2"/>
  <c r="AB129" i="2"/>
  <c r="AD129" i="2" s="1"/>
  <c r="AF129" i="2" s="1"/>
  <c r="AA129" i="2"/>
  <c r="AC129" i="2" s="1"/>
  <c r="AE129" i="2" s="1"/>
  <c r="Z129" i="2"/>
  <c r="Y129" i="2"/>
  <c r="X129" i="2"/>
  <c r="W129" i="2"/>
  <c r="AI128" i="2"/>
  <c r="AG128" i="2"/>
  <c r="AB128" i="2"/>
  <c r="AD128" i="2" s="1"/>
  <c r="AF128" i="2" s="1"/>
  <c r="AA128" i="2"/>
  <c r="AC128" i="2" s="1"/>
  <c r="AE128" i="2" s="1"/>
  <c r="Z128" i="2"/>
  <c r="Y128" i="2"/>
  <c r="X128" i="2"/>
  <c r="W128" i="2"/>
  <c r="AI127" i="2"/>
  <c r="AG127" i="2"/>
  <c r="AB127" i="2"/>
  <c r="AD127" i="2" s="1"/>
  <c r="AF127" i="2" s="1"/>
  <c r="AA127" i="2"/>
  <c r="AC127" i="2" s="1"/>
  <c r="AE127" i="2" s="1"/>
  <c r="Z127" i="2"/>
  <c r="Y127" i="2"/>
  <c r="X127" i="2"/>
  <c r="W127" i="2"/>
  <c r="AI126" i="2"/>
  <c r="AG126" i="2"/>
  <c r="AB126" i="2"/>
  <c r="AD126" i="2" s="1"/>
  <c r="AF126" i="2" s="1"/>
  <c r="AA126" i="2"/>
  <c r="AC126" i="2" s="1"/>
  <c r="AE126" i="2" s="1"/>
  <c r="Z126" i="2"/>
  <c r="Y126" i="2"/>
  <c r="X126" i="2"/>
  <c r="W126" i="2"/>
  <c r="AI125" i="2"/>
  <c r="AG125" i="2"/>
  <c r="AB125" i="2"/>
  <c r="AD125" i="2" s="1"/>
  <c r="AF125" i="2" s="1"/>
  <c r="AA125" i="2"/>
  <c r="AC125" i="2" s="1"/>
  <c r="AE125" i="2" s="1"/>
  <c r="Z125" i="2"/>
  <c r="Y125" i="2"/>
  <c r="X125" i="2"/>
  <c r="W125" i="2"/>
  <c r="AI124" i="2"/>
  <c r="AG124" i="2"/>
  <c r="AB124" i="2"/>
  <c r="AD124" i="2" s="1"/>
  <c r="AF124" i="2" s="1"/>
  <c r="AA124" i="2"/>
  <c r="AC124" i="2" s="1"/>
  <c r="AE124" i="2" s="1"/>
  <c r="Z124" i="2"/>
  <c r="Y124" i="2"/>
  <c r="X124" i="2"/>
  <c r="W124" i="2"/>
  <c r="AI123" i="2"/>
  <c r="AG123" i="2"/>
  <c r="AB123" i="2"/>
  <c r="AD123" i="2" s="1"/>
  <c r="AF123" i="2" s="1"/>
  <c r="AA123" i="2"/>
  <c r="AC123" i="2" s="1"/>
  <c r="AE123" i="2" s="1"/>
  <c r="Z123" i="2"/>
  <c r="Y123" i="2"/>
  <c r="X123" i="2"/>
  <c r="W123" i="2"/>
  <c r="AI122" i="2"/>
  <c r="AG122" i="2"/>
  <c r="AB122" i="2"/>
  <c r="AD122" i="2" s="1"/>
  <c r="AF122" i="2" s="1"/>
  <c r="AA122" i="2"/>
  <c r="AC122" i="2" s="1"/>
  <c r="AE122" i="2" s="1"/>
  <c r="Z122" i="2"/>
  <c r="Y122" i="2"/>
  <c r="X122" i="2"/>
  <c r="W122" i="2"/>
  <c r="AI121" i="2"/>
  <c r="AG121" i="2"/>
  <c r="AB121" i="2"/>
  <c r="AD121" i="2" s="1"/>
  <c r="AF121" i="2" s="1"/>
  <c r="AA121" i="2"/>
  <c r="AC121" i="2" s="1"/>
  <c r="AE121" i="2" s="1"/>
  <c r="Z121" i="2"/>
  <c r="Y121" i="2"/>
  <c r="X121" i="2"/>
  <c r="W121" i="2"/>
  <c r="AI120" i="2"/>
  <c r="AG120" i="2"/>
  <c r="AB120" i="2"/>
  <c r="AD120" i="2" s="1"/>
  <c r="AF120" i="2" s="1"/>
  <c r="AA120" i="2"/>
  <c r="AC120" i="2" s="1"/>
  <c r="AE120" i="2" s="1"/>
  <c r="Z120" i="2"/>
  <c r="Y120" i="2"/>
  <c r="X120" i="2"/>
  <c r="W120" i="2"/>
  <c r="AI119" i="2"/>
  <c r="AG119" i="2"/>
  <c r="AB119" i="2"/>
  <c r="AD119" i="2" s="1"/>
  <c r="AF119" i="2" s="1"/>
  <c r="AA119" i="2"/>
  <c r="AC119" i="2" s="1"/>
  <c r="AE119" i="2" s="1"/>
  <c r="Z119" i="2"/>
  <c r="Y119" i="2"/>
  <c r="X119" i="2"/>
  <c r="W119" i="2"/>
  <c r="AI118" i="2"/>
  <c r="AG118" i="2"/>
  <c r="AB118" i="2"/>
  <c r="AD118" i="2" s="1"/>
  <c r="AF118" i="2" s="1"/>
  <c r="AA118" i="2"/>
  <c r="AC118" i="2" s="1"/>
  <c r="AE118" i="2" s="1"/>
  <c r="Z118" i="2"/>
  <c r="Y118" i="2"/>
  <c r="X118" i="2"/>
  <c r="W118" i="2"/>
  <c r="AI117" i="2"/>
  <c r="AG117" i="2"/>
  <c r="AB117" i="2"/>
  <c r="AD117" i="2" s="1"/>
  <c r="AF117" i="2" s="1"/>
  <c r="AA117" i="2"/>
  <c r="AC117" i="2" s="1"/>
  <c r="AE117" i="2" s="1"/>
  <c r="Z117" i="2"/>
  <c r="Y117" i="2"/>
  <c r="X117" i="2"/>
  <c r="W117" i="2"/>
  <c r="AI116" i="2"/>
  <c r="AG116" i="2"/>
  <c r="AB116" i="2"/>
  <c r="AD116" i="2" s="1"/>
  <c r="AF116" i="2" s="1"/>
  <c r="AA116" i="2"/>
  <c r="AC116" i="2" s="1"/>
  <c r="AE116" i="2" s="1"/>
  <c r="Z116" i="2"/>
  <c r="Y116" i="2"/>
  <c r="X116" i="2"/>
  <c r="W116" i="2"/>
  <c r="AI115" i="2"/>
  <c r="AG115" i="2"/>
  <c r="AB115" i="2"/>
  <c r="AD115" i="2" s="1"/>
  <c r="AF115" i="2" s="1"/>
  <c r="AA115" i="2"/>
  <c r="AC115" i="2" s="1"/>
  <c r="AE115" i="2" s="1"/>
  <c r="Z115" i="2"/>
  <c r="Y115" i="2"/>
  <c r="X115" i="2"/>
  <c r="W115" i="2"/>
  <c r="AI114" i="2"/>
  <c r="AG114" i="2"/>
  <c r="AF114" i="2"/>
  <c r="AB114" i="2"/>
  <c r="AD114" i="2" s="1"/>
  <c r="AA114" i="2"/>
  <c r="AC114" i="2" s="1"/>
  <c r="AE114" i="2" s="1"/>
  <c r="Z114" i="2"/>
  <c r="Y114" i="2"/>
  <c r="X114" i="2"/>
  <c r="W114" i="2"/>
  <c r="AI113" i="2"/>
  <c r="AG113" i="2"/>
  <c r="AB113" i="2"/>
  <c r="AD113" i="2" s="1"/>
  <c r="AF113" i="2" s="1"/>
  <c r="AA113" i="2"/>
  <c r="AC113" i="2" s="1"/>
  <c r="AE113" i="2" s="1"/>
  <c r="Z113" i="2"/>
  <c r="Y113" i="2"/>
  <c r="X113" i="2"/>
  <c r="W113" i="2"/>
  <c r="AI112" i="2"/>
  <c r="AG112" i="2"/>
  <c r="AB112" i="2"/>
  <c r="AD112" i="2" s="1"/>
  <c r="AF112" i="2" s="1"/>
  <c r="AA112" i="2"/>
  <c r="AC112" i="2" s="1"/>
  <c r="AE112" i="2" s="1"/>
  <c r="Z112" i="2"/>
  <c r="Y112" i="2"/>
  <c r="X112" i="2"/>
  <c r="W112" i="2"/>
  <c r="AI111" i="2"/>
  <c r="AG111" i="2"/>
  <c r="AB111" i="2"/>
  <c r="AD111" i="2" s="1"/>
  <c r="AF111" i="2" s="1"/>
  <c r="AA111" i="2"/>
  <c r="AC111" i="2" s="1"/>
  <c r="AE111" i="2" s="1"/>
  <c r="Z111" i="2"/>
  <c r="Y111" i="2"/>
  <c r="X111" i="2"/>
  <c r="W111" i="2"/>
  <c r="AI110" i="2"/>
  <c r="AG110" i="2"/>
  <c r="AB110" i="2"/>
  <c r="AD110" i="2" s="1"/>
  <c r="AF110" i="2" s="1"/>
  <c r="AA110" i="2"/>
  <c r="AC110" i="2" s="1"/>
  <c r="AE110" i="2" s="1"/>
  <c r="Z110" i="2"/>
  <c r="Y110" i="2"/>
  <c r="X110" i="2"/>
  <c r="W110" i="2"/>
  <c r="AI109" i="2"/>
  <c r="AG109" i="2"/>
  <c r="AB109" i="2"/>
  <c r="AD109" i="2" s="1"/>
  <c r="AF109" i="2" s="1"/>
  <c r="AA109" i="2"/>
  <c r="AC109" i="2" s="1"/>
  <c r="AE109" i="2" s="1"/>
  <c r="Z109" i="2"/>
  <c r="Y109" i="2"/>
  <c r="X109" i="2"/>
  <c r="W109" i="2"/>
  <c r="AI108" i="2"/>
  <c r="AG108" i="2"/>
  <c r="AB108" i="2"/>
  <c r="AD108" i="2" s="1"/>
  <c r="AF108" i="2" s="1"/>
  <c r="AA108" i="2"/>
  <c r="AC108" i="2" s="1"/>
  <c r="AE108" i="2" s="1"/>
  <c r="Z108" i="2"/>
  <c r="Y108" i="2"/>
  <c r="X108" i="2"/>
  <c r="W108" i="2"/>
  <c r="AI107" i="2"/>
  <c r="AG107" i="2"/>
  <c r="AB107" i="2"/>
  <c r="AD107" i="2" s="1"/>
  <c r="AF107" i="2" s="1"/>
  <c r="AA107" i="2"/>
  <c r="AC107" i="2" s="1"/>
  <c r="AE107" i="2" s="1"/>
  <c r="Z107" i="2"/>
  <c r="Y107" i="2"/>
  <c r="X107" i="2"/>
  <c r="W107" i="2"/>
  <c r="AI106" i="2"/>
  <c r="AG106" i="2"/>
  <c r="AB106" i="2"/>
  <c r="AD106" i="2" s="1"/>
  <c r="AF106" i="2" s="1"/>
  <c r="AA106" i="2"/>
  <c r="AC106" i="2" s="1"/>
  <c r="AE106" i="2" s="1"/>
  <c r="Z106" i="2"/>
  <c r="Y106" i="2"/>
  <c r="X106" i="2"/>
  <c r="W106" i="2"/>
  <c r="AI105" i="2"/>
  <c r="AG105" i="2"/>
  <c r="AB105" i="2"/>
  <c r="AD105" i="2" s="1"/>
  <c r="AF105" i="2" s="1"/>
  <c r="AA105" i="2"/>
  <c r="AC105" i="2" s="1"/>
  <c r="AE105" i="2" s="1"/>
  <c r="Z105" i="2"/>
  <c r="Y105" i="2"/>
  <c r="X105" i="2"/>
  <c r="W105" i="2"/>
  <c r="AI104" i="2"/>
  <c r="AG104" i="2"/>
  <c r="AB104" i="2"/>
  <c r="AD104" i="2" s="1"/>
  <c r="AF104" i="2" s="1"/>
  <c r="AA104" i="2"/>
  <c r="AC104" i="2" s="1"/>
  <c r="AE104" i="2" s="1"/>
  <c r="Z104" i="2"/>
  <c r="Y104" i="2"/>
  <c r="X104" i="2"/>
  <c r="W104" i="2"/>
  <c r="AI103" i="2"/>
  <c r="AG103" i="2"/>
  <c r="AB103" i="2"/>
  <c r="AD103" i="2" s="1"/>
  <c r="AF103" i="2" s="1"/>
  <c r="AA103" i="2"/>
  <c r="AC103" i="2" s="1"/>
  <c r="AE103" i="2" s="1"/>
  <c r="Z103" i="2"/>
  <c r="Y103" i="2"/>
  <c r="X103" i="2"/>
  <c r="W103" i="2"/>
  <c r="AI102" i="2"/>
  <c r="AG102" i="2"/>
  <c r="AB102" i="2"/>
  <c r="AD102" i="2" s="1"/>
  <c r="AF102" i="2" s="1"/>
  <c r="AA102" i="2"/>
  <c r="AC102" i="2" s="1"/>
  <c r="AE102" i="2" s="1"/>
  <c r="Z102" i="2"/>
  <c r="Y102" i="2"/>
  <c r="X102" i="2"/>
  <c r="W102" i="2"/>
  <c r="AI101" i="2"/>
  <c r="AG101" i="2"/>
  <c r="AB101" i="2"/>
  <c r="AD101" i="2" s="1"/>
  <c r="AF101" i="2" s="1"/>
  <c r="AA101" i="2"/>
  <c r="AC101" i="2" s="1"/>
  <c r="AE101" i="2" s="1"/>
  <c r="Z101" i="2"/>
  <c r="Y101" i="2"/>
  <c r="X101" i="2"/>
  <c r="W101" i="2"/>
  <c r="AI100" i="2"/>
  <c r="AG100" i="2"/>
  <c r="AB100" i="2"/>
  <c r="AD100" i="2" s="1"/>
  <c r="AF100" i="2" s="1"/>
  <c r="AA100" i="2"/>
  <c r="AC100" i="2" s="1"/>
  <c r="AE100" i="2" s="1"/>
  <c r="Z100" i="2"/>
  <c r="Y100" i="2"/>
  <c r="X100" i="2"/>
  <c r="W100" i="2"/>
  <c r="AI99" i="2"/>
  <c r="AG99" i="2"/>
  <c r="AB99" i="2"/>
  <c r="AD99" i="2" s="1"/>
  <c r="AF99" i="2" s="1"/>
  <c r="AA99" i="2"/>
  <c r="AC99" i="2" s="1"/>
  <c r="AE99" i="2" s="1"/>
  <c r="Z99" i="2"/>
  <c r="Y99" i="2"/>
  <c r="X99" i="2"/>
  <c r="W99" i="2"/>
  <c r="AI98" i="2"/>
  <c r="AG98" i="2"/>
  <c r="AB98" i="2"/>
  <c r="AD98" i="2" s="1"/>
  <c r="AF98" i="2" s="1"/>
  <c r="AA98" i="2"/>
  <c r="AC98" i="2" s="1"/>
  <c r="AE98" i="2" s="1"/>
  <c r="Z98" i="2"/>
  <c r="Y98" i="2"/>
  <c r="X98" i="2"/>
  <c r="W98" i="2"/>
  <c r="AI97" i="2"/>
  <c r="AG97" i="2"/>
  <c r="AB97" i="2"/>
  <c r="AD97" i="2" s="1"/>
  <c r="AF97" i="2" s="1"/>
  <c r="AA97" i="2"/>
  <c r="AC97" i="2" s="1"/>
  <c r="AE97" i="2" s="1"/>
  <c r="Z97" i="2"/>
  <c r="Y97" i="2"/>
  <c r="X97" i="2"/>
  <c r="W97" i="2"/>
  <c r="AI96" i="2"/>
  <c r="AG96" i="2"/>
  <c r="AB96" i="2"/>
  <c r="AD96" i="2" s="1"/>
  <c r="AF96" i="2" s="1"/>
  <c r="AA96" i="2"/>
  <c r="AC96" i="2" s="1"/>
  <c r="AE96" i="2" s="1"/>
  <c r="Z96" i="2"/>
  <c r="Y96" i="2"/>
  <c r="X96" i="2"/>
  <c r="W96" i="2"/>
  <c r="AI95" i="2"/>
  <c r="AG95" i="2"/>
  <c r="AB95" i="2"/>
  <c r="AD95" i="2" s="1"/>
  <c r="AF95" i="2" s="1"/>
  <c r="AA95" i="2"/>
  <c r="AC95" i="2" s="1"/>
  <c r="AE95" i="2" s="1"/>
  <c r="Z95" i="2"/>
  <c r="Y95" i="2"/>
  <c r="X95" i="2"/>
  <c r="W95" i="2"/>
  <c r="AI94" i="2"/>
  <c r="AG94" i="2"/>
  <c r="AB94" i="2"/>
  <c r="AD94" i="2" s="1"/>
  <c r="AF94" i="2" s="1"/>
  <c r="AA94" i="2"/>
  <c r="AC94" i="2" s="1"/>
  <c r="AE94" i="2" s="1"/>
  <c r="Z94" i="2"/>
  <c r="Y94" i="2"/>
  <c r="X94" i="2"/>
  <c r="W94" i="2"/>
  <c r="AI93" i="2"/>
  <c r="AG93" i="2"/>
  <c r="AB93" i="2"/>
  <c r="AD93" i="2" s="1"/>
  <c r="AF93" i="2" s="1"/>
  <c r="AA93" i="2"/>
  <c r="AC93" i="2" s="1"/>
  <c r="AE93" i="2" s="1"/>
  <c r="Z93" i="2"/>
  <c r="Y93" i="2"/>
  <c r="X93" i="2"/>
  <c r="W93" i="2"/>
  <c r="AI92" i="2"/>
  <c r="AG92" i="2"/>
  <c r="AB92" i="2"/>
  <c r="AD92" i="2" s="1"/>
  <c r="AF92" i="2" s="1"/>
  <c r="AA92" i="2"/>
  <c r="AC92" i="2" s="1"/>
  <c r="AE92" i="2" s="1"/>
  <c r="Z92" i="2"/>
  <c r="Y92" i="2"/>
  <c r="X92" i="2"/>
  <c r="W92" i="2"/>
  <c r="AI91" i="2"/>
  <c r="AG91" i="2"/>
  <c r="AB91" i="2"/>
  <c r="AD91" i="2" s="1"/>
  <c r="AF91" i="2" s="1"/>
  <c r="AA91" i="2"/>
  <c r="AC91" i="2" s="1"/>
  <c r="AE91" i="2" s="1"/>
  <c r="Z91" i="2"/>
  <c r="Y91" i="2"/>
  <c r="X91" i="2"/>
  <c r="W91" i="2"/>
  <c r="AI90" i="2"/>
  <c r="AG90" i="2"/>
  <c r="AB90" i="2"/>
  <c r="AD90" i="2" s="1"/>
  <c r="AF90" i="2" s="1"/>
  <c r="AA90" i="2"/>
  <c r="AC90" i="2" s="1"/>
  <c r="AE90" i="2" s="1"/>
  <c r="Z90" i="2"/>
  <c r="Y90" i="2"/>
  <c r="X90" i="2"/>
  <c r="W90" i="2"/>
  <c r="AI89" i="2"/>
  <c r="AG89" i="2"/>
  <c r="AB89" i="2"/>
  <c r="AD89" i="2" s="1"/>
  <c r="AF89" i="2" s="1"/>
  <c r="AA89" i="2"/>
  <c r="AC89" i="2" s="1"/>
  <c r="AE89" i="2" s="1"/>
  <c r="Z89" i="2"/>
  <c r="Y89" i="2"/>
  <c r="X89" i="2"/>
  <c r="W89" i="2"/>
  <c r="AI88" i="2"/>
  <c r="AG88" i="2"/>
  <c r="AB88" i="2"/>
  <c r="AD88" i="2" s="1"/>
  <c r="AF88" i="2" s="1"/>
  <c r="AA88" i="2"/>
  <c r="AC88" i="2" s="1"/>
  <c r="AE88" i="2" s="1"/>
  <c r="Z88" i="2"/>
  <c r="Y88" i="2"/>
  <c r="X88" i="2"/>
  <c r="W88" i="2"/>
  <c r="AI87" i="2"/>
  <c r="AG87" i="2"/>
  <c r="AB87" i="2"/>
  <c r="AD87" i="2" s="1"/>
  <c r="AF87" i="2" s="1"/>
  <c r="AA87" i="2"/>
  <c r="AC87" i="2" s="1"/>
  <c r="AE87" i="2" s="1"/>
  <c r="Z87" i="2"/>
  <c r="Y87" i="2"/>
  <c r="X87" i="2"/>
  <c r="W87" i="2"/>
  <c r="AI86" i="2"/>
  <c r="AG86" i="2"/>
  <c r="AB86" i="2"/>
  <c r="AD86" i="2" s="1"/>
  <c r="AF86" i="2" s="1"/>
  <c r="AA86" i="2"/>
  <c r="AC86" i="2" s="1"/>
  <c r="AE86" i="2" s="1"/>
  <c r="Z86" i="2"/>
  <c r="Y86" i="2"/>
  <c r="X86" i="2"/>
  <c r="W86" i="2"/>
  <c r="AI85" i="2"/>
  <c r="AG85" i="2"/>
  <c r="AB85" i="2"/>
  <c r="AD85" i="2" s="1"/>
  <c r="AF85" i="2" s="1"/>
  <c r="AA85" i="2"/>
  <c r="AC85" i="2" s="1"/>
  <c r="AE85" i="2" s="1"/>
  <c r="Z85" i="2"/>
  <c r="Y85" i="2"/>
  <c r="X85" i="2"/>
  <c r="W85" i="2"/>
  <c r="AI84" i="2"/>
  <c r="AG84" i="2"/>
  <c r="AB84" i="2"/>
  <c r="AD84" i="2" s="1"/>
  <c r="AF84" i="2" s="1"/>
  <c r="AA84" i="2"/>
  <c r="AC84" i="2" s="1"/>
  <c r="AE84" i="2" s="1"/>
  <c r="Z84" i="2"/>
  <c r="Y84" i="2"/>
  <c r="X84" i="2"/>
  <c r="W84" i="2"/>
  <c r="AI83" i="2"/>
  <c r="AG83" i="2"/>
  <c r="AB83" i="2"/>
  <c r="AD83" i="2" s="1"/>
  <c r="AF83" i="2" s="1"/>
  <c r="AA83" i="2"/>
  <c r="AC83" i="2" s="1"/>
  <c r="AE83" i="2" s="1"/>
  <c r="Z83" i="2"/>
  <c r="Y83" i="2"/>
  <c r="X83" i="2"/>
  <c r="W83" i="2"/>
  <c r="AI82" i="2"/>
  <c r="AG82" i="2"/>
  <c r="AF82" i="2"/>
  <c r="AB82" i="2"/>
  <c r="AD82" i="2" s="1"/>
  <c r="AA82" i="2"/>
  <c r="AC82" i="2" s="1"/>
  <c r="AE82" i="2" s="1"/>
  <c r="Z82" i="2"/>
  <c r="Y82" i="2"/>
  <c r="X82" i="2"/>
  <c r="W82" i="2"/>
  <c r="AI81" i="2"/>
  <c r="AG81" i="2"/>
  <c r="AF81" i="2"/>
  <c r="AB81" i="2"/>
  <c r="AD81" i="2" s="1"/>
  <c r="AA81" i="2"/>
  <c r="AC81" i="2" s="1"/>
  <c r="AE81" i="2" s="1"/>
  <c r="Z81" i="2"/>
  <c r="Y81" i="2"/>
  <c r="X81" i="2"/>
  <c r="W81" i="2"/>
  <c r="AI80" i="2"/>
  <c r="AG80" i="2"/>
  <c r="AB80" i="2"/>
  <c r="AD80" i="2" s="1"/>
  <c r="AF80" i="2" s="1"/>
  <c r="AA80" i="2"/>
  <c r="AC80" i="2" s="1"/>
  <c r="AE80" i="2" s="1"/>
  <c r="Z80" i="2"/>
  <c r="Y80" i="2"/>
  <c r="X80" i="2"/>
  <c r="W80" i="2"/>
  <c r="AI79" i="2"/>
  <c r="AG79" i="2"/>
  <c r="AB79" i="2"/>
  <c r="AD79" i="2" s="1"/>
  <c r="AF79" i="2" s="1"/>
  <c r="AA79" i="2"/>
  <c r="AC79" i="2" s="1"/>
  <c r="AE79" i="2" s="1"/>
  <c r="Z79" i="2"/>
  <c r="Y79" i="2"/>
  <c r="X79" i="2"/>
  <c r="W79" i="2"/>
  <c r="AI78" i="2"/>
  <c r="AG78" i="2"/>
  <c r="AB78" i="2"/>
  <c r="AD78" i="2" s="1"/>
  <c r="AF78" i="2" s="1"/>
  <c r="AA78" i="2"/>
  <c r="AC78" i="2" s="1"/>
  <c r="AE78" i="2" s="1"/>
  <c r="Z78" i="2"/>
  <c r="Y78" i="2"/>
  <c r="X78" i="2"/>
  <c r="W78" i="2"/>
  <c r="AI77" i="2"/>
  <c r="AG77" i="2"/>
  <c r="AB77" i="2"/>
  <c r="AD77" i="2" s="1"/>
  <c r="AF77" i="2" s="1"/>
  <c r="AA77" i="2"/>
  <c r="AC77" i="2" s="1"/>
  <c r="AE77" i="2" s="1"/>
  <c r="Z77" i="2"/>
  <c r="Y77" i="2"/>
  <c r="X77" i="2"/>
  <c r="W77" i="2"/>
  <c r="AI76" i="2"/>
  <c r="AG76" i="2"/>
  <c r="AB76" i="2"/>
  <c r="AD76" i="2" s="1"/>
  <c r="AF76" i="2" s="1"/>
  <c r="AA76" i="2"/>
  <c r="AC76" i="2" s="1"/>
  <c r="AE76" i="2" s="1"/>
  <c r="Z76" i="2"/>
  <c r="Y76" i="2"/>
  <c r="X76" i="2"/>
  <c r="W76" i="2"/>
  <c r="AI75" i="2"/>
  <c r="AG75" i="2"/>
  <c r="AB75" i="2"/>
  <c r="AD75" i="2" s="1"/>
  <c r="AF75" i="2" s="1"/>
  <c r="AA75" i="2"/>
  <c r="AC75" i="2" s="1"/>
  <c r="AE75" i="2" s="1"/>
  <c r="Z75" i="2"/>
  <c r="Y75" i="2"/>
  <c r="X75" i="2"/>
  <c r="W75" i="2"/>
  <c r="AI74" i="2"/>
  <c r="AG74" i="2"/>
  <c r="AB74" i="2"/>
  <c r="AD74" i="2" s="1"/>
  <c r="AF74" i="2" s="1"/>
  <c r="AA74" i="2"/>
  <c r="AC74" i="2" s="1"/>
  <c r="AE74" i="2" s="1"/>
  <c r="Z74" i="2"/>
  <c r="Y74" i="2"/>
  <c r="X74" i="2"/>
  <c r="W74" i="2"/>
  <c r="AI73" i="2"/>
  <c r="AG73" i="2"/>
  <c r="AB73" i="2"/>
  <c r="AD73" i="2" s="1"/>
  <c r="AF73" i="2" s="1"/>
  <c r="AA73" i="2"/>
  <c r="AC73" i="2" s="1"/>
  <c r="AE73" i="2" s="1"/>
  <c r="Z73" i="2"/>
  <c r="Y73" i="2"/>
  <c r="X73" i="2"/>
  <c r="W73" i="2"/>
  <c r="AI72" i="2"/>
  <c r="AG72" i="2"/>
  <c r="AB72" i="2"/>
  <c r="AD72" i="2" s="1"/>
  <c r="AF72" i="2" s="1"/>
  <c r="AA72" i="2"/>
  <c r="AC72" i="2" s="1"/>
  <c r="AE72" i="2" s="1"/>
  <c r="Z72" i="2"/>
  <c r="Y72" i="2"/>
  <c r="X72" i="2"/>
  <c r="W72" i="2"/>
  <c r="AI71" i="2"/>
  <c r="AG71" i="2"/>
  <c r="AB71" i="2"/>
  <c r="AD71" i="2" s="1"/>
  <c r="AF71" i="2" s="1"/>
  <c r="AA71" i="2"/>
  <c r="AC71" i="2" s="1"/>
  <c r="AE71" i="2" s="1"/>
  <c r="Z71" i="2"/>
  <c r="Y71" i="2"/>
  <c r="X71" i="2"/>
  <c r="W71" i="2"/>
  <c r="AI70" i="2"/>
  <c r="AG70" i="2"/>
  <c r="AF70" i="2"/>
  <c r="AB70" i="2"/>
  <c r="AD70" i="2" s="1"/>
  <c r="AA70" i="2"/>
  <c r="AC70" i="2" s="1"/>
  <c r="AE70" i="2" s="1"/>
  <c r="Z70" i="2"/>
  <c r="Y70" i="2"/>
  <c r="X70" i="2"/>
  <c r="W70" i="2"/>
  <c r="AI69" i="2"/>
  <c r="AG69" i="2"/>
  <c r="AB69" i="2"/>
  <c r="AD69" i="2" s="1"/>
  <c r="AF69" i="2" s="1"/>
  <c r="AA69" i="2"/>
  <c r="AC69" i="2" s="1"/>
  <c r="AE69" i="2" s="1"/>
  <c r="Z69" i="2"/>
  <c r="Y69" i="2"/>
  <c r="X69" i="2"/>
  <c r="W69" i="2"/>
  <c r="AI68" i="2"/>
  <c r="AG68" i="2"/>
  <c r="AB68" i="2"/>
  <c r="AD68" i="2" s="1"/>
  <c r="AF68" i="2" s="1"/>
  <c r="AA68" i="2"/>
  <c r="AC68" i="2" s="1"/>
  <c r="AE68" i="2" s="1"/>
  <c r="Z68" i="2"/>
  <c r="Y68" i="2"/>
  <c r="X68" i="2"/>
  <c r="W68" i="2"/>
  <c r="AI67" i="2"/>
  <c r="AG67" i="2"/>
  <c r="AB67" i="2"/>
  <c r="AD67" i="2" s="1"/>
  <c r="AF67" i="2" s="1"/>
  <c r="AA67" i="2"/>
  <c r="AC67" i="2" s="1"/>
  <c r="AE67" i="2" s="1"/>
  <c r="Z67" i="2"/>
  <c r="Y67" i="2"/>
  <c r="X67" i="2"/>
  <c r="W67" i="2"/>
  <c r="AI66" i="2"/>
  <c r="AG66" i="2"/>
  <c r="AB66" i="2"/>
  <c r="AD66" i="2" s="1"/>
  <c r="AF66" i="2" s="1"/>
  <c r="AA66" i="2"/>
  <c r="AC66" i="2" s="1"/>
  <c r="AE66" i="2" s="1"/>
  <c r="Z66" i="2"/>
  <c r="Y66" i="2"/>
  <c r="X66" i="2"/>
  <c r="W66" i="2"/>
  <c r="AI65" i="2"/>
  <c r="AG65" i="2"/>
  <c r="AB65" i="2"/>
  <c r="AD65" i="2" s="1"/>
  <c r="AF65" i="2" s="1"/>
  <c r="AA65" i="2"/>
  <c r="AC65" i="2" s="1"/>
  <c r="AE65" i="2" s="1"/>
  <c r="Z65" i="2"/>
  <c r="Y65" i="2"/>
  <c r="X65" i="2"/>
  <c r="W65" i="2"/>
  <c r="AI64" i="2"/>
  <c r="AG64" i="2"/>
  <c r="AB64" i="2"/>
  <c r="AD64" i="2" s="1"/>
  <c r="AF64" i="2" s="1"/>
  <c r="AA64" i="2"/>
  <c r="AC64" i="2" s="1"/>
  <c r="AE64" i="2" s="1"/>
  <c r="Z64" i="2"/>
  <c r="Y64" i="2"/>
  <c r="X64" i="2"/>
  <c r="W64" i="2"/>
  <c r="AI63" i="2"/>
  <c r="AG63" i="2"/>
  <c r="AB63" i="2"/>
  <c r="AD63" i="2" s="1"/>
  <c r="AF63" i="2" s="1"/>
  <c r="AA63" i="2"/>
  <c r="AC63" i="2" s="1"/>
  <c r="AE63" i="2" s="1"/>
  <c r="Z63" i="2"/>
  <c r="Y63" i="2"/>
  <c r="X63" i="2"/>
  <c r="W63" i="2"/>
  <c r="AI62" i="2"/>
  <c r="AG62" i="2"/>
  <c r="AB62" i="2"/>
  <c r="AD62" i="2" s="1"/>
  <c r="AF62" i="2" s="1"/>
  <c r="AA62" i="2"/>
  <c r="AC62" i="2" s="1"/>
  <c r="AE62" i="2" s="1"/>
  <c r="Z62" i="2"/>
  <c r="Y62" i="2"/>
  <c r="X62" i="2"/>
  <c r="W62" i="2"/>
  <c r="AI61" i="2"/>
  <c r="AG61" i="2"/>
  <c r="AB61" i="2"/>
  <c r="AD61" i="2" s="1"/>
  <c r="AF61" i="2" s="1"/>
  <c r="AA61" i="2"/>
  <c r="AC61" i="2" s="1"/>
  <c r="AE61" i="2" s="1"/>
  <c r="Z61" i="2"/>
  <c r="Y61" i="2"/>
  <c r="X61" i="2"/>
  <c r="W61" i="2"/>
  <c r="AI60" i="2"/>
  <c r="AG60" i="2"/>
  <c r="AB60" i="2"/>
  <c r="AD60" i="2" s="1"/>
  <c r="AF60" i="2" s="1"/>
  <c r="AA60" i="2"/>
  <c r="AC60" i="2" s="1"/>
  <c r="AE60" i="2" s="1"/>
  <c r="Z60" i="2"/>
  <c r="Y60" i="2"/>
  <c r="X60" i="2"/>
  <c r="W60" i="2"/>
  <c r="AI59" i="2"/>
  <c r="AG59" i="2"/>
  <c r="AB59" i="2"/>
  <c r="AD59" i="2" s="1"/>
  <c r="AF59" i="2" s="1"/>
  <c r="AA59" i="2"/>
  <c r="AC59" i="2" s="1"/>
  <c r="AE59" i="2" s="1"/>
  <c r="Z59" i="2"/>
  <c r="Y59" i="2"/>
  <c r="X59" i="2"/>
  <c r="W59" i="2"/>
  <c r="AI58" i="2"/>
  <c r="AG58" i="2"/>
  <c r="AB58" i="2"/>
  <c r="AD58" i="2" s="1"/>
  <c r="AF58" i="2" s="1"/>
  <c r="AA58" i="2"/>
  <c r="AC58" i="2" s="1"/>
  <c r="AE58" i="2" s="1"/>
  <c r="Z58" i="2"/>
  <c r="Y58" i="2"/>
  <c r="X58" i="2"/>
  <c r="W58" i="2"/>
  <c r="AI57" i="2"/>
  <c r="AG57" i="2"/>
  <c r="AB57" i="2"/>
  <c r="AD57" i="2" s="1"/>
  <c r="AF57" i="2" s="1"/>
  <c r="AA57" i="2"/>
  <c r="AC57" i="2" s="1"/>
  <c r="AE57" i="2" s="1"/>
  <c r="Z57" i="2"/>
  <c r="Y57" i="2"/>
  <c r="X57" i="2"/>
  <c r="W57" i="2"/>
  <c r="AI56" i="2"/>
  <c r="AG56" i="2"/>
  <c r="AB56" i="2"/>
  <c r="AD56" i="2" s="1"/>
  <c r="AF56" i="2" s="1"/>
  <c r="AA56" i="2"/>
  <c r="AC56" i="2" s="1"/>
  <c r="AE56" i="2" s="1"/>
  <c r="Z56" i="2"/>
  <c r="Y56" i="2"/>
  <c r="X56" i="2"/>
  <c r="W56" i="2"/>
  <c r="AI55" i="2"/>
  <c r="AG55" i="2"/>
  <c r="AB55" i="2"/>
  <c r="AD55" i="2" s="1"/>
  <c r="AF55" i="2" s="1"/>
  <c r="AA55" i="2"/>
  <c r="AC55" i="2" s="1"/>
  <c r="AE55" i="2" s="1"/>
  <c r="Z55" i="2"/>
  <c r="Y55" i="2"/>
  <c r="X55" i="2"/>
  <c r="W55" i="2"/>
  <c r="AI54" i="2"/>
  <c r="AG54" i="2"/>
  <c r="AB54" i="2"/>
  <c r="AD54" i="2" s="1"/>
  <c r="AF54" i="2" s="1"/>
  <c r="AA54" i="2"/>
  <c r="AC54" i="2" s="1"/>
  <c r="AE54" i="2" s="1"/>
  <c r="Z54" i="2"/>
  <c r="Y54" i="2"/>
  <c r="X54" i="2"/>
  <c r="W54" i="2"/>
  <c r="AI53" i="2"/>
  <c r="AG53" i="2"/>
  <c r="AB53" i="2"/>
  <c r="AD53" i="2" s="1"/>
  <c r="AF53" i="2" s="1"/>
  <c r="AA53" i="2"/>
  <c r="AC53" i="2" s="1"/>
  <c r="AE53" i="2" s="1"/>
  <c r="Z53" i="2"/>
  <c r="Y53" i="2"/>
  <c r="X53" i="2"/>
  <c r="W53" i="2"/>
  <c r="AI52" i="2"/>
  <c r="AG52" i="2"/>
  <c r="AB52" i="2"/>
  <c r="AD52" i="2" s="1"/>
  <c r="AF52" i="2" s="1"/>
  <c r="AA52" i="2"/>
  <c r="AC52" i="2" s="1"/>
  <c r="AE52" i="2" s="1"/>
  <c r="Z52" i="2"/>
  <c r="Y52" i="2"/>
  <c r="X52" i="2"/>
  <c r="W52" i="2"/>
  <c r="AI51" i="2"/>
  <c r="AG51" i="2"/>
  <c r="AB51" i="2"/>
  <c r="AD51" i="2" s="1"/>
  <c r="AF51" i="2" s="1"/>
  <c r="AA51" i="2"/>
  <c r="AC51" i="2" s="1"/>
  <c r="AE51" i="2" s="1"/>
  <c r="Z51" i="2"/>
  <c r="Y51" i="2"/>
  <c r="X51" i="2"/>
  <c r="W51" i="2"/>
  <c r="AI50" i="2"/>
  <c r="AG50" i="2"/>
  <c r="AB50" i="2"/>
  <c r="AD50" i="2" s="1"/>
  <c r="AF50" i="2" s="1"/>
  <c r="AA50" i="2"/>
  <c r="AC50" i="2" s="1"/>
  <c r="AE50" i="2" s="1"/>
  <c r="Z50" i="2"/>
  <c r="Y50" i="2"/>
  <c r="X50" i="2"/>
  <c r="W50" i="2"/>
  <c r="AI49" i="2"/>
  <c r="AG49" i="2"/>
  <c r="AB49" i="2"/>
  <c r="AD49" i="2" s="1"/>
  <c r="AF49" i="2" s="1"/>
  <c r="AA49" i="2"/>
  <c r="AC49" i="2" s="1"/>
  <c r="AE49" i="2" s="1"/>
  <c r="Z49" i="2"/>
  <c r="Y49" i="2"/>
  <c r="X49" i="2"/>
  <c r="W49" i="2"/>
  <c r="AI48" i="2"/>
  <c r="AG48" i="2"/>
  <c r="AB48" i="2"/>
  <c r="AD48" i="2" s="1"/>
  <c r="AF48" i="2" s="1"/>
  <c r="AA48" i="2"/>
  <c r="AC48" i="2" s="1"/>
  <c r="AE48" i="2" s="1"/>
  <c r="Z48" i="2"/>
  <c r="Y48" i="2"/>
  <c r="X48" i="2"/>
  <c r="W48" i="2"/>
  <c r="AI47" i="2"/>
  <c r="AG47" i="2"/>
  <c r="AB47" i="2"/>
  <c r="AD47" i="2" s="1"/>
  <c r="AF47" i="2" s="1"/>
  <c r="AA47" i="2"/>
  <c r="AC47" i="2" s="1"/>
  <c r="AE47" i="2" s="1"/>
  <c r="Z47" i="2"/>
  <c r="Y47" i="2"/>
  <c r="X47" i="2"/>
  <c r="W47" i="2"/>
  <c r="AI46" i="2"/>
  <c r="AG46" i="2"/>
  <c r="AB46" i="2"/>
  <c r="AD46" i="2" s="1"/>
  <c r="AF46" i="2" s="1"/>
  <c r="AA46" i="2"/>
  <c r="AC46" i="2" s="1"/>
  <c r="AE46" i="2" s="1"/>
  <c r="Z46" i="2"/>
  <c r="Y46" i="2"/>
  <c r="X46" i="2"/>
  <c r="W46" i="2"/>
  <c r="AI45" i="2"/>
  <c r="AG45" i="2"/>
  <c r="AB45" i="2"/>
  <c r="AD45" i="2" s="1"/>
  <c r="AF45" i="2" s="1"/>
  <c r="AA45" i="2"/>
  <c r="AC45" i="2" s="1"/>
  <c r="AE45" i="2" s="1"/>
  <c r="Z45" i="2"/>
  <c r="Y45" i="2"/>
  <c r="X45" i="2"/>
  <c r="W45" i="2"/>
  <c r="AI44" i="2"/>
  <c r="AG44" i="2"/>
  <c r="AB44" i="2"/>
  <c r="AD44" i="2" s="1"/>
  <c r="AF44" i="2" s="1"/>
  <c r="AA44" i="2"/>
  <c r="AC44" i="2" s="1"/>
  <c r="AE44" i="2" s="1"/>
  <c r="Z44" i="2"/>
  <c r="Y44" i="2"/>
  <c r="X44" i="2"/>
  <c r="W44" i="2"/>
  <c r="AI43" i="2"/>
  <c r="AG43" i="2"/>
  <c r="AB43" i="2"/>
  <c r="AD43" i="2" s="1"/>
  <c r="AF43" i="2" s="1"/>
  <c r="AA43" i="2"/>
  <c r="AC43" i="2" s="1"/>
  <c r="AE43" i="2" s="1"/>
  <c r="Z43" i="2"/>
  <c r="Y43" i="2"/>
  <c r="X43" i="2"/>
  <c r="W43" i="2"/>
  <c r="AI42" i="2"/>
  <c r="AG42" i="2"/>
  <c r="AB42" i="2"/>
  <c r="AD42" i="2" s="1"/>
  <c r="AF42" i="2" s="1"/>
  <c r="AA42" i="2"/>
  <c r="AC42" i="2" s="1"/>
  <c r="AE42" i="2" s="1"/>
  <c r="Z42" i="2"/>
  <c r="Y42" i="2"/>
  <c r="X42" i="2"/>
  <c r="W42" i="2"/>
  <c r="AI41" i="2"/>
  <c r="AG41" i="2"/>
  <c r="AB41" i="2"/>
  <c r="AD41" i="2" s="1"/>
  <c r="AF41" i="2" s="1"/>
  <c r="AA41" i="2"/>
  <c r="AC41" i="2" s="1"/>
  <c r="AE41" i="2" s="1"/>
  <c r="Z41" i="2"/>
  <c r="Y41" i="2"/>
  <c r="X41" i="2"/>
  <c r="W41" i="2"/>
  <c r="AI40" i="2"/>
  <c r="AG40" i="2"/>
  <c r="AB40" i="2"/>
  <c r="AD40" i="2" s="1"/>
  <c r="AF40" i="2" s="1"/>
  <c r="AA40" i="2"/>
  <c r="AC40" i="2" s="1"/>
  <c r="AE40" i="2" s="1"/>
  <c r="Z40" i="2"/>
  <c r="Y40" i="2"/>
  <c r="X40" i="2"/>
  <c r="W40" i="2"/>
  <c r="AI39" i="2"/>
  <c r="AG39" i="2"/>
  <c r="AB39" i="2"/>
  <c r="AD39" i="2" s="1"/>
  <c r="AF39" i="2" s="1"/>
  <c r="AA39" i="2"/>
  <c r="AC39" i="2" s="1"/>
  <c r="AE39" i="2" s="1"/>
  <c r="Z39" i="2"/>
  <c r="Y39" i="2"/>
  <c r="X39" i="2"/>
  <c r="W39" i="2"/>
  <c r="AI38" i="2"/>
  <c r="AG38" i="2"/>
  <c r="AB38" i="2"/>
  <c r="AD38" i="2" s="1"/>
  <c r="AF38" i="2" s="1"/>
  <c r="AA38" i="2"/>
  <c r="AC38" i="2" s="1"/>
  <c r="AE38" i="2" s="1"/>
  <c r="Z38" i="2"/>
  <c r="Y38" i="2"/>
  <c r="X38" i="2"/>
  <c r="W38" i="2"/>
  <c r="AI37" i="2"/>
  <c r="AG37" i="2"/>
  <c r="AB37" i="2"/>
  <c r="AD37" i="2" s="1"/>
  <c r="AF37" i="2" s="1"/>
  <c r="AA37" i="2"/>
  <c r="AC37" i="2" s="1"/>
  <c r="AE37" i="2" s="1"/>
  <c r="Z37" i="2"/>
  <c r="Y37" i="2"/>
  <c r="X37" i="2"/>
  <c r="W37" i="2"/>
  <c r="AI36" i="2"/>
  <c r="AG36" i="2"/>
  <c r="AB36" i="2"/>
  <c r="AD36" i="2" s="1"/>
  <c r="AF36" i="2" s="1"/>
  <c r="AA36" i="2"/>
  <c r="AC36" i="2" s="1"/>
  <c r="AE36" i="2" s="1"/>
  <c r="Z36" i="2"/>
  <c r="Y36" i="2"/>
  <c r="X36" i="2"/>
  <c r="W36" i="2"/>
  <c r="AI35" i="2"/>
  <c r="AG35" i="2"/>
  <c r="AB35" i="2"/>
  <c r="AD35" i="2" s="1"/>
  <c r="AF35" i="2" s="1"/>
  <c r="AA35" i="2"/>
  <c r="AC35" i="2" s="1"/>
  <c r="AE35" i="2" s="1"/>
  <c r="Z35" i="2"/>
  <c r="Y35" i="2"/>
  <c r="X35" i="2"/>
  <c r="W35" i="2"/>
  <c r="AI34" i="2"/>
  <c r="AG34" i="2"/>
  <c r="AB34" i="2"/>
  <c r="AD34" i="2" s="1"/>
  <c r="AF34" i="2" s="1"/>
  <c r="AA34" i="2"/>
  <c r="AC34" i="2" s="1"/>
  <c r="AE34" i="2" s="1"/>
  <c r="Z34" i="2"/>
  <c r="Y34" i="2"/>
  <c r="X34" i="2"/>
  <c r="W34" i="2"/>
  <c r="AI33" i="2"/>
  <c r="AG33" i="2"/>
  <c r="AB33" i="2"/>
  <c r="AD33" i="2" s="1"/>
  <c r="AF33" i="2" s="1"/>
  <c r="AA33" i="2"/>
  <c r="AC33" i="2" s="1"/>
  <c r="AE33" i="2" s="1"/>
  <c r="Z33" i="2"/>
  <c r="Y33" i="2"/>
  <c r="X33" i="2"/>
  <c r="W33" i="2"/>
  <c r="AI32" i="2"/>
  <c r="AG32" i="2"/>
  <c r="AB32" i="2"/>
  <c r="AD32" i="2" s="1"/>
  <c r="AF32" i="2" s="1"/>
  <c r="AA32" i="2"/>
  <c r="AC32" i="2" s="1"/>
  <c r="AE32" i="2" s="1"/>
  <c r="Z32" i="2"/>
  <c r="Y32" i="2"/>
  <c r="X32" i="2"/>
  <c r="W32" i="2"/>
  <c r="AI31" i="2"/>
  <c r="AG31" i="2"/>
  <c r="AB31" i="2"/>
  <c r="AD31" i="2" s="1"/>
  <c r="AF31" i="2" s="1"/>
  <c r="AA31" i="2"/>
  <c r="AC31" i="2" s="1"/>
  <c r="AE31" i="2" s="1"/>
  <c r="Z31" i="2"/>
  <c r="Y31" i="2"/>
  <c r="X31" i="2"/>
  <c r="W31" i="2"/>
  <c r="AI30" i="2"/>
  <c r="AG30" i="2"/>
  <c r="AB30" i="2"/>
  <c r="AD30" i="2" s="1"/>
  <c r="AF30" i="2" s="1"/>
  <c r="AA30" i="2"/>
  <c r="AC30" i="2" s="1"/>
  <c r="AE30" i="2" s="1"/>
  <c r="Z30" i="2"/>
  <c r="Y30" i="2"/>
  <c r="X30" i="2"/>
  <c r="W30" i="2"/>
  <c r="AI29" i="2"/>
  <c r="AG29" i="2"/>
  <c r="AB29" i="2"/>
  <c r="AD29" i="2" s="1"/>
  <c r="AF29" i="2" s="1"/>
  <c r="AA29" i="2"/>
  <c r="AC29" i="2" s="1"/>
  <c r="AE29" i="2" s="1"/>
  <c r="Z29" i="2"/>
  <c r="Y29" i="2"/>
  <c r="X29" i="2"/>
  <c r="W29" i="2"/>
  <c r="AI28" i="2"/>
  <c r="AG28" i="2"/>
  <c r="AB28" i="2"/>
  <c r="AD28" i="2" s="1"/>
  <c r="AF28" i="2" s="1"/>
  <c r="AA28" i="2"/>
  <c r="AC28" i="2" s="1"/>
  <c r="AE28" i="2" s="1"/>
  <c r="Z28" i="2"/>
  <c r="Y28" i="2"/>
  <c r="X28" i="2"/>
  <c r="W28" i="2"/>
  <c r="AI27" i="2"/>
  <c r="AG27" i="2"/>
  <c r="AB27" i="2"/>
  <c r="AD27" i="2" s="1"/>
  <c r="AF27" i="2" s="1"/>
  <c r="AA27" i="2"/>
  <c r="AC27" i="2" s="1"/>
  <c r="AE27" i="2" s="1"/>
  <c r="Z27" i="2"/>
  <c r="Y27" i="2"/>
  <c r="X27" i="2"/>
  <c r="W27" i="2"/>
  <c r="AI26" i="2"/>
  <c r="AG26" i="2"/>
  <c r="AB26" i="2"/>
  <c r="AD26" i="2" s="1"/>
  <c r="AF26" i="2" s="1"/>
  <c r="AA26" i="2"/>
  <c r="AC26" i="2" s="1"/>
  <c r="AE26" i="2" s="1"/>
  <c r="Z26" i="2"/>
  <c r="Y26" i="2"/>
  <c r="X26" i="2"/>
  <c r="W26" i="2"/>
  <c r="AI25" i="2"/>
  <c r="AG25" i="2"/>
  <c r="AB25" i="2"/>
  <c r="AD25" i="2" s="1"/>
  <c r="AF25" i="2" s="1"/>
  <c r="AA25" i="2"/>
  <c r="AC25" i="2" s="1"/>
  <c r="AE25" i="2" s="1"/>
  <c r="Z25" i="2"/>
  <c r="Y25" i="2"/>
  <c r="X25" i="2"/>
  <c r="W25" i="2"/>
  <c r="AI24" i="2"/>
  <c r="AG24" i="2"/>
  <c r="AB24" i="2"/>
  <c r="AD24" i="2" s="1"/>
  <c r="AF24" i="2" s="1"/>
  <c r="AA24" i="2"/>
  <c r="AC24" i="2" s="1"/>
  <c r="AE24" i="2" s="1"/>
  <c r="Z24" i="2"/>
  <c r="Y24" i="2"/>
  <c r="X24" i="2"/>
  <c r="W24" i="2"/>
  <c r="AI23" i="2"/>
  <c r="AG23" i="2"/>
  <c r="AB23" i="2"/>
  <c r="AD23" i="2" s="1"/>
  <c r="AF23" i="2" s="1"/>
  <c r="AA23" i="2"/>
  <c r="AC23" i="2" s="1"/>
  <c r="AE23" i="2" s="1"/>
  <c r="Z23" i="2"/>
  <c r="Y23" i="2"/>
  <c r="X23" i="2"/>
  <c r="W23" i="2"/>
  <c r="AI22" i="2"/>
  <c r="AG22" i="2"/>
  <c r="AF22" i="2"/>
  <c r="AB22" i="2"/>
  <c r="AD22" i="2" s="1"/>
  <c r="AA22" i="2"/>
  <c r="AC22" i="2" s="1"/>
  <c r="AE22" i="2" s="1"/>
  <c r="Z22" i="2"/>
  <c r="Y22" i="2"/>
  <c r="X22" i="2"/>
  <c r="W22" i="2"/>
  <c r="AI21" i="2"/>
  <c r="AG21" i="2"/>
  <c r="AB21" i="2"/>
  <c r="AD21" i="2" s="1"/>
  <c r="AF21" i="2" s="1"/>
  <c r="AA21" i="2"/>
  <c r="AC21" i="2" s="1"/>
  <c r="AE21" i="2" s="1"/>
  <c r="Z21" i="2"/>
  <c r="Y21" i="2"/>
  <c r="X21" i="2"/>
  <c r="W21" i="2"/>
  <c r="AI20" i="2"/>
  <c r="AG20" i="2"/>
  <c r="AB20" i="2"/>
  <c r="AD20" i="2" s="1"/>
  <c r="AF20" i="2" s="1"/>
  <c r="AA20" i="2"/>
  <c r="AC20" i="2" s="1"/>
  <c r="AE20" i="2" s="1"/>
  <c r="Z20" i="2"/>
  <c r="Y20" i="2"/>
  <c r="X20" i="2"/>
  <c r="W20" i="2"/>
  <c r="AI19" i="2"/>
  <c r="AG19" i="2"/>
  <c r="AB19" i="2"/>
  <c r="AD19" i="2" s="1"/>
  <c r="AF19" i="2" s="1"/>
  <c r="AA19" i="2"/>
  <c r="AC19" i="2" s="1"/>
  <c r="AE19" i="2" s="1"/>
  <c r="Z19" i="2"/>
  <c r="Y19" i="2"/>
  <c r="X19" i="2"/>
  <c r="W19" i="2"/>
  <c r="AI18" i="2"/>
  <c r="AG18" i="2"/>
  <c r="AB18" i="2"/>
  <c r="AD18" i="2" s="1"/>
  <c r="AF18" i="2" s="1"/>
  <c r="AA18" i="2"/>
  <c r="AC18" i="2" s="1"/>
  <c r="AE18" i="2" s="1"/>
  <c r="Z18" i="2"/>
  <c r="Y18" i="2"/>
  <c r="X18" i="2"/>
  <c r="W18" i="2"/>
  <c r="AI17" i="2"/>
  <c r="AG17" i="2"/>
  <c r="AB17" i="2"/>
  <c r="AD17" i="2" s="1"/>
  <c r="AF17" i="2" s="1"/>
  <c r="AA17" i="2"/>
  <c r="AC17" i="2" s="1"/>
  <c r="AE17" i="2" s="1"/>
  <c r="Z17" i="2"/>
  <c r="Y17" i="2"/>
  <c r="X17" i="2"/>
  <c r="W17" i="2"/>
  <c r="AI16" i="2"/>
  <c r="AG16" i="2"/>
  <c r="AB16" i="2"/>
  <c r="AD16" i="2" s="1"/>
  <c r="AF16" i="2" s="1"/>
  <c r="AA16" i="2"/>
  <c r="AC16" i="2" s="1"/>
  <c r="AE16" i="2" s="1"/>
  <c r="Z16" i="2"/>
  <c r="Y16" i="2"/>
  <c r="X16" i="2"/>
  <c r="W16" i="2"/>
  <c r="AI15" i="2"/>
  <c r="AG15" i="2"/>
  <c r="AB15" i="2"/>
  <c r="AD15" i="2" s="1"/>
  <c r="AF15" i="2" s="1"/>
  <c r="AA15" i="2"/>
  <c r="AC15" i="2" s="1"/>
  <c r="AE15" i="2" s="1"/>
  <c r="Z15" i="2"/>
  <c r="Y15" i="2"/>
  <c r="X15" i="2"/>
  <c r="W15" i="2"/>
  <c r="AI14" i="2"/>
  <c r="AG14" i="2"/>
  <c r="AB14" i="2"/>
  <c r="AD14" i="2" s="1"/>
  <c r="AF14" i="2" s="1"/>
  <c r="AA14" i="2"/>
  <c r="AC14" i="2" s="1"/>
  <c r="AE14" i="2" s="1"/>
  <c r="Z14" i="2"/>
  <c r="Y14" i="2"/>
  <c r="X14" i="2"/>
  <c r="W14" i="2"/>
  <c r="AI13" i="2"/>
  <c r="AG13" i="2"/>
  <c r="AB13" i="2"/>
  <c r="AD13" i="2" s="1"/>
  <c r="AF13" i="2" s="1"/>
  <c r="AA13" i="2"/>
  <c r="AC13" i="2" s="1"/>
  <c r="AE13" i="2" s="1"/>
  <c r="Z13" i="2"/>
  <c r="Y13" i="2"/>
  <c r="X13" i="2"/>
  <c r="W13" i="2"/>
  <c r="AI12" i="2"/>
  <c r="AG12" i="2"/>
  <c r="AB12" i="2"/>
  <c r="AD12" i="2" s="1"/>
  <c r="AF12" i="2" s="1"/>
  <c r="AA12" i="2"/>
  <c r="AC12" i="2" s="1"/>
  <c r="AE12" i="2" s="1"/>
  <c r="Z12" i="2"/>
  <c r="Y12" i="2"/>
  <c r="X12" i="2"/>
  <c r="W12" i="2"/>
  <c r="AI11" i="2"/>
  <c r="AG11" i="2"/>
  <c r="AC11" i="2"/>
  <c r="AE11" i="2" s="1"/>
  <c r="AB11" i="2"/>
  <c r="AD11" i="2" s="1"/>
  <c r="AF11" i="2" s="1"/>
  <c r="AA11" i="2"/>
  <c r="Z11" i="2"/>
  <c r="Y11" i="2"/>
  <c r="X11" i="2"/>
  <c r="W11" i="2"/>
  <c r="AI10" i="2"/>
  <c r="AG10" i="2"/>
  <c r="AB10" i="2"/>
  <c r="AA10" i="2"/>
  <c r="X10" i="2"/>
  <c r="Z10" i="2" s="1"/>
  <c r="W10" i="2"/>
  <c r="Y10" i="2" s="1"/>
  <c r="AI9" i="2"/>
  <c r="AG9" i="2"/>
  <c r="AB9" i="2"/>
  <c r="AA9" i="2"/>
  <c r="X9" i="2"/>
  <c r="Z9" i="2" s="1"/>
  <c r="W9" i="2"/>
  <c r="Y9" i="2" s="1"/>
  <c r="AI8" i="2"/>
  <c r="AG8" i="2"/>
  <c r="AB8" i="2"/>
  <c r="AA8" i="2"/>
  <c r="Z8" i="2"/>
  <c r="X8" i="2"/>
  <c r="W8" i="2"/>
  <c r="Y8" i="2" s="1"/>
  <c r="AI7" i="2"/>
  <c r="AG7" i="2"/>
  <c r="AB7" i="2"/>
  <c r="AA7" i="2"/>
  <c r="X7" i="2"/>
  <c r="Z7" i="2" s="1"/>
  <c r="W7" i="2"/>
  <c r="Y7" i="2" s="1"/>
  <c r="AI6" i="2"/>
  <c r="AG6" i="2"/>
  <c r="AB6" i="2"/>
  <c r="AA6" i="2"/>
  <c r="X6" i="2"/>
  <c r="Z6" i="2" s="1"/>
  <c r="W6" i="2"/>
  <c r="Y6" i="2" s="1"/>
  <c r="AI5" i="2"/>
  <c r="AG5" i="2"/>
  <c r="AB5" i="2"/>
  <c r="AD5" i="2" s="1"/>
  <c r="AF5" i="2" s="1"/>
  <c r="AA5" i="2"/>
  <c r="Z5" i="2"/>
  <c r="X5" i="2"/>
  <c r="W5" i="2"/>
  <c r="Y5" i="2" s="1"/>
  <c r="AI4" i="2"/>
  <c r="AG4" i="2"/>
  <c r="AB4" i="2"/>
  <c r="AA4" i="2"/>
  <c r="X4" i="2"/>
  <c r="Z4" i="2" s="1"/>
  <c r="W4" i="2"/>
  <c r="Y4" i="2" s="1"/>
  <c r="AI3" i="2"/>
  <c r="AG3" i="2"/>
  <c r="AB3" i="2"/>
  <c r="AA3" i="2"/>
  <c r="Y3" i="2"/>
  <c r="X3" i="2"/>
  <c r="Z3" i="2" s="1"/>
  <c r="W3" i="2"/>
  <c r="AI2" i="2"/>
  <c r="AG2" i="2"/>
  <c r="AB2" i="2"/>
  <c r="AA2" i="2"/>
  <c r="Z2" i="2"/>
  <c r="X2" i="2"/>
  <c r="W2" i="2"/>
  <c r="Y2" i="2" s="1"/>
  <c r="H513" i="6" l="1"/>
  <c r="I513" i="6" s="1"/>
  <c r="I535" i="6"/>
  <c r="H523" i="8"/>
  <c r="I523" i="8" s="1"/>
  <c r="I539" i="6"/>
  <c r="H519" i="8"/>
  <c r="I519" i="8" s="1"/>
  <c r="H549" i="8"/>
  <c r="I525" i="6"/>
  <c r="H529" i="6"/>
  <c r="I529" i="6" s="1"/>
  <c r="I507" i="6"/>
  <c r="H533" i="6"/>
  <c r="I533" i="6" s="1"/>
  <c r="I507" i="8"/>
  <c r="I511" i="6"/>
  <c r="H537" i="6"/>
  <c r="I537" i="6" s="1"/>
  <c r="H547" i="8"/>
  <c r="I547" i="8" s="1"/>
  <c r="H541" i="6"/>
  <c r="I541" i="6" s="1"/>
  <c r="H543" i="8"/>
  <c r="I543" i="8" s="1"/>
  <c r="I519" i="6"/>
  <c r="H545" i="6"/>
  <c r="I545" i="6" s="1"/>
  <c r="H539" i="8"/>
  <c r="I539" i="8" s="1"/>
  <c r="H504" i="7"/>
  <c r="I504" i="7" s="1"/>
  <c r="H508" i="7"/>
  <c r="I508" i="7" s="1"/>
  <c r="H512" i="7"/>
  <c r="I512" i="7" s="1"/>
  <c r="H516" i="7"/>
  <c r="I516" i="7" s="1"/>
  <c r="H520" i="7"/>
  <c r="I520" i="7" s="1"/>
  <c r="H524" i="7"/>
  <c r="I524" i="7" s="1"/>
  <c r="H528" i="7"/>
  <c r="I528" i="7" s="1"/>
  <c r="H532" i="7"/>
  <c r="I532" i="7" s="1"/>
  <c r="H536" i="7"/>
  <c r="I536" i="7" s="1"/>
  <c r="H540" i="7"/>
  <c r="I540" i="7" s="1"/>
  <c r="H544" i="7"/>
  <c r="I544" i="7" s="1"/>
  <c r="H548" i="7"/>
  <c r="I548" i="7" s="1"/>
  <c r="H421" i="6"/>
  <c r="I421" i="6" s="1"/>
  <c r="AC4" i="2"/>
  <c r="AE4" i="2" s="1"/>
  <c r="AC6" i="2"/>
  <c r="AE6" i="2" s="1"/>
  <c r="AD3" i="2"/>
  <c r="AF3" i="2" s="1"/>
  <c r="AC10" i="2"/>
  <c r="AE10" i="2" s="1"/>
  <c r="AC8" i="2"/>
  <c r="AE8" i="2" s="1"/>
  <c r="I32" i="7"/>
  <c r="I80" i="7"/>
  <c r="I128" i="7"/>
  <c r="I176" i="7"/>
  <c r="I132" i="7"/>
  <c r="I180" i="7"/>
  <c r="I20" i="7"/>
  <c r="I68" i="7"/>
  <c r="I116" i="7"/>
  <c r="I164" i="7"/>
  <c r="I144" i="7"/>
  <c r="I192" i="7"/>
  <c r="I403" i="8"/>
  <c r="I16" i="7"/>
  <c r="I64" i="7"/>
  <c r="I112" i="7"/>
  <c r="I160" i="7"/>
  <c r="I386" i="6"/>
  <c r="I8" i="7"/>
  <c r="I56" i="7"/>
  <c r="I104" i="7"/>
  <c r="I152" i="7"/>
  <c r="I390" i="6"/>
  <c r="I148" i="7"/>
  <c r="I419" i="8"/>
  <c r="I136" i="7"/>
  <c r="I184" i="7"/>
  <c r="I76" i="7"/>
  <c r="I124" i="7"/>
  <c r="I172" i="7"/>
  <c r="I362" i="6"/>
  <c r="I366" i="6"/>
  <c r="I370" i="6"/>
  <c r="I374" i="6"/>
  <c r="I378" i="6"/>
  <c r="I382" i="6"/>
  <c r="I120" i="7"/>
  <c r="I168" i="7"/>
  <c r="I394" i="6"/>
  <c r="I108" i="7"/>
  <c r="I156" i="7"/>
  <c r="I200" i="7"/>
  <c r="I398" i="6"/>
  <c r="I461" i="6"/>
  <c r="I44" i="7"/>
  <c r="I92" i="7"/>
  <c r="I140" i="7"/>
  <c r="I188" i="7"/>
  <c r="AC2" i="2"/>
  <c r="AE2" i="2" s="1"/>
  <c r="AD7" i="2"/>
  <c r="AF7" i="2" s="1"/>
  <c r="J1090" i="6"/>
  <c r="I1090" i="6"/>
  <c r="H1090" i="6"/>
  <c r="AC7" i="2"/>
  <c r="AE7" i="2" s="1"/>
  <c r="AD6" i="2"/>
  <c r="AF6" i="2" s="1"/>
  <c r="AD10" i="2"/>
  <c r="AF10" i="2" s="1"/>
  <c r="AC5" i="2"/>
  <c r="AE5" i="2" s="1"/>
  <c r="AD4" i="2"/>
  <c r="AF4" i="2" s="1"/>
  <c r="AC9" i="2"/>
  <c r="AE9" i="2" s="1"/>
  <c r="AD9" i="2"/>
  <c r="AF9" i="2" s="1"/>
  <c r="AD2" i="2"/>
  <c r="AF2" i="2" s="1"/>
  <c r="AD8" i="2"/>
  <c r="AF8" i="2" s="1"/>
  <c r="AC3" i="2"/>
  <c r="AE3" i="2" s="1"/>
  <c r="J586" i="6"/>
  <c r="I586" i="6"/>
  <c r="H586" i="6"/>
  <c r="H536" i="6"/>
  <c r="I536" i="6" s="1"/>
  <c r="I970" i="6"/>
  <c r="H970" i="6"/>
  <c r="J970" i="6"/>
  <c r="H526" i="6"/>
  <c r="I526" i="6" s="1"/>
  <c r="J1058" i="6"/>
  <c r="I1058" i="6"/>
  <c r="H1058" i="6"/>
  <c r="H446" i="6"/>
  <c r="I446" i="6" s="1"/>
  <c r="H478" i="6"/>
  <c r="I478" i="6" s="1"/>
  <c r="I946" i="6"/>
  <c r="H946" i="6"/>
  <c r="J946" i="6"/>
  <c r="H488" i="6"/>
  <c r="I488" i="6" s="1"/>
  <c r="I922" i="6"/>
  <c r="H922" i="6"/>
  <c r="J922" i="6"/>
  <c r="J1026" i="6"/>
  <c r="I1026" i="6"/>
  <c r="H1026" i="6"/>
  <c r="H468" i="6"/>
  <c r="I468" i="6" s="1"/>
  <c r="H506" i="6"/>
  <c r="I506" i="6" s="1"/>
  <c r="H516" i="6"/>
  <c r="I516" i="6" s="1"/>
  <c r="J558" i="6"/>
  <c r="I558" i="6"/>
  <c r="H558" i="6"/>
  <c r="J606" i="6"/>
  <c r="I606" i="6"/>
  <c r="H606" i="6"/>
  <c r="J638" i="6"/>
  <c r="I638" i="6"/>
  <c r="H638" i="6"/>
  <c r="J654" i="6"/>
  <c r="I654" i="6"/>
  <c r="H654" i="6"/>
  <c r="J670" i="6"/>
  <c r="I670" i="6"/>
  <c r="H670" i="6"/>
  <c r="J686" i="6"/>
  <c r="I686" i="6"/>
  <c r="H686" i="6"/>
  <c r="J702" i="6"/>
  <c r="I702" i="6"/>
  <c r="H702" i="6"/>
  <c r="J718" i="6"/>
  <c r="I718" i="6"/>
  <c r="H718" i="6"/>
  <c r="J734" i="6"/>
  <c r="I734" i="6"/>
  <c r="H734" i="6"/>
  <c r="J750" i="6"/>
  <c r="I750" i="6"/>
  <c r="H750" i="6"/>
  <c r="J766" i="6"/>
  <c r="I766" i="6"/>
  <c r="H766" i="6"/>
  <c r="J782" i="6"/>
  <c r="I782" i="6"/>
  <c r="H782" i="6"/>
  <c r="J798" i="6"/>
  <c r="I798" i="6"/>
  <c r="H798" i="6"/>
  <c r="J1174" i="6"/>
  <c r="I1174" i="6"/>
  <c r="H1174" i="6"/>
  <c r="H486" i="6"/>
  <c r="I486" i="6" s="1"/>
  <c r="H496" i="6"/>
  <c r="I496" i="6" s="1"/>
  <c r="H534" i="6"/>
  <c r="I534" i="6" s="1"/>
  <c r="J578" i="6"/>
  <c r="I578" i="6"/>
  <c r="H578" i="6"/>
  <c r="J626" i="6"/>
  <c r="I626" i="6"/>
  <c r="H626" i="6"/>
  <c r="I998" i="6"/>
  <c r="H998" i="6"/>
  <c r="J998" i="6"/>
  <c r="H466" i="6"/>
  <c r="I466" i="6" s="1"/>
  <c r="H476" i="6"/>
  <c r="I476" i="6" s="1"/>
  <c r="H514" i="6"/>
  <c r="I514" i="6" s="1"/>
  <c r="H524" i="6"/>
  <c r="I524" i="6" s="1"/>
  <c r="H542" i="6"/>
  <c r="I542" i="6" s="1"/>
  <c r="H550" i="6"/>
  <c r="I550" i="6" s="1"/>
  <c r="J598" i="6"/>
  <c r="I598" i="6"/>
  <c r="H598" i="6"/>
  <c r="J802" i="6"/>
  <c r="I802" i="6"/>
  <c r="H802" i="6"/>
  <c r="H823" i="6"/>
  <c r="J823" i="6"/>
  <c r="I823" i="6"/>
  <c r="I882" i="6"/>
  <c r="H882" i="6"/>
  <c r="J882" i="6"/>
  <c r="I2" i="6"/>
  <c r="I6" i="6"/>
  <c r="I10" i="6"/>
  <c r="I14" i="6"/>
  <c r="I18" i="6"/>
  <c r="I22" i="6"/>
  <c r="I26" i="6"/>
  <c r="I30" i="6"/>
  <c r="I34" i="6"/>
  <c r="I38" i="6"/>
  <c r="I42" i="6"/>
  <c r="I46" i="6"/>
  <c r="I50" i="6"/>
  <c r="I54" i="6"/>
  <c r="I58" i="6"/>
  <c r="I62" i="6"/>
  <c r="I66" i="6"/>
  <c r="I70" i="6"/>
  <c r="I74" i="6"/>
  <c r="I78" i="6"/>
  <c r="I82" i="6"/>
  <c r="I86" i="6"/>
  <c r="I90" i="6"/>
  <c r="I94" i="6"/>
  <c r="I98" i="6"/>
  <c r="I102" i="6"/>
  <c r="I106" i="6"/>
  <c r="I110" i="6"/>
  <c r="I114" i="6"/>
  <c r="I118" i="6"/>
  <c r="I122" i="6"/>
  <c r="I126" i="6"/>
  <c r="I130" i="6"/>
  <c r="I134" i="6"/>
  <c r="I138" i="6"/>
  <c r="I142" i="6"/>
  <c r="I146" i="6"/>
  <c r="I150" i="6"/>
  <c r="I154" i="6"/>
  <c r="I158" i="6"/>
  <c r="I162" i="6"/>
  <c r="I166" i="6"/>
  <c r="I170" i="6"/>
  <c r="I174" i="6"/>
  <c r="I178" i="6"/>
  <c r="I182" i="6"/>
  <c r="I186" i="6"/>
  <c r="I190" i="6"/>
  <c r="I194" i="6"/>
  <c r="I198" i="6"/>
  <c r="I202" i="6"/>
  <c r="I206" i="6"/>
  <c r="I210" i="6"/>
  <c r="I214" i="6"/>
  <c r="I218" i="6"/>
  <c r="I222" i="6"/>
  <c r="I226" i="6"/>
  <c r="I230" i="6"/>
  <c r="I234" i="6"/>
  <c r="I238" i="6"/>
  <c r="I242" i="6"/>
  <c r="I246" i="6"/>
  <c r="I250" i="6"/>
  <c r="I254" i="6"/>
  <c r="I258" i="6"/>
  <c r="I262" i="6"/>
  <c r="I266" i="6"/>
  <c r="I270" i="6"/>
  <c r="I274" i="6"/>
  <c r="I278" i="6"/>
  <c r="I282" i="6"/>
  <c r="I286" i="6"/>
  <c r="I290" i="6"/>
  <c r="I294" i="6"/>
  <c r="I298" i="6"/>
  <c r="I302" i="6"/>
  <c r="I306" i="6"/>
  <c r="I310" i="6"/>
  <c r="I314" i="6"/>
  <c r="I318" i="6"/>
  <c r="I322" i="6"/>
  <c r="I326" i="6"/>
  <c r="I330" i="6"/>
  <c r="I334" i="6"/>
  <c r="I338" i="6"/>
  <c r="I342" i="6"/>
  <c r="I346" i="6"/>
  <c r="I350" i="6"/>
  <c r="I354" i="6"/>
  <c r="I358" i="6"/>
  <c r="I402" i="6"/>
  <c r="I406" i="6"/>
  <c r="I410" i="6"/>
  <c r="I414" i="6"/>
  <c r="I418" i="6"/>
  <c r="I422" i="6"/>
  <c r="I426" i="6"/>
  <c r="I430" i="6"/>
  <c r="H436" i="6"/>
  <c r="I436" i="6" s="1"/>
  <c r="H441" i="6"/>
  <c r="I441" i="6" s="1"/>
  <c r="I448" i="6"/>
  <c r="H457" i="6"/>
  <c r="I457" i="6" s="1"/>
  <c r="H494" i="6"/>
  <c r="I494" i="6" s="1"/>
  <c r="H504" i="6"/>
  <c r="I504" i="6" s="1"/>
  <c r="J570" i="6"/>
  <c r="I570" i="6"/>
  <c r="H570" i="6"/>
  <c r="J618" i="6"/>
  <c r="I618" i="6"/>
  <c r="H618" i="6"/>
  <c r="J642" i="6"/>
  <c r="I642" i="6"/>
  <c r="H642" i="6"/>
  <c r="J658" i="6"/>
  <c r="I658" i="6"/>
  <c r="H658" i="6"/>
  <c r="J674" i="6"/>
  <c r="I674" i="6"/>
  <c r="H674" i="6"/>
  <c r="J690" i="6"/>
  <c r="I690" i="6"/>
  <c r="H690" i="6"/>
  <c r="J706" i="6"/>
  <c r="I706" i="6"/>
  <c r="H706" i="6"/>
  <c r="J722" i="6"/>
  <c r="I722" i="6"/>
  <c r="H722" i="6"/>
  <c r="J738" i="6"/>
  <c r="I738" i="6"/>
  <c r="H738" i="6"/>
  <c r="J754" i="6"/>
  <c r="I754" i="6"/>
  <c r="H754" i="6"/>
  <c r="J770" i="6"/>
  <c r="I770" i="6"/>
  <c r="H770" i="6"/>
  <c r="J786" i="6"/>
  <c r="I786" i="6"/>
  <c r="H786" i="6"/>
  <c r="I930" i="6"/>
  <c r="H930" i="6"/>
  <c r="J930" i="6"/>
  <c r="I954" i="6"/>
  <c r="H954" i="6"/>
  <c r="J954" i="6"/>
  <c r="H433" i="6"/>
  <c r="I433" i="6" s="1"/>
  <c r="I450" i="6"/>
  <c r="H474" i="6"/>
  <c r="I474" i="6" s="1"/>
  <c r="H484" i="6"/>
  <c r="I484" i="6" s="1"/>
  <c r="H522" i="6"/>
  <c r="I522" i="6" s="1"/>
  <c r="H532" i="6"/>
  <c r="I532" i="6" s="1"/>
  <c r="J590" i="6"/>
  <c r="I590" i="6"/>
  <c r="H590" i="6"/>
  <c r="J806" i="6"/>
  <c r="I806" i="6"/>
  <c r="H806" i="6"/>
  <c r="I842" i="6"/>
  <c r="H842" i="6"/>
  <c r="J842" i="6"/>
  <c r="I846" i="6"/>
  <c r="H846" i="6"/>
  <c r="J846" i="6"/>
  <c r="H462" i="6"/>
  <c r="I462" i="6" s="1"/>
  <c r="H464" i="6"/>
  <c r="I464" i="6" s="1"/>
  <c r="H502" i="6"/>
  <c r="I502" i="6" s="1"/>
  <c r="H512" i="6"/>
  <c r="I512" i="6" s="1"/>
  <c r="J562" i="6"/>
  <c r="I562" i="6"/>
  <c r="H562" i="6"/>
  <c r="J610" i="6"/>
  <c r="I610" i="6"/>
  <c r="H610" i="6"/>
  <c r="J904" i="6"/>
  <c r="I904" i="6"/>
  <c r="H904" i="6"/>
  <c r="J1010" i="6"/>
  <c r="I1010" i="6"/>
  <c r="H1010" i="6"/>
  <c r="J1042" i="6"/>
  <c r="I1042" i="6"/>
  <c r="H1042" i="6"/>
  <c r="J1074" i="6"/>
  <c r="I1074" i="6"/>
  <c r="H1074" i="6"/>
  <c r="J1106" i="6"/>
  <c r="I1106" i="6"/>
  <c r="H1106" i="6"/>
  <c r="I438" i="6"/>
  <c r="H445" i="6"/>
  <c r="I445" i="6" s="1"/>
  <c r="I452" i="6"/>
  <c r="H482" i="6"/>
  <c r="I482" i="6" s="1"/>
  <c r="H492" i="6"/>
  <c r="I492" i="6" s="1"/>
  <c r="H530" i="6"/>
  <c r="I530" i="6" s="1"/>
  <c r="J582" i="6"/>
  <c r="I582" i="6"/>
  <c r="H582" i="6"/>
  <c r="J630" i="6"/>
  <c r="I630" i="6"/>
  <c r="H630" i="6"/>
  <c r="J646" i="6"/>
  <c r="I646" i="6"/>
  <c r="H646" i="6"/>
  <c r="J662" i="6"/>
  <c r="I662" i="6"/>
  <c r="H662" i="6"/>
  <c r="J678" i="6"/>
  <c r="I678" i="6"/>
  <c r="H678" i="6"/>
  <c r="J694" i="6"/>
  <c r="I694" i="6"/>
  <c r="H694" i="6"/>
  <c r="J710" i="6"/>
  <c r="I710" i="6"/>
  <c r="H710" i="6"/>
  <c r="J726" i="6"/>
  <c r="I726" i="6"/>
  <c r="H726" i="6"/>
  <c r="J742" i="6"/>
  <c r="I742" i="6"/>
  <c r="H742" i="6"/>
  <c r="J758" i="6"/>
  <c r="I758" i="6"/>
  <c r="H758" i="6"/>
  <c r="J774" i="6"/>
  <c r="I774" i="6"/>
  <c r="H774" i="6"/>
  <c r="J790" i="6"/>
  <c r="I790" i="6"/>
  <c r="H790" i="6"/>
  <c r="J810" i="6"/>
  <c r="I810" i="6"/>
  <c r="H810" i="6"/>
  <c r="H472" i="6"/>
  <c r="I472" i="6" s="1"/>
  <c r="H510" i="6"/>
  <c r="I510" i="6" s="1"/>
  <c r="H520" i="6"/>
  <c r="I520" i="6" s="1"/>
  <c r="J554" i="6"/>
  <c r="I554" i="6"/>
  <c r="H554" i="6"/>
  <c r="J602" i="6"/>
  <c r="I602" i="6"/>
  <c r="H602" i="6"/>
  <c r="I894" i="6"/>
  <c r="H894" i="6"/>
  <c r="J894" i="6"/>
  <c r="I938" i="6"/>
  <c r="H938" i="6"/>
  <c r="J938" i="6"/>
  <c r="I962" i="6"/>
  <c r="H962" i="6"/>
  <c r="J962" i="6"/>
  <c r="H458" i="6"/>
  <c r="I458" i="6" s="1"/>
  <c r="H460" i="6"/>
  <c r="I460" i="6" s="1"/>
  <c r="H490" i="6"/>
  <c r="I490" i="6" s="1"/>
  <c r="H500" i="6"/>
  <c r="I500" i="6" s="1"/>
  <c r="H538" i="6"/>
  <c r="I538" i="6" s="1"/>
  <c r="H546" i="6"/>
  <c r="I546" i="6" s="1"/>
  <c r="J574" i="6"/>
  <c r="I574" i="6"/>
  <c r="H574" i="6"/>
  <c r="J622" i="6"/>
  <c r="I622" i="6"/>
  <c r="H622" i="6"/>
  <c r="J814" i="6"/>
  <c r="I814" i="6"/>
  <c r="H814" i="6"/>
  <c r="H844" i="6"/>
  <c r="J844" i="6"/>
  <c r="I844" i="6"/>
  <c r="J884" i="6"/>
  <c r="I884" i="6"/>
  <c r="H884" i="6"/>
  <c r="J1126" i="6"/>
  <c r="I1126" i="6"/>
  <c r="H1126" i="6"/>
  <c r="I4" i="6"/>
  <c r="I8" i="6"/>
  <c r="I12" i="6"/>
  <c r="I16" i="6"/>
  <c r="I20" i="6"/>
  <c r="I24" i="6"/>
  <c r="I28" i="6"/>
  <c r="I32" i="6"/>
  <c r="I36" i="6"/>
  <c r="I40" i="6"/>
  <c r="I44" i="6"/>
  <c r="I48" i="6"/>
  <c r="I52" i="6"/>
  <c r="I56" i="6"/>
  <c r="I60" i="6"/>
  <c r="I64" i="6"/>
  <c r="I68" i="6"/>
  <c r="I72" i="6"/>
  <c r="I76" i="6"/>
  <c r="I80" i="6"/>
  <c r="I84" i="6"/>
  <c r="I88" i="6"/>
  <c r="I92" i="6"/>
  <c r="I96" i="6"/>
  <c r="I100" i="6"/>
  <c r="I104" i="6"/>
  <c r="I108" i="6"/>
  <c r="I112" i="6"/>
  <c r="I116" i="6"/>
  <c r="I120" i="6"/>
  <c r="I124" i="6"/>
  <c r="I128" i="6"/>
  <c r="I132" i="6"/>
  <c r="I136" i="6"/>
  <c r="I140" i="6"/>
  <c r="I144" i="6"/>
  <c r="I148" i="6"/>
  <c r="I152" i="6"/>
  <c r="I156" i="6"/>
  <c r="I160" i="6"/>
  <c r="I164" i="6"/>
  <c r="I168" i="6"/>
  <c r="I172" i="6"/>
  <c r="I176" i="6"/>
  <c r="I180" i="6"/>
  <c r="I184" i="6"/>
  <c r="I188" i="6"/>
  <c r="I192" i="6"/>
  <c r="I196" i="6"/>
  <c r="I200" i="6"/>
  <c r="I204" i="6"/>
  <c r="I208" i="6"/>
  <c r="I212" i="6"/>
  <c r="I216" i="6"/>
  <c r="I220" i="6"/>
  <c r="I224" i="6"/>
  <c r="I228" i="6"/>
  <c r="I232" i="6"/>
  <c r="I236" i="6"/>
  <c r="I240" i="6"/>
  <c r="I244" i="6"/>
  <c r="I248" i="6"/>
  <c r="I252" i="6"/>
  <c r="I256" i="6"/>
  <c r="I260" i="6"/>
  <c r="I264" i="6"/>
  <c r="I268" i="6"/>
  <c r="I272" i="6"/>
  <c r="I276" i="6"/>
  <c r="I280" i="6"/>
  <c r="I284" i="6"/>
  <c r="I288" i="6"/>
  <c r="I292" i="6"/>
  <c r="I296" i="6"/>
  <c r="I300" i="6"/>
  <c r="I304" i="6"/>
  <c r="I308" i="6"/>
  <c r="I312" i="6"/>
  <c r="I316" i="6"/>
  <c r="I320" i="6"/>
  <c r="I324" i="6"/>
  <c r="I328" i="6"/>
  <c r="I332" i="6"/>
  <c r="I336" i="6"/>
  <c r="I340" i="6"/>
  <c r="I344" i="6"/>
  <c r="I348" i="6"/>
  <c r="I352" i="6"/>
  <c r="I356" i="6"/>
  <c r="I360" i="6"/>
  <c r="I364" i="6"/>
  <c r="I368" i="6"/>
  <c r="I372" i="6"/>
  <c r="I376" i="6"/>
  <c r="I380" i="6"/>
  <c r="I384" i="6"/>
  <c r="I388" i="6"/>
  <c r="I392" i="6"/>
  <c r="I396" i="6"/>
  <c r="I400" i="6"/>
  <c r="I404" i="6"/>
  <c r="I408" i="6"/>
  <c r="I412" i="6"/>
  <c r="I416" i="6"/>
  <c r="I420" i="6"/>
  <c r="I424" i="6"/>
  <c r="I428" i="6"/>
  <c r="I432" i="6"/>
  <c r="I440" i="6"/>
  <c r="H449" i="6"/>
  <c r="I449" i="6" s="1"/>
  <c r="I456" i="6"/>
  <c r="H470" i="6"/>
  <c r="I470" i="6" s="1"/>
  <c r="H480" i="6"/>
  <c r="I480" i="6" s="1"/>
  <c r="H518" i="6"/>
  <c r="I518" i="6" s="1"/>
  <c r="H528" i="6"/>
  <c r="I528" i="6" s="1"/>
  <c r="J594" i="6"/>
  <c r="I594" i="6"/>
  <c r="H594" i="6"/>
  <c r="J634" i="6"/>
  <c r="I634" i="6"/>
  <c r="H634" i="6"/>
  <c r="J650" i="6"/>
  <c r="I650" i="6"/>
  <c r="H650" i="6"/>
  <c r="J666" i="6"/>
  <c r="I666" i="6"/>
  <c r="H666" i="6"/>
  <c r="J682" i="6"/>
  <c r="I682" i="6"/>
  <c r="H682" i="6"/>
  <c r="J698" i="6"/>
  <c r="I698" i="6"/>
  <c r="H698" i="6"/>
  <c r="J714" i="6"/>
  <c r="I714" i="6"/>
  <c r="H714" i="6"/>
  <c r="J730" i="6"/>
  <c r="I730" i="6"/>
  <c r="H730" i="6"/>
  <c r="J746" i="6"/>
  <c r="I746" i="6"/>
  <c r="H746" i="6"/>
  <c r="J762" i="6"/>
  <c r="I762" i="6"/>
  <c r="H762" i="6"/>
  <c r="J778" i="6"/>
  <c r="I778" i="6"/>
  <c r="H778" i="6"/>
  <c r="J794" i="6"/>
  <c r="I794" i="6"/>
  <c r="H794" i="6"/>
  <c r="H848" i="6"/>
  <c r="J848" i="6"/>
  <c r="I848" i="6"/>
  <c r="I442" i="6"/>
  <c r="H498" i="6"/>
  <c r="I498" i="6" s="1"/>
  <c r="H508" i="6"/>
  <c r="I508" i="6" s="1"/>
  <c r="J566" i="6"/>
  <c r="I566" i="6"/>
  <c r="H566" i="6"/>
  <c r="J614" i="6"/>
  <c r="I614" i="6"/>
  <c r="H614" i="6"/>
  <c r="J818" i="6"/>
  <c r="I818" i="6"/>
  <c r="H818" i="6"/>
  <c r="J1150" i="6"/>
  <c r="I1150" i="6"/>
  <c r="H1150" i="6"/>
  <c r="I850" i="6"/>
  <c r="H850" i="6"/>
  <c r="I902" i="6"/>
  <c r="H902" i="6"/>
  <c r="J912" i="6"/>
  <c r="I912" i="6"/>
  <c r="H912" i="6"/>
  <c r="I990" i="6"/>
  <c r="H990" i="6"/>
  <c r="J1130" i="6"/>
  <c r="I1130" i="6"/>
  <c r="H1130" i="6"/>
  <c r="J1154" i="6"/>
  <c r="I1154" i="6"/>
  <c r="H1154" i="6"/>
  <c r="J1178" i="6"/>
  <c r="I1178" i="6"/>
  <c r="H1178" i="6"/>
  <c r="I854" i="6"/>
  <c r="H854" i="6"/>
  <c r="I878" i="6"/>
  <c r="H878" i="6"/>
  <c r="J880" i="6"/>
  <c r="I880" i="6"/>
  <c r="H880" i="6"/>
  <c r="J892" i="6"/>
  <c r="I892" i="6"/>
  <c r="H892" i="6"/>
  <c r="J920" i="6"/>
  <c r="I920" i="6"/>
  <c r="H920" i="6"/>
  <c r="J928" i="6"/>
  <c r="I928" i="6"/>
  <c r="H928" i="6"/>
  <c r="J936" i="6"/>
  <c r="I936" i="6"/>
  <c r="H936" i="6"/>
  <c r="J944" i="6"/>
  <c r="I944" i="6"/>
  <c r="H944" i="6"/>
  <c r="J952" i="6"/>
  <c r="I952" i="6"/>
  <c r="H952" i="6"/>
  <c r="J960" i="6"/>
  <c r="I960" i="6"/>
  <c r="H960" i="6"/>
  <c r="J968" i="6"/>
  <c r="I968" i="6"/>
  <c r="H968" i="6"/>
  <c r="I827" i="6"/>
  <c r="J850" i="6"/>
  <c r="I852" i="6"/>
  <c r="I858" i="6"/>
  <c r="H858" i="6"/>
  <c r="I874" i="6"/>
  <c r="H874" i="6"/>
  <c r="I876" i="6"/>
  <c r="H876" i="6"/>
  <c r="J902" i="6"/>
  <c r="I910" i="6"/>
  <c r="H910" i="6"/>
  <c r="I982" i="6"/>
  <c r="H982" i="6"/>
  <c r="J990" i="6"/>
  <c r="J1014" i="6"/>
  <c r="I1014" i="6"/>
  <c r="H1014" i="6"/>
  <c r="J1030" i="6"/>
  <c r="I1030" i="6"/>
  <c r="H1030" i="6"/>
  <c r="J1046" i="6"/>
  <c r="I1046" i="6"/>
  <c r="H1046" i="6"/>
  <c r="J1062" i="6"/>
  <c r="I1062" i="6"/>
  <c r="H1062" i="6"/>
  <c r="J1078" i="6"/>
  <c r="I1078" i="6"/>
  <c r="H1078" i="6"/>
  <c r="J1094" i="6"/>
  <c r="I1094" i="6"/>
  <c r="H1094" i="6"/>
  <c r="J1110" i="6"/>
  <c r="I1110" i="6"/>
  <c r="H1110" i="6"/>
  <c r="J1134" i="6"/>
  <c r="I1134" i="6"/>
  <c r="H1134" i="6"/>
  <c r="J1158" i="6"/>
  <c r="I1158" i="6"/>
  <c r="H1158" i="6"/>
  <c r="J1182" i="6"/>
  <c r="I1182" i="6"/>
  <c r="H1182" i="6"/>
  <c r="I1222" i="6"/>
  <c r="J1222" i="6"/>
  <c r="H1222" i="6"/>
  <c r="I862" i="6"/>
  <c r="H862" i="6"/>
  <c r="I870" i="6"/>
  <c r="H870" i="6"/>
  <c r="I872" i="6"/>
  <c r="H872" i="6"/>
  <c r="I890" i="6"/>
  <c r="H890" i="6"/>
  <c r="J900" i="6"/>
  <c r="I900" i="6"/>
  <c r="H900" i="6"/>
  <c r="I1002" i="6"/>
  <c r="H1002" i="6"/>
  <c r="I866" i="6"/>
  <c r="H866" i="6"/>
  <c r="I868" i="6"/>
  <c r="H868" i="6"/>
  <c r="I918" i="6"/>
  <c r="H918" i="6"/>
  <c r="I926" i="6"/>
  <c r="H926" i="6"/>
  <c r="I934" i="6"/>
  <c r="H934" i="6"/>
  <c r="I942" i="6"/>
  <c r="H942" i="6"/>
  <c r="I950" i="6"/>
  <c r="H950" i="6"/>
  <c r="I958" i="6"/>
  <c r="H958" i="6"/>
  <c r="I966" i="6"/>
  <c r="H966" i="6"/>
  <c r="I974" i="6"/>
  <c r="H974" i="6"/>
  <c r="J1114" i="6"/>
  <c r="I1114" i="6"/>
  <c r="H1114" i="6"/>
  <c r="J1138" i="6"/>
  <c r="I1138" i="6"/>
  <c r="H1138" i="6"/>
  <c r="J1162" i="6"/>
  <c r="I1162" i="6"/>
  <c r="H1162" i="6"/>
  <c r="J1186" i="6"/>
  <c r="I1186" i="6"/>
  <c r="H1186" i="6"/>
  <c r="H820" i="6"/>
  <c r="I822" i="6"/>
  <c r="H822" i="6"/>
  <c r="I839" i="6"/>
  <c r="J862" i="6"/>
  <c r="I864" i="6"/>
  <c r="J870" i="6"/>
  <c r="J872" i="6"/>
  <c r="J890" i="6"/>
  <c r="I898" i="6"/>
  <c r="H898" i="6"/>
  <c r="J908" i="6"/>
  <c r="I908" i="6"/>
  <c r="H908" i="6"/>
  <c r="I994" i="6"/>
  <c r="H994" i="6"/>
  <c r="J1002" i="6"/>
  <c r="J1018" i="6"/>
  <c r="I1018" i="6"/>
  <c r="H1018" i="6"/>
  <c r="J1034" i="6"/>
  <c r="I1034" i="6"/>
  <c r="H1034" i="6"/>
  <c r="J1050" i="6"/>
  <c r="I1050" i="6"/>
  <c r="H1050" i="6"/>
  <c r="J1066" i="6"/>
  <c r="I1066" i="6"/>
  <c r="H1066" i="6"/>
  <c r="J1082" i="6"/>
  <c r="I1082" i="6"/>
  <c r="H1082" i="6"/>
  <c r="J1098" i="6"/>
  <c r="I1098" i="6"/>
  <c r="H1098" i="6"/>
  <c r="H540" i="6"/>
  <c r="I540" i="6" s="1"/>
  <c r="H544" i="6"/>
  <c r="I544" i="6" s="1"/>
  <c r="H548" i="6"/>
  <c r="I548" i="6" s="1"/>
  <c r="H552" i="6"/>
  <c r="H556" i="6"/>
  <c r="H560" i="6"/>
  <c r="H564" i="6"/>
  <c r="H568" i="6"/>
  <c r="H572" i="6"/>
  <c r="H576" i="6"/>
  <c r="H580" i="6"/>
  <c r="H584" i="6"/>
  <c r="H588" i="6"/>
  <c r="H592" i="6"/>
  <c r="H596" i="6"/>
  <c r="H600" i="6"/>
  <c r="H604" i="6"/>
  <c r="H608" i="6"/>
  <c r="H612" i="6"/>
  <c r="H616" i="6"/>
  <c r="H620" i="6"/>
  <c r="H624" i="6"/>
  <c r="H628" i="6"/>
  <c r="H632" i="6"/>
  <c r="H636" i="6"/>
  <c r="H640" i="6"/>
  <c r="H644" i="6"/>
  <c r="H648" i="6"/>
  <c r="H652" i="6"/>
  <c r="H656" i="6"/>
  <c r="H660" i="6"/>
  <c r="H664" i="6"/>
  <c r="H668" i="6"/>
  <c r="H672" i="6"/>
  <c r="H676" i="6"/>
  <c r="H680" i="6"/>
  <c r="H684" i="6"/>
  <c r="H688" i="6"/>
  <c r="H692" i="6"/>
  <c r="H696" i="6"/>
  <c r="H700" i="6"/>
  <c r="H704" i="6"/>
  <c r="H708" i="6"/>
  <c r="H712" i="6"/>
  <c r="H716" i="6"/>
  <c r="H720" i="6"/>
  <c r="H724" i="6"/>
  <c r="H728" i="6"/>
  <c r="H732" i="6"/>
  <c r="H736" i="6"/>
  <c r="H740" i="6"/>
  <c r="H744" i="6"/>
  <c r="H748" i="6"/>
  <c r="H752" i="6"/>
  <c r="H756" i="6"/>
  <c r="H760" i="6"/>
  <c r="H764" i="6"/>
  <c r="H768" i="6"/>
  <c r="H772" i="6"/>
  <c r="H776" i="6"/>
  <c r="H780" i="6"/>
  <c r="H784" i="6"/>
  <c r="H788" i="6"/>
  <c r="H792" i="6"/>
  <c r="H796" i="6"/>
  <c r="H800" i="6"/>
  <c r="H804" i="6"/>
  <c r="H808" i="6"/>
  <c r="H812" i="6"/>
  <c r="H816" i="6"/>
  <c r="I820" i="6"/>
  <c r="I826" i="6"/>
  <c r="H826" i="6"/>
  <c r="J839" i="6"/>
  <c r="I843" i="6"/>
  <c r="J864" i="6"/>
  <c r="J866" i="6"/>
  <c r="J868" i="6"/>
  <c r="J888" i="6"/>
  <c r="I888" i="6"/>
  <c r="H888" i="6"/>
  <c r="J1118" i="6"/>
  <c r="I1118" i="6"/>
  <c r="H1118" i="6"/>
  <c r="J1142" i="6"/>
  <c r="I1142" i="6"/>
  <c r="H1142" i="6"/>
  <c r="J1166" i="6"/>
  <c r="I1166" i="6"/>
  <c r="H1166" i="6"/>
  <c r="J1190" i="6"/>
  <c r="I1190" i="6"/>
  <c r="H1190" i="6"/>
  <c r="J1203" i="6"/>
  <c r="I1203" i="6"/>
  <c r="H1203" i="6"/>
  <c r="I1206" i="6"/>
  <c r="J1206" i="6"/>
  <c r="H1206" i="6"/>
  <c r="J1220" i="6"/>
  <c r="I1220" i="6"/>
  <c r="H1220" i="6"/>
  <c r="I552" i="6"/>
  <c r="I556" i="6"/>
  <c r="I560" i="6"/>
  <c r="I564" i="6"/>
  <c r="I568" i="6"/>
  <c r="I572" i="6"/>
  <c r="I576" i="6"/>
  <c r="I580" i="6"/>
  <c r="I584" i="6"/>
  <c r="I588" i="6"/>
  <c r="I592" i="6"/>
  <c r="I596" i="6"/>
  <c r="I600" i="6"/>
  <c r="I604" i="6"/>
  <c r="I608" i="6"/>
  <c r="I612" i="6"/>
  <c r="I616" i="6"/>
  <c r="I620" i="6"/>
  <c r="I624" i="6"/>
  <c r="I628" i="6"/>
  <c r="I632" i="6"/>
  <c r="I636" i="6"/>
  <c r="I640" i="6"/>
  <c r="I644" i="6"/>
  <c r="I648" i="6"/>
  <c r="I652" i="6"/>
  <c r="I656" i="6"/>
  <c r="I660" i="6"/>
  <c r="I664" i="6"/>
  <c r="I668" i="6"/>
  <c r="I672" i="6"/>
  <c r="I676" i="6"/>
  <c r="I680" i="6"/>
  <c r="I684" i="6"/>
  <c r="I688" i="6"/>
  <c r="I692" i="6"/>
  <c r="I696" i="6"/>
  <c r="I700" i="6"/>
  <c r="I704" i="6"/>
  <c r="I708" i="6"/>
  <c r="I712" i="6"/>
  <c r="I716" i="6"/>
  <c r="I720" i="6"/>
  <c r="I724" i="6"/>
  <c r="I728" i="6"/>
  <c r="I732" i="6"/>
  <c r="I736" i="6"/>
  <c r="I740" i="6"/>
  <c r="I744" i="6"/>
  <c r="I748" i="6"/>
  <c r="I752" i="6"/>
  <c r="I756" i="6"/>
  <c r="I760" i="6"/>
  <c r="I764" i="6"/>
  <c r="I768" i="6"/>
  <c r="I772" i="6"/>
  <c r="I776" i="6"/>
  <c r="I780" i="6"/>
  <c r="I784" i="6"/>
  <c r="I788" i="6"/>
  <c r="I792" i="6"/>
  <c r="I796" i="6"/>
  <c r="I800" i="6"/>
  <c r="I804" i="6"/>
  <c r="I808" i="6"/>
  <c r="I812" i="6"/>
  <c r="I816" i="6"/>
  <c r="J822" i="6"/>
  <c r="I824" i="6"/>
  <c r="I830" i="6"/>
  <c r="H830" i="6"/>
  <c r="J843" i="6"/>
  <c r="I847" i="6"/>
  <c r="I886" i="6"/>
  <c r="H886" i="6"/>
  <c r="J898" i="6"/>
  <c r="I906" i="6"/>
  <c r="H906" i="6"/>
  <c r="J916" i="6"/>
  <c r="I916" i="6"/>
  <c r="H916" i="6"/>
  <c r="J924" i="6"/>
  <c r="I924" i="6"/>
  <c r="H924" i="6"/>
  <c r="J932" i="6"/>
  <c r="I932" i="6"/>
  <c r="H932" i="6"/>
  <c r="J940" i="6"/>
  <c r="I940" i="6"/>
  <c r="H940" i="6"/>
  <c r="J948" i="6"/>
  <c r="I948" i="6"/>
  <c r="H948" i="6"/>
  <c r="J956" i="6"/>
  <c r="I956" i="6"/>
  <c r="H956" i="6"/>
  <c r="J964" i="6"/>
  <c r="I964" i="6"/>
  <c r="H964" i="6"/>
  <c r="I986" i="6"/>
  <c r="H986" i="6"/>
  <c r="J994" i="6"/>
  <c r="J824" i="6"/>
  <c r="J826" i="6"/>
  <c r="I828" i="6"/>
  <c r="I834" i="6"/>
  <c r="H834" i="6"/>
  <c r="J847" i="6"/>
  <c r="I851" i="6"/>
  <c r="J896" i="6"/>
  <c r="I896" i="6"/>
  <c r="H896" i="6"/>
  <c r="J1006" i="6"/>
  <c r="I1006" i="6"/>
  <c r="H1006" i="6"/>
  <c r="J1022" i="6"/>
  <c r="I1022" i="6"/>
  <c r="H1022" i="6"/>
  <c r="J1038" i="6"/>
  <c r="I1038" i="6"/>
  <c r="H1038" i="6"/>
  <c r="J1054" i="6"/>
  <c r="I1054" i="6"/>
  <c r="H1054" i="6"/>
  <c r="J1070" i="6"/>
  <c r="I1070" i="6"/>
  <c r="H1070" i="6"/>
  <c r="J1086" i="6"/>
  <c r="I1086" i="6"/>
  <c r="H1086" i="6"/>
  <c r="J1102" i="6"/>
  <c r="I1102" i="6"/>
  <c r="H1102" i="6"/>
  <c r="J1122" i="6"/>
  <c r="I1122" i="6"/>
  <c r="H1122" i="6"/>
  <c r="J1146" i="6"/>
  <c r="I1146" i="6"/>
  <c r="H1146" i="6"/>
  <c r="J1170" i="6"/>
  <c r="I1170" i="6"/>
  <c r="H1170" i="6"/>
  <c r="J1194" i="6"/>
  <c r="I1194" i="6"/>
  <c r="H1194" i="6"/>
  <c r="J828" i="6"/>
  <c r="J830" i="6"/>
  <c r="I832" i="6"/>
  <c r="I838" i="6"/>
  <c r="H838" i="6"/>
  <c r="J851" i="6"/>
  <c r="I855" i="6"/>
  <c r="J886" i="6"/>
  <c r="J906" i="6"/>
  <c r="I914" i="6"/>
  <c r="H914" i="6"/>
  <c r="I978" i="6"/>
  <c r="H978" i="6"/>
  <c r="J986" i="6"/>
  <c r="I1324" i="6"/>
  <c r="H1324" i="6"/>
  <c r="J1208" i="6"/>
  <c r="I1208" i="6"/>
  <c r="H1208" i="6"/>
  <c r="J1224" i="6"/>
  <c r="I1224" i="6"/>
  <c r="H1224" i="6"/>
  <c r="I1314" i="6"/>
  <c r="H1314" i="6"/>
  <c r="J1200" i="6"/>
  <c r="J1228" i="6"/>
  <c r="I1228" i="6"/>
  <c r="H1228" i="6"/>
  <c r="I1312" i="6"/>
  <c r="H1312" i="6"/>
  <c r="I1350" i="6"/>
  <c r="H1350" i="6"/>
  <c r="J1350" i="6"/>
  <c r="I1360" i="6"/>
  <c r="H1360" i="6"/>
  <c r="H244" i="7"/>
  <c r="I244" i="7" s="1"/>
  <c r="H1210" i="6"/>
  <c r="J1232" i="6"/>
  <c r="I1232" i="6"/>
  <c r="H1232" i="6"/>
  <c r="J1314" i="6"/>
  <c r="J1210" i="6"/>
  <c r="J1212" i="6"/>
  <c r="I1212" i="6"/>
  <c r="H1212" i="6"/>
  <c r="J1226" i="6"/>
  <c r="J1236" i="6"/>
  <c r="I1236" i="6"/>
  <c r="H1236" i="6"/>
  <c r="H972" i="6"/>
  <c r="H976" i="6"/>
  <c r="H980" i="6"/>
  <c r="H984" i="6"/>
  <c r="H988" i="6"/>
  <c r="H992" i="6"/>
  <c r="H996" i="6"/>
  <c r="H1000" i="6"/>
  <c r="H1004" i="6"/>
  <c r="H1008" i="6"/>
  <c r="H1012" i="6"/>
  <c r="H1016" i="6"/>
  <c r="H1020" i="6"/>
  <c r="H1024" i="6"/>
  <c r="H1028" i="6"/>
  <c r="H1032" i="6"/>
  <c r="H1036" i="6"/>
  <c r="H1040" i="6"/>
  <c r="H1044" i="6"/>
  <c r="H1048" i="6"/>
  <c r="H1052" i="6"/>
  <c r="H1056" i="6"/>
  <c r="H1060" i="6"/>
  <c r="H1064" i="6"/>
  <c r="H1068" i="6"/>
  <c r="H1072" i="6"/>
  <c r="H1076" i="6"/>
  <c r="H1080" i="6"/>
  <c r="H1084" i="6"/>
  <c r="H1088" i="6"/>
  <c r="H1092" i="6"/>
  <c r="H1096" i="6"/>
  <c r="H1100" i="6"/>
  <c r="H1104" i="6"/>
  <c r="H1108" i="6"/>
  <c r="H1112" i="6"/>
  <c r="H1116" i="6"/>
  <c r="H1120" i="6"/>
  <c r="H1124" i="6"/>
  <c r="H1128" i="6"/>
  <c r="H1132" i="6"/>
  <c r="H1136" i="6"/>
  <c r="H1140" i="6"/>
  <c r="H1144" i="6"/>
  <c r="H1148" i="6"/>
  <c r="H1152" i="6"/>
  <c r="H1156" i="6"/>
  <c r="H1160" i="6"/>
  <c r="H1164" i="6"/>
  <c r="H1168" i="6"/>
  <c r="H1172" i="6"/>
  <c r="H1176" i="6"/>
  <c r="H1180" i="6"/>
  <c r="H1184" i="6"/>
  <c r="H1188" i="6"/>
  <c r="H1192" i="6"/>
  <c r="H1196" i="6"/>
  <c r="H1199" i="6"/>
  <c r="H1202" i="6"/>
  <c r="H1234" i="6"/>
  <c r="J1240" i="6"/>
  <c r="I1240" i="6"/>
  <c r="H1240" i="6"/>
  <c r="H235" i="7"/>
  <c r="I235" i="7" s="1"/>
  <c r="I972" i="6"/>
  <c r="I976" i="6"/>
  <c r="I980" i="6"/>
  <c r="I984" i="6"/>
  <c r="I988" i="6"/>
  <c r="I992" i="6"/>
  <c r="I996" i="6"/>
  <c r="I1000" i="6"/>
  <c r="I1004" i="6"/>
  <c r="I1008" i="6"/>
  <c r="I1012" i="6"/>
  <c r="I1016" i="6"/>
  <c r="I1020" i="6"/>
  <c r="I1024" i="6"/>
  <c r="I1028" i="6"/>
  <c r="I1032" i="6"/>
  <c r="I1036" i="6"/>
  <c r="I1040" i="6"/>
  <c r="I1044" i="6"/>
  <c r="I1048" i="6"/>
  <c r="I1052" i="6"/>
  <c r="I1056" i="6"/>
  <c r="I1060" i="6"/>
  <c r="I1064" i="6"/>
  <c r="I1068" i="6"/>
  <c r="I1072" i="6"/>
  <c r="I1076" i="6"/>
  <c r="I1080" i="6"/>
  <c r="I1084" i="6"/>
  <c r="I1088" i="6"/>
  <c r="I1092" i="6"/>
  <c r="I1096" i="6"/>
  <c r="I1100" i="6"/>
  <c r="I1104" i="6"/>
  <c r="I1108" i="6"/>
  <c r="I1112" i="6"/>
  <c r="I1116" i="6"/>
  <c r="I1120" i="6"/>
  <c r="I1124" i="6"/>
  <c r="I1128" i="6"/>
  <c r="I1132" i="6"/>
  <c r="I1136" i="6"/>
  <c r="I1140" i="6"/>
  <c r="I1144" i="6"/>
  <c r="I1148" i="6"/>
  <c r="I1152" i="6"/>
  <c r="I1156" i="6"/>
  <c r="I1160" i="6"/>
  <c r="I1164" i="6"/>
  <c r="I1168" i="6"/>
  <c r="I1172" i="6"/>
  <c r="I1176" i="6"/>
  <c r="I1180" i="6"/>
  <c r="I1184" i="6"/>
  <c r="I1188" i="6"/>
  <c r="I1192" i="6"/>
  <c r="I1196" i="6"/>
  <c r="I1199" i="6"/>
  <c r="J1202" i="6"/>
  <c r="J1234" i="6"/>
  <c r="J1244" i="6"/>
  <c r="I1244" i="6"/>
  <c r="H1244" i="6"/>
  <c r="J1216" i="6"/>
  <c r="I1216" i="6"/>
  <c r="H1216" i="6"/>
  <c r="J1248" i="6"/>
  <c r="I1248" i="6"/>
  <c r="H1248" i="6"/>
  <c r="J1252" i="6"/>
  <c r="I1252" i="6"/>
  <c r="H1252" i="6"/>
  <c r="J1256" i="6"/>
  <c r="I1256" i="6"/>
  <c r="H1256" i="6"/>
  <c r="J1260" i="6"/>
  <c r="I1260" i="6"/>
  <c r="H1260" i="6"/>
  <c r="J1264" i="6"/>
  <c r="I1264" i="6"/>
  <c r="H1264" i="6"/>
  <c r="J1268" i="6"/>
  <c r="I1268" i="6"/>
  <c r="H1268" i="6"/>
  <c r="J1272" i="6"/>
  <c r="I1272" i="6"/>
  <c r="H1272" i="6"/>
  <c r="J1276" i="6"/>
  <c r="I1276" i="6"/>
  <c r="H1276" i="6"/>
  <c r="J1280" i="6"/>
  <c r="I1280" i="6"/>
  <c r="H1280" i="6"/>
  <c r="J1284" i="6"/>
  <c r="I1284" i="6"/>
  <c r="H1284" i="6"/>
  <c r="J1288" i="6"/>
  <c r="I1288" i="6"/>
  <c r="H1288" i="6"/>
  <c r="J1292" i="6"/>
  <c r="I1292" i="6"/>
  <c r="H1292" i="6"/>
  <c r="J1296" i="6"/>
  <c r="I1296" i="6"/>
  <c r="H1296" i="6"/>
  <c r="J1300" i="6"/>
  <c r="I1300" i="6"/>
  <c r="H1300" i="6"/>
  <c r="J1304" i="6"/>
  <c r="I1304" i="6"/>
  <c r="H1304" i="6"/>
  <c r="J1308" i="6"/>
  <c r="I1308" i="6"/>
  <c r="H1308" i="6"/>
  <c r="I1336" i="6"/>
  <c r="J1336" i="6"/>
  <c r="H1336" i="6"/>
  <c r="H263" i="7"/>
  <c r="I263" i="7" s="1"/>
  <c r="I1204" i="6"/>
  <c r="H1246" i="6"/>
  <c r="I1326" i="6"/>
  <c r="H1326" i="6"/>
  <c r="J1326" i="6"/>
  <c r="J1320" i="6"/>
  <c r="I1322" i="6"/>
  <c r="H1322" i="6"/>
  <c r="I48" i="7"/>
  <c r="I96" i="7"/>
  <c r="J1340" i="6"/>
  <c r="I1342" i="6"/>
  <c r="H1342" i="6"/>
  <c r="I28" i="7"/>
  <c r="H279" i="7"/>
  <c r="I279" i="7" s="1"/>
  <c r="J1332" i="6"/>
  <c r="I1334" i="6"/>
  <c r="H1334" i="6"/>
  <c r="I36" i="7"/>
  <c r="I84" i="7"/>
  <c r="H358" i="7"/>
  <c r="I358" i="7" s="1"/>
  <c r="I1354" i="6"/>
  <c r="H1354" i="6"/>
  <c r="H219" i="7"/>
  <c r="I219" i="7" s="1"/>
  <c r="H228" i="7"/>
  <c r="I228" i="7" s="1"/>
  <c r="H334" i="7"/>
  <c r="I334" i="7" s="1"/>
  <c r="H374" i="7"/>
  <c r="I374" i="7" s="1"/>
  <c r="H1316" i="6"/>
  <c r="J1344" i="6"/>
  <c r="I1346" i="6"/>
  <c r="H1346" i="6"/>
  <c r="J1354" i="6"/>
  <c r="I24" i="7"/>
  <c r="I72" i="7"/>
  <c r="J1316" i="6"/>
  <c r="I1318" i="6"/>
  <c r="H1318" i="6"/>
  <c r="I4" i="7"/>
  <c r="I52" i="7"/>
  <c r="I100" i="7"/>
  <c r="I1338" i="6"/>
  <c r="H1338" i="6"/>
  <c r="H306" i="7"/>
  <c r="I306" i="7" s="1"/>
  <c r="H316" i="7"/>
  <c r="I316" i="7" s="1"/>
  <c r="H321" i="7"/>
  <c r="I321" i="7" s="1"/>
  <c r="I1310" i="6"/>
  <c r="H1310" i="6"/>
  <c r="I1358" i="6"/>
  <c r="H1358" i="6"/>
  <c r="I12" i="7"/>
  <c r="I60" i="7"/>
  <c r="H203" i="7"/>
  <c r="I203" i="7" s="1"/>
  <c r="H212" i="7"/>
  <c r="I212" i="7" s="1"/>
  <c r="I1330" i="6"/>
  <c r="H1330" i="6"/>
  <c r="I40" i="7"/>
  <c r="I88" i="7"/>
  <c r="H254" i="7"/>
  <c r="I254" i="7" s="1"/>
  <c r="H270" i="7"/>
  <c r="I270" i="7" s="1"/>
  <c r="H286" i="7"/>
  <c r="I286" i="7" s="1"/>
  <c r="I296" i="7"/>
  <c r="H301" i="7"/>
  <c r="I301" i="7" s="1"/>
  <c r="H261" i="7"/>
  <c r="I261" i="7" s="1"/>
  <c r="H277" i="7"/>
  <c r="I277" i="7" s="1"/>
  <c r="H314" i="7"/>
  <c r="I314" i="7" s="1"/>
  <c r="I324" i="7"/>
  <c r="H329" i="7"/>
  <c r="I329" i="7" s="1"/>
  <c r="H337" i="7"/>
  <c r="I337" i="7" s="1"/>
  <c r="H294" i="7"/>
  <c r="I294" i="7" s="1"/>
  <c r="H309" i="7"/>
  <c r="I309" i="7" s="1"/>
  <c r="H346" i="7"/>
  <c r="I346" i="7" s="1"/>
  <c r="H362" i="7"/>
  <c r="I362" i="7" s="1"/>
  <c r="H250" i="7"/>
  <c r="I250" i="7" s="1"/>
  <c r="H266" i="7"/>
  <c r="I266" i="7" s="1"/>
  <c r="H282" i="7"/>
  <c r="I282" i="7" s="1"/>
  <c r="H289" i="7"/>
  <c r="I289" i="7" s="1"/>
  <c r="H322" i="7"/>
  <c r="I322" i="7" s="1"/>
  <c r="I207" i="7"/>
  <c r="H216" i="7"/>
  <c r="I216" i="7" s="1"/>
  <c r="I223" i="7"/>
  <c r="H232" i="7"/>
  <c r="I232" i="7" s="1"/>
  <c r="I239" i="7"/>
  <c r="H248" i="7"/>
  <c r="I248" i="7" s="1"/>
  <c r="I252" i="7"/>
  <c r="H257" i="7"/>
  <c r="I257" i="7" s="1"/>
  <c r="I259" i="7"/>
  <c r="I268" i="7"/>
  <c r="H273" i="7"/>
  <c r="I273" i="7" s="1"/>
  <c r="I275" i="7"/>
  <c r="I284" i="7"/>
  <c r="H302" i="7"/>
  <c r="I302" i="7" s="1"/>
  <c r="H304" i="7"/>
  <c r="I304" i="7" s="1"/>
  <c r="I312" i="7"/>
  <c r="H317" i="7"/>
  <c r="I317" i="7" s="1"/>
  <c r="H338" i="7"/>
  <c r="I338" i="7" s="1"/>
  <c r="H297" i="7"/>
  <c r="I297" i="7" s="1"/>
  <c r="H330" i="7"/>
  <c r="I330" i="7" s="1"/>
  <c r="H350" i="7"/>
  <c r="I350" i="7" s="1"/>
  <c r="H366" i="7"/>
  <c r="I366" i="7" s="1"/>
  <c r="H262" i="7"/>
  <c r="I262" i="7" s="1"/>
  <c r="H278" i="7"/>
  <c r="I278" i="7" s="1"/>
  <c r="H310" i="7"/>
  <c r="I310" i="7" s="1"/>
  <c r="H325" i="7"/>
  <c r="I325" i="7" s="1"/>
  <c r="H341" i="7"/>
  <c r="I341" i="7" s="1"/>
  <c r="H393" i="7"/>
  <c r="I393" i="7" s="1"/>
  <c r="H204" i="7"/>
  <c r="I204" i="7" s="1"/>
  <c r="I211" i="7"/>
  <c r="H220" i="7"/>
  <c r="I220" i="7" s="1"/>
  <c r="I227" i="7"/>
  <c r="H236" i="7"/>
  <c r="I236" i="7" s="1"/>
  <c r="I243" i="7"/>
  <c r="H253" i="7"/>
  <c r="I253" i="7" s="1"/>
  <c r="I255" i="7"/>
  <c r="H269" i="7"/>
  <c r="I269" i="7" s="1"/>
  <c r="I271" i="7"/>
  <c r="H285" i="7"/>
  <c r="I285" i="7" s="1"/>
  <c r="I287" i="7"/>
  <c r="H290" i="7"/>
  <c r="I290" i="7" s="1"/>
  <c r="H292" i="7"/>
  <c r="I292" i="7" s="1"/>
  <c r="H305" i="7"/>
  <c r="I305" i="7" s="1"/>
  <c r="I199" i="7"/>
  <c r="I213" i="7"/>
  <c r="I229" i="7"/>
  <c r="I245" i="7"/>
  <c r="H318" i="7"/>
  <c r="I318" i="7" s="1"/>
  <c r="H320" i="7"/>
  <c r="I320" i="7" s="1"/>
  <c r="H333" i="7"/>
  <c r="I333" i="7" s="1"/>
  <c r="H354" i="7"/>
  <c r="I354" i="7" s="1"/>
  <c r="H370" i="7"/>
  <c r="I370" i="7" s="1"/>
  <c r="H1362" i="6"/>
  <c r="H1366" i="6"/>
  <c r="H1370" i="6"/>
  <c r="H1374" i="6"/>
  <c r="H1378" i="6"/>
  <c r="H1382" i="6"/>
  <c r="H1386" i="6"/>
  <c r="H1390" i="6"/>
  <c r="H1394" i="6"/>
  <c r="H1398" i="6"/>
  <c r="H1402" i="6"/>
  <c r="H1406" i="6"/>
  <c r="H1410" i="6"/>
  <c r="H1414" i="6"/>
  <c r="H1418" i="6"/>
  <c r="H1422" i="6"/>
  <c r="H1426" i="6"/>
  <c r="H1430" i="6"/>
  <c r="H1434" i="6"/>
  <c r="H1438" i="6"/>
  <c r="H1442" i="6"/>
  <c r="H1446" i="6"/>
  <c r="H1450" i="6"/>
  <c r="H1454" i="6"/>
  <c r="H1458" i="6"/>
  <c r="H1462" i="6"/>
  <c r="H1466" i="6"/>
  <c r="H1470" i="6"/>
  <c r="H1474" i="6"/>
  <c r="H1478" i="6"/>
  <c r="H1482" i="6"/>
  <c r="H1486" i="6"/>
  <c r="H1490" i="6"/>
  <c r="H1494" i="6"/>
  <c r="H1498" i="6"/>
  <c r="H2" i="7"/>
  <c r="I2" i="7" s="1"/>
  <c r="H6" i="7"/>
  <c r="I6" i="7" s="1"/>
  <c r="H10" i="7"/>
  <c r="I10" i="7" s="1"/>
  <c r="H14" i="7"/>
  <c r="I14" i="7" s="1"/>
  <c r="H18" i="7"/>
  <c r="I18" i="7" s="1"/>
  <c r="H22" i="7"/>
  <c r="I22" i="7" s="1"/>
  <c r="H26" i="7"/>
  <c r="I26" i="7" s="1"/>
  <c r="H30" i="7"/>
  <c r="I30" i="7" s="1"/>
  <c r="H34" i="7"/>
  <c r="I34" i="7" s="1"/>
  <c r="H38" i="7"/>
  <c r="I38" i="7" s="1"/>
  <c r="H42" i="7"/>
  <c r="I42" i="7" s="1"/>
  <c r="H46" i="7"/>
  <c r="I46" i="7" s="1"/>
  <c r="H50" i="7"/>
  <c r="I50" i="7" s="1"/>
  <c r="H54" i="7"/>
  <c r="I54" i="7" s="1"/>
  <c r="H58" i="7"/>
  <c r="I58" i="7" s="1"/>
  <c r="H62" i="7"/>
  <c r="I62" i="7" s="1"/>
  <c r="H66" i="7"/>
  <c r="I66" i="7" s="1"/>
  <c r="H70" i="7"/>
  <c r="I70" i="7" s="1"/>
  <c r="H74" i="7"/>
  <c r="I74" i="7" s="1"/>
  <c r="H78" i="7"/>
  <c r="I78" i="7" s="1"/>
  <c r="H82" i="7"/>
  <c r="I82" i="7" s="1"/>
  <c r="H86" i="7"/>
  <c r="I86" i="7" s="1"/>
  <c r="H90" i="7"/>
  <c r="I90" i="7" s="1"/>
  <c r="H94" i="7"/>
  <c r="I94" i="7" s="1"/>
  <c r="H98" i="7"/>
  <c r="I98" i="7" s="1"/>
  <c r="H102" i="7"/>
  <c r="I102" i="7" s="1"/>
  <c r="H106" i="7"/>
  <c r="I106" i="7" s="1"/>
  <c r="H110" i="7"/>
  <c r="I110" i="7" s="1"/>
  <c r="H114" i="7"/>
  <c r="I114" i="7" s="1"/>
  <c r="H118" i="7"/>
  <c r="I118" i="7" s="1"/>
  <c r="H122" i="7"/>
  <c r="I122" i="7" s="1"/>
  <c r="H126" i="7"/>
  <c r="I126" i="7" s="1"/>
  <c r="H130" i="7"/>
  <c r="I130" i="7" s="1"/>
  <c r="H134" i="7"/>
  <c r="I134" i="7" s="1"/>
  <c r="H138" i="7"/>
  <c r="I138" i="7" s="1"/>
  <c r="H142" i="7"/>
  <c r="I142" i="7" s="1"/>
  <c r="H146" i="7"/>
  <c r="I146" i="7" s="1"/>
  <c r="H150" i="7"/>
  <c r="I150" i="7" s="1"/>
  <c r="H154" i="7"/>
  <c r="I154" i="7" s="1"/>
  <c r="H158" i="7"/>
  <c r="I158" i="7" s="1"/>
  <c r="H162" i="7"/>
  <c r="I162" i="7" s="1"/>
  <c r="H166" i="7"/>
  <c r="I166" i="7" s="1"/>
  <c r="H170" i="7"/>
  <c r="I170" i="7" s="1"/>
  <c r="H174" i="7"/>
  <c r="I174" i="7" s="1"/>
  <c r="H178" i="7"/>
  <c r="I178" i="7" s="1"/>
  <c r="H182" i="7"/>
  <c r="I182" i="7" s="1"/>
  <c r="H186" i="7"/>
  <c r="I186" i="7" s="1"/>
  <c r="H190" i="7"/>
  <c r="I190" i="7" s="1"/>
  <c r="H196" i="7"/>
  <c r="I196" i="7" s="1"/>
  <c r="I206" i="7"/>
  <c r="I222" i="7"/>
  <c r="I238" i="7"/>
  <c r="H249" i="7"/>
  <c r="I249" i="7" s="1"/>
  <c r="H258" i="7"/>
  <c r="I258" i="7" s="1"/>
  <c r="H260" i="7"/>
  <c r="I260" i="7" s="1"/>
  <c r="H274" i="7"/>
  <c r="I274" i="7" s="1"/>
  <c r="H276" i="7"/>
  <c r="I276" i="7" s="1"/>
  <c r="H298" i="7"/>
  <c r="I298" i="7" s="1"/>
  <c r="H300" i="7"/>
  <c r="I300" i="7" s="1"/>
  <c r="I308" i="7"/>
  <c r="H313" i="7"/>
  <c r="I313" i="7" s="1"/>
  <c r="H342" i="7"/>
  <c r="I342" i="7" s="1"/>
  <c r="I215" i="7"/>
  <c r="I231" i="7"/>
  <c r="I247" i="7"/>
  <c r="I251" i="7"/>
  <c r="H265" i="7"/>
  <c r="I265" i="7" s="1"/>
  <c r="I267" i="7"/>
  <c r="H281" i="7"/>
  <c r="I281" i="7" s="1"/>
  <c r="I283" i="7"/>
  <c r="I288" i="7"/>
  <c r="H293" i="7"/>
  <c r="I293" i="7" s="1"/>
  <c r="H326" i="7"/>
  <c r="I326" i="7" s="1"/>
  <c r="H328" i="7"/>
  <c r="I328" i="7" s="1"/>
  <c r="H391" i="7"/>
  <c r="I391" i="7" s="1"/>
  <c r="H465" i="7"/>
  <c r="I465" i="7" s="1"/>
  <c r="H477" i="7"/>
  <c r="I477" i="7" s="1"/>
  <c r="H389" i="7"/>
  <c r="I389" i="7" s="1"/>
  <c r="H401" i="7"/>
  <c r="I401" i="7" s="1"/>
  <c r="H409" i="7"/>
  <c r="I409" i="7" s="1"/>
  <c r="H417" i="7"/>
  <c r="I417" i="7" s="1"/>
  <c r="H425" i="7"/>
  <c r="I425" i="7" s="1"/>
  <c r="H433" i="7"/>
  <c r="I433" i="7" s="1"/>
  <c r="H441" i="7"/>
  <c r="I441" i="7" s="1"/>
  <c r="H449" i="7"/>
  <c r="I449" i="7" s="1"/>
  <c r="H457" i="7"/>
  <c r="I457" i="7" s="1"/>
  <c r="H387" i="7"/>
  <c r="I387" i="7" s="1"/>
  <c r="H345" i="7"/>
  <c r="I345" i="7" s="1"/>
  <c r="H349" i="7"/>
  <c r="I349" i="7" s="1"/>
  <c r="H353" i="7"/>
  <c r="I353" i="7" s="1"/>
  <c r="H357" i="7"/>
  <c r="I357" i="7" s="1"/>
  <c r="H361" i="7"/>
  <c r="I361" i="7" s="1"/>
  <c r="H365" i="7"/>
  <c r="I365" i="7" s="1"/>
  <c r="H369" i="7"/>
  <c r="I369" i="7" s="1"/>
  <c r="H373" i="7"/>
  <c r="I373" i="7" s="1"/>
  <c r="H377" i="7"/>
  <c r="I377" i="7" s="1"/>
  <c r="H385" i="7"/>
  <c r="I385" i="7" s="1"/>
  <c r="H379" i="7"/>
  <c r="I379" i="7" s="1"/>
  <c r="H383" i="7"/>
  <c r="I383" i="7" s="1"/>
  <c r="H399" i="7"/>
  <c r="I399" i="7" s="1"/>
  <c r="H407" i="7"/>
  <c r="I407" i="7" s="1"/>
  <c r="H415" i="7"/>
  <c r="I415" i="7" s="1"/>
  <c r="H423" i="7"/>
  <c r="I423" i="7" s="1"/>
  <c r="H431" i="7"/>
  <c r="I431" i="7" s="1"/>
  <c r="H439" i="7"/>
  <c r="I439" i="7" s="1"/>
  <c r="H447" i="7"/>
  <c r="I447" i="7" s="1"/>
  <c r="H455" i="7"/>
  <c r="I455" i="7" s="1"/>
  <c r="H463" i="7"/>
  <c r="I463" i="7" s="1"/>
  <c r="H469" i="7"/>
  <c r="I469" i="7" s="1"/>
  <c r="H481" i="7"/>
  <c r="I481" i="7" s="1"/>
  <c r="H485" i="7"/>
  <c r="I485" i="7" s="1"/>
  <c r="I332" i="7"/>
  <c r="I336" i="7"/>
  <c r="I340" i="7"/>
  <c r="I344" i="7"/>
  <c r="I348" i="7"/>
  <c r="I352" i="7"/>
  <c r="I356" i="7"/>
  <c r="I360" i="7"/>
  <c r="I364" i="7"/>
  <c r="I368" i="7"/>
  <c r="I372" i="7"/>
  <c r="I376" i="7"/>
  <c r="H397" i="7"/>
  <c r="I397" i="7" s="1"/>
  <c r="H405" i="7"/>
  <c r="I405" i="7" s="1"/>
  <c r="H413" i="7"/>
  <c r="I413" i="7" s="1"/>
  <c r="H421" i="7"/>
  <c r="I421" i="7" s="1"/>
  <c r="H429" i="7"/>
  <c r="I429" i="7" s="1"/>
  <c r="H437" i="7"/>
  <c r="I437" i="7" s="1"/>
  <c r="H445" i="7"/>
  <c r="I445" i="7" s="1"/>
  <c r="H453" i="7"/>
  <c r="I453" i="7" s="1"/>
  <c r="H461" i="7"/>
  <c r="I461" i="7" s="1"/>
  <c r="H390" i="7"/>
  <c r="I390" i="7" s="1"/>
  <c r="H395" i="7"/>
  <c r="I395" i="7" s="1"/>
  <c r="H473" i="7"/>
  <c r="I473" i="7" s="1"/>
  <c r="H403" i="7"/>
  <c r="I403" i="7" s="1"/>
  <c r="H411" i="7"/>
  <c r="I411" i="7" s="1"/>
  <c r="H419" i="7"/>
  <c r="I419" i="7" s="1"/>
  <c r="H427" i="7"/>
  <c r="I427" i="7" s="1"/>
  <c r="H435" i="7"/>
  <c r="I435" i="7" s="1"/>
  <c r="H443" i="7"/>
  <c r="I443" i="7" s="1"/>
  <c r="H451" i="7"/>
  <c r="I451" i="7" s="1"/>
  <c r="H459" i="7"/>
  <c r="I459" i="7" s="1"/>
  <c r="I718" i="7"/>
  <c r="H718" i="7"/>
  <c r="J718" i="7"/>
  <c r="I690" i="7"/>
  <c r="H690" i="7"/>
  <c r="J910" i="7"/>
  <c r="H910" i="7"/>
  <c r="I910" i="7"/>
  <c r="J708" i="7"/>
  <c r="I710" i="7"/>
  <c r="H710" i="7"/>
  <c r="H489" i="7"/>
  <c r="I489" i="7" s="1"/>
  <c r="H493" i="7"/>
  <c r="I493" i="7" s="1"/>
  <c r="H497" i="7"/>
  <c r="I497" i="7" s="1"/>
  <c r="H501" i="7"/>
  <c r="I501" i="7" s="1"/>
  <c r="H505" i="7"/>
  <c r="I505" i="7" s="1"/>
  <c r="H509" i="7"/>
  <c r="I509" i="7" s="1"/>
  <c r="H513" i="7"/>
  <c r="I513" i="7" s="1"/>
  <c r="H517" i="7"/>
  <c r="I517" i="7" s="1"/>
  <c r="H521" i="7"/>
  <c r="I521" i="7" s="1"/>
  <c r="H525" i="7"/>
  <c r="I525" i="7" s="1"/>
  <c r="H529" i="7"/>
  <c r="I529" i="7" s="1"/>
  <c r="H533" i="7"/>
  <c r="I533" i="7" s="1"/>
  <c r="H537" i="7"/>
  <c r="I537" i="7" s="1"/>
  <c r="H541" i="7"/>
  <c r="I541" i="7" s="1"/>
  <c r="H545" i="7"/>
  <c r="I545" i="7" s="1"/>
  <c r="H549" i="7"/>
  <c r="I549" i="7" s="1"/>
  <c r="H553" i="7"/>
  <c r="H557" i="7"/>
  <c r="H561" i="7"/>
  <c r="H565" i="7"/>
  <c r="H569" i="7"/>
  <c r="H573" i="7"/>
  <c r="H577" i="7"/>
  <c r="H581" i="7"/>
  <c r="H585" i="7"/>
  <c r="H589" i="7"/>
  <c r="H593" i="7"/>
  <c r="H597" i="7"/>
  <c r="H601" i="7"/>
  <c r="H605" i="7"/>
  <c r="H609" i="7"/>
  <c r="H613" i="7"/>
  <c r="H617" i="7"/>
  <c r="H621" i="7"/>
  <c r="H625" i="7"/>
  <c r="H629" i="7"/>
  <c r="H633" i="7"/>
  <c r="H637" i="7"/>
  <c r="H641" i="7"/>
  <c r="H645" i="7"/>
  <c r="H649" i="7"/>
  <c r="H653" i="7"/>
  <c r="H657" i="7"/>
  <c r="H661" i="7"/>
  <c r="H665" i="7"/>
  <c r="H669" i="7"/>
  <c r="H673" i="7"/>
  <c r="H677" i="7"/>
  <c r="H681" i="7"/>
  <c r="J690" i="7"/>
  <c r="H700" i="7"/>
  <c r="I722" i="7"/>
  <c r="H722" i="7"/>
  <c r="H897" i="7"/>
  <c r="J897" i="7"/>
  <c r="I897" i="7"/>
  <c r="I553" i="7"/>
  <c r="I557" i="7"/>
  <c r="I561" i="7"/>
  <c r="I565" i="7"/>
  <c r="I569" i="7"/>
  <c r="I573" i="7"/>
  <c r="I577" i="7"/>
  <c r="I581" i="7"/>
  <c r="I585" i="7"/>
  <c r="I589" i="7"/>
  <c r="I593" i="7"/>
  <c r="I597" i="7"/>
  <c r="I601" i="7"/>
  <c r="I605" i="7"/>
  <c r="I609" i="7"/>
  <c r="I613" i="7"/>
  <c r="I617" i="7"/>
  <c r="I621" i="7"/>
  <c r="I625" i="7"/>
  <c r="I629" i="7"/>
  <c r="I633" i="7"/>
  <c r="I637" i="7"/>
  <c r="I641" i="7"/>
  <c r="I645" i="7"/>
  <c r="I649" i="7"/>
  <c r="I653" i="7"/>
  <c r="I657" i="7"/>
  <c r="I661" i="7"/>
  <c r="I665" i="7"/>
  <c r="I669" i="7"/>
  <c r="I673" i="7"/>
  <c r="I677" i="7"/>
  <c r="I681" i="7"/>
  <c r="J700" i="7"/>
  <c r="I702" i="7"/>
  <c r="H702" i="7"/>
  <c r="H692" i="7"/>
  <c r="J722" i="7"/>
  <c r="I726" i="7"/>
  <c r="H726" i="7"/>
  <c r="I694" i="7"/>
  <c r="H694" i="7"/>
  <c r="I714" i="7"/>
  <c r="H714" i="7"/>
  <c r="J899" i="7"/>
  <c r="I899" i="7"/>
  <c r="H899" i="7"/>
  <c r="I686" i="7"/>
  <c r="H686" i="7"/>
  <c r="J694" i="7"/>
  <c r="H704" i="7"/>
  <c r="H467" i="7"/>
  <c r="I467" i="7" s="1"/>
  <c r="H471" i="7"/>
  <c r="I471" i="7" s="1"/>
  <c r="H475" i="7"/>
  <c r="I475" i="7" s="1"/>
  <c r="H479" i="7"/>
  <c r="I479" i="7" s="1"/>
  <c r="H483" i="7"/>
  <c r="I483" i="7" s="1"/>
  <c r="H487" i="7"/>
  <c r="I487" i="7" s="1"/>
  <c r="H491" i="7"/>
  <c r="I491" i="7" s="1"/>
  <c r="H495" i="7"/>
  <c r="I495" i="7" s="1"/>
  <c r="H499" i="7"/>
  <c r="I499" i="7" s="1"/>
  <c r="H503" i="7"/>
  <c r="I503" i="7" s="1"/>
  <c r="H507" i="7"/>
  <c r="I507" i="7" s="1"/>
  <c r="H511" i="7"/>
  <c r="I511" i="7" s="1"/>
  <c r="H515" i="7"/>
  <c r="I515" i="7" s="1"/>
  <c r="H519" i="7"/>
  <c r="I519" i="7" s="1"/>
  <c r="H523" i="7"/>
  <c r="I523" i="7" s="1"/>
  <c r="H527" i="7"/>
  <c r="I527" i="7" s="1"/>
  <c r="H531" i="7"/>
  <c r="I531" i="7" s="1"/>
  <c r="H535" i="7"/>
  <c r="I535" i="7" s="1"/>
  <c r="H539" i="7"/>
  <c r="I539" i="7" s="1"/>
  <c r="H543" i="7"/>
  <c r="I543" i="7" s="1"/>
  <c r="H547" i="7"/>
  <c r="I547" i="7" s="1"/>
  <c r="H551" i="7"/>
  <c r="H555" i="7"/>
  <c r="H559" i="7"/>
  <c r="H563" i="7"/>
  <c r="H567" i="7"/>
  <c r="H571" i="7"/>
  <c r="H575" i="7"/>
  <c r="H579" i="7"/>
  <c r="H583" i="7"/>
  <c r="H587" i="7"/>
  <c r="H591" i="7"/>
  <c r="H595" i="7"/>
  <c r="H599" i="7"/>
  <c r="H603" i="7"/>
  <c r="H607" i="7"/>
  <c r="H611" i="7"/>
  <c r="H615" i="7"/>
  <c r="H619" i="7"/>
  <c r="H623" i="7"/>
  <c r="H627" i="7"/>
  <c r="H631" i="7"/>
  <c r="H635" i="7"/>
  <c r="H639" i="7"/>
  <c r="H643" i="7"/>
  <c r="H647" i="7"/>
  <c r="H651" i="7"/>
  <c r="H655" i="7"/>
  <c r="H659" i="7"/>
  <c r="H663" i="7"/>
  <c r="H667" i="7"/>
  <c r="H671" i="7"/>
  <c r="H675" i="7"/>
  <c r="H679" i="7"/>
  <c r="H683" i="7"/>
  <c r="J704" i="7"/>
  <c r="I706" i="7"/>
  <c r="H706" i="7"/>
  <c r="J714" i="7"/>
  <c r="I551" i="7"/>
  <c r="I555" i="7"/>
  <c r="I559" i="7"/>
  <c r="I563" i="7"/>
  <c r="I567" i="7"/>
  <c r="I571" i="7"/>
  <c r="I575" i="7"/>
  <c r="I579" i="7"/>
  <c r="I583" i="7"/>
  <c r="I587" i="7"/>
  <c r="I591" i="7"/>
  <c r="I595" i="7"/>
  <c r="I599" i="7"/>
  <c r="I603" i="7"/>
  <c r="I607" i="7"/>
  <c r="I611" i="7"/>
  <c r="I615" i="7"/>
  <c r="I619" i="7"/>
  <c r="I623" i="7"/>
  <c r="I627" i="7"/>
  <c r="I631" i="7"/>
  <c r="I635" i="7"/>
  <c r="I639" i="7"/>
  <c r="I643" i="7"/>
  <c r="I647" i="7"/>
  <c r="I651" i="7"/>
  <c r="I655" i="7"/>
  <c r="I659" i="7"/>
  <c r="I663" i="7"/>
  <c r="I667" i="7"/>
  <c r="I671" i="7"/>
  <c r="I675" i="7"/>
  <c r="I679" i="7"/>
  <c r="I683" i="7"/>
  <c r="I698" i="7"/>
  <c r="H698" i="7"/>
  <c r="J706" i="7"/>
  <c r="H716" i="7"/>
  <c r="I895" i="7"/>
  <c r="I907" i="7"/>
  <c r="J913" i="7"/>
  <c r="I913" i="7"/>
  <c r="H913" i="7"/>
  <c r="J922" i="7"/>
  <c r="H922" i="7"/>
  <c r="J934" i="7"/>
  <c r="H934" i="7"/>
  <c r="J946" i="7"/>
  <c r="H946" i="7"/>
  <c r="J949" i="7"/>
  <c r="I949" i="7"/>
  <c r="H949" i="7"/>
  <c r="J902" i="7"/>
  <c r="H902" i="7"/>
  <c r="J925" i="7"/>
  <c r="I925" i="7"/>
  <c r="H925" i="7"/>
  <c r="J937" i="7"/>
  <c r="I937" i="7"/>
  <c r="H937" i="7"/>
  <c r="H1475" i="7"/>
  <c r="J1475" i="7"/>
  <c r="I1475" i="7"/>
  <c r="J905" i="7"/>
  <c r="I905" i="7"/>
  <c r="H905" i="7"/>
  <c r="I922" i="7"/>
  <c r="I934" i="7"/>
  <c r="I946" i="7"/>
  <c r="J953" i="7"/>
  <c r="I953" i="7"/>
  <c r="H953" i="7"/>
  <c r="H1268" i="7"/>
  <c r="J1268" i="7"/>
  <c r="I1268" i="7"/>
  <c r="H730" i="7"/>
  <c r="H734" i="7"/>
  <c r="H738" i="7"/>
  <c r="H742" i="7"/>
  <c r="H746" i="7"/>
  <c r="H750" i="7"/>
  <c r="H754" i="7"/>
  <c r="H758" i="7"/>
  <c r="H762" i="7"/>
  <c r="H766" i="7"/>
  <c r="H770" i="7"/>
  <c r="H774" i="7"/>
  <c r="H778" i="7"/>
  <c r="H782" i="7"/>
  <c r="H786" i="7"/>
  <c r="H790" i="7"/>
  <c r="H794" i="7"/>
  <c r="H798" i="7"/>
  <c r="H802" i="7"/>
  <c r="H806" i="7"/>
  <c r="H810" i="7"/>
  <c r="H814" i="7"/>
  <c r="H818" i="7"/>
  <c r="H822" i="7"/>
  <c r="H826" i="7"/>
  <c r="H830" i="7"/>
  <c r="H834" i="7"/>
  <c r="H838" i="7"/>
  <c r="H842" i="7"/>
  <c r="H846" i="7"/>
  <c r="H850" i="7"/>
  <c r="H854" i="7"/>
  <c r="H858" i="7"/>
  <c r="H862" i="7"/>
  <c r="H866" i="7"/>
  <c r="H870" i="7"/>
  <c r="J950" i="7"/>
  <c r="H950" i="7"/>
  <c r="H1086" i="7"/>
  <c r="J1086" i="7"/>
  <c r="I1086" i="7"/>
  <c r="H911" i="7"/>
  <c r="J914" i="7"/>
  <c r="H914" i="7"/>
  <c r="J926" i="7"/>
  <c r="H926" i="7"/>
  <c r="J938" i="7"/>
  <c r="H938" i="7"/>
  <c r="J957" i="7"/>
  <c r="I957" i="7"/>
  <c r="H957" i="7"/>
  <c r="J917" i="7"/>
  <c r="I917" i="7"/>
  <c r="H917" i="7"/>
  <c r="J929" i="7"/>
  <c r="I929" i="7"/>
  <c r="H929" i="7"/>
  <c r="J941" i="7"/>
  <c r="I941" i="7"/>
  <c r="H941" i="7"/>
  <c r="J898" i="7"/>
  <c r="H898" i="7"/>
  <c r="J906" i="7"/>
  <c r="H906" i="7"/>
  <c r="J909" i="7"/>
  <c r="I909" i="7"/>
  <c r="H909" i="7"/>
  <c r="I898" i="7"/>
  <c r="I906" i="7"/>
  <c r="J918" i="7"/>
  <c r="H918" i="7"/>
  <c r="J930" i="7"/>
  <c r="H930" i="7"/>
  <c r="J942" i="7"/>
  <c r="H942" i="7"/>
  <c r="J901" i="7"/>
  <c r="I901" i="7"/>
  <c r="H901" i="7"/>
  <c r="J921" i="7"/>
  <c r="I921" i="7"/>
  <c r="H921" i="7"/>
  <c r="J933" i="7"/>
  <c r="I933" i="7"/>
  <c r="H933" i="7"/>
  <c r="J945" i="7"/>
  <c r="I945" i="7"/>
  <c r="H945" i="7"/>
  <c r="I918" i="7"/>
  <c r="I930" i="7"/>
  <c r="I942" i="7"/>
  <c r="J1124" i="7"/>
  <c r="I1124" i="7"/>
  <c r="J1140" i="7"/>
  <c r="I1140" i="7"/>
  <c r="I1089" i="7"/>
  <c r="J1092" i="7"/>
  <c r="J1108" i="7"/>
  <c r="I1110" i="7"/>
  <c r="H1110" i="7"/>
  <c r="I1126" i="7"/>
  <c r="H1126" i="7"/>
  <c r="I1142" i="7"/>
  <c r="H1142" i="7"/>
  <c r="I1302" i="7"/>
  <c r="J1302" i="7"/>
  <c r="H1302" i="7"/>
  <c r="H954" i="7"/>
  <c r="H958" i="7"/>
  <c r="H962" i="7"/>
  <c r="H966" i="7"/>
  <c r="H970" i="7"/>
  <c r="H974" i="7"/>
  <c r="H978" i="7"/>
  <c r="H982" i="7"/>
  <c r="H986" i="7"/>
  <c r="H990" i="7"/>
  <c r="H994" i="7"/>
  <c r="H998" i="7"/>
  <c r="H1002" i="7"/>
  <c r="H1006" i="7"/>
  <c r="H1010" i="7"/>
  <c r="H1014" i="7"/>
  <c r="H1018" i="7"/>
  <c r="H1022" i="7"/>
  <c r="H1026" i="7"/>
  <c r="H1030" i="7"/>
  <c r="H1034" i="7"/>
  <c r="H1038" i="7"/>
  <c r="H1042" i="7"/>
  <c r="H1046" i="7"/>
  <c r="H1050" i="7"/>
  <c r="H1054" i="7"/>
  <c r="H1058" i="7"/>
  <c r="H1062" i="7"/>
  <c r="H1066" i="7"/>
  <c r="H1070" i="7"/>
  <c r="H1074" i="7"/>
  <c r="H1078" i="7"/>
  <c r="H1082" i="7"/>
  <c r="H1097" i="7"/>
  <c r="H1100" i="7"/>
  <c r="H1124" i="7"/>
  <c r="H1140" i="7"/>
  <c r="I1102" i="7"/>
  <c r="H1102" i="7"/>
  <c r="J1112" i="7"/>
  <c r="I1112" i="7"/>
  <c r="J1128" i="7"/>
  <c r="I1128" i="7"/>
  <c r="J1144" i="7"/>
  <c r="I1144" i="7"/>
  <c r="J1299" i="7"/>
  <c r="I1299" i="7"/>
  <c r="H1299" i="7"/>
  <c r="J1435" i="7"/>
  <c r="I1435" i="7"/>
  <c r="H1435" i="7"/>
  <c r="J1094" i="7"/>
  <c r="I1114" i="7"/>
  <c r="H1114" i="7"/>
  <c r="I1130" i="7"/>
  <c r="H1130" i="7"/>
  <c r="I1146" i="7"/>
  <c r="H1146" i="7"/>
  <c r="H961" i="7"/>
  <c r="H965" i="7"/>
  <c r="H969" i="7"/>
  <c r="H973" i="7"/>
  <c r="H977" i="7"/>
  <c r="H981" i="7"/>
  <c r="H985" i="7"/>
  <c r="H989" i="7"/>
  <c r="H993" i="7"/>
  <c r="H997" i="7"/>
  <c r="H1001" i="7"/>
  <c r="H1005" i="7"/>
  <c r="H1009" i="7"/>
  <c r="H1013" i="7"/>
  <c r="H1017" i="7"/>
  <c r="H1021" i="7"/>
  <c r="H1025" i="7"/>
  <c r="H1029" i="7"/>
  <c r="H1033" i="7"/>
  <c r="H1037" i="7"/>
  <c r="H1041" i="7"/>
  <c r="H1045" i="7"/>
  <c r="H1049" i="7"/>
  <c r="H1053" i="7"/>
  <c r="H1057" i="7"/>
  <c r="H1061" i="7"/>
  <c r="H1065" i="7"/>
  <c r="H1069" i="7"/>
  <c r="H1073" i="7"/>
  <c r="H1077" i="7"/>
  <c r="H1081" i="7"/>
  <c r="H1085" i="7"/>
  <c r="H1088" i="7"/>
  <c r="J1102" i="7"/>
  <c r="H1112" i="7"/>
  <c r="H1128" i="7"/>
  <c r="H1144" i="7"/>
  <c r="H1316" i="7"/>
  <c r="J1316" i="7"/>
  <c r="I1316" i="7"/>
  <c r="I961" i="7"/>
  <c r="I965" i="7"/>
  <c r="I969" i="7"/>
  <c r="I973" i="7"/>
  <c r="I977" i="7"/>
  <c r="I981" i="7"/>
  <c r="I985" i="7"/>
  <c r="I989" i="7"/>
  <c r="I993" i="7"/>
  <c r="I997" i="7"/>
  <c r="I1001" i="7"/>
  <c r="I1005" i="7"/>
  <c r="I1009" i="7"/>
  <c r="I1013" i="7"/>
  <c r="I1017" i="7"/>
  <c r="I1021" i="7"/>
  <c r="I1025" i="7"/>
  <c r="I1029" i="7"/>
  <c r="I1033" i="7"/>
  <c r="I1037" i="7"/>
  <c r="I1041" i="7"/>
  <c r="I1045" i="7"/>
  <c r="I1049" i="7"/>
  <c r="I1053" i="7"/>
  <c r="I1057" i="7"/>
  <c r="I1061" i="7"/>
  <c r="I1065" i="7"/>
  <c r="I1069" i="7"/>
  <c r="I1073" i="7"/>
  <c r="I1077" i="7"/>
  <c r="I1081" i="7"/>
  <c r="I1085" i="7"/>
  <c r="J1088" i="7"/>
  <c r="J1116" i="7"/>
  <c r="I1116" i="7"/>
  <c r="J1132" i="7"/>
  <c r="I1132" i="7"/>
  <c r="J1148" i="7"/>
  <c r="I1148" i="7"/>
  <c r="H1093" i="7"/>
  <c r="I1118" i="7"/>
  <c r="H1118" i="7"/>
  <c r="I1134" i="7"/>
  <c r="H1134" i="7"/>
  <c r="I1254" i="7"/>
  <c r="J1254" i="7"/>
  <c r="H1254" i="7"/>
  <c r="H900" i="7"/>
  <c r="H904" i="7"/>
  <c r="H908" i="7"/>
  <c r="H912" i="7"/>
  <c r="H916" i="7"/>
  <c r="H920" i="7"/>
  <c r="H924" i="7"/>
  <c r="H928" i="7"/>
  <c r="H932" i="7"/>
  <c r="H936" i="7"/>
  <c r="H940" i="7"/>
  <c r="H944" i="7"/>
  <c r="H948" i="7"/>
  <c r="H952" i="7"/>
  <c r="H956" i="7"/>
  <c r="H960" i="7"/>
  <c r="H964" i="7"/>
  <c r="H968" i="7"/>
  <c r="H972" i="7"/>
  <c r="H976" i="7"/>
  <c r="H980" i="7"/>
  <c r="H984" i="7"/>
  <c r="H988" i="7"/>
  <c r="H992" i="7"/>
  <c r="H996" i="7"/>
  <c r="H1000" i="7"/>
  <c r="H1004" i="7"/>
  <c r="H1008" i="7"/>
  <c r="H1012" i="7"/>
  <c r="H1016" i="7"/>
  <c r="H1020" i="7"/>
  <c r="H1024" i="7"/>
  <c r="H1028" i="7"/>
  <c r="H1032" i="7"/>
  <c r="H1036" i="7"/>
  <c r="H1040" i="7"/>
  <c r="H1044" i="7"/>
  <c r="H1048" i="7"/>
  <c r="H1052" i="7"/>
  <c r="H1056" i="7"/>
  <c r="H1060" i="7"/>
  <c r="H1064" i="7"/>
  <c r="H1068" i="7"/>
  <c r="H1072" i="7"/>
  <c r="H1076" i="7"/>
  <c r="H1080" i="7"/>
  <c r="H1084" i="7"/>
  <c r="I1090" i="7"/>
  <c r="I1093" i="7"/>
  <c r="J1096" i="7"/>
  <c r="J1104" i="7"/>
  <c r="I1106" i="7"/>
  <c r="H1106" i="7"/>
  <c r="H1116" i="7"/>
  <c r="H1132" i="7"/>
  <c r="H1148" i="7"/>
  <c r="J1152" i="7"/>
  <c r="I1152" i="7"/>
  <c r="I948" i="7"/>
  <c r="I952" i="7"/>
  <c r="I956" i="7"/>
  <c r="I960" i="7"/>
  <c r="I964" i="7"/>
  <c r="I968" i="7"/>
  <c r="I972" i="7"/>
  <c r="I976" i="7"/>
  <c r="I980" i="7"/>
  <c r="I984" i="7"/>
  <c r="I988" i="7"/>
  <c r="I992" i="7"/>
  <c r="I996" i="7"/>
  <c r="I1000" i="7"/>
  <c r="I1004" i="7"/>
  <c r="I1008" i="7"/>
  <c r="I1012" i="7"/>
  <c r="I1016" i="7"/>
  <c r="I1020" i="7"/>
  <c r="I1024" i="7"/>
  <c r="I1028" i="7"/>
  <c r="I1032" i="7"/>
  <c r="I1036" i="7"/>
  <c r="I1040" i="7"/>
  <c r="I1044" i="7"/>
  <c r="I1048" i="7"/>
  <c r="I1052" i="7"/>
  <c r="I1056" i="7"/>
  <c r="I1060" i="7"/>
  <c r="I1064" i="7"/>
  <c r="I1068" i="7"/>
  <c r="I1072" i="7"/>
  <c r="I1076" i="7"/>
  <c r="I1080" i="7"/>
  <c r="I1084" i="7"/>
  <c r="J1090" i="7"/>
  <c r="H1101" i="7"/>
  <c r="J1118" i="7"/>
  <c r="J1120" i="7"/>
  <c r="I1120" i="7"/>
  <c r="J1136" i="7"/>
  <c r="I1136" i="7"/>
  <c r="J1156" i="7"/>
  <c r="I1156" i="7"/>
  <c r="J1251" i="7"/>
  <c r="I1251" i="7"/>
  <c r="H1251" i="7"/>
  <c r="I1122" i="7"/>
  <c r="H1122" i="7"/>
  <c r="I1138" i="7"/>
  <c r="H1138" i="7"/>
  <c r="H1152" i="7"/>
  <c r="J1357" i="7"/>
  <c r="H1357" i="7"/>
  <c r="I1357" i="7"/>
  <c r="J1379" i="7"/>
  <c r="I1379" i="7"/>
  <c r="H1379" i="7"/>
  <c r="H12" i="8"/>
  <c r="I12" i="8" s="1"/>
  <c r="H105" i="8"/>
  <c r="I105" i="8" s="1"/>
  <c r="H134" i="8"/>
  <c r="I134" i="8" s="1"/>
  <c r="J1362" i="7"/>
  <c r="I1362" i="7"/>
  <c r="H1362" i="7"/>
  <c r="J1427" i="7"/>
  <c r="I1427" i="7"/>
  <c r="H1427" i="7"/>
  <c r="H4" i="8"/>
  <c r="I4" i="8" s="1"/>
  <c r="H8" i="8"/>
  <c r="I8" i="8" s="1"/>
  <c r="J1385" i="7"/>
  <c r="I1385" i="7"/>
  <c r="H1428" i="7"/>
  <c r="J1428" i="7"/>
  <c r="I1428" i="7"/>
  <c r="J1498" i="7"/>
  <c r="I1498" i="7"/>
  <c r="H1498" i="7"/>
  <c r="H25" i="8"/>
  <c r="I25" i="8" s="1"/>
  <c r="I1160" i="7"/>
  <c r="I1164" i="7"/>
  <c r="I1168" i="7"/>
  <c r="I1172" i="7"/>
  <c r="I1176" i="7"/>
  <c r="I1180" i="7"/>
  <c r="I1184" i="7"/>
  <c r="I1188" i="7"/>
  <c r="I1192" i="7"/>
  <c r="I1196" i="7"/>
  <c r="I1200" i="7"/>
  <c r="I1204" i="7"/>
  <c r="I1208" i="7"/>
  <c r="I1212" i="7"/>
  <c r="I1216" i="7"/>
  <c r="I1220" i="7"/>
  <c r="I1224" i="7"/>
  <c r="J1228" i="7"/>
  <c r="H1239" i="7"/>
  <c r="H1242" i="7"/>
  <c r="I1256" i="7"/>
  <c r="I1259" i="7"/>
  <c r="J1262" i="7"/>
  <c r="J1276" i="7"/>
  <c r="H1287" i="7"/>
  <c r="H1290" i="7"/>
  <c r="I1304" i="7"/>
  <c r="I1307" i="7"/>
  <c r="J1310" i="7"/>
  <c r="J1324" i="7"/>
  <c r="J1332" i="7"/>
  <c r="H1334" i="7"/>
  <c r="J1336" i="7"/>
  <c r="H1338" i="7"/>
  <c r="J1340" i="7"/>
  <c r="H1342" i="7"/>
  <c r="J1344" i="7"/>
  <c r="H1346" i="7"/>
  <c r="H1351" i="7"/>
  <c r="H1380" i="7"/>
  <c r="J1380" i="7"/>
  <c r="I1392" i="7"/>
  <c r="I1413" i="7"/>
  <c r="H1473" i="7"/>
  <c r="J1473" i="7"/>
  <c r="I1473" i="7"/>
  <c r="H30" i="8"/>
  <c r="I30" i="8" s="1"/>
  <c r="I1236" i="7"/>
  <c r="I1239" i="7"/>
  <c r="J1242" i="7"/>
  <c r="J1256" i="7"/>
  <c r="H1267" i="7"/>
  <c r="H1270" i="7"/>
  <c r="I1284" i="7"/>
  <c r="I1287" i="7"/>
  <c r="J1290" i="7"/>
  <c r="J1304" i="7"/>
  <c r="H1315" i="7"/>
  <c r="H1318" i="7"/>
  <c r="J1334" i="7"/>
  <c r="J1338" i="7"/>
  <c r="J1342" i="7"/>
  <c r="J1346" i="7"/>
  <c r="I1351" i="7"/>
  <c r="J1363" i="7"/>
  <c r="I1363" i="7"/>
  <c r="H1375" i="7"/>
  <c r="H1377" i="7"/>
  <c r="H1385" i="7"/>
  <c r="J1392" i="7"/>
  <c r="H1396" i="7"/>
  <c r="J1396" i="7"/>
  <c r="I1396" i="7"/>
  <c r="J1405" i="7"/>
  <c r="I1405" i="7"/>
  <c r="H1405" i="7"/>
  <c r="I1425" i="7"/>
  <c r="H1425" i="7"/>
  <c r="H94" i="8"/>
  <c r="I94" i="8" s="1"/>
  <c r="H174" i="8"/>
  <c r="I174" i="8" s="1"/>
  <c r="J1236" i="7"/>
  <c r="I1267" i="7"/>
  <c r="J1270" i="7"/>
  <c r="J1284" i="7"/>
  <c r="I1315" i="7"/>
  <c r="J1318" i="7"/>
  <c r="J1366" i="7"/>
  <c r="H1366" i="7"/>
  <c r="I1375" i="7"/>
  <c r="J1377" i="7"/>
  <c r="J1383" i="7"/>
  <c r="H1383" i="7"/>
  <c r="H1388" i="7"/>
  <c r="J1388" i="7"/>
  <c r="J1393" i="7"/>
  <c r="I1393" i="7"/>
  <c r="H1393" i="7"/>
  <c r="I1467" i="7"/>
  <c r="J1467" i="7"/>
  <c r="H1467" i="7"/>
  <c r="J1331" i="7"/>
  <c r="H1331" i="7"/>
  <c r="J1347" i="7"/>
  <c r="H1347" i="7"/>
  <c r="J1371" i="7"/>
  <c r="I1371" i="7"/>
  <c r="I1437" i="7"/>
  <c r="J1437" i="7"/>
  <c r="H1437" i="7"/>
  <c r="H6" i="8"/>
  <c r="I6" i="8" s="1"/>
  <c r="H222" i="8"/>
  <c r="I222" i="8" s="1"/>
  <c r="J1230" i="7"/>
  <c r="J1244" i="7"/>
  <c r="H1255" i="7"/>
  <c r="H1258" i="7"/>
  <c r="I1272" i="7"/>
  <c r="I1275" i="7"/>
  <c r="J1278" i="7"/>
  <c r="J1292" i="7"/>
  <c r="H1303" i="7"/>
  <c r="H1306" i="7"/>
  <c r="I1320" i="7"/>
  <c r="I1323" i="7"/>
  <c r="J1326" i="7"/>
  <c r="J1335" i="7"/>
  <c r="H1335" i="7"/>
  <c r="J1339" i="7"/>
  <c r="H1339" i="7"/>
  <c r="J1343" i="7"/>
  <c r="H1343" i="7"/>
  <c r="I1366" i="7"/>
  <c r="I1383" i="7"/>
  <c r="I1388" i="7"/>
  <c r="J1397" i="7"/>
  <c r="I1397" i="7"/>
  <c r="H1397" i="7"/>
  <c r="H1400" i="7"/>
  <c r="J1400" i="7"/>
  <c r="I1400" i="7"/>
  <c r="J1496" i="7"/>
  <c r="H1496" i="7"/>
  <c r="I1496" i="7"/>
  <c r="H40" i="8"/>
  <c r="I40" i="8" s="1"/>
  <c r="H1150" i="7"/>
  <c r="H1154" i="7"/>
  <c r="H1158" i="7"/>
  <c r="H1162" i="7"/>
  <c r="H1166" i="7"/>
  <c r="H1170" i="7"/>
  <c r="H1174" i="7"/>
  <c r="H1178" i="7"/>
  <c r="H1182" i="7"/>
  <c r="H1186" i="7"/>
  <c r="H1190" i="7"/>
  <c r="H1194" i="7"/>
  <c r="H1198" i="7"/>
  <c r="H1202" i="7"/>
  <c r="H1206" i="7"/>
  <c r="H1210" i="7"/>
  <c r="H1214" i="7"/>
  <c r="H1218" i="7"/>
  <c r="H1222" i="7"/>
  <c r="H1226" i="7"/>
  <c r="H1235" i="7"/>
  <c r="H1238" i="7"/>
  <c r="I1252" i="7"/>
  <c r="I1255" i="7"/>
  <c r="J1258" i="7"/>
  <c r="J1272" i="7"/>
  <c r="H1283" i="7"/>
  <c r="H1286" i="7"/>
  <c r="I1300" i="7"/>
  <c r="I1303" i="7"/>
  <c r="J1306" i="7"/>
  <c r="J1320" i="7"/>
  <c r="I1331" i="7"/>
  <c r="I1347" i="7"/>
  <c r="H1371" i="7"/>
  <c r="J1409" i="7"/>
  <c r="I1409" i="7"/>
  <c r="H1409" i="7"/>
  <c r="H62" i="8"/>
  <c r="I62" i="8" s="1"/>
  <c r="J1238" i="7"/>
  <c r="J1252" i="7"/>
  <c r="J1286" i="7"/>
  <c r="J1300" i="7"/>
  <c r="I1394" i="7"/>
  <c r="H1394" i="7"/>
  <c r="J1423" i="7"/>
  <c r="I1423" i="7"/>
  <c r="H1423" i="7"/>
  <c r="J1471" i="7"/>
  <c r="I1471" i="7"/>
  <c r="H1471" i="7"/>
  <c r="J1415" i="7"/>
  <c r="I1415" i="7"/>
  <c r="H1469" i="7"/>
  <c r="J1469" i="7"/>
  <c r="I1469" i="7"/>
  <c r="H1477" i="7"/>
  <c r="I1477" i="7"/>
  <c r="H142" i="8"/>
  <c r="I142" i="8" s="1"/>
  <c r="H166" i="8"/>
  <c r="I166" i="8" s="1"/>
  <c r="H214" i="8"/>
  <c r="I214" i="8" s="1"/>
  <c r="J1439" i="7"/>
  <c r="I1439" i="7"/>
  <c r="I28" i="8"/>
  <c r="I48" i="8"/>
  <c r="H56" i="8"/>
  <c r="I56" i="8" s="1"/>
  <c r="H78" i="8"/>
  <c r="I78" i="8" s="1"/>
  <c r="H1353" i="7"/>
  <c r="H1374" i="7"/>
  <c r="J1407" i="7"/>
  <c r="I1407" i="7"/>
  <c r="H1415" i="7"/>
  <c r="I1420" i="7"/>
  <c r="J1448" i="7"/>
  <c r="H1448" i="7"/>
  <c r="J1450" i="7"/>
  <c r="I1450" i="7"/>
  <c r="I1456" i="7"/>
  <c r="H1456" i="7"/>
  <c r="J1477" i="7"/>
  <c r="H17" i="8"/>
  <c r="I17" i="8" s="1"/>
  <c r="H19" i="8"/>
  <c r="I19" i="8" s="1"/>
  <c r="H33" i="8"/>
  <c r="I33" i="8" s="1"/>
  <c r="H38" i="8"/>
  <c r="I38" i="8" s="1"/>
  <c r="H89" i="8"/>
  <c r="I89" i="8" s="1"/>
  <c r="H102" i="8"/>
  <c r="I102" i="8" s="1"/>
  <c r="H121" i="8"/>
  <c r="I121" i="8" s="1"/>
  <c r="H158" i="8"/>
  <c r="I158" i="8" s="1"/>
  <c r="H206" i="8"/>
  <c r="I206" i="8" s="1"/>
  <c r="H1485" i="7"/>
  <c r="J1485" i="7"/>
  <c r="I1485" i="7"/>
  <c r="H1493" i="7"/>
  <c r="I1493" i="7"/>
  <c r="H254" i="8"/>
  <c r="I254" i="8" s="1"/>
  <c r="H377" i="8"/>
  <c r="I377" i="8" s="1"/>
  <c r="H1349" i="7"/>
  <c r="H1356" i="7"/>
  <c r="H1365" i="7"/>
  <c r="I1368" i="7"/>
  <c r="H1382" i="7"/>
  <c r="H1399" i="7"/>
  <c r="I1402" i="7"/>
  <c r="H1407" i="7"/>
  <c r="I1412" i="7"/>
  <c r="I1417" i="7"/>
  <c r="H1441" i="7"/>
  <c r="J1443" i="7"/>
  <c r="I1443" i="7"/>
  <c r="I1448" i="7"/>
  <c r="H1450" i="7"/>
  <c r="J1456" i="7"/>
  <c r="H1458" i="7"/>
  <c r="H1460" i="7"/>
  <c r="H1483" i="7"/>
  <c r="H1487" i="7"/>
  <c r="I1489" i="7"/>
  <c r="I1491" i="7"/>
  <c r="H15" i="8"/>
  <c r="I15" i="8" s="1"/>
  <c r="H44" i="8"/>
  <c r="I44" i="8" s="1"/>
  <c r="H57" i="8"/>
  <c r="I57" i="8" s="1"/>
  <c r="H66" i="8"/>
  <c r="I66" i="8" s="1"/>
  <c r="H73" i="8"/>
  <c r="I73" i="8" s="1"/>
  <c r="H110" i="8"/>
  <c r="I110" i="8" s="1"/>
  <c r="H198" i="8"/>
  <c r="I198" i="8" s="1"/>
  <c r="J1419" i="7"/>
  <c r="I1419" i="7"/>
  <c r="J1464" i="7"/>
  <c r="H1464" i="7"/>
  <c r="J1466" i="7"/>
  <c r="I1466" i="7"/>
  <c r="I1472" i="7"/>
  <c r="H1472" i="7"/>
  <c r="J1493" i="7"/>
  <c r="H9" i="8"/>
  <c r="I9" i="8" s="1"/>
  <c r="I22" i="8"/>
  <c r="H34" i="8"/>
  <c r="I34" i="8" s="1"/>
  <c r="H49" i="8"/>
  <c r="I49" i="8" s="1"/>
  <c r="H1501" i="7"/>
  <c r="J1501" i="7"/>
  <c r="I1501" i="7"/>
  <c r="H20" i="8"/>
  <c r="I20" i="8" s="1"/>
  <c r="H29" i="8"/>
  <c r="I29" i="8" s="1"/>
  <c r="H58" i="8"/>
  <c r="I58" i="8" s="1"/>
  <c r="H69" i="8"/>
  <c r="I69" i="8" s="1"/>
  <c r="H86" i="8"/>
  <c r="I86" i="8" s="1"/>
  <c r="H118" i="8"/>
  <c r="I118" i="8" s="1"/>
  <c r="H137" i="8"/>
  <c r="I137" i="8" s="1"/>
  <c r="H190" i="8"/>
  <c r="I190" i="8" s="1"/>
  <c r="H1370" i="7"/>
  <c r="H1387" i="7"/>
  <c r="H1401" i="7"/>
  <c r="J1411" i="7"/>
  <c r="I1411" i="7"/>
  <c r="H1419" i="7"/>
  <c r="I1424" i="7"/>
  <c r="J1431" i="7"/>
  <c r="I1431" i="7"/>
  <c r="H61" i="8"/>
  <c r="I61" i="8" s="1"/>
  <c r="H97" i="8"/>
  <c r="I97" i="8" s="1"/>
  <c r="H269" i="8"/>
  <c r="I269" i="8" s="1"/>
  <c r="J1480" i="7"/>
  <c r="H1480" i="7"/>
  <c r="J1482" i="7"/>
  <c r="I1482" i="7"/>
  <c r="I1488" i="7"/>
  <c r="H1488" i="7"/>
  <c r="I50" i="8"/>
  <c r="H70" i="8"/>
  <c r="I70" i="8" s="1"/>
  <c r="H126" i="8"/>
  <c r="I126" i="8" s="1"/>
  <c r="H182" i="8"/>
  <c r="I182" i="8" s="1"/>
  <c r="H230" i="8"/>
  <c r="I230" i="8" s="1"/>
  <c r="I1355" i="7"/>
  <c r="I1364" i="7"/>
  <c r="I1367" i="7"/>
  <c r="J1384" i="7"/>
  <c r="H1395" i="7"/>
  <c r="J1403" i="7"/>
  <c r="I1403" i="7"/>
  <c r="H1411" i="7"/>
  <c r="I1416" i="7"/>
  <c r="H1431" i="7"/>
  <c r="H1453" i="7"/>
  <c r="J1453" i="7"/>
  <c r="I1453" i="7"/>
  <c r="H1461" i="7"/>
  <c r="I1461" i="7"/>
  <c r="H14" i="8"/>
  <c r="I14" i="8" s="1"/>
  <c r="H81" i="8"/>
  <c r="I81" i="8" s="1"/>
  <c r="H153" i="8"/>
  <c r="I153" i="8" s="1"/>
  <c r="H45" i="8"/>
  <c r="I45" i="8" s="1"/>
  <c r="H65" i="8"/>
  <c r="I65" i="8" s="1"/>
  <c r="H85" i="8"/>
  <c r="I85" i="8" s="1"/>
  <c r="H101" i="8"/>
  <c r="I101" i="8" s="1"/>
  <c r="H117" i="8"/>
  <c r="I117" i="8" s="1"/>
  <c r="H133" i="8"/>
  <c r="I133" i="8" s="1"/>
  <c r="H149" i="8"/>
  <c r="I149" i="8" s="1"/>
  <c r="H161" i="8"/>
  <c r="I161" i="8" s="1"/>
  <c r="H169" i="8"/>
  <c r="I169" i="8" s="1"/>
  <c r="H177" i="8"/>
  <c r="I177" i="8" s="1"/>
  <c r="H185" i="8"/>
  <c r="I185" i="8" s="1"/>
  <c r="H193" i="8"/>
  <c r="I193" i="8" s="1"/>
  <c r="H201" i="8"/>
  <c r="I201" i="8" s="1"/>
  <c r="H209" i="8"/>
  <c r="I209" i="8" s="1"/>
  <c r="H217" i="8"/>
  <c r="I217" i="8" s="1"/>
  <c r="H225" i="8"/>
  <c r="I225" i="8" s="1"/>
  <c r="I32" i="8"/>
  <c r="H320" i="8"/>
  <c r="I320" i="8" s="1"/>
  <c r="H37" i="8"/>
  <c r="I37" i="8" s="1"/>
  <c r="H52" i="8"/>
  <c r="I52" i="8" s="1"/>
  <c r="I278" i="8"/>
  <c r="H282" i="8"/>
  <c r="I282" i="8" s="1"/>
  <c r="H113" i="8"/>
  <c r="I113" i="8" s="1"/>
  <c r="H129" i="8"/>
  <c r="I129" i="8" s="1"/>
  <c r="H145" i="8"/>
  <c r="I145" i="8" s="1"/>
  <c r="H249" i="8"/>
  <c r="I249" i="8" s="1"/>
  <c r="H162" i="8"/>
  <c r="I162" i="8" s="1"/>
  <c r="H170" i="8"/>
  <c r="I170" i="8" s="1"/>
  <c r="H178" i="8"/>
  <c r="I178" i="8" s="1"/>
  <c r="H186" i="8"/>
  <c r="I186" i="8" s="1"/>
  <c r="H194" i="8"/>
  <c r="I194" i="8" s="1"/>
  <c r="H202" i="8"/>
  <c r="I202" i="8" s="1"/>
  <c r="H210" i="8"/>
  <c r="I210" i="8" s="1"/>
  <c r="H218" i="8"/>
  <c r="I218" i="8" s="1"/>
  <c r="H226" i="8"/>
  <c r="I226" i="8" s="1"/>
  <c r="H234" i="8"/>
  <c r="I234" i="8" s="1"/>
  <c r="H246" i="8"/>
  <c r="I246" i="8" s="1"/>
  <c r="H344" i="8"/>
  <c r="I344" i="8" s="1"/>
  <c r="H329" i="8"/>
  <c r="I329" i="8" s="1"/>
  <c r="I36" i="8"/>
  <c r="H77" i="8"/>
  <c r="I77" i="8" s="1"/>
  <c r="H93" i="8"/>
  <c r="I93" i="8" s="1"/>
  <c r="H109" i="8"/>
  <c r="I109" i="8" s="1"/>
  <c r="H125" i="8"/>
  <c r="I125" i="8" s="1"/>
  <c r="H141" i="8"/>
  <c r="I141" i="8" s="1"/>
  <c r="H150" i="8"/>
  <c r="I150" i="8" s="1"/>
  <c r="H157" i="8"/>
  <c r="I157" i="8" s="1"/>
  <c r="H165" i="8"/>
  <c r="I165" i="8" s="1"/>
  <c r="H173" i="8"/>
  <c r="I173" i="8" s="1"/>
  <c r="H181" i="8"/>
  <c r="I181" i="8" s="1"/>
  <c r="H189" i="8"/>
  <c r="I189" i="8" s="1"/>
  <c r="H197" i="8"/>
  <c r="I197" i="8" s="1"/>
  <c r="H205" i="8"/>
  <c r="I205" i="8" s="1"/>
  <c r="H213" i="8"/>
  <c r="I213" i="8" s="1"/>
  <c r="H221" i="8"/>
  <c r="I221" i="8" s="1"/>
  <c r="H229" i="8"/>
  <c r="I229" i="8" s="1"/>
  <c r="H264" i="8"/>
  <c r="I264" i="8" s="1"/>
  <c r="H41" i="8"/>
  <c r="I41" i="8" s="1"/>
  <c r="H53" i="8"/>
  <c r="I53" i="8" s="1"/>
  <c r="H60" i="8"/>
  <c r="I60" i="8" s="1"/>
  <c r="H368" i="8"/>
  <c r="I368" i="8" s="1"/>
  <c r="H280" i="8"/>
  <c r="I280" i="8" s="1"/>
  <c r="H353" i="8"/>
  <c r="I353" i="8" s="1"/>
  <c r="H284" i="8"/>
  <c r="I284" i="8" s="1"/>
  <c r="H316" i="8"/>
  <c r="I316" i="8" s="1"/>
  <c r="H340" i="8"/>
  <c r="I340" i="8" s="1"/>
  <c r="H364" i="8"/>
  <c r="I364" i="8" s="1"/>
  <c r="H418" i="8"/>
  <c r="I418" i="8" s="1"/>
  <c r="H240" i="8"/>
  <c r="I240" i="8" s="1"/>
  <c r="H256" i="8"/>
  <c r="I256" i="8" s="1"/>
  <c r="H288" i="8"/>
  <c r="I288" i="8" s="1"/>
  <c r="H292" i="8"/>
  <c r="I292" i="8" s="1"/>
  <c r="H296" i="8"/>
  <c r="I296" i="8" s="1"/>
  <c r="H300" i="8"/>
  <c r="I300" i="8" s="1"/>
  <c r="H304" i="8"/>
  <c r="I304" i="8" s="1"/>
  <c r="H308" i="8"/>
  <c r="I308" i="8" s="1"/>
  <c r="H312" i="8"/>
  <c r="I312" i="8" s="1"/>
  <c r="H411" i="8"/>
  <c r="I411" i="8" s="1"/>
  <c r="H336" i="8"/>
  <c r="I336" i="8" s="1"/>
  <c r="H360" i="8"/>
  <c r="I360" i="8" s="1"/>
  <c r="H380" i="8"/>
  <c r="I380" i="8" s="1"/>
  <c r="H395" i="8"/>
  <c r="I395" i="8" s="1"/>
  <c r="H415" i="8"/>
  <c r="I415" i="8" s="1"/>
  <c r="H422" i="8"/>
  <c r="I422" i="8" s="1"/>
  <c r="H237" i="8"/>
  <c r="I237" i="8" s="1"/>
  <c r="H248" i="8"/>
  <c r="I248" i="8" s="1"/>
  <c r="H261" i="8"/>
  <c r="I261" i="8" s="1"/>
  <c r="H266" i="8"/>
  <c r="I266" i="8" s="1"/>
  <c r="I273" i="8"/>
  <c r="H286" i="8"/>
  <c r="I286" i="8" s="1"/>
  <c r="I325" i="8"/>
  <c r="I349" i="8"/>
  <c r="I373" i="8"/>
  <c r="H233" i="8"/>
  <c r="I233" i="8" s="1"/>
  <c r="H268" i="8"/>
  <c r="I268" i="8" s="1"/>
  <c r="H332" i="8"/>
  <c r="I332" i="8" s="1"/>
  <c r="H356" i="8"/>
  <c r="I356" i="8" s="1"/>
  <c r="H383" i="8"/>
  <c r="I383" i="8" s="1"/>
  <c r="H386" i="8"/>
  <c r="I386" i="8" s="1"/>
  <c r="H402" i="8"/>
  <c r="I402" i="8" s="1"/>
  <c r="H412" i="8"/>
  <c r="I412" i="8" s="1"/>
  <c r="H242" i="8"/>
  <c r="I242" i="8" s="1"/>
  <c r="H245" i="8"/>
  <c r="I245" i="8" s="1"/>
  <c r="H253" i="8"/>
  <c r="I253" i="8" s="1"/>
  <c r="H258" i="8"/>
  <c r="I258" i="8" s="1"/>
  <c r="I277" i="8"/>
  <c r="H396" i="8"/>
  <c r="I396" i="8" s="1"/>
  <c r="H399" i="8"/>
  <c r="I399" i="8" s="1"/>
  <c r="H260" i="8"/>
  <c r="I260" i="8" s="1"/>
  <c r="H272" i="8"/>
  <c r="I272" i="8" s="1"/>
  <c r="H328" i="8"/>
  <c r="I328" i="8" s="1"/>
  <c r="H352" i="8"/>
  <c r="I352" i="8" s="1"/>
  <c r="H376" i="8"/>
  <c r="I376" i="8" s="1"/>
  <c r="H393" i="8"/>
  <c r="I393" i="8" s="1"/>
  <c r="I64" i="8"/>
  <c r="I68" i="8"/>
  <c r="I72" i="8"/>
  <c r="I76" i="8"/>
  <c r="I80" i="8"/>
  <c r="I84" i="8"/>
  <c r="I88" i="8"/>
  <c r="I92" i="8"/>
  <c r="I96" i="8"/>
  <c r="I100" i="8"/>
  <c r="I104" i="8"/>
  <c r="I108" i="8"/>
  <c r="I112" i="8"/>
  <c r="I116" i="8"/>
  <c r="I120" i="8"/>
  <c r="I124" i="8"/>
  <c r="I128" i="8"/>
  <c r="I132" i="8"/>
  <c r="I136" i="8"/>
  <c r="I140" i="8"/>
  <c r="I144" i="8"/>
  <c r="I148" i="8"/>
  <c r="I152" i="8"/>
  <c r="I156" i="8"/>
  <c r="I160" i="8"/>
  <c r="I164" i="8"/>
  <c r="I168" i="8"/>
  <c r="I172" i="8"/>
  <c r="I176" i="8"/>
  <c r="I180" i="8"/>
  <c r="I184" i="8"/>
  <c r="I188" i="8"/>
  <c r="I192" i="8"/>
  <c r="I196" i="8"/>
  <c r="I200" i="8"/>
  <c r="I204" i="8"/>
  <c r="I208" i="8"/>
  <c r="I212" i="8"/>
  <c r="I216" i="8"/>
  <c r="I220" i="8"/>
  <c r="I224" i="8"/>
  <c r="I228" i="8"/>
  <c r="I232" i="8"/>
  <c r="H244" i="8"/>
  <c r="I244" i="8" s="1"/>
  <c r="I250" i="8"/>
  <c r="H252" i="8"/>
  <c r="I252" i="8" s="1"/>
  <c r="I270" i="8"/>
  <c r="H276" i="8"/>
  <c r="I276" i="8" s="1"/>
  <c r="H324" i="8"/>
  <c r="I324" i="8" s="1"/>
  <c r="H348" i="8"/>
  <c r="I348" i="8" s="1"/>
  <c r="H372" i="8"/>
  <c r="I372" i="8" s="1"/>
  <c r="I381" i="8"/>
  <c r="H390" i="8"/>
  <c r="I390" i="8" s="1"/>
  <c r="H406" i="8"/>
  <c r="I406" i="8" s="1"/>
  <c r="H274" i="8"/>
  <c r="I274" i="8" s="1"/>
  <c r="I285" i="8"/>
  <c r="I289" i="8"/>
  <c r="I293" i="8"/>
  <c r="I297" i="8"/>
  <c r="I301" i="8"/>
  <c r="I305" i="8"/>
  <c r="I309" i="8"/>
  <c r="I313" i="8"/>
  <c r="I337" i="8"/>
  <c r="I361" i="8"/>
  <c r="H426" i="8"/>
  <c r="I426" i="8" s="1"/>
  <c r="H429" i="8"/>
  <c r="I429" i="8" s="1"/>
  <c r="H442" i="8"/>
  <c r="I442" i="8" s="1"/>
  <c r="H445" i="8"/>
  <c r="I445" i="8" s="1"/>
  <c r="H458" i="8"/>
  <c r="I458" i="8" s="1"/>
  <c r="H461" i="8"/>
  <c r="I461" i="8" s="1"/>
  <c r="H474" i="8"/>
  <c r="I474" i="8" s="1"/>
  <c r="H510" i="8"/>
  <c r="I510" i="8" s="1"/>
  <c r="H534" i="8"/>
  <c r="I534" i="8" s="1"/>
  <c r="I385" i="8"/>
  <c r="I392" i="8"/>
  <c r="I408" i="8"/>
  <c r="I424" i="8"/>
  <c r="J637" i="8"/>
  <c r="H637" i="8"/>
  <c r="I637" i="8"/>
  <c r="H514" i="8"/>
  <c r="I514" i="8" s="1"/>
  <c r="H538" i="8"/>
  <c r="I538" i="8" s="1"/>
  <c r="J596" i="8"/>
  <c r="I596" i="8"/>
  <c r="H596" i="8"/>
  <c r="J722" i="8"/>
  <c r="I722" i="8"/>
  <c r="H722" i="8"/>
  <c r="H430" i="8"/>
  <c r="I430" i="8" s="1"/>
  <c r="H433" i="8"/>
  <c r="I433" i="8" s="1"/>
  <c r="H446" i="8"/>
  <c r="I446" i="8" s="1"/>
  <c r="H449" i="8"/>
  <c r="I449" i="8" s="1"/>
  <c r="H462" i="8"/>
  <c r="I462" i="8" s="1"/>
  <c r="H465" i="8"/>
  <c r="I465" i="8" s="1"/>
  <c r="H478" i="8"/>
  <c r="I478" i="8" s="1"/>
  <c r="J613" i="8"/>
  <c r="H613" i="8"/>
  <c r="I613" i="8"/>
  <c r="I387" i="8"/>
  <c r="H482" i="8"/>
  <c r="I482" i="8" s="1"/>
  <c r="H518" i="8"/>
  <c r="I518" i="8" s="1"/>
  <c r="H542" i="8"/>
  <c r="I542" i="8" s="1"/>
  <c r="J558" i="8"/>
  <c r="I558" i="8"/>
  <c r="H558" i="8"/>
  <c r="J580" i="8"/>
  <c r="I580" i="8"/>
  <c r="H580" i="8"/>
  <c r="H894" i="8"/>
  <c r="J894" i="8"/>
  <c r="I894" i="8"/>
  <c r="I384" i="8"/>
  <c r="I389" i="8"/>
  <c r="I405" i="8"/>
  <c r="H486" i="8"/>
  <c r="I486" i="8" s="1"/>
  <c r="J552" i="8"/>
  <c r="I552" i="8"/>
  <c r="H552" i="8"/>
  <c r="I414" i="8"/>
  <c r="H425" i="8"/>
  <c r="I425" i="8" s="1"/>
  <c r="H434" i="8"/>
  <c r="I434" i="8" s="1"/>
  <c r="H437" i="8"/>
  <c r="I437" i="8" s="1"/>
  <c r="H450" i="8"/>
  <c r="I450" i="8" s="1"/>
  <c r="H453" i="8"/>
  <c r="I453" i="8" s="1"/>
  <c r="H466" i="8"/>
  <c r="I466" i="8" s="1"/>
  <c r="H469" i="8"/>
  <c r="I469" i="8" s="1"/>
  <c r="H490" i="8"/>
  <c r="I490" i="8" s="1"/>
  <c r="H522" i="8"/>
  <c r="I522" i="8" s="1"/>
  <c r="H546" i="8"/>
  <c r="I546" i="8" s="1"/>
  <c r="H494" i="8"/>
  <c r="I494" i="8" s="1"/>
  <c r="J574" i="8"/>
  <c r="I574" i="8"/>
  <c r="H574" i="8"/>
  <c r="J601" i="8"/>
  <c r="H601" i="8"/>
  <c r="I601" i="8"/>
  <c r="J621" i="8"/>
  <c r="H621" i="8"/>
  <c r="I621" i="8"/>
  <c r="J855" i="8"/>
  <c r="H855" i="8"/>
  <c r="I855" i="8"/>
  <c r="H498" i="8"/>
  <c r="I498" i="8" s="1"/>
  <c r="H526" i="8"/>
  <c r="I526" i="8" s="1"/>
  <c r="H438" i="8"/>
  <c r="I438" i="8" s="1"/>
  <c r="H441" i="8"/>
  <c r="I441" i="8" s="1"/>
  <c r="H454" i="8"/>
  <c r="I454" i="8" s="1"/>
  <c r="H457" i="8"/>
  <c r="I457" i="8" s="1"/>
  <c r="H470" i="8"/>
  <c r="I470" i="8" s="1"/>
  <c r="H473" i="8"/>
  <c r="I473" i="8" s="1"/>
  <c r="H502" i="8"/>
  <c r="I502" i="8" s="1"/>
  <c r="J585" i="8"/>
  <c r="H585" i="8"/>
  <c r="I585" i="8"/>
  <c r="H506" i="8"/>
  <c r="I506" i="8" s="1"/>
  <c r="H530" i="8"/>
  <c r="I530" i="8" s="1"/>
  <c r="J629" i="8"/>
  <c r="H629" i="8"/>
  <c r="I629" i="8"/>
  <c r="J576" i="8"/>
  <c r="I576" i="8"/>
  <c r="H576" i="8"/>
  <c r="J608" i="8"/>
  <c r="I608" i="8"/>
  <c r="H608" i="8"/>
  <c r="J556" i="8"/>
  <c r="I556" i="8"/>
  <c r="H556" i="8"/>
  <c r="J592" i="8"/>
  <c r="I592" i="8"/>
  <c r="H592" i="8"/>
  <c r="J649" i="8"/>
  <c r="I649" i="8"/>
  <c r="H649" i="8"/>
  <c r="J661" i="8"/>
  <c r="I661" i="8"/>
  <c r="H661" i="8"/>
  <c r="J673" i="8"/>
  <c r="I673" i="8"/>
  <c r="H673" i="8"/>
  <c r="J685" i="8"/>
  <c r="I685" i="8"/>
  <c r="H685" i="8"/>
  <c r="J697" i="8"/>
  <c r="I697" i="8"/>
  <c r="H697" i="8"/>
  <c r="J709" i="8"/>
  <c r="I709" i="8"/>
  <c r="H709" i="8"/>
  <c r="J719" i="8"/>
  <c r="I719" i="8"/>
  <c r="H719" i="8"/>
  <c r="J913" i="8"/>
  <c r="I913" i="8"/>
  <c r="H913" i="8"/>
  <c r="J560" i="8"/>
  <c r="I560" i="8"/>
  <c r="H560" i="8"/>
  <c r="J572" i="8"/>
  <c r="I572" i="8"/>
  <c r="H572" i="8"/>
  <c r="J581" i="8"/>
  <c r="H581" i="8"/>
  <c r="J597" i="8"/>
  <c r="H597" i="8"/>
  <c r="J616" i="8"/>
  <c r="I616" i="8"/>
  <c r="H616" i="8"/>
  <c r="J624" i="8"/>
  <c r="I624" i="8"/>
  <c r="H624" i="8"/>
  <c r="J632" i="8"/>
  <c r="I632" i="8"/>
  <c r="H632" i="8"/>
  <c r="I549" i="8"/>
  <c r="I562" i="8"/>
  <c r="J564" i="8"/>
  <c r="I564" i="8"/>
  <c r="H564" i="8"/>
  <c r="H566" i="8"/>
  <c r="H570" i="8"/>
  <c r="J609" i="8"/>
  <c r="H609" i="8"/>
  <c r="J716" i="8"/>
  <c r="I716" i="8"/>
  <c r="H716" i="8"/>
  <c r="H477" i="8"/>
  <c r="I477" i="8" s="1"/>
  <c r="H481" i="8"/>
  <c r="I481" i="8" s="1"/>
  <c r="H485" i="8"/>
  <c r="I485" i="8" s="1"/>
  <c r="H489" i="8"/>
  <c r="I489" i="8" s="1"/>
  <c r="H493" i="8"/>
  <c r="I493" i="8" s="1"/>
  <c r="H497" i="8"/>
  <c r="I497" i="8" s="1"/>
  <c r="H501" i="8"/>
  <c r="I501" i="8" s="1"/>
  <c r="H505" i="8"/>
  <c r="I505" i="8" s="1"/>
  <c r="H509" i="8"/>
  <c r="I509" i="8" s="1"/>
  <c r="H513" i="8"/>
  <c r="I513" i="8" s="1"/>
  <c r="H517" i="8"/>
  <c r="I517" i="8" s="1"/>
  <c r="H521" i="8"/>
  <c r="I521" i="8" s="1"/>
  <c r="H525" i="8"/>
  <c r="I525" i="8" s="1"/>
  <c r="H529" i="8"/>
  <c r="I529" i="8" s="1"/>
  <c r="H533" i="8"/>
  <c r="I533" i="8" s="1"/>
  <c r="H537" i="8"/>
  <c r="I537" i="8" s="1"/>
  <c r="H541" i="8"/>
  <c r="I541" i="8" s="1"/>
  <c r="H545" i="8"/>
  <c r="I545" i="8" s="1"/>
  <c r="I566" i="8"/>
  <c r="J568" i="8"/>
  <c r="I568" i="8"/>
  <c r="H568" i="8"/>
  <c r="I570" i="8"/>
  <c r="I581" i="8"/>
  <c r="J588" i="8"/>
  <c r="I588" i="8"/>
  <c r="H588" i="8"/>
  <c r="I597" i="8"/>
  <c r="J604" i="8"/>
  <c r="I604" i="8"/>
  <c r="H604" i="8"/>
  <c r="J905" i="8"/>
  <c r="I905" i="8"/>
  <c r="H905" i="8"/>
  <c r="H548" i="8"/>
  <c r="I548" i="8" s="1"/>
  <c r="J577" i="8"/>
  <c r="H577" i="8"/>
  <c r="J593" i="8"/>
  <c r="H593" i="8"/>
  <c r="J617" i="8"/>
  <c r="H617" i="8"/>
  <c r="J625" i="8"/>
  <c r="H625" i="8"/>
  <c r="J633" i="8"/>
  <c r="H633" i="8"/>
  <c r="J641" i="8"/>
  <c r="I641" i="8"/>
  <c r="H641" i="8"/>
  <c r="J653" i="8"/>
  <c r="I653" i="8"/>
  <c r="H653" i="8"/>
  <c r="J665" i="8"/>
  <c r="I665" i="8"/>
  <c r="H665" i="8"/>
  <c r="J677" i="8"/>
  <c r="I677" i="8"/>
  <c r="H677" i="8"/>
  <c r="J689" i="8"/>
  <c r="I689" i="8"/>
  <c r="H689" i="8"/>
  <c r="J701" i="8"/>
  <c r="I701" i="8"/>
  <c r="H701" i="8"/>
  <c r="J763" i="8"/>
  <c r="I763" i="8"/>
  <c r="H763" i="8"/>
  <c r="J770" i="8"/>
  <c r="I770" i="8"/>
  <c r="H770" i="8"/>
  <c r="H428" i="8"/>
  <c r="I428" i="8" s="1"/>
  <c r="H432" i="8"/>
  <c r="I432" i="8" s="1"/>
  <c r="H436" i="8"/>
  <c r="I436" i="8" s="1"/>
  <c r="H440" i="8"/>
  <c r="I440" i="8" s="1"/>
  <c r="H444" i="8"/>
  <c r="I444" i="8" s="1"/>
  <c r="H448" i="8"/>
  <c r="I448" i="8" s="1"/>
  <c r="H452" i="8"/>
  <c r="I452" i="8" s="1"/>
  <c r="H456" i="8"/>
  <c r="I456" i="8" s="1"/>
  <c r="H460" i="8"/>
  <c r="I460" i="8" s="1"/>
  <c r="H464" i="8"/>
  <c r="I464" i="8" s="1"/>
  <c r="H468" i="8"/>
  <c r="I468" i="8" s="1"/>
  <c r="H472" i="8"/>
  <c r="I472" i="8" s="1"/>
  <c r="H476" i="8"/>
  <c r="I476" i="8" s="1"/>
  <c r="H480" i="8"/>
  <c r="I480" i="8" s="1"/>
  <c r="H504" i="8"/>
  <c r="I504" i="8" s="1"/>
  <c r="H508" i="8"/>
  <c r="I508" i="8" s="1"/>
  <c r="H512" i="8"/>
  <c r="I512" i="8" s="1"/>
  <c r="H516" i="8"/>
  <c r="I516" i="8" s="1"/>
  <c r="H520" i="8"/>
  <c r="I520" i="8" s="1"/>
  <c r="H524" i="8"/>
  <c r="I524" i="8" s="1"/>
  <c r="H528" i="8"/>
  <c r="I528" i="8" s="1"/>
  <c r="H532" i="8"/>
  <c r="I532" i="8" s="1"/>
  <c r="H536" i="8"/>
  <c r="I536" i="8" s="1"/>
  <c r="H540" i="8"/>
  <c r="I540" i="8" s="1"/>
  <c r="H544" i="8"/>
  <c r="I544" i="8" s="1"/>
  <c r="J573" i="8"/>
  <c r="H573" i="8"/>
  <c r="I577" i="8"/>
  <c r="J584" i="8"/>
  <c r="I584" i="8"/>
  <c r="H584" i="8"/>
  <c r="I593" i="8"/>
  <c r="J600" i="8"/>
  <c r="I600" i="8"/>
  <c r="H600" i="8"/>
  <c r="J612" i="8"/>
  <c r="I612" i="8"/>
  <c r="H612" i="8"/>
  <c r="I617" i="8"/>
  <c r="I625" i="8"/>
  <c r="I633" i="8"/>
  <c r="J734" i="8"/>
  <c r="I734" i="8"/>
  <c r="H734" i="8"/>
  <c r="H550" i="8"/>
  <c r="I550" i="8" s="1"/>
  <c r="H557" i="8"/>
  <c r="J589" i="8"/>
  <c r="H589" i="8"/>
  <c r="J605" i="8"/>
  <c r="H605" i="8"/>
  <c r="J620" i="8"/>
  <c r="I620" i="8"/>
  <c r="H620" i="8"/>
  <c r="J628" i="8"/>
  <c r="I628" i="8"/>
  <c r="H628" i="8"/>
  <c r="J636" i="8"/>
  <c r="I636" i="8"/>
  <c r="H636" i="8"/>
  <c r="J787" i="8"/>
  <c r="I787" i="8"/>
  <c r="H787" i="8"/>
  <c r="I557" i="8"/>
  <c r="H561" i="8"/>
  <c r="J569" i="8"/>
  <c r="H569" i="8"/>
  <c r="I573" i="8"/>
  <c r="J645" i="8"/>
  <c r="I645" i="8"/>
  <c r="H645" i="8"/>
  <c r="J657" i="8"/>
  <c r="I657" i="8"/>
  <c r="H657" i="8"/>
  <c r="J669" i="8"/>
  <c r="I669" i="8"/>
  <c r="H669" i="8"/>
  <c r="J681" i="8"/>
  <c r="I681" i="8"/>
  <c r="H681" i="8"/>
  <c r="J693" i="8"/>
  <c r="I693" i="8"/>
  <c r="H693" i="8"/>
  <c r="J705" i="8"/>
  <c r="I705" i="8"/>
  <c r="H705" i="8"/>
  <c r="J731" i="8"/>
  <c r="I731" i="8"/>
  <c r="H731" i="8"/>
  <c r="J845" i="8"/>
  <c r="I845" i="8"/>
  <c r="H845" i="8"/>
  <c r="J737" i="8"/>
  <c r="I737" i="8"/>
  <c r="J745" i="8"/>
  <c r="I745" i="8"/>
  <c r="J750" i="8"/>
  <c r="I750" i="8"/>
  <c r="J774" i="8"/>
  <c r="I774" i="8"/>
  <c r="J826" i="8"/>
  <c r="I826" i="8"/>
  <c r="J836" i="8"/>
  <c r="I836" i="8"/>
  <c r="H878" i="8"/>
  <c r="J878" i="8"/>
  <c r="J924" i="8"/>
  <c r="I924" i="8"/>
  <c r="H924" i="8"/>
  <c r="J822" i="8"/>
  <c r="I822" i="8"/>
  <c r="J833" i="8"/>
  <c r="I833" i="8"/>
  <c r="H833" i="8"/>
  <c r="J849" i="8"/>
  <c r="I849" i="8"/>
  <c r="H849" i="8"/>
  <c r="H862" i="8"/>
  <c r="J862" i="8"/>
  <c r="J885" i="8"/>
  <c r="I885" i="8"/>
  <c r="H885" i="8"/>
  <c r="J939" i="8"/>
  <c r="I939" i="8"/>
  <c r="J754" i="8"/>
  <c r="I754" i="8"/>
  <c r="J778" i="8"/>
  <c r="I778" i="8"/>
  <c r="J818" i="8"/>
  <c r="I818" i="8"/>
  <c r="J869" i="8"/>
  <c r="I869" i="8"/>
  <c r="H869" i="8"/>
  <c r="I712" i="8"/>
  <c r="H715" i="8"/>
  <c r="I725" i="8"/>
  <c r="I728" i="8"/>
  <c r="H739" i="8"/>
  <c r="I742" i="8"/>
  <c r="H747" i="8"/>
  <c r="H767" i="8"/>
  <c r="H791" i="8"/>
  <c r="J814" i="8"/>
  <c r="I814" i="8"/>
  <c r="H822" i="8"/>
  <c r="J853" i="8"/>
  <c r="I853" i="8"/>
  <c r="H853" i="8"/>
  <c r="I862" i="8"/>
  <c r="H939" i="8"/>
  <c r="H640" i="8"/>
  <c r="H644" i="8"/>
  <c r="H648" i="8"/>
  <c r="H652" i="8"/>
  <c r="H656" i="8"/>
  <c r="H660" i="8"/>
  <c r="H664" i="8"/>
  <c r="H668" i="8"/>
  <c r="H672" i="8"/>
  <c r="H676" i="8"/>
  <c r="H680" i="8"/>
  <c r="H684" i="8"/>
  <c r="H688" i="8"/>
  <c r="H692" i="8"/>
  <c r="H696" i="8"/>
  <c r="H700" i="8"/>
  <c r="H704" i="8"/>
  <c r="H708" i="8"/>
  <c r="I715" i="8"/>
  <c r="I739" i="8"/>
  <c r="I747" i="8"/>
  <c r="H754" i="8"/>
  <c r="J758" i="8"/>
  <c r="I758" i="8"/>
  <c r="I767" i="8"/>
  <c r="H778" i="8"/>
  <c r="J782" i="8"/>
  <c r="I782" i="8"/>
  <c r="I791" i="8"/>
  <c r="J810" i="8"/>
  <c r="I810" i="8"/>
  <c r="H818" i="8"/>
  <c r="H953" i="8"/>
  <c r="J953" i="8"/>
  <c r="I953" i="8"/>
  <c r="I640" i="8"/>
  <c r="I644" i="8"/>
  <c r="I648" i="8"/>
  <c r="I652" i="8"/>
  <c r="I656" i="8"/>
  <c r="I660" i="8"/>
  <c r="I664" i="8"/>
  <c r="I668" i="8"/>
  <c r="I672" i="8"/>
  <c r="I676" i="8"/>
  <c r="I680" i="8"/>
  <c r="I684" i="8"/>
  <c r="I688" i="8"/>
  <c r="I692" i="8"/>
  <c r="I696" i="8"/>
  <c r="I700" i="8"/>
  <c r="I704" i="8"/>
  <c r="I708" i="8"/>
  <c r="H711" i="8"/>
  <c r="H718" i="8"/>
  <c r="H727" i="8"/>
  <c r="H730" i="8"/>
  <c r="J806" i="8"/>
  <c r="I806" i="8"/>
  <c r="J843" i="8"/>
  <c r="H843" i="8"/>
  <c r="I843" i="8"/>
  <c r="H721" i="8"/>
  <c r="H724" i="8"/>
  <c r="H733" i="8"/>
  <c r="H736" i="8"/>
  <c r="J741" i="8"/>
  <c r="I741" i="8"/>
  <c r="J749" i="8"/>
  <c r="I749" i="8"/>
  <c r="H758" i="8"/>
  <c r="J762" i="8"/>
  <c r="I762" i="8"/>
  <c r="H782" i="8"/>
  <c r="J786" i="8"/>
  <c r="I786" i="8"/>
  <c r="J802" i="8"/>
  <c r="I802" i="8"/>
  <c r="H810" i="8"/>
  <c r="J896" i="8"/>
  <c r="H896" i="8"/>
  <c r="J936" i="8"/>
  <c r="I936" i="8"/>
  <c r="H936" i="8"/>
  <c r="J798" i="8"/>
  <c r="I798" i="8"/>
  <c r="J841" i="8"/>
  <c r="I841" i="8"/>
  <c r="J847" i="8"/>
  <c r="H847" i="8"/>
  <c r="I847" i="8"/>
  <c r="J880" i="8"/>
  <c r="H880" i="8"/>
  <c r="H738" i="8"/>
  <c r="H741" i="8"/>
  <c r="H746" i="8"/>
  <c r="H749" i="8"/>
  <c r="I751" i="8"/>
  <c r="H762" i="8"/>
  <c r="J766" i="8"/>
  <c r="I766" i="8"/>
  <c r="I775" i="8"/>
  <c r="H786" i="8"/>
  <c r="J790" i="8"/>
  <c r="I790" i="8"/>
  <c r="J794" i="8"/>
  <c r="I794" i="8"/>
  <c r="H802" i="8"/>
  <c r="J838" i="8"/>
  <c r="I838" i="8"/>
  <c r="H838" i="8"/>
  <c r="J864" i="8"/>
  <c r="H864" i="8"/>
  <c r="J887" i="8"/>
  <c r="H887" i="8"/>
  <c r="I896" i="8"/>
  <c r="H717" i="8"/>
  <c r="H798" i="8"/>
  <c r="J830" i="8"/>
  <c r="I830" i="8"/>
  <c r="H841" i="8"/>
  <c r="J851" i="8"/>
  <c r="H851" i="8"/>
  <c r="I851" i="8"/>
  <c r="J871" i="8"/>
  <c r="H871" i="8"/>
  <c r="I880" i="8"/>
  <c r="J904" i="8"/>
  <c r="I904" i="8"/>
  <c r="H904" i="8"/>
  <c r="H941" i="8"/>
  <c r="J941" i="8"/>
  <c r="I941" i="8"/>
  <c r="J988" i="8"/>
  <c r="I988" i="8"/>
  <c r="H988" i="8"/>
  <c r="J860" i="8"/>
  <c r="H860" i="8"/>
  <c r="J867" i="8"/>
  <c r="H867" i="8"/>
  <c r="J876" i="8"/>
  <c r="H876" i="8"/>
  <c r="J883" i="8"/>
  <c r="H883" i="8"/>
  <c r="J892" i="8"/>
  <c r="H892" i="8"/>
  <c r="J916" i="8"/>
  <c r="I916" i="8"/>
  <c r="H916" i="8"/>
  <c r="H933" i="8"/>
  <c r="J933" i="8"/>
  <c r="I933" i="8"/>
  <c r="J948" i="8"/>
  <c r="I948" i="8"/>
  <c r="H948" i="8"/>
  <c r="J928" i="8"/>
  <c r="I928" i="8"/>
  <c r="I951" i="8"/>
  <c r="J951" i="8"/>
  <c r="J1008" i="8"/>
  <c r="I1008" i="8"/>
  <c r="H1008" i="8"/>
  <c r="J908" i="8"/>
  <c r="I908" i="8"/>
  <c r="H908" i="8"/>
  <c r="J1020" i="8"/>
  <c r="I1020" i="8"/>
  <c r="H1020" i="8"/>
  <c r="I753" i="8"/>
  <c r="I757" i="8"/>
  <c r="I761" i="8"/>
  <c r="I765" i="8"/>
  <c r="I769" i="8"/>
  <c r="I773" i="8"/>
  <c r="I777" i="8"/>
  <c r="I781" i="8"/>
  <c r="I785" i="8"/>
  <c r="I789" i="8"/>
  <c r="I793" i="8"/>
  <c r="I797" i="8"/>
  <c r="I801" i="8"/>
  <c r="I805" i="8"/>
  <c r="I809" i="8"/>
  <c r="I813" i="8"/>
  <c r="I817" i="8"/>
  <c r="I821" i="8"/>
  <c r="I825" i="8"/>
  <c r="I829" i="8"/>
  <c r="I835" i="8"/>
  <c r="J856" i="8"/>
  <c r="H856" i="8"/>
  <c r="J858" i="8"/>
  <c r="J863" i="8"/>
  <c r="H863" i="8"/>
  <c r="H865" i="8"/>
  <c r="J872" i="8"/>
  <c r="H872" i="8"/>
  <c r="J874" i="8"/>
  <c r="J879" i="8"/>
  <c r="H879" i="8"/>
  <c r="H881" i="8"/>
  <c r="J888" i="8"/>
  <c r="H888" i="8"/>
  <c r="J890" i="8"/>
  <c r="J895" i="8"/>
  <c r="H895" i="8"/>
  <c r="I897" i="8"/>
  <c r="I925" i="8"/>
  <c r="H928" i="8"/>
  <c r="I931" i="8"/>
  <c r="H951" i="8"/>
  <c r="J1099" i="8"/>
  <c r="I1099" i="8"/>
  <c r="H1099" i="8"/>
  <c r="J835" i="8"/>
  <c r="H840" i="8"/>
  <c r="I865" i="8"/>
  <c r="I881" i="8"/>
  <c r="J900" i="8"/>
  <c r="I900" i="8"/>
  <c r="H900" i="8"/>
  <c r="H917" i="8"/>
  <c r="I960" i="8"/>
  <c r="J960" i="8"/>
  <c r="H960" i="8"/>
  <c r="J1012" i="8"/>
  <c r="I1012" i="8"/>
  <c r="J1048" i="8"/>
  <c r="I1048" i="8"/>
  <c r="H1048" i="8"/>
  <c r="I840" i="8"/>
  <c r="I917" i="8"/>
  <c r="J920" i="8"/>
  <c r="I920" i="8"/>
  <c r="H920" i="8"/>
  <c r="J859" i="8"/>
  <c r="H859" i="8"/>
  <c r="J868" i="8"/>
  <c r="H868" i="8"/>
  <c r="J875" i="8"/>
  <c r="H875" i="8"/>
  <c r="J884" i="8"/>
  <c r="H884" i="8"/>
  <c r="J891" i="8"/>
  <c r="H891" i="8"/>
  <c r="H969" i="8"/>
  <c r="J969" i="8"/>
  <c r="J1063" i="8"/>
  <c r="I1063" i="8"/>
  <c r="H1063" i="8"/>
  <c r="I837" i="8"/>
  <c r="H844" i="8"/>
  <c r="J846" i="8"/>
  <c r="H848" i="8"/>
  <c r="J850" i="8"/>
  <c r="H852" i="8"/>
  <c r="I861" i="8"/>
  <c r="I877" i="8"/>
  <c r="I893" i="8"/>
  <c r="I909" i="8"/>
  <c r="J912" i="8"/>
  <c r="I912" i="8"/>
  <c r="H912" i="8"/>
  <c r="J1040" i="8"/>
  <c r="I1040" i="8"/>
  <c r="J1028" i="8"/>
  <c r="I1028" i="8"/>
  <c r="J1115" i="8"/>
  <c r="I1115" i="8"/>
  <c r="J1004" i="8"/>
  <c r="I1004" i="8"/>
  <c r="H1223" i="8"/>
  <c r="J1223" i="8"/>
  <c r="I1223" i="8"/>
  <c r="J1036" i="8"/>
  <c r="I1036" i="8"/>
  <c r="J1103" i="8"/>
  <c r="I1103" i="8"/>
  <c r="J1125" i="8"/>
  <c r="I1125" i="8"/>
  <c r="H1125" i="8"/>
  <c r="I930" i="8"/>
  <c r="I938" i="8"/>
  <c r="H943" i="8"/>
  <c r="H955" i="8"/>
  <c r="H964" i="8"/>
  <c r="J1000" i="8"/>
  <c r="I1000" i="8"/>
  <c r="H1004" i="8"/>
  <c r="J1016" i="8"/>
  <c r="I1016" i="8"/>
  <c r="H899" i="8"/>
  <c r="H903" i="8"/>
  <c r="H907" i="8"/>
  <c r="H911" i="8"/>
  <c r="H915" i="8"/>
  <c r="H919" i="8"/>
  <c r="H923" i="8"/>
  <c r="H927" i="8"/>
  <c r="J930" i="8"/>
  <c r="H935" i="8"/>
  <c r="J938" i="8"/>
  <c r="J943" i="8"/>
  <c r="I945" i="8"/>
  <c r="J955" i="8"/>
  <c r="I957" i="8"/>
  <c r="J964" i="8"/>
  <c r="H1036" i="8"/>
  <c r="J1044" i="8"/>
  <c r="I1044" i="8"/>
  <c r="H1061" i="8"/>
  <c r="J1061" i="8"/>
  <c r="H1103" i="8"/>
  <c r="J1206" i="8"/>
  <c r="H1206" i="8"/>
  <c r="I1206" i="8"/>
  <c r="I899" i="8"/>
  <c r="I903" i="8"/>
  <c r="I907" i="8"/>
  <c r="I911" i="8"/>
  <c r="I915" i="8"/>
  <c r="I919" i="8"/>
  <c r="I923" i="8"/>
  <c r="I927" i="8"/>
  <c r="I935" i="8"/>
  <c r="J945" i="8"/>
  <c r="J957" i="8"/>
  <c r="J996" i="8"/>
  <c r="I996" i="8"/>
  <c r="J1024" i="8"/>
  <c r="I1024" i="8"/>
  <c r="J1058" i="8"/>
  <c r="I1058" i="8"/>
  <c r="H1058" i="8"/>
  <c r="J1113" i="8"/>
  <c r="I1113" i="8"/>
  <c r="H1113" i="8"/>
  <c r="H972" i="8"/>
  <c r="H1044" i="8"/>
  <c r="J1052" i="8"/>
  <c r="I1052" i="8"/>
  <c r="J1055" i="8"/>
  <c r="I1055" i="8"/>
  <c r="H1055" i="8"/>
  <c r="I1061" i="8"/>
  <c r="I929" i="8"/>
  <c r="I937" i="8"/>
  <c r="H947" i="8"/>
  <c r="I961" i="8"/>
  <c r="J972" i="8"/>
  <c r="H976" i="8"/>
  <c r="J992" i="8"/>
  <c r="I992" i="8"/>
  <c r="H996" i="8"/>
  <c r="H1024" i="8"/>
  <c r="J1032" i="8"/>
  <c r="I1032" i="8"/>
  <c r="J1101" i="8"/>
  <c r="I1101" i="8"/>
  <c r="H1101" i="8"/>
  <c r="J1123" i="8"/>
  <c r="I1123" i="8"/>
  <c r="J1158" i="8"/>
  <c r="I1158" i="8"/>
  <c r="H1158" i="8"/>
  <c r="J1095" i="8"/>
  <c r="I1095" i="8"/>
  <c r="J1097" i="8"/>
  <c r="I1097" i="8"/>
  <c r="H1097" i="8"/>
  <c r="J1111" i="8"/>
  <c r="I1111" i="8"/>
  <c r="J1140" i="8"/>
  <c r="I1140" i="8"/>
  <c r="J1149" i="8"/>
  <c r="I1149" i="8"/>
  <c r="H1149" i="8"/>
  <c r="I1161" i="8"/>
  <c r="J1161" i="8"/>
  <c r="H1161" i="8"/>
  <c r="J1121" i="8"/>
  <c r="I1121" i="8"/>
  <c r="H1121" i="8"/>
  <c r="J1146" i="8"/>
  <c r="I1146" i="8"/>
  <c r="H1146" i="8"/>
  <c r="H1155" i="8"/>
  <c r="J1155" i="8"/>
  <c r="I1155" i="8"/>
  <c r="H1187" i="8"/>
  <c r="J1187" i="8"/>
  <c r="I1187" i="8"/>
  <c r="I1203" i="8"/>
  <c r="H1203" i="8"/>
  <c r="J1203" i="8"/>
  <c r="I1060" i="8"/>
  <c r="I1065" i="8"/>
  <c r="J1067" i="8"/>
  <c r="I1067" i="8"/>
  <c r="I1069" i="8"/>
  <c r="H1069" i="8"/>
  <c r="J1071" i="8"/>
  <c r="I1071" i="8"/>
  <c r="I1073" i="8"/>
  <c r="H1073" i="8"/>
  <c r="J1075" i="8"/>
  <c r="I1075" i="8"/>
  <c r="I1077" i="8"/>
  <c r="H1077" i="8"/>
  <c r="J1079" i="8"/>
  <c r="I1079" i="8"/>
  <c r="I1081" i="8"/>
  <c r="H1081" i="8"/>
  <c r="J1083" i="8"/>
  <c r="I1083" i="8"/>
  <c r="I1085" i="8"/>
  <c r="H1085" i="8"/>
  <c r="J1087" i="8"/>
  <c r="I1087" i="8"/>
  <c r="I1089" i="8"/>
  <c r="H1089" i="8"/>
  <c r="J1091" i="8"/>
  <c r="I1091" i="8"/>
  <c r="J1093" i="8"/>
  <c r="I1093" i="8"/>
  <c r="H1093" i="8"/>
  <c r="H1095" i="8"/>
  <c r="J1109" i="8"/>
  <c r="I1109" i="8"/>
  <c r="H1109" i="8"/>
  <c r="H1111" i="8"/>
  <c r="H1140" i="8"/>
  <c r="H1143" i="8"/>
  <c r="J1143" i="8"/>
  <c r="I1143" i="8"/>
  <c r="I1200" i="8"/>
  <c r="H1200" i="8"/>
  <c r="I1174" i="8"/>
  <c r="J1174" i="8"/>
  <c r="H1174" i="8"/>
  <c r="H1215" i="8"/>
  <c r="J1215" i="8"/>
  <c r="I1215" i="8"/>
  <c r="I1054" i="8"/>
  <c r="I1057" i="8"/>
  <c r="H1067" i="8"/>
  <c r="J1069" i="8"/>
  <c r="H1071" i="8"/>
  <c r="J1073" i="8"/>
  <c r="H1075" i="8"/>
  <c r="J1077" i="8"/>
  <c r="H1079" i="8"/>
  <c r="J1081" i="8"/>
  <c r="H1083" i="8"/>
  <c r="J1085" i="8"/>
  <c r="H1087" i="8"/>
  <c r="J1089" i="8"/>
  <c r="H1091" i="8"/>
  <c r="J1107" i="8"/>
  <c r="I1107" i="8"/>
  <c r="J1119" i="8"/>
  <c r="I1119" i="8"/>
  <c r="J1200" i="8"/>
  <c r="H1062" i="8"/>
  <c r="J1133" i="8"/>
  <c r="I1133" i="8"/>
  <c r="H1133" i="8"/>
  <c r="H1183" i="8"/>
  <c r="J1183" i="8"/>
  <c r="H1191" i="8"/>
  <c r="J1191" i="8"/>
  <c r="I1191" i="8"/>
  <c r="I1062" i="8"/>
  <c r="J1105" i="8"/>
  <c r="I1105" i="8"/>
  <c r="H1105" i="8"/>
  <c r="J1117" i="8"/>
  <c r="I1117" i="8"/>
  <c r="H1117" i="8"/>
  <c r="J1127" i="8"/>
  <c r="I1127" i="8"/>
  <c r="J1130" i="8"/>
  <c r="I1130" i="8"/>
  <c r="H1130" i="8"/>
  <c r="I1064" i="8"/>
  <c r="I1183" i="8"/>
  <c r="J1248" i="8"/>
  <c r="I1248" i="8"/>
  <c r="H1248" i="8"/>
  <c r="H1235" i="8"/>
  <c r="J1235" i="8"/>
  <c r="I1235" i="8"/>
  <c r="J1218" i="8"/>
  <c r="H1218" i="8"/>
  <c r="I1218" i="8"/>
  <c r="H1227" i="8"/>
  <c r="J1227" i="8"/>
  <c r="I1227" i="8"/>
  <c r="J1256" i="8"/>
  <c r="I1256" i="8"/>
  <c r="J1213" i="8"/>
  <c r="H1213" i="8"/>
  <c r="H1455" i="8"/>
  <c r="J1455" i="8"/>
  <c r="I1455" i="8"/>
  <c r="J1194" i="8"/>
  <c r="I1194" i="8"/>
  <c r="J1230" i="8"/>
  <c r="H1230" i="8"/>
  <c r="I1230" i="8"/>
  <c r="I1129" i="8"/>
  <c r="H1132" i="8"/>
  <c r="I1145" i="8"/>
  <c r="H1148" i="8"/>
  <c r="H1154" i="8"/>
  <c r="H1157" i="8"/>
  <c r="H1182" i="8"/>
  <c r="I1213" i="8"/>
  <c r="J1321" i="8"/>
  <c r="I1321" i="8"/>
  <c r="H1321" i="8"/>
  <c r="I1132" i="8"/>
  <c r="I1135" i="8"/>
  <c r="H1138" i="8"/>
  <c r="I1148" i="8"/>
  <c r="I1151" i="8"/>
  <c r="I1154" i="8"/>
  <c r="J1157" i="8"/>
  <c r="J1182" i="8"/>
  <c r="H1194" i="8"/>
  <c r="J1225" i="8"/>
  <c r="H1225" i="8"/>
  <c r="J1135" i="8"/>
  <c r="I1138" i="8"/>
  <c r="J1151" i="8"/>
  <c r="J1190" i="8"/>
  <c r="I1190" i="8"/>
  <c r="H1211" i="8"/>
  <c r="J1211" i="8"/>
  <c r="I1211" i="8"/>
  <c r="I1159" i="8"/>
  <c r="J1165" i="8"/>
  <c r="H1170" i="8"/>
  <c r="J1175" i="8"/>
  <c r="J1186" i="8"/>
  <c r="J1197" i="8"/>
  <c r="H1197" i="8"/>
  <c r="I1225" i="8"/>
  <c r="J1286" i="8"/>
  <c r="I1286" i="8"/>
  <c r="H1286" i="8"/>
  <c r="J1294" i="8"/>
  <c r="I1294" i="8"/>
  <c r="H1294" i="8"/>
  <c r="J1302" i="8"/>
  <c r="I1302" i="8"/>
  <c r="H1302" i="8"/>
  <c r="H1399" i="8"/>
  <c r="J1399" i="8"/>
  <c r="I1418" i="8"/>
  <c r="J1418" i="8"/>
  <c r="H1418" i="8"/>
  <c r="J1495" i="8"/>
  <c r="H1495" i="8"/>
  <c r="I1495" i="8"/>
  <c r="J1499" i="8"/>
  <c r="H1499" i="8"/>
  <c r="I1499" i="8"/>
  <c r="J1274" i="8"/>
  <c r="I1274" i="8"/>
  <c r="H1274" i="8"/>
  <c r="J1262" i="8"/>
  <c r="I1262" i="8"/>
  <c r="H1262" i="8"/>
  <c r="J1289" i="8"/>
  <c r="I1289" i="8"/>
  <c r="H1289" i="8"/>
  <c r="J1297" i="8"/>
  <c r="I1297" i="8"/>
  <c r="H1297" i="8"/>
  <c r="J1305" i="8"/>
  <c r="I1305" i="8"/>
  <c r="H1305" i="8"/>
  <c r="J1202" i="8"/>
  <c r="H1202" i="8"/>
  <c r="H1205" i="8"/>
  <c r="J1210" i="8"/>
  <c r="H1210" i="8"/>
  <c r="J1222" i="8"/>
  <c r="H1222" i="8"/>
  <c r="J1234" i="8"/>
  <c r="H1234" i="8"/>
  <c r="H1244" i="8"/>
  <c r="J1252" i="8"/>
  <c r="I1252" i="8"/>
  <c r="H1269" i="8"/>
  <c r="H1281" i="8"/>
  <c r="J1396" i="8"/>
  <c r="I1396" i="8"/>
  <c r="H1396" i="8"/>
  <c r="I1205" i="8"/>
  <c r="J1244" i="8"/>
  <c r="J1269" i="8"/>
  <c r="J1281" i="8"/>
  <c r="J1314" i="8"/>
  <c r="I1314" i="8"/>
  <c r="H1314" i="8"/>
  <c r="J1317" i="8"/>
  <c r="I1317" i="8"/>
  <c r="H1447" i="8"/>
  <c r="J1447" i="8"/>
  <c r="I1447" i="8"/>
  <c r="H1224" i="8"/>
  <c r="H1317" i="8"/>
  <c r="I1410" i="8"/>
  <c r="J1410" i="8"/>
  <c r="H1410" i="8"/>
  <c r="J1424" i="8"/>
  <c r="I1424" i="8"/>
  <c r="H1424" i="8"/>
  <c r="H1204" i="8"/>
  <c r="H1207" i="8"/>
  <c r="I1212" i="8"/>
  <c r="J1214" i="8"/>
  <c r="H1214" i="8"/>
  <c r="I1224" i="8"/>
  <c r="J1226" i="8"/>
  <c r="H1226" i="8"/>
  <c r="J1198" i="8"/>
  <c r="H1198" i="8"/>
  <c r="I1219" i="8"/>
  <c r="I1231" i="8"/>
  <c r="J1325" i="8"/>
  <c r="I1325" i="8"/>
  <c r="I1394" i="8"/>
  <c r="J1394" i="8"/>
  <c r="J1428" i="8"/>
  <c r="I1428" i="8"/>
  <c r="H1428" i="8"/>
  <c r="H1347" i="8"/>
  <c r="I1422" i="8"/>
  <c r="J1422" i="8"/>
  <c r="H1422" i="8"/>
  <c r="H1239" i="8"/>
  <c r="H1243" i="8"/>
  <c r="H1247" i="8"/>
  <c r="H1251" i="8"/>
  <c r="H1255" i="8"/>
  <c r="H1265" i="8"/>
  <c r="H1277" i="8"/>
  <c r="H1325" i="8"/>
  <c r="J1329" i="8"/>
  <c r="I1329" i="8"/>
  <c r="J1333" i="8"/>
  <c r="I1333" i="8"/>
  <c r="J1337" i="8"/>
  <c r="I1337" i="8"/>
  <c r="I1347" i="8"/>
  <c r="H1394" i="8"/>
  <c r="H1403" i="8"/>
  <c r="J1403" i="8"/>
  <c r="I1403" i="8"/>
  <c r="H1443" i="8"/>
  <c r="J1443" i="8"/>
  <c r="H1451" i="8"/>
  <c r="J1451" i="8"/>
  <c r="I1451" i="8"/>
  <c r="I1247" i="8"/>
  <c r="I1251" i="8"/>
  <c r="I1255" i="8"/>
  <c r="J1265" i="8"/>
  <c r="J1309" i="8"/>
  <c r="I1309" i="8"/>
  <c r="J1352" i="8"/>
  <c r="I1352" i="8"/>
  <c r="H1352" i="8"/>
  <c r="J1355" i="8"/>
  <c r="I1355" i="8"/>
  <c r="J1363" i="8"/>
  <c r="I1363" i="8"/>
  <c r="J1371" i="8"/>
  <c r="I1371" i="8"/>
  <c r="J1379" i="8"/>
  <c r="I1379" i="8"/>
  <c r="J1387" i="8"/>
  <c r="I1387" i="8"/>
  <c r="J1285" i="8"/>
  <c r="I1285" i="8"/>
  <c r="J1293" i="8"/>
  <c r="I1293" i="8"/>
  <c r="J1301" i="8"/>
  <c r="I1301" i="8"/>
  <c r="H1329" i="8"/>
  <c r="H1333" i="8"/>
  <c r="H1337" i="8"/>
  <c r="I1426" i="8"/>
  <c r="J1426" i="8"/>
  <c r="H1426" i="8"/>
  <c r="I1443" i="8"/>
  <c r="H1238" i="8"/>
  <c r="H1242" i="8"/>
  <c r="H1246" i="8"/>
  <c r="H1250" i="8"/>
  <c r="H1254" i="8"/>
  <c r="H1258" i="8"/>
  <c r="H1270" i="8"/>
  <c r="H1282" i="8"/>
  <c r="H1306" i="8"/>
  <c r="H1309" i="8"/>
  <c r="H1355" i="8"/>
  <c r="J1360" i="8"/>
  <c r="I1360" i="8"/>
  <c r="H1360" i="8"/>
  <c r="H1363" i="8"/>
  <c r="J1368" i="8"/>
  <c r="I1368" i="8"/>
  <c r="H1368" i="8"/>
  <c r="H1371" i="8"/>
  <c r="J1376" i="8"/>
  <c r="I1376" i="8"/>
  <c r="H1376" i="8"/>
  <c r="H1379" i="8"/>
  <c r="J1384" i="8"/>
  <c r="I1384" i="8"/>
  <c r="H1384" i="8"/>
  <c r="H1387" i="8"/>
  <c r="J1420" i="8"/>
  <c r="I1420" i="8"/>
  <c r="I1238" i="8"/>
  <c r="I1242" i="8"/>
  <c r="I1246" i="8"/>
  <c r="I1250" i="8"/>
  <c r="I1254" i="8"/>
  <c r="I1258" i="8"/>
  <c r="I1270" i="8"/>
  <c r="I1282" i="8"/>
  <c r="I1306" i="8"/>
  <c r="J1313" i="8"/>
  <c r="I1313" i="8"/>
  <c r="J1261" i="8"/>
  <c r="J1273" i="8"/>
  <c r="H1350" i="8"/>
  <c r="H1420" i="8"/>
  <c r="J1435" i="8"/>
  <c r="J1491" i="8"/>
  <c r="H1491" i="8"/>
  <c r="I1459" i="8"/>
  <c r="I1463" i="8"/>
  <c r="I1467" i="8"/>
  <c r="I1471" i="8"/>
  <c r="I1475" i="8"/>
  <c r="I1479" i="8"/>
  <c r="I1483" i="8"/>
  <c r="I1487" i="8"/>
  <c r="I1491" i="8"/>
  <c r="J1459" i="8"/>
  <c r="J1463" i="8"/>
  <c r="J1467" i="8"/>
  <c r="J1471" i="8"/>
  <c r="J1475" i="8"/>
  <c r="J1479" i="8"/>
  <c r="J1483" i="8"/>
  <c r="J1487" i="8"/>
  <c r="I1340" i="8"/>
  <c r="I1391" i="8"/>
  <c r="J1398" i="8"/>
  <c r="J1407" i="8"/>
  <c r="I1411" i="8"/>
  <c r="J1430" i="8"/>
  <c r="I1432" i="8"/>
  <c r="H1434" i="8"/>
  <c r="H1436" i="8"/>
  <c r="H1351" i="8"/>
  <c r="H1354" i="8"/>
  <c r="H1362" i="8"/>
  <c r="H1370" i="8"/>
  <c r="H1378" i="8"/>
  <c r="H1386" i="8"/>
  <c r="H1400" i="8"/>
  <c r="H1498" i="8"/>
  <c r="I1351" i="8"/>
  <c r="J1354" i="8"/>
  <c r="J1362" i="8"/>
  <c r="J1370" i="8"/>
  <c r="J1378" i="8"/>
  <c r="J1386" i="8"/>
  <c r="I1400" i="8"/>
  <c r="J1415" i="8"/>
  <c r="J1438" i="8"/>
  <c r="I1440" i="8"/>
  <c r="J1498" i="8"/>
  <c r="H1494" i="8"/>
  <c r="H1501" i="8"/>
  <c r="J513" i="8" l="1"/>
  <c r="J538" i="8"/>
  <c r="J515" i="7"/>
  <c r="J519" i="7"/>
  <c r="J544" i="6"/>
  <c r="J532" i="8"/>
  <c r="J544" i="8"/>
  <c r="J509" i="7"/>
  <c r="J508" i="6"/>
  <c r="J522" i="6"/>
  <c r="J534" i="6"/>
  <c r="J506" i="6"/>
  <c r="J544" i="7"/>
  <c r="J539" i="8"/>
  <c r="J512" i="8"/>
  <c r="J509" i="8"/>
  <c r="J546" i="8"/>
  <c r="J514" i="8"/>
  <c r="J511" i="7"/>
  <c r="J515" i="6"/>
  <c r="J545" i="6"/>
  <c r="J529" i="6"/>
  <c r="J522" i="8"/>
  <c r="J507" i="7"/>
  <c r="J513" i="7"/>
  <c r="J530" i="6"/>
  <c r="J536" i="7"/>
  <c r="J519" i="6"/>
  <c r="J508" i="8"/>
  <c r="J540" i="8"/>
  <c r="J532" i="7"/>
  <c r="J547" i="8"/>
  <c r="J550" i="8"/>
  <c r="J536" i="8"/>
  <c r="J542" i="8"/>
  <c r="J505" i="7"/>
  <c r="J525" i="6"/>
  <c r="J548" i="8"/>
  <c r="J518" i="8"/>
  <c r="J545" i="7"/>
  <c r="J549" i="7"/>
  <c r="J512" i="6"/>
  <c r="J524" i="7"/>
  <c r="J541" i="6"/>
  <c r="J519" i="8"/>
  <c r="J528" i="8"/>
  <c r="J545" i="8"/>
  <c r="J537" i="8"/>
  <c r="J543" i="7"/>
  <c r="J541" i="7"/>
  <c r="J528" i="6"/>
  <c r="J526" i="6"/>
  <c r="J537" i="6"/>
  <c r="J524" i="8"/>
  <c r="J541" i="8"/>
  <c r="J533" i="8"/>
  <c r="J537" i="7"/>
  <c r="J540" i="6"/>
  <c r="J520" i="6"/>
  <c r="J550" i="6"/>
  <c r="J516" i="7"/>
  <c r="J516" i="8"/>
  <c r="J525" i="8"/>
  <c r="J529" i="8"/>
  <c r="J530" i="8"/>
  <c r="J547" i="7"/>
  <c r="J535" i="7"/>
  <c r="J533" i="7"/>
  <c r="J550" i="7"/>
  <c r="J546" i="6"/>
  <c r="J510" i="6"/>
  <c r="J512" i="7"/>
  <c r="J504" i="8"/>
  <c r="J535" i="8"/>
  <c r="J521" i="8"/>
  <c r="J549" i="8"/>
  <c r="J526" i="8"/>
  <c r="J534" i="8"/>
  <c r="J539" i="7"/>
  <c r="J529" i="7"/>
  <c r="J542" i="6"/>
  <c r="J508" i="7"/>
  <c r="J533" i="6"/>
  <c r="J523" i="8"/>
  <c r="J517" i="8"/>
  <c r="J506" i="8"/>
  <c r="J510" i="8"/>
  <c r="J531" i="7"/>
  <c r="J527" i="7"/>
  <c r="J521" i="7"/>
  <c r="J532" i="6"/>
  <c r="J538" i="6"/>
  <c r="J524" i="6"/>
  <c r="J536" i="6"/>
  <c r="J504" i="7"/>
  <c r="J520" i="8"/>
  <c r="J505" i="8"/>
  <c r="J523" i="7"/>
  <c r="J517" i="7"/>
  <c r="J525" i="7"/>
  <c r="J548" i="6"/>
  <c r="J504" i="6"/>
  <c r="J518" i="6"/>
  <c r="J514" i="6"/>
  <c r="J548" i="7"/>
  <c r="J543" i="8"/>
  <c r="J507" i="8"/>
  <c r="J513" i="6"/>
  <c r="J546" i="7"/>
  <c r="J535" i="6"/>
  <c r="J505" i="6"/>
  <c r="J542" i="7"/>
  <c r="J531" i="8"/>
  <c r="J538" i="7"/>
  <c r="J549" i="6"/>
  <c r="J540" i="7"/>
  <c r="J511" i="6"/>
  <c r="J534" i="7"/>
  <c r="J543" i="6"/>
  <c r="J530" i="7"/>
  <c r="J526" i="7"/>
  <c r="J531" i="6"/>
  <c r="J516" i="6"/>
  <c r="J528" i="7"/>
  <c r="J522" i="7"/>
  <c r="J527" i="8"/>
  <c r="J521" i="6"/>
  <c r="J547" i="6"/>
  <c r="J518" i="7"/>
  <c r="J520" i="7"/>
  <c r="J514" i="7"/>
  <c r="J527" i="6"/>
  <c r="J515" i="8"/>
  <c r="J509" i="6"/>
  <c r="J510" i="7"/>
  <c r="J511" i="8"/>
  <c r="J523" i="6"/>
  <c r="J507" i="6"/>
  <c r="J506" i="7"/>
  <c r="J539" i="6"/>
  <c r="J517" i="6"/>
  <c r="J467" i="7"/>
  <c r="J449" i="6"/>
  <c r="J499" i="7"/>
  <c r="J487" i="7"/>
  <c r="J388" i="6"/>
  <c r="J340" i="6"/>
  <c r="J432" i="6"/>
  <c r="J276" i="8"/>
  <c r="J497" i="7"/>
  <c r="J428" i="6"/>
  <c r="J380" i="6"/>
  <c r="J332" i="6"/>
  <c r="J124" i="8"/>
  <c r="J452" i="8"/>
  <c r="J465" i="8"/>
  <c r="J461" i="8"/>
  <c r="J348" i="8"/>
  <c r="J128" i="8"/>
  <c r="J80" i="8"/>
  <c r="J237" i="8"/>
  <c r="J368" i="8"/>
  <c r="J165" i="8"/>
  <c r="J329" i="8"/>
  <c r="J178" i="8"/>
  <c r="J58" i="8"/>
  <c r="J73" i="8"/>
  <c r="J89" i="8"/>
  <c r="J134" i="8"/>
  <c r="J485" i="7"/>
  <c r="J441" i="8"/>
  <c r="J150" i="8"/>
  <c r="J320" i="8"/>
  <c r="J29" i="8"/>
  <c r="J38" i="8"/>
  <c r="J214" i="8"/>
  <c r="J222" i="8"/>
  <c r="J419" i="7"/>
  <c r="J448" i="8"/>
  <c r="J415" i="8"/>
  <c r="J205" i="8"/>
  <c r="J501" i="8"/>
  <c r="J445" i="8"/>
  <c r="J216" i="8"/>
  <c r="J168" i="8"/>
  <c r="J120" i="8"/>
  <c r="J72" i="8"/>
  <c r="J373" i="8"/>
  <c r="J304" i="8"/>
  <c r="J202" i="8"/>
  <c r="J157" i="8"/>
  <c r="J344" i="8"/>
  <c r="J162" i="8"/>
  <c r="J133" i="8"/>
  <c r="J66" i="8"/>
  <c r="J105" i="8"/>
  <c r="J501" i="7"/>
  <c r="J246" i="8"/>
  <c r="J230" i="8"/>
  <c r="J19" i="8"/>
  <c r="J166" i="8"/>
  <c r="J6" i="8"/>
  <c r="J12" i="8"/>
  <c r="J411" i="7"/>
  <c r="J398" i="7"/>
  <c r="J440" i="8"/>
  <c r="J380" i="8"/>
  <c r="J418" i="8"/>
  <c r="J117" i="8"/>
  <c r="J436" i="8"/>
  <c r="J490" i="8"/>
  <c r="J482" i="8"/>
  <c r="J446" i="8"/>
  <c r="J160" i="8"/>
  <c r="J112" i="8"/>
  <c r="J64" i="8"/>
  <c r="J396" i="8"/>
  <c r="J325" i="8"/>
  <c r="J300" i="8"/>
  <c r="J364" i="8"/>
  <c r="J41" i="8"/>
  <c r="J194" i="8"/>
  <c r="J145" i="8"/>
  <c r="J217" i="8"/>
  <c r="J269" i="8"/>
  <c r="J190" i="8"/>
  <c r="J17" i="8"/>
  <c r="J8" i="8"/>
  <c r="J475" i="7"/>
  <c r="J493" i="7"/>
  <c r="J449" i="8"/>
  <c r="J212" i="8"/>
  <c r="J249" i="8"/>
  <c r="J432" i="8"/>
  <c r="J502" i="8"/>
  <c r="J429" i="8"/>
  <c r="J204" i="8"/>
  <c r="J156" i="8"/>
  <c r="J108" i="8"/>
  <c r="J393" i="8"/>
  <c r="J360" i="8"/>
  <c r="J340" i="8"/>
  <c r="J264" i="8"/>
  <c r="J209" i="8"/>
  <c r="J97" i="8"/>
  <c r="J142" i="8"/>
  <c r="J40" i="8"/>
  <c r="J55" i="8"/>
  <c r="J265" i="8"/>
  <c r="J187" i="8"/>
  <c r="J21" i="8"/>
  <c r="J31" i="8"/>
  <c r="J59" i="8"/>
  <c r="J318" i="8"/>
  <c r="J146" i="8"/>
  <c r="J243" i="8"/>
  <c r="J334" i="8"/>
  <c r="J323" i="8"/>
  <c r="J484" i="8"/>
  <c r="J403" i="8"/>
  <c r="J370" i="8"/>
  <c r="J500" i="8"/>
  <c r="J459" i="8"/>
  <c r="J487" i="8"/>
  <c r="J451" i="8"/>
  <c r="J369" i="8"/>
  <c r="J2" i="8"/>
  <c r="J62" i="8"/>
  <c r="J183" i="8"/>
  <c r="J155" i="8"/>
  <c r="J67" i="8"/>
  <c r="J129" i="8"/>
  <c r="J379" i="8"/>
  <c r="J275" i="8"/>
  <c r="J294" i="8"/>
  <c r="J310" i="8"/>
  <c r="J330" i="8"/>
  <c r="J274" i="8"/>
  <c r="J409" i="8"/>
  <c r="J430" i="8"/>
  <c r="J462" i="8"/>
  <c r="J447" i="8"/>
  <c r="J483" i="8"/>
  <c r="J494" i="8"/>
  <c r="J457" i="8"/>
  <c r="J362" i="8"/>
  <c r="J493" i="8"/>
  <c r="J259" i="8"/>
  <c r="J35" i="8"/>
  <c r="J223" i="8"/>
  <c r="J63" i="8"/>
  <c r="J143" i="8"/>
  <c r="J159" i="8"/>
  <c r="J50" i="8"/>
  <c r="J199" i="8"/>
  <c r="J74" i="8"/>
  <c r="J239" i="8"/>
  <c r="J359" i="8"/>
  <c r="J397" i="8"/>
  <c r="J279" i="8"/>
  <c r="J351" i="8"/>
  <c r="J347" i="8"/>
  <c r="J319" i="8"/>
  <c r="J341" i="8"/>
  <c r="J413" i="8"/>
  <c r="J450" i="8"/>
  <c r="J474" i="8"/>
  <c r="J466" i="8"/>
  <c r="J43" i="8"/>
  <c r="J311" i="8"/>
  <c r="J167" i="8"/>
  <c r="J107" i="8"/>
  <c r="J90" i="8"/>
  <c r="J358" i="8"/>
  <c r="J354" i="8"/>
  <c r="J326" i="8"/>
  <c r="J420" i="8"/>
  <c r="J439" i="8"/>
  <c r="J471" i="8"/>
  <c r="J394" i="8"/>
  <c r="J421" i="8"/>
  <c r="J410" i="8"/>
  <c r="J425" i="8"/>
  <c r="J453" i="8"/>
  <c r="J400" i="8"/>
  <c r="J435" i="8"/>
  <c r="J467" i="8"/>
  <c r="J287" i="8"/>
  <c r="J10" i="8"/>
  <c r="J27" i="8"/>
  <c r="J71" i="8"/>
  <c r="J377" i="8"/>
  <c r="J203" i="8"/>
  <c r="J70" i="8"/>
  <c r="J106" i="8"/>
  <c r="J228" i="8"/>
  <c r="J282" i="8"/>
  <c r="J131" i="8"/>
  <c r="J176" i="8"/>
  <c r="J298" i="8"/>
  <c r="J314" i="8"/>
  <c r="J292" i="8"/>
  <c r="J383" i="8"/>
  <c r="J371" i="8"/>
  <c r="J277" i="8"/>
  <c r="J343" i="8"/>
  <c r="J262" i="8"/>
  <c r="J442" i="8"/>
  <c r="J278" i="8"/>
  <c r="J434" i="8"/>
  <c r="J458" i="8"/>
  <c r="J4" i="8"/>
  <c r="J307" i="8"/>
  <c r="J119" i="8"/>
  <c r="J87" i="8"/>
  <c r="J91" i="8"/>
  <c r="J231" i="8"/>
  <c r="J24" i="8"/>
  <c r="J11" i="8"/>
  <c r="J122" i="8"/>
  <c r="J263" i="8"/>
  <c r="J116" i="8"/>
  <c r="J53" i="8"/>
  <c r="J331" i="8"/>
  <c r="J388" i="8"/>
  <c r="J296" i="8"/>
  <c r="J375" i="8"/>
  <c r="J321" i="8"/>
  <c r="J350" i="8"/>
  <c r="J315" i="8"/>
  <c r="J426" i="8"/>
  <c r="J472" i="8"/>
  <c r="J416" i="8"/>
  <c r="J438" i="8"/>
  <c r="J470" i="8"/>
  <c r="J336" i="8"/>
  <c r="J496" i="8"/>
  <c r="J235" i="8"/>
  <c r="J303" i="8"/>
  <c r="J127" i="8"/>
  <c r="J135" i="8"/>
  <c r="J3" i="8"/>
  <c r="J79" i="8"/>
  <c r="J103" i="8"/>
  <c r="J207" i="8"/>
  <c r="J42" i="8"/>
  <c r="J357" i="8"/>
  <c r="J138" i="8"/>
  <c r="J255" i="8"/>
  <c r="J333" i="8"/>
  <c r="J338" i="8"/>
  <c r="J391" i="8"/>
  <c r="J240" i="8"/>
  <c r="J378" i="8"/>
  <c r="J367" i="8"/>
  <c r="J272" i="8"/>
  <c r="J365" i="8"/>
  <c r="J322" i="8"/>
  <c r="J443" i="8"/>
  <c r="J475" i="8"/>
  <c r="J479" i="8"/>
  <c r="J499" i="8"/>
  <c r="J151" i="8"/>
  <c r="J82" i="8"/>
  <c r="J208" i="8"/>
  <c r="J419" i="8"/>
  <c r="J387" i="8"/>
  <c r="J488" i="8"/>
  <c r="J299" i="8"/>
  <c r="J179" i="8"/>
  <c r="J215" i="8"/>
  <c r="J39" i="8"/>
  <c r="J241" i="8"/>
  <c r="J111" i="8"/>
  <c r="J398" i="8"/>
  <c r="J251" i="8"/>
  <c r="J154" i="8"/>
  <c r="J417" i="8"/>
  <c r="J302" i="8"/>
  <c r="J355" i="8"/>
  <c r="J250" i="8"/>
  <c r="J374" i="8"/>
  <c r="J492" i="8"/>
  <c r="J431" i="8"/>
  <c r="J463" i="8"/>
  <c r="J335" i="8"/>
  <c r="J164" i="8"/>
  <c r="J395" i="8"/>
  <c r="J317" i="8"/>
  <c r="J480" i="8"/>
  <c r="J18" i="8"/>
  <c r="J47" i="8"/>
  <c r="J295" i="8"/>
  <c r="J123" i="8"/>
  <c r="J227" i="8"/>
  <c r="J75" i="8"/>
  <c r="J95" i="8"/>
  <c r="J267" i="8"/>
  <c r="J308" i="8"/>
  <c r="J339" i="8"/>
  <c r="J476" i="8"/>
  <c r="J16" i="8"/>
  <c r="J191" i="8"/>
  <c r="J291" i="8"/>
  <c r="J257" i="8"/>
  <c r="J139" i="8"/>
  <c r="J163" i="8"/>
  <c r="J195" i="8"/>
  <c r="J366" i="8"/>
  <c r="J172" i="8"/>
  <c r="J147" i="8"/>
  <c r="J423" i="8"/>
  <c r="J84" i="8"/>
  <c r="J132" i="8"/>
  <c r="J98" i="8"/>
  <c r="J401" i="8"/>
  <c r="J256" i="8"/>
  <c r="J312" i="8"/>
  <c r="J349" i="8"/>
  <c r="J236" i="8"/>
  <c r="J281" i="8"/>
  <c r="J346" i="8"/>
  <c r="J464" i="8"/>
  <c r="J455" i="8"/>
  <c r="J491" i="8"/>
  <c r="J247" i="8"/>
  <c r="J238" i="8"/>
  <c r="J5" i="8"/>
  <c r="J54" i="8"/>
  <c r="J342" i="8"/>
  <c r="J175" i="8"/>
  <c r="J171" i="8"/>
  <c r="J99" i="8"/>
  <c r="J22" i="8"/>
  <c r="J211" i="8"/>
  <c r="J137" i="8"/>
  <c r="J83" i="8"/>
  <c r="J101" i="8"/>
  <c r="J149" i="8"/>
  <c r="J382" i="8"/>
  <c r="J180" i="8"/>
  <c r="J37" i="8"/>
  <c r="J152" i="8"/>
  <c r="J234" i="8"/>
  <c r="J60" i="8"/>
  <c r="J93" i="8"/>
  <c r="J141" i="8"/>
  <c r="J271" i="8"/>
  <c r="J114" i="8"/>
  <c r="J224" i="8"/>
  <c r="J345" i="8"/>
  <c r="J290" i="8"/>
  <c r="J306" i="8"/>
  <c r="J404" i="8"/>
  <c r="J270" i="8"/>
  <c r="J427" i="8"/>
  <c r="J489" i="8"/>
  <c r="J437" i="8"/>
  <c r="J469" i="8"/>
  <c r="J498" i="8"/>
  <c r="J7" i="8"/>
  <c r="J46" i="8"/>
  <c r="J13" i="8"/>
  <c r="J26" i="8"/>
  <c r="J51" i="8"/>
  <c r="J23" i="8"/>
  <c r="J206" i="8"/>
  <c r="J219" i="8"/>
  <c r="J57" i="8"/>
  <c r="J182" i="8"/>
  <c r="J115" i="8"/>
  <c r="J283" i="8"/>
  <c r="J130" i="8"/>
  <c r="J407" i="8"/>
  <c r="J327" i="8"/>
  <c r="J363" i="8"/>
  <c r="J503" i="8"/>
  <c r="J454" i="8"/>
  <c r="J495" i="8"/>
  <c r="J479" i="7"/>
  <c r="J489" i="7"/>
  <c r="J220" i="8"/>
  <c r="J497" i="8"/>
  <c r="J68" i="8"/>
  <c r="J197" i="8"/>
  <c r="J225" i="8"/>
  <c r="J433" i="8"/>
  <c r="J200" i="8"/>
  <c r="J104" i="8"/>
  <c r="J258" i="8"/>
  <c r="J332" i="8"/>
  <c r="J273" i="8"/>
  <c r="J189" i="8"/>
  <c r="J125" i="8"/>
  <c r="J226" i="8"/>
  <c r="J201" i="8"/>
  <c r="J85" i="8"/>
  <c r="J126" i="8"/>
  <c r="J61" i="8"/>
  <c r="J44" i="8"/>
  <c r="J158" i="8"/>
  <c r="J421" i="7"/>
  <c r="J473" i="8"/>
  <c r="J406" i="8"/>
  <c r="J376" i="8"/>
  <c r="J253" i="8"/>
  <c r="J286" i="8"/>
  <c r="J229" i="8"/>
  <c r="J109" i="8"/>
  <c r="J113" i="8"/>
  <c r="J193" i="8"/>
  <c r="J65" i="8"/>
  <c r="J49" i="8"/>
  <c r="J33" i="8"/>
  <c r="J78" i="8"/>
  <c r="J25" i="8"/>
  <c r="J451" i="7"/>
  <c r="J399" i="7"/>
  <c r="J76" i="8"/>
  <c r="J468" i="8"/>
  <c r="J485" i="8"/>
  <c r="J192" i="8"/>
  <c r="J144" i="8"/>
  <c r="J96" i="8"/>
  <c r="J245" i="8"/>
  <c r="J411" i="8"/>
  <c r="J221" i="8"/>
  <c r="J181" i="8"/>
  <c r="J210" i="8"/>
  <c r="J185" i="8"/>
  <c r="J45" i="8"/>
  <c r="J118" i="8"/>
  <c r="J15" i="8"/>
  <c r="J121" i="8"/>
  <c r="J56" i="8"/>
  <c r="J30" i="8"/>
  <c r="J413" i="7"/>
  <c r="J293" i="7"/>
  <c r="J377" i="7"/>
  <c r="J260" i="8"/>
  <c r="J196" i="8"/>
  <c r="J444" i="8"/>
  <c r="J481" i="8"/>
  <c r="J486" i="8"/>
  <c r="J390" i="8"/>
  <c r="J188" i="8"/>
  <c r="J140" i="8"/>
  <c r="J92" i="8"/>
  <c r="J352" i="8"/>
  <c r="J242" i="8"/>
  <c r="J248" i="8"/>
  <c r="J218" i="8"/>
  <c r="J173" i="8"/>
  <c r="J177" i="8"/>
  <c r="J153" i="8"/>
  <c r="J34" i="8"/>
  <c r="J48" i="8"/>
  <c r="J174" i="8"/>
  <c r="J503" i="7"/>
  <c r="J390" i="7"/>
  <c r="J453" i="7"/>
  <c r="J464" i="7"/>
  <c r="J494" i="7"/>
  <c r="J498" i="7"/>
  <c r="J473" i="7"/>
  <c r="J233" i="8"/>
  <c r="J100" i="8"/>
  <c r="J460" i="8"/>
  <c r="J477" i="8"/>
  <c r="J478" i="8"/>
  <c r="J381" i="8"/>
  <c r="J232" i="8"/>
  <c r="J184" i="8"/>
  <c r="J136" i="8"/>
  <c r="J88" i="8"/>
  <c r="J328" i="8"/>
  <c r="J412" i="8"/>
  <c r="J266" i="8"/>
  <c r="J288" i="8"/>
  <c r="J353" i="8"/>
  <c r="J170" i="8"/>
  <c r="J77" i="8"/>
  <c r="J169" i="8"/>
  <c r="J81" i="8"/>
  <c r="J86" i="8"/>
  <c r="J198" i="8"/>
  <c r="J254" i="8"/>
  <c r="J102" i="8"/>
  <c r="J28" i="8"/>
  <c r="J435" i="7"/>
  <c r="J148" i="8"/>
  <c r="J456" i="8"/>
  <c r="J372" i="8"/>
  <c r="J402" i="8"/>
  <c r="J261" i="8"/>
  <c r="J422" i="8"/>
  <c r="J280" i="8"/>
  <c r="J213" i="8"/>
  <c r="J186" i="8"/>
  <c r="J52" i="8"/>
  <c r="J161" i="8"/>
  <c r="J14" i="8"/>
  <c r="J69" i="8"/>
  <c r="J110" i="8"/>
  <c r="J94" i="8"/>
  <c r="J427" i="7"/>
  <c r="J477" i="7"/>
  <c r="J256" i="7"/>
  <c r="J293" i="8"/>
  <c r="J324" i="8"/>
  <c r="J32" i="8"/>
  <c r="J471" i="7"/>
  <c r="J443" i="7"/>
  <c r="J356" i="7"/>
  <c r="J442" i="7"/>
  <c r="J423" i="7"/>
  <c r="J385" i="7"/>
  <c r="J452" i="7"/>
  <c r="J441" i="7"/>
  <c r="J285" i="7"/>
  <c r="J196" i="7"/>
  <c r="J146" i="7"/>
  <c r="J98" i="7"/>
  <c r="J370" i="7"/>
  <c r="J236" i="7"/>
  <c r="J366" i="7"/>
  <c r="J302" i="7"/>
  <c r="J304" i="7"/>
  <c r="J270" i="7"/>
  <c r="J392" i="6"/>
  <c r="J344" i="6"/>
  <c r="J296" i="6"/>
  <c r="J248" i="6"/>
  <c r="J200" i="6"/>
  <c r="J152" i="6"/>
  <c r="J104" i="6"/>
  <c r="J56" i="6"/>
  <c r="J8" i="6"/>
  <c r="J422" i="6"/>
  <c r="J334" i="6"/>
  <c r="J286" i="6"/>
  <c r="J238" i="6"/>
  <c r="J190" i="6"/>
  <c r="J142" i="6"/>
  <c r="J94" i="6"/>
  <c r="J46" i="6"/>
  <c r="J476" i="6"/>
  <c r="J488" i="6"/>
  <c r="J356" i="8"/>
  <c r="J403" i="7"/>
  <c r="J461" i="7"/>
  <c r="J352" i="7"/>
  <c r="J434" i="7"/>
  <c r="J463" i="7"/>
  <c r="J415" i="7"/>
  <c r="J420" i="7"/>
  <c r="J401" i="7"/>
  <c r="J215" i="7"/>
  <c r="J190" i="7"/>
  <c r="J142" i="7"/>
  <c r="J94" i="7"/>
  <c r="J46" i="7"/>
  <c r="J227" i="7"/>
  <c r="J294" i="7"/>
  <c r="J254" i="7"/>
  <c r="J374" i="7"/>
  <c r="J279" i="7"/>
  <c r="J292" i="6"/>
  <c r="J244" i="6"/>
  <c r="J196" i="6"/>
  <c r="J148" i="6"/>
  <c r="J100" i="6"/>
  <c r="J52" i="6"/>
  <c r="J456" i="6"/>
  <c r="J445" i="6"/>
  <c r="J418" i="6"/>
  <c r="J330" i="6"/>
  <c r="J282" i="6"/>
  <c r="J234" i="6"/>
  <c r="J186" i="6"/>
  <c r="J138" i="6"/>
  <c r="J90" i="6"/>
  <c r="J42" i="6"/>
  <c r="J466" i="6"/>
  <c r="J289" i="8"/>
  <c r="J285" i="8"/>
  <c r="J348" i="7"/>
  <c r="J418" i="7"/>
  <c r="J373" i="7"/>
  <c r="J404" i="7"/>
  <c r="J389" i="7"/>
  <c r="J274" i="7"/>
  <c r="J186" i="7"/>
  <c r="J138" i="7"/>
  <c r="J90" i="7"/>
  <c r="J42" i="7"/>
  <c r="J297" i="7"/>
  <c r="J220" i="7"/>
  <c r="J350" i="7"/>
  <c r="J284" i="7"/>
  <c r="J334" i="7"/>
  <c r="J384" i="6"/>
  <c r="J336" i="6"/>
  <c r="J288" i="6"/>
  <c r="J240" i="6"/>
  <c r="J192" i="6"/>
  <c r="J144" i="6"/>
  <c r="J96" i="6"/>
  <c r="J48" i="6"/>
  <c r="J500" i="6"/>
  <c r="J484" i="6"/>
  <c r="J414" i="6"/>
  <c r="J326" i="6"/>
  <c r="J278" i="6"/>
  <c r="J230" i="6"/>
  <c r="J182" i="6"/>
  <c r="J134" i="6"/>
  <c r="J86" i="6"/>
  <c r="J38" i="6"/>
  <c r="J496" i="6"/>
  <c r="J9" i="8"/>
  <c r="J405" i="7"/>
  <c r="J344" i="7"/>
  <c r="J402" i="7"/>
  <c r="J455" i="7"/>
  <c r="J407" i="7"/>
  <c r="J369" i="7"/>
  <c r="J433" i="7"/>
  <c r="J269" i="7"/>
  <c r="J182" i="7"/>
  <c r="J134" i="7"/>
  <c r="J86" i="7"/>
  <c r="J38" i="7"/>
  <c r="J333" i="7"/>
  <c r="J330" i="7"/>
  <c r="J322" i="7"/>
  <c r="J337" i="7"/>
  <c r="J228" i="7"/>
  <c r="J235" i="7"/>
  <c r="J284" i="6"/>
  <c r="J236" i="6"/>
  <c r="J188" i="6"/>
  <c r="J140" i="6"/>
  <c r="J92" i="6"/>
  <c r="J44" i="6"/>
  <c r="J490" i="6"/>
  <c r="J472" i="6"/>
  <c r="J474" i="6"/>
  <c r="J410" i="6"/>
  <c r="J322" i="6"/>
  <c r="J274" i="6"/>
  <c r="J226" i="6"/>
  <c r="J178" i="6"/>
  <c r="J130" i="6"/>
  <c r="J82" i="6"/>
  <c r="J34" i="6"/>
  <c r="J486" i="6"/>
  <c r="J337" i="8"/>
  <c r="J440" i="7"/>
  <c r="J340" i="7"/>
  <c r="J392" i="7"/>
  <c r="J365" i="7"/>
  <c r="J387" i="7"/>
  <c r="J342" i="7"/>
  <c r="J178" i="7"/>
  <c r="J130" i="7"/>
  <c r="J82" i="7"/>
  <c r="J34" i="7"/>
  <c r="J320" i="7"/>
  <c r="J329" i="7"/>
  <c r="J321" i="7"/>
  <c r="J219" i="7"/>
  <c r="J263" i="7"/>
  <c r="J424" i="6"/>
  <c r="J376" i="6"/>
  <c r="J328" i="6"/>
  <c r="J280" i="6"/>
  <c r="J232" i="6"/>
  <c r="J184" i="6"/>
  <c r="J136" i="6"/>
  <c r="J88" i="6"/>
  <c r="J40" i="6"/>
  <c r="J460" i="6"/>
  <c r="J502" i="6"/>
  <c r="J457" i="6"/>
  <c r="J406" i="6"/>
  <c r="J78" i="6"/>
  <c r="J478" i="6"/>
  <c r="J384" i="7"/>
  <c r="J432" i="7"/>
  <c r="J397" i="7"/>
  <c r="J336" i="7"/>
  <c r="J500" i="7"/>
  <c r="J447" i="7"/>
  <c r="J361" i="7"/>
  <c r="J425" i="7"/>
  <c r="J276" i="7"/>
  <c r="J174" i="7"/>
  <c r="J126" i="7"/>
  <c r="J78" i="7"/>
  <c r="J30" i="7"/>
  <c r="J393" i="7"/>
  <c r="J292" i="7"/>
  <c r="J420" i="6"/>
  <c r="J372" i="6"/>
  <c r="J324" i="6"/>
  <c r="J276" i="6"/>
  <c r="J228" i="6"/>
  <c r="J180" i="6"/>
  <c r="J132" i="6"/>
  <c r="J84" i="6"/>
  <c r="J36" i="6"/>
  <c r="J464" i="6"/>
  <c r="J450" i="6"/>
  <c r="J494" i="6"/>
  <c r="J266" i="6"/>
  <c r="J74" i="6"/>
  <c r="J468" i="6"/>
  <c r="J446" i="6"/>
  <c r="J424" i="8"/>
  <c r="J386" i="8"/>
  <c r="J495" i="7"/>
  <c r="J459" i="7"/>
  <c r="J382" i="7"/>
  <c r="J416" i="7"/>
  <c r="J445" i="7"/>
  <c r="J388" i="7"/>
  <c r="J332" i="7"/>
  <c r="J357" i="7"/>
  <c r="J465" i="7"/>
  <c r="J267" i="7"/>
  <c r="J308" i="7"/>
  <c r="J253" i="7"/>
  <c r="J170" i="7"/>
  <c r="J122" i="7"/>
  <c r="J74" i="7"/>
  <c r="J26" i="7"/>
  <c r="J310" i="7"/>
  <c r="J341" i="7"/>
  <c r="J248" i="7"/>
  <c r="J259" i="7"/>
  <c r="J266" i="7"/>
  <c r="J314" i="7"/>
  <c r="J212" i="7"/>
  <c r="J316" i="7"/>
  <c r="J416" i="6"/>
  <c r="J368" i="6"/>
  <c r="J320" i="6"/>
  <c r="J272" i="6"/>
  <c r="J224" i="6"/>
  <c r="J176" i="6"/>
  <c r="J128" i="6"/>
  <c r="J80" i="6"/>
  <c r="J32" i="6"/>
  <c r="J462" i="6"/>
  <c r="J441" i="6"/>
  <c r="J358" i="6"/>
  <c r="J310" i="6"/>
  <c r="J262" i="6"/>
  <c r="J214" i="6"/>
  <c r="J166" i="6"/>
  <c r="J118" i="6"/>
  <c r="J70" i="6"/>
  <c r="J22" i="6"/>
  <c r="J313" i="8"/>
  <c r="J316" i="8"/>
  <c r="J36" i="8"/>
  <c r="J491" i="7"/>
  <c r="J380" i="7"/>
  <c r="J400" i="7"/>
  <c r="J437" i="7"/>
  <c r="J376" i="7"/>
  <c r="J481" i="7"/>
  <c r="J439" i="7"/>
  <c r="J383" i="7"/>
  <c r="J353" i="7"/>
  <c r="J457" i="7"/>
  <c r="J391" i="7"/>
  <c r="J265" i="7"/>
  <c r="J305" i="7"/>
  <c r="J166" i="7"/>
  <c r="J118" i="7"/>
  <c r="J70" i="7"/>
  <c r="J22" i="7"/>
  <c r="J325" i="7"/>
  <c r="J338" i="7"/>
  <c r="J250" i="7"/>
  <c r="J277" i="7"/>
  <c r="J203" i="7"/>
  <c r="J306" i="7"/>
  <c r="J358" i="7"/>
  <c r="J498" i="6"/>
  <c r="J412" i="6"/>
  <c r="J364" i="6"/>
  <c r="J316" i="6"/>
  <c r="J268" i="6"/>
  <c r="J220" i="6"/>
  <c r="J172" i="6"/>
  <c r="J124" i="6"/>
  <c r="J76" i="6"/>
  <c r="J28" i="6"/>
  <c r="J433" i="6"/>
  <c r="J448" i="6"/>
  <c r="J354" i="6"/>
  <c r="J306" i="6"/>
  <c r="J258" i="6"/>
  <c r="J210" i="6"/>
  <c r="J162" i="6"/>
  <c r="J114" i="6"/>
  <c r="J66" i="6"/>
  <c r="J18" i="6"/>
  <c r="J244" i="8"/>
  <c r="J408" i="8"/>
  <c r="J428" i="8"/>
  <c r="J392" i="8"/>
  <c r="J309" i="8"/>
  <c r="J372" i="7"/>
  <c r="J472" i="7"/>
  <c r="J379" i="7"/>
  <c r="J349" i="7"/>
  <c r="J417" i="7"/>
  <c r="J260" i="7"/>
  <c r="J300" i="7"/>
  <c r="J249" i="7"/>
  <c r="J162" i="7"/>
  <c r="J114" i="7"/>
  <c r="J66" i="7"/>
  <c r="J18" i="7"/>
  <c r="J317" i="7"/>
  <c r="J362" i="7"/>
  <c r="J261" i="7"/>
  <c r="J458" i="6"/>
  <c r="J408" i="6"/>
  <c r="J360" i="6"/>
  <c r="J312" i="6"/>
  <c r="J264" i="6"/>
  <c r="J216" i="6"/>
  <c r="J168" i="6"/>
  <c r="J120" i="6"/>
  <c r="J72" i="6"/>
  <c r="J24" i="6"/>
  <c r="J350" i="6"/>
  <c r="J302" i="6"/>
  <c r="J254" i="6"/>
  <c r="J206" i="6"/>
  <c r="J158" i="6"/>
  <c r="J110" i="6"/>
  <c r="J62" i="6"/>
  <c r="J14" i="6"/>
  <c r="J361" i="8"/>
  <c r="J414" i="8"/>
  <c r="J405" i="8"/>
  <c r="J385" i="8"/>
  <c r="J305" i="8"/>
  <c r="J284" i="8"/>
  <c r="J20" i="8"/>
  <c r="J483" i="7"/>
  <c r="J490" i="7"/>
  <c r="J395" i="7"/>
  <c r="J429" i="7"/>
  <c r="J368" i="7"/>
  <c r="J478" i="7"/>
  <c r="J345" i="7"/>
  <c r="J328" i="7"/>
  <c r="J158" i="7"/>
  <c r="J110" i="7"/>
  <c r="J62" i="7"/>
  <c r="J14" i="7"/>
  <c r="J255" i="7"/>
  <c r="J278" i="7"/>
  <c r="J301" i="7"/>
  <c r="J244" i="7"/>
  <c r="J404" i="6"/>
  <c r="J356" i="6"/>
  <c r="J308" i="6"/>
  <c r="J260" i="6"/>
  <c r="J212" i="6"/>
  <c r="J164" i="6"/>
  <c r="J116" i="6"/>
  <c r="J68" i="6"/>
  <c r="J20" i="6"/>
  <c r="J480" i="6"/>
  <c r="J440" i="6"/>
  <c r="J435" i="6"/>
  <c r="J447" i="6"/>
  <c r="J436" i="6"/>
  <c r="J346" i="6"/>
  <c r="J298" i="6"/>
  <c r="J250" i="6"/>
  <c r="J202" i="6"/>
  <c r="J154" i="6"/>
  <c r="J106" i="6"/>
  <c r="J58" i="6"/>
  <c r="J10" i="6"/>
  <c r="J389" i="8"/>
  <c r="J301" i="8"/>
  <c r="J252" i="8"/>
  <c r="J268" i="8"/>
  <c r="J364" i="7"/>
  <c r="J482" i="7"/>
  <c r="J469" i="7"/>
  <c r="J431" i="7"/>
  <c r="J394" i="7"/>
  <c r="J488" i="7"/>
  <c r="J449" i="7"/>
  <c r="J409" i="7"/>
  <c r="J326" i="7"/>
  <c r="J298" i="7"/>
  <c r="J222" i="7"/>
  <c r="J154" i="7"/>
  <c r="J106" i="7"/>
  <c r="J58" i="7"/>
  <c r="J10" i="7"/>
  <c r="J309" i="7"/>
  <c r="J346" i="7"/>
  <c r="J470" i="6"/>
  <c r="J400" i="6"/>
  <c r="J352" i="6"/>
  <c r="J304" i="6"/>
  <c r="J256" i="6"/>
  <c r="J208" i="6"/>
  <c r="J160" i="6"/>
  <c r="J112" i="6"/>
  <c r="J64" i="6"/>
  <c r="J16" i="6"/>
  <c r="J492" i="6"/>
  <c r="J430" i="6"/>
  <c r="J342" i="6"/>
  <c r="J294" i="6"/>
  <c r="J246" i="6"/>
  <c r="J198" i="6"/>
  <c r="J150" i="6"/>
  <c r="J102" i="6"/>
  <c r="J54" i="6"/>
  <c r="J6" i="6"/>
  <c r="J399" i="8"/>
  <c r="J384" i="8"/>
  <c r="J297" i="8"/>
  <c r="J386" i="7"/>
  <c r="J360" i="7"/>
  <c r="J484" i="7"/>
  <c r="J318" i="7"/>
  <c r="J290" i="7"/>
  <c r="J206" i="7"/>
  <c r="J150" i="7"/>
  <c r="J102" i="7"/>
  <c r="J54" i="7"/>
  <c r="J6" i="7"/>
  <c r="J502" i="7"/>
  <c r="J436" i="7"/>
  <c r="J450" i="7"/>
  <c r="J470" i="7"/>
  <c r="J448" i="7"/>
  <c r="J378" i="7"/>
  <c r="J289" i="7"/>
  <c r="J273" i="7"/>
  <c r="J474" i="7"/>
  <c r="J199" i="7"/>
  <c r="J238" i="7"/>
  <c r="J444" i="7"/>
  <c r="J458" i="7"/>
  <c r="J456" i="7"/>
  <c r="J262" i="7"/>
  <c r="J271" i="7"/>
  <c r="J313" i="7"/>
  <c r="J288" i="7"/>
  <c r="J213" i="7"/>
  <c r="J396" i="7"/>
  <c r="J460" i="7"/>
  <c r="J121" i="7"/>
  <c r="J208" i="7"/>
  <c r="J205" i="7"/>
  <c r="J280" i="7"/>
  <c r="J211" i="7"/>
  <c r="J287" i="7"/>
  <c r="J354" i="7"/>
  <c r="J161" i="7"/>
  <c r="J136" i="7"/>
  <c r="J224" i="7"/>
  <c r="J324" i="7"/>
  <c r="J221" i="7"/>
  <c r="J246" i="7"/>
  <c r="J229" i="7"/>
  <c r="J468" i="7"/>
  <c r="J492" i="7"/>
  <c r="J245" i="7"/>
  <c r="J410" i="7"/>
  <c r="J408" i="7"/>
  <c r="J476" i="7"/>
  <c r="J67" i="7"/>
  <c r="J198" i="7"/>
  <c r="J165" i="7"/>
  <c r="J252" i="7"/>
  <c r="J257" i="7"/>
  <c r="J275" i="7"/>
  <c r="J272" i="7"/>
  <c r="J412" i="7"/>
  <c r="J466" i="7"/>
  <c r="J426" i="7"/>
  <c r="J424" i="7"/>
  <c r="J486" i="7"/>
  <c r="J80" i="7"/>
  <c r="J335" i="7"/>
  <c r="J85" i="7"/>
  <c r="J65" i="7"/>
  <c r="J191" i="7"/>
  <c r="J446" i="7"/>
  <c r="J243" i="7"/>
  <c r="J268" i="7"/>
  <c r="J282" i="7"/>
  <c r="J214" i="7"/>
  <c r="J264" i="7"/>
  <c r="J312" i="7"/>
  <c r="J454" i="7"/>
  <c r="J258" i="7"/>
  <c r="J281" i="7"/>
  <c r="J430" i="7"/>
  <c r="J480" i="7"/>
  <c r="J428" i="7"/>
  <c r="J496" i="7"/>
  <c r="J204" i="7"/>
  <c r="J232" i="7"/>
  <c r="J125" i="7"/>
  <c r="J396" i="6"/>
  <c r="J348" i="6"/>
  <c r="J300" i="6"/>
  <c r="J252" i="6"/>
  <c r="J204" i="6"/>
  <c r="J156" i="6"/>
  <c r="J108" i="6"/>
  <c r="J60" i="6"/>
  <c r="J12" i="6"/>
  <c r="J482" i="6"/>
  <c r="J426" i="6"/>
  <c r="J338" i="6"/>
  <c r="J290" i="6"/>
  <c r="J242" i="6"/>
  <c r="J194" i="6"/>
  <c r="J146" i="6"/>
  <c r="J98" i="6"/>
  <c r="J50" i="6"/>
  <c r="J65" i="6"/>
  <c r="J286" i="7"/>
  <c r="J234" i="7"/>
  <c r="J75" i="7"/>
  <c r="J95" i="7"/>
  <c r="J355" i="7"/>
  <c r="J242" i="7"/>
  <c r="J105" i="7"/>
  <c r="J179" i="7"/>
  <c r="J52" i="7"/>
  <c r="J175" i="7"/>
  <c r="J31" i="7"/>
  <c r="J107" i="7"/>
  <c r="J104" i="7"/>
  <c r="J177" i="7"/>
  <c r="J53" i="7"/>
  <c r="J48" i="7"/>
  <c r="J115" i="7"/>
  <c r="J140" i="7"/>
  <c r="J389" i="6"/>
  <c r="J285" i="6"/>
  <c r="J331" i="6"/>
  <c r="J165" i="6"/>
  <c r="J21" i="6"/>
  <c r="J327" i="6"/>
  <c r="J241" i="6"/>
  <c r="J97" i="6"/>
  <c r="J361" i="6"/>
  <c r="J473" i="6"/>
  <c r="J454" i="6"/>
  <c r="J333" i="6"/>
  <c r="J477" i="6"/>
  <c r="J201" i="6"/>
  <c r="J57" i="6"/>
  <c r="J387" i="6"/>
  <c r="J229" i="6"/>
  <c r="J85" i="6"/>
  <c r="J349" i="6"/>
  <c r="J87" i="6"/>
  <c r="J3" i="6"/>
  <c r="J59" i="6"/>
  <c r="J233" i="6"/>
  <c r="J167" i="6"/>
  <c r="J207" i="7"/>
  <c r="J216" i="7"/>
  <c r="J172" i="7"/>
  <c r="J168" i="7"/>
  <c r="J11" i="7"/>
  <c r="J171" i="7"/>
  <c r="J21" i="7"/>
  <c r="J363" i="7"/>
  <c r="J28" i="7"/>
  <c r="J192" i="7"/>
  <c r="J93" i="7"/>
  <c r="J277" i="6"/>
  <c r="J26" i="6"/>
  <c r="J307" i="6"/>
  <c r="J4" i="6"/>
  <c r="J317" i="6"/>
  <c r="J30" i="6"/>
  <c r="J459" i="6"/>
  <c r="J197" i="6"/>
  <c r="J53" i="6"/>
  <c r="J463" i="6"/>
  <c r="J377" i="6"/>
  <c r="J393" i="6"/>
  <c r="J83" i="6"/>
  <c r="J7" i="6"/>
  <c r="J311" i="6"/>
  <c r="J199" i="6"/>
  <c r="J195" i="6"/>
  <c r="J187" i="6"/>
  <c r="J175" i="6"/>
  <c r="J137" i="6"/>
  <c r="J406" i="7"/>
  <c r="J414" i="7"/>
  <c r="J184" i="7"/>
  <c r="J40" i="7"/>
  <c r="J60" i="7"/>
  <c r="J202" i="7"/>
  <c r="J153" i="7"/>
  <c r="J39" i="7"/>
  <c r="J149" i="7"/>
  <c r="J164" i="7"/>
  <c r="J99" i="7"/>
  <c r="J84" i="7"/>
  <c r="J91" i="7"/>
  <c r="J155" i="7"/>
  <c r="J173" i="7"/>
  <c r="J35" i="7"/>
  <c r="J20" i="7"/>
  <c r="J439" i="6"/>
  <c r="J369" i="6"/>
  <c r="J270" i="6"/>
  <c r="J2" i="6"/>
  <c r="J141" i="6"/>
  <c r="J497" i="6"/>
  <c r="J314" i="6"/>
  <c r="J295" i="6"/>
  <c r="J217" i="6"/>
  <c r="J73" i="6"/>
  <c r="J423" i="6"/>
  <c r="J177" i="6"/>
  <c r="J33" i="6"/>
  <c r="J374" i="6"/>
  <c r="J363" i="6"/>
  <c r="J205" i="6"/>
  <c r="J61" i="6"/>
  <c r="J19" i="6"/>
  <c r="J253" i="6"/>
  <c r="J437" i="6"/>
  <c r="J191" i="6"/>
  <c r="J183" i="6"/>
  <c r="J99" i="6"/>
  <c r="J50" i="7"/>
  <c r="J29" i="7"/>
  <c r="J145" i="7"/>
  <c r="J89" i="7"/>
  <c r="J81" i="7"/>
  <c r="J148" i="7"/>
  <c r="J15" i="7"/>
  <c r="J25" i="7"/>
  <c r="J452" i="6"/>
  <c r="J366" i="6"/>
  <c r="J465" i="6"/>
  <c r="J427" i="6"/>
  <c r="J301" i="6"/>
  <c r="J479" i="6"/>
  <c r="J337" i="6"/>
  <c r="J407" i="6"/>
  <c r="J173" i="6"/>
  <c r="J29" i="6"/>
  <c r="J309" i="6"/>
  <c r="J339" i="6"/>
  <c r="J325" i="6"/>
  <c r="J15" i="6"/>
  <c r="J219" i="6"/>
  <c r="J399" i="6"/>
  <c r="J127" i="6"/>
  <c r="J161" i="6"/>
  <c r="J179" i="6"/>
  <c r="J103" i="6"/>
  <c r="J95" i="6"/>
  <c r="J422" i="7"/>
  <c r="J27" i="7"/>
  <c r="J187" i="7"/>
  <c r="J47" i="7"/>
  <c r="J194" i="7"/>
  <c r="J57" i="7"/>
  <c r="J131" i="7"/>
  <c r="J4" i="7"/>
  <c r="J127" i="7"/>
  <c r="J189" i="7"/>
  <c r="J64" i="7"/>
  <c r="J303" i="7"/>
  <c r="J71" i="7"/>
  <c r="J56" i="7"/>
  <c r="J129" i="7"/>
  <c r="J5" i="7"/>
  <c r="J151" i="7"/>
  <c r="J117" i="6"/>
  <c r="J411" i="6"/>
  <c r="J287" i="6"/>
  <c r="J193" i="6"/>
  <c r="J49" i="6"/>
  <c r="J391" i="6"/>
  <c r="J297" i="6"/>
  <c r="J273" i="6"/>
  <c r="J153" i="6"/>
  <c r="J9" i="6"/>
  <c r="J353" i="6"/>
  <c r="J315" i="6"/>
  <c r="J181" i="6"/>
  <c r="J37" i="6"/>
  <c r="J11" i="6"/>
  <c r="J215" i="6"/>
  <c r="J211" i="6"/>
  <c r="J123" i="6"/>
  <c r="J115" i="6"/>
  <c r="J237" i="7"/>
  <c r="J240" i="7"/>
  <c r="J143" i="7"/>
  <c r="J17" i="7"/>
  <c r="J180" i="7"/>
  <c r="J37" i="7"/>
  <c r="J183" i="7"/>
  <c r="J32" i="7"/>
  <c r="J124" i="7"/>
  <c r="J123" i="7"/>
  <c r="J343" i="7"/>
  <c r="J61" i="7"/>
  <c r="J181" i="7"/>
  <c r="J144" i="7"/>
  <c r="J438" i="6"/>
  <c r="J489" i="6"/>
  <c r="J429" i="6"/>
  <c r="J425" i="6"/>
  <c r="J421" i="6"/>
  <c r="J417" i="6"/>
  <c r="J413" i="6"/>
  <c r="J409" i="6"/>
  <c r="J405" i="6"/>
  <c r="J443" i="6"/>
  <c r="J503" i="6"/>
  <c r="J444" i="6"/>
  <c r="J434" i="6"/>
  <c r="J267" i="6"/>
  <c r="J255" i="6"/>
  <c r="J271" i="6"/>
  <c r="J259" i="6"/>
  <c r="J495" i="6"/>
  <c r="J275" i="6"/>
  <c r="J263" i="6"/>
  <c r="J251" i="6"/>
  <c r="J345" i="6"/>
  <c r="J218" i="6"/>
  <c r="J395" i="6"/>
  <c r="J222" i="6"/>
  <c r="J371" i="6"/>
  <c r="J149" i="6"/>
  <c r="J5" i="6"/>
  <c r="J397" i="6"/>
  <c r="J289" i="6"/>
  <c r="J299" i="6"/>
  <c r="J235" i="6"/>
  <c r="J335" i="6"/>
  <c r="J185" i="6"/>
  <c r="J207" i="6"/>
  <c r="J55" i="6"/>
  <c r="J119" i="6"/>
  <c r="J111" i="6"/>
  <c r="J31" i="6"/>
  <c r="J27" i="6"/>
  <c r="J12" i="7"/>
  <c r="J176" i="7"/>
  <c r="J117" i="7"/>
  <c r="J97" i="7"/>
  <c r="J92" i="7"/>
  <c r="J167" i="7"/>
  <c r="J51" i="7"/>
  <c r="J218" i="7"/>
  <c r="J36" i="7"/>
  <c r="J43" i="7"/>
  <c r="J116" i="7"/>
  <c r="J442" i="6"/>
  <c r="J237" i="6"/>
  <c r="J93" i="6"/>
  <c r="J469" i="6"/>
  <c r="J279" i="6"/>
  <c r="J169" i="6"/>
  <c r="J25" i="6"/>
  <c r="J313" i="6"/>
  <c r="J347" i="6"/>
  <c r="J381" i="6"/>
  <c r="J281" i="6"/>
  <c r="J261" i="6"/>
  <c r="J129" i="6"/>
  <c r="J157" i="6"/>
  <c r="J13" i="6"/>
  <c r="J305" i="6"/>
  <c r="J231" i="6"/>
  <c r="J265" i="6"/>
  <c r="J147" i="6"/>
  <c r="J203" i="6"/>
  <c r="J89" i="6"/>
  <c r="J107" i="6"/>
  <c r="J23" i="6"/>
  <c r="J239" i="7"/>
  <c r="J381" i="7"/>
  <c r="J241" i="7"/>
  <c r="J225" i="7"/>
  <c r="J209" i="7"/>
  <c r="J197" i="7"/>
  <c r="J339" i="7"/>
  <c r="J351" i="7"/>
  <c r="J2" i="7"/>
  <c r="J157" i="7"/>
  <c r="J19" i="7"/>
  <c r="J108" i="7"/>
  <c r="J72" i="7"/>
  <c r="J359" i="7"/>
  <c r="J160" i="7"/>
  <c r="J41" i="7"/>
  <c r="J185" i="7"/>
  <c r="J159" i="7"/>
  <c r="J33" i="7"/>
  <c r="J109" i="7"/>
  <c r="J323" i="7"/>
  <c r="J188" i="7"/>
  <c r="J170" i="6"/>
  <c r="J402" i="6"/>
  <c r="J365" i="6"/>
  <c r="J174" i="6"/>
  <c r="J451" i="6"/>
  <c r="J323" i="6"/>
  <c r="J125" i="6"/>
  <c r="J378" i="6"/>
  <c r="J394" i="6"/>
  <c r="J329" i="6"/>
  <c r="J291" i="6"/>
  <c r="J390" i="6"/>
  <c r="J227" i="6"/>
  <c r="J223" i="6"/>
  <c r="J143" i="6"/>
  <c r="J139" i="6"/>
  <c r="J51" i="6"/>
  <c r="J43" i="6"/>
  <c r="J499" i="6"/>
  <c r="J359" i="6"/>
  <c r="J251" i="7"/>
  <c r="J195" i="7"/>
  <c r="J112" i="7"/>
  <c r="J371" i="7"/>
  <c r="J139" i="7"/>
  <c r="J311" i="7"/>
  <c r="J9" i="7"/>
  <c r="J100" i="7"/>
  <c r="J375" i="7"/>
  <c r="J319" i="7"/>
  <c r="J79" i="7"/>
  <c r="J141" i="7"/>
  <c r="J16" i="7"/>
  <c r="J23" i="7"/>
  <c r="J152" i="7"/>
  <c r="J8" i="7"/>
  <c r="J101" i="7"/>
  <c r="J327" i="7"/>
  <c r="J96" i="7"/>
  <c r="J68" i="7"/>
  <c r="J321" i="6"/>
  <c r="J213" i="6"/>
  <c r="J69" i="6"/>
  <c r="J362" i="6"/>
  <c r="J401" i="6"/>
  <c r="J269" i="6"/>
  <c r="J145" i="6"/>
  <c r="J398" i="6"/>
  <c r="J303" i="6"/>
  <c r="J249" i="6"/>
  <c r="J105" i="6"/>
  <c r="J481" i="6"/>
  <c r="J133" i="6"/>
  <c r="J163" i="6"/>
  <c r="J113" i="6"/>
  <c r="J135" i="6"/>
  <c r="J47" i="6"/>
  <c r="J39" i="6"/>
  <c r="J243" i="6"/>
  <c r="J415" i="6"/>
  <c r="J247" i="7"/>
  <c r="J230" i="7"/>
  <c r="J331" i="7"/>
  <c r="J132" i="7"/>
  <c r="J135" i="7"/>
  <c r="J315" i="7"/>
  <c r="J59" i="7"/>
  <c r="J295" i="7"/>
  <c r="J69" i="7"/>
  <c r="J299" i="7"/>
  <c r="J163" i="7"/>
  <c r="J13" i="7"/>
  <c r="J133" i="7"/>
  <c r="J347" i="7"/>
  <c r="J76" i="7"/>
  <c r="J307" i="7"/>
  <c r="J45" i="7"/>
  <c r="J7" i="7"/>
  <c r="J367" i="7"/>
  <c r="J493" i="6"/>
  <c r="J318" i="6"/>
  <c r="J122" i="6"/>
  <c r="J386" i="6"/>
  <c r="J126" i="6"/>
  <c r="J385" i="6"/>
  <c r="J245" i="6"/>
  <c r="J101" i="6"/>
  <c r="J357" i="6"/>
  <c r="J367" i="6"/>
  <c r="J283" i="6"/>
  <c r="J373" i="6"/>
  <c r="J159" i="6"/>
  <c r="J151" i="6"/>
  <c r="J75" i="6"/>
  <c r="J131" i="6"/>
  <c r="J17" i="6"/>
  <c r="J35" i="6"/>
  <c r="J239" i="6"/>
  <c r="J283" i="7"/>
  <c r="J223" i="7"/>
  <c r="J296" i="7"/>
  <c r="J291" i="7"/>
  <c r="J88" i="7"/>
  <c r="J128" i="7"/>
  <c r="J87" i="7"/>
  <c r="J49" i="7"/>
  <c r="J201" i="7"/>
  <c r="J44" i="7"/>
  <c r="J120" i="7"/>
  <c r="J3" i="7"/>
  <c r="J156" i="7"/>
  <c r="J217" i="7"/>
  <c r="J83" i="7"/>
  <c r="J147" i="7"/>
  <c r="J475" i="6"/>
  <c r="J379" i="6"/>
  <c r="J189" i="6"/>
  <c r="J45" i="6"/>
  <c r="J341" i="6"/>
  <c r="J375" i="6"/>
  <c r="J257" i="6"/>
  <c r="J121" i="6"/>
  <c r="J382" i="6"/>
  <c r="J487" i="6"/>
  <c r="J343" i="6"/>
  <c r="J225" i="6"/>
  <c r="J81" i="6"/>
  <c r="J419" i="6"/>
  <c r="J109" i="6"/>
  <c r="J485" i="6"/>
  <c r="J370" i="6"/>
  <c r="J155" i="6"/>
  <c r="J71" i="6"/>
  <c r="J67" i="6"/>
  <c r="J431" i="6"/>
  <c r="J471" i="6"/>
  <c r="J383" i="6"/>
  <c r="J209" i="6"/>
  <c r="J231" i="7"/>
  <c r="J438" i="7"/>
  <c r="J462" i="7"/>
  <c r="J111" i="7"/>
  <c r="J233" i="7"/>
  <c r="J77" i="7"/>
  <c r="J210" i="7"/>
  <c r="J24" i="7"/>
  <c r="J193" i="7"/>
  <c r="J113" i="7"/>
  <c r="J137" i="7"/>
  <c r="J119" i="7"/>
  <c r="J226" i="7"/>
  <c r="J63" i="7"/>
  <c r="J200" i="7"/>
  <c r="J73" i="7"/>
  <c r="J169" i="7"/>
  <c r="J55" i="7"/>
  <c r="J103" i="7"/>
  <c r="J455" i="6"/>
  <c r="J461" i="6"/>
  <c r="J293" i="6"/>
  <c r="J355" i="6"/>
  <c r="J351" i="6"/>
  <c r="J501" i="6"/>
  <c r="J483" i="6"/>
  <c r="J221" i="6"/>
  <c r="J77" i="6"/>
  <c r="J491" i="6"/>
  <c r="J319" i="6"/>
  <c r="J403" i="6"/>
  <c r="J453" i="6"/>
  <c r="J467" i="6"/>
  <c r="J91" i="6"/>
  <c r="J79" i="6"/>
  <c r="J41" i="6"/>
  <c r="J63" i="6"/>
  <c r="J247" i="6"/>
  <c r="J171" i="6"/>
  <c r="N59" i="3"/>
  <c r="N60" i="3"/>
  <c r="N57" i="3"/>
  <c r="N49" i="3"/>
  <c r="N51" i="3"/>
  <c r="N42" i="3"/>
  <c r="N38" i="3"/>
  <c r="N35" i="3"/>
  <c r="N32" i="3"/>
  <c r="N29" i="3"/>
  <c r="N26" i="3"/>
  <c r="N23" i="3"/>
  <c r="N20" i="3"/>
  <c r="N17" i="3"/>
  <c r="N14" i="3"/>
  <c r="N11" i="3"/>
  <c r="N8" i="3"/>
  <c r="N5" i="3"/>
  <c r="N2" i="3"/>
  <c r="N53" i="3"/>
  <c r="N44" i="3"/>
  <c r="N61" i="3"/>
  <c r="N55" i="3"/>
  <c r="N46" i="3"/>
  <c r="N48" i="3"/>
  <c r="N39" i="3"/>
  <c r="N36" i="3"/>
  <c r="N33" i="3"/>
  <c r="N30" i="3"/>
  <c r="N27" i="3"/>
  <c r="N24" i="3"/>
  <c r="N21" i="3"/>
  <c r="N18" i="3"/>
  <c r="N15" i="3"/>
  <c r="N12" i="3"/>
  <c r="N9" i="3"/>
  <c r="N6" i="3"/>
  <c r="N3" i="3"/>
  <c r="N50" i="3"/>
  <c r="N41" i="3"/>
  <c r="N52" i="3"/>
  <c r="N43" i="3"/>
  <c r="N54" i="3"/>
  <c r="N45" i="3"/>
  <c r="N40" i="3"/>
  <c r="N37" i="3"/>
  <c r="N34" i="3"/>
  <c r="N31" i="3"/>
  <c r="N28" i="3"/>
  <c r="N25" i="3"/>
  <c r="N22" i="3"/>
  <c r="N19" i="3"/>
  <c r="N16" i="3"/>
  <c r="N13" i="3"/>
  <c r="N10" i="3"/>
  <c r="N7" i="3"/>
  <c r="N4" i="3"/>
  <c r="N58" i="3"/>
  <c r="N47" i="3"/>
  <c r="N56" i="3"/>
  <c r="X22" i="3" l="1"/>
  <c r="V22" i="3"/>
  <c r="AR22" i="3"/>
  <c r="T22" i="3"/>
  <c r="S22" i="3"/>
  <c r="AD22" i="3"/>
  <c r="AI22" i="3" s="1"/>
  <c r="R22" i="3"/>
  <c r="AO22" i="3"/>
  <c r="AC22" i="3"/>
  <c r="AH22" i="3" s="1"/>
  <c r="AM22" i="3" s="1"/>
  <c r="Q22" i="3"/>
  <c r="AN22" i="3"/>
  <c r="AB22" i="3"/>
  <c r="AG22" i="3" s="1"/>
  <c r="AL22" i="3" s="1"/>
  <c r="P22" i="3"/>
  <c r="AA22" i="3"/>
  <c r="AF22" i="3" s="1"/>
  <c r="AK22" i="3" s="1"/>
  <c r="O22" i="3"/>
  <c r="Z22" i="3"/>
  <c r="AE22" i="3" s="1"/>
  <c r="AJ22" i="3" s="1"/>
  <c r="Y22" i="3"/>
  <c r="W22" i="3"/>
  <c r="U22" i="3"/>
  <c r="Y43" i="3"/>
  <c r="AD43" i="3" s="1"/>
  <c r="AI43" i="3" s="1"/>
  <c r="X43" i="3"/>
  <c r="S43" i="3"/>
  <c r="AA43" i="3"/>
  <c r="AF43" i="3" s="1"/>
  <c r="AK43" i="3" s="1"/>
  <c r="O43" i="3"/>
  <c r="AB43" i="3"/>
  <c r="AG43" i="3" s="1"/>
  <c r="AL43" i="3" s="1"/>
  <c r="AR43" i="3"/>
  <c r="Z43" i="3"/>
  <c r="AE43" i="3" s="1"/>
  <c r="AJ43" i="3" s="1"/>
  <c r="W43" i="3"/>
  <c r="AO43" i="3"/>
  <c r="V43" i="3"/>
  <c r="AN43" i="3"/>
  <c r="U43" i="3"/>
  <c r="T43" i="3"/>
  <c r="R43" i="3"/>
  <c r="Q43" i="3"/>
  <c r="P43" i="3"/>
  <c r="AC43" i="3"/>
  <c r="AH43" i="3" s="1"/>
  <c r="AM43" i="3" s="1"/>
  <c r="AR27" i="3"/>
  <c r="T27" i="3"/>
  <c r="R27" i="3"/>
  <c r="AO27" i="3"/>
  <c r="AC27" i="3"/>
  <c r="AH27" i="3" s="1"/>
  <c r="AM27" i="3" s="1"/>
  <c r="Q27" i="3"/>
  <c r="AN27" i="3"/>
  <c r="AB27" i="3"/>
  <c r="AG27" i="3" s="1"/>
  <c r="AL27" i="3" s="1"/>
  <c r="P27" i="3"/>
  <c r="AA27" i="3"/>
  <c r="AF27" i="3" s="1"/>
  <c r="AK27" i="3" s="1"/>
  <c r="O27" i="3"/>
  <c r="Z27" i="3"/>
  <c r="Y27" i="3"/>
  <c r="AD27" i="3" s="1"/>
  <c r="AI27" i="3" s="1"/>
  <c r="X27" i="3"/>
  <c r="W27" i="3"/>
  <c r="V27" i="3"/>
  <c r="S27" i="3"/>
  <c r="AE27" i="3"/>
  <c r="AJ27" i="3" s="1"/>
  <c r="U27" i="3"/>
  <c r="P5" i="3"/>
  <c r="V5" i="3" s="1"/>
  <c r="T5" i="3"/>
  <c r="S5" i="3"/>
  <c r="U5" i="3" s="1"/>
  <c r="Q5" i="3"/>
  <c r="O5" i="3"/>
  <c r="Z5" i="3" s="1"/>
  <c r="AE5" i="3" s="1"/>
  <c r="AJ5" i="3" s="1"/>
  <c r="U42" i="3"/>
  <c r="AR42" i="3"/>
  <c r="T42" i="3"/>
  <c r="AA42" i="3"/>
  <c r="AF42" i="3" s="1"/>
  <c r="AK42" i="3" s="1"/>
  <c r="O42" i="3"/>
  <c r="W42" i="3"/>
  <c r="Q42" i="3"/>
  <c r="P42" i="3"/>
  <c r="AC42" i="3"/>
  <c r="AH42" i="3" s="1"/>
  <c r="AM42" i="3" s="1"/>
  <c r="AB42" i="3"/>
  <c r="AG42" i="3" s="1"/>
  <c r="AL42" i="3" s="1"/>
  <c r="Z42" i="3"/>
  <c r="AE42" i="3" s="1"/>
  <c r="AJ42" i="3" s="1"/>
  <c r="Y42" i="3"/>
  <c r="AD42" i="3" s="1"/>
  <c r="AI42" i="3" s="1"/>
  <c r="AO42" i="3"/>
  <c r="X42" i="3"/>
  <c r="AN42" i="3"/>
  <c r="V42" i="3"/>
  <c r="S42" i="3"/>
  <c r="R42" i="3"/>
  <c r="T13" i="3"/>
  <c r="Q13" i="3"/>
  <c r="P13" i="3"/>
  <c r="O13" i="3"/>
  <c r="Z13" i="3" s="1"/>
  <c r="AE13" i="3" s="1"/>
  <c r="AJ13" i="3" s="1"/>
  <c r="S13" i="3"/>
  <c r="T16" i="3"/>
  <c r="Q16" i="3"/>
  <c r="P16" i="3"/>
  <c r="O16" i="3"/>
  <c r="S16" i="3"/>
  <c r="Y52" i="3"/>
  <c r="AD52" i="3" s="1"/>
  <c r="AI52" i="3" s="1"/>
  <c r="X52" i="3"/>
  <c r="S52" i="3"/>
  <c r="AA52" i="3"/>
  <c r="AF52" i="3" s="1"/>
  <c r="AK52" i="3" s="1"/>
  <c r="O52" i="3"/>
  <c r="AB52" i="3"/>
  <c r="AR52" i="3"/>
  <c r="Z52" i="3"/>
  <c r="AE52" i="3" s="1"/>
  <c r="AJ52" i="3" s="1"/>
  <c r="W52" i="3"/>
  <c r="AO52" i="3"/>
  <c r="V52" i="3"/>
  <c r="AN52" i="3"/>
  <c r="U52" i="3"/>
  <c r="T52" i="3"/>
  <c r="R52" i="3"/>
  <c r="Q52" i="3"/>
  <c r="AG52" i="3"/>
  <c r="AL52" i="3" s="1"/>
  <c r="P52" i="3"/>
  <c r="AC52" i="3"/>
  <c r="AH52" i="3" s="1"/>
  <c r="AM52" i="3" s="1"/>
  <c r="AR30" i="3"/>
  <c r="AF30" i="3"/>
  <c r="AK30" i="3" s="1"/>
  <c r="T30" i="3"/>
  <c r="R30" i="3"/>
  <c r="AO30" i="3"/>
  <c r="AC30" i="3"/>
  <c r="AH30" i="3" s="1"/>
  <c r="AM30" i="3" s="1"/>
  <c r="Q30" i="3"/>
  <c r="AN30" i="3"/>
  <c r="AB30" i="3"/>
  <c r="AG30" i="3" s="1"/>
  <c r="AL30" i="3" s="1"/>
  <c r="P30" i="3"/>
  <c r="AA30" i="3"/>
  <c r="O30" i="3"/>
  <c r="Z30" i="3"/>
  <c r="AE30" i="3" s="1"/>
  <c r="AJ30" i="3" s="1"/>
  <c r="Y30" i="3"/>
  <c r="AD30" i="3" s="1"/>
  <c r="AI30" i="3" s="1"/>
  <c r="X30" i="3"/>
  <c r="W30" i="3"/>
  <c r="V30" i="3"/>
  <c r="U30" i="3"/>
  <c r="S30" i="3"/>
  <c r="P8" i="3"/>
  <c r="T8" i="3"/>
  <c r="S8" i="3"/>
  <c r="Q8" i="3"/>
  <c r="O8" i="3"/>
  <c r="U51" i="3"/>
  <c r="AR51" i="3"/>
  <c r="T51" i="3"/>
  <c r="AA51" i="3"/>
  <c r="AF51" i="3" s="1"/>
  <c r="AK51" i="3" s="1"/>
  <c r="O51" i="3"/>
  <c r="W51" i="3"/>
  <c r="Q51" i="3"/>
  <c r="P51" i="3"/>
  <c r="AC51" i="3"/>
  <c r="AH51" i="3" s="1"/>
  <c r="AM51" i="3" s="1"/>
  <c r="AB51" i="3"/>
  <c r="AG51" i="3" s="1"/>
  <c r="AL51" i="3" s="1"/>
  <c r="Z51" i="3"/>
  <c r="AE51" i="3" s="1"/>
  <c r="AJ51" i="3" s="1"/>
  <c r="Y51" i="3"/>
  <c r="AD51" i="3" s="1"/>
  <c r="AI51" i="3" s="1"/>
  <c r="AO51" i="3"/>
  <c r="X51" i="3"/>
  <c r="AN51" i="3"/>
  <c r="V51" i="3"/>
  <c r="S51" i="3"/>
  <c r="R51" i="3"/>
  <c r="AO41" i="3"/>
  <c r="AC41" i="3"/>
  <c r="Q41" i="3"/>
  <c r="AN41" i="3"/>
  <c r="AB41" i="3"/>
  <c r="AG41" i="3" s="1"/>
  <c r="AL41" i="3" s="1"/>
  <c r="W41" i="3"/>
  <c r="S41" i="3"/>
  <c r="AR41" i="3"/>
  <c r="Y41" i="3"/>
  <c r="AD41" i="3" s="1"/>
  <c r="AI41" i="3" s="1"/>
  <c r="X41" i="3"/>
  <c r="V41" i="3"/>
  <c r="U41" i="3"/>
  <c r="T41" i="3"/>
  <c r="R41" i="3"/>
  <c r="AH41" i="3"/>
  <c r="AM41" i="3" s="1"/>
  <c r="P41" i="3"/>
  <c r="O41" i="3"/>
  <c r="AA41" i="3"/>
  <c r="AF41" i="3" s="1"/>
  <c r="AK41" i="3" s="1"/>
  <c r="Z41" i="3"/>
  <c r="AE41" i="3" s="1"/>
  <c r="AJ41" i="3" s="1"/>
  <c r="AR33" i="3"/>
  <c r="T33" i="3"/>
  <c r="S33" i="3"/>
  <c r="R33" i="3"/>
  <c r="AO33" i="3"/>
  <c r="AC33" i="3"/>
  <c r="Q33" i="3"/>
  <c r="AN33" i="3"/>
  <c r="AB33" i="3"/>
  <c r="AG33" i="3" s="1"/>
  <c r="AL33" i="3" s="1"/>
  <c r="P33" i="3"/>
  <c r="AA33" i="3"/>
  <c r="AF33" i="3" s="1"/>
  <c r="AK33" i="3" s="1"/>
  <c r="O33" i="3"/>
  <c r="Z33" i="3"/>
  <c r="AE33" i="3" s="1"/>
  <c r="AJ33" i="3" s="1"/>
  <c r="Y33" i="3"/>
  <c r="AD33" i="3" s="1"/>
  <c r="AI33" i="3" s="1"/>
  <c r="X33" i="3"/>
  <c r="W33" i="3"/>
  <c r="AH33" i="3"/>
  <c r="AM33" i="3" s="1"/>
  <c r="V33" i="3"/>
  <c r="U33" i="3"/>
  <c r="P11" i="3"/>
  <c r="T11" i="3"/>
  <c r="S11" i="3"/>
  <c r="Q11" i="3"/>
  <c r="O11" i="3"/>
  <c r="AB11" i="3" s="1"/>
  <c r="AG11" i="3" s="1"/>
  <c r="AL11" i="3" s="1"/>
  <c r="Y49" i="3"/>
  <c r="AD49" i="3" s="1"/>
  <c r="AI49" i="3" s="1"/>
  <c r="X49" i="3"/>
  <c r="S49" i="3"/>
  <c r="AA49" i="3"/>
  <c r="AF49" i="3" s="1"/>
  <c r="AK49" i="3" s="1"/>
  <c r="O49" i="3"/>
  <c r="P49" i="3"/>
  <c r="AC49" i="3"/>
  <c r="AH49" i="3" s="1"/>
  <c r="AM49" i="3" s="1"/>
  <c r="AB49" i="3"/>
  <c r="AG49" i="3" s="1"/>
  <c r="AL49" i="3" s="1"/>
  <c r="AR49" i="3"/>
  <c r="Z49" i="3"/>
  <c r="AE49" i="3" s="1"/>
  <c r="AJ49" i="3" s="1"/>
  <c r="W49" i="3"/>
  <c r="AO49" i="3"/>
  <c r="V49" i="3"/>
  <c r="AN49" i="3"/>
  <c r="U49" i="3"/>
  <c r="T49" i="3"/>
  <c r="R49" i="3"/>
  <c r="Q49" i="3"/>
  <c r="AO50" i="3"/>
  <c r="AC50" i="3"/>
  <c r="AH50" i="3" s="1"/>
  <c r="AM50" i="3" s="1"/>
  <c r="Q50" i="3"/>
  <c r="AN50" i="3"/>
  <c r="AB50" i="3"/>
  <c r="AG50" i="3" s="1"/>
  <c r="AL50" i="3" s="1"/>
  <c r="P50" i="3"/>
  <c r="W50" i="3"/>
  <c r="S50" i="3"/>
  <c r="AR50" i="3"/>
  <c r="Y50" i="3"/>
  <c r="AD50" i="3" s="1"/>
  <c r="AI50" i="3" s="1"/>
  <c r="X50" i="3"/>
  <c r="V50" i="3"/>
  <c r="U50" i="3"/>
  <c r="T50" i="3"/>
  <c r="R50" i="3"/>
  <c r="O50" i="3"/>
  <c r="AF50" i="3"/>
  <c r="AK50" i="3" s="1"/>
  <c r="AA50" i="3"/>
  <c r="Z50" i="3"/>
  <c r="AE50" i="3" s="1"/>
  <c r="AJ50" i="3" s="1"/>
  <c r="AR36" i="3"/>
  <c r="T36" i="3"/>
  <c r="S36" i="3"/>
  <c r="R36" i="3"/>
  <c r="AO36" i="3"/>
  <c r="AC36" i="3"/>
  <c r="AH36" i="3" s="1"/>
  <c r="AM36" i="3" s="1"/>
  <c r="Q36" i="3"/>
  <c r="AN36" i="3"/>
  <c r="AB36" i="3"/>
  <c r="AG36" i="3" s="1"/>
  <c r="AL36" i="3" s="1"/>
  <c r="P36" i="3"/>
  <c r="AA36" i="3"/>
  <c r="AF36" i="3" s="1"/>
  <c r="AK36" i="3" s="1"/>
  <c r="O36" i="3"/>
  <c r="Z36" i="3"/>
  <c r="AE36" i="3" s="1"/>
  <c r="AJ36" i="3" s="1"/>
  <c r="Y36" i="3"/>
  <c r="AD36" i="3" s="1"/>
  <c r="AI36" i="3" s="1"/>
  <c r="X36" i="3"/>
  <c r="W36" i="3"/>
  <c r="V36" i="3"/>
  <c r="U36" i="3"/>
  <c r="P14" i="3"/>
  <c r="T14" i="3"/>
  <c r="S14" i="3"/>
  <c r="U14" i="3" s="1"/>
  <c r="Q14" i="3"/>
  <c r="O14" i="3"/>
  <c r="AA14" i="3" s="1"/>
  <c r="AF14" i="3" s="1"/>
  <c r="AK14" i="3" s="1"/>
  <c r="U57" i="3"/>
  <c r="AR57" i="3"/>
  <c r="T57" i="3"/>
  <c r="AO57" i="3"/>
  <c r="AC57" i="3"/>
  <c r="AH57" i="3" s="1"/>
  <c r="AM57" i="3" s="1"/>
  <c r="Q57" i="3"/>
  <c r="AA57" i="3"/>
  <c r="AF57" i="3" s="1"/>
  <c r="AK57" i="3" s="1"/>
  <c r="O57" i="3"/>
  <c r="Z57" i="3"/>
  <c r="AE57" i="3" s="1"/>
  <c r="AJ57" i="3" s="1"/>
  <c r="W57" i="3"/>
  <c r="AB57" i="3"/>
  <c r="AG57" i="3" s="1"/>
  <c r="AL57" i="3" s="1"/>
  <c r="Y57" i="3"/>
  <c r="AD57" i="3" s="1"/>
  <c r="AI57" i="3" s="1"/>
  <c r="X57" i="3"/>
  <c r="V57" i="3"/>
  <c r="S57" i="3"/>
  <c r="R57" i="3"/>
  <c r="AN57" i="3"/>
  <c r="P57" i="3"/>
  <c r="T19" i="3"/>
  <c r="S19" i="3"/>
  <c r="Q19" i="3"/>
  <c r="AB19" i="3"/>
  <c r="AG19" i="3" s="1"/>
  <c r="AL19" i="3" s="1"/>
  <c r="P19" i="3"/>
  <c r="O19" i="3"/>
  <c r="Z19" i="3" s="1"/>
  <c r="AE19" i="3" s="1"/>
  <c r="AJ19" i="3" s="1"/>
  <c r="X25" i="3"/>
  <c r="V25" i="3"/>
  <c r="U25" i="3"/>
  <c r="AR25" i="3"/>
  <c r="T25" i="3"/>
  <c r="S25" i="3"/>
  <c r="R25" i="3"/>
  <c r="AO25" i="3"/>
  <c r="AC25" i="3"/>
  <c r="AH25" i="3" s="1"/>
  <c r="AM25" i="3" s="1"/>
  <c r="Q25" i="3"/>
  <c r="AN25" i="3"/>
  <c r="AB25" i="3"/>
  <c r="AG25" i="3" s="1"/>
  <c r="AL25" i="3" s="1"/>
  <c r="P25" i="3"/>
  <c r="AA25" i="3"/>
  <c r="AF25" i="3" s="1"/>
  <c r="AK25" i="3" s="1"/>
  <c r="O25" i="3"/>
  <c r="Z25" i="3"/>
  <c r="AE25" i="3" s="1"/>
  <c r="AJ25" i="3" s="1"/>
  <c r="Y25" i="3"/>
  <c r="AD25" i="3" s="1"/>
  <c r="AI25" i="3" s="1"/>
  <c r="W25" i="3"/>
  <c r="T3" i="3"/>
  <c r="AB3" i="3"/>
  <c r="AG3" i="3" s="1"/>
  <c r="AL3" i="3" s="1"/>
  <c r="P3" i="3"/>
  <c r="V3" i="3" s="1"/>
  <c r="Z3" i="3"/>
  <c r="AE3" i="3" s="1"/>
  <c r="AJ3" i="3" s="1"/>
  <c r="Y3" i="3"/>
  <c r="AD3" i="3" s="1"/>
  <c r="AI3" i="3" s="1"/>
  <c r="S3" i="3"/>
  <c r="Q3" i="3"/>
  <c r="O3" i="3"/>
  <c r="AA3" i="3" s="1"/>
  <c r="AF3" i="3" s="1"/>
  <c r="AK3" i="3" s="1"/>
  <c r="AR39" i="3"/>
  <c r="T39" i="3"/>
  <c r="S39" i="3"/>
  <c r="R39" i="3"/>
  <c r="AO39" i="3"/>
  <c r="AC39" i="3"/>
  <c r="AH39" i="3" s="1"/>
  <c r="AM39" i="3" s="1"/>
  <c r="Q39" i="3"/>
  <c r="AN39" i="3"/>
  <c r="AB39" i="3"/>
  <c r="AG39" i="3" s="1"/>
  <c r="AL39" i="3" s="1"/>
  <c r="P39" i="3"/>
  <c r="AA39" i="3"/>
  <c r="AF39" i="3" s="1"/>
  <c r="AK39" i="3" s="1"/>
  <c r="O39" i="3"/>
  <c r="Z39" i="3"/>
  <c r="AE39" i="3" s="1"/>
  <c r="AJ39" i="3" s="1"/>
  <c r="Y39" i="3"/>
  <c r="AD39" i="3" s="1"/>
  <c r="AI39" i="3" s="1"/>
  <c r="X39" i="3"/>
  <c r="W39" i="3"/>
  <c r="V39" i="3"/>
  <c r="U39" i="3"/>
  <c r="P17" i="3"/>
  <c r="T17" i="3"/>
  <c r="S17" i="3"/>
  <c r="Q17" i="3"/>
  <c r="O17" i="3"/>
  <c r="AB17" i="3" s="1"/>
  <c r="AG17" i="3" s="1"/>
  <c r="AL17" i="3" s="1"/>
  <c r="U60" i="3"/>
  <c r="AR60" i="3"/>
  <c r="T60" i="3"/>
  <c r="R60" i="3"/>
  <c r="AO60" i="3"/>
  <c r="AC60" i="3"/>
  <c r="AH60" i="3" s="1"/>
  <c r="AM60" i="3" s="1"/>
  <c r="Q60" i="3"/>
  <c r="AA60" i="3"/>
  <c r="AF60" i="3" s="1"/>
  <c r="AK60" i="3" s="1"/>
  <c r="O60" i="3"/>
  <c r="Z60" i="3"/>
  <c r="AE60" i="3" s="1"/>
  <c r="AJ60" i="3" s="1"/>
  <c r="W60" i="3"/>
  <c r="AB60" i="3"/>
  <c r="AG60" i="3" s="1"/>
  <c r="AL60" i="3" s="1"/>
  <c r="Y60" i="3"/>
  <c r="AD60" i="3" s="1"/>
  <c r="AI60" i="3" s="1"/>
  <c r="X60" i="3"/>
  <c r="V60" i="3"/>
  <c r="S60" i="3"/>
  <c r="P60" i="3"/>
  <c r="AN60" i="3"/>
  <c r="A1499" i="7"/>
  <c r="A1495" i="7"/>
  <c r="A1491" i="7"/>
  <c r="A1487" i="7"/>
  <c r="A1483" i="7"/>
  <c r="A1479" i="7"/>
  <c r="A1475" i="7"/>
  <c r="A1471" i="7"/>
  <c r="A1467" i="7"/>
  <c r="A1463" i="7"/>
  <c r="A1459" i="7"/>
  <c r="A1455" i="7"/>
  <c r="A1451" i="7"/>
  <c r="A1447" i="7"/>
  <c r="A1496" i="7"/>
  <c r="A1480" i="7"/>
  <c r="A1464" i="7"/>
  <c r="A1448" i="7"/>
  <c r="A1493" i="7"/>
  <c r="A1477" i="7"/>
  <c r="A1461" i="7"/>
  <c r="A1494" i="7"/>
  <c r="A1478" i="7"/>
  <c r="A1462" i="7"/>
  <c r="A1446" i="7"/>
  <c r="A1442" i="7"/>
  <c r="A1438" i="7"/>
  <c r="A1434" i="7"/>
  <c r="A1430" i="7"/>
  <c r="A1426" i="7"/>
  <c r="A1422" i="7"/>
  <c r="A1418" i="7"/>
  <c r="A1414" i="7"/>
  <c r="A1410" i="7"/>
  <c r="A1406" i="7"/>
  <c r="A1402" i="7"/>
  <c r="A1398" i="7"/>
  <c r="A1394" i="7"/>
  <c r="A1390" i="7"/>
  <c r="A1386" i="7"/>
  <c r="A1382" i="7"/>
  <c r="A1378" i="7"/>
  <c r="A1374" i="7"/>
  <c r="A1370" i="7"/>
  <c r="A1366" i="7"/>
  <c r="A1362" i="7"/>
  <c r="A1501" i="7"/>
  <c r="A1485" i="7"/>
  <c r="A1469" i="7"/>
  <c r="A1453" i="7"/>
  <c r="A1500" i="7"/>
  <c r="A1498" i="7"/>
  <c r="A1437" i="7"/>
  <c r="A1425" i="7"/>
  <c r="A1415" i="7"/>
  <c r="A1391" i="7"/>
  <c r="A1388" i="7"/>
  <c r="A1353" i="7"/>
  <c r="A1346" i="7"/>
  <c r="A1342" i="7"/>
  <c r="A1338" i="7"/>
  <c r="A1334" i="7"/>
  <c r="A1330" i="7"/>
  <c r="A1326" i="7"/>
  <c r="A1322" i="7"/>
  <c r="A1318" i="7"/>
  <c r="A1314" i="7"/>
  <c r="A1310" i="7"/>
  <c r="A1306" i="7"/>
  <c r="A1302" i="7"/>
  <c r="A1298" i="7"/>
  <c r="A1294" i="7"/>
  <c r="A1290" i="7"/>
  <c r="A1286" i="7"/>
  <c r="A1282" i="7"/>
  <c r="A1278" i="7"/>
  <c r="A1274" i="7"/>
  <c r="A1270" i="7"/>
  <c r="A1266" i="7"/>
  <c r="A1262" i="7"/>
  <c r="A1258" i="7"/>
  <c r="A1254" i="7"/>
  <c r="A1250" i="7"/>
  <c r="A1246" i="7"/>
  <c r="A1242" i="7"/>
  <c r="A1238" i="7"/>
  <c r="A1234" i="7"/>
  <c r="A1230" i="7"/>
  <c r="A1473" i="7"/>
  <c r="A1465" i="7"/>
  <c r="A1435" i="7"/>
  <c r="A1420" i="7"/>
  <c r="A1444" i="7"/>
  <c r="A1423" i="7"/>
  <c r="A1397" i="7"/>
  <c r="A1383" i="7"/>
  <c r="A1380" i="7"/>
  <c r="A1357" i="7"/>
  <c r="A1350" i="7"/>
  <c r="A1492" i="7"/>
  <c r="A1490" i="7"/>
  <c r="A1488" i="7"/>
  <c r="A1484" i="7"/>
  <c r="A1482" i="7"/>
  <c r="A1433" i="7"/>
  <c r="A1428" i="7"/>
  <c r="A1413" i="7"/>
  <c r="A1403" i="7"/>
  <c r="A1400" i="7"/>
  <c r="A1369" i="7"/>
  <c r="A1347" i="7"/>
  <c r="A1343" i="7"/>
  <c r="A1339" i="7"/>
  <c r="A1335" i="7"/>
  <c r="A1486" i="7"/>
  <c r="A1457" i="7"/>
  <c r="A1449" i="7"/>
  <c r="A1431" i="7"/>
  <c r="A1408" i="7"/>
  <c r="A1389" i="7"/>
  <c r="A1375" i="7"/>
  <c r="A1372" i="7"/>
  <c r="A1354" i="7"/>
  <c r="A1440" i="7"/>
  <c r="A1421" i="7"/>
  <c r="A1411" i="7"/>
  <c r="A1395" i="7"/>
  <c r="A1392" i="7"/>
  <c r="A1361" i="7"/>
  <c r="A1351" i="7"/>
  <c r="A1476" i="7"/>
  <c r="A1474" i="7"/>
  <c r="A1472" i="7"/>
  <c r="A1468" i="7"/>
  <c r="A1466" i="7"/>
  <c r="A1497" i="7"/>
  <c r="A1470" i="7"/>
  <c r="A1443" i="7"/>
  <c r="A1429" i="7"/>
  <c r="A1419" i="7"/>
  <c r="A1401" i="7"/>
  <c r="A1387" i="7"/>
  <c r="A1384" i="7"/>
  <c r="A1355" i="7"/>
  <c r="A1348" i="7"/>
  <c r="A1436" i="7"/>
  <c r="A1424" i="7"/>
  <c r="A1409" i="7"/>
  <c r="A1460" i="7"/>
  <c r="A1458" i="7"/>
  <c r="A1456" i="7"/>
  <c r="A1452" i="7"/>
  <c r="A1450" i="7"/>
  <c r="A1441" i="7"/>
  <c r="A1427" i="7"/>
  <c r="A1404" i="7"/>
  <c r="A1393" i="7"/>
  <c r="A1379" i="7"/>
  <c r="A1376" i="7"/>
  <c r="A1359" i="7"/>
  <c r="A1352" i="7"/>
  <c r="A1345" i="7"/>
  <c r="A1341" i="7"/>
  <c r="A1337" i="7"/>
  <c r="A1333" i="7"/>
  <c r="A1332" i="7"/>
  <c r="A1324" i="7"/>
  <c r="A1321" i="7"/>
  <c r="A1307" i="7"/>
  <c r="A1276" i="7"/>
  <c r="A1273" i="7"/>
  <c r="A1259" i="7"/>
  <c r="A1367" i="7"/>
  <c r="A1327" i="7"/>
  <c r="A1296" i="7"/>
  <c r="A1293" i="7"/>
  <c r="A1279" i="7"/>
  <c r="A1248" i="7"/>
  <c r="A1245" i="7"/>
  <c r="A1231" i="7"/>
  <c r="A1228" i="7"/>
  <c r="A1224" i="7"/>
  <c r="A1220" i="7"/>
  <c r="A1216" i="7"/>
  <c r="A1212" i="7"/>
  <c r="A1208" i="7"/>
  <c r="A1204" i="7"/>
  <c r="A1200" i="7"/>
  <c r="A1196" i="7"/>
  <c r="A1192" i="7"/>
  <c r="A1188" i="7"/>
  <c r="A1184" i="7"/>
  <c r="A1180" i="7"/>
  <c r="A1176" i="7"/>
  <c r="A1172" i="7"/>
  <c r="A1168" i="7"/>
  <c r="A1164" i="7"/>
  <c r="A1160" i="7"/>
  <c r="A1156" i="7"/>
  <c r="A1152" i="7"/>
  <c r="A1148" i="7"/>
  <c r="A1144" i="7"/>
  <c r="A1140" i="7"/>
  <c r="A1136" i="7"/>
  <c r="A1132" i="7"/>
  <c r="A1128" i="7"/>
  <c r="A1124" i="7"/>
  <c r="A1120" i="7"/>
  <c r="A1116" i="7"/>
  <c r="A1112" i="7"/>
  <c r="A1108" i="7"/>
  <c r="A1104" i="7"/>
  <c r="A1100" i="7"/>
  <c r="A1096" i="7"/>
  <c r="A1092" i="7"/>
  <c r="A1088" i="7"/>
  <c r="A1432" i="7"/>
  <c r="A1412" i="7"/>
  <c r="A1364" i="7"/>
  <c r="A1316" i="7"/>
  <c r="A1313" i="7"/>
  <c r="A1299" i="7"/>
  <c r="A1268" i="7"/>
  <c r="A1265" i="7"/>
  <c r="A1251" i="7"/>
  <c r="A1417" i="7"/>
  <c r="A1381" i="7"/>
  <c r="A1319" i="7"/>
  <c r="A1288" i="7"/>
  <c r="A1285" i="7"/>
  <c r="A1271" i="7"/>
  <c r="A1240" i="7"/>
  <c r="A1237" i="7"/>
  <c r="A1308" i="7"/>
  <c r="A1305" i="7"/>
  <c r="A1291" i="7"/>
  <c r="A1260" i="7"/>
  <c r="A1257" i="7"/>
  <c r="A1243" i="7"/>
  <c r="A1225" i="7"/>
  <c r="A1221" i="7"/>
  <c r="A1217" i="7"/>
  <c r="A1213" i="7"/>
  <c r="A1209" i="7"/>
  <c r="A1205" i="7"/>
  <c r="A1201" i="7"/>
  <c r="A1197" i="7"/>
  <c r="A1193" i="7"/>
  <c r="A1189" i="7"/>
  <c r="A1185" i="7"/>
  <c r="A1181" i="7"/>
  <c r="A1177" i="7"/>
  <c r="A1173" i="7"/>
  <c r="A1169" i="7"/>
  <c r="A1165" i="7"/>
  <c r="A1161" i="7"/>
  <c r="A1157" i="7"/>
  <c r="A1371" i="7"/>
  <c r="A1328" i="7"/>
  <c r="A1325" i="7"/>
  <c r="A1311" i="7"/>
  <c r="A1280" i="7"/>
  <c r="A1277" i="7"/>
  <c r="A1263" i="7"/>
  <c r="A1232" i="7"/>
  <c r="A1229" i="7"/>
  <c r="A1489" i="7"/>
  <c r="A1454" i="7"/>
  <c r="A1445" i="7"/>
  <c r="A1405" i="7"/>
  <c r="A1396" i="7"/>
  <c r="A1356" i="7"/>
  <c r="A1331" i="7"/>
  <c r="A1300" i="7"/>
  <c r="A1297" i="7"/>
  <c r="A1283" i="7"/>
  <c r="A1252" i="7"/>
  <c r="A1249" i="7"/>
  <c r="A1235" i="7"/>
  <c r="A1439" i="7"/>
  <c r="A1416" i="7"/>
  <c r="A1399" i="7"/>
  <c r="A1373" i="7"/>
  <c r="A1363" i="7"/>
  <c r="A1349" i="7"/>
  <c r="A1320" i="7"/>
  <c r="A1317" i="7"/>
  <c r="A1303" i="7"/>
  <c r="A1272" i="7"/>
  <c r="A1269" i="7"/>
  <c r="A1255" i="7"/>
  <c r="A1226" i="7"/>
  <c r="A1222" i="7"/>
  <c r="A1218" i="7"/>
  <c r="A1214" i="7"/>
  <c r="A1210" i="7"/>
  <c r="A1206" i="7"/>
  <c r="A1202" i="7"/>
  <c r="A1198" i="7"/>
  <c r="A1358" i="7"/>
  <c r="A1323" i="7"/>
  <c r="A1292" i="7"/>
  <c r="A1289" i="7"/>
  <c r="A1275" i="7"/>
  <c r="A1244" i="7"/>
  <c r="A1241" i="7"/>
  <c r="A1407" i="7"/>
  <c r="A1385" i="7"/>
  <c r="A1377" i="7"/>
  <c r="A1368" i="7"/>
  <c r="A1360" i="7"/>
  <c r="A1312" i="7"/>
  <c r="A1309" i="7"/>
  <c r="A1295" i="7"/>
  <c r="A1264" i="7"/>
  <c r="A1261" i="7"/>
  <c r="A1247" i="7"/>
  <c r="A1365" i="7"/>
  <c r="A1329" i="7"/>
  <c r="A1315" i="7"/>
  <c r="A1284" i="7"/>
  <c r="A1281" i="7"/>
  <c r="A1267" i="7"/>
  <c r="A1236" i="7"/>
  <c r="A1233" i="7"/>
  <c r="A1227" i="7"/>
  <c r="A1223" i="7"/>
  <c r="A1219" i="7"/>
  <c r="A1215" i="7"/>
  <c r="A1211" i="7"/>
  <c r="A1207" i="7"/>
  <c r="A1203" i="7"/>
  <c r="A1199" i="7"/>
  <c r="A1195" i="7"/>
  <c r="A1191" i="7"/>
  <c r="A1187" i="7"/>
  <c r="A1183" i="7"/>
  <c r="A1179" i="7"/>
  <c r="A1175" i="7"/>
  <c r="A1171" i="7"/>
  <c r="A1167" i="7"/>
  <c r="A1163" i="7"/>
  <c r="A1159" i="7"/>
  <c r="A1155" i="7"/>
  <c r="A1135" i="7"/>
  <c r="A1119" i="7"/>
  <c r="A1110" i="7"/>
  <c r="A1094" i="7"/>
  <c r="A1091" i="7"/>
  <c r="A1336" i="7"/>
  <c r="A1151" i="7"/>
  <c r="A1149" i="7"/>
  <c r="A1133" i="7"/>
  <c r="A1117" i="7"/>
  <c r="A1105" i="7"/>
  <c r="A1097" i="7"/>
  <c r="A1481" i="7"/>
  <c r="A1138" i="7"/>
  <c r="A1122" i="7"/>
  <c r="A1086" i="7"/>
  <c r="A1082" i="7"/>
  <c r="A1078" i="7"/>
  <c r="A1074" i="7"/>
  <c r="A1070" i="7"/>
  <c r="A1066" i="7"/>
  <c r="A1062" i="7"/>
  <c r="A1058" i="7"/>
  <c r="A1054" i="7"/>
  <c r="A1050" i="7"/>
  <c r="A1046" i="7"/>
  <c r="A1042" i="7"/>
  <c r="A1038" i="7"/>
  <c r="A1034" i="7"/>
  <c r="A1030" i="7"/>
  <c r="A1026" i="7"/>
  <c r="A1022" i="7"/>
  <c r="A1018" i="7"/>
  <c r="A1014" i="7"/>
  <c r="A1010" i="7"/>
  <c r="A1006" i="7"/>
  <c r="A1002" i="7"/>
  <c r="A998" i="7"/>
  <c r="A994" i="7"/>
  <c r="A990" i="7"/>
  <c r="A986" i="7"/>
  <c r="A982" i="7"/>
  <c r="A978" i="7"/>
  <c r="A974" i="7"/>
  <c r="A970" i="7"/>
  <c r="A966" i="7"/>
  <c r="A962" i="7"/>
  <c r="A958" i="7"/>
  <c r="A954" i="7"/>
  <c r="A950" i="7"/>
  <c r="A946" i="7"/>
  <c r="A942" i="7"/>
  <c r="A938" i="7"/>
  <c r="A934" i="7"/>
  <c r="A930" i="7"/>
  <c r="A926" i="7"/>
  <c r="A922" i="7"/>
  <c r="A918" i="7"/>
  <c r="A914" i="7"/>
  <c r="A910" i="7"/>
  <c r="A906" i="7"/>
  <c r="A902" i="7"/>
  <c r="A898" i="7"/>
  <c r="A1301" i="7"/>
  <c r="A1194" i="7"/>
  <c r="A1182" i="7"/>
  <c r="A1170" i="7"/>
  <c r="A1147" i="7"/>
  <c r="A1131" i="7"/>
  <c r="A1115" i="7"/>
  <c r="A1089" i="7"/>
  <c r="A1158" i="7"/>
  <c r="A1154" i="7"/>
  <c r="A1145" i="7"/>
  <c r="A1129" i="7"/>
  <c r="A1113" i="7"/>
  <c r="A1103" i="7"/>
  <c r="A1304" i="7"/>
  <c r="A1239" i="7"/>
  <c r="A1134" i="7"/>
  <c r="A1118" i="7"/>
  <c r="A1106" i="7"/>
  <c r="A1098" i="7"/>
  <c r="A1095" i="7"/>
  <c r="A1083" i="7"/>
  <c r="A1079" i="7"/>
  <c r="A1075" i="7"/>
  <c r="A1071" i="7"/>
  <c r="A1067" i="7"/>
  <c r="A1063" i="7"/>
  <c r="A1059" i="7"/>
  <c r="A1055" i="7"/>
  <c r="A1051" i="7"/>
  <c r="A1047" i="7"/>
  <c r="A1043" i="7"/>
  <c r="A1039" i="7"/>
  <c r="A1035" i="7"/>
  <c r="A1031" i="7"/>
  <c r="A1027" i="7"/>
  <c r="A1023" i="7"/>
  <c r="A1019" i="7"/>
  <c r="A1015" i="7"/>
  <c r="A1011" i="7"/>
  <c r="A1007" i="7"/>
  <c r="A1003" i="7"/>
  <c r="A999" i="7"/>
  <c r="A995" i="7"/>
  <c r="A991" i="7"/>
  <c r="A987" i="7"/>
  <c r="A983" i="7"/>
  <c r="A979" i="7"/>
  <c r="A975" i="7"/>
  <c r="A971" i="7"/>
  <c r="A967" i="7"/>
  <c r="A963" i="7"/>
  <c r="A959" i="7"/>
  <c r="A955" i="7"/>
  <c r="A951" i="7"/>
  <c r="A947" i="7"/>
  <c r="A943" i="7"/>
  <c r="A939" i="7"/>
  <c r="A935" i="7"/>
  <c r="A931" i="7"/>
  <c r="A927" i="7"/>
  <c r="A923" i="7"/>
  <c r="A919" i="7"/>
  <c r="A915" i="7"/>
  <c r="A911" i="7"/>
  <c r="A907" i="7"/>
  <c r="A903" i="7"/>
  <c r="A899" i="7"/>
  <c r="A895" i="7"/>
  <c r="A1150" i="7"/>
  <c r="A1143" i="7"/>
  <c r="A1127" i="7"/>
  <c r="A1111" i="7"/>
  <c r="A1101" i="7"/>
  <c r="A1186" i="7"/>
  <c r="A1174" i="7"/>
  <c r="A1162" i="7"/>
  <c r="A1141" i="7"/>
  <c r="A1125" i="7"/>
  <c r="A1090" i="7"/>
  <c r="A1087" i="7"/>
  <c r="A1146" i="7"/>
  <c r="A1130" i="7"/>
  <c r="A1114" i="7"/>
  <c r="A1109" i="7"/>
  <c r="A1093" i="7"/>
  <c r="A1084" i="7"/>
  <c r="A1080" i="7"/>
  <c r="A1076" i="7"/>
  <c r="A1072" i="7"/>
  <c r="A1068" i="7"/>
  <c r="A1064" i="7"/>
  <c r="A1060" i="7"/>
  <c r="A1056" i="7"/>
  <c r="A1052" i="7"/>
  <c r="A1048" i="7"/>
  <c r="A1044" i="7"/>
  <c r="A1040" i="7"/>
  <c r="A1036" i="7"/>
  <c r="A1032" i="7"/>
  <c r="A1028" i="7"/>
  <c r="A1024" i="7"/>
  <c r="A1020" i="7"/>
  <c r="A1016" i="7"/>
  <c r="A1012" i="7"/>
  <c r="A1008" i="7"/>
  <c r="A1004" i="7"/>
  <c r="A1000" i="7"/>
  <c r="A996" i="7"/>
  <c r="A992" i="7"/>
  <c r="A988" i="7"/>
  <c r="A984" i="7"/>
  <c r="A980" i="7"/>
  <c r="A976" i="7"/>
  <c r="A972" i="7"/>
  <c r="A968" i="7"/>
  <c r="A964" i="7"/>
  <c r="A960" i="7"/>
  <c r="A956" i="7"/>
  <c r="A952" i="7"/>
  <c r="A948" i="7"/>
  <c r="A944" i="7"/>
  <c r="A940" i="7"/>
  <c r="A936" i="7"/>
  <c r="A932" i="7"/>
  <c r="A928" i="7"/>
  <c r="A924" i="7"/>
  <c r="A920" i="7"/>
  <c r="A916" i="7"/>
  <c r="A912" i="7"/>
  <c r="A908" i="7"/>
  <c r="A904" i="7"/>
  <c r="A900" i="7"/>
  <c r="A896" i="7"/>
  <c r="A1344" i="7"/>
  <c r="A1253" i="7"/>
  <c r="A1139" i="7"/>
  <c r="A1123" i="7"/>
  <c r="A1137" i="7"/>
  <c r="A1121" i="7"/>
  <c r="A1102" i="7"/>
  <c r="A1099" i="7"/>
  <c r="A1287" i="7"/>
  <c r="A1178" i="7"/>
  <c r="A1077" i="7"/>
  <c r="A1029" i="7"/>
  <c r="A981" i="7"/>
  <c r="A949" i="7"/>
  <c r="A913" i="7"/>
  <c r="A1340" i="7"/>
  <c r="A1073" i="7"/>
  <c r="A1025" i="7"/>
  <c r="A977" i="7"/>
  <c r="A894" i="7"/>
  <c r="A890" i="7"/>
  <c r="A886" i="7"/>
  <c r="A882" i="7"/>
  <c r="A878" i="7"/>
  <c r="A874" i="7"/>
  <c r="A870" i="7"/>
  <c r="A866" i="7"/>
  <c r="A862" i="7"/>
  <c r="A858" i="7"/>
  <c r="A854" i="7"/>
  <c r="A850" i="7"/>
  <c r="A846" i="7"/>
  <c r="A842" i="7"/>
  <c r="A838" i="7"/>
  <c r="A834" i="7"/>
  <c r="A830" i="7"/>
  <c r="A826" i="7"/>
  <c r="A822" i="7"/>
  <c r="A818" i="7"/>
  <c r="A814" i="7"/>
  <c r="A810" i="7"/>
  <c r="A806" i="7"/>
  <c r="A802" i="7"/>
  <c r="A798" i="7"/>
  <c r="A794" i="7"/>
  <c r="A790" i="7"/>
  <c r="A786" i="7"/>
  <c r="A782" i="7"/>
  <c r="A778" i="7"/>
  <c r="A774" i="7"/>
  <c r="A770" i="7"/>
  <c r="A766" i="7"/>
  <c r="A762" i="7"/>
  <c r="A758" i="7"/>
  <c r="A754" i="7"/>
  <c r="A750" i="7"/>
  <c r="A746" i="7"/>
  <c r="A742" i="7"/>
  <c r="A738" i="7"/>
  <c r="A734" i="7"/>
  <c r="A730" i="7"/>
  <c r="A1166" i="7"/>
  <c r="A1069" i="7"/>
  <c r="A1021" i="7"/>
  <c r="A973" i="7"/>
  <c r="A897" i="7"/>
  <c r="A1107" i="7"/>
  <c r="A1065" i="7"/>
  <c r="A1017" i="7"/>
  <c r="A969" i="7"/>
  <c r="A945" i="7"/>
  <c r="A933" i="7"/>
  <c r="A921" i="7"/>
  <c r="A901" i="7"/>
  <c r="A1142" i="7"/>
  <c r="A1061" i="7"/>
  <c r="A1013" i="7"/>
  <c r="A965" i="7"/>
  <c r="A891" i="7"/>
  <c r="A887" i="7"/>
  <c r="A883" i="7"/>
  <c r="A879" i="7"/>
  <c r="A875" i="7"/>
  <c r="A871" i="7"/>
  <c r="A867" i="7"/>
  <c r="A863" i="7"/>
  <c r="A859" i="7"/>
  <c r="A855" i="7"/>
  <c r="A851" i="7"/>
  <c r="A847" i="7"/>
  <c r="A843" i="7"/>
  <c r="A839" i="7"/>
  <c r="A835" i="7"/>
  <c r="A831" i="7"/>
  <c r="A827" i="7"/>
  <c r="A823" i="7"/>
  <c r="A819" i="7"/>
  <c r="A815" i="7"/>
  <c r="A811" i="7"/>
  <c r="A807" i="7"/>
  <c r="A803" i="7"/>
  <c r="A799" i="7"/>
  <c r="A795" i="7"/>
  <c r="A791" i="7"/>
  <c r="A787" i="7"/>
  <c r="A783" i="7"/>
  <c r="A779" i="7"/>
  <c r="A775" i="7"/>
  <c r="A771" i="7"/>
  <c r="A767" i="7"/>
  <c r="A763" i="7"/>
  <c r="A759" i="7"/>
  <c r="A755" i="7"/>
  <c r="A751" i="7"/>
  <c r="A747" i="7"/>
  <c r="A743" i="7"/>
  <c r="A739" i="7"/>
  <c r="A735" i="7"/>
  <c r="A731" i="7"/>
  <c r="A727" i="7"/>
  <c r="A1057" i="7"/>
  <c r="A1009" i="7"/>
  <c r="A961" i="7"/>
  <c r="A909" i="7"/>
  <c r="A1256" i="7"/>
  <c r="A1053" i="7"/>
  <c r="A1005" i="7"/>
  <c r="A1049" i="7"/>
  <c r="A1001" i="7"/>
  <c r="A957" i="7"/>
  <c r="A941" i="7"/>
  <c r="A929" i="7"/>
  <c r="A917" i="7"/>
  <c r="A892" i="7"/>
  <c r="A888" i="7"/>
  <c r="A884" i="7"/>
  <c r="A880" i="7"/>
  <c r="A876" i="7"/>
  <c r="A872" i="7"/>
  <c r="A868" i="7"/>
  <c r="A864" i="7"/>
  <c r="A860" i="7"/>
  <c r="A856" i="7"/>
  <c r="A852" i="7"/>
  <c r="A848" i="7"/>
  <c r="A844" i="7"/>
  <c r="A840" i="7"/>
  <c r="A836" i="7"/>
  <c r="A832" i="7"/>
  <c r="A828" i="7"/>
  <c r="A824" i="7"/>
  <c r="A820" i="7"/>
  <c r="A816" i="7"/>
  <c r="A812" i="7"/>
  <c r="A808" i="7"/>
  <c r="A804" i="7"/>
  <c r="A800" i="7"/>
  <c r="A796" i="7"/>
  <c r="A792" i="7"/>
  <c r="A788" i="7"/>
  <c r="A784" i="7"/>
  <c r="A780" i="7"/>
  <c r="A776" i="7"/>
  <c r="A772" i="7"/>
  <c r="A768" i="7"/>
  <c r="A764" i="7"/>
  <c r="A760" i="7"/>
  <c r="A756" i="7"/>
  <c r="A752" i="7"/>
  <c r="A748" i="7"/>
  <c r="A744" i="7"/>
  <c r="A740" i="7"/>
  <c r="A736" i="7"/>
  <c r="A732" i="7"/>
  <c r="A728" i="7"/>
  <c r="A724" i="7"/>
  <c r="A720" i="7"/>
  <c r="A716" i="7"/>
  <c r="A712" i="7"/>
  <c r="A708" i="7"/>
  <c r="A704" i="7"/>
  <c r="A700" i="7"/>
  <c r="A696" i="7"/>
  <c r="A692" i="7"/>
  <c r="A688" i="7"/>
  <c r="A1045" i="7"/>
  <c r="A997" i="7"/>
  <c r="A1126" i="7"/>
  <c r="A1041" i="7"/>
  <c r="A993" i="7"/>
  <c r="A953" i="7"/>
  <c r="A1190" i="7"/>
  <c r="A1153" i="7"/>
  <c r="A1085" i="7"/>
  <c r="A1037" i="7"/>
  <c r="A989" i="7"/>
  <c r="A905" i="7"/>
  <c r="A893" i="7"/>
  <c r="A889" i="7"/>
  <c r="A885" i="7"/>
  <c r="A881" i="7"/>
  <c r="A877" i="7"/>
  <c r="A873" i="7"/>
  <c r="A869" i="7"/>
  <c r="A865" i="7"/>
  <c r="A861" i="7"/>
  <c r="A857" i="7"/>
  <c r="A853" i="7"/>
  <c r="A849" i="7"/>
  <c r="A845" i="7"/>
  <c r="A841" i="7"/>
  <c r="A837" i="7"/>
  <c r="A833" i="7"/>
  <c r="A829" i="7"/>
  <c r="A825" i="7"/>
  <c r="A821" i="7"/>
  <c r="A817" i="7"/>
  <c r="A813" i="7"/>
  <c r="A809" i="7"/>
  <c r="A805" i="7"/>
  <c r="A801" i="7"/>
  <c r="A797" i="7"/>
  <c r="A793" i="7"/>
  <c r="A789" i="7"/>
  <c r="A785" i="7"/>
  <c r="A781" i="7"/>
  <c r="A777" i="7"/>
  <c r="A773" i="7"/>
  <c r="A769" i="7"/>
  <c r="A765" i="7"/>
  <c r="A761" i="7"/>
  <c r="A757" i="7"/>
  <c r="A753" i="7"/>
  <c r="A749" i="7"/>
  <c r="A745" i="7"/>
  <c r="A741" i="7"/>
  <c r="A737" i="7"/>
  <c r="A733" i="7"/>
  <c r="A729" i="7"/>
  <c r="A725" i="7"/>
  <c r="A721" i="7"/>
  <c r="A937" i="7"/>
  <c r="A710" i="7"/>
  <c r="A687" i="7"/>
  <c r="A925" i="7"/>
  <c r="A715" i="7"/>
  <c r="A705" i="7"/>
  <c r="A690" i="7"/>
  <c r="A718" i="7"/>
  <c r="A695" i="7"/>
  <c r="A685" i="7"/>
  <c r="A681" i="7"/>
  <c r="A677" i="7"/>
  <c r="A673" i="7"/>
  <c r="A669" i="7"/>
  <c r="A665" i="7"/>
  <c r="A661" i="7"/>
  <c r="A657" i="7"/>
  <c r="A653" i="7"/>
  <c r="A649" i="7"/>
  <c r="A645" i="7"/>
  <c r="A641" i="7"/>
  <c r="A637" i="7"/>
  <c r="A633" i="7"/>
  <c r="A629" i="7"/>
  <c r="A625" i="7"/>
  <c r="A621" i="7"/>
  <c r="A617" i="7"/>
  <c r="A613" i="7"/>
  <c r="A609" i="7"/>
  <c r="A605" i="7"/>
  <c r="A601" i="7"/>
  <c r="A597" i="7"/>
  <c r="A593" i="7"/>
  <c r="A589" i="7"/>
  <c r="A585" i="7"/>
  <c r="A581" i="7"/>
  <c r="A577" i="7"/>
  <c r="A573" i="7"/>
  <c r="A569" i="7"/>
  <c r="A565" i="7"/>
  <c r="A561" i="7"/>
  <c r="A557" i="7"/>
  <c r="A553" i="7"/>
  <c r="A549" i="7"/>
  <c r="A545" i="7"/>
  <c r="A541" i="7"/>
  <c r="A537" i="7"/>
  <c r="A533" i="7"/>
  <c r="A529" i="7"/>
  <c r="A525" i="7"/>
  <c r="A521" i="7"/>
  <c r="A517" i="7"/>
  <c r="A513" i="7"/>
  <c r="A509" i="7"/>
  <c r="A505" i="7"/>
  <c r="A501" i="7"/>
  <c r="A497" i="7"/>
  <c r="A493" i="7"/>
  <c r="A489" i="7"/>
  <c r="A485" i="7"/>
  <c r="A481" i="7"/>
  <c r="A477" i="7"/>
  <c r="A473" i="7"/>
  <c r="A469" i="7"/>
  <c r="A465" i="7"/>
  <c r="A461" i="7"/>
  <c r="A457" i="7"/>
  <c r="A453" i="7"/>
  <c r="A449" i="7"/>
  <c r="A445" i="7"/>
  <c r="A441" i="7"/>
  <c r="A437" i="7"/>
  <c r="A433" i="7"/>
  <c r="A429" i="7"/>
  <c r="A425" i="7"/>
  <c r="A421" i="7"/>
  <c r="A417" i="7"/>
  <c r="A413" i="7"/>
  <c r="A409" i="7"/>
  <c r="A405" i="7"/>
  <c r="A401" i="7"/>
  <c r="A397" i="7"/>
  <c r="A393" i="7"/>
  <c r="A389" i="7"/>
  <c r="A385" i="7"/>
  <c r="A381" i="7"/>
  <c r="A1081" i="7"/>
  <c r="A713" i="7"/>
  <c r="A698" i="7"/>
  <c r="A703" i="7"/>
  <c r="A693" i="7"/>
  <c r="A1033" i="7"/>
  <c r="A723" i="7"/>
  <c r="A706" i="7"/>
  <c r="A682" i="7"/>
  <c r="A678" i="7"/>
  <c r="A674" i="7"/>
  <c r="A670" i="7"/>
  <c r="A666" i="7"/>
  <c r="A662" i="7"/>
  <c r="A658" i="7"/>
  <c r="A654" i="7"/>
  <c r="A650" i="7"/>
  <c r="A646" i="7"/>
  <c r="A642" i="7"/>
  <c r="A638" i="7"/>
  <c r="A634" i="7"/>
  <c r="A630" i="7"/>
  <c r="A626" i="7"/>
  <c r="A622" i="7"/>
  <c r="A618" i="7"/>
  <c r="A614" i="7"/>
  <c r="A610" i="7"/>
  <c r="A606" i="7"/>
  <c r="A602" i="7"/>
  <c r="A598" i="7"/>
  <c r="A594" i="7"/>
  <c r="A590" i="7"/>
  <c r="A586" i="7"/>
  <c r="A582" i="7"/>
  <c r="A578" i="7"/>
  <c r="A574" i="7"/>
  <c r="A570" i="7"/>
  <c r="A566" i="7"/>
  <c r="A562" i="7"/>
  <c r="A558" i="7"/>
  <c r="A554" i="7"/>
  <c r="A550" i="7"/>
  <c r="A546" i="7"/>
  <c r="A542" i="7"/>
  <c r="A538" i="7"/>
  <c r="A534" i="7"/>
  <c r="A530" i="7"/>
  <c r="A526" i="7"/>
  <c r="A522" i="7"/>
  <c r="A518" i="7"/>
  <c r="A514" i="7"/>
  <c r="A510" i="7"/>
  <c r="A506" i="7"/>
  <c r="A502" i="7"/>
  <c r="A498" i="7"/>
  <c r="A494" i="7"/>
  <c r="A490" i="7"/>
  <c r="A486" i="7"/>
  <c r="A482" i="7"/>
  <c r="A711" i="7"/>
  <c r="A701" i="7"/>
  <c r="A686" i="7"/>
  <c r="A985" i="7"/>
  <c r="A714" i="7"/>
  <c r="A691" i="7"/>
  <c r="A726" i="7"/>
  <c r="A719" i="7"/>
  <c r="A709" i="7"/>
  <c r="A694" i="7"/>
  <c r="A683" i="7"/>
  <c r="A679" i="7"/>
  <c r="A675" i="7"/>
  <c r="A671" i="7"/>
  <c r="A667" i="7"/>
  <c r="A663" i="7"/>
  <c r="A659" i="7"/>
  <c r="A655" i="7"/>
  <c r="A651" i="7"/>
  <c r="A647" i="7"/>
  <c r="A643" i="7"/>
  <c r="A639" i="7"/>
  <c r="A635" i="7"/>
  <c r="A631" i="7"/>
  <c r="A627" i="7"/>
  <c r="A623" i="7"/>
  <c r="A619" i="7"/>
  <c r="A615" i="7"/>
  <c r="A611" i="7"/>
  <c r="A607" i="7"/>
  <c r="A603" i="7"/>
  <c r="A599" i="7"/>
  <c r="A595" i="7"/>
  <c r="A591" i="7"/>
  <c r="A587" i="7"/>
  <c r="A583" i="7"/>
  <c r="A579" i="7"/>
  <c r="A575" i="7"/>
  <c r="A571" i="7"/>
  <c r="A567" i="7"/>
  <c r="A563" i="7"/>
  <c r="A559" i="7"/>
  <c r="A555" i="7"/>
  <c r="A551" i="7"/>
  <c r="A547" i="7"/>
  <c r="A543" i="7"/>
  <c r="A539" i="7"/>
  <c r="A535" i="7"/>
  <c r="A531" i="7"/>
  <c r="A527" i="7"/>
  <c r="A523" i="7"/>
  <c r="A519" i="7"/>
  <c r="A515" i="7"/>
  <c r="A511" i="7"/>
  <c r="A507" i="7"/>
  <c r="A503" i="7"/>
  <c r="A499" i="7"/>
  <c r="A495" i="7"/>
  <c r="A491" i="7"/>
  <c r="A487" i="7"/>
  <c r="A483" i="7"/>
  <c r="A479" i="7"/>
  <c r="A475" i="7"/>
  <c r="A471" i="7"/>
  <c r="A467" i="7"/>
  <c r="A463" i="7"/>
  <c r="A459" i="7"/>
  <c r="A455" i="7"/>
  <c r="A451" i="7"/>
  <c r="A447" i="7"/>
  <c r="A443" i="7"/>
  <c r="A439" i="7"/>
  <c r="A435" i="7"/>
  <c r="A431" i="7"/>
  <c r="A427" i="7"/>
  <c r="A423" i="7"/>
  <c r="A419" i="7"/>
  <c r="A415" i="7"/>
  <c r="A411" i="7"/>
  <c r="A407" i="7"/>
  <c r="A403" i="7"/>
  <c r="A399" i="7"/>
  <c r="A395" i="7"/>
  <c r="A391" i="7"/>
  <c r="A387" i="7"/>
  <c r="A383" i="7"/>
  <c r="A379" i="7"/>
  <c r="A699" i="7"/>
  <c r="A689" i="7"/>
  <c r="A722" i="7"/>
  <c r="A717" i="7"/>
  <c r="A702" i="7"/>
  <c r="A707" i="7"/>
  <c r="A684" i="7"/>
  <c r="A660" i="7"/>
  <c r="A636" i="7"/>
  <c r="A612" i="7"/>
  <c r="A588" i="7"/>
  <c r="A564" i="7"/>
  <c r="A540" i="7"/>
  <c r="A516" i="7"/>
  <c r="A480" i="7"/>
  <c r="A474" i="7"/>
  <c r="A468" i="7"/>
  <c r="A462" i="7"/>
  <c r="A454" i="7"/>
  <c r="A446" i="7"/>
  <c r="A438" i="7"/>
  <c r="A430" i="7"/>
  <c r="A422" i="7"/>
  <c r="A414" i="7"/>
  <c r="A406" i="7"/>
  <c r="A398" i="7"/>
  <c r="A377" i="7"/>
  <c r="A373" i="7"/>
  <c r="A369" i="7"/>
  <c r="A365" i="7"/>
  <c r="A361" i="7"/>
  <c r="A357" i="7"/>
  <c r="A353" i="7"/>
  <c r="A349" i="7"/>
  <c r="A345" i="7"/>
  <c r="A341" i="7"/>
  <c r="A337" i="7"/>
  <c r="A333" i="7"/>
  <c r="A329" i="7"/>
  <c r="A325" i="7"/>
  <c r="A321" i="7"/>
  <c r="A317" i="7"/>
  <c r="A313" i="7"/>
  <c r="A309" i="7"/>
  <c r="A305" i="7"/>
  <c r="A301" i="7"/>
  <c r="A297" i="7"/>
  <c r="A293" i="7"/>
  <c r="A289" i="7"/>
  <c r="A285" i="7"/>
  <c r="A281" i="7"/>
  <c r="A277" i="7"/>
  <c r="A273" i="7"/>
  <c r="A269" i="7"/>
  <c r="A265" i="7"/>
  <c r="A261" i="7"/>
  <c r="A257" i="7"/>
  <c r="A253" i="7"/>
  <c r="A249" i="7"/>
  <c r="A245" i="7"/>
  <c r="A241" i="7"/>
  <c r="A237" i="7"/>
  <c r="A233" i="7"/>
  <c r="A229" i="7"/>
  <c r="A225" i="7"/>
  <c r="A221" i="7"/>
  <c r="A217" i="7"/>
  <c r="A213" i="7"/>
  <c r="A209" i="7"/>
  <c r="A205" i="7"/>
  <c r="A201" i="7"/>
  <c r="A197" i="7"/>
  <c r="A193" i="7"/>
  <c r="A680" i="7"/>
  <c r="A656" i="7"/>
  <c r="A632" i="7"/>
  <c r="A608" i="7"/>
  <c r="A584" i="7"/>
  <c r="A560" i="7"/>
  <c r="A536" i="7"/>
  <c r="A512" i="7"/>
  <c r="A384" i="7"/>
  <c r="A382" i="7"/>
  <c r="A380" i="7"/>
  <c r="A697" i="7"/>
  <c r="A676" i="7"/>
  <c r="A652" i="7"/>
  <c r="A628" i="7"/>
  <c r="A604" i="7"/>
  <c r="A580" i="7"/>
  <c r="A556" i="7"/>
  <c r="A532" i="7"/>
  <c r="A508" i="7"/>
  <c r="A476" i="7"/>
  <c r="A470" i="7"/>
  <c r="A464" i="7"/>
  <c r="A456" i="7"/>
  <c r="A448" i="7"/>
  <c r="A440" i="7"/>
  <c r="A432" i="7"/>
  <c r="A424" i="7"/>
  <c r="A416" i="7"/>
  <c r="A408" i="7"/>
  <c r="A400" i="7"/>
  <c r="A386" i="7"/>
  <c r="A378" i="7"/>
  <c r="A388" i="7"/>
  <c r="A672" i="7"/>
  <c r="A648" i="7"/>
  <c r="A624" i="7"/>
  <c r="A600" i="7"/>
  <c r="A576" i="7"/>
  <c r="A552" i="7"/>
  <c r="A528" i="7"/>
  <c r="A504" i="7"/>
  <c r="A390" i="7"/>
  <c r="A500" i="7"/>
  <c r="A458" i="7"/>
  <c r="A450" i="7"/>
  <c r="A442" i="7"/>
  <c r="A434" i="7"/>
  <c r="A426" i="7"/>
  <c r="A418" i="7"/>
  <c r="A410" i="7"/>
  <c r="A402" i="7"/>
  <c r="A392" i="7"/>
  <c r="A375" i="7"/>
  <c r="A371" i="7"/>
  <c r="A367" i="7"/>
  <c r="A363" i="7"/>
  <c r="A359" i="7"/>
  <c r="A355" i="7"/>
  <c r="A351" i="7"/>
  <c r="A347" i="7"/>
  <c r="A343" i="7"/>
  <c r="A339" i="7"/>
  <c r="A335" i="7"/>
  <c r="A331" i="7"/>
  <c r="A327" i="7"/>
  <c r="A323" i="7"/>
  <c r="A319" i="7"/>
  <c r="A315" i="7"/>
  <c r="A311" i="7"/>
  <c r="A307" i="7"/>
  <c r="A303" i="7"/>
  <c r="A299" i="7"/>
  <c r="A295" i="7"/>
  <c r="A291" i="7"/>
  <c r="A287" i="7"/>
  <c r="A283" i="7"/>
  <c r="A279" i="7"/>
  <c r="A275" i="7"/>
  <c r="A271" i="7"/>
  <c r="A267" i="7"/>
  <c r="A263" i="7"/>
  <c r="A259" i="7"/>
  <c r="A255" i="7"/>
  <c r="A251" i="7"/>
  <c r="A247" i="7"/>
  <c r="A243" i="7"/>
  <c r="A239" i="7"/>
  <c r="A235" i="7"/>
  <c r="A231" i="7"/>
  <c r="A227" i="7"/>
  <c r="A223" i="7"/>
  <c r="A219" i="7"/>
  <c r="A215" i="7"/>
  <c r="A211" i="7"/>
  <c r="A207" i="7"/>
  <c r="A203" i="7"/>
  <c r="A199" i="7"/>
  <c r="A195" i="7"/>
  <c r="A668" i="7"/>
  <c r="A644" i="7"/>
  <c r="A620" i="7"/>
  <c r="A596" i="7"/>
  <c r="A572" i="7"/>
  <c r="A548" i="7"/>
  <c r="A524" i="7"/>
  <c r="A496" i="7"/>
  <c r="A478" i="7"/>
  <c r="A472" i="7"/>
  <c r="A466" i="7"/>
  <c r="A492" i="7"/>
  <c r="A488" i="7"/>
  <c r="A394" i="7"/>
  <c r="A664" i="7"/>
  <c r="A640" i="7"/>
  <c r="A616" i="7"/>
  <c r="A592" i="7"/>
  <c r="A568" i="7"/>
  <c r="A544" i="7"/>
  <c r="A520" i="7"/>
  <c r="A484" i="7"/>
  <c r="A460" i="7"/>
  <c r="A452" i="7"/>
  <c r="A444" i="7"/>
  <c r="A436" i="7"/>
  <c r="A428" i="7"/>
  <c r="A420" i="7"/>
  <c r="A412" i="7"/>
  <c r="A404" i="7"/>
  <c r="A376" i="7"/>
  <c r="A372" i="7"/>
  <c r="A368" i="7"/>
  <c r="A364" i="7"/>
  <c r="A360" i="7"/>
  <c r="A356" i="7"/>
  <c r="A352" i="7"/>
  <c r="A348" i="7"/>
  <c r="A344" i="7"/>
  <c r="A340" i="7"/>
  <c r="A336" i="7"/>
  <c r="A332" i="7"/>
  <c r="A328" i="7"/>
  <c r="A324" i="7"/>
  <c r="A320" i="7"/>
  <c r="A316" i="7"/>
  <c r="A312" i="7"/>
  <c r="A308" i="7"/>
  <c r="A304" i="7"/>
  <c r="A300" i="7"/>
  <c r="A296" i="7"/>
  <c r="A292" i="7"/>
  <c r="A288" i="7"/>
  <c r="A284" i="7"/>
  <c r="A280" i="7"/>
  <c r="A276" i="7"/>
  <c r="A272" i="7"/>
  <c r="A268" i="7"/>
  <c r="A264" i="7"/>
  <c r="A260" i="7"/>
  <c r="A256" i="7"/>
  <c r="A252" i="7"/>
  <c r="A248" i="7"/>
  <c r="A244" i="7"/>
  <c r="A240" i="7"/>
  <c r="A236" i="7"/>
  <c r="A232" i="7"/>
  <c r="A228" i="7"/>
  <c r="A224" i="7"/>
  <c r="A220" i="7"/>
  <c r="A216" i="7"/>
  <c r="A212" i="7"/>
  <c r="A208" i="7"/>
  <c r="A204" i="7"/>
  <c r="A374" i="7"/>
  <c r="A358" i="7"/>
  <c r="A334" i="7"/>
  <c r="A306" i="7"/>
  <c r="A286" i="7"/>
  <c r="A270" i="7"/>
  <c r="A254" i="7"/>
  <c r="A246" i="7"/>
  <c r="A230" i="7"/>
  <c r="A214" i="7"/>
  <c r="A200" i="7"/>
  <c r="A326" i="7"/>
  <c r="A192" i="7"/>
  <c r="A188" i="7"/>
  <c r="A184" i="7"/>
  <c r="A180" i="7"/>
  <c r="A176" i="7"/>
  <c r="A172" i="7"/>
  <c r="A168" i="7"/>
  <c r="A164" i="7"/>
  <c r="A160" i="7"/>
  <c r="A156" i="7"/>
  <c r="A152" i="7"/>
  <c r="A148" i="7"/>
  <c r="A144" i="7"/>
  <c r="A140" i="7"/>
  <c r="A136" i="7"/>
  <c r="A132" i="7"/>
  <c r="A128" i="7"/>
  <c r="A124" i="7"/>
  <c r="A120" i="7"/>
  <c r="A116" i="7"/>
  <c r="A112" i="7"/>
  <c r="A108" i="7"/>
  <c r="A104" i="7"/>
  <c r="A100" i="7"/>
  <c r="A96" i="7"/>
  <c r="A92" i="7"/>
  <c r="A88" i="7"/>
  <c r="A84" i="7"/>
  <c r="A80" i="7"/>
  <c r="A76" i="7"/>
  <c r="A72" i="7"/>
  <c r="A68" i="7"/>
  <c r="A64" i="7"/>
  <c r="A60" i="7"/>
  <c r="A56" i="7"/>
  <c r="A52" i="7"/>
  <c r="A48" i="7"/>
  <c r="A44" i="7"/>
  <c r="A40" i="7"/>
  <c r="A36" i="7"/>
  <c r="A32" i="7"/>
  <c r="A28" i="7"/>
  <c r="A24" i="7"/>
  <c r="A20" i="7"/>
  <c r="A16" i="7"/>
  <c r="A12" i="7"/>
  <c r="A8" i="7"/>
  <c r="A4" i="7"/>
  <c r="A342" i="7"/>
  <c r="A298" i="7"/>
  <c r="A370" i="7"/>
  <c r="A354" i="7"/>
  <c r="A318" i="7"/>
  <c r="A274" i="7"/>
  <c r="A258" i="7"/>
  <c r="A242" i="7"/>
  <c r="A226" i="7"/>
  <c r="A210" i="7"/>
  <c r="A198" i="7"/>
  <c r="A290" i="7"/>
  <c r="A189" i="7"/>
  <c r="A185" i="7"/>
  <c r="A181" i="7"/>
  <c r="A177" i="7"/>
  <c r="A173" i="7"/>
  <c r="A169" i="7"/>
  <c r="A165" i="7"/>
  <c r="A161" i="7"/>
  <c r="A157" i="7"/>
  <c r="A153" i="7"/>
  <c r="A149" i="7"/>
  <c r="A145" i="7"/>
  <c r="A141" i="7"/>
  <c r="A137" i="7"/>
  <c r="A133" i="7"/>
  <c r="A129" i="7"/>
  <c r="A125" i="7"/>
  <c r="A310" i="7"/>
  <c r="A366" i="7"/>
  <c r="A350" i="7"/>
  <c r="A330" i="7"/>
  <c r="A278" i="7"/>
  <c r="A262" i="7"/>
  <c r="A238" i="7"/>
  <c r="A222" i="7"/>
  <c r="A206" i="7"/>
  <c r="A196" i="7"/>
  <c r="A338" i="7"/>
  <c r="A302" i="7"/>
  <c r="A190" i="7"/>
  <c r="A186" i="7"/>
  <c r="A182" i="7"/>
  <c r="A178" i="7"/>
  <c r="A174" i="7"/>
  <c r="A170" i="7"/>
  <c r="A166" i="7"/>
  <c r="A162" i="7"/>
  <c r="A158" i="7"/>
  <c r="A154" i="7"/>
  <c r="A150" i="7"/>
  <c r="A146" i="7"/>
  <c r="A142" i="7"/>
  <c r="A138" i="7"/>
  <c r="A134" i="7"/>
  <c r="A130" i="7"/>
  <c r="A126" i="7"/>
  <c r="A122" i="7"/>
  <c r="A118" i="7"/>
  <c r="A114" i="7"/>
  <c r="A110" i="7"/>
  <c r="A106" i="7"/>
  <c r="A396" i="7"/>
  <c r="A322" i="7"/>
  <c r="A362" i="7"/>
  <c r="A346" i="7"/>
  <c r="A294" i="7"/>
  <c r="A282" i="7"/>
  <c r="A266" i="7"/>
  <c r="A234" i="7"/>
  <c r="A218" i="7"/>
  <c r="A202" i="7"/>
  <c r="A194" i="7"/>
  <c r="A314" i="7"/>
  <c r="A250" i="7"/>
  <c r="A191" i="7"/>
  <c r="A187" i="7"/>
  <c r="A183" i="7"/>
  <c r="A179" i="7"/>
  <c r="A175" i="7"/>
  <c r="A171" i="7"/>
  <c r="A167" i="7"/>
  <c r="A163" i="7"/>
  <c r="A159" i="7"/>
  <c r="A155" i="7"/>
  <c r="A151" i="7"/>
  <c r="A147" i="7"/>
  <c r="A143" i="7"/>
  <c r="A139" i="7"/>
  <c r="A135" i="7"/>
  <c r="A131" i="7"/>
  <c r="A127" i="7"/>
  <c r="A123" i="7"/>
  <c r="A119" i="7"/>
  <c r="A115" i="7"/>
  <c r="A111" i="7"/>
  <c r="A109" i="7"/>
  <c r="A101" i="7"/>
  <c r="A91" i="7"/>
  <c r="A86" i="7"/>
  <c r="A53" i="7"/>
  <c r="A43" i="7"/>
  <c r="A38" i="7"/>
  <c r="A5" i="7"/>
  <c r="A73" i="7"/>
  <c r="A63" i="7"/>
  <c r="A58" i="7"/>
  <c r="A25" i="7"/>
  <c r="A15" i="7"/>
  <c r="A10" i="7"/>
  <c r="A93" i="7"/>
  <c r="A83" i="7"/>
  <c r="A78" i="7"/>
  <c r="A45" i="7"/>
  <c r="A35" i="7"/>
  <c r="A30" i="7"/>
  <c r="A121" i="7"/>
  <c r="A103" i="7"/>
  <c r="A98" i="7"/>
  <c r="A65" i="7"/>
  <c r="A55" i="7"/>
  <c r="A50" i="7"/>
  <c r="A17" i="7"/>
  <c r="A7" i="7"/>
  <c r="A2" i="7"/>
  <c r="A85" i="7"/>
  <c r="A75" i="7"/>
  <c r="A70" i="7"/>
  <c r="A37" i="7"/>
  <c r="A27" i="7"/>
  <c r="A22" i="7"/>
  <c r="A105" i="7"/>
  <c r="A95" i="7"/>
  <c r="A90" i="7"/>
  <c r="A57" i="7"/>
  <c r="A47" i="7"/>
  <c r="A42" i="7"/>
  <c r="A9" i="7"/>
  <c r="A117" i="7"/>
  <c r="A77" i="7"/>
  <c r="A67" i="7"/>
  <c r="A62" i="7"/>
  <c r="A29" i="7"/>
  <c r="A19" i="7"/>
  <c r="A14" i="7"/>
  <c r="A97" i="7"/>
  <c r="A87" i="7"/>
  <c r="A82" i="7"/>
  <c r="A49" i="7"/>
  <c r="A39" i="7"/>
  <c r="A34" i="7"/>
  <c r="A102" i="7"/>
  <c r="A69" i="7"/>
  <c r="A59" i="7"/>
  <c r="A54" i="7"/>
  <c r="A21" i="7"/>
  <c r="A11" i="7"/>
  <c r="A6" i="7"/>
  <c r="A113" i="7"/>
  <c r="A107" i="7"/>
  <c r="A89" i="7"/>
  <c r="A79" i="7"/>
  <c r="A74" i="7"/>
  <c r="A41" i="7"/>
  <c r="A31" i="7"/>
  <c r="A26" i="7"/>
  <c r="A99" i="7"/>
  <c r="A94" i="7"/>
  <c r="A61" i="7"/>
  <c r="A51" i="7"/>
  <c r="A46" i="7"/>
  <c r="A13" i="7"/>
  <c r="A3" i="7"/>
  <c r="A71" i="7"/>
  <c r="A66" i="7"/>
  <c r="A33" i="7"/>
  <c r="A81" i="7"/>
  <c r="A23" i="7"/>
  <c r="A18" i="7"/>
  <c r="X28" i="3"/>
  <c r="V28" i="3"/>
  <c r="U28" i="3"/>
  <c r="AR28" i="3"/>
  <c r="T28" i="3"/>
  <c r="S28" i="3"/>
  <c r="R28" i="3"/>
  <c r="AO28" i="3"/>
  <c r="AC28" i="3"/>
  <c r="AH28" i="3" s="1"/>
  <c r="AM28" i="3" s="1"/>
  <c r="Q28" i="3"/>
  <c r="AN28" i="3"/>
  <c r="AB28" i="3"/>
  <c r="AG28" i="3" s="1"/>
  <c r="AL28" i="3" s="1"/>
  <c r="P28" i="3"/>
  <c r="AA28" i="3"/>
  <c r="AF28" i="3" s="1"/>
  <c r="AK28" i="3" s="1"/>
  <c r="O28" i="3"/>
  <c r="Z28" i="3"/>
  <c r="AE28" i="3" s="1"/>
  <c r="AJ28" i="3" s="1"/>
  <c r="Y28" i="3"/>
  <c r="AD28" i="3" s="1"/>
  <c r="AI28" i="3" s="1"/>
  <c r="W28" i="3"/>
  <c r="T6" i="3"/>
  <c r="P6" i="3"/>
  <c r="S6" i="3"/>
  <c r="U6" i="3" s="1"/>
  <c r="Q6" i="3"/>
  <c r="O6" i="3"/>
  <c r="AC6" i="3"/>
  <c r="AH6" i="3" s="1"/>
  <c r="AM6" i="3" s="1"/>
  <c r="U48" i="3"/>
  <c r="AR48" i="3"/>
  <c r="T48" i="3"/>
  <c r="AA48" i="3"/>
  <c r="AF48" i="3" s="1"/>
  <c r="AK48" i="3" s="1"/>
  <c r="O48" i="3"/>
  <c r="W48" i="3"/>
  <c r="AO48" i="3"/>
  <c r="X48" i="3"/>
  <c r="AN48" i="3"/>
  <c r="V48" i="3"/>
  <c r="S48" i="3"/>
  <c r="R48" i="3"/>
  <c r="Q48" i="3"/>
  <c r="P48" i="3"/>
  <c r="AC48" i="3"/>
  <c r="AH48" i="3" s="1"/>
  <c r="AM48" i="3" s="1"/>
  <c r="AB48" i="3"/>
  <c r="AG48" i="3" s="1"/>
  <c r="AL48" i="3" s="1"/>
  <c r="Z48" i="3"/>
  <c r="AE48" i="3" s="1"/>
  <c r="AJ48" i="3" s="1"/>
  <c r="Y48" i="3"/>
  <c r="AD48" i="3" s="1"/>
  <c r="AI48" i="3" s="1"/>
  <c r="AN20" i="3"/>
  <c r="AB20" i="3"/>
  <c r="AG20" i="3" s="1"/>
  <c r="AL20" i="3" s="1"/>
  <c r="P20" i="3"/>
  <c r="Z20" i="3"/>
  <c r="AE20" i="3" s="1"/>
  <c r="AJ20" i="3" s="1"/>
  <c r="X20" i="3"/>
  <c r="W20" i="3"/>
  <c r="V20" i="3"/>
  <c r="U20" i="3"/>
  <c r="AR20" i="3"/>
  <c r="T20" i="3"/>
  <c r="S20" i="3"/>
  <c r="R20" i="3"/>
  <c r="Q20" i="3"/>
  <c r="O20" i="3"/>
  <c r="AO20" i="3"/>
  <c r="AC20" i="3"/>
  <c r="AH20" i="3" s="1"/>
  <c r="AM20" i="3" s="1"/>
  <c r="AA20" i="3"/>
  <c r="AF20" i="3" s="1"/>
  <c r="AK20" i="3" s="1"/>
  <c r="Y20" i="3"/>
  <c r="AD20" i="3" s="1"/>
  <c r="AI20" i="3" s="1"/>
  <c r="AO59" i="3"/>
  <c r="AC59" i="3"/>
  <c r="AH59" i="3" s="1"/>
  <c r="AM59" i="3" s="1"/>
  <c r="Q59" i="3"/>
  <c r="AN59" i="3"/>
  <c r="AB59" i="3"/>
  <c r="AG59" i="3" s="1"/>
  <c r="AL59" i="3" s="1"/>
  <c r="P59" i="3"/>
  <c r="Z59" i="3"/>
  <c r="AE59" i="3" s="1"/>
  <c r="AJ59" i="3" s="1"/>
  <c r="Y59" i="3"/>
  <c r="AD59" i="3" s="1"/>
  <c r="AI59" i="3" s="1"/>
  <c r="W59" i="3"/>
  <c r="V59" i="3"/>
  <c r="S59" i="3"/>
  <c r="X59" i="3"/>
  <c r="U59" i="3"/>
  <c r="T59" i="3"/>
  <c r="R59" i="3"/>
  <c r="AR59" i="3"/>
  <c r="O59" i="3"/>
  <c r="AA59" i="3"/>
  <c r="AF59" i="3" s="1"/>
  <c r="AK59" i="3" s="1"/>
  <c r="A1500" i="6"/>
  <c r="A1496" i="6"/>
  <c r="A1492" i="6"/>
  <c r="A1488" i="6"/>
  <c r="A1484" i="6"/>
  <c r="A1480" i="6"/>
  <c r="A1476" i="6"/>
  <c r="A1472" i="6"/>
  <c r="A1468" i="6"/>
  <c r="A1464" i="6"/>
  <c r="A1460" i="6"/>
  <c r="A1456" i="6"/>
  <c r="A1452" i="6"/>
  <c r="A1448" i="6"/>
  <c r="A1444" i="6"/>
  <c r="A1440" i="6"/>
  <c r="A1436" i="6"/>
  <c r="A1432" i="6"/>
  <c r="A1428" i="6"/>
  <c r="A1424" i="6"/>
  <c r="A1420" i="6"/>
  <c r="A1416" i="6"/>
  <c r="A1412" i="6"/>
  <c r="A1408" i="6"/>
  <c r="A1404" i="6"/>
  <c r="A1400" i="6"/>
  <c r="A1396" i="6"/>
  <c r="A1392" i="6"/>
  <c r="A1388" i="6"/>
  <c r="A1384" i="6"/>
  <c r="A1380" i="6"/>
  <c r="A1376" i="6"/>
  <c r="A1372" i="6"/>
  <c r="A1368" i="6"/>
  <c r="A1364" i="6"/>
  <c r="A1360" i="6"/>
  <c r="A1356" i="6"/>
  <c r="A1352" i="6"/>
  <c r="A1348" i="6"/>
  <c r="A1344" i="6"/>
  <c r="A1340" i="6"/>
  <c r="A1336" i="6"/>
  <c r="A1332" i="6"/>
  <c r="A1328" i="6"/>
  <c r="A1324" i="6"/>
  <c r="A1320" i="6"/>
  <c r="A1316" i="6"/>
  <c r="A1312" i="6"/>
  <c r="A1463" i="6"/>
  <c r="A1461" i="6"/>
  <c r="A1442" i="6"/>
  <c r="A1435" i="6"/>
  <c r="A1426" i="6"/>
  <c r="A1419" i="6"/>
  <c r="A1410" i="6"/>
  <c r="A1403" i="6"/>
  <c r="A1394" i="6"/>
  <c r="A1387" i="6"/>
  <c r="A1378" i="6"/>
  <c r="A1371" i="6"/>
  <c r="A1362" i="6"/>
  <c r="A1357" i="6"/>
  <c r="A1342" i="6"/>
  <c r="A1319" i="6"/>
  <c r="A1459" i="6"/>
  <c r="A1457" i="6"/>
  <c r="A1433" i="6"/>
  <c r="A1417" i="6"/>
  <c r="A1401" i="6"/>
  <c r="A1385" i="6"/>
  <c r="A1369" i="6"/>
  <c r="A1347" i="6"/>
  <c r="A1337" i="6"/>
  <c r="A1322" i="6"/>
  <c r="A1455" i="6"/>
  <c r="A1453" i="6"/>
  <c r="A1350" i="6"/>
  <c r="A1327" i="6"/>
  <c r="A1317" i="6"/>
  <c r="A1498" i="6"/>
  <c r="A1494" i="6"/>
  <c r="A1490" i="6"/>
  <c r="A1486" i="6"/>
  <c r="A1482" i="6"/>
  <c r="A1478" i="6"/>
  <c r="A1474" i="6"/>
  <c r="A1470" i="6"/>
  <c r="A1451" i="6"/>
  <c r="A1449" i="6"/>
  <c r="A1438" i="6"/>
  <c r="A1431" i="6"/>
  <c r="A1422" i="6"/>
  <c r="A1415" i="6"/>
  <c r="A1406" i="6"/>
  <c r="A1399" i="6"/>
  <c r="A1390" i="6"/>
  <c r="A1383" i="6"/>
  <c r="A1374" i="6"/>
  <c r="A1367" i="6"/>
  <c r="A1355" i="6"/>
  <c r="A1345" i="6"/>
  <c r="A1330" i="6"/>
  <c r="A1466" i="6"/>
  <c r="A1447" i="6"/>
  <c r="A1445" i="6"/>
  <c r="A1429" i="6"/>
  <c r="A1413" i="6"/>
  <c r="A1397" i="6"/>
  <c r="A1381" i="6"/>
  <c r="A1365" i="6"/>
  <c r="A1358" i="6"/>
  <c r="A1335" i="6"/>
  <c r="A1325" i="6"/>
  <c r="A1310" i="6"/>
  <c r="A1306" i="6"/>
  <c r="A1302" i="6"/>
  <c r="A1298" i="6"/>
  <c r="A1294" i="6"/>
  <c r="A1290" i="6"/>
  <c r="A1286" i="6"/>
  <c r="A1282" i="6"/>
  <c r="A1278" i="6"/>
  <c r="A1274" i="6"/>
  <c r="A1270" i="6"/>
  <c r="A1266" i="6"/>
  <c r="A1262" i="6"/>
  <c r="A1258" i="6"/>
  <c r="A1254" i="6"/>
  <c r="A1250" i="6"/>
  <c r="A1246" i="6"/>
  <c r="A1242" i="6"/>
  <c r="A1238" i="6"/>
  <c r="A1234" i="6"/>
  <c r="A1230" i="6"/>
  <c r="A1226" i="6"/>
  <c r="A1222" i="6"/>
  <c r="A1218" i="6"/>
  <c r="A1214" i="6"/>
  <c r="A1210" i="6"/>
  <c r="A1206" i="6"/>
  <c r="A1202" i="6"/>
  <c r="A1198" i="6"/>
  <c r="A1462" i="6"/>
  <c r="A1458" i="6"/>
  <c r="A1443" i="6"/>
  <c r="A1434" i="6"/>
  <c r="A1427" i="6"/>
  <c r="A1418" i="6"/>
  <c r="A1411" i="6"/>
  <c r="A1402" i="6"/>
  <c r="A1395" i="6"/>
  <c r="A1386" i="6"/>
  <c r="A1379" i="6"/>
  <c r="A1370" i="6"/>
  <c r="A1363" i="6"/>
  <c r="A1343" i="6"/>
  <c r="A1333" i="6"/>
  <c r="A1318" i="6"/>
  <c r="A1454" i="6"/>
  <c r="A1441" i="6"/>
  <c r="A1425" i="6"/>
  <c r="A1409" i="6"/>
  <c r="A1393" i="6"/>
  <c r="A1377" i="6"/>
  <c r="A1361" i="6"/>
  <c r="A1346" i="6"/>
  <c r="A1323" i="6"/>
  <c r="A1313" i="6"/>
  <c r="A1307" i="6"/>
  <c r="A1303" i="6"/>
  <c r="A1299" i="6"/>
  <c r="A1295" i="6"/>
  <c r="A1291" i="6"/>
  <c r="A1287" i="6"/>
  <c r="A1283" i="6"/>
  <c r="A1279" i="6"/>
  <c r="A1275" i="6"/>
  <c r="A1271" i="6"/>
  <c r="A1267" i="6"/>
  <c r="A1263" i="6"/>
  <c r="A1259" i="6"/>
  <c r="A1255" i="6"/>
  <c r="A1251" i="6"/>
  <c r="A1247" i="6"/>
  <c r="A1243" i="6"/>
  <c r="A1239" i="6"/>
  <c r="A1235" i="6"/>
  <c r="A1231" i="6"/>
  <c r="A1227" i="6"/>
  <c r="A1450" i="6"/>
  <c r="A1501" i="6"/>
  <c r="A1497" i="6"/>
  <c r="A1493" i="6"/>
  <c r="A1489" i="6"/>
  <c r="A1485" i="6"/>
  <c r="A1481" i="6"/>
  <c r="A1477" i="6"/>
  <c r="A1473" i="6"/>
  <c r="A1446" i="6"/>
  <c r="A1439" i="6"/>
  <c r="A1430" i="6"/>
  <c r="A1423" i="6"/>
  <c r="A1414" i="6"/>
  <c r="A1407" i="6"/>
  <c r="A1398" i="6"/>
  <c r="A1391" i="6"/>
  <c r="A1382" i="6"/>
  <c r="A1375" i="6"/>
  <c r="A1366" i="6"/>
  <c r="A1354" i="6"/>
  <c r="A1331" i="6"/>
  <c r="A1321" i="6"/>
  <c r="A1499" i="6"/>
  <c r="A1495" i="6"/>
  <c r="A1491" i="6"/>
  <c r="A1487" i="6"/>
  <c r="A1483" i="6"/>
  <c r="A1479" i="6"/>
  <c r="A1475" i="6"/>
  <c r="A1471" i="6"/>
  <c r="A1469" i="6"/>
  <c r="A1437" i="6"/>
  <c r="A1421" i="6"/>
  <c r="A1405" i="6"/>
  <c r="A1389" i="6"/>
  <c r="A1373" i="6"/>
  <c r="A1359" i="6"/>
  <c r="A1349" i="6"/>
  <c r="A1334" i="6"/>
  <c r="A1311" i="6"/>
  <c r="A1245" i="6"/>
  <c r="A1215" i="6"/>
  <c r="A1200" i="6"/>
  <c r="A1197" i="6"/>
  <c r="A1193" i="6"/>
  <c r="A1189" i="6"/>
  <c r="A1185" i="6"/>
  <c r="A1181" i="6"/>
  <c r="A1177" i="6"/>
  <c r="A1173" i="6"/>
  <c r="A1169" i="6"/>
  <c r="A1165" i="6"/>
  <c r="A1161" i="6"/>
  <c r="A1157" i="6"/>
  <c r="A1153" i="6"/>
  <c r="A1149" i="6"/>
  <c r="A1145" i="6"/>
  <c r="A1141" i="6"/>
  <c r="A1137" i="6"/>
  <c r="A1133" i="6"/>
  <c r="A1129" i="6"/>
  <c r="A1125" i="6"/>
  <c r="A1121" i="6"/>
  <c r="A1117" i="6"/>
  <c r="A1113" i="6"/>
  <c r="A1109" i="6"/>
  <c r="A1105" i="6"/>
  <c r="A1101" i="6"/>
  <c r="A1097" i="6"/>
  <c r="A1093" i="6"/>
  <c r="A1089" i="6"/>
  <c r="A1085" i="6"/>
  <c r="A1081" i="6"/>
  <c r="A1077" i="6"/>
  <c r="A1073" i="6"/>
  <c r="A1069" i="6"/>
  <c r="A1065" i="6"/>
  <c r="A1061" i="6"/>
  <c r="A1057" i="6"/>
  <c r="A1053" i="6"/>
  <c r="A1049" i="6"/>
  <c r="A1045" i="6"/>
  <c r="A1041" i="6"/>
  <c r="A1037" i="6"/>
  <c r="A1033" i="6"/>
  <c r="A1029" i="6"/>
  <c r="A1025" i="6"/>
  <c r="A1021" i="6"/>
  <c r="A1017" i="6"/>
  <c r="A1013" i="6"/>
  <c r="A1009" i="6"/>
  <c r="A1005" i="6"/>
  <c r="A1001" i="6"/>
  <c r="A997" i="6"/>
  <c r="A993" i="6"/>
  <c r="A989" i="6"/>
  <c r="A985" i="6"/>
  <c r="A981" i="6"/>
  <c r="A977" i="6"/>
  <c r="A973" i="6"/>
  <c r="A969" i="6"/>
  <c r="A965" i="6"/>
  <c r="A961" i="6"/>
  <c r="A957" i="6"/>
  <c r="A953" i="6"/>
  <c r="A949" i="6"/>
  <c r="A945" i="6"/>
  <c r="A941" i="6"/>
  <c r="A937" i="6"/>
  <c r="A933" i="6"/>
  <c r="A929" i="6"/>
  <c r="A925" i="6"/>
  <c r="A921" i="6"/>
  <c r="A917" i="6"/>
  <c r="A913" i="6"/>
  <c r="A909" i="6"/>
  <c r="A905" i="6"/>
  <c r="A901" i="6"/>
  <c r="A897" i="6"/>
  <c r="A893" i="6"/>
  <c r="A889" i="6"/>
  <c r="A885" i="6"/>
  <c r="A881" i="6"/>
  <c r="A877" i="6"/>
  <c r="A873" i="6"/>
  <c r="A869" i="6"/>
  <c r="A865" i="6"/>
  <c r="A861" i="6"/>
  <c r="A857" i="6"/>
  <c r="A853" i="6"/>
  <c r="A849" i="6"/>
  <c r="A845" i="6"/>
  <c r="A841" i="6"/>
  <c r="A837" i="6"/>
  <c r="A833" i="6"/>
  <c r="A829" i="6"/>
  <c r="A825" i="6"/>
  <c r="A821" i="6"/>
  <c r="A1339" i="6"/>
  <c r="A1326" i="6"/>
  <c r="A1241" i="6"/>
  <c r="A1220" i="6"/>
  <c r="A1203" i="6"/>
  <c r="A1467" i="6"/>
  <c r="A1237" i="6"/>
  <c r="A1213" i="6"/>
  <c r="A1341" i="6"/>
  <c r="A1308" i="6"/>
  <c r="A1304" i="6"/>
  <c r="A1300" i="6"/>
  <c r="A1296" i="6"/>
  <c r="A1292" i="6"/>
  <c r="A1288" i="6"/>
  <c r="A1284" i="6"/>
  <c r="A1280" i="6"/>
  <c r="A1276" i="6"/>
  <c r="A1272" i="6"/>
  <c r="A1268" i="6"/>
  <c r="A1264" i="6"/>
  <c r="A1260" i="6"/>
  <c r="A1256" i="6"/>
  <c r="A1252" i="6"/>
  <c r="A1248" i="6"/>
  <c r="A1233" i="6"/>
  <c r="A1211" i="6"/>
  <c r="A1194" i="6"/>
  <c r="A1190" i="6"/>
  <c r="A1186" i="6"/>
  <c r="A1182" i="6"/>
  <c r="A1178" i="6"/>
  <c r="A1174" i="6"/>
  <c r="A1170" i="6"/>
  <c r="A1166" i="6"/>
  <c r="A1162" i="6"/>
  <c r="A1158" i="6"/>
  <c r="A1154" i="6"/>
  <c r="A1150" i="6"/>
  <c r="A1146" i="6"/>
  <c r="A1142" i="6"/>
  <c r="A1138" i="6"/>
  <c r="A1134" i="6"/>
  <c r="A1130" i="6"/>
  <c r="A1126" i="6"/>
  <c r="A1122" i="6"/>
  <c r="A1118" i="6"/>
  <c r="A1114" i="6"/>
  <c r="A1110" i="6"/>
  <c r="A1106" i="6"/>
  <c r="A1102" i="6"/>
  <c r="A1098" i="6"/>
  <c r="A1094" i="6"/>
  <c r="A1090" i="6"/>
  <c r="A1086" i="6"/>
  <c r="A1082" i="6"/>
  <c r="A1078" i="6"/>
  <c r="A1074" i="6"/>
  <c r="A1070" i="6"/>
  <c r="A1066" i="6"/>
  <c r="A1062" i="6"/>
  <c r="A1058" i="6"/>
  <c r="A1054" i="6"/>
  <c r="A1050" i="6"/>
  <c r="A1046" i="6"/>
  <c r="A1042" i="6"/>
  <c r="A1038" i="6"/>
  <c r="A1034" i="6"/>
  <c r="A1030" i="6"/>
  <c r="A1026" i="6"/>
  <c r="A1022" i="6"/>
  <c r="A1018" i="6"/>
  <c r="A1014" i="6"/>
  <c r="A1010" i="6"/>
  <c r="A1006" i="6"/>
  <c r="A1002" i="6"/>
  <c r="A998" i="6"/>
  <c r="A994" i="6"/>
  <c r="A990" i="6"/>
  <c r="A986" i="6"/>
  <c r="A982" i="6"/>
  <c r="A978" i="6"/>
  <c r="A974" i="6"/>
  <c r="A970" i="6"/>
  <c r="A966" i="6"/>
  <c r="A962" i="6"/>
  <c r="A958" i="6"/>
  <c r="A954" i="6"/>
  <c r="A950" i="6"/>
  <c r="A946" i="6"/>
  <c r="A942" i="6"/>
  <c r="A938" i="6"/>
  <c r="A934" i="6"/>
  <c r="A930" i="6"/>
  <c r="A926" i="6"/>
  <c r="A922" i="6"/>
  <c r="A918" i="6"/>
  <c r="A914" i="6"/>
  <c r="A910" i="6"/>
  <c r="A906" i="6"/>
  <c r="A902" i="6"/>
  <c r="A898" i="6"/>
  <c r="A894" i="6"/>
  <c r="A890" i="6"/>
  <c r="A886" i="6"/>
  <c r="A882" i="6"/>
  <c r="A878" i="6"/>
  <c r="A874" i="6"/>
  <c r="A870" i="6"/>
  <c r="A866" i="6"/>
  <c r="A862" i="6"/>
  <c r="A858" i="6"/>
  <c r="A854" i="6"/>
  <c r="A850" i="6"/>
  <c r="A846" i="6"/>
  <c r="A842" i="6"/>
  <c r="A838" i="6"/>
  <c r="A834" i="6"/>
  <c r="A830" i="6"/>
  <c r="A826" i="6"/>
  <c r="A822" i="6"/>
  <c r="A1353" i="6"/>
  <c r="A1351" i="6"/>
  <c r="A1315" i="6"/>
  <c r="A1244" i="6"/>
  <c r="A1229" i="6"/>
  <c r="A1216" i="6"/>
  <c r="A1338" i="6"/>
  <c r="A1240" i="6"/>
  <c r="A1225" i="6"/>
  <c r="A1209" i="6"/>
  <c r="A1204" i="6"/>
  <c r="A1201" i="6"/>
  <c r="A1236" i="6"/>
  <c r="A1223" i="6"/>
  <c r="A1207" i="6"/>
  <c r="A1195" i="6"/>
  <c r="A1191" i="6"/>
  <c r="A1187" i="6"/>
  <c r="A1183" i="6"/>
  <c r="A1179" i="6"/>
  <c r="A1175" i="6"/>
  <c r="A1171" i="6"/>
  <c r="A1167" i="6"/>
  <c r="A1163" i="6"/>
  <c r="A1159" i="6"/>
  <c r="A1155" i="6"/>
  <c r="A1151" i="6"/>
  <c r="A1147" i="6"/>
  <c r="A1143" i="6"/>
  <c r="A1139" i="6"/>
  <c r="A1135" i="6"/>
  <c r="A1131" i="6"/>
  <c r="A1127" i="6"/>
  <c r="A1123" i="6"/>
  <c r="A1119" i="6"/>
  <c r="A1115" i="6"/>
  <c r="A1111" i="6"/>
  <c r="A1107" i="6"/>
  <c r="A1103" i="6"/>
  <c r="A1099" i="6"/>
  <c r="A1095" i="6"/>
  <c r="A1091" i="6"/>
  <c r="A1087" i="6"/>
  <c r="A1083" i="6"/>
  <c r="A1079" i="6"/>
  <c r="A1075" i="6"/>
  <c r="A1071" i="6"/>
  <c r="A1067" i="6"/>
  <c r="A1063" i="6"/>
  <c r="A1059" i="6"/>
  <c r="A1055" i="6"/>
  <c r="A1051" i="6"/>
  <c r="A1047" i="6"/>
  <c r="A1043" i="6"/>
  <c r="A1039" i="6"/>
  <c r="A1035" i="6"/>
  <c r="A1031" i="6"/>
  <c r="A1027" i="6"/>
  <c r="A1023" i="6"/>
  <c r="A1019" i="6"/>
  <c r="A1015" i="6"/>
  <c r="A1011" i="6"/>
  <c r="A1007" i="6"/>
  <c r="A1003" i="6"/>
  <c r="A999" i="6"/>
  <c r="A995" i="6"/>
  <c r="A991" i="6"/>
  <c r="A987" i="6"/>
  <c r="A983" i="6"/>
  <c r="A979" i="6"/>
  <c r="A975" i="6"/>
  <c r="A971" i="6"/>
  <c r="A967" i="6"/>
  <c r="A963" i="6"/>
  <c r="A959" i="6"/>
  <c r="A955" i="6"/>
  <c r="A951" i="6"/>
  <c r="A947" i="6"/>
  <c r="A943" i="6"/>
  <c r="A939" i="6"/>
  <c r="A935" i="6"/>
  <c r="A931" i="6"/>
  <c r="A927" i="6"/>
  <c r="A923" i="6"/>
  <c r="A919" i="6"/>
  <c r="A915" i="6"/>
  <c r="A911" i="6"/>
  <c r="A907" i="6"/>
  <c r="A903" i="6"/>
  <c r="A899" i="6"/>
  <c r="A895" i="6"/>
  <c r="A891" i="6"/>
  <c r="A1232" i="6"/>
  <c r="A1212" i="6"/>
  <c r="A1314" i="6"/>
  <c r="A1228" i="6"/>
  <c r="A1221" i="6"/>
  <c r="A1199" i="6"/>
  <c r="A1219" i="6"/>
  <c r="A1196" i="6"/>
  <c r="A1192" i="6"/>
  <c r="A1188" i="6"/>
  <c r="A1184" i="6"/>
  <c r="A1180" i="6"/>
  <c r="A1176" i="6"/>
  <c r="A1172" i="6"/>
  <c r="A1168" i="6"/>
  <c r="A1164" i="6"/>
  <c r="A1160" i="6"/>
  <c r="A1156" i="6"/>
  <c r="A1152" i="6"/>
  <c r="A1148" i="6"/>
  <c r="A1144" i="6"/>
  <c r="A1140" i="6"/>
  <c r="A1136" i="6"/>
  <c r="A1132" i="6"/>
  <c r="A1128" i="6"/>
  <c r="A1124" i="6"/>
  <c r="A1120" i="6"/>
  <c r="A1116" i="6"/>
  <c r="A1112" i="6"/>
  <c r="A1108" i="6"/>
  <c r="A1104" i="6"/>
  <c r="A1100" i="6"/>
  <c r="A1096" i="6"/>
  <c r="A1092" i="6"/>
  <c r="A1088" i="6"/>
  <c r="A1084" i="6"/>
  <c r="A1080" i="6"/>
  <c r="A1076" i="6"/>
  <c r="A1072" i="6"/>
  <c r="A1068" i="6"/>
  <c r="A1064" i="6"/>
  <c r="A1060" i="6"/>
  <c r="A1056" i="6"/>
  <c r="A1052" i="6"/>
  <c r="A1048" i="6"/>
  <c r="A1044" i="6"/>
  <c r="A1040" i="6"/>
  <c r="A1036" i="6"/>
  <c r="A1032" i="6"/>
  <c r="A1028" i="6"/>
  <c r="A1024" i="6"/>
  <c r="A1020" i="6"/>
  <c r="A1016" i="6"/>
  <c r="A1012" i="6"/>
  <c r="A1008" i="6"/>
  <c r="A1004" i="6"/>
  <c r="A1000" i="6"/>
  <c r="A996" i="6"/>
  <c r="A992" i="6"/>
  <c r="A988" i="6"/>
  <c r="A984" i="6"/>
  <c r="A980" i="6"/>
  <c r="A976" i="6"/>
  <c r="A972" i="6"/>
  <c r="A968" i="6"/>
  <c r="A964" i="6"/>
  <c r="A960" i="6"/>
  <c r="A956" i="6"/>
  <c r="A952" i="6"/>
  <c r="A948" i="6"/>
  <c r="A944" i="6"/>
  <c r="A940" i="6"/>
  <c r="A936" i="6"/>
  <c r="A932" i="6"/>
  <c r="A928" i="6"/>
  <c r="A924" i="6"/>
  <c r="A920" i="6"/>
  <c r="A916" i="6"/>
  <c r="A912" i="6"/>
  <c r="A908" i="6"/>
  <c r="A904" i="6"/>
  <c r="A900" i="6"/>
  <c r="A896" i="6"/>
  <c r="A892" i="6"/>
  <c r="A888" i="6"/>
  <c r="A884" i="6"/>
  <c r="A880" i="6"/>
  <c r="A876" i="6"/>
  <c r="A872" i="6"/>
  <c r="A868" i="6"/>
  <c r="A864" i="6"/>
  <c r="A860" i="6"/>
  <c r="A856" i="6"/>
  <c r="A852" i="6"/>
  <c r="A848" i="6"/>
  <c r="A844" i="6"/>
  <c r="A840" i="6"/>
  <c r="A836" i="6"/>
  <c r="A832" i="6"/>
  <c r="A828" i="6"/>
  <c r="A824" i="6"/>
  <c r="A820" i="6"/>
  <c r="A1265" i="6"/>
  <c r="A1224" i="6"/>
  <c r="A827" i="6"/>
  <c r="A817" i="6"/>
  <c r="A813" i="6"/>
  <c r="A809" i="6"/>
  <c r="A805" i="6"/>
  <c r="A801" i="6"/>
  <c r="A797" i="6"/>
  <c r="A793" i="6"/>
  <c r="A789" i="6"/>
  <c r="A785" i="6"/>
  <c r="A781" i="6"/>
  <c r="A777" i="6"/>
  <c r="A773" i="6"/>
  <c r="A769" i="6"/>
  <c r="A765" i="6"/>
  <c r="A761" i="6"/>
  <c r="A757" i="6"/>
  <c r="A753" i="6"/>
  <c r="A749" i="6"/>
  <c r="A745" i="6"/>
  <c r="A741" i="6"/>
  <c r="A737" i="6"/>
  <c r="A733" i="6"/>
  <c r="A729" i="6"/>
  <c r="A725" i="6"/>
  <c r="A721" i="6"/>
  <c r="A717" i="6"/>
  <c r="A713" i="6"/>
  <c r="A709" i="6"/>
  <c r="A705" i="6"/>
  <c r="A701" i="6"/>
  <c r="A697" i="6"/>
  <c r="A693" i="6"/>
  <c r="A689" i="6"/>
  <c r="A685" i="6"/>
  <c r="A681" i="6"/>
  <c r="A677" i="6"/>
  <c r="A673" i="6"/>
  <c r="A669" i="6"/>
  <c r="A665" i="6"/>
  <c r="A661" i="6"/>
  <c r="A657" i="6"/>
  <c r="A653" i="6"/>
  <c r="A649" i="6"/>
  <c r="A645" i="6"/>
  <c r="A641" i="6"/>
  <c r="A637" i="6"/>
  <c r="A633" i="6"/>
  <c r="A629" i="6"/>
  <c r="A625" i="6"/>
  <c r="A621" i="6"/>
  <c r="A617" i="6"/>
  <c r="A613" i="6"/>
  <c r="A609" i="6"/>
  <c r="A605" i="6"/>
  <c r="A601" i="6"/>
  <c r="A597" i="6"/>
  <c r="A593" i="6"/>
  <c r="A589" i="6"/>
  <c r="A585" i="6"/>
  <c r="A581" i="6"/>
  <c r="A577" i="6"/>
  <c r="A573" i="6"/>
  <c r="A569" i="6"/>
  <c r="A565" i="6"/>
  <c r="A561" i="6"/>
  <c r="A557" i="6"/>
  <c r="A553" i="6"/>
  <c r="A549" i="6"/>
  <c r="A545" i="6"/>
  <c r="A541" i="6"/>
  <c r="A537" i="6"/>
  <c r="A533" i="6"/>
  <c r="A529" i="6"/>
  <c r="A525" i="6"/>
  <c r="A521" i="6"/>
  <c r="A517" i="6"/>
  <c r="A513" i="6"/>
  <c r="A509" i="6"/>
  <c r="A505" i="6"/>
  <c r="A501" i="6"/>
  <c r="A497" i="6"/>
  <c r="A493" i="6"/>
  <c r="A489" i="6"/>
  <c r="A485" i="6"/>
  <c r="A481" i="6"/>
  <c r="A477" i="6"/>
  <c r="A473" i="6"/>
  <c r="A469" i="6"/>
  <c r="A465" i="6"/>
  <c r="A461" i="6"/>
  <c r="A457" i="6"/>
  <c r="A453" i="6"/>
  <c r="A449" i="6"/>
  <c r="A445" i="6"/>
  <c r="A441" i="6"/>
  <c r="A437" i="6"/>
  <c r="A1285" i="6"/>
  <c r="A823" i="6"/>
  <c r="A1465" i="6"/>
  <c r="A1305" i="6"/>
  <c r="A1257" i="6"/>
  <c r="A867" i="6"/>
  <c r="A1277" i="6"/>
  <c r="A871" i="6"/>
  <c r="A863" i="6"/>
  <c r="A818" i="6"/>
  <c r="A814" i="6"/>
  <c r="A810" i="6"/>
  <c r="A806" i="6"/>
  <c r="A802" i="6"/>
  <c r="A798" i="6"/>
  <c r="A794" i="6"/>
  <c r="A790" i="6"/>
  <c r="A786" i="6"/>
  <c r="A782" i="6"/>
  <c r="A778" i="6"/>
  <c r="A774" i="6"/>
  <c r="A770" i="6"/>
  <c r="A766" i="6"/>
  <c r="A762" i="6"/>
  <c r="A758" i="6"/>
  <c r="A754" i="6"/>
  <c r="A750" i="6"/>
  <c r="A746" i="6"/>
  <c r="A742" i="6"/>
  <c r="A738" i="6"/>
  <c r="A734" i="6"/>
  <c r="A730" i="6"/>
  <c r="A726" i="6"/>
  <c r="A722" i="6"/>
  <c r="A718" i="6"/>
  <c r="A714" i="6"/>
  <c r="A710" i="6"/>
  <c r="A706" i="6"/>
  <c r="A702" i="6"/>
  <c r="A698" i="6"/>
  <c r="A694" i="6"/>
  <c r="A690" i="6"/>
  <c r="A686" i="6"/>
  <c r="A682" i="6"/>
  <c r="A678" i="6"/>
  <c r="A674" i="6"/>
  <c r="A670" i="6"/>
  <c r="A666" i="6"/>
  <c r="A662" i="6"/>
  <c r="A658" i="6"/>
  <c r="A654" i="6"/>
  <c r="A650" i="6"/>
  <c r="A646" i="6"/>
  <c r="A642" i="6"/>
  <c r="A638" i="6"/>
  <c r="A634" i="6"/>
  <c r="A630" i="6"/>
  <c r="A626" i="6"/>
  <c r="A622" i="6"/>
  <c r="A618" i="6"/>
  <c r="A614" i="6"/>
  <c r="A610" i="6"/>
  <c r="A606" i="6"/>
  <c r="A602" i="6"/>
  <c r="A598" i="6"/>
  <c r="A594" i="6"/>
  <c r="A590" i="6"/>
  <c r="A586" i="6"/>
  <c r="A582" i="6"/>
  <c r="A578" i="6"/>
  <c r="A574" i="6"/>
  <c r="A570" i="6"/>
  <c r="A566" i="6"/>
  <c r="A562" i="6"/>
  <c r="A558" i="6"/>
  <c r="A554" i="6"/>
  <c r="A550" i="6"/>
  <c r="A546" i="6"/>
  <c r="A542" i="6"/>
  <c r="A538" i="6"/>
  <c r="A534" i="6"/>
  <c r="A530" i="6"/>
  <c r="A526" i="6"/>
  <c r="A522" i="6"/>
  <c r="A518" i="6"/>
  <c r="A514" i="6"/>
  <c r="A510" i="6"/>
  <c r="A506" i="6"/>
  <c r="A502" i="6"/>
  <c r="A498" i="6"/>
  <c r="A494" i="6"/>
  <c r="A490" i="6"/>
  <c r="A486" i="6"/>
  <c r="A482" i="6"/>
  <c r="A478" i="6"/>
  <c r="A474" i="6"/>
  <c r="A470" i="6"/>
  <c r="A466" i="6"/>
  <c r="A462" i="6"/>
  <c r="A458" i="6"/>
  <c r="A454" i="6"/>
  <c r="A450" i="6"/>
  <c r="A446" i="6"/>
  <c r="A442" i="6"/>
  <c r="A1297" i="6"/>
  <c r="A1249" i="6"/>
  <c r="A875" i="6"/>
  <c r="A859" i="6"/>
  <c r="A1269" i="6"/>
  <c r="A879" i="6"/>
  <c r="A855" i="6"/>
  <c r="A1289" i="6"/>
  <c r="A851" i="6"/>
  <c r="A819" i="6"/>
  <c r="A815" i="6"/>
  <c r="A811" i="6"/>
  <c r="A807" i="6"/>
  <c r="A803" i="6"/>
  <c r="A799" i="6"/>
  <c r="A795" i="6"/>
  <c r="A791" i="6"/>
  <c r="A787" i="6"/>
  <c r="A783" i="6"/>
  <c r="A779" i="6"/>
  <c r="A775" i="6"/>
  <c r="A771" i="6"/>
  <c r="A767" i="6"/>
  <c r="A763" i="6"/>
  <c r="A759" i="6"/>
  <c r="A755" i="6"/>
  <c r="A751" i="6"/>
  <c r="A747" i="6"/>
  <c r="A743" i="6"/>
  <c r="A739" i="6"/>
  <c r="A735" i="6"/>
  <c r="A731" i="6"/>
  <c r="A727" i="6"/>
  <c r="A723" i="6"/>
  <c r="A719" i="6"/>
  <c r="A715" i="6"/>
  <c r="A711" i="6"/>
  <c r="A707" i="6"/>
  <c r="A703" i="6"/>
  <c r="A699" i="6"/>
  <c r="A695" i="6"/>
  <c r="A691" i="6"/>
  <c r="A687" i="6"/>
  <c r="A683" i="6"/>
  <c r="A679" i="6"/>
  <c r="A675" i="6"/>
  <c r="A671" i="6"/>
  <c r="A667" i="6"/>
  <c r="A663" i="6"/>
  <c r="A659" i="6"/>
  <c r="A655" i="6"/>
  <c r="A651" i="6"/>
  <c r="A647" i="6"/>
  <c r="A643" i="6"/>
  <c r="A639" i="6"/>
  <c r="A635" i="6"/>
  <c r="A631" i="6"/>
  <c r="A1309" i="6"/>
  <c r="A1261" i="6"/>
  <c r="A847" i="6"/>
  <c r="A1329" i="6"/>
  <c r="A1281" i="6"/>
  <c r="A1217" i="6"/>
  <c r="A1208" i="6"/>
  <c r="A883" i="6"/>
  <c r="A843" i="6"/>
  <c r="A1301" i="6"/>
  <c r="A1253" i="6"/>
  <c r="A839" i="6"/>
  <c r="A816" i="6"/>
  <c r="A812" i="6"/>
  <c r="A808" i="6"/>
  <c r="A804" i="6"/>
  <c r="A800" i="6"/>
  <c r="A796" i="6"/>
  <c r="A792" i="6"/>
  <c r="A788" i="6"/>
  <c r="A784" i="6"/>
  <c r="A780" i="6"/>
  <c r="A776" i="6"/>
  <c r="A772" i="6"/>
  <c r="A768" i="6"/>
  <c r="A764" i="6"/>
  <c r="A760" i="6"/>
  <c r="A756" i="6"/>
  <c r="A752" i="6"/>
  <c r="A748" i="6"/>
  <c r="A744" i="6"/>
  <c r="A740" i="6"/>
  <c r="A736" i="6"/>
  <c r="A732" i="6"/>
  <c r="A728" i="6"/>
  <c r="A724" i="6"/>
  <c r="A720" i="6"/>
  <c r="A716" i="6"/>
  <c r="A712" i="6"/>
  <c r="A708" i="6"/>
  <c r="A704" i="6"/>
  <c r="A700" i="6"/>
  <c r="A696" i="6"/>
  <c r="A692" i="6"/>
  <c r="A688" i="6"/>
  <c r="A684" i="6"/>
  <c r="A680" i="6"/>
  <c r="A676" i="6"/>
  <c r="A672" i="6"/>
  <c r="A668" i="6"/>
  <c r="A664" i="6"/>
  <c r="A660" i="6"/>
  <c r="A656" i="6"/>
  <c r="A652" i="6"/>
  <c r="A648" i="6"/>
  <c r="A644" i="6"/>
  <c r="A640" i="6"/>
  <c r="A636" i="6"/>
  <c r="A632" i="6"/>
  <c r="A628" i="6"/>
  <c r="A624" i="6"/>
  <c r="A620" i="6"/>
  <c r="A616" i="6"/>
  <c r="A612" i="6"/>
  <c r="A608" i="6"/>
  <c r="A604" i="6"/>
  <c r="A600" i="6"/>
  <c r="A596" i="6"/>
  <c r="A592" i="6"/>
  <c r="A588" i="6"/>
  <c r="A584" i="6"/>
  <c r="A580" i="6"/>
  <c r="A576" i="6"/>
  <c r="A572" i="6"/>
  <c r="A568" i="6"/>
  <c r="A564" i="6"/>
  <c r="A560" i="6"/>
  <c r="A556" i="6"/>
  <c r="A552" i="6"/>
  <c r="A548" i="6"/>
  <c r="A544" i="6"/>
  <c r="A540" i="6"/>
  <c r="A536" i="6"/>
  <c r="A532" i="6"/>
  <c r="A528" i="6"/>
  <c r="A524" i="6"/>
  <c r="A520" i="6"/>
  <c r="A516" i="6"/>
  <c r="A512" i="6"/>
  <c r="A508" i="6"/>
  <c r="A504" i="6"/>
  <c r="A500" i="6"/>
  <c r="A496" i="6"/>
  <c r="A492" i="6"/>
  <c r="A488" i="6"/>
  <c r="A484" i="6"/>
  <c r="A480" i="6"/>
  <c r="A476" i="6"/>
  <c r="A472" i="6"/>
  <c r="A468" i="6"/>
  <c r="A464" i="6"/>
  <c r="A460" i="6"/>
  <c r="A456" i="6"/>
  <c r="A452" i="6"/>
  <c r="A448" i="6"/>
  <c r="A444" i="6"/>
  <c r="A440" i="6"/>
  <c r="A436" i="6"/>
  <c r="A623" i="6"/>
  <c r="A575" i="6"/>
  <c r="A547" i="6"/>
  <c r="A539" i="6"/>
  <c r="A491" i="6"/>
  <c r="A603" i="6"/>
  <c r="A555" i="6"/>
  <c r="A511" i="6"/>
  <c r="A455" i="6"/>
  <c r="A583" i="6"/>
  <c r="A531" i="6"/>
  <c r="A483" i="6"/>
  <c r="A463" i="6"/>
  <c r="A439" i="6"/>
  <c r="A430" i="6"/>
  <c r="A426" i="6"/>
  <c r="A422" i="6"/>
  <c r="A418" i="6"/>
  <c r="A414" i="6"/>
  <c r="A410" i="6"/>
  <c r="A406" i="6"/>
  <c r="A402" i="6"/>
  <c r="A398" i="6"/>
  <c r="A394" i="6"/>
  <c r="A390" i="6"/>
  <c r="A386" i="6"/>
  <c r="A382" i="6"/>
  <c r="A378" i="6"/>
  <c r="A374" i="6"/>
  <c r="A370" i="6"/>
  <c r="A366" i="6"/>
  <c r="A362" i="6"/>
  <c r="A358" i="6"/>
  <c r="A354" i="6"/>
  <c r="A350" i="6"/>
  <c r="A346" i="6"/>
  <c r="A342" i="6"/>
  <c r="A338" i="6"/>
  <c r="A334" i="6"/>
  <c r="A330" i="6"/>
  <c r="A326" i="6"/>
  <c r="A322" i="6"/>
  <c r="A318" i="6"/>
  <c r="A314" i="6"/>
  <c r="A310" i="6"/>
  <c r="A611" i="6"/>
  <c r="A563" i="6"/>
  <c r="A503" i="6"/>
  <c r="A434" i="6"/>
  <c r="A831" i="6"/>
  <c r="A591" i="6"/>
  <c r="A523" i="6"/>
  <c r="A475" i="6"/>
  <c r="A451" i="6"/>
  <c r="A887" i="6"/>
  <c r="A619" i="6"/>
  <c r="A571" i="6"/>
  <c r="A495" i="6"/>
  <c r="A431" i="6"/>
  <c r="A427" i="6"/>
  <c r="A423" i="6"/>
  <c r="A419" i="6"/>
  <c r="A415" i="6"/>
  <c r="A411" i="6"/>
  <c r="A407" i="6"/>
  <c r="A403" i="6"/>
  <c r="A399" i="6"/>
  <c r="A395" i="6"/>
  <c r="A391" i="6"/>
  <c r="A387" i="6"/>
  <c r="A383" i="6"/>
  <c r="A379" i="6"/>
  <c r="A375" i="6"/>
  <c r="A371" i="6"/>
  <c r="A367" i="6"/>
  <c r="A363" i="6"/>
  <c r="A359" i="6"/>
  <c r="A355" i="6"/>
  <c r="A351" i="6"/>
  <c r="A347" i="6"/>
  <c r="A343" i="6"/>
  <c r="A339" i="6"/>
  <c r="A335" i="6"/>
  <c r="A331" i="6"/>
  <c r="A327" i="6"/>
  <c r="A323" i="6"/>
  <c r="A319" i="6"/>
  <c r="A315" i="6"/>
  <c r="A311" i="6"/>
  <c r="A307" i="6"/>
  <c r="A303" i="6"/>
  <c r="A299" i="6"/>
  <c r="A295" i="6"/>
  <c r="A291" i="6"/>
  <c r="A287" i="6"/>
  <c r="A283" i="6"/>
  <c r="A279" i="6"/>
  <c r="A275" i="6"/>
  <c r="A271" i="6"/>
  <c r="A267" i="6"/>
  <c r="A263" i="6"/>
  <c r="A259" i="6"/>
  <c r="A255" i="6"/>
  <c r="A251" i="6"/>
  <c r="A599" i="6"/>
  <c r="A551" i="6"/>
  <c r="A543" i="6"/>
  <c r="A515" i="6"/>
  <c r="A467" i="6"/>
  <c r="A627" i="6"/>
  <c r="A579" i="6"/>
  <c r="A535" i="6"/>
  <c r="A487" i="6"/>
  <c r="A447" i="6"/>
  <c r="A1273" i="6"/>
  <c r="A607" i="6"/>
  <c r="A559" i="6"/>
  <c r="A507" i="6"/>
  <c r="A435" i="6"/>
  <c r="A432" i="6"/>
  <c r="A428" i="6"/>
  <c r="A424" i="6"/>
  <c r="A420" i="6"/>
  <c r="A416" i="6"/>
  <c r="A412" i="6"/>
  <c r="A408" i="6"/>
  <c r="A404" i="6"/>
  <c r="A400" i="6"/>
  <c r="A396" i="6"/>
  <c r="A392" i="6"/>
  <c r="A388" i="6"/>
  <c r="A384" i="6"/>
  <c r="A380" i="6"/>
  <c r="A376" i="6"/>
  <c r="A372" i="6"/>
  <c r="A368" i="6"/>
  <c r="A364" i="6"/>
  <c r="A360" i="6"/>
  <c r="A356" i="6"/>
  <c r="A352" i="6"/>
  <c r="A348" i="6"/>
  <c r="A344" i="6"/>
  <c r="A340" i="6"/>
  <c r="A336" i="6"/>
  <c r="A332" i="6"/>
  <c r="A328" i="6"/>
  <c r="A324" i="6"/>
  <c r="A320" i="6"/>
  <c r="A316" i="6"/>
  <c r="A312" i="6"/>
  <c r="A308" i="6"/>
  <c r="A304" i="6"/>
  <c r="A300" i="6"/>
  <c r="A587" i="6"/>
  <c r="A527" i="6"/>
  <c r="A479" i="6"/>
  <c r="A438" i="6"/>
  <c r="A1293" i="6"/>
  <c r="A1205" i="6"/>
  <c r="A835" i="6"/>
  <c r="A615" i="6"/>
  <c r="A567" i="6"/>
  <c r="A499" i="6"/>
  <c r="A443" i="6"/>
  <c r="A471" i="6"/>
  <c r="A273" i="6"/>
  <c r="A268" i="6"/>
  <c r="A261" i="6"/>
  <c r="A256" i="6"/>
  <c r="A249" i="6"/>
  <c r="A238" i="6"/>
  <c r="A225" i="6"/>
  <c r="A214" i="6"/>
  <c r="A201" i="6"/>
  <c r="A190" i="6"/>
  <c r="A177" i="6"/>
  <c r="A166" i="6"/>
  <c r="A153" i="6"/>
  <c r="A142" i="6"/>
  <c r="A129" i="6"/>
  <c r="A118" i="6"/>
  <c r="A105" i="6"/>
  <c r="A94" i="6"/>
  <c r="A81" i="6"/>
  <c r="A70" i="6"/>
  <c r="A57" i="6"/>
  <c r="A46" i="6"/>
  <c r="A33" i="6"/>
  <c r="A22" i="6"/>
  <c r="A9" i="6"/>
  <c r="A425" i="6"/>
  <c r="A409" i="6"/>
  <c r="A393" i="6"/>
  <c r="A373" i="6"/>
  <c r="A349" i="6"/>
  <c r="A325" i="6"/>
  <c r="A305" i="6"/>
  <c r="A302" i="6"/>
  <c r="A240" i="6"/>
  <c r="A227" i="6"/>
  <c r="A216" i="6"/>
  <c r="A203" i="6"/>
  <c r="A192" i="6"/>
  <c r="A179" i="6"/>
  <c r="A168" i="6"/>
  <c r="A155" i="6"/>
  <c r="A144" i="6"/>
  <c r="A131" i="6"/>
  <c r="A120" i="6"/>
  <c r="A107" i="6"/>
  <c r="A96" i="6"/>
  <c r="A83" i="6"/>
  <c r="A72" i="6"/>
  <c r="A59" i="6"/>
  <c r="A48" i="6"/>
  <c r="A35" i="6"/>
  <c r="A24" i="6"/>
  <c r="A11" i="6"/>
  <c r="A296" i="6"/>
  <c r="A288" i="6"/>
  <c r="A280" i="6"/>
  <c r="A270" i="6"/>
  <c r="A258" i="6"/>
  <c r="A242" i="6"/>
  <c r="A229" i="6"/>
  <c r="A218" i="6"/>
  <c r="A205" i="6"/>
  <c r="A194" i="6"/>
  <c r="A181" i="6"/>
  <c r="A170" i="6"/>
  <c r="A157" i="6"/>
  <c r="A146" i="6"/>
  <c r="A133" i="6"/>
  <c r="A122" i="6"/>
  <c r="A109" i="6"/>
  <c r="A98" i="6"/>
  <c r="A85" i="6"/>
  <c r="A74" i="6"/>
  <c r="A61" i="6"/>
  <c r="A50" i="6"/>
  <c r="A37" i="6"/>
  <c r="A26" i="6"/>
  <c r="A13" i="6"/>
  <c r="A2" i="6"/>
  <c r="A369" i="6"/>
  <c r="A345" i="6"/>
  <c r="A321" i="6"/>
  <c r="A244" i="6"/>
  <c r="A231" i="6"/>
  <c r="A220" i="6"/>
  <c r="A207" i="6"/>
  <c r="A196" i="6"/>
  <c r="A183" i="6"/>
  <c r="A172" i="6"/>
  <c r="A159" i="6"/>
  <c r="A148" i="6"/>
  <c r="A135" i="6"/>
  <c r="A124" i="6"/>
  <c r="A111" i="6"/>
  <c r="A100" i="6"/>
  <c r="A87" i="6"/>
  <c r="A76" i="6"/>
  <c r="A63" i="6"/>
  <c r="A52" i="6"/>
  <c r="A39" i="6"/>
  <c r="A28" i="6"/>
  <c r="A15" i="6"/>
  <c r="A4" i="6"/>
  <c r="A421" i="6"/>
  <c r="A405" i="6"/>
  <c r="A389" i="6"/>
  <c r="A293" i="6"/>
  <c r="A285" i="6"/>
  <c r="A277" i="6"/>
  <c r="A272" i="6"/>
  <c r="A265" i="6"/>
  <c r="A260" i="6"/>
  <c r="A253" i="6"/>
  <c r="A246" i="6"/>
  <c r="A233" i="6"/>
  <c r="A222" i="6"/>
  <c r="A209" i="6"/>
  <c r="A198" i="6"/>
  <c r="A185" i="6"/>
  <c r="A174" i="6"/>
  <c r="A161" i="6"/>
  <c r="A150" i="6"/>
  <c r="A137" i="6"/>
  <c r="A126" i="6"/>
  <c r="A113" i="6"/>
  <c r="A102" i="6"/>
  <c r="A89" i="6"/>
  <c r="A78" i="6"/>
  <c r="A65" i="6"/>
  <c r="A54" i="6"/>
  <c r="A41" i="6"/>
  <c r="A30" i="6"/>
  <c r="A17" i="6"/>
  <c r="A6" i="6"/>
  <c r="A365" i="6"/>
  <c r="A341" i="6"/>
  <c r="A317" i="6"/>
  <c r="A301" i="6"/>
  <c r="A298" i="6"/>
  <c r="A290" i="6"/>
  <c r="A282" i="6"/>
  <c r="A248" i="6"/>
  <c r="A235" i="6"/>
  <c r="A224" i="6"/>
  <c r="A211" i="6"/>
  <c r="A200" i="6"/>
  <c r="A187" i="6"/>
  <c r="A176" i="6"/>
  <c r="A163" i="6"/>
  <c r="A152" i="6"/>
  <c r="A139" i="6"/>
  <c r="A128" i="6"/>
  <c r="A115" i="6"/>
  <c r="A104" i="6"/>
  <c r="A91" i="6"/>
  <c r="A80" i="6"/>
  <c r="A67" i="6"/>
  <c r="A56" i="6"/>
  <c r="A43" i="6"/>
  <c r="A32" i="6"/>
  <c r="A19" i="6"/>
  <c r="A8" i="6"/>
  <c r="A595" i="6"/>
  <c r="A459" i="6"/>
  <c r="A274" i="6"/>
  <c r="A262" i="6"/>
  <c r="A250" i="6"/>
  <c r="A237" i="6"/>
  <c r="A226" i="6"/>
  <c r="A213" i="6"/>
  <c r="A202" i="6"/>
  <c r="A189" i="6"/>
  <c r="A178" i="6"/>
  <c r="A165" i="6"/>
  <c r="A154" i="6"/>
  <c r="A141" i="6"/>
  <c r="A130" i="6"/>
  <c r="A117" i="6"/>
  <c r="A106" i="6"/>
  <c r="A93" i="6"/>
  <c r="A82" i="6"/>
  <c r="A69" i="6"/>
  <c r="A58" i="6"/>
  <c r="A45" i="6"/>
  <c r="A34" i="6"/>
  <c r="A21" i="6"/>
  <c r="A10" i="6"/>
  <c r="A433" i="6"/>
  <c r="A417" i="6"/>
  <c r="A401" i="6"/>
  <c r="A385" i="6"/>
  <c r="A361" i="6"/>
  <c r="A337" i="6"/>
  <c r="A313" i="6"/>
  <c r="A239" i="6"/>
  <c r="A228" i="6"/>
  <c r="A215" i="6"/>
  <c r="A204" i="6"/>
  <c r="A191" i="6"/>
  <c r="A180" i="6"/>
  <c r="A167" i="6"/>
  <c r="A156" i="6"/>
  <c r="A143" i="6"/>
  <c r="A132" i="6"/>
  <c r="A119" i="6"/>
  <c r="A108" i="6"/>
  <c r="A95" i="6"/>
  <c r="A84" i="6"/>
  <c r="A71" i="6"/>
  <c r="A60" i="6"/>
  <c r="A47" i="6"/>
  <c r="A36" i="6"/>
  <c r="A23" i="6"/>
  <c r="A12" i="6"/>
  <c r="A519" i="6"/>
  <c r="A292" i="6"/>
  <c r="A284" i="6"/>
  <c r="A276" i="6"/>
  <c r="A269" i="6"/>
  <c r="A264" i="6"/>
  <c r="A257" i="6"/>
  <c r="A252" i="6"/>
  <c r="A241" i="6"/>
  <c r="A230" i="6"/>
  <c r="A217" i="6"/>
  <c r="A206" i="6"/>
  <c r="A193" i="6"/>
  <c r="A182" i="6"/>
  <c r="A169" i="6"/>
  <c r="A158" i="6"/>
  <c r="A145" i="6"/>
  <c r="A134" i="6"/>
  <c r="A121" i="6"/>
  <c r="A110" i="6"/>
  <c r="A97" i="6"/>
  <c r="A86" i="6"/>
  <c r="A73" i="6"/>
  <c r="A62" i="6"/>
  <c r="A49" i="6"/>
  <c r="A38" i="6"/>
  <c r="A25" i="6"/>
  <c r="A14" i="6"/>
  <c r="A381" i="6"/>
  <c r="A357" i="6"/>
  <c r="A333" i="6"/>
  <c r="A309" i="6"/>
  <c r="A306" i="6"/>
  <c r="A243" i="6"/>
  <c r="A232" i="6"/>
  <c r="A219" i="6"/>
  <c r="A208" i="6"/>
  <c r="A195" i="6"/>
  <c r="A184" i="6"/>
  <c r="A171" i="6"/>
  <c r="A160" i="6"/>
  <c r="A147" i="6"/>
  <c r="A136" i="6"/>
  <c r="A123" i="6"/>
  <c r="A112" i="6"/>
  <c r="A99" i="6"/>
  <c r="A88" i="6"/>
  <c r="A75" i="6"/>
  <c r="A64" i="6"/>
  <c r="A51" i="6"/>
  <c r="A40" i="6"/>
  <c r="A27" i="6"/>
  <c r="A16" i="6"/>
  <c r="A3" i="6"/>
  <c r="A429" i="6"/>
  <c r="A413" i="6"/>
  <c r="A397" i="6"/>
  <c r="A297" i="6"/>
  <c r="A289" i="6"/>
  <c r="A281" i="6"/>
  <c r="A266" i="6"/>
  <c r="A254" i="6"/>
  <c r="A245" i="6"/>
  <c r="A234" i="6"/>
  <c r="A221" i="6"/>
  <c r="A210" i="6"/>
  <c r="A197" i="6"/>
  <c r="A186" i="6"/>
  <c r="A173" i="6"/>
  <c r="A162" i="6"/>
  <c r="A149" i="6"/>
  <c r="A138" i="6"/>
  <c r="A125" i="6"/>
  <c r="A114" i="6"/>
  <c r="A101" i="6"/>
  <c r="A90" i="6"/>
  <c r="A77" i="6"/>
  <c r="A66" i="6"/>
  <c r="A53" i="6"/>
  <c r="A42" i="6"/>
  <c r="A29" i="6"/>
  <c r="A18" i="6"/>
  <c r="A5" i="6"/>
  <c r="A247" i="6"/>
  <c r="A175" i="6"/>
  <c r="A103" i="6"/>
  <c r="A31" i="6"/>
  <c r="A212" i="6"/>
  <c r="A140" i="6"/>
  <c r="A68" i="6"/>
  <c r="A223" i="6"/>
  <c r="A151" i="6"/>
  <c r="A79" i="6"/>
  <c r="A7" i="6"/>
  <c r="A377" i="6"/>
  <c r="A188" i="6"/>
  <c r="A116" i="6"/>
  <c r="A44" i="6"/>
  <c r="A353" i="6"/>
  <c r="A199" i="6"/>
  <c r="A127" i="6"/>
  <c r="A55" i="6"/>
  <c r="A294" i="6"/>
  <c r="A329" i="6"/>
  <c r="A286" i="6"/>
  <c r="A236" i="6"/>
  <c r="A164" i="6"/>
  <c r="A92" i="6"/>
  <c r="A20" i="6"/>
  <c r="A278" i="6"/>
  <c r="AO56" i="3"/>
  <c r="AC56" i="3"/>
  <c r="AH56" i="3" s="1"/>
  <c r="AM56" i="3" s="1"/>
  <c r="Q56" i="3"/>
  <c r="AN56" i="3"/>
  <c r="AB56" i="3"/>
  <c r="AG56" i="3" s="1"/>
  <c r="AL56" i="3" s="1"/>
  <c r="P56" i="3"/>
  <c r="W56" i="3"/>
  <c r="S56" i="3"/>
  <c r="AA56" i="3"/>
  <c r="AF56" i="3" s="1"/>
  <c r="AK56" i="3" s="1"/>
  <c r="Z56" i="3"/>
  <c r="AE56" i="3" s="1"/>
  <c r="AJ56" i="3" s="1"/>
  <c r="AR56" i="3"/>
  <c r="Y56" i="3"/>
  <c r="AD56" i="3" s="1"/>
  <c r="AI56" i="3" s="1"/>
  <c r="X56" i="3"/>
  <c r="V56" i="3"/>
  <c r="U56" i="3"/>
  <c r="T56" i="3"/>
  <c r="R56" i="3"/>
  <c r="O56" i="3"/>
  <c r="X31" i="3"/>
  <c r="V31" i="3"/>
  <c r="U31" i="3"/>
  <c r="AR31" i="3"/>
  <c r="T31" i="3"/>
  <c r="S31" i="3"/>
  <c r="AD31" i="3"/>
  <c r="AI31" i="3" s="1"/>
  <c r="R31" i="3"/>
  <c r="AO31" i="3"/>
  <c r="AC31" i="3"/>
  <c r="AH31" i="3" s="1"/>
  <c r="AM31" i="3" s="1"/>
  <c r="Q31" i="3"/>
  <c r="AN31" i="3"/>
  <c r="AB31" i="3"/>
  <c r="AG31" i="3" s="1"/>
  <c r="AL31" i="3" s="1"/>
  <c r="P31" i="3"/>
  <c r="AA31" i="3"/>
  <c r="AF31" i="3" s="1"/>
  <c r="AK31" i="3" s="1"/>
  <c r="O31" i="3"/>
  <c r="Z31" i="3"/>
  <c r="AE31" i="3" s="1"/>
  <c r="AJ31" i="3" s="1"/>
  <c r="Y31" i="3"/>
  <c r="W31" i="3"/>
  <c r="T9" i="3"/>
  <c r="P9" i="3"/>
  <c r="S9" i="3"/>
  <c r="Q9" i="3"/>
  <c r="O9" i="3"/>
  <c r="AC9" i="3" s="1"/>
  <c r="AH9" i="3" s="1"/>
  <c r="AM9" i="3" s="1"/>
  <c r="Y46" i="3"/>
  <c r="AD46" i="3" s="1"/>
  <c r="AI46" i="3" s="1"/>
  <c r="X46" i="3"/>
  <c r="S46" i="3"/>
  <c r="AA46" i="3"/>
  <c r="O46" i="3"/>
  <c r="AN46" i="3"/>
  <c r="U46" i="3"/>
  <c r="T46" i="3"/>
  <c r="R46" i="3"/>
  <c r="Q46" i="3"/>
  <c r="P46" i="3"/>
  <c r="AF46" i="3"/>
  <c r="AK46" i="3" s="1"/>
  <c r="AC46" i="3"/>
  <c r="AH46" i="3" s="1"/>
  <c r="AM46" i="3" s="1"/>
  <c r="AB46" i="3"/>
  <c r="AG46" i="3" s="1"/>
  <c r="AL46" i="3" s="1"/>
  <c r="AR46" i="3"/>
  <c r="Z46" i="3"/>
  <c r="AE46" i="3" s="1"/>
  <c r="AJ46" i="3" s="1"/>
  <c r="W46" i="3"/>
  <c r="AO46" i="3"/>
  <c r="V46" i="3"/>
  <c r="AN23" i="3"/>
  <c r="AB23" i="3"/>
  <c r="AG23" i="3" s="1"/>
  <c r="AL23" i="3" s="1"/>
  <c r="P23" i="3"/>
  <c r="Z23" i="3"/>
  <c r="AE23" i="3" s="1"/>
  <c r="AJ23" i="3" s="1"/>
  <c r="Y23" i="3"/>
  <c r="AD23" i="3" s="1"/>
  <c r="AI23" i="3" s="1"/>
  <c r="X23" i="3"/>
  <c r="W23" i="3"/>
  <c r="V23" i="3"/>
  <c r="U23" i="3"/>
  <c r="AR23" i="3"/>
  <c r="T23" i="3"/>
  <c r="S23" i="3"/>
  <c r="R23" i="3"/>
  <c r="AO23" i="3"/>
  <c r="AC23" i="3"/>
  <c r="AH23" i="3" s="1"/>
  <c r="AM23" i="3" s="1"/>
  <c r="AA23" i="3"/>
  <c r="AF23" i="3" s="1"/>
  <c r="AK23" i="3" s="1"/>
  <c r="Q23" i="3"/>
  <c r="O23" i="3"/>
  <c r="A1499" i="8"/>
  <c r="A1495" i="8"/>
  <c r="A1491" i="8"/>
  <c r="A1487" i="8"/>
  <c r="A1483" i="8"/>
  <c r="A1479" i="8"/>
  <c r="A1475" i="8"/>
  <c r="A1471" i="8"/>
  <c r="A1467" i="8"/>
  <c r="A1463" i="8"/>
  <c r="A1459" i="8"/>
  <c r="A1455" i="8"/>
  <c r="A1451" i="8"/>
  <c r="A1447" i="8"/>
  <c r="A1443" i="8"/>
  <c r="A1439" i="8"/>
  <c r="A1435" i="8"/>
  <c r="A1431" i="8"/>
  <c r="A1427" i="8"/>
  <c r="A1423" i="8"/>
  <c r="A1419" i="8"/>
  <c r="A1415" i="8"/>
  <c r="A1411" i="8"/>
  <c r="A1407" i="8"/>
  <c r="A1501" i="8"/>
  <c r="A1497" i="8"/>
  <c r="A1493" i="8"/>
  <c r="A1489" i="8"/>
  <c r="A1485" i="8"/>
  <c r="A1481" i="8"/>
  <c r="A1477" i="8"/>
  <c r="A1473" i="8"/>
  <c r="A1469" i="8"/>
  <c r="A1465" i="8"/>
  <c r="A1461" i="8"/>
  <c r="A1457" i="8"/>
  <c r="A1453" i="8"/>
  <c r="A1449" i="8"/>
  <c r="A1445" i="8"/>
  <c r="A1441" i="8"/>
  <c r="A1437" i="8"/>
  <c r="A1433" i="8"/>
  <c r="A1429" i="8"/>
  <c r="A1425" i="8"/>
  <c r="A1421" i="8"/>
  <c r="A1417" i="8"/>
  <c r="A1413" i="8"/>
  <c r="A1409" i="8"/>
  <c r="A1405" i="8"/>
  <c r="A1401" i="8"/>
  <c r="A1397" i="8"/>
  <c r="A1393" i="8"/>
  <c r="A1389" i="8"/>
  <c r="A1416" i="8"/>
  <c r="A1414" i="8"/>
  <c r="A1387" i="8"/>
  <c r="A1379" i="8"/>
  <c r="A1371" i="8"/>
  <c r="A1363" i="8"/>
  <c r="A1355" i="8"/>
  <c r="A1412" i="8"/>
  <c r="A1410" i="8"/>
  <c r="A1392" i="8"/>
  <c r="A1382" i="8"/>
  <c r="A1374" i="8"/>
  <c r="A1366" i="8"/>
  <c r="A1358" i="8"/>
  <c r="A1344" i="8"/>
  <c r="A1337" i="8"/>
  <c r="A1333" i="8"/>
  <c r="A1329" i="8"/>
  <c r="A1325" i="8"/>
  <c r="A1321" i="8"/>
  <c r="A1317" i="8"/>
  <c r="A1313" i="8"/>
  <c r="A1490" i="8"/>
  <c r="A1486" i="8"/>
  <c r="A1482" i="8"/>
  <c r="A1478" i="8"/>
  <c r="A1474" i="8"/>
  <c r="A1470" i="8"/>
  <c r="A1466" i="8"/>
  <c r="A1462" i="8"/>
  <c r="A1458" i="8"/>
  <c r="A1454" i="8"/>
  <c r="A1408" i="8"/>
  <c r="A1406" i="8"/>
  <c r="A1399" i="8"/>
  <c r="A1390" i="8"/>
  <c r="A1350" i="8"/>
  <c r="A1347" i="8"/>
  <c r="A1341" i="8"/>
  <c r="A1488" i="8"/>
  <c r="A1484" i="8"/>
  <c r="A1480" i="8"/>
  <c r="A1476" i="8"/>
  <c r="A1472" i="8"/>
  <c r="A1468" i="8"/>
  <c r="A1464" i="8"/>
  <c r="A1460" i="8"/>
  <c r="A1456" i="8"/>
  <c r="A1452" i="8"/>
  <c r="A1450" i="8"/>
  <c r="A1385" i="8"/>
  <c r="A1377" i="8"/>
  <c r="A1369" i="8"/>
  <c r="A1361" i="8"/>
  <c r="A1494" i="8"/>
  <c r="A1492" i="8"/>
  <c r="A1448" i="8"/>
  <c r="A1446" i="8"/>
  <c r="A1404" i="8"/>
  <c r="A1388" i="8"/>
  <c r="A1380" i="8"/>
  <c r="A1372" i="8"/>
  <c r="A1364" i="8"/>
  <c r="A1356" i="8"/>
  <c r="A1353" i="8"/>
  <c r="A1338" i="8"/>
  <c r="A1334" i="8"/>
  <c r="A1330" i="8"/>
  <c r="A1444" i="8"/>
  <c r="A1442" i="8"/>
  <c r="A1402" i="8"/>
  <c r="A1395" i="8"/>
  <c r="A1342" i="8"/>
  <c r="A1498" i="8"/>
  <c r="A1496" i="8"/>
  <c r="A1440" i="8"/>
  <c r="A1438" i="8"/>
  <c r="A1383" i="8"/>
  <c r="A1375" i="8"/>
  <c r="A1367" i="8"/>
  <c r="A1359" i="8"/>
  <c r="A1348" i="8"/>
  <c r="A1345" i="8"/>
  <c r="A1424" i="8"/>
  <c r="A1422" i="8"/>
  <c r="A1396" i="8"/>
  <c r="A1384" i="8"/>
  <c r="A1376" i="8"/>
  <c r="A1368" i="8"/>
  <c r="A1360" i="8"/>
  <c r="A1323" i="8"/>
  <c r="A1312" i="8"/>
  <c r="A1302" i="8"/>
  <c r="A1294" i="8"/>
  <c r="A1286" i="8"/>
  <c r="A1430" i="8"/>
  <c r="A1310" i="8"/>
  <c r="A1305" i="8"/>
  <c r="A1297" i="8"/>
  <c r="A1289" i="8"/>
  <c r="A1319" i="8"/>
  <c r="A1256" i="8"/>
  <c r="A1252" i="8"/>
  <c r="A1248" i="8"/>
  <c r="A1244" i="8"/>
  <c r="A1240" i="8"/>
  <c r="A1236" i="8"/>
  <c r="A1232" i="8"/>
  <c r="A1228" i="8"/>
  <c r="A1224" i="8"/>
  <c r="A1220" i="8"/>
  <c r="A1216" i="8"/>
  <c r="A1212" i="8"/>
  <c r="A1208" i="8"/>
  <c r="A1204" i="8"/>
  <c r="A1200" i="8"/>
  <c r="A1420" i="8"/>
  <c r="A1346" i="8"/>
  <c r="A1340" i="8"/>
  <c r="A1336" i="8"/>
  <c r="A1332" i="8"/>
  <c r="A1328" i="8"/>
  <c r="A1300" i="8"/>
  <c r="A1292" i="8"/>
  <c r="A1284" i="8"/>
  <c r="A1281" i="8"/>
  <c r="A1278" i="8"/>
  <c r="A1275" i="8"/>
  <c r="A1272" i="8"/>
  <c r="A1269" i="8"/>
  <c r="A1266" i="8"/>
  <c r="A1263" i="8"/>
  <c r="A1260" i="8"/>
  <c r="A1432" i="8"/>
  <c r="A1398" i="8"/>
  <c r="A1326" i="8"/>
  <c r="A1315" i="8"/>
  <c r="A1308" i="8"/>
  <c r="A1303" i="8"/>
  <c r="A1295" i="8"/>
  <c r="A1287" i="8"/>
  <c r="A1426" i="8"/>
  <c r="A1324" i="8"/>
  <c r="A1257" i="8"/>
  <c r="A1253" i="8"/>
  <c r="A1249" i="8"/>
  <c r="A1245" i="8"/>
  <c r="A1241" i="8"/>
  <c r="A1237" i="8"/>
  <c r="A1233" i="8"/>
  <c r="A1229" i="8"/>
  <c r="A1225" i="8"/>
  <c r="A1221" i="8"/>
  <c r="A1217" i="8"/>
  <c r="A1213" i="8"/>
  <c r="A1209" i="8"/>
  <c r="A1322" i="8"/>
  <c r="A1306" i="8"/>
  <c r="A1298" i="8"/>
  <c r="A1290" i="8"/>
  <c r="A1500" i="8"/>
  <c r="A1434" i="8"/>
  <c r="A1403" i="8"/>
  <c r="A1400" i="8"/>
  <c r="A1352" i="8"/>
  <c r="A1320" i="8"/>
  <c r="A1311" i="8"/>
  <c r="A1301" i="8"/>
  <c r="A1293" i="8"/>
  <c r="A1285" i="8"/>
  <c r="A1282" i="8"/>
  <c r="A1279" i="8"/>
  <c r="A1276" i="8"/>
  <c r="A1273" i="8"/>
  <c r="A1270" i="8"/>
  <c r="A1267" i="8"/>
  <c r="A1264" i="8"/>
  <c r="A1261" i="8"/>
  <c r="A1394" i="8"/>
  <c r="A1386" i="8"/>
  <c r="A1378" i="8"/>
  <c r="A1370" i="8"/>
  <c r="A1362" i="8"/>
  <c r="A1318" i="8"/>
  <c r="A1309" i="8"/>
  <c r="A1299" i="8"/>
  <c r="A1291" i="8"/>
  <c r="A1259" i="8"/>
  <c r="A1251" i="8"/>
  <c r="A1230" i="8"/>
  <c r="A1218" i="8"/>
  <c r="A1197" i="8"/>
  <c r="A1193" i="8"/>
  <c r="A1189" i="8"/>
  <c r="A1185" i="8"/>
  <c r="A1181" i="8"/>
  <c r="A1177" i="8"/>
  <c r="A1173" i="8"/>
  <c r="A1169" i="8"/>
  <c r="A1165" i="8"/>
  <c r="A1161" i="8"/>
  <c r="A1157" i="8"/>
  <c r="A1153" i="8"/>
  <c r="A1149" i="8"/>
  <c r="A1145" i="8"/>
  <c r="A1141" i="8"/>
  <c r="A1137" i="8"/>
  <c r="A1133" i="8"/>
  <c r="A1129" i="8"/>
  <c r="A1391" i="8"/>
  <c r="A1304" i="8"/>
  <c r="A1296" i="8"/>
  <c r="A1288" i="8"/>
  <c r="A1283" i="8"/>
  <c r="A1271" i="8"/>
  <c r="A1239" i="8"/>
  <c r="A1428" i="8"/>
  <c r="A1381" i="8"/>
  <c r="A1357" i="8"/>
  <c r="A1331" i="8"/>
  <c r="A1307" i="8"/>
  <c r="A1235" i="8"/>
  <c r="A1223" i="8"/>
  <c r="A1211" i="8"/>
  <c r="A1206" i="8"/>
  <c r="A1203" i="8"/>
  <c r="A1280" i="8"/>
  <c r="A1268" i="8"/>
  <c r="A1258" i="8"/>
  <c r="A1250" i="8"/>
  <c r="A1243" i="8"/>
  <c r="A1194" i="8"/>
  <c r="A1190" i="8"/>
  <c r="A1186" i="8"/>
  <c r="A1182" i="8"/>
  <c r="A1178" i="8"/>
  <c r="A1339" i="8"/>
  <c r="A1226" i="8"/>
  <c r="A1214" i="8"/>
  <c r="A1198" i="8"/>
  <c r="A1314" i="8"/>
  <c r="A1238" i="8"/>
  <c r="A1201" i="8"/>
  <c r="A1373" i="8"/>
  <c r="A1255" i="8"/>
  <c r="A1247" i="8"/>
  <c r="A1231" i="8"/>
  <c r="A1265" i="8"/>
  <c r="A1242" i="8"/>
  <c r="A1207" i="8"/>
  <c r="A1349" i="8"/>
  <c r="A1327" i="8"/>
  <c r="A1277" i="8"/>
  <c r="A1234" i="8"/>
  <c r="A1222" i="8"/>
  <c r="A1210" i="8"/>
  <c r="A1351" i="8"/>
  <c r="A1174" i="8"/>
  <c r="A1155" i="8"/>
  <c r="A1152" i="8"/>
  <c r="A1136" i="8"/>
  <c r="A1126" i="8"/>
  <c r="A1122" i="8"/>
  <c r="A1118" i="8"/>
  <c r="A1114" i="8"/>
  <c r="A1110" i="8"/>
  <c r="A1106" i="8"/>
  <c r="A1102" i="8"/>
  <c r="A1098" i="8"/>
  <c r="A1094" i="8"/>
  <c r="A1090" i="8"/>
  <c r="A1086" i="8"/>
  <c r="A1082" i="8"/>
  <c r="A1078" i="8"/>
  <c r="A1074" i="8"/>
  <c r="A1070" i="8"/>
  <c r="A1066" i="8"/>
  <c r="A1062" i="8"/>
  <c r="A1058" i="8"/>
  <c r="A1054" i="8"/>
  <c r="A1436" i="8"/>
  <c r="A1195" i="8"/>
  <c r="A1183" i="8"/>
  <c r="A1158" i="8"/>
  <c r="A1146" i="8"/>
  <c r="A1130" i="8"/>
  <c r="A1365" i="8"/>
  <c r="A1354" i="8"/>
  <c r="A1316" i="8"/>
  <c r="A1143" i="8"/>
  <c r="A1179" i="8"/>
  <c r="A1172" i="8"/>
  <c r="A1167" i="8"/>
  <c r="A1164" i="8"/>
  <c r="A1140" i="8"/>
  <c r="A1127" i="8"/>
  <c r="A1123" i="8"/>
  <c r="A1119" i="8"/>
  <c r="A1115" i="8"/>
  <c r="A1111" i="8"/>
  <c r="A1107" i="8"/>
  <c r="A1103" i="8"/>
  <c r="A1099" i="8"/>
  <c r="A1095" i="8"/>
  <c r="A1091" i="8"/>
  <c r="A1087" i="8"/>
  <c r="A1083" i="8"/>
  <c r="A1079" i="8"/>
  <c r="A1075" i="8"/>
  <c r="A1071" i="8"/>
  <c r="A1067" i="8"/>
  <c r="A1063" i="8"/>
  <c r="A1059" i="8"/>
  <c r="A1246" i="8"/>
  <c r="A1205" i="8"/>
  <c r="A1202" i="8"/>
  <c r="A1170" i="8"/>
  <c r="A1150" i="8"/>
  <c r="A1134" i="8"/>
  <c r="A1219" i="8"/>
  <c r="A1192" i="8"/>
  <c r="A1188" i="8"/>
  <c r="A1159" i="8"/>
  <c r="A1156" i="8"/>
  <c r="A1147" i="8"/>
  <c r="A1131" i="8"/>
  <c r="A1262" i="8"/>
  <c r="A1199" i="8"/>
  <c r="A1175" i="8"/>
  <c r="A1162" i="8"/>
  <c r="A1144" i="8"/>
  <c r="A1128" i="8"/>
  <c r="A1124" i="8"/>
  <c r="A1120" i="8"/>
  <c r="A1116" i="8"/>
  <c r="A1112" i="8"/>
  <c r="A1108" i="8"/>
  <c r="A1104" i="8"/>
  <c r="A1184" i="8"/>
  <c r="A1138" i="8"/>
  <c r="A1335" i="8"/>
  <c r="A1227" i="8"/>
  <c r="A1196" i="8"/>
  <c r="A1168" i="8"/>
  <c r="A1154" i="8"/>
  <c r="A1151" i="8"/>
  <c r="A1135" i="8"/>
  <c r="A1148" i="8"/>
  <c r="A1142" i="8"/>
  <c r="A1125" i="8"/>
  <c r="A1051" i="8"/>
  <c r="A1047" i="8"/>
  <c r="A1043" i="8"/>
  <c r="A1039" i="8"/>
  <c r="A1035" i="8"/>
  <c r="A1031" i="8"/>
  <c r="A1027" i="8"/>
  <c r="A1023" i="8"/>
  <c r="A1019" i="8"/>
  <c r="A1015" i="8"/>
  <c r="A1011" i="8"/>
  <c r="A1007" i="8"/>
  <c r="A1003" i="8"/>
  <c r="A999" i="8"/>
  <c r="A995" i="8"/>
  <c r="A991" i="8"/>
  <c r="A987" i="8"/>
  <c r="A983" i="8"/>
  <c r="A979" i="8"/>
  <c r="A975" i="8"/>
  <c r="A971" i="8"/>
  <c r="A967" i="8"/>
  <c r="A963" i="8"/>
  <c r="A959" i="8"/>
  <c r="A955" i="8"/>
  <c r="A951" i="8"/>
  <c r="A947" i="8"/>
  <c r="A943" i="8"/>
  <c r="A939" i="8"/>
  <c r="A935" i="8"/>
  <c r="A931" i="8"/>
  <c r="A1163" i="8"/>
  <c r="A1055" i="8"/>
  <c r="A1139" i="8"/>
  <c r="A1117" i="8"/>
  <c r="A1105" i="8"/>
  <c r="A1092" i="8"/>
  <c r="A1088" i="8"/>
  <c r="A1084" i="8"/>
  <c r="A1080" i="8"/>
  <c r="A1076" i="8"/>
  <c r="A1072" i="8"/>
  <c r="A1068" i="8"/>
  <c r="A1254" i="8"/>
  <c r="A1191" i="8"/>
  <c r="A1180" i="8"/>
  <c r="A1160" i="8"/>
  <c r="A1061" i="8"/>
  <c r="A1052" i="8"/>
  <c r="A1048" i="8"/>
  <c r="A1044" i="8"/>
  <c r="A1040" i="8"/>
  <c r="A1036" i="8"/>
  <c r="A1032" i="8"/>
  <c r="A1028" i="8"/>
  <c r="A1024" i="8"/>
  <c r="A1020" i="8"/>
  <c r="A1016" i="8"/>
  <c r="A1012" i="8"/>
  <c r="A1008" i="8"/>
  <c r="A1004" i="8"/>
  <c r="A1000" i="8"/>
  <c r="A996" i="8"/>
  <c r="A992" i="8"/>
  <c r="A988" i="8"/>
  <c r="A984" i="8"/>
  <c r="A980" i="8"/>
  <c r="A976" i="8"/>
  <c r="A972" i="8"/>
  <c r="A968" i="8"/>
  <c r="A964" i="8"/>
  <c r="A960" i="8"/>
  <c r="A956" i="8"/>
  <c r="A952" i="8"/>
  <c r="A948" i="8"/>
  <c r="A944" i="8"/>
  <c r="A940" i="8"/>
  <c r="A936" i="8"/>
  <c r="A932" i="8"/>
  <c r="A928" i="8"/>
  <c r="A1343" i="8"/>
  <c r="A1274" i="8"/>
  <c r="A1096" i="8"/>
  <c r="A1064" i="8"/>
  <c r="A1056" i="8"/>
  <c r="A1215" i="8"/>
  <c r="A1109" i="8"/>
  <c r="A1100" i="8"/>
  <c r="A1053" i="8"/>
  <c r="A1049" i="8"/>
  <c r="A1045" i="8"/>
  <c r="A1041" i="8"/>
  <c r="A1037" i="8"/>
  <c r="A1033" i="8"/>
  <c r="A1029" i="8"/>
  <c r="A1025" i="8"/>
  <c r="A1021" i="8"/>
  <c r="A1017" i="8"/>
  <c r="A1013" i="8"/>
  <c r="A1132" i="8"/>
  <c r="A1121" i="8"/>
  <c r="A1093" i="8"/>
  <c r="A1089" i="8"/>
  <c r="A1085" i="8"/>
  <c r="A1081" i="8"/>
  <c r="A1077" i="8"/>
  <c r="A1073" i="8"/>
  <c r="A1069" i="8"/>
  <c r="A1418" i="8"/>
  <c r="A1187" i="8"/>
  <c r="A1171" i="8"/>
  <c r="A1030" i="8"/>
  <c r="A1010" i="8"/>
  <c r="A969" i="8"/>
  <c r="A924" i="8"/>
  <c r="A920" i="8"/>
  <c r="A916" i="8"/>
  <c r="A912" i="8"/>
  <c r="A908" i="8"/>
  <c r="A904" i="8"/>
  <c r="A900" i="8"/>
  <c r="A896" i="8"/>
  <c r="A892" i="8"/>
  <c r="A888" i="8"/>
  <c r="A884" i="8"/>
  <c r="A880" i="8"/>
  <c r="A876" i="8"/>
  <c r="A872" i="8"/>
  <c r="A868" i="8"/>
  <c r="A864" i="8"/>
  <c r="A860" i="8"/>
  <c r="A856" i="8"/>
  <c r="A852" i="8"/>
  <c r="A848" i="8"/>
  <c r="A844" i="8"/>
  <c r="A1050" i="8"/>
  <c r="A1001" i="8"/>
  <c r="A958" i="8"/>
  <c r="A946" i="8"/>
  <c r="A1176" i="8"/>
  <c r="A1101" i="8"/>
  <c r="A1022" i="8"/>
  <c r="A990" i="8"/>
  <c r="A986" i="8"/>
  <c r="A965" i="8"/>
  <c r="A1113" i="8"/>
  <c r="A1065" i="8"/>
  <c r="A1042" i="8"/>
  <c r="A1005" i="8"/>
  <c r="A994" i="8"/>
  <c r="A982" i="8"/>
  <c r="A949" i="8"/>
  <c r="A925" i="8"/>
  <c r="A921" i="8"/>
  <c r="A917" i="8"/>
  <c r="A913" i="8"/>
  <c r="A909" i="8"/>
  <c r="A905" i="8"/>
  <c r="A901" i="8"/>
  <c r="A897" i="8"/>
  <c r="A893" i="8"/>
  <c r="A889" i="8"/>
  <c r="A885" i="8"/>
  <c r="A881" i="8"/>
  <c r="A877" i="8"/>
  <c r="A873" i="8"/>
  <c r="A869" i="8"/>
  <c r="A865" i="8"/>
  <c r="A861" i="8"/>
  <c r="A857" i="8"/>
  <c r="A853" i="8"/>
  <c r="A849" i="8"/>
  <c r="A845" i="8"/>
  <c r="A841" i="8"/>
  <c r="A837" i="8"/>
  <c r="A833" i="8"/>
  <c r="A1097" i="8"/>
  <c r="A1014" i="8"/>
  <c r="A978" i="8"/>
  <c r="A961" i="8"/>
  <c r="A934" i="8"/>
  <c r="A1034" i="8"/>
  <c r="A1009" i="8"/>
  <c r="A998" i="8"/>
  <c r="A974" i="8"/>
  <c r="A954" i="8"/>
  <c r="A942" i="8"/>
  <c r="A937" i="8"/>
  <c r="A929" i="8"/>
  <c r="A970" i="8"/>
  <c r="A926" i="8"/>
  <c r="A922" i="8"/>
  <c r="A918" i="8"/>
  <c r="A914" i="8"/>
  <c r="A910" i="8"/>
  <c r="A906" i="8"/>
  <c r="A902" i="8"/>
  <c r="A898" i="8"/>
  <c r="A894" i="8"/>
  <c r="A890" i="8"/>
  <c r="A886" i="8"/>
  <c r="A882" i="8"/>
  <c r="A878" i="8"/>
  <c r="A874" i="8"/>
  <c r="A870" i="8"/>
  <c r="A866" i="8"/>
  <c r="A862" i="8"/>
  <c r="A858" i="8"/>
  <c r="A854" i="8"/>
  <c r="A1057" i="8"/>
  <c r="A1026" i="8"/>
  <c r="A1002" i="8"/>
  <c r="A957" i="8"/>
  <c r="A945" i="8"/>
  <c r="A1166" i="8"/>
  <c r="A1046" i="8"/>
  <c r="A930" i="8"/>
  <c r="A907" i="8"/>
  <c r="A887" i="8"/>
  <c r="A871" i="8"/>
  <c r="A855" i="8"/>
  <c r="A993" i="8"/>
  <c r="A977" i="8"/>
  <c r="A950" i="8"/>
  <c r="A941" i="8"/>
  <c r="A1018" i="8"/>
  <c r="A915" i="8"/>
  <c r="A836" i="8"/>
  <c r="A830" i="8"/>
  <c r="A826" i="8"/>
  <c r="A822" i="8"/>
  <c r="A818" i="8"/>
  <c r="A814" i="8"/>
  <c r="A810" i="8"/>
  <c r="A806" i="8"/>
  <c r="A802" i="8"/>
  <c r="A798" i="8"/>
  <c r="A794" i="8"/>
  <c r="A938" i="8"/>
  <c r="A891" i="8"/>
  <c r="A875" i="8"/>
  <c r="A859" i="8"/>
  <c r="A1006" i="8"/>
  <c r="A966" i="8"/>
  <c r="A923" i="8"/>
  <c r="A839" i="8"/>
  <c r="A834" i="8"/>
  <c r="A981" i="8"/>
  <c r="A903" i="8"/>
  <c r="A850" i="8"/>
  <c r="A846" i="8"/>
  <c r="A831" i="8"/>
  <c r="A827" i="8"/>
  <c r="A989" i="8"/>
  <c r="A895" i="8"/>
  <c r="A879" i="8"/>
  <c r="A863" i="8"/>
  <c r="A842" i="8"/>
  <c r="A997" i="8"/>
  <c r="A911" i="8"/>
  <c r="A927" i="8"/>
  <c r="A805" i="8"/>
  <c r="A803" i="8"/>
  <c r="A787" i="8"/>
  <c r="A774" i="8"/>
  <c r="A763" i="8"/>
  <c r="A750" i="8"/>
  <c r="A742" i="8"/>
  <c r="A1060" i="8"/>
  <c r="A985" i="8"/>
  <c r="A962" i="8"/>
  <c r="A828" i="8"/>
  <c r="A809" i="8"/>
  <c r="A807" i="8"/>
  <c r="A785" i="8"/>
  <c r="A772" i="8"/>
  <c r="A761" i="8"/>
  <c r="A745" i="8"/>
  <c r="A737" i="8"/>
  <c r="A734" i="8"/>
  <c r="A731" i="8"/>
  <c r="A728" i="8"/>
  <c r="A725" i="8"/>
  <c r="A722" i="8"/>
  <c r="A719" i="8"/>
  <c r="A712" i="8"/>
  <c r="A835" i="8"/>
  <c r="A813" i="8"/>
  <c r="A811" i="8"/>
  <c r="A783" i="8"/>
  <c r="A770" i="8"/>
  <c r="A759" i="8"/>
  <c r="A709" i="8"/>
  <c r="A705" i="8"/>
  <c r="A701" i="8"/>
  <c r="A697" i="8"/>
  <c r="A693" i="8"/>
  <c r="A689" i="8"/>
  <c r="A685" i="8"/>
  <c r="A681" i="8"/>
  <c r="A677" i="8"/>
  <c r="A673" i="8"/>
  <c r="A669" i="8"/>
  <c r="A665" i="8"/>
  <c r="A661" i="8"/>
  <c r="A657" i="8"/>
  <c r="A653" i="8"/>
  <c r="A649" i="8"/>
  <c r="A645" i="8"/>
  <c r="A641" i="8"/>
  <c r="A637" i="8"/>
  <c r="A633" i="8"/>
  <c r="A629" i="8"/>
  <c r="A625" i="8"/>
  <c r="A621" i="8"/>
  <c r="A617" i="8"/>
  <c r="A613" i="8"/>
  <c r="A609" i="8"/>
  <c r="A933" i="8"/>
  <c r="A919" i="8"/>
  <c r="A851" i="8"/>
  <c r="A838" i="8"/>
  <c r="A817" i="8"/>
  <c r="A815" i="8"/>
  <c r="A792" i="8"/>
  <c r="A781" i="8"/>
  <c r="A768" i="8"/>
  <c r="A757" i="8"/>
  <c r="A748" i="8"/>
  <c r="A740" i="8"/>
  <c r="A716" i="8"/>
  <c r="A867" i="8"/>
  <c r="A832" i="8"/>
  <c r="A821" i="8"/>
  <c r="A819" i="8"/>
  <c r="A796" i="8"/>
  <c r="A790" i="8"/>
  <c r="A779" i="8"/>
  <c r="A766" i="8"/>
  <c r="A755" i="8"/>
  <c r="A743" i="8"/>
  <c r="A713" i="8"/>
  <c r="A973" i="8"/>
  <c r="A899" i="8"/>
  <c r="A883" i="8"/>
  <c r="A847" i="8"/>
  <c r="A825" i="8"/>
  <c r="A823" i="8"/>
  <c r="A800" i="8"/>
  <c r="A788" i="8"/>
  <c r="A777" i="8"/>
  <c r="A764" i="8"/>
  <c r="A753" i="8"/>
  <c r="A735" i="8"/>
  <c r="A732" i="8"/>
  <c r="A729" i="8"/>
  <c r="A726" i="8"/>
  <c r="A723" i="8"/>
  <c r="A720" i="8"/>
  <c r="A706" i="8"/>
  <c r="A702" i="8"/>
  <c r="A698" i="8"/>
  <c r="A694" i="8"/>
  <c r="A690" i="8"/>
  <c r="A686" i="8"/>
  <c r="A682" i="8"/>
  <c r="A678" i="8"/>
  <c r="A674" i="8"/>
  <c r="A670" i="8"/>
  <c r="A666" i="8"/>
  <c r="A662" i="8"/>
  <c r="A658" i="8"/>
  <c r="A654" i="8"/>
  <c r="A650" i="8"/>
  <c r="A646" i="8"/>
  <c r="A642" i="8"/>
  <c r="A638" i="8"/>
  <c r="A634" i="8"/>
  <c r="A630" i="8"/>
  <c r="A626" i="8"/>
  <c r="A622" i="8"/>
  <c r="A618" i="8"/>
  <c r="A614" i="8"/>
  <c r="A610" i="8"/>
  <c r="A606" i="8"/>
  <c r="A602" i="8"/>
  <c r="A598" i="8"/>
  <c r="A594" i="8"/>
  <c r="A590" i="8"/>
  <c r="A586" i="8"/>
  <c r="A582" i="8"/>
  <c r="A578" i="8"/>
  <c r="A574" i="8"/>
  <c r="A570" i="8"/>
  <c r="A566" i="8"/>
  <c r="A562" i="8"/>
  <c r="A558" i="8"/>
  <c r="A554" i="8"/>
  <c r="A550" i="8"/>
  <c r="A804" i="8"/>
  <c r="A786" i="8"/>
  <c r="A775" i="8"/>
  <c r="A762" i="8"/>
  <c r="A751" i="8"/>
  <c r="A746" i="8"/>
  <c r="A738" i="8"/>
  <c r="A717" i="8"/>
  <c r="A710" i="8"/>
  <c r="A1038" i="8"/>
  <c r="A953" i="8"/>
  <c r="A843" i="8"/>
  <c r="A840" i="8"/>
  <c r="A808" i="8"/>
  <c r="A784" i="8"/>
  <c r="A773" i="8"/>
  <c r="A760" i="8"/>
  <c r="A749" i="8"/>
  <c r="A741" i="8"/>
  <c r="A829" i="8"/>
  <c r="A812" i="8"/>
  <c r="A782" i="8"/>
  <c r="A771" i="8"/>
  <c r="A758" i="8"/>
  <c r="A714" i="8"/>
  <c r="A707" i="8"/>
  <c r="A703" i="8"/>
  <c r="A699" i="8"/>
  <c r="A695" i="8"/>
  <c r="A691" i="8"/>
  <c r="A687" i="8"/>
  <c r="A683" i="8"/>
  <c r="A679" i="8"/>
  <c r="A675" i="8"/>
  <c r="A671" i="8"/>
  <c r="A667" i="8"/>
  <c r="A663" i="8"/>
  <c r="A659" i="8"/>
  <c r="A655" i="8"/>
  <c r="A651" i="8"/>
  <c r="A647" i="8"/>
  <c r="A643" i="8"/>
  <c r="A639" i="8"/>
  <c r="A635" i="8"/>
  <c r="A631" i="8"/>
  <c r="A627" i="8"/>
  <c r="A623" i="8"/>
  <c r="A619" i="8"/>
  <c r="A615" i="8"/>
  <c r="A611" i="8"/>
  <c r="A607" i="8"/>
  <c r="A603" i="8"/>
  <c r="A599" i="8"/>
  <c r="A595" i="8"/>
  <c r="A591" i="8"/>
  <c r="A587" i="8"/>
  <c r="A583" i="8"/>
  <c r="A579" i="8"/>
  <c r="A575" i="8"/>
  <c r="A571" i="8"/>
  <c r="A816" i="8"/>
  <c r="A793" i="8"/>
  <c r="A780" i="8"/>
  <c r="A769" i="8"/>
  <c r="A756" i="8"/>
  <c r="A744" i="8"/>
  <c r="A736" i="8"/>
  <c r="A733" i="8"/>
  <c r="A730" i="8"/>
  <c r="A727" i="8"/>
  <c r="A724" i="8"/>
  <c r="A721" i="8"/>
  <c r="A711" i="8"/>
  <c r="A797" i="8"/>
  <c r="A608" i="8"/>
  <c r="A601" i="8"/>
  <c r="A585" i="8"/>
  <c r="A576" i="8"/>
  <c r="A556" i="8"/>
  <c r="A754" i="8"/>
  <c r="A718" i="8"/>
  <c r="A708" i="8"/>
  <c r="A696" i="8"/>
  <c r="A684" i="8"/>
  <c r="A672" i="8"/>
  <c r="A660" i="8"/>
  <c r="A648" i="8"/>
  <c r="A549" i="8"/>
  <c r="A824" i="8"/>
  <c r="A767" i="8"/>
  <c r="A596" i="8"/>
  <c r="A580" i="8"/>
  <c r="A546" i="8"/>
  <c r="A542" i="8"/>
  <c r="A538" i="8"/>
  <c r="A534" i="8"/>
  <c r="A530" i="8"/>
  <c r="A526" i="8"/>
  <c r="A522" i="8"/>
  <c r="A518" i="8"/>
  <c r="A514" i="8"/>
  <c r="A510" i="8"/>
  <c r="A506" i="8"/>
  <c r="A502" i="8"/>
  <c r="A498" i="8"/>
  <c r="A494" i="8"/>
  <c r="A490" i="8"/>
  <c r="A486" i="8"/>
  <c r="A482" i="8"/>
  <c r="A478" i="8"/>
  <c r="A474" i="8"/>
  <c r="A470" i="8"/>
  <c r="A466" i="8"/>
  <c r="A462" i="8"/>
  <c r="A458" i="8"/>
  <c r="A454" i="8"/>
  <c r="A450" i="8"/>
  <c r="A446" i="8"/>
  <c r="A442" i="8"/>
  <c r="A438" i="8"/>
  <c r="A434" i="8"/>
  <c r="A430" i="8"/>
  <c r="A426" i="8"/>
  <c r="A422" i="8"/>
  <c r="A418" i="8"/>
  <c r="A414" i="8"/>
  <c r="A410" i="8"/>
  <c r="A406" i="8"/>
  <c r="A402" i="8"/>
  <c r="A398" i="8"/>
  <c r="A394" i="8"/>
  <c r="A390" i="8"/>
  <c r="A386" i="8"/>
  <c r="A382" i="8"/>
  <c r="A747" i="8"/>
  <c r="A636" i="8"/>
  <c r="A628" i="8"/>
  <c r="A620" i="8"/>
  <c r="A605" i="8"/>
  <c r="A589" i="8"/>
  <c r="A569" i="8"/>
  <c r="A567" i="8"/>
  <c r="A552" i="8"/>
  <c r="A565" i="8"/>
  <c r="A563" i="8"/>
  <c r="A820" i="8"/>
  <c r="A704" i="8"/>
  <c r="A692" i="8"/>
  <c r="A680" i="8"/>
  <c r="A668" i="8"/>
  <c r="A656" i="8"/>
  <c r="A644" i="8"/>
  <c r="A612" i="8"/>
  <c r="A600" i="8"/>
  <c r="A584" i="8"/>
  <c r="A573" i="8"/>
  <c r="A561" i="8"/>
  <c r="A559" i="8"/>
  <c r="A547" i="8"/>
  <c r="A543" i="8"/>
  <c r="A539" i="8"/>
  <c r="A535" i="8"/>
  <c r="A531" i="8"/>
  <c r="A527" i="8"/>
  <c r="A523" i="8"/>
  <c r="A519" i="8"/>
  <c r="A515" i="8"/>
  <c r="A511" i="8"/>
  <c r="A507" i="8"/>
  <c r="A503" i="8"/>
  <c r="A499" i="8"/>
  <c r="A495" i="8"/>
  <c r="A491" i="8"/>
  <c r="A487" i="8"/>
  <c r="A483" i="8"/>
  <c r="A479" i="8"/>
  <c r="A475" i="8"/>
  <c r="A471" i="8"/>
  <c r="A467" i="8"/>
  <c r="A463" i="8"/>
  <c r="A459" i="8"/>
  <c r="A455" i="8"/>
  <c r="A451" i="8"/>
  <c r="A447" i="8"/>
  <c r="A443" i="8"/>
  <c r="A439" i="8"/>
  <c r="A435" i="8"/>
  <c r="A431" i="8"/>
  <c r="A427" i="8"/>
  <c r="A423" i="8"/>
  <c r="A419" i="8"/>
  <c r="A415" i="8"/>
  <c r="A411" i="8"/>
  <c r="A407" i="8"/>
  <c r="A403" i="8"/>
  <c r="A399" i="8"/>
  <c r="A395" i="8"/>
  <c r="A391" i="8"/>
  <c r="A387" i="8"/>
  <c r="A799" i="8"/>
  <c r="A593" i="8"/>
  <c r="A557" i="8"/>
  <c r="A789" i="8"/>
  <c r="A776" i="8"/>
  <c r="A577" i="8"/>
  <c r="A555" i="8"/>
  <c r="A801" i="8"/>
  <c r="A604" i="8"/>
  <c r="A588" i="8"/>
  <c r="A548" i="8"/>
  <c r="A544" i="8"/>
  <c r="A540" i="8"/>
  <c r="A536" i="8"/>
  <c r="A532" i="8"/>
  <c r="A528" i="8"/>
  <c r="A524" i="8"/>
  <c r="A520" i="8"/>
  <c r="A516" i="8"/>
  <c r="A512" i="8"/>
  <c r="A508" i="8"/>
  <c r="A504" i="8"/>
  <c r="A500" i="8"/>
  <c r="A496" i="8"/>
  <c r="A492" i="8"/>
  <c r="A488" i="8"/>
  <c r="A484" i="8"/>
  <c r="A480" i="8"/>
  <c r="A476" i="8"/>
  <c r="A472" i="8"/>
  <c r="A468" i="8"/>
  <c r="A464" i="8"/>
  <c r="A460" i="8"/>
  <c r="A456" i="8"/>
  <c r="A452" i="8"/>
  <c r="A448" i="8"/>
  <c r="A444" i="8"/>
  <c r="A440" i="8"/>
  <c r="A436" i="8"/>
  <c r="A432" i="8"/>
  <c r="A428" i="8"/>
  <c r="A424" i="8"/>
  <c r="A420" i="8"/>
  <c r="A416" i="8"/>
  <c r="A412" i="8"/>
  <c r="A408" i="8"/>
  <c r="A404" i="8"/>
  <c r="A400" i="8"/>
  <c r="A396" i="8"/>
  <c r="A392" i="8"/>
  <c r="A388" i="8"/>
  <c r="A739" i="8"/>
  <c r="A700" i="8"/>
  <c r="A688" i="8"/>
  <c r="A676" i="8"/>
  <c r="A664" i="8"/>
  <c r="A652" i="8"/>
  <c r="A640" i="8"/>
  <c r="A632" i="8"/>
  <c r="A624" i="8"/>
  <c r="A597" i="8"/>
  <c r="A581" i="8"/>
  <c r="A568" i="8"/>
  <c r="A553" i="8"/>
  <c r="A795" i="8"/>
  <c r="A560" i="8"/>
  <c r="A791" i="8"/>
  <c r="A765" i="8"/>
  <c r="A537" i="8"/>
  <c r="A513" i="8"/>
  <c r="A417" i="8"/>
  <c r="A401" i="8"/>
  <c r="A378" i="8"/>
  <c r="A374" i="8"/>
  <c r="A370" i="8"/>
  <c r="A366" i="8"/>
  <c r="A362" i="8"/>
  <c r="A358" i="8"/>
  <c r="A354" i="8"/>
  <c r="A350" i="8"/>
  <c r="A346" i="8"/>
  <c r="A342" i="8"/>
  <c r="A338" i="8"/>
  <c r="A334" i="8"/>
  <c r="A330" i="8"/>
  <c r="A326" i="8"/>
  <c r="A322" i="8"/>
  <c r="A318" i="8"/>
  <c r="A314" i="8"/>
  <c r="A310" i="8"/>
  <c r="A306" i="8"/>
  <c r="A302" i="8"/>
  <c r="A298" i="8"/>
  <c r="A294" i="8"/>
  <c r="A290" i="8"/>
  <c r="A286" i="8"/>
  <c r="A282" i="8"/>
  <c r="A278" i="8"/>
  <c r="A274" i="8"/>
  <c r="A270" i="8"/>
  <c r="A266" i="8"/>
  <c r="A262" i="8"/>
  <c r="A258" i="8"/>
  <c r="A254" i="8"/>
  <c r="A250" i="8"/>
  <c r="A246" i="8"/>
  <c r="A242" i="8"/>
  <c r="A238" i="8"/>
  <c r="A533" i="8"/>
  <c r="A509" i="8"/>
  <c r="A413" i="8"/>
  <c r="A715" i="8"/>
  <c r="A529" i="8"/>
  <c r="A505" i="8"/>
  <c r="A379" i="8"/>
  <c r="A375" i="8"/>
  <c r="A371" i="8"/>
  <c r="A367" i="8"/>
  <c r="A363" i="8"/>
  <c r="A359" i="8"/>
  <c r="A355" i="8"/>
  <c r="A351" i="8"/>
  <c r="A347" i="8"/>
  <c r="A343" i="8"/>
  <c r="A339" i="8"/>
  <c r="A335" i="8"/>
  <c r="A331" i="8"/>
  <c r="A327" i="8"/>
  <c r="A323" i="8"/>
  <c r="A319" i="8"/>
  <c r="A315" i="8"/>
  <c r="A311" i="8"/>
  <c r="A307" i="8"/>
  <c r="A303" i="8"/>
  <c r="A299" i="8"/>
  <c r="A295" i="8"/>
  <c r="A291" i="8"/>
  <c r="A287" i="8"/>
  <c r="A283" i="8"/>
  <c r="A279" i="8"/>
  <c r="A275" i="8"/>
  <c r="A271" i="8"/>
  <c r="A501" i="8"/>
  <c r="A469" i="8"/>
  <c r="A453" i="8"/>
  <c r="A437" i="8"/>
  <c r="A383" i="8"/>
  <c r="A778" i="8"/>
  <c r="A525" i="8"/>
  <c r="A497" i="8"/>
  <c r="A425" i="8"/>
  <c r="A409" i="8"/>
  <c r="A393" i="8"/>
  <c r="A616" i="8"/>
  <c r="A752" i="8"/>
  <c r="A572" i="8"/>
  <c r="A564" i="8"/>
  <c r="A545" i="8"/>
  <c r="A521" i="8"/>
  <c r="A489" i="8"/>
  <c r="A465" i="8"/>
  <c r="A449" i="8"/>
  <c r="A433" i="8"/>
  <c r="A485" i="8"/>
  <c r="A421" i="8"/>
  <c r="A405" i="8"/>
  <c r="A389" i="8"/>
  <c r="A384" i="8"/>
  <c r="A592" i="8"/>
  <c r="A551" i="8"/>
  <c r="A541" i="8"/>
  <c r="A517" i="8"/>
  <c r="A481" i="8"/>
  <c r="A381" i="8"/>
  <c r="A377" i="8"/>
  <c r="A353" i="8"/>
  <c r="A329" i="8"/>
  <c r="A273" i="8"/>
  <c r="A261" i="8"/>
  <c r="A251" i="8"/>
  <c r="A240" i="8"/>
  <c r="A237" i="8"/>
  <c r="A368" i="8"/>
  <c r="A344" i="8"/>
  <c r="A320" i="8"/>
  <c r="A280" i="8"/>
  <c r="A264" i="8"/>
  <c r="A243" i="8"/>
  <c r="A445" i="8"/>
  <c r="A441" i="8"/>
  <c r="A397" i="8"/>
  <c r="A357" i="8"/>
  <c r="A333" i="8"/>
  <c r="A269" i="8"/>
  <c r="A259" i="8"/>
  <c r="A372" i="8"/>
  <c r="A348" i="8"/>
  <c r="A324" i="8"/>
  <c r="A276" i="8"/>
  <c r="A249" i="8"/>
  <c r="A361" i="8"/>
  <c r="A337" i="8"/>
  <c r="A267" i="8"/>
  <c r="A252" i="8"/>
  <c r="A493" i="8"/>
  <c r="A376" i="8"/>
  <c r="A352" i="8"/>
  <c r="A328" i="8"/>
  <c r="A313" i="8"/>
  <c r="A309" i="8"/>
  <c r="A305" i="8"/>
  <c r="A301" i="8"/>
  <c r="A297" i="8"/>
  <c r="A293" i="8"/>
  <c r="A289" i="8"/>
  <c r="A272" i="8"/>
  <c r="A257" i="8"/>
  <c r="A244" i="8"/>
  <c r="A241" i="8"/>
  <c r="A235" i="8"/>
  <c r="A231" i="8"/>
  <c r="A227" i="8"/>
  <c r="A223" i="8"/>
  <c r="A219" i="8"/>
  <c r="A215" i="8"/>
  <c r="A211" i="8"/>
  <c r="A207" i="8"/>
  <c r="A203" i="8"/>
  <c r="A199" i="8"/>
  <c r="A195" i="8"/>
  <c r="A191" i="8"/>
  <c r="A187" i="8"/>
  <c r="A183" i="8"/>
  <c r="A179" i="8"/>
  <c r="A175" i="8"/>
  <c r="A171" i="8"/>
  <c r="A167" i="8"/>
  <c r="A163" i="8"/>
  <c r="A159" i="8"/>
  <c r="A155" i="8"/>
  <c r="A151" i="8"/>
  <c r="A147" i="8"/>
  <c r="A143" i="8"/>
  <c r="A139" i="8"/>
  <c r="A135" i="8"/>
  <c r="A131" i="8"/>
  <c r="A127" i="8"/>
  <c r="A123" i="8"/>
  <c r="A119" i="8"/>
  <c r="A115" i="8"/>
  <c r="A111" i="8"/>
  <c r="A107" i="8"/>
  <c r="A103" i="8"/>
  <c r="A99" i="8"/>
  <c r="A95" i="8"/>
  <c r="A91" i="8"/>
  <c r="A87" i="8"/>
  <c r="A83" i="8"/>
  <c r="A79" i="8"/>
  <c r="A75" i="8"/>
  <c r="A71" i="8"/>
  <c r="A67" i="8"/>
  <c r="A63" i="8"/>
  <c r="A59" i="8"/>
  <c r="A55" i="8"/>
  <c r="A51" i="8"/>
  <c r="A47" i="8"/>
  <c r="A43" i="8"/>
  <c r="A39" i="8"/>
  <c r="A35" i="8"/>
  <c r="A31" i="8"/>
  <c r="A27" i="8"/>
  <c r="A23" i="8"/>
  <c r="A19" i="8"/>
  <c r="A15" i="8"/>
  <c r="A11" i="8"/>
  <c r="A7" i="8"/>
  <c r="A3" i="8"/>
  <c r="A461" i="8"/>
  <c r="A457" i="8"/>
  <c r="A365" i="8"/>
  <c r="A341" i="8"/>
  <c r="A317" i="8"/>
  <c r="A285" i="8"/>
  <c r="A260" i="8"/>
  <c r="A247" i="8"/>
  <c r="A356" i="8"/>
  <c r="A332" i="8"/>
  <c r="A265" i="8"/>
  <c r="A255" i="8"/>
  <c r="A369" i="8"/>
  <c r="A345" i="8"/>
  <c r="A321" i="8"/>
  <c r="A281" i="8"/>
  <c r="A268" i="8"/>
  <c r="A239" i="8"/>
  <c r="A236" i="8"/>
  <c r="A232" i="8"/>
  <c r="A228" i="8"/>
  <c r="A224" i="8"/>
  <c r="A220" i="8"/>
  <c r="A216" i="8"/>
  <c r="A212" i="8"/>
  <c r="A208" i="8"/>
  <c r="A204" i="8"/>
  <c r="A200" i="8"/>
  <c r="A196" i="8"/>
  <c r="A192" i="8"/>
  <c r="A188" i="8"/>
  <c r="A184" i="8"/>
  <c r="A180" i="8"/>
  <c r="A176" i="8"/>
  <c r="A172" i="8"/>
  <c r="A168" i="8"/>
  <c r="A164" i="8"/>
  <c r="A160" i="8"/>
  <c r="A380" i="8"/>
  <c r="A360" i="8"/>
  <c r="A336" i="8"/>
  <c r="A263" i="8"/>
  <c r="A230" i="8"/>
  <c r="A222" i="8"/>
  <c r="A214" i="8"/>
  <c r="A206" i="8"/>
  <c r="A198" i="8"/>
  <c r="A190" i="8"/>
  <c r="A182" i="8"/>
  <c r="A174" i="8"/>
  <c r="A166" i="8"/>
  <c r="A158" i="8"/>
  <c r="A142" i="8"/>
  <c r="A126" i="8"/>
  <c r="A110" i="8"/>
  <c r="A94" i="8"/>
  <c r="A78" i="8"/>
  <c r="A69" i="8"/>
  <c r="A61" i="8"/>
  <c r="A429" i="8"/>
  <c r="A385" i="8"/>
  <c r="A308" i="8"/>
  <c r="A284" i="8"/>
  <c r="A144" i="8"/>
  <c r="A128" i="8"/>
  <c r="A112" i="8"/>
  <c r="A96" i="8"/>
  <c r="A80" i="8"/>
  <c r="A50" i="8"/>
  <c r="A30" i="8"/>
  <c r="A12" i="8"/>
  <c r="A349" i="8"/>
  <c r="A153" i="8"/>
  <c r="A137" i="8"/>
  <c r="A121" i="8"/>
  <c r="A105" i="8"/>
  <c r="A89" i="8"/>
  <c r="A73" i="8"/>
  <c r="A57" i="8"/>
  <c r="A48" i="8"/>
  <c r="A25" i="8"/>
  <c r="A9" i="8"/>
  <c r="A304" i="8"/>
  <c r="A253" i="8"/>
  <c r="A146" i="8"/>
  <c r="A130" i="8"/>
  <c r="A114" i="8"/>
  <c r="A98" i="8"/>
  <c r="A82" i="8"/>
  <c r="A38" i="8"/>
  <c r="A33" i="8"/>
  <c r="A28" i="8"/>
  <c r="A22" i="8"/>
  <c r="A364" i="8"/>
  <c r="A229" i="8"/>
  <c r="A221" i="8"/>
  <c r="A213" i="8"/>
  <c r="A205" i="8"/>
  <c r="A197" i="8"/>
  <c r="A189" i="8"/>
  <c r="A181" i="8"/>
  <c r="A173" i="8"/>
  <c r="A165" i="8"/>
  <c r="A148" i="8"/>
  <c r="A473" i="8"/>
  <c r="A325" i="8"/>
  <c r="A300" i="8"/>
  <c r="A157" i="8"/>
  <c r="A141" i="8"/>
  <c r="A125" i="8"/>
  <c r="A109" i="8"/>
  <c r="A256" i="8"/>
  <c r="A234" i="8"/>
  <c r="A226" i="8"/>
  <c r="A218" i="8"/>
  <c r="A210" i="8"/>
  <c r="A202" i="8"/>
  <c r="A194" i="8"/>
  <c r="A186" i="8"/>
  <c r="A178" i="8"/>
  <c r="A170" i="8"/>
  <c r="A162" i="8"/>
  <c r="A150" i="8"/>
  <c r="A134" i="8"/>
  <c r="A118" i="8"/>
  <c r="A102" i="8"/>
  <c r="A86" i="8"/>
  <c r="A68" i="8"/>
  <c r="A66" i="8"/>
  <c r="A62" i="8"/>
  <c r="A60" i="8"/>
  <c r="A10" i="8"/>
  <c r="A477" i="8"/>
  <c r="A340" i="8"/>
  <c r="A296" i="8"/>
  <c r="A152" i="8"/>
  <c r="A136" i="8"/>
  <c r="A120" i="8"/>
  <c r="A104" i="8"/>
  <c r="A88" i="8"/>
  <c r="A72" i="8"/>
  <c r="A70" i="8"/>
  <c r="A58" i="8"/>
  <c r="A44" i="8"/>
  <c r="A26" i="8"/>
  <c r="A245" i="8"/>
  <c r="A145" i="8"/>
  <c r="A129" i="8"/>
  <c r="A113" i="8"/>
  <c r="A97" i="8"/>
  <c r="A81" i="8"/>
  <c r="A56" i="8"/>
  <c r="A49" i="8"/>
  <c r="A34" i="8"/>
  <c r="A29" i="8"/>
  <c r="A17" i="8"/>
  <c r="A292" i="8"/>
  <c r="A277" i="8"/>
  <c r="A248" i="8"/>
  <c r="A154" i="8"/>
  <c r="A138" i="8"/>
  <c r="A122" i="8"/>
  <c r="A106" i="8"/>
  <c r="A288" i="8"/>
  <c r="A149" i="8"/>
  <c r="A101" i="8"/>
  <c r="A53" i="8"/>
  <c r="A21" i="8"/>
  <c r="A8" i="8"/>
  <c r="A6" i="8"/>
  <c r="A4" i="8"/>
  <c r="A217" i="8"/>
  <c r="A169" i="8"/>
  <c r="A108" i="8"/>
  <c r="A84" i="8"/>
  <c r="A77" i="8"/>
  <c r="A2" i="8"/>
  <c r="A156" i="8"/>
  <c r="A40" i="8"/>
  <c r="A37" i="8"/>
  <c r="A32" i="8"/>
  <c r="A14" i="8"/>
  <c r="A225" i="8"/>
  <c r="A177" i="8"/>
  <c r="A133" i="8"/>
  <c r="A93" i="8"/>
  <c r="A74" i="8"/>
  <c r="A45" i="8"/>
  <c r="A16" i="8"/>
  <c r="A100" i="8"/>
  <c r="A64" i="8"/>
  <c r="A42" i="8"/>
  <c r="A233" i="8"/>
  <c r="A185" i="8"/>
  <c r="A140" i="8"/>
  <c r="A90" i="8"/>
  <c r="A52" i="8"/>
  <c r="A20" i="8"/>
  <c r="A18" i="8"/>
  <c r="A373" i="8"/>
  <c r="A76" i="8"/>
  <c r="A193" i="8"/>
  <c r="A132" i="8"/>
  <c r="A117" i="8"/>
  <c r="A54" i="8"/>
  <c r="A24" i="8"/>
  <c r="A5" i="8"/>
  <c r="A312" i="8"/>
  <c r="A92" i="8"/>
  <c r="A36" i="8"/>
  <c r="A13" i="8"/>
  <c r="A316" i="8"/>
  <c r="A201" i="8"/>
  <c r="A124" i="8"/>
  <c r="A85" i="8"/>
  <c r="A46" i="8"/>
  <c r="A41" i="8"/>
  <c r="A209" i="8"/>
  <c r="A116" i="8"/>
  <c r="A161" i="8"/>
  <c r="A65" i="8"/>
  <c r="AO47" i="3"/>
  <c r="AC47" i="3"/>
  <c r="Q47" i="3"/>
  <c r="AN47" i="3"/>
  <c r="AB47" i="3"/>
  <c r="AG47" i="3" s="1"/>
  <c r="AL47" i="3" s="1"/>
  <c r="P47" i="3"/>
  <c r="W47" i="3"/>
  <c r="S47" i="3"/>
  <c r="AA47" i="3"/>
  <c r="AF47" i="3" s="1"/>
  <c r="AK47" i="3" s="1"/>
  <c r="Z47" i="3"/>
  <c r="AE47" i="3" s="1"/>
  <c r="AJ47" i="3" s="1"/>
  <c r="AR47" i="3"/>
  <c r="Y47" i="3"/>
  <c r="AD47" i="3" s="1"/>
  <c r="AI47" i="3" s="1"/>
  <c r="X47" i="3"/>
  <c r="V47" i="3"/>
  <c r="U47" i="3"/>
  <c r="T47" i="3"/>
  <c r="R47" i="3"/>
  <c r="AH47" i="3"/>
  <c r="AM47" i="3" s="1"/>
  <c r="O47" i="3"/>
  <c r="X34" i="3"/>
  <c r="W34" i="3"/>
  <c r="V34" i="3"/>
  <c r="U34" i="3"/>
  <c r="AR34" i="3"/>
  <c r="T34" i="3"/>
  <c r="S34" i="3"/>
  <c r="AD34" i="3"/>
  <c r="AI34" i="3" s="1"/>
  <c r="R34" i="3"/>
  <c r="AO34" i="3"/>
  <c r="AC34" i="3"/>
  <c r="AH34" i="3" s="1"/>
  <c r="AM34" i="3" s="1"/>
  <c r="Q34" i="3"/>
  <c r="AN34" i="3"/>
  <c r="AB34" i="3"/>
  <c r="AG34" i="3" s="1"/>
  <c r="AL34" i="3" s="1"/>
  <c r="P34" i="3"/>
  <c r="AA34" i="3"/>
  <c r="AF34" i="3" s="1"/>
  <c r="AK34" i="3" s="1"/>
  <c r="O34" i="3"/>
  <c r="Z34" i="3"/>
  <c r="AE34" i="3" s="1"/>
  <c r="AJ34" i="3" s="1"/>
  <c r="Y34" i="3"/>
  <c r="T12" i="3"/>
  <c r="P12" i="3"/>
  <c r="V12" i="3" s="1"/>
  <c r="S12" i="3"/>
  <c r="Q12" i="3"/>
  <c r="O12" i="3"/>
  <c r="AB12" i="3" s="1"/>
  <c r="AG12" i="3" s="1"/>
  <c r="AL12" i="3" s="1"/>
  <c r="Y55" i="3"/>
  <c r="AD55" i="3" s="1"/>
  <c r="AI55" i="3" s="1"/>
  <c r="X55" i="3"/>
  <c r="S55" i="3"/>
  <c r="AA55" i="3"/>
  <c r="AF55" i="3" s="1"/>
  <c r="AK55" i="3" s="1"/>
  <c r="O55" i="3"/>
  <c r="AN55" i="3"/>
  <c r="U55" i="3"/>
  <c r="T55" i="3"/>
  <c r="R55" i="3"/>
  <c r="Q55" i="3"/>
  <c r="P55" i="3"/>
  <c r="AC55" i="3"/>
  <c r="AH55" i="3" s="1"/>
  <c r="AM55" i="3" s="1"/>
  <c r="AB55" i="3"/>
  <c r="AG55" i="3" s="1"/>
  <c r="AL55" i="3" s="1"/>
  <c r="AR55" i="3"/>
  <c r="Z55" i="3"/>
  <c r="AE55" i="3" s="1"/>
  <c r="AJ55" i="3" s="1"/>
  <c r="W55" i="3"/>
  <c r="AO55" i="3"/>
  <c r="V55" i="3"/>
  <c r="AN26" i="3"/>
  <c r="AB26" i="3"/>
  <c r="AG26" i="3" s="1"/>
  <c r="AL26" i="3" s="1"/>
  <c r="P26" i="3"/>
  <c r="Z26" i="3"/>
  <c r="AE26" i="3" s="1"/>
  <c r="AJ26" i="3" s="1"/>
  <c r="Y26" i="3"/>
  <c r="AD26" i="3" s="1"/>
  <c r="AI26" i="3" s="1"/>
  <c r="X26" i="3"/>
  <c r="W26" i="3"/>
  <c r="V26" i="3"/>
  <c r="U26" i="3"/>
  <c r="AR26" i="3"/>
  <c r="T26" i="3"/>
  <c r="S26" i="3"/>
  <c r="R26" i="3"/>
  <c r="AO26" i="3"/>
  <c r="AC26" i="3"/>
  <c r="AH26" i="3" s="1"/>
  <c r="AM26" i="3" s="1"/>
  <c r="AA26" i="3"/>
  <c r="AF26" i="3" s="1"/>
  <c r="AK26" i="3" s="1"/>
  <c r="Q26" i="3"/>
  <c r="O26" i="3"/>
  <c r="Y58" i="3"/>
  <c r="AD58" i="3" s="1"/>
  <c r="AI58" i="3" s="1"/>
  <c r="X58" i="3"/>
  <c r="V58" i="3"/>
  <c r="U58" i="3"/>
  <c r="S58" i="3"/>
  <c r="R58" i="3"/>
  <c r="AA58" i="3"/>
  <c r="O58" i="3"/>
  <c r="AN58" i="3"/>
  <c r="AF58" i="3"/>
  <c r="AK58" i="3" s="1"/>
  <c r="AC58" i="3"/>
  <c r="AH58" i="3" s="1"/>
  <c r="AM58" i="3" s="1"/>
  <c r="AB58" i="3"/>
  <c r="AG58" i="3" s="1"/>
  <c r="AL58" i="3" s="1"/>
  <c r="Z58" i="3"/>
  <c r="AE58" i="3" s="1"/>
  <c r="AJ58" i="3" s="1"/>
  <c r="W58" i="3"/>
  <c r="T58" i="3"/>
  <c r="Q58" i="3"/>
  <c r="AR58" i="3"/>
  <c r="P58" i="3"/>
  <c r="AO58" i="3"/>
  <c r="T15" i="3"/>
  <c r="P15" i="3"/>
  <c r="S15" i="3"/>
  <c r="U15" i="3" s="1"/>
  <c r="Q15" i="3"/>
  <c r="O15" i="3"/>
  <c r="Z15" i="3" s="1"/>
  <c r="AE15" i="3" s="1"/>
  <c r="AJ15" i="3" s="1"/>
  <c r="AO15" i="3"/>
  <c r="Y61" i="3"/>
  <c r="AD61" i="3" s="1"/>
  <c r="AI61" i="3" s="1"/>
  <c r="X61" i="3"/>
  <c r="V61" i="3"/>
  <c r="U61" i="3"/>
  <c r="S61" i="3"/>
  <c r="R61" i="3"/>
  <c r="AA61" i="3"/>
  <c r="AF61" i="3" s="1"/>
  <c r="AK61" i="3" s="1"/>
  <c r="O61" i="3"/>
  <c r="W61" i="3"/>
  <c r="T61" i="3"/>
  <c r="Q61" i="3"/>
  <c r="AR61" i="3"/>
  <c r="P61" i="3"/>
  <c r="AO61" i="3"/>
  <c r="AN61" i="3"/>
  <c r="AC61" i="3"/>
  <c r="AH61" i="3" s="1"/>
  <c r="AM61" i="3" s="1"/>
  <c r="AB61" i="3"/>
  <c r="AG61" i="3" s="1"/>
  <c r="AL61" i="3" s="1"/>
  <c r="Z61" i="3"/>
  <c r="AE61" i="3" s="1"/>
  <c r="AJ61" i="3" s="1"/>
  <c r="AN29" i="3"/>
  <c r="AB29" i="3"/>
  <c r="AG29" i="3" s="1"/>
  <c r="AL29" i="3" s="1"/>
  <c r="P29" i="3"/>
  <c r="Z29" i="3"/>
  <c r="AE29" i="3" s="1"/>
  <c r="AJ29" i="3" s="1"/>
  <c r="Y29" i="3"/>
  <c r="AD29" i="3" s="1"/>
  <c r="AI29" i="3" s="1"/>
  <c r="X29" i="3"/>
  <c r="W29" i="3"/>
  <c r="V29" i="3"/>
  <c r="U29" i="3"/>
  <c r="AR29" i="3"/>
  <c r="T29" i="3"/>
  <c r="S29" i="3"/>
  <c r="R29" i="3"/>
  <c r="AO29" i="3"/>
  <c r="AC29" i="3"/>
  <c r="AH29" i="3" s="1"/>
  <c r="AM29" i="3" s="1"/>
  <c r="AA29" i="3"/>
  <c r="AF29" i="3" s="1"/>
  <c r="AK29" i="3" s="1"/>
  <c r="Q29" i="3"/>
  <c r="O29" i="3"/>
  <c r="X37" i="3"/>
  <c r="W37" i="3"/>
  <c r="V37" i="3"/>
  <c r="U37" i="3"/>
  <c r="AR37" i="3"/>
  <c r="T37" i="3"/>
  <c r="S37" i="3"/>
  <c r="R37" i="3"/>
  <c r="AO37" i="3"/>
  <c r="AC37" i="3"/>
  <c r="AH37" i="3" s="1"/>
  <c r="AM37" i="3" s="1"/>
  <c r="Q37" i="3"/>
  <c r="AN37" i="3"/>
  <c r="AB37" i="3"/>
  <c r="AG37" i="3" s="1"/>
  <c r="AL37" i="3" s="1"/>
  <c r="P37" i="3"/>
  <c r="AA37" i="3"/>
  <c r="AF37" i="3" s="1"/>
  <c r="AK37" i="3" s="1"/>
  <c r="O37" i="3"/>
  <c r="Z37" i="3"/>
  <c r="AE37" i="3" s="1"/>
  <c r="AJ37" i="3" s="1"/>
  <c r="Y37" i="3"/>
  <c r="AD37" i="3" s="1"/>
  <c r="AI37" i="3" s="1"/>
  <c r="T4" i="3"/>
  <c r="P4" i="3"/>
  <c r="Q4" i="3"/>
  <c r="O4" i="3"/>
  <c r="Z4" i="3" s="1"/>
  <c r="AE4" i="3" s="1"/>
  <c r="AJ4" i="3" s="1"/>
  <c r="S4" i="3"/>
  <c r="Y40" i="3"/>
  <c r="AD40" i="3" s="1"/>
  <c r="AI40" i="3" s="1"/>
  <c r="X40" i="3"/>
  <c r="W40" i="3"/>
  <c r="V40" i="3"/>
  <c r="U40" i="3"/>
  <c r="T40" i="3"/>
  <c r="S40" i="3"/>
  <c r="R40" i="3"/>
  <c r="Q40" i="3"/>
  <c r="AR40" i="3"/>
  <c r="AC40" i="3"/>
  <c r="AH40" i="3" s="1"/>
  <c r="AM40" i="3" s="1"/>
  <c r="P40" i="3"/>
  <c r="AB40" i="3"/>
  <c r="AG40" i="3" s="1"/>
  <c r="AL40" i="3" s="1"/>
  <c r="O40" i="3"/>
  <c r="AO40" i="3"/>
  <c r="AA40" i="3"/>
  <c r="AF40" i="3" s="1"/>
  <c r="AK40" i="3" s="1"/>
  <c r="AN40" i="3"/>
  <c r="Z40" i="3"/>
  <c r="AE40" i="3" s="1"/>
  <c r="AJ40" i="3" s="1"/>
  <c r="T18" i="3"/>
  <c r="P18" i="3"/>
  <c r="V18" i="3" s="1"/>
  <c r="O18" i="3"/>
  <c r="AB18" i="3" s="1"/>
  <c r="AG18" i="3" s="1"/>
  <c r="AL18" i="3" s="1"/>
  <c r="Z18" i="3"/>
  <c r="AE18" i="3" s="1"/>
  <c r="AJ18" i="3" s="1"/>
  <c r="Y18" i="3"/>
  <c r="AD18" i="3" s="1"/>
  <c r="AI18" i="3" s="1"/>
  <c r="AC18" i="3"/>
  <c r="AH18" i="3" s="1"/>
  <c r="AM18" i="3" s="1"/>
  <c r="S18" i="3"/>
  <c r="Q18" i="3"/>
  <c r="AO44" i="3"/>
  <c r="AC44" i="3"/>
  <c r="AH44" i="3" s="1"/>
  <c r="AM44" i="3" s="1"/>
  <c r="Q44" i="3"/>
  <c r="AN44" i="3"/>
  <c r="AB44" i="3"/>
  <c r="AG44" i="3" s="1"/>
  <c r="AL44" i="3" s="1"/>
  <c r="P44" i="3"/>
  <c r="W44" i="3"/>
  <c r="S44" i="3"/>
  <c r="T44" i="3"/>
  <c r="R44" i="3"/>
  <c r="O44" i="3"/>
  <c r="AA44" i="3"/>
  <c r="AF44" i="3" s="1"/>
  <c r="AK44" i="3" s="1"/>
  <c r="Z44" i="3"/>
  <c r="AE44" i="3" s="1"/>
  <c r="AJ44" i="3" s="1"/>
  <c r="AR44" i="3"/>
  <c r="Y44" i="3"/>
  <c r="AD44" i="3" s="1"/>
  <c r="AI44" i="3" s="1"/>
  <c r="X44" i="3"/>
  <c r="V44" i="3"/>
  <c r="U44" i="3"/>
  <c r="AN32" i="3"/>
  <c r="AB32" i="3"/>
  <c r="AG32" i="3" s="1"/>
  <c r="AL32" i="3" s="1"/>
  <c r="P32" i="3"/>
  <c r="AA32" i="3"/>
  <c r="AF32" i="3" s="1"/>
  <c r="AK32" i="3" s="1"/>
  <c r="O32" i="3"/>
  <c r="Z32" i="3"/>
  <c r="AE32" i="3" s="1"/>
  <c r="AJ32" i="3" s="1"/>
  <c r="Y32" i="3"/>
  <c r="AD32" i="3" s="1"/>
  <c r="AI32" i="3" s="1"/>
  <c r="X32" i="3"/>
  <c r="W32" i="3"/>
  <c r="V32" i="3"/>
  <c r="U32" i="3"/>
  <c r="AR32" i="3"/>
  <c r="T32" i="3"/>
  <c r="S32" i="3"/>
  <c r="AO12" i="3" s="1"/>
  <c r="R32" i="3"/>
  <c r="AO32" i="3"/>
  <c r="AC32" i="3"/>
  <c r="AH32" i="3" s="1"/>
  <c r="AM32" i="3" s="1"/>
  <c r="Q32" i="3"/>
  <c r="U45" i="3"/>
  <c r="AR45" i="3"/>
  <c r="T45" i="3"/>
  <c r="AA45" i="3"/>
  <c r="AF45" i="3" s="1"/>
  <c r="AK45" i="3" s="1"/>
  <c r="O45" i="3"/>
  <c r="W45" i="3"/>
  <c r="AC45" i="3"/>
  <c r="AH45" i="3" s="1"/>
  <c r="AM45" i="3" s="1"/>
  <c r="AB45" i="3"/>
  <c r="AG45" i="3" s="1"/>
  <c r="AL45" i="3" s="1"/>
  <c r="Z45" i="3"/>
  <c r="AE45" i="3" s="1"/>
  <c r="AJ45" i="3" s="1"/>
  <c r="Y45" i="3"/>
  <c r="AD45" i="3" s="1"/>
  <c r="AI45" i="3" s="1"/>
  <c r="AO45" i="3"/>
  <c r="X45" i="3"/>
  <c r="AN45" i="3"/>
  <c r="V45" i="3"/>
  <c r="S45" i="3"/>
  <c r="R45" i="3"/>
  <c r="Q45" i="3"/>
  <c r="P45" i="3"/>
  <c r="AR21" i="3"/>
  <c r="T21" i="3"/>
  <c r="R21" i="3"/>
  <c r="AN21" i="3"/>
  <c r="AB21" i="3"/>
  <c r="AG21" i="3" s="1"/>
  <c r="AL21" i="3" s="1"/>
  <c r="P21" i="3"/>
  <c r="AA21" i="3"/>
  <c r="AF21" i="3" s="1"/>
  <c r="AK21" i="3" s="1"/>
  <c r="O21" i="3"/>
  <c r="Z21" i="3"/>
  <c r="AE21" i="3" s="1"/>
  <c r="AJ21" i="3" s="1"/>
  <c r="Y21" i="3"/>
  <c r="AD21" i="3" s="1"/>
  <c r="AI21" i="3" s="1"/>
  <c r="X21" i="3"/>
  <c r="W21" i="3"/>
  <c r="V21" i="3"/>
  <c r="U21" i="3"/>
  <c r="S21" i="3"/>
  <c r="Q21" i="3"/>
  <c r="AO21" i="3"/>
  <c r="AC21" i="3"/>
  <c r="AH21" i="3" s="1"/>
  <c r="AM21" i="3" s="1"/>
  <c r="AO53" i="3"/>
  <c r="AC53" i="3"/>
  <c r="AH53" i="3" s="1"/>
  <c r="AM53" i="3" s="1"/>
  <c r="Q53" i="3"/>
  <c r="AN53" i="3"/>
  <c r="AB53" i="3"/>
  <c r="AG53" i="3" s="1"/>
  <c r="AL53" i="3" s="1"/>
  <c r="P53" i="3"/>
  <c r="W53" i="3"/>
  <c r="S53" i="3"/>
  <c r="T53" i="3"/>
  <c r="R53" i="3"/>
  <c r="O53" i="3"/>
  <c r="AA53" i="3"/>
  <c r="AF53" i="3" s="1"/>
  <c r="AK53" i="3" s="1"/>
  <c r="Z53" i="3"/>
  <c r="AE53" i="3" s="1"/>
  <c r="AJ53" i="3" s="1"/>
  <c r="AR53" i="3"/>
  <c r="Y53" i="3"/>
  <c r="AD53" i="3" s="1"/>
  <c r="AI53" i="3" s="1"/>
  <c r="X53" i="3"/>
  <c r="V53" i="3"/>
  <c r="U53" i="3"/>
  <c r="AN35" i="3"/>
  <c r="AB35" i="3"/>
  <c r="AG35" i="3" s="1"/>
  <c r="AL35" i="3" s="1"/>
  <c r="P35" i="3"/>
  <c r="AA35" i="3"/>
  <c r="AF35" i="3" s="1"/>
  <c r="AK35" i="3" s="1"/>
  <c r="O35" i="3"/>
  <c r="Z35" i="3"/>
  <c r="AE35" i="3" s="1"/>
  <c r="AJ35" i="3" s="1"/>
  <c r="Y35" i="3"/>
  <c r="AD35" i="3" s="1"/>
  <c r="AI35" i="3" s="1"/>
  <c r="X35" i="3"/>
  <c r="W35" i="3"/>
  <c r="V35" i="3"/>
  <c r="U35" i="3"/>
  <c r="AR35" i="3"/>
  <c r="T35" i="3"/>
  <c r="S35" i="3"/>
  <c r="R35" i="3"/>
  <c r="AO35" i="3"/>
  <c r="AC35" i="3"/>
  <c r="AH35" i="3" s="1"/>
  <c r="AM35" i="3" s="1"/>
  <c r="Q35" i="3"/>
  <c r="T7" i="3"/>
  <c r="P7" i="3"/>
  <c r="S7" i="3"/>
  <c r="U7" i="3" s="1"/>
  <c r="Q7" i="3"/>
  <c r="O7" i="3"/>
  <c r="Y7" i="3" s="1"/>
  <c r="AD7" i="3" s="1"/>
  <c r="AI7" i="3" s="1"/>
  <c r="T10" i="3"/>
  <c r="P10" i="3"/>
  <c r="Q10" i="3"/>
  <c r="O10" i="3"/>
  <c r="AB10" i="3" s="1"/>
  <c r="AG10" i="3" s="1"/>
  <c r="AL10" i="3" s="1"/>
  <c r="S10" i="3"/>
  <c r="U54" i="3"/>
  <c r="AR54" i="3"/>
  <c r="T54" i="3"/>
  <c r="AA54" i="3"/>
  <c r="AF54" i="3" s="1"/>
  <c r="AK54" i="3" s="1"/>
  <c r="O54" i="3"/>
  <c r="W54" i="3"/>
  <c r="AC54" i="3"/>
  <c r="AH54" i="3" s="1"/>
  <c r="AM54" i="3" s="1"/>
  <c r="AB54" i="3"/>
  <c r="AG54" i="3" s="1"/>
  <c r="AL54" i="3" s="1"/>
  <c r="Z54" i="3"/>
  <c r="AE54" i="3" s="1"/>
  <c r="AJ54" i="3" s="1"/>
  <c r="Y54" i="3"/>
  <c r="AD54" i="3" s="1"/>
  <c r="AI54" i="3" s="1"/>
  <c r="AO54" i="3"/>
  <c r="X54" i="3"/>
  <c r="AN54" i="3"/>
  <c r="V54" i="3"/>
  <c r="S54" i="3"/>
  <c r="R54" i="3"/>
  <c r="Q54" i="3"/>
  <c r="P54" i="3"/>
  <c r="AR24" i="3"/>
  <c r="T24" i="3"/>
  <c r="R24" i="3"/>
  <c r="AO24" i="3"/>
  <c r="AC24" i="3"/>
  <c r="AH24" i="3" s="1"/>
  <c r="AM24" i="3" s="1"/>
  <c r="Q24" i="3"/>
  <c r="AN24" i="3"/>
  <c r="AB24" i="3"/>
  <c r="AG24" i="3" s="1"/>
  <c r="AL24" i="3" s="1"/>
  <c r="P24" i="3"/>
  <c r="AA24" i="3"/>
  <c r="AF24" i="3" s="1"/>
  <c r="AK24" i="3" s="1"/>
  <c r="O24" i="3"/>
  <c r="Z24" i="3"/>
  <c r="AE24" i="3" s="1"/>
  <c r="AJ24" i="3" s="1"/>
  <c r="Y24" i="3"/>
  <c r="AD24" i="3" s="1"/>
  <c r="AI24" i="3" s="1"/>
  <c r="X24" i="3"/>
  <c r="W24" i="3"/>
  <c r="V24" i="3"/>
  <c r="U24" i="3"/>
  <c r="S24" i="3"/>
  <c r="P2" i="3"/>
  <c r="T2" i="3"/>
  <c r="S2" i="3"/>
  <c r="U2" i="3" s="1"/>
  <c r="Q2" i="3"/>
  <c r="O2" i="3"/>
  <c r="AB2" i="3" s="1"/>
  <c r="AG2" i="3" s="1"/>
  <c r="AL2" i="3" s="1"/>
  <c r="AN38" i="3"/>
  <c r="AB38" i="3"/>
  <c r="AG38" i="3" s="1"/>
  <c r="AL38" i="3" s="1"/>
  <c r="P38" i="3"/>
  <c r="AA38" i="3"/>
  <c r="AF38" i="3" s="1"/>
  <c r="AK38" i="3" s="1"/>
  <c r="O38" i="3"/>
  <c r="Z38" i="3"/>
  <c r="AE38" i="3" s="1"/>
  <c r="AJ38" i="3" s="1"/>
  <c r="Y38" i="3"/>
  <c r="AD38" i="3" s="1"/>
  <c r="AI38" i="3" s="1"/>
  <c r="X38" i="3"/>
  <c r="W38" i="3"/>
  <c r="V38" i="3"/>
  <c r="U38" i="3"/>
  <c r="AR38" i="3"/>
  <c r="T38" i="3"/>
  <c r="S38" i="3"/>
  <c r="R38" i="3"/>
  <c r="AO38" i="3"/>
  <c r="AC38" i="3"/>
  <c r="AH38" i="3" s="1"/>
  <c r="AM38" i="3" s="1"/>
  <c r="Q38" i="3"/>
  <c r="Z9" i="3" l="1"/>
  <c r="AE9" i="3" s="1"/>
  <c r="AJ9" i="3" s="1"/>
  <c r="U11" i="3"/>
  <c r="V9" i="3"/>
  <c r="AB9" i="3"/>
  <c r="AG9" i="3" s="1"/>
  <c r="AL9" i="3" s="1"/>
  <c r="V13" i="3"/>
  <c r="V15" i="3"/>
  <c r="W15" i="3" s="1"/>
  <c r="V8" i="3"/>
  <c r="U18" i="3"/>
  <c r="W18" i="3" s="1"/>
  <c r="U10" i="3"/>
  <c r="Y10" i="3"/>
  <c r="AD10" i="3" s="1"/>
  <c r="AI10" i="3" s="1"/>
  <c r="R16" i="3"/>
  <c r="V16" i="3"/>
  <c r="U17" i="3"/>
  <c r="V19" i="3"/>
  <c r="V11" i="3"/>
  <c r="V6" i="3"/>
  <c r="W6" i="3" s="1"/>
  <c r="AC19" i="3"/>
  <c r="AH19" i="3" s="1"/>
  <c r="AM19" i="3" s="1"/>
  <c r="AC14" i="3"/>
  <c r="AH14" i="3" s="1"/>
  <c r="AM14" i="3" s="1"/>
  <c r="R8" i="3"/>
  <c r="AA2" i="3"/>
  <c r="AF2" i="3" s="1"/>
  <c r="AK2" i="3" s="1"/>
  <c r="AC7" i="3"/>
  <c r="AH7" i="3" s="1"/>
  <c r="AM7" i="3" s="1"/>
  <c r="AA18" i="3"/>
  <c r="AF18" i="3" s="1"/>
  <c r="AK18" i="3" s="1"/>
  <c r="AN18" i="3" s="1"/>
  <c r="U9" i="3"/>
  <c r="AR6" i="3"/>
  <c r="Z17" i="3"/>
  <c r="AE17" i="3" s="1"/>
  <c r="AJ17" i="3" s="1"/>
  <c r="R3" i="3"/>
  <c r="AO19" i="3"/>
  <c r="AB16" i="3"/>
  <c r="AG16" i="3" s="1"/>
  <c r="AL16" i="3" s="1"/>
  <c r="AO18" i="3"/>
  <c r="U12" i="3"/>
  <c r="Y9" i="3"/>
  <c r="AD9" i="3" s="1"/>
  <c r="AI9" i="3" s="1"/>
  <c r="AN9" i="3" s="1"/>
  <c r="U8" i="3"/>
  <c r="Z7" i="3"/>
  <c r="AE7" i="3" s="1"/>
  <c r="AJ7" i="3" s="1"/>
  <c r="R7" i="3"/>
  <c r="AB15" i="3"/>
  <c r="AG15" i="3" s="1"/>
  <c r="AL15" i="3" s="1"/>
  <c r="AA9" i="3"/>
  <c r="AF9" i="3" s="1"/>
  <c r="AK9" i="3" s="1"/>
  <c r="V14" i="3"/>
  <c r="W14" i="3" s="1"/>
  <c r="Y8" i="3"/>
  <c r="AD8" i="3" s="1"/>
  <c r="AI8" i="3" s="1"/>
  <c r="U16" i="3"/>
  <c r="AO4" i="3"/>
  <c r="AR14" i="3"/>
  <c r="AT14" i="3" s="1"/>
  <c r="Z10" i="3"/>
  <c r="AE10" i="3" s="1"/>
  <c r="AJ10" i="3" s="1"/>
  <c r="Z2" i="3"/>
  <c r="AE2" i="3" s="1"/>
  <c r="AJ2" i="3" s="1"/>
  <c r="AA10" i="3"/>
  <c r="AF10" i="3" s="1"/>
  <c r="AK10" i="3" s="1"/>
  <c r="AB7" i="3"/>
  <c r="AG7" i="3" s="1"/>
  <c r="AL7" i="3" s="1"/>
  <c r="Y17" i="3"/>
  <c r="AD17" i="3" s="1"/>
  <c r="AI17" i="3" s="1"/>
  <c r="AC3" i="3"/>
  <c r="AH3" i="3" s="1"/>
  <c r="AM3" i="3" s="1"/>
  <c r="AN3" i="3" s="1"/>
  <c r="AA8" i="3"/>
  <c r="AF8" i="3" s="1"/>
  <c r="AK8" i="3" s="1"/>
  <c r="AO13" i="3"/>
  <c r="R2" i="3"/>
  <c r="V4" i="3"/>
  <c r="AA17" i="3"/>
  <c r="AF17" i="3" s="1"/>
  <c r="AK17" i="3" s="1"/>
  <c r="Y19" i="3"/>
  <c r="AD19" i="3" s="1"/>
  <c r="AI19" i="3" s="1"/>
  <c r="R11" i="3"/>
  <c r="AC8" i="3"/>
  <c r="AH8" i="3" s="1"/>
  <c r="AM8" i="3" s="1"/>
  <c r="Y5" i="3"/>
  <c r="AD5" i="3" s="1"/>
  <c r="AI5" i="3" s="1"/>
  <c r="AA7" i="3"/>
  <c r="AF7" i="3" s="1"/>
  <c r="AK7" i="3" s="1"/>
  <c r="AC2" i="3"/>
  <c r="AH2" i="3" s="1"/>
  <c r="AM2" i="3" s="1"/>
  <c r="V10" i="3"/>
  <c r="W10" i="3" s="1"/>
  <c r="AR7" i="3"/>
  <c r="AT7" i="3" s="1"/>
  <c r="AR4" i="3"/>
  <c r="AC17" i="3"/>
  <c r="AH17" i="3" s="1"/>
  <c r="AM17" i="3" s="1"/>
  <c r="W11" i="3"/>
  <c r="R13" i="3"/>
  <c r="R19" i="3"/>
  <c r="AR8" i="3"/>
  <c r="AS8" i="3" s="1"/>
  <c r="AO16" i="3"/>
  <c r="AP16" i="3" s="1"/>
  <c r="R6" i="3"/>
  <c r="R17" i="3"/>
  <c r="AA19" i="3"/>
  <c r="AF19" i="3" s="1"/>
  <c r="AK19" i="3" s="1"/>
  <c r="Y16" i="3"/>
  <c r="AD16" i="3" s="1"/>
  <c r="AI16" i="3" s="1"/>
  <c r="R12" i="3"/>
  <c r="AR3" i="3"/>
  <c r="AS3" i="3" s="1"/>
  <c r="Z8" i="3"/>
  <c r="AE8" i="3" s="1"/>
  <c r="AJ8" i="3" s="1"/>
  <c r="Z16" i="3"/>
  <c r="AE16" i="3" s="1"/>
  <c r="AJ16" i="3" s="1"/>
  <c r="AR13" i="3"/>
  <c r="AR5" i="3"/>
  <c r="AT5" i="3" s="1"/>
  <c r="AO6" i="3"/>
  <c r="AP6" i="3" s="1"/>
  <c r="AO9" i="3"/>
  <c r="AR18" i="3"/>
  <c r="AS18" i="3" s="1"/>
  <c r="AB8" i="3"/>
  <c r="AG8" i="3" s="1"/>
  <c r="AL8" i="3" s="1"/>
  <c r="AA16" i="3"/>
  <c r="AF16" i="3" s="1"/>
  <c r="AK16" i="3" s="1"/>
  <c r="W16" i="3"/>
  <c r="AT6" i="3"/>
  <c r="AS6" i="3"/>
  <c r="AQ19" i="3"/>
  <c r="AP19" i="3"/>
  <c r="AS7" i="3"/>
  <c r="AT8" i="3"/>
  <c r="W9" i="3"/>
  <c r="W8" i="3"/>
  <c r="W5" i="3"/>
  <c r="AT18" i="3"/>
  <c r="W12" i="3"/>
  <c r="R18" i="3"/>
  <c r="D156" i="8"/>
  <c r="C156" i="8"/>
  <c r="B156" i="8"/>
  <c r="C325" i="8"/>
  <c r="B325" i="8"/>
  <c r="D325" i="8"/>
  <c r="D176" i="8"/>
  <c r="C176" i="8"/>
  <c r="B176" i="8"/>
  <c r="C107" i="8"/>
  <c r="B107" i="8"/>
  <c r="D107" i="8"/>
  <c r="D251" i="8"/>
  <c r="B251" i="8"/>
  <c r="C251" i="8"/>
  <c r="D359" i="8"/>
  <c r="C359" i="8"/>
  <c r="B359" i="8"/>
  <c r="D401" i="8"/>
  <c r="C401" i="8"/>
  <c r="B401" i="8"/>
  <c r="D496" i="8"/>
  <c r="C496" i="8"/>
  <c r="B496" i="8"/>
  <c r="D656" i="8"/>
  <c r="C656" i="8"/>
  <c r="B656" i="8"/>
  <c r="C506" i="8"/>
  <c r="B506" i="8"/>
  <c r="D506" i="8"/>
  <c r="D591" i="8"/>
  <c r="C591" i="8"/>
  <c r="B591" i="8"/>
  <c r="D618" i="8"/>
  <c r="C618" i="8"/>
  <c r="B618" i="8"/>
  <c r="AQ47" i="3"/>
  <c r="AP47" i="3"/>
  <c r="D108" i="8"/>
  <c r="C108" i="8"/>
  <c r="B108" i="8"/>
  <c r="R10" i="3"/>
  <c r="AS45" i="3"/>
  <c r="AT45" i="3"/>
  <c r="AQ44" i="3"/>
  <c r="AP44" i="3"/>
  <c r="AB4" i="3"/>
  <c r="AG4" i="3" s="1"/>
  <c r="AL4" i="3" s="1"/>
  <c r="D92" i="8"/>
  <c r="C92" i="8"/>
  <c r="B92" i="8"/>
  <c r="AQ61" i="3"/>
  <c r="AP61" i="3"/>
  <c r="AC15" i="3"/>
  <c r="AH15" i="3" s="1"/>
  <c r="AM15" i="3" s="1"/>
  <c r="AR12" i="3"/>
  <c r="C90" i="8"/>
  <c r="B90" i="8"/>
  <c r="D90" i="8"/>
  <c r="C129" i="8"/>
  <c r="D129" i="8"/>
  <c r="B129" i="8"/>
  <c r="C256" i="8"/>
  <c r="D256" i="8"/>
  <c r="B256" i="8"/>
  <c r="C98" i="8"/>
  <c r="B98" i="8"/>
  <c r="D98" i="8"/>
  <c r="C158" i="8"/>
  <c r="B158" i="8"/>
  <c r="D158" i="8"/>
  <c r="D200" i="8"/>
  <c r="C200" i="8"/>
  <c r="B200" i="8"/>
  <c r="C341" i="8"/>
  <c r="B341" i="8"/>
  <c r="D341" i="8"/>
  <c r="C83" i="8"/>
  <c r="B83" i="8"/>
  <c r="D83" i="8"/>
  <c r="C179" i="8"/>
  <c r="B179" i="8"/>
  <c r="D179" i="8"/>
  <c r="B309" i="8"/>
  <c r="D309" i="8"/>
  <c r="C309" i="8"/>
  <c r="D324" i="8"/>
  <c r="C324" i="8"/>
  <c r="B324" i="8"/>
  <c r="C381" i="8"/>
  <c r="B381" i="8"/>
  <c r="D381" i="8"/>
  <c r="D497" i="8"/>
  <c r="C497" i="8"/>
  <c r="B497" i="8"/>
  <c r="D335" i="8"/>
  <c r="C335" i="8"/>
  <c r="B335" i="8"/>
  <c r="B262" i="8"/>
  <c r="D262" i="8"/>
  <c r="C262" i="8"/>
  <c r="B358" i="8"/>
  <c r="D358" i="8"/>
  <c r="C358" i="8"/>
  <c r="D688" i="8"/>
  <c r="C688" i="8"/>
  <c r="B688" i="8"/>
  <c r="D472" i="8"/>
  <c r="C472" i="8"/>
  <c r="B472" i="8"/>
  <c r="C577" i="8"/>
  <c r="D577" i="8"/>
  <c r="B577" i="8"/>
  <c r="D459" i="8"/>
  <c r="C459" i="8"/>
  <c r="B459" i="8"/>
  <c r="C561" i="8"/>
  <c r="D561" i="8"/>
  <c r="B561" i="8"/>
  <c r="D386" i="8"/>
  <c r="C386" i="8"/>
  <c r="B386" i="8"/>
  <c r="C434" i="8"/>
  <c r="B434" i="8"/>
  <c r="D434" i="8"/>
  <c r="C482" i="8"/>
  <c r="B482" i="8"/>
  <c r="D482" i="8"/>
  <c r="C530" i="8"/>
  <c r="B530" i="8"/>
  <c r="D530" i="8"/>
  <c r="D672" i="8"/>
  <c r="C672" i="8"/>
  <c r="B672" i="8"/>
  <c r="C711" i="8"/>
  <c r="D711" i="8"/>
  <c r="B711" i="8"/>
  <c r="C816" i="8"/>
  <c r="B816" i="8"/>
  <c r="D816" i="8"/>
  <c r="D615" i="8"/>
  <c r="C615" i="8"/>
  <c r="B615" i="8"/>
  <c r="D663" i="8"/>
  <c r="C663" i="8"/>
  <c r="B663" i="8"/>
  <c r="D714" i="8"/>
  <c r="C714" i="8"/>
  <c r="B714" i="8"/>
  <c r="D840" i="8"/>
  <c r="C840" i="8"/>
  <c r="B840" i="8"/>
  <c r="C804" i="8"/>
  <c r="B804" i="8"/>
  <c r="D804" i="8"/>
  <c r="C594" i="8"/>
  <c r="B594" i="8"/>
  <c r="D594" i="8"/>
  <c r="D642" i="8"/>
  <c r="C642" i="8"/>
  <c r="B642" i="8"/>
  <c r="D690" i="8"/>
  <c r="C690" i="8"/>
  <c r="B690" i="8"/>
  <c r="C764" i="8"/>
  <c r="B764" i="8"/>
  <c r="D764" i="8"/>
  <c r="C755" i="8"/>
  <c r="B755" i="8"/>
  <c r="D755" i="8"/>
  <c r="D757" i="8"/>
  <c r="C757" i="8"/>
  <c r="B757" i="8"/>
  <c r="C617" i="8"/>
  <c r="B617" i="8"/>
  <c r="D617" i="8"/>
  <c r="C665" i="8"/>
  <c r="B665" i="8"/>
  <c r="D665" i="8"/>
  <c r="C759" i="8"/>
  <c r="B759" i="8"/>
  <c r="D759" i="8"/>
  <c r="C734" i="8"/>
  <c r="B734" i="8"/>
  <c r="D734" i="8"/>
  <c r="C742" i="8"/>
  <c r="B742" i="8"/>
  <c r="D742" i="8"/>
  <c r="D879" i="8"/>
  <c r="C879" i="8"/>
  <c r="B879" i="8"/>
  <c r="B966" i="8"/>
  <c r="D966" i="8"/>
  <c r="C966" i="8"/>
  <c r="C818" i="8"/>
  <c r="B818" i="8"/>
  <c r="D818" i="8"/>
  <c r="D871" i="8"/>
  <c r="C871" i="8"/>
  <c r="B871" i="8"/>
  <c r="D858" i="8"/>
  <c r="C858" i="8"/>
  <c r="B858" i="8"/>
  <c r="D906" i="8"/>
  <c r="C906" i="8"/>
  <c r="B906" i="8"/>
  <c r="C998" i="8"/>
  <c r="B998" i="8"/>
  <c r="D998" i="8"/>
  <c r="D849" i="8"/>
  <c r="C849" i="8"/>
  <c r="B849" i="8"/>
  <c r="D897" i="8"/>
  <c r="C897" i="8"/>
  <c r="B897" i="8"/>
  <c r="D1042" i="8"/>
  <c r="C1042" i="8"/>
  <c r="B1042" i="8"/>
  <c r="D1050" i="8"/>
  <c r="C1050" i="8"/>
  <c r="B1050" i="8"/>
  <c r="D888" i="8"/>
  <c r="C888" i="8"/>
  <c r="B888" i="8"/>
  <c r="D1030" i="8"/>
  <c r="C1030" i="8"/>
  <c r="B1030" i="8"/>
  <c r="D1132" i="8"/>
  <c r="C1132" i="8"/>
  <c r="B1132" i="8"/>
  <c r="D1100" i="8"/>
  <c r="C1100" i="8"/>
  <c r="B1100" i="8"/>
  <c r="D944" i="8"/>
  <c r="C944" i="8"/>
  <c r="B944" i="8"/>
  <c r="D992" i="8"/>
  <c r="B992" i="8"/>
  <c r="C992" i="8"/>
  <c r="D1040" i="8"/>
  <c r="C1040" i="8"/>
  <c r="B1040" i="8"/>
  <c r="D1080" i="8"/>
  <c r="C1080" i="8"/>
  <c r="B1080" i="8"/>
  <c r="D943" i="8"/>
  <c r="C943" i="8"/>
  <c r="B943" i="8"/>
  <c r="D991" i="8"/>
  <c r="C991" i="8"/>
  <c r="B991" i="8"/>
  <c r="D1039" i="8"/>
  <c r="C1039" i="8"/>
  <c r="B1039" i="8"/>
  <c r="D1227" i="8"/>
  <c r="C1227" i="8"/>
  <c r="B1227" i="8"/>
  <c r="D1162" i="8"/>
  <c r="C1162" i="8"/>
  <c r="B1162" i="8"/>
  <c r="D1150" i="8"/>
  <c r="C1150" i="8"/>
  <c r="B1150" i="8"/>
  <c r="D1087" i="8"/>
  <c r="B1087" i="8"/>
  <c r="C1087" i="8"/>
  <c r="D1164" i="8"/>
  <c r="C1164" i="8"/>
  <c r="B1164" i="8"/>
  <c r="D1195" i="8"/>
  <c r="C1195" i="8"/>
  <c r="B1195" i="8"/>
  <c r="D1094" i="8"/>
  <c r="C1094" i="8"/>
  <c r="B1094" i="8"/>
  <c r="D1174" i="8"/>
  <c r="C1174" i="8"/>
  <c r="B1174" i="8"/>
  <c r="D1247" i="8"/>
  <c r="C1247" i="8"/>
  <c r="B1247" i="8"/>
  <c r="D1186" i="8"/>
  <c r="C1186" i="8"/>
  <c r="B1186" i="8"/>
  <c r="C1235" i="8"/>
  <c r="B1235" i="8"/>
  <c r="D1235" i="8"/>
  <c r="C1391" i="8"/>
  <c r="D1391" i="8"/>
  <c r="B1391" i="8"/>
  <c r="D1173" i="8"/>
  <c r="C1173" i="8"/>
  <c r="B1173" i="8"/>
  <c r="C1299" i="8"/>
  <c r="B1299" i="8"/>
  <c r="D1299" i="8"/>
  <c r="D1273" i="8"/>
  <c r="C1273" i="8"/>
  <c r="B1273" i="8"/>
  <c r="D1434" i="8"/>
  <c r="C1434" i="8"/>
  <c r="B1434" i="8"/>
  <c r="D1233" i="8"/>
  <c r="C1233" i="8"/>
  <c r="B1233" i="8"/>
  <c r="D1308" i="8"/>
  <c r="C1308" i="8"/>
  <c r="B1308" i="8"/>
  <c r="D1281" i="8"/>
  <c r="C1281" i="8"/>
  <c r="B1281" i="8"/>
  <c r="C1208" i="8"/>
  <c r="D1208" i="8"/>
  <c r="B1208" i="8"/>
  <c r="C1256" i="8"/>
  <c r="B1256" i="8"/>
  <c r="D1256" i="8"/>
  <c r="B1360" i="8"/>
  <c r="D1360" i="8"/>
  <c r="C1360" i="8"/>
  <c r="C1383" i="8"/>
  <c r="D1383" i="8"/>
  <c r="B1383" i="8"/>
  <c r="D1338" i="8"/>
  <c r="C1338" i="8"/>
  <c r="B1338" i="8"/>
  <c r="D1361" i="8"/>
  <c r="C1361" i="8"/>
  <c r="B1361" i="8"/>
  <c r="D1480" i="8"/>
  <c r="B1480" i="8"/>
  <c r="C1480" i="8"/>
  <c r="D1462" i="8"/>
  <c r="C1462" i="8"/>
  <c r="B1462" i="8"/>
  <c r="B1329" i="8"/>
  <c r="D1329" i="8"/>
  <c r="C1329" i="8"/>
  <c r="C1363" i="8"/>
  <c r="D1363" i="8"/>
  <c r="B1363" i="8"/>
  <c r="D1413" i="8"/>
  <c r="C1413" i="8"/>
  <c r="B1413" i="8"/>
  <c r="D1461" i="8"/>
  <c r="C1461" i="8"/>
  <c r="B1461" i="8"/>
  <c r="C1411" i="8"/>
  <c r="D1411" i="8"/>
  <c r="B1411" i="8"/>
  <c r="C1459" i="8"/>
  <c r="B1459" i="8"/>
  <c r="D1459" i="8"/>
  <c r="D329" i="6"/>
  <c r="C329" i="6"/>
  <c r="B329" i="6"/>
  <c r="C151" i="6"/>
  <c r="B151" i="6"/>
  <c r="D151" i="6"/>
  <c r="C42" i="6"/>
  <c r="B42" i="6"/>
  <c r="D42" i="6"/>
  <c r="C186" i="6"/>
  <c r="B186" i="6"/>
  <c r="D186" i="6"/>
  <c r="D413" i="6"/>
  <c r="C413" i="6"/>
  <c r="B413" i="6"/>
  <c r="C123" i="6"/>
  <c r="B123" i="6"/>
  <c r="D123" i="6"/>
  <c r="D309" i="6"/>
  <c r="C309" i="6"/>
  <c r="B309" i="6"/>
  <c r="C110" i="6"/>
  <c r="B110" i="6"/>
  <c r="D110" i="6"/>
  <c r="D252" i="6"/>
  <c r="C252" i="6"/>
  <c r="B252" i="6"/>
  <c r="C60" i="6"/>
  <c r="B60" i="6"/>
  <c r="D60" i="6"/>
  <c r="C204" i="6"/>
  <c r="B204" i="6"/>
  <c r="D204" i="6"/>
  <c r="B21" i="6"/>
  <c r="D21" i="6"/>
  <c r="C21" i="6"/>
  <c r="B165" i="6"/>
  <c r="D165" i="6"/>
  <c r="C165" i="6"/>
  <c r="C8" i="6"/>
  <c r="B8" i="6"/>
  <c r="D8" i="6"/>
  <c r="C152" i="6"/>
  <c r="B152" i="6"/>
  <c r="D152" i="6"/>
  <c r="D301" i="6"/>
  <c r="C301" i="6"/>
  <c r="B301" i="6"/>
  <c r="C102" i="6"/>
  <c r="B102" i="6"/>
  <c r="D102" i="6"/>
  <c r="C246" i="6"/>
  <c r="B246" i="6"/>
  <c r="D246" i="6"/>
  <c r="C15" i="6"/>
  <c r="B15" i="6"/>
  <c r="D15" i="6"/>
  <c r="C159" i="6"/>
  <c r="B159" i="6"/>
  <c r="D159" i="6"/>
  <c r="B13" i="6"/>
  <c r="D13" i="6"/>
  <c r="C13" i="6"/>
  <c r="B157" i="6"/>
  <c r="D157" i="6"/>
  <c r="C157" i="6"/>
  <c r="D296" i="6"/>
  <c r="C296" i="6"/>
  <c r="B296" i="6"/>
  <c r="C144" i="6"/>
  <c r="B144" i="6"/>
  <c r="D144" i="6"/>
  <c r="D349" i="6"/>
  <c r="C349" i="6"/>
  <c r="B349" i="6"/>
  <c r="C94" i="6"/>
  <c r="B94" i="6"/>
  <c r="D94" i="6"/>
  <c r="C238" i="6"/>
  <c r="B238" i="6"/>
  <c r="D238" i="6"/>
  <c r="D1205" i="6"/>
  <c r="C1205" i="6"/>
  <c r="B1205" i="6"/>
  <c r="D324" i="6"/>
  <c r="C324" i="6"/>
  <c r="B324" i="6"/>
  <c r="D372" i="6"/>
  <c r="C372" i="6"/>
  <c r="B372" i="6"/>
  <c r="D420" i="6"/>
  <c r="C420" i="6"/>
  <c r="B420" i="6"/>
  <c r="D579" i="6"/>
  <c r="C579" i="6"/>
  <c r="B579" i="6"/>
  <c r="C271" i="6"/>
  <c r="B271" i="6"/>
  <c r="D271" i="6"/>
  <c r="D319" i="6"/>
  <c r="C319" i="6"/>
  <c r="B319" i="6"/>
  <c r="D367" i="6"/>
  <c r="C367" i="6"/>
  <c r="B367" i="6"/>
  <c r="D415" i="6"/>
  <c r="C415" i="6"/>
  <c r="B415" i="6"/>
  <c r="D591" i="6"/>
  <c r="C591" i="6"/>
  <c r="B591" i="6"/>
  <c r="C334" i="6"/>
  <c r="B334" i="6"/>
  <c r="D334" i="6"/>
  <c r="C382" i="6"/>
  <c r="B382" i="6"/>
  <c r="D382" i="6"/>
  <c r="C430" i="6"/>
  <c r="B430" i="6"/>
  <c r="D430" i="6"/>
  <c r="D547" i="6"/>
  <c r="B547" i="6"/>
  <c r="C547" i="6"/>
  <c r="C472" i="6"/>
  <c r="B472" i="6"/>
  <c r="D472" i="6"/>
  <c r="C520" i="6"/>
  <c r="B520" i="6"/>
  <c r="D520" i="6"/>
  <c r="C568" i="6"/>
  <c r="B568" i="6"/>
  <c r="D568" i="6"/>
  <c r="C616" i="6"/>
  <c r="B616" i="6"/>
  <c r="D616" i="6"/>
  <c r="D664" i="6"/>
  <c r="C664" i="6"/>
  <c r="B664" i="6"/>
  <c r="D712" i="6"/>
  <c r="C712" i="6"/>
  <c r="B712" i="6"/>
  <c r="D760" i="6"/>
  <c r="C760" i="6"/>
  <c r="B760" i="6"/>
  <c r="D808" i="6"/>
  <c r="C808" i="6"/>
  <c r="B808" i="6"/>
  <c r="D847" i="6"/>
  <c r="C847" i="6"/>
  <c r="B847" i="6"/>
  <c r="D667" i="6"/>
  <c r="C667" i="6"/>
  <c r="B667" i="6"/>
  <c r="D715" i="6"/>
  <c r="C715" i="6"/>
  <c r="B715" i="6"/>
  <c r="D763" i="6"/>
  <c r="C763" i="6"/>
  <c r="B763" i="6"/>
  <c r="D811" i="6"/>
  <c r="C811" i="6"/>
  <c r="B811" i="6"/>
  <c r="D442" i="6"/>
  <c r="C442" i="6"/>
  <c r="B442" i="6"/>
  <c r="D490" i="6"/>
  <c r="C490" i="6"/>
  <c r="B490" i="6"/>
  <c r="D538" i="6"/>
  <c r="C538" i="6"/>
  <c r="B538" i="6"/>
  <c r="D586" i="6"/>
  <c r="C586" i="6"/>
  <c r="B586" i="6"/>
  <c r="D634" i="6"/>
  <c r="C634" i="6"/>
  <c r="B634" i="6"/>
  <c r="D682" i="6"/>
  <c r="C682" i="6"/>
  <c r="B682" i="6"/>
  <c r="D730" i="6"/>
  <c r="C730" i="6"/>
  <c r="B730" i="6"/>
  <c r="D778" i="6"/>
  <c r="C778" i="6"/>
  <c r="B778" i="6"/>
  <c r="D871" i="6"/>
  <c r="C871" i="6"/>
  <c r="B871" i="6"/>
  <c r="D453" i="6"/>
  <c r="C453" i="6"/>
  <c r="B453" i="6"/>
  <c r="D501" i="6"/>
  <c r="B501" i="6"/>
  <c r="C501" i="6"/>
  <c r="D549" i="6"/>
  <c r="C549" i="6"/>
  <c r="B549" i="6"/>
  <c r="D597" i="6"/>
  <c r="C597" i="6"/>
  <c r="B597" i="6"/>
  <c r="D645" i="6"/>
  <c r="C645" i="6"/>
  <c r="B645" i="6"/>
  <c r="D693" i="6"/>
  <c r="C693" i="6"/>
  <c r="B693" i="6"/>
  <c r="D741" i="6"/>
  <c r="C741" i="6"/>
  <c r="B741" i="6"/>
  <c r="D789" i="6"/>
  <c r="C789" i="6"/>
  <c r="B789" i="6"/>
  <c r="B824" i="6"/>
  <c r="D824" i="6"/>
  <c r="C824" i="6"/>
  <c r="B872" i="6"/>
  <c r="D872" i="6"/>
  <c r="C872" i="6"/>
  <c r="D920" i="6"/>
  <c r="B920" i="6"/>
  <c r="C920" i="6"/>
  <c r="D968" i="6"/>
  <c r="B968" i="6"/>
  <c r="C968" i="6"/>
  <c r="D1016" i="6"/>
  <c r="C1016" i="6"/>
  <c r="B1016" i="6"/>
  <c r="D1064" i="6"/>
  <c r="C1064" i="6"/>
  <c r="B1064" i="6"/>
  <c r="D1112" i="6"/>
  <c r="C1112" i="6"/>
  <c r="B1112" i="6"/>
  <c r="D1160" i="6"/>
  <c r="C1160" i="6"/>
  <c r="B1160" i="6"/>
  <c r="D1221" i="6"/>
  <c r="C1221" i="6"/>
  <c r="B1221" i="6"/>
  <c r="D919" i="6"/>
  <c r="C919" i="6"/>
  <c r="B919" i="6"/>
  <c r="D967" i="6"/>
  <c r="C967" i="6"/>
  <c r="B967" i="6"/>
  <c r="D1015" i="6"/>
  <c r="C1015" i="6"/>
  <c r="B1015" i="6"/>
  <c r="D1063" i="6"/>
  <c r="C1063" i="6"/>
  <c r="B1063" i="6"/>
  <c r="D1111" i="6"/>
  <c r="C1111" i="6"/>
  <c r="B1111" i="6"/>
  <c r="D1159" i="6"/>
  <c r="C1159" i="6"/>
  <c r="B1159" i="6"/>
  <c r="D1236" i="6"/>
  <c r="B1236" i="6"/>
  <c r="C1236" i="6"/>
  <c r="D1353" i="6"/>
  <c r="C1353" i="6"/>
  <c r="B1353" i="6"/>
  <c r="D866" i="6"/>
  <c r="C866" i="6"/>
  <c r="B866" i="6"/>
  <c r="D914" i="6"/>
  <c r="C914" i="6"/>
  <c r="B914" i="6"/>
  <c r="D962" i="6"/>
  <c r="C962" i="6"/>
  <c r="B962" i="6"/>
  <c r="D1010" i="6"/>
  <c r="C1010" i="6"/>
  <c r="B1010" i="6"/>
  <c r="D1058" i="6"/>
  <c r="C1058" i="6"/>
  <c r="B1058" i="6"/>
  <c r="D1106" i="6"/>
  <c r="C1106" i="6"/>
  <c r="B1106" i="6"/>
  <c r="D1154" i="6"/>
  <c r="C1154" i="6"/>
  <c r="B1154" i="6"/>
  <c r="D1233" i="6"/>
  <c r="C1233" i="6"/>
  <c r="B1233" i="6"/>
  <c r="D1292" i="6"/>
  <c r="B1292" i="6"/>
  <c r="C1292" i="6"/>
  <c r="B1326" i="6"/>
  <c r="D1326" i="6"/>
  <c r="C1326" i="6"/>
  <c r="D861" i="6"/>
  <c r="C861" i="6"/>
  <c r="B861" i="6"/>
  <c r="D909" i="6"/>
  <c r="C909" i="6"/>
  <c r="B909" i="6"/>
  <c r="D957" i="6"/>
  <c r="B957" i="6"/>
  <c r="C957" i="6"/>
  <c r="D1005" i="6"/>
  <c r="C1005" i="6"/>
  <c r="B1005" i="6"/>
  <c r="D1053" i="6"/>
  <c r="C1053" i="6"/>
  <c r="B1053" i="6"/>
  <c r="D1101" i="6"/>
  <c r="C1101" i="6"/>
  <c r="B1101" i="6"/>
  <c r="D1149" i="6"/>
  <c r="C1149" i="6"/>
  <c r="B1149" i="6"/>
  <c r="D1197" i="6"/>
  <c r="C1197" i="6"/>
  <c r="B1197" i="6"/>
  <c r="D1437" i="6"/>
  <c r="B1437" i="6"/>
  <c r="C1437" i="6"/>
  <c r="B1354" i="6"/>
  <c r="D1354" i="6"/>
  <c r="C1354" i="6"/>
  <c r="D1473" i="6"/>
  <c r="C1473" i="6"/>
  <c r="B1473" i="6"/>
  <c r="D1239" i="6"/>
  <c r="B1239" i="6"/>
  <c r="C1239" i="6"/>
  <c r="D1287" i="6"/>
  <c r="C1287" i="6"/>
  <c r="B1287" i="6"/>
  <c r="D1409" i="6"/>
  <c r="B1409" i="6"/>
  <c r="C1409" i="6"/>
  <c r="B1402" i="6"/>
  <c r="D1402" i="6"/>
  <c r="C1402" i="6"/>
  <c r="C1214" i="6"/>
  <c r="B1214" i="6"/>
  <c r="D1214" i="6"/>
  <c r="C1262" i="6"/>
  <c r="B1262" i="6"/>
  <c r="D1262" i="6"/>
  <c r="B1310" i="6"/>
  <c r="D1310" i="6"/>
  <c r="C1310" i="6"/>
  <c r="B1330" i="6"/>
  <c r="D1330" i="6"/>
  <c r="C1330" i="6"/>
  <c r="B1438" i="6"/>
  <c r="D1438" i="6"/>
  <c r="C1438" i="6"/>
  <c r="C1327" i="6"/>
  <c r="B1327" i="6"/>
  <c r="D1327" i="6"/>
  <c r="D1457" i="6"/>
  <c r="B1457" i="6"/>
  <c r="C1457" i="6"/>
  <c r="B1419" i="6"/>
  <c r="D1419" i="6"/>
  <c r="C1419" i="6"/>
  <c r="B1336" i="6"/>
  <c r="D1336" i="6"/>
  <c r="C1336" i="6"/>
  <c r="B1384" i="6"/>
  <c r="D1384" i="6"/>
  <c r="C1384" i="6"/>
  <c r="B1432" i="6"/>
  <c r="D1432" i="6"/>
  <c r="C1432" i="6"/>
  <c r="B1480" i="6"/>
  <c r="D1480" i="6"/>
  <c r="C1480" i="6"/>
  <c r="AS48" i="3"/>
  <c r="AT48" i="3"/>
  <c r="AQ28" i="3"/>
  <c r="AP28" i="3"/>
  <c r="C94" i="7"/>
  <c r="B94" i="7"/>
  <c r="D94" i="7"/>
  <c r="D21" i="7"/>
  <c r="C21" i="7"/>
  <c r="B21" i="7"/>
  <c r="C19" i="7"/>
  <c r="B19" i="7"/>
  <c r="D19" i="7"/>
  <c r="D105" i="7"/>
  <c r="C105" i="7"/>
  <c r="B105" i="7"/>
  <c r="D65" i="7"/>
  <c r="C65" i="7"/>
  <c r="B65" i="7"/>
  <c r="D25" i="7"/>
  <c r="C25" i="7"/>
  <c r="B25" i="7"/>
  <c r="D111" i="7"/>
  <c r="C111" i="7"/>
  <c r="B111" i="7"/>
  <c r="D159" i="7"/>
  <c r="C159" i="7"/>
  <c r="B159" i="7"/>
  <c r="D202" i="7"/>
  <c r="C202" i="7"/>
  <c r="B202" i="7"/>
  <c r="C114" i="7"/>
  <c r="B114" i="7"/>
  <c r="D114" i="7"/>
  <c r="D162" i="7"/>
  <c r="C162" i="7"/>
  <c r="B162" i="7"/>
  <c r="D222" i="7"/>
  <c r="C222" i="7"/>
  <c r="B222" i="7"/>
  <c r="D141" i="7"/>
  <c r="C141" i="7"/>
  <c r="B141" i="7"/>
  <c r="D189" i="7"/>
  <c r="C189" i="7"/>
  <c r="B189" i="7"/>
  <c r="D342" i="7"/>
  <c r="C342" i="7"/>
  <c r="B342" i="7"/>
  <c r="B48" i="7"/>
  <c r="C48" i="7"/>
  <c r="D48" i="7"/>
  <c r="B96" i="7"/>
  <c r="C96" i="7"/>
  <c r="D96" i="7"/>
  <c r="B144" i="7"/>
  <c r="D144" i="7"/>
  <c r="C144" i="7"/>
  <c r="B192" i="7"/>
  <c r="D192" i="7"/>
  <c r="C192" i="7"/>
  <c r="D374" i="7"/>
  <c r="C374" i="7"/>
  <c r="B374" i="7"/>
  <c r="D248" i="7"/>
  <c r="C248" i="7"/>
  <c r="B248" i="7"/>
  <c r="D296" i="7"/>
  <c r="C296" i="7"/>
  <c r="B296" i="7"/>
  <c r="D344" i="7"/>
  <c r="C344" i="7"/>
  <c r="B344" i="7"/>
  <c r="D428" i="7"/>
  <c r="C428" i="7"/>
  <c r="B428" i="7"/>
  <c r="D664" i="7"/>
  <c r="C664" i="7"/>
  <c r="B664" i="7"/>
  <c r="D620" i="7"/>
  <c r="C620" i="7"/>
  <c r="B620" i="7"/>
  <c r="D231" i="7"/>
  <c r="C231" i="7"/>
  <c r="B231" i="7"/>
  <c r="C279" i="7"/>
  <c r="D279" i="7"/>
  <c r="B279" i="7"/>
  <c r="C327" i="7"/>
  <c r="D327" i="7"/>
  <c r="B327" i="7"/>
  <c r="C375" i="7"/>
  <c r="B375" i="7"/>
  <c r="D375" i="7"/>
  <c r="D504" i="7"/>
  <c r="C504" i="7"/>
  <c r="B504" i="7"/>
  <c r="D408" i="7"/>
  <c r="C408" i="7"/>
  <c r="B408" i="7"/>
  <c r="D556" i="7"/>
  <c r="C556" i="7"/>
  <c r="B556" i="7"/>
  <c r="D560" i="7"/>
  <c r="C560" i="7"/>
  <c r="B560" i="7"/>
  <c r="D217" i="7"/>
  <c r="C217" i="7"/>
  <c r="B217" i="7"/>
  <c r="D265" i="7"/>
  <c r="C265" i="7"/>
  <c r="B265" i="7"/>
  <c r="D313" i="7"/>
  <c r="C313" i="7"/>
  <c r="B313" i="7"/>
  <c r="D361" i="7"/>
  <c r="C361" i="7"/>
  <c r="B361" i="7"/>
  <c r="D454" i="7"/>
  <c r="C454" i="7"/>
  <c r="B454" i="7"/>
  <c r="D684" i="7"/>
  <c r="C684" i="7"/>
  <c r="B684" i="7"/>
  <c r="C399" i="7"/>
  <c r="B399" i="7"/>
  <c r="D399" i="7"/>
  <c r="C447" i="7"/>
  <c r="B447" i="7"/>
  <c r="D447" i="7"/>
  <c r="D495" i="7"/>
  <c r="C495" i="7"/>
  <c r="B495" i="7"/>
  <c r="D543" i="7"/>
  <c r="C543" i="7"/>
  <c r="B543" i="7"/>
  <c r="D591" i="7"/>
  <c r="C591" i="7"/>
  <c r="B591" i="7"/>
  <c r="D639" i="7"/>
  <c r="C639" i="7"/>
  <c r="B639" i="7"/>
  <c r="B694" i="7"/>
  <c r="D694" i="7"/>
  <c r="C694" i="7"/>
  <c r="D490" i="7"/>
  <c r="C490" i="7"/>
  <c r="B490" i="7"/>
  <c r="D538" i="7"/>
  <c r="C538" i="7"/>
  <c r="B538" i="7"/>
  <c r="D586" i="7"/>
  <c r="C586" i="7"/>
  <c r="B586" i="7"/>
  <c r="D634" i="7"/>
  <c r="C634" i="7"/>
  <c r="B634" i="7"/>
  <c r="D682" i="7"/>
  <c r="C682" i="7"/>
  <c r="B682" i="7"/>
  <c r="C393" i="7"/>
  <c r="D393" i="7"/>
  <c r="B393" i="7"/>
  <c r="C441" i="7"/>
  <c r="B441" i="7"/>
  <c r="D441" i="7"/>
  <c r="C489" i="7"/>
  <c r="B489" i="7"/>
  <c r="D489" i="7"/>
  <c r="C537" i="7"/>
  <c r="B537" i="7"/>
  <c r="D537" i="7"/>
  <c r="C585" i="7"/>
  <c r="B585" i="7"/>
  <c r="D585" i="7"/>
  <c r="C633" i="7"/>
  <c r="B633" i="7"/>
  <c r="D633" i="7"/>
  <c r="C681" i="7"/>
  <c r="B681" i="7"/>
  <c r="D681" i="7"/>
  <c r="D725" i="7"/>
  <c r="C725" i="7"/>
  <c r="B725" i="7"/>
  <c r="D773" i="7"/>
  <c r="C773" i="7"/>
  <c r="B773" i="7"/>
  <c r="D821" i="7"/>
  <c r="C821" i="7"/>
  <c r="B821" i="7"/>
  <c r="D869" i="7"/>
  <c r="C869" i="7"/>
  <c r="B869" i="7"/>
  <c r="D1190" i="7"/>
  <c r="C1190" i="7"/>
  <c r="B1190" i="7"/>
  <c r="B708" i="7"/>
  <c r="D708" i="7"/>
  <c r="C708" i="7"/>
  <c r="D756" i="7"/>
  <c r="C756" i="7"/>
  <c r="B756" i="7"/>
  <c r="D804" i="7"/>
  <c r="C804" i="7"/>
  <c r="B804" i="7"/>
  <c r="D852" i="7"/>
  <c r="C852" i="7"/>
  <c r="B852" i="7"/>
  <c r="D929" i="7"/>
  <c r="C929" i="7"/>
  <c r="B929" i="7"/>
  <c r="C727" i="7"/>
  <c r="B727" i="7"/>
  <c r="D727" i="7"/>
  <c r="D775" i="7"/>
  <c r="C775" i="7"/>
  <c r="B775" i="7"/>
  <c r="D823" i="7"/>
  <c r="C823" i="7"/>
  <c r="B823" i="7"/>
  <c r="D871" i="7"/>
  <c r="C871" i="7"/>
  <c r="B871" i="7"/>
  <c r="D933" i="7"/>
  <c r="C933" i="7"/>
  <c r="B933" i="7"/>
  <c r="B734" i="7"/>
  <c r="D734" i="7"/>
  <c r="C734" i="7"/>
  <c r="B782" i="7"/>
  <c r="D782" i="7"/>
  <c r="C782" i="7"/>
  <c r="B830" i="7"/>
  <c r="D830" i="7"/>
  <c r="C830" i="7"/>
  <c r="B878" i="7"/>
  <c r="D878" i="7"/>
  <c r="C878" i="7"/>
  <c r="D1029" i="7"/>
  <c r="C1029" i="7"/>
  <c r="B1029" i="7"/>
  <c r="D896" i="7"/>
  <c r="C896" i="7"/>
  <c r="B896" i="7"/>
  <c r="D944" i="7"/>
  <c r="C944" i="7"/>
  <c r="B944" i="7"/>
  <c r="D992" i="7"/>
  <c r="C992" i="7"/>
  <c r="B992" i="7"/>
  <c r="D1040" i="7"/>
  <c r="C1040" i="7"/>
  <c r="B1040" i="7"/>
  <c r="D1093" i="7"/>
  <c r="C1093" i="7"/>
  <c r="B1093" i="7"/>
  <c r="D1101" i="7"/>
  <c r="C1101" i="7"/>
  <c r="B1101" i="7"/>
  <c r="D923" i="7"/>
  <c r="C923" i="7"/>
  <c r="B923" i="7"/>
  <c r="D971" i="7"/>
  <c r="C971" i="7"/>
  <c r="B971" i="7"/>
  <c r="D1019" i="7"/>
  <c r="C1019" i="7"/>
  <c r="B1019" i="7"/>
  <c r="D1067" i="7"/>
  <c r="C1067" i="7"/>
  <c r="B1067" i="7"/>
  <c r="D1103" i="7"/>
  <c r="C1103" i="7"/>
  <c r="B1103" i="7"/>
  <c r="D1194" i="7"/>
  <c r="C1194" i="7"/>
  <c r="B1194" i="7"/>
  <c r="C938" i="7"/>
  <c r="B938" i="7"/>
  <c r="D938" i="7"/>
  <c r="C986" i="7"/>
  <c r="B986" i="7"/>
  <c r="D986" i="7"/>
  <c r="C1034" i="7"/>
  <c r="B1034" i="7"/>
  <c r="D1034" i="7"/>
  <c r="C1082" i="7"/>
  <c r="B1082" i="7"/>
  <c r="D1082" i="7"/>
  <c r="D1091" i="7"/>
  <c r="C1091" i="7"/>
  <c r="B1091" i="7"/>
  <c r="B1183" i="7"/>
  <c r="D1183" i="7"/>
  <c r="C1183" i="7"/>
  <c r="D1233" i="7"/>
  <c r="C1233" i="7"/>
  <c r="B1233" i="7"/>
  <c r="D1309" i="7"/>
  <c r="C1309" i="7"/>
  <c r="B1309" i="7"/>
  <c r="D1323" i="7"/>
  <c r="C1323" i="7"/>
  <c r="B1323" i="7"/>
  <c r="B1272" i="7"/>
  <c r="D1272" i="7"/>
  <c r="C1272" i="7"/>
  <c r="B1252" i="7"/>
  <c r="D1252" i="7"/>
  <c r="C1252" i="7"/>
  <c r="B1232" i="7"/>
  <c r="D1232" i="7"/>
  <c r="C1232" i="7"/>
  <c r="D1173" i="7"/>
  <c r="C1173" i="7"/>
  <c r="B1173" i="7"/>
  <c r="D1221" i="7"/>
  <c r="C1221" i="7"/>
  <c r="B1221" i="7"/>
  <c r="B1288" i="7"/>
  <c r="D1288" i="7"/>
  <c r="C1288" i="7"/>
  <c r="D1432" i="7"/>
  <c r="C1432" i="7"/>
  <c r="B1432" i="7"/>
  <c r="B1132" i="7"/>
  <c r="D1132" i="7"/>
  <c r="C1132" i="7"/>
  <c r="B1180" i="7"/>
  <c r="D1180" i="7"/>
  <c r="C1180" i="7"/>
  <c r="B1228" i="7"/>
  <c r="D1228" i="7"/>
  <c r="C1228" i="7"/>
  <c r="D1307" i="7"/>
  <c r="C1307" i="7"/>
  <c r="B1307" i="7"/>
  <c r="C1393" i="7"/>
  <c r="D1393" i="7"/>
  <c r="B1393" i="7"/>
  <c r="D1348" i="7"/>
  <c r="C1348" i="7"/>
  <c r="B1348" i="7"/>
  <c r="D1472" i="7"/>
  <c r="B1472" i="7"/>
  <c r="C1472" i="7"/>
  <c r="D1375" i="7"/>
  <c r="C1375" i="7"/>
  <c r="B1375" i="7"/>
  <c r="D1400" i="7"/>
  <c r="B1400" i="7"/>
  <c r="C1400" i="7"/>
  <c r="C1380" i="7"/>
  <c r="D1380" i="7"/>
  <c r="B1380" i="7"/>
  <c r="D1242" i="7"/>
  <c r="C1242" i="7"/>
  <c r="B1242" i="7"/>
  <c r="D1290" i="7"/>
  <c r="C1290" i="7"/>
  <c r="B1290" i="7"/>
  <c r="D1338" i="7"/>
  <c r="C1338" i="7"/>
  <c r="B1338" i="7"/>
  <c r="C1469" i="7"/>
  <c r="D1469" i="7"/>
  <c r="B1469" i="7"/>
  <c r="D1398" i="7"/>
  <c r="C1398" i="7"/>
  <c r="B1398" i="7"/>
  <c r="B1446" i="7"/>
  <c r="D1446" i="7"/>
  <c r="C1446" i="7"/>
  <c r="D1451" i="7"/>
  <c r="C1451" i="7"/>
  <c r="B1451" i="7"/>
  <c r="D1499" i="7"/>
  <c r="C1499" i="7"/>
  <c r="B1499" i="7"/>
  <c r="AO3" i="3"/>
  <c r="AP57" i="3"/>
  <c r="AQ57" i="3"/>
  <c r="AO14" i="3"/>
  <c r="AO8" i="3"/>
  <c r="AO5" i="3"/>
  <c r="D20" i="8"/>
  <c r="B20" i="8"/>
  <c r="C20" i="8"/>
  <c r="AO7" i="3"/>
  <c r="AT32" i="3"/>
  <c r="AS32" i="3"/>
  <c r="U4" i="3"/>
  <c r="W4" i="3" s="1"/>
  <c r="AA15" i="3"/>
  <c r="AF15" i="3" s="1"/>
  <c r="AK15" i="3" s="1"/>
  <c r="C65" i="8"/>
  <c r="D65" i="8"/>
  <c r="B65" i="8"/>
  <c r="C133" i="8"/>
  <c r="D133" i="8"/>
  <c r="B133" i="8"/>
  <c r="C138" i="8"/>
  <c r="B138" i="8"/>
  <c r="D138" i="8"/>
  <c r="D136" i="8"/>
  <c r="C136" i="8"/>
  <c r="B136" i="8"/>
  <c r="C234" i="8"/>
  <c r="B234" i="8"/>
  <c r="D234" i="8"/>
  <c r="C82" i="8"/>
  <c r="B82" i="8"/>
  <c r="D82" i="8"/>
  <c r="D128" i="8"/>
  <c r="C128" i="8"/>
  <c r="B128" i="8"/>
  <c r="D336" i="8"/>
  <c r="C336" i="8"/>
  <c r="B336" i="8"/>
  <c r="C268" i="8"/>
  <c r="D268" i="8"/>
  <c r="B268" i="8"/>
  <c r="C31" i="8"/>
  <c r="D31" i="8"/>
  <c r="B31" i="8"/>
  <c r="C127" i="8"/>
  <c r="B127" i="8"/>
  <c r="D127" i="8"/>
  <c r="C223" i="8"/>
  <c r="B223" i="8"/>
  <c r="D223" i="8"/>
  <c r="D276" i="8"/>
  <c r="C276" i="8"/>
  <c r="B276" i="8"/>
  <c r="C377" i="8"/>
  <c r="B377" i="8"/>
  <c r="D377" i="8"/>
  <c r="D425" i="8"/>
  <c r="C425" i="8"/>
  <c r="B425" i="8"/>
  <c r="D331" i="8"/>
  <c r="B331" i="8"/>
  <c r="C331" i="8"/>
  <c r="B258" i="8"/>
  <c r="D258" i="8"/>
  <c r="C258" i="8"/>
  <c r="B354" i="8"/>
  <c r="D354" i="8"/>
  <c r="C354" i="8"/>
  <c r="D676" i="8"/>
  <c r="C676" i="8"/>
  <c r="B676" i="8"/>
  <c r="D468" i="8"/>
  <c r="C468" i="8"/>
  <c r="B468" i="8"/>
  <c r="D555" i="8"/>
  <c r="C555" i="8"/>
  <c r="B555" i="8"/>
  <c r="D455" i="8"/>
  <c r="C455" i="8"/>
  <c r="B455" i="8"/>
  <c r="AQ29" i="3"/>
  <c r="AP29" i="3"/>
  <c r="D161" i="8"/>
  <c r="C161" i="8"/>
  <c r="B161" i="8"/>
  <c r="D217" i="8"/>
  <c r="C217" i="8"/>
  <c r="B217" i="8"/>
  <c r="D152" i="8"/>
  <c r="C152" i="8"/>
  <c r="B152" i="8"/>
  <c r="D189" i="8"/>
  <c r="C189" i="8"/>
  <c r="B189" i="8"/>
  <c r="C105" i="8"/>
  <c r="D105" i="8"/>
  <c r="B105" i="8"/>
  <c r="D360" i="8"/>
  <c r="C360" i="8"/>
  <c r="B360" i="8"/>
  <c r="D281" i="8"/>
  <c r="C281" i="8"/>
  <c r="B281" i="8"/>
  <c r="C35" i="8"/>
  <c r="D35" i="8"/>
  <c r="B35" i="8"/>
  <c r="C131" i="8"/>
  <c r="B131" i="8"/>
  <c r="D131" i="8"/>
  <c r="C227" i="8"/>
  <c r="B227" i="8"/>
  <c r="D227" i="8"/>
  <c r="D280" i="8"/>
  <c r="C280" i="8"/>
  <c r="B280" i="8"/>
  <c r="D449" i="8"/>
  <c r="C449" i="8"/>
  <c r="B449" i="8"/>
  <c r="D287" i="8"/>
  <c r="C287" i="8"/>
  <c r="B287" i="8"/>
  <c r="D505" i="8"/>
  <c r="C505" i="8"/>
  <c r="B505" i="8"/>
  <c r="B310" i="8"/>
  <c r="D310" i="8"/>
  <c r="C310" i="8"/>
  <c r="D560" i="8"/>
  <c r="C560" i="8"/>
  <c r="B560" i="8"/>
  <c r="D424" i="8"/>
  <c r="B424" i="8"/>
  <c r="C424" i="8"/>
  <c r="D520" i="8"/>
  <c r="C520" i="8"/>
  <c r="B520" i="8"/>
  <c r="D411" i="8"/>
  <c r="C411" i="8"/>
  <c r="B411" i="8"/>
  <c r="D507" i="8"/>
  <c r="C507" i="8"/>
  <c r="B507" i="8"/>
  <c r="D563" i="8"/>
  <c r="C563" i="8"/>
  <c r="B563" i="8"/>
  <c r="AO2" i="3"/>
  <c r="AP4" i="3" s="1"/>
  <c r="AQ4" i="3" s="1"/>
  <c r="AQ45" i="3"/>
  <c r="AP45" i="3"/>
  <c r="Y4" i="3"/>
  <c r="AD4" i="3" s="1"/>
  <c r="AI4" i="3" s="1"/>
  <c r="R4" i="3"/>
  <c r="AT37" i="3"/>
  <c r="AS37" i="3"/>
  <c r="D116" i="8"/>
  <c r="C116" i="8"/>
  <c r="B116" i="8"/>
  <c r="D5" i="8"/>
  <c r="C5" i="8"/>
  <c r="B5" i="8"/>
  <c r="D140" i="8"/>
  <c r="C140" i="8"/>
  <c r="B140" i="8"/>
  <c r="D225" i="8"/>
  <c r="C225" i="8"/>
  <c r="B225" i="8"/>
  <c r="D4" i="8"/>
  <c r="B4" i="8"/>
  <c r="C4" i="8"/>
  <c r="D248" i="8"/>
  <c r="C248" i="8"/>
  <c r="B248" i="8"/>
  <c r="C145" i="8"/>
  <c r="D145" i="8"/>
  <c r="B145" i="8"/>
  <c r="D296" i="8"/>
  <c r="C296" i="8"/>
  <c r="B296" i="8"/>
  <c r="C150" i="8"/>
  <c r="B150" i="8"/>
  <c r="D150" i="8"/>
  <c r="C109" i="8"/>
  <c r="D109" i="8"/>
  <c r="B109" i="8"/>
  <c r="D197" i="8"/>
  <c r="C197" i="8"/>
  <c r="B197" i="8"/>
  <c r="C114" i="8"/>
  <c r="B114" i="8"/>
  <c r="D114" i="8"/>
  <c r="C121" i="8"/>
  <c r="D121" i="8"/>
  <c r="B121" i="8"/>
  <c r="D284" i="8"/>
  <c r="C284" i="8"/>
  <c r="B284" i="8"/>
  <c r="C166" i="8"/>
  <c r="B166" i="8"/>
  <c r="D166" i="8"/>
  <c r="D380" i="8"/>
  <c r="C380" i="8"/>
  <c r="B380" i="8"/>
  <c r="D204" i="8"/>
  <c r="C204" i="8"/>
  <c r="B204" i="8"/>
  <c r="C321" i="8"/>
  <c r="B321" i="8"/>
  <c r="D321" i="8"/>
  <c r="C365" i="8"/>
  <c r="B365" i="8"/>
  <c r="D365" i="8"/>
  <c r="C39" i="8"/>
  <c r="D39" i="8"/>
  <c r="B39" i="8"/>
  <c r="C87" i="8"/>
  <c r="B87" i="8"/>
  <c r="D87" i="8"/>
  <c r="C135" i="8"/>
  <c r="B135" i="8"/>
  <c r="D135" i="8"/>
  <c r="C183" i="8"/>
  <c r="B183" i="8"/>
  <c r="D183" i="8"/>
  <c r="C231" i="8"/>
  <c r="B231" i="8"/>
  <c r="D231" i="8"/>
  <c r="B313" i="8"/>
  <c r="D313" i="8"/>
  <c r="C313" i="8"/>
  <c r="D348" i="8"/>
  <c r="C348" i="8"/>
  <c r="B348" i="8"/>
  <c r="D320" i="8"/>
  <c r="C320" i="8"/>
  <c r="B320" i="8"/>
  <c r="D481" i="8"/>
  <c r="C481" i="8"/>
  <c r="B481" i="8"/>
  <c r="D465" i="8"/>
  <c r="C465" i="8"/>
  <c r="B465" i="8"/>
  <c r="D525" i="8"/>
  <c r="C525" i="8"/>
  <c r="B525" i="8"/>
  <c r="D291" i="8"/>
  <c r="C291" i="8"/>
  <c r="B291" i="8"/>
  <c r="D339" i="8"/>
  <c r="C339" i="8"/>
  <c r="B339" i="8"/>
  <c r="D529" i="8"/>
  <c r="C529" i="8"/>
  <c r="B529" i="8"/>
  <c r="B266" i="8"/>
  <c r="D266" i="8"/>
  <c r="C266" i="8"/>
  <c r="B314" i="8"/>
  <c r="D314" i="8"/>
  <c r="C314" i="8"/>
  <c r="B362" i="8"/>
  <c r="D362" i="8"/>
  <c r="C362" i="8"/>
  <c r="D795" i="8"/>
  <c r="C795" i="8"/>
  <c r="B795" i="8"/>
  <c r="D700" i="8"/>
  <c r="C700" i="8"/>
  <c r="B700" i="8"/>
  <c r="D428" i="8"/>
  <c r="C428" i="8"/>
  <c r="B428" i="8"/>
  <c r="D476" i="8"/>
  <c r="C476" i="8"/>
  <c r="B476" i="8"/>
  <c r="D524" i="8"/>
  <c r="C524" i="8"/>
  <c r="B524" i="8"/>
  <c r="C776" i="8"/>
  <c r="B776" i="8"/>
  <c r="D776" i="8"/>
  <c r="D415" i="8"/>
  <c r="C415" i="8"/>
  <c r="B415" i="8"/>
  <c r="D463" i="8"/>
  <c r="C463" i="8"/>
  <c r="B463" i="8"/>
  <c r="D511" i="8"/>
  <c r="C511" i="8"/>
  <c r="B511" i="8"/>
  <c r="C573" i="8"/>
  <c r="D573" i="8"/>
  <c r="B573" i="8"/>
  <c r="C565" i="8"/>
  <c r="D565" i="8"/>
  <c r="B565" i="8"/>
  <c r="D390" i="8"/>
  <c r="C390" i="8"/>
  <c r="B390" i="8"/>
  <c r="C438" i="8"/>
  <c r="B438" i="8"/>
  <c r="D438" i="8"/>
  <c r="C486" i="8"/>
  <c r="B486" i="8"/>
  <c r="D486" i="8"/>
  <c r="C534" i="8"/>
  <c r="B534" i="8"/>
  <c r="D534" i="8"/>
  <c r="D684" i="8"/>
  <c r="C684" i="8"/>
  <c r="B684" i="8"/>
  <c r="D721" i="8"/>
  <c r="C721" i="8"/>
  <c r="B721" i="8"/>
  <c r="D571" i="8"/>
  <c r="C571" i="8"/>
  <c r="B571" i="8"/>
  <c r="D619" i="8"/>
  <c r="C619" i="8"/>
  <c r="B619" i="8"/>
  <c r="D667" i="8"/>
  <c r="C667" i="8"/>
  <c r="B667" i="8"/>
  <c r="C758" i="8"/>
  <c r="D758" i="8"/>
  <c r="B758" i="8"/>
  <c r="C843" i="8"/>
  <c r="D843" i="8"/>
  <c r="B843" i="8"/>
  <c r="B550" i="8"/>
  <c r="D550" i="8"/>
  <c r="C550" i="8"/>
  <c r="C598" i="8"/>
  <c r="B598" i="8"/>
  <c r="D598" i="8"/>
  <c r="D646" i="8"/>
  <c r="C646" i="8"/>
  <c r="B646" i="8"/>
  <c r="D694" i="8"/>
  <c r="C694" i="8"/>
  <c r="B694" i="8"/>
  <c r="D777" i="8"/>
  <c r="C777" i="8"/>
  <c r="B777" i="8"/>
  <c r="C766" i="8"/>
  <c r="D766" i="8"/>
  <c r="B766" i="8"/>
  <c r="C768" i="8"/>
  <c r="B768" i="8"/>
  <c r="D768" i="8"/>
  <c r="C621" i="8"/>
  <c r="B621" i="8"/>
  <c r="D621" i="8"/>
  <c r="C669" i="8"/>
  <c r="B669" i="8"/>
  <c r="D669" i="8"/>
  <c r="C770" i="8"/>
  <c r="D770" i="8"/>
  <c r="B770" i="8"/>
  <c r="B737" i="8"/>
  <c r="D737" i="8"/>
  <c r="C737" i="8"/>
  <c r="C750" i="8"/>
  <c r="D750" i="8"/>
  <c r="B750" i="8"/>
  <c r="D895" i="8"/>
  <c r="C895" i="8"/>
  <c r="B895" i="8"/>
  <c r="C1006" i="8"/>
  <c r="B1006" i="8"/>
  <c r="D1006" i="8"/>
  <c r="C822" i="8"/>
  <c r="B822" i="8"/>
  <c r="D822" i="8"/>
  <c r="D887" i="8"/>
  <c r="C887" i="8"/>
  <c r="B887" i="8"/>
  <c r="D862" i="8"/>
  <c r="C862" i="8"/>
  <c r="B862" i="8"/>
  <c r="D910" i="8"/>
  <c r="C910" i="8"/>
  <c r="B910" i="8"/>
  <c r="D1009" i="8"/>
  <c r="C1009" i="8"/>
  <c r="B1009" i="8"/>
  <c r="D853" i="8"/>
  <c r="C853" i="8"/>
  <c r="B853" i="8"/>
  <c r="D901" i="8"/>
  <c r="C901" i="8"/>
  <c r="B901" i="8"/>
  <c r="C1065" i="8"/>
  <c r="D1065" i="8"/>
  <c r="B1065" i="8"/>
  <c r="D844" i="8"/>
  <c r="C844" i="8"/>
  <c r="B844" i="8"/>
  <c r="D892" i="8"/>
  <c r="C892" i="8"/>
  <c r="B892" i="8"/>
  <c r="B1171" i="8"/>
  <c r="D1171" i="8"/>
  <c r="C1171" i="8"/>
  <c r="D1013" i="8"/>
  <c r="C1013" i="8"/>
  <c r="B1013" i="8"/>
  <c r="D1109" i="8"/>
  <c r="C1109" i="8"/>
  <c r="B1109" i="8"/>
  <c r="D948" i="8"/>
  <c r="C948" i="8"/>
  <c r="B948" i="8"/>
  <c r="D996" i="8"/>
  <c r="C996" i="8"/>
  <c r="B996" i="8"/>
  <c r="D1044" i="8"/>
  <c r="C1044" i="8"/>
  <c r="B1044" i="8"/>
  <c r="D1084" i="8"/>
  <c r="C1084" i="8"/>
  <c r="B1084" i="8"/>
  <c r="D947" i="8"/>
  <c r="C947" i="8"/>
  <c r="B947" i="8"/>
  <c r="D995" i="8"/>
  <c r="C995" i="8"/>
  <c r="B995" i="8"/>
  <c r="C1043" i="8"/>
  <c r="B1043" i="8"/>
  <c r="D1043" i="8"/>
  <c r="D1335" i="8"/>
  <c r="C1335" i="8"/>
  <c r="B1335" i="8"/>
  <c r="B1175" i="8"/>
  <c r="D1175" i="8"/>
  <c r="C1175" i="8"/>
  <c r="D1170" i="8"/>
  <c r="C1170" i="8"/>
  <c r="B1170" i="8"/>
  <c r="D1091" i="8"/>
  <c r="B1091" i="8"/>
  <c r="C1091" i="8"/>
  <c r="B1167" i="8"/>
  <c r="D1167" i="8"/>
  <c r="C1167" i="8"/>
  <c r="D1436" i="8"/>
  <c r="B1436" i="8"/>
  <c r="C1436" i="8"/>
  <c r="D1098" i="8"/>
  <c r="C1098" i="8"/>
  <c r="B1098" i="8"/>
  <c r="C1351" i="8"/>
  <c r="D1351" i="8"/>
  <c r="B1351" i="8"/>
  <c r="D1255" i="8"/>
  <c r="C1255" i="8"/>
  <c r="B1255" i="8"/>
  <c r="D1190" i="8"/>
  <c r="C1190" i="8"/>
  <c r="B1190" i="8"/>
  <c r="C1307" i="8"/>
  <c r="B1307" i="8"/>
  <c r="D1307" i="8"/>
  <c r="D1129" i="8"/>
  <c r="C1129" i="8"/>
  <c r="B1129" i="8"/>
  <c r="D1177" i="8"/>
  <c r="C1177" i="8"/>
  <c r="B1177" i="8"/>
  <c r="D1309" i="8"/>
  <c r="C1309" i="8"/>
  <c r="B1309" i="8"/>
  <c r="D1276" i="8"/>
  <c r="C1276" i="8"/>
  <c r="B1276" i="8"/>
  <c r="D1500" i="8"/>
  <c r="B1500" i="8"/>
  <c r="C1500" i="8"/>
  <c r="D1237" i="8"/>
  <c r="B1237" i="8"/>
  <c r="C1237" i="8"/>
  <c r="C1315" i="8"/>
  <c r="B1315" i="8"/>
  <c r="D1315" i="8"/>
  <c r="D1284" i="8"/>
  <c r="C1284" i="8"/>
  <c r="B1284" i="8"/>
  <c r="C1212" i="8"/>
  <c r="D1212" i="8"/>
  <c r="B1212" i="8"/>
  <c r="C1319" i="8"/>
  <c r="B1319" i="8"/>
  <c r="D1319" i="8"/>
  <c r="B1368" i="8"/>
  <c r="D1368" i="8"/>
  <c r="C1368" i="8"/>
  <c r="D1438" i="8"/>
  <c r="C1438" i="8"/>
  <c r="B1438" i="8"/>
  <c r="D1353" i="8"/>
  <c r="C1353" i="8"/>
  <c r="B1353" i="8"/>
  <c r="D1369" i="8"/>
  <c r="C1369" i="8"/>
  <c r="B1369" i="8"/>
  <c r="D1484" i="8"/>
  <c r="B1484" i="8"/>
  <c r="C1484" i="8"/>
  <c r="D1466" i="8"/>
  <c r="C1466" i="8"/>
  <c r="B1466" i="8"/>
  <c r="B1333" i="8"/>
  <c r="D1333" i="8"/>
  <c r="C1333" i="8"/>
  <c r="C1371" i="8"/>
  <c r="D1371" i="8"/>
  <c r="B1371" i="8"/>
  <c r="D1417" i="8"/>
  <c r="C1417" i="8"/>
  <c r="B1417" i="8"/>
  <c r="D1465" i="8"/>
  <c r="C1465" i="8"/>
  <c r="B1465" i="8"/>
  <c r="C1415" i="8"/>
  <c r="D1415" i="8"/>
  <c r="B1415" i="8"/>
  <c r="C1463" i="8"/>
  <c r="B1463" i="8"/>
  <c r="D1463" i="8"/>
  <c r="AT31" i="3"/>
  <c r="AS31" i="3"/>
  <c r="C294" i="6"/>
  <c r="B294" i="6"/>
  <c r="D294" i="6"/>
  <c r="C223" i="6"/>
  <c r="B223" i="6"/>
  <c r="D223" i="6"/>
  <c r="B53" i="6"/>
  <c r="D53" i="6"/>
  <c r="C53" i="6"/>
  <c r="B197" i="6"/>
  <c r="D197" i="6"/>
  <c r="C197" i="6"/>
  <c r="D429" i="6"/>
  <c r="C429" i="6"/>
  <c r="B429" i="6"/>
  <c r="C136" i="6"/>
  <c r="B136" i="6"/>
  <c r="D136" i="6"/>
  <c r="D333" i="6"/>
  <c r="C333" i="6"/>
  <c r="B333" i="6"/>
  <c r="B121" i="6"/>
  <c r="D121" i="6"/>
  <c r="C121" i="6"/>
  <c r="B257" i="6"/>
  <c r="D257" i="6"/>
  <c r="C257" i="6"/>
  <c r="C71" i="6"/>
  <c r="B71" i="6"/>
  <c r="D71" i="6"/>
  <c r="C215" i="6"/>
  <c r="B215" i="6"/>
  <c r="D215" i="6"/>
  <c r="C34" i="6"/>
  <c r="B34" i="6"/>
  <c r="D34" i="6"/>
  <c r="C178" i="6"/>
  <c r="B178" i="6"/>
  <c r="D178" i="6"/>
  <c r="C19" i="6"/>
  <c r="B19" i="6"/>
  <c r="D19" i="6"/>
  <c r="C163" i="6"/>
  <c r="B163" i="6"/>
  <c r="D163" i="6"/>
  <c r="D317" i="6"/>
  <c r="C317" i="6"/>
  <c r="B317" i="6"/>
  <c r="B113" i="6"/>
  <c r="D113" i="6"/>
  <c r="C113" i="6"/>
  <c r="B253" i="6"/>
  <c r="D253" i="6"/>
  <c r="C253" i="6"/>
  <c r="C28" i="6"/>
  <c r="B28" i="6"/>
  <c r="D28" i="6"/>
  <c r="C172" i="6"/>
  <c r="B172" i="6"/>
  <c r="D172" i="6"/>
  <c r="C26" i="6"/>
  <c r="B26" i="6"/>
  <c r="D26" i="6"/>
  <c r="C170" i="6"/>
  <c r="B170" i="6"/>
  <c r="D170" i="6"/>
  <c r="C11" i="6"/>
  <c r="B11" i="6"/>
  <c r="D11" i="6"/>
  <c r="C155" i="6"/>
  <c r="B155" i="6"/>
  <c r="D155" i="6"/>
  <c r="D373" i="6"/>
  <c r="C373" i="6"/>
  <c r="B373" i="6"/>
  <c r="B105" i="6"/>
  <c r="D105" i="6"/>
  <c r="C105" i="6"/>
  <c r="B249" i="6"/>
  <c r="D249" i="6"/>
  <c r="C249" i="6"/>
  <c r="B1293" i="6"/>
  <c r="D1293" i="6"/>
  <c r="C1293" i="6"/>
  <c r="D328" i="6"/>
  <c r="C328" i="6"/>
  <c r="B328" i="6"/>
  <c r="D376" i="6"/>
  <c r="C376" i="6"/>
  <c r="B376" i="6"/>
  <c r="D424" i="6"/>
  <c r="C424" i="6"/>
  <c r="B424" i="6"/>
  <c r="D627" i="6"/>
  <c r="C627" i="6"/>
  <c r="B627" i="6"/>
  <c r="C275" i="6"/>
  <c r="B275" i="6"/>
  <c r="D275" i="6"/>
  <c r="D323" i="6"/>
  <c r="C323" i="6"/>
  <c r="B323" i="6"/>
  <c r="D371" i="6"/>
  <c r="C371" i="6"/>
  <c r="B371" i="6"/>
  <c r="D419" i="6"/>
  <c r="C419" i="6"/>
  <c r="B419" i="6"/>
  <c r="D831" i="6"/>
  <c r="C831" i="6"/>
  <c r="B831" i="6"/>
  <c r="C338" i="6"/>
  <c r="B338" i="6"/>
  <c r="D338" i="6"/>
  <c r="C386" i="6"/>
  <c r="B386" i="6"/>
  <c r="D386" i="6"/>
  <c r="C439" i="6"/>
  <c r="B439" i="6"/>
  <c r="D439" i="6"/>
  <c r="D575" i="6"/>
  <c r="C575" i="6"/>
  <c r="B575" i="6"/>
  <c r="C476" i="6"/>
  <c r="B476" i="6"/>
  <c r="D476" i="6"/>
  <c r="C524" i="6"/>
  <c r="B524" i="6"/>
  <c r="D524" i="6"/>
  <c r="C572" i="6"/>
  <c r="B572" i="6"/>
  <c r="D572" i="6"/>
  <c r="C620" i="6"/>
  <c r="B620" i="6"/>
  <c r="D620" i="6"/>
  <c r="D668" i="6"/>
  <c r="C668" i="6"/>
  <c r="B668" i="6"/>
  <c r="D716" i="6"/>
  <c r="C716" i="6"/>
  <c r="B716" i="6"/>
  <c r="D764" i="6"/>
  <c r="C764" i="6"/>
  <c r="B764" i="6"/>
  <c r="D812" i="6"/>
  <c r="C812" i="6"/>
  <c r="B812" i="6"/>
  <c r="B1261" i="6"/>
  <c r="D1261" i="6"/>
  <c r="C1261" i="6"/>
  <c r="D671" i="6"/>
  <c r="C671" i="6"/>
  <c r="B671" i="6"/>
  <c r="D719" i="6"/>
  <c r="C719" i="6"/>
  <c r="B719" i="6"/>
  <c r="D767" i="6"/>
  <c r="C767" i="6"/>
  <c r="B767" i="6"/>
  <c r="D815" i="6"/>
  <c r="C815" i="6"/>
  <c r="B815" i="6"/>
  <c r="D446" i="6"/>
  <c r="C446" i="6"/>
  <c r="B446" i="6"/>
  <c r="D494" i="6"/>
  <c r="C494" i="6"/>
  <c r="B494" i="6"/>
  <c r="D542" i="6"/>
  <c r="C542" i="6"/>
  <c r="B542" i="6"/>
  <c r="D590" i="6"/>
  <c r="C590" i="6"/>
  <c r="B590" i="6"/>
  <c r="D638" i="6"/>
  <c r="C638" i="6"/>
  <c r="B638" i="6"/>
  <c r="D686" i="6"/>
  <c r="C686" i="6"/>
  <c r="B686" i="6"/>
  <c r="D734" i="6"/>
  <c r="C734" i="6"/>
  <c r="B734" i="6"/>
  <c r="D782" i="6"/>
  <c r="C782" i="6"/>
  <c r="B782" i="6"/>
  <c r="B1277" i="6"/>
  <c r="D1277" i="6"/>
  <c r="C1277" i="6"/>
  <c r="D457" i="6"/>
  <c r="C457" i="6"/>
  <c r="B457" i="6"/>
  <c r="D505" i="6"/>
  <c r="C505" i="6"/>
  <c r="B505" i="6"/>
  <c r="D553" i="6"/>
  <c r="C553" i="6"/>
  <c r="B553" i="6"/>
  <c r="D601" i="6"/>
  <c r="C601" i="6"/>
  <c r="B601" i="6"/>
  <c r="D649" i="6"/>
  <c r="C649" i="6"/>
  <c r="B649" i="6"/>
  <c r="D697" i="6"/>
  <c r="C697" i="6"/>
  <c r="B697" i="6"/>
  <c r="D745" i="6"/>
  <c r="C745" i="6"/>
  <c r="B745" i="6"/>
  <c r="D793" i="6"/>
  <c r="C793" i="6"/>
  <c r="B793" i="6"/>
  <c r="B828" i="6"/>
  <c r="D828" i="6"/>
  <c r="C828" i="6"/>
  <c r="B876" i="6"/>
  <c r="D876" i="6"/>
  <c r="C876" i="6"/>
  <c r="D924" i="6"/>
  <c r="B924" i="6"/>
  <c r="C924" i="6"/>
  <c r="D972" i="6"/>
  <c r="B972" i="6"/>
  <c r="C972" i="6"/>
  <c r="D1020" i="6"/>
  <c r="C1020" i="6"/>
  <c r="B1020" i="6"/>
  <c r="D1068" i="6"/>
  <c r="C1068" i="6"/>
  <c r="B1068" i="6"/>
  <c r="D1116" i="6"/>
  <c r="C1116" i="6"/>
  <c r="B1116" i="6"/>
  <c r="D1164" i="6"/>
  <c r="C1164" i="6"/>
  <c r="B1164" i="6"/>
  <c r="D1228" i="6"/>
  <c r="B1228" i="6"/>
  <c r="C1228" i="6"/>
  <c r="D923" i="6"/>
  <c r="C923" i="6"/>
  <c r="B923" i="6"/>
  <c r="D971" i="6"/>
  <c r="C971" i="6"/>
  <c r="B971" i="6"/>
  <c r="D1019" i="6"/>
  <c r="C1019" i="6"/>
  <c r="B1019" i="6"/>
  <c r="D1067" i="6"/>
  <c r="C1067" i="6"/>
  <c r="B1067" i="6"/>
  <c r="D1115" i="6"/>
  <c r="C1115" i="6"/>
  <c r="B1115" i="6"/>
  <c r="D1163" i="6"/>
  <c r="C1163" i="6"/>
  <c r="B1163" i="6"/>
  <c r="D1201" i="6"/>
  <c r="C1201" i="6"/>
  <c r="B1201" i="6"/>
  <c r="D822" i="6"/>
  <c r="C822" i="6"/>
  <c r="B822" i="6"/>
  <c r="D870" i="6"/>
  <c r="B870" i="6"/>
  <c r="C870" i="6"/>
  <c r="D918" i="6"/>
  <c r="C918" i="6"/>
  <c r="B918" i="6"/>
  <c r="D966" i="6"/>
  <c r="C966" i="6"/>
  <c r="B966" i="6"/>
  <c r="D1014" i="6"/>
  <c r="C1014" i="6"/>
  <c r="B1014" i="6"/>
  <c r="D1062" i="6"/>
  <c r="C1062" i="6"/>
  <c r="B1062" i="6"/>
  <c r="D1110" i="6"/>
  <c r="C1110" i="6"/>
  <c r="B1110" i="6"/>
  <c r="D1158" i="6"/>
  <c r="C1158" i="6"/>
  <c r="B1158" i="6"/>
  <c r="D1248" i="6"/>
  <c r="B1248" i="6"/>
  <c r="C1248" i="6"/>
  <c r="D1296" i="6"/>
  <c r="B1296" i="6"/>
  <c r="C1296" i="6"/>
  <c r="C1339" i="6"/>
  <c r="B1339" i="6"/>
  <c r="D1339" i="6"/>
  <c r="D865" i="6"/>
  <c r="C865" i="6"/>
  <c r="B865" i="6"/>
  <c r="D913" i="6"/>
  <c r="C913" i="6"/>
  <c r="B913" i="6"/>
  <c r="D961" i="6"/>
  <c r="C961" i="6"/>
  <c r="B961" i="6"/>
  <c r="D1009" i="6"/>
  <c r="C1009" i="6"/>
  <c r="B1009" i="6"/>
  <c r="D1057" i="6"/>
  <c r="C1057" i="6"/>
  <c r="B1057" i="6"/>
  <c r="D1105" i="6"/>
  <c r="C1105" i="6"/>
  <c r="B1105" i="6"/>
  <c r="D1153" i="6"/>
  <c r="C1153" i="6"/>
  <c r="B1153" i="6"/>
  <c r="B1200" i="6"/>
  <c r="D1200" i="6"/>
  <c r="C1200" i="6"/>
  <c r="D1469" i="6"/>
  <c r="B1469" i="6"/>
  <c r="C1469" i="6"/>
  <c r="B1366" i="6"/>
  <c r="D1366" i="6"/>
  <c r="C1366" i="6"/>
  <c r="D1477" i="6"/>
  <c r="C1477" i="6"/>
  <c r="B1477" i="6"/>
  <c r="D1243" i="6"/>
  <c r="C1243" i="6"/>
  <c r="B1243" i="6"/>
  <c r="D1291" i="6"/>
  <c r="C1291" i="6"/>
  <c r="B1291" i="6"/>
  <c r="D1425" i="6"/>
  <c r="B1425" i="6"/>
  <c r="C1425" i="6"/>
  <c r="B1411" i="6"/>
  <c r="D1411" i="6"/>
  <c r="C1411" i="6"/>
  <c r="C1218" i="6"/>
  <c r="B1218" i="6"/>
  <c r="D1218" i="6"/>
  <c r="C1266" i="6"/>
  <c r="B1266" i="6"/>
  <c r="D1266" i="6"/>
  <c r="D1325" i="6"/>
  <c r="C1325" i="6"/>
  <c r="B1325" i="6"/>
  <c r="D1345" i="6"/>
  <c r="C1345" i="6"/>
  <c r="B1345" i="6"/>
  <c r="D1449" i="6"/>
  <c r="B1449" i="6"/>
  <c r="C1449" i="6"/>
  <c r="B1350" i="6"/>
  <c r="D1350" i="6"/>
  <c r="C1350" i="6"/>
  <c r="C1459" i="6"/>
  <c r="B1459" i="6"/>
  <c r="D1459" i="6"/>
  <c r="B1426" i="6"/>
  <c r="D1426" i="6"/>
  <c r="C1426" i="6"/>
  <c r="B1340" i="6"/>
  <c r="D1340" i="6"/>
  <c r="C1340" i="6"/>
  <c r="B1388" i="6"/>
  <c r="D1388" i="6"/>
  <c r="C1388" i="6"/>
  <c r="B1436" i="6"/>
  <c r="D1436" i="6"/>
  <c r="C1436" i="6"/>
  <c r="B1484" i="6"/>
  <c r="D1484" i="6"/>
  <c r="C1484" i="6"/>
  <c r="Y6" i="3"/>
  <c r="AD6" i="3" s="1"/>
  <c r="AI6" i="3" s="1"/>
  <c r="C18" i="7"/>
  <c r="B18" i="7"/>
  <c r="D18" i="7"/>
  <c r="C99" i="7"/>
  <c r="B99" i="7"/>
  <c r="D99" i="7"/>
  <c r="C54" i="7"/>
  <c r="B54" i="7"/>
  <c r="D54" i="7"/>
  <c r="D29" i="7"/>
  <c r="C29" i="7"/>
  <c r="B29" i="7"/>
  <c r="C22" i="7"/>
  <c r="B22" i="7"/>
  <c r="D22" i="7"/>
  <c r="C98" i="7"/>
  <c r="B98" i="7"/>
  <c r="D98" i="7"/>
  <c r="C58" i="7"/>
  <c r="B58" i="7"/>
  <c r="D58" i="7"/>
  <c r="D115" i="7"/>
  <c r="C115" i="7"/>
  <c r="B115" i="7"/>
  <c r="D163" i="7"/>
  <c r="C163" i="7"/>
  <c r="B163" i="7"/>
  <c r="D218" i="7"/>
  <c r="C218" i="7"/>
  <c r="B218" i="7"/>
  <c r="C118" i="7"/>
  <c r="B118" i="7"/>
  <c r="D118" i="7"/>
  <c r="D166" i="7"/>
  <c r="C166" i="7"/>
  <c r="B166" i="7"/>
  <c r="D238" i="7"/>
  <c r="C238" i="7"/>
  <c r="B238" i="7"/>
  <c r="D145" i="7"/>
  <c r="C145" i="7"/>
  <c r="B145" i="7"/>
  <c r="D290" i="7"/>
  <c r="C290" i="7"/>
  <c r="B290" i="7"/>
  <c r="B4" i="7"/>
  <c r="D4" i="7"/>
  <c r="C4" i="7"/>
  <c r="B52" i="7"/>
  <c r="D52" i="7"/>
  <c r="C52" i="7"/>
  <c r="B100" i="7"/>
  <c r="D100" i="7"/>
  <c r="C100" i="7"/>
  <c r="B148" i="7"/>
  <c r="D148" i="7"/>
  <c r="C148" i="7"/>
  <c r="D326" i="7"/>
  <c r="C326" i="7"/>
  <c r="B326" i="7"/>
  <c r="D204" i="7"/>
  <c r="C204" i="7"/>
  <c r="B204" i="7"/>
  <c r="D252" i="7"/>
  <c r="C252" i="7"/>
  <c r="B252" i="7"/>
  <c r="D300" i="7"/>
  <c r="C300" i="7"/>
  <c r="B300" i="7"/>
  <c r="D348" i="7"/>
  <c r="C348" i="7"/>
  <c r="B348" i="7"/>
  <c r="D436" i="7"/>
  <c r="C436" i="7"/>
  <c r="B436" i="7"/>
  <c r="D394" i="7"/>
  <c r="C394" i="7"/>
  <c r="B394" i="7"/>
  <c r="D644" i="7"/>
  <c r="C644" i="7"/>
  <c r="B644" i="7"/>
  <c r="D235" i="7"/>
  <c r="C235" i="7"/>
  <c r="B235" i="7"/>
  <c r="C283" i="7"/>
  <c r="D283" i="7"/>
  <c r="B283" i="7"/>
  <c r="C331" i="7"/>
  <c r="D331" i="7"/>
  <c r="B331" i="7"/>
  <c r="D392" i="7"/>
  <c r="C392" i="7"/>
  <c r="B392" i="7"/>
  <c r="D528" i="7"/>
  <c r="C528" i="7"/>
  <c r="B528" i="7"/>
  <c r="D416" i="7"/>
  <c r="C416" i="7"/>
  <c r="B416" i="7"/>
  <c r="D580" i="7"/>
  <c r="C580" i="7"/>
  <c r="B580" i="7"/>
  <c r="D584" i="7"/>
  <c r="C584" i="7"/>
  <c r="B584" i="7"/>
  <c r="D221" i="7"/>
  <c r="B221" i="7"/>
  <c r="C221" i="7"/>
  <c r="D269" i="7"/>
  <c r="C269" i="7"/>
  <c r="B269" i="7"/>
  <c r="D317" i="7"/>
  <c r="C317" i="7"/>
  <c r="B317" i="7"/>
  <c r="D365" i="7"/>
  <c r="C365" i="7"/>
  <c r="B365" i="7"/>
  <c r="D462" i="7"/>
  <c r="C462" i="7"/>
  <c r="B462" i="7"/>
  <c r="D707" i="7"/>
  <c r="C707" i="7"/>
  <c r="B707" i="7"/>
  <c r="C403" i="7"/>
  <c r="B403" i="7"/>
  <c r="D403" i="7"/>
  <c r="C451" i="7"/>
  <c r="B451" i="7"/>
  <c r="D451" i="7"/>
  <c r="D499" i="7"/>
  <c r="C499" i="7"/>
  <c r="B499" i="7"/>
  <c r="D547" i="7"/>
  <c r="C547" i="7"/>
  <c r="B547" i="7"/>
  <c r="D595" i="7"/>
  <c r="C595" i="7"/>
  <c r="B595" i="7"/>
  <c r="D643" i="7"/>
  <c r="C643" i="7"/>
  <c r="B643" i="7"/>
  <c r="D709" i="7"/>
  <c r="C709" i="7"/>
  <c r="B709" i="7"/>
  <c r="D494" i="7"/>
  <c r="C494" i="7"/>
  <c r="B494" i="7"/>
  <c r="D542" i="7"/>
  <c r="C542" i="7"/>
  <c r="B542" i="7"/>
  <c r="D590" i="7"/>
  <c r="C590" i="7"/>
  <c r="B590" i="7"/>
  <c r="D638" i="7"/>
  <c r="C638" i="7"/>
  <c r="B638" i="7"/>
  <c r="B706" i="7"/>
  <c r="D706" i="7"/>
  <c r="C706" i="7"/>
  <c r="C397" i="7"/>
  <c r="D397" i="7"/>
  <c r="B397" i="7"/>
  <c r="C445" i="7"/>
  <c r="B445" i="7"/>
  <c r="D445" i="7"/>
  <c r="C493" i="7"/>
  <c r="B493" i="7"/>
  <c r="D493" i="7"/>
  <c r="C541" i="7"/>
  <c r="B541" i="7"/>
  <c r="D541" i="7"/>
  <c r="C589" i="7"/>
  <c r="B589" i="7"/>
  <c r="D589" i="7"/>
  <c r="C637" i="7"/>
  <c r="B637" i="7"/>
  <c r="D637" i="7"/>
  <c r="D685" i="7"/>
  <c r="C685" i="7"/>
  <c r="B685" i="7"/>
  <c r="D729" i="7"/>
  <c r="C729" i="7"/>
  <c r="B729" i="7"/>
  <c r="D777" i="7"/>
  <c r="C777" i="7"/>
  <c r="B777" i="7"/>
  <c r="D825" i="7"/>
  <c r="C825" i="7"/>
  <c r="B825" i="7"/>
  <c r="D873" i="7"/>
  <c r="C873" i="7"/>
  <c r="B873" i="7"/>
  <c r="D953" i="7"/>
  <c r="C953" i="7"/>
  <c r="B953" i="7"/>
  <c r="B712" i="7"/>
  <c r="D712" i="7"/>
  <c r="C712" i="7"/>
  <c r="D760" i="7"/>
  <c r="C760" i="7"/>
  <c r="B760" i="7"/>
  <c r="D808" i="7"/>
  <c r="C808" i="7"/>
  <c r="B808" i="7"/>
  <c r="D856" i="7"/>
  <c r="C856" i="7"/>
  <c r="B856" i="7"/>
  <c r="D941" i="7"/>
  <c r="C941" i="7"/>
  <c r="B941" i="7"/>
  <c r="D731" i="7"/>
  <c r="C731" i="7"/>
  <c r="B731" i="7"/>
  <c r="D779" i="7"/>
  <c r="C779" i="7"/>
  <c r="B779" i="7"/>
  <c r="D827" i="7"/>
  <c r="C827" i="7"/>
  <c r="B827" i="7"/>
  <c r="D875" i="7"/>
  <c r="C875" i="7"/>
  <c r="B875" i="7"/>
  <c r="D945" i="7"/>
  <c r="C945" i="7"/>
  <c r="B945" i="7"/>
  <c r="B738" i="7"/>
  <c r="D738" i="7"/>
  <c r="C738" i="7"/>
  <c r="B786" i="7"/>
  <c r="D786" i="7"/>
  <c r="C786" i="7"/>
  <c r="B834" i="7"/>
  <c r="D834" i="7"/>
  <c r="C834" i="7"/>
  <c r="B882" i="7"/>
  <c r="D882" i="7"/>
  <c r="C882" i="7"/>
  <c r="D1077" i="7"/>
  <c r="C1077" i="7"/>
  <c r="B1077" i="7"/>
  <c r="D900" i="7"/>
  <c r="C900" i="7"/>
  <c r="B900" i="7"/>
  <c r="D948" i="7"/>
  <c r="C948" i="7"/>
  <c r="B948" i="7"/>
  <c r="D996" i="7"/>
  <c r="C996" i="7"/>
  <c r="B996" i="7"/>
  <c r="D1044" i="7"/>
  <c r="C1044" i="7"/>
  <c r="B1044" i="7"/>
  <c r="D1109" i="7"/>
  <c r="C1109" i="7"/>
  <c r="B1109" i="7"/>
  <c r="D1111" i="7"/>
  <c r="C1111" i="7"/>
  <c r="B1111" i="7"/>
  <c r="D927" i="7"/>
  <c r="C927" i="7"/>
  <c r="B927" i="7"/>
  <c r="D975" i="7"/>
  <c r="C975" i="7"/>
  <c r="B975" i="7"/>
  <c r="D1023" i="7"/>
  <c r="C1023" i="7"/>
  <c r="B1023" i="7"/>
  <c r="D1071" i="7"/>
  <c r="C1071" i="7"/>
  <c r="B1071" i="7"/>
  <c r="D1113" i="7"/>
  <c r="C1113" i="7"/>
  <c r="B1113" i="7"/>
  <c r="D1301" i="7"/>
  <c r="C1301" i="7"/>
  <c r="B1301" i="7"/>
  <c r="C942" i="7"/>
  <c r="B942" i="7"/>
  <c r="D942" i="7"/>
  <c r="C990" i="7"/>
  <c r="B990" i="7"/>
  <c r="D990" i="7"/>
  <c r="C1038" i="7"/>
  <c r="B1038" i="7"/>
  <c r="D1038" i="7"/>
  <c r="B1086" i="7"/>
  <c r="D1086" i="7"/>
  <c r="C1086" i="7"/>
  <c r="B1094" i="7"/>
  <c r="D1094" i="7"/>
  <c r="C1094" i="7"/>
  <c r="B1187" i="7"/>
  <c r="D1187" i="7"/>
  <c r="C1187" i="7"/>
  <c r="B1236" i="7"/>
  <c r="D1236" i="7"/>
  <c r="C1236" i="7"/>
  <c r="B1312" i="7"/>
  <c r="D1312" i="7"/>
  <c r="C1312" i="7"/>
  <c r="D1358" i="7"/>
  <c r="C1358" i="7"/>
  <c r="B1358" i="7"/>
  <c r="D1303" i="7"/>
  <c r="C1303" i="7"/>
  <c r="B1303" i="7"/>
  <c r="D1283" i="7"/>
  <c r="C1283" i="7"/>
  <c r="B1283" i="7"/>
  <c r="D1263" i="7"/>
  <c r="C1263" i="7"/>
  <c r="B1263" i="7"/>
  <c r="D1177" i="7"/>
  <c r="C1177" i="7"/>
  <c r="B1177" i="7"/>
  <c r="D1225" i="7"/>
  <c r="C1225" i="7"/>
  <c r="B1225" i="7"/>
  <c r="D1319" i="7"/>
  <c r="C1319" i="7"/>
  <c r="B1319" i="7"/>
  <c r="D1088" i="7"/>
  <c r="C1088" i="7"/>
  <c r="B1088" i="7"/>
  <c r="B1136" i="7"/>
  <c r="D1136" i="7"/>
  <c r="C1136" i="7"/>
  <c r="B1184" i="7"/>
  <c r="D1184" i="7"/>
  <c r="C1184" i="7"/>
  <c r="D1231" i="7"/>
  <c r="B1231" i="7"/>
  <c r="C1231" i="7"/>
  <c r="D1321" i="7"/>
  <c r="C1321" i="7"/>
  <c r="B1321" i="7"/>
  <c r="C1404" i="7"/>
  <c r="B1404" i="7"/>
  <c r="D1404" i="7"/>
  <c r="D1355" i="7"/>
  <c r="C1355" i="7"/>
  <c r="B1355" i="7"/>
  <c r="C1474" i="7"/>
  <c r="B1474" i="7"/>
  <c r="D1474" i="7"/>
  <c r="C1389" i="7"/>
  <c r="D1389" i="7"/>
  <c r="B1389" i="7"/>
  <c r="D1403" i="7"/>
  <c r="B1403" i="7"/>
  <c r="C1403" i="7"/>
  <c r="D1383" i="7"/>
  <c r="C1383" i="7"/>
  <c r="B1383" i="7"/>
  <c r="D1246" i="7"/>
  <c r="C1246" i="7"/>
  <c r="B1246" i="7"/>
  <c r="D1294" i="7"/>
  <c r="C1294" i="7"/>
  <c r="B1294" i="7"/>
  <c r="D1342" i="7"/>
  <c r="C1342" i="7"/>
  <c r="B1342" i="7"/>
  <c r="C1485" i="7"/>
  <c r="D1485" i="7"/>
  <c r="B1485" i="7"/>
  <c r="D1402" i="7"/>
  <c r="C1402" i="7"/>
  <c r="B1402" i="7"/>
  <c r="D1462" i="7"/>
  <c r="C1462" i="7"/>
  <c r="B1462" i="7"/>
  <c r="D1455" i="7"/>
  <c r="C1455" i="7"/>
  <c r="B1455" i="7"/>
  <c r="AR17" i="3"/>
  <c r="R14" i="3"/>
  <c r="Z14" i="3"/>
  <c r="AE14" i="3" s="1"/>
  <c r="AJ14" i="3" s="1"/>
  <c r="AT49" i="3"/>
  <c r="AS49" i="3"/>
  <c r="AS42" i="3"/>
  <c r="AT42" i="3"/>
  <c r="AB5" i="3"/>
  <c r="AG5" i="3" s="1"/>
  <c r="AL5" i="3" s="1"/>
  <c r="AT27" i="3"/>
  <c r="AS27" i="3"/>
  <c r="AQ22" i="3"/>
  <c r="AP22" i="3"/>
  <c r="D124" i="8"/>
  <c r="C124" i="8"/>
  <c r="B124" i="8"/>
  <c r="C70" i="8"/>
  <c r="B70" i="8"/>
  <c r="D70" i="8"/>
  <c r="B30" i="8"/>
  <c r="D30" i="8"/>
  <c r="C30" i="8"/>
  <c r="C11" i="8"/>
  <c r="D11" i="8"/>
  <c r="B11" i="8"/>
  <c r="C252" i="8"/>
  <c r="B252" i="8"/>
  <c r="D252" i="8"/>
  <c r="D469" i="8"/>
  <c r="C469" i="8"/>
  <c r="B469" i="8"/>
  <c r="B334" i="8"/>
  <c r="D334" i="8"/>
  <c r="C334" i="8"/>
  <c r="D435" i="8"/>
  <c r="C435" i="8"/>
  <c r="B435" i="8"/>
  <c r="AC10" i="3"/>
  <c r="AH10" i="3" s="1"/>
  <c r="AM10" i="3" s="1"/>
  <c r="AN10" i="3" s="1"/>
  <c r="R15" i="3"/>
  <c r="D312" i="8"/>
  <c r="C312" i="8"/>
  <c r="B312" i="8"/>
  <c r="D177" i="8"/>
  <c r="C177" i="8"/>
  <c r="B177" i="8"/>
  <c r="C154" i="8"/>
  <c r="B154" i="8"/>
  <c r="D154" i="8"/>
  <c r="C134" i="8"/>
  <c r="B134" i="8"/>
  <c r="D134" i="8"/>
  <c r="D144" i="8"/>
  <c r="C144" i="8"/>
  <c r="B144" i="8"/>
  <c r="AQ38" i="3"/>
  <c r="AP38" i="3"/>
  <c r="AR2" i="3"/>
  <c r="AT21" i="3"/>
  <c r="AS21" i="3"/>
  <c r="AQ40" i="3"/>
  <c r="AP40" i="3"/>
  <c r="AA4" i="3"/>
  <c r="AF4" i="3" s="1"/>
  <c r="AK4" i="3" s="1"/>
  <c r="AT61" i="3"/>
  <c r="AS61" i="3"/>
  <c r="AA12" i="3"/>
  <c r="AF12" i="3" s="1"/>
  <c r="AK12" i="3" s="1"/>
  <c r="D209" i="8"/>
  <c r="C209" i="8"/>
  <c r="B209" i="8"/>
  <c r="D24" i="8"/>
  <c r="C24" i="8"/>
  <c r="B24" i="8"/>
  <c r="D185" i="8"/>
  <c r="C185" i="8"/>
  <c r="B185" i="8"/>
  <c r="D14" i="8"/>
  <c r="B14" i="8"/>
  <c r="C14" i="8"/>
  <c r="C6" i="8"/>
  <c r="B6" i="8"/>
  <c r="D6" i="8"/>
  <c r="D277" i="8"/>
  <c r="C277" i="8"/>
  <c r="B277" i="8"/>
  <c r="D245" i="8"/>
  <c r="C245" i="8"/>
  <c r="B245" i="8"/>
  <c r="D340" i="8"/>
  <c r="C340" i="8"/>
  <c r="B340" i="8"/>
  <c r="C162" i="8"/>
  <c r="B162" i="8"/>
  <c r="D162" i="8"/>
  <c r="C125" i="8"/>
  <c r="D125" i="8"/>
  <c r="B125" i="8"/>
  <c r="D205" i="8"/>
  <c r="C205" i="8"/>
  <c r="B205" i="8"/>
  <c r="C130" i="8"/>
  <c r="B130" i="8"/>
  <c r="D130" i="8"/>
  <c r="C137" i="8"/>
  <c r="D137" i="8"/>
  <c r="B137" i="8"/>
  <c r="D308" i="8"/>
  <c r="C308" i="8"/>
  <c r="B308" i="8"/>
  <c r="C174" i="8"/>
  <c r="B174" i="8"/>
  <c r="D174" i="8"/>
  <c r="D160" i="8"/>
  <c r="C160" i="8"/>
  <c r="B160" i="8"/>
  <c r="D208" i="8"/>
  <c r="C208" i="8"/>
  <c r="B208" i="8"/>
  <c r="C345" i="8"/>
  <c r="B345" i="8"/>
  <c r="D345" i="8"/>
  <c r="D457" i="8"/>
  <c r="C457" i="8"/>
  <c r="B457" i="8"/>
  <c r="C43" i="8"/>
  <c r="D43" i="8"/>
  <c r="B43" i="8"/>
  <c r="C91" i="8"/>
  <c r="B91" i="8"/>
  <c r="D91" i="8"/>
  <c r="C139" i="8"/>
  <c r="B139" i="8"/>
  <c r="D139" i="8"/>
  <c r="C187" i="8"/>
  <c r="B187" i="8"/>
  <c r="D187" i="8"/>
  <c r="C235" i="8"/>
  <c r="B235" i="8"/>
  <c r="D235" i="8"/>
  <c r="D328" i="8"/>
  <c r="C328" i="8"/>
  <c r="B328" i="8"/>
  <c r="D372" i="8"/>
  <c r="C372" i="8"/>
  <c r="B372" i="8"/>
  <c r="D344" i="8"/>
  <c r="C344" i="8"/>
  <c r="B344" i="8"/>
  <c r="D517" i="8"/>
  <c r="C517" i="8"/>
  <c r="B517" i="8"/>
  <c r="D489" i="8"/>
  <c r="C489" i="8"/>
  <c r="B489" i="8"/>
  <c r="C778" i="8"/>
  <c r="D778" i="8"/>
  <c r="B778" i="8"/>
  <c r="D295" i="8"/>
  <c r="C295" i="8"/>
  <c r="B295" i="8"/>
  <c r="D343" i="8"/>
  <c r="C343" i="8"/>
  <c r="B343" i="8"/>
  <c r="C715" i="8"/>
  <c r="D715" i="8"/>
  <c r="B715" i="8"/>
  <c r="B270" i="8"/>
  <c r="D270" i="8"/>
  <c r="C270" i="8"/>
  <c r="B318" i="8"/>
  <c r="C318" i="8"/>
  <c r="D318" i="8"/>
  <c r="B366" i="8"/>
  <c r="C366" i="8"/>
  <c r="D366" i="8"/>
  <c r="D553" i="8"/>
  <c r="C553" i="8"/>
  <c r="B553" i="8"/>
  <c r="C739" i="8"/>
  <c r="B739" i="8"/>
  <c r="D739" i="8"/>
  <c r="D432" i="8"/>
  <c r="C432" i="8"/>
  <c r="B432" i="8"/>
  <c r="D480" i="8"/>
  <c r="C480" i="8"/>
  <c r="B480" i="8"/>
  <c r="D528" i="8"/>
  <c r="C528" i="8"/>
  <c r="B528" i="8"/>
  <c r="D789" i="8"/>
  <c r="C789" i="8"/>
  <c r="B789" i="8"/>
  <c r="D419" i="8"/>
  <c r="C419" i="8"/>
  <c r="B419" i="8"/>
  <c r="D467" i="8"/>
  <c r="C467" i="8"/>
  <c r="B467" i="8"/>
  <c r="D515" i="8"/>
  <c r="C515" i="8"/>
  <c r="B515" i="8"/>
  <c r="D584" i="8"/>
  <c r="C584" i="8"/>
  <c r="B584" i="8"/>
  <c r="D552" i="8"/>
  <c r="C552" i="8"/>
  <c r="B552" i="8"/>
  <c r="D394" i="8"/>
  <c r="C394" i="8"/>
  <c r="B394" i="8"/>
  <c r="C442" i="8"/>
  <c r="B442" i="8"/>
  <c r="D442" i="8"/>
  <c r="C490" i="8"/>
  <c r="B490" i="8"/>
  <c r="D490" i="8"/>
  <c r="C538" i="8"/>
  <c r="B538" i="8"/>
  <c r="D538" i="8"/>
  <c r="D696" i="8"/>
  <c r="C696" i="8"/>
  <c r="B696" i="8"/>
  <c r="D724" i="8"/>
  <c r="C724" i="8"/>
  <c r="B724" i="8"/>
  <c r="D575" i="8"/>
  <c r="C575" i="8"/>
  <c r="B575" i="8"/>
  <c r="D623" i="8"/>
  <c r="C623" i="8"/>
  <c r="B623" i="8"/>
  <c r="D671" i="8"/>
  <c r="C671" i="8"/>
  <c r="B671" i="8"/>
  <c r="C771" i="8"/>
  <c r="B771" i="8"/>
  <c r="D771" i="8"/>
  <c r="D953" i="8"/>
  <c r="B953" i="8"/>
  <c r="C953" i="8"/>
  <c r="C554" i="8"/>
  <c r="B554" i="8"/>
  <c r="D554" i="8"/>
  <c r="C602" i="8"/>
  <c r="B602" i="8"/>
  <c r="D602" i="8"/>
  <c r="D650" i="8"/>
  <c r="C650" i="8"/>
  <c r="B650" i="8"/>
  <c r="D698" i="8"/>
  <c r="C698" i="8"/>
  <c r="B698" i="8"/>
  <c r="C788" i="8"/>
  <c r="B788" i="8"/>
  <c r="D788" i="8"/>
  <c r="C779" i="8"/>
  <c r="B779" i="8"/>
  <c r="D779" i="8"/>
  <c r="D781" i="8"/>
  <c r="C781" i="8"/>
  <c r="B781" i="8"/>
  <c r="C625" i="8"/>
  <c r="B625" i="8"/>
  <c r="D625" i="8"/>
  <c r="C673" i="8"/>
  <c r="B673" i="8"/>
  <c r="D673" i="8"/>
  <c r="C783" i="8"/>
  <c r="B783" i="8"/>
  <c r="D783" i="8"/>
  <c r="B745" i="8"/>
  <c r="D745" i="8"/>
  <c r="C745" i="8"/>
  <c r="C763" i="8"/>
  <c r="B763" i="8"/>
  <c r="D763" i="8"/>
  <c r="D989" i="8"/>
  <c r="B989" i="8"/>
  <c r="C989" i="8"/>
  <c r="D859" i="8"/>
  <c r="C859" i="8"/>
  <c r="B859" i="8"/>
  <c r="C826" i="8"/>
  <c r="B826" i="8"/>
  <c r="D826" i="8"/>
  <c r="D907" i="8"/>
  <c r="C907" i="8"/>
  <c r="B907" i="8"/>
  <c r="D866" i="8"/>
  <c r="C866" i="8"/>
  <c r="B866" i="8"/>
  <c r="D914" i="8"/>
  <c r="C914" i="8"/>
  <c r="B914" i="8"/>
  <c r="D1034" i="8"/>
  <c r="C1034" i="8"/>
  <c r="B1034" i="8"/>
  <c r="D857" i="8"/>
  <c r="C857" i="8"/>
  <c r="B857" i="8"/>
  <c r="D905" i="8"/>
  <c r="C905" i="8"/>
  <c r="B905" i="8"/>
  <c r="D1113" i="8"/>
  <c r="C1113" i="8"/>
  <c r="B1113" i="8"/>
  <c r="D848" i="8"/>
  <c r="C848" i="8"/>
  <c r="B848" i="8"/>
  <c r="C896" i="8"/>
  <c r="B896" i="8"/>
  <c r="D896" i="8"/>
  <c r="D1187" i="8"/>
  <c r="B1187" i="8"/>
  <c r="C1187" i="8"/>
  <c r="D1017" i="8"/>
  <c r="C1017" i="8"/>
  <c r="B1017" i="8"/>
  <c r="D1215" i="8"/>
  <c r="C1215" i="8"/>
  <c r="B1215" i="8"/>
  <c r="D952" i="8"/>
  <c r="C952" i="8"/>
  <c r="B952" i="8"/>
  <c r="D1000" i="8"/>
  <c r="C1000" i="8"/>
  <c r="B1000" i="8"/>
  <c r="D1048" i="8"/>
  <c r="C1048" i="8"/>
  <c r="B1048" i="8"/>
  <c r="D1088" i="8"/>
  <c r="C1088" i="8"/>
  <c r="B1088" i="8"/>
  <c r="C951" i="8"/>
  <c r="B951" i="8"/>
  <c r="D951" i="8"/>
  <c r="D999" i="8"/>
  <c r="C999" i="8"/>
  <c r="B999" i="8"/>
  <c r="D1047" i="8"/>
  <c r="C1047" i="8"/>
  <c r="B1047" i="8"/>
  <c r="D1138" i="8"/>
  <c r="C1138" i="8"/>
  <c r="B1138" i="8"/>
  <c r="C1199" i="8"/>
  <c r="B1199" i="8"/>
  <c r="D1199" i="8"/>
  <c r="C1202" i="8"/>
  <c r="B1202" i="8"/>
  <c r="D1202" i="8"/>
  <c r="D1095" i="8"/>
  <c r="C1095" i="8"/>
  <c r="B1095" i="8"/>
  <c r="B1172" i="8"/>
  <c r="D1172" i="8"/>
  <c r="C1172" i="8"/>
  <c r="D1054" i="8"/>
  <c r="C1054" i="8"/>
  <c r="B1054" i="8"/>
  <c r="D1102" i="8"/>
  <c r="C1102" i="8"/>
  <c r="B1102" i="8"/>
  <c r="D1210" i="8"/>
  <c r="B1210" i="8"/>
  <c r="C1210" i="8"/>
  <c r="D1373" i="8"/>
  <c r="C1373" i="8"/>
  <c r="B1373" i="8"/>
  <c r="D1194" i="8"/>
  <c r="C1194" i="8"/>
  <c r="B1194" i="8"/>
  <c r="D1331" i="8"/>
  <c r="C1331" i="8"/>
  <c r="B1331" i="8"/>
  <c r="B1133" i="8"/>
  <c r="D1133" i="8"/>
  <c r="C1133" i="8"/>
  <c r="C1181" i="8"/>
  <c r="B1181" i="8"/>
  <c r="D1181" i="8"/>
  <c r="D1318" i="8"/>
  <c r="C1318" i="8"/>
  <c r="B1318" i="8"/>
  <c r="B1279" i="8"/>
  <c r="D1279" i="8"/>
  <c r="C1279" i="8"/>
  <c r="B1290" i="8"/>
  <c r="D1290" i="8"/>
  <c r="C1290" i="8"/>
  <c r="D1241" i="8"/>
  <c r="B1241" i="8"/>
  <c r="C1241" i="8"/>
  <c r="D1326" i="8"/>
  <c r="C1326" i="8"/>
  <c r="B1326" i="8"/>
  <c r="D1292" i="8"/>
  <c r="C1292" i="8"/>
  <c r="B1292" i="8"/>
  <c r="C1216" i="8"/>
  <c r="D1216" i="8"/>
  <c r="B1216" i="8"/>
  <c r="B1289" i="8"/>
  <c r="D1289" i="8"/>
  <c r="C1289" i="8"/>
  <c r="B1376" i="8"/>
  <c r="D1376" i="8"/>
  <c r="C1376" i="8"/>
  <c r="D1440" i="8"/>
  <c r="B1440" i="8"/>
  <c r="C1440" i="8"/>
  <c r="B1356" i="8"/>
  <c r="D1356" i="8"/>
  <c r="C1356" i="8"/>
  <c r="D1377" i="8"/>
  <c r="C1377" i="8"/>
  <c r="B1377" i="8"/>
  <c r="D1488" i="8"/>
  <c r="B1488" i="8"/>
  <c r="C1488" i="8"/>
  <c r="D1470" i="8"/>
  <c r="C1470" i="8"/>
  <c r="B1470" i="8"/>
  <c r="B1337" i="8"/>
  <c r="D1337" i="8"/>
  <c r="C1337" i="8"/>
  <c r="C1379" i="8"/>
  <c r="D1379" i="8"/>
  <c r="B1379" i="8"/>
  <c r="D1421" i="8"/>
  <c r="C1421" i="8"/>
  <c r="B1421" i="8"/>
  <c r="D1469" i="8"/>
  <c r="C1469" i="8"/>
  <c r="B1469" i="8"/>
  <c r="C1419" i="8"/>
  <c r="D1419" i="8"/>
  <c r="B1419" i="8"/>
  <c r="C1467" i="8"/>
  <c r="B1467" i="8"/>
  <c r="D1467" i="8"/>
  <c r="AT46" i="3"/>
  <c r="AS46" i="3"/>
  <c r="C55" i="6"/>
  <c r="B55" i="6"/>
  <c r="D55" i="6"/>
  <c r="C68" i="6"/>
  <c r="B68" i="6"/>
  <c r="D68" i="6"/>
  <c r="C66" i="6"/>
  <c r="B66" i="6"/>
  <c r="D66" i="6"/>
  <c r="C210" i="6"/>
  <c r="B210" i="6"/>
  <c r="D210" i="6"/>
  <c r="C3" i="6"/>
  <c r="B3" i="6"/>
  <c r="D3" i="6"/>
  <c r="C147" i="6"/>
  <c r="B147" i="6"/>
  <c r="D147" i="6"/>
  <c r="D357" i="6"/>
  <c r="C357" i="6"/>
  <c r="B357" i="6"/>
  <c r="C134" i="6"/>
  <c r="B134" i="6"/>
  <c r="D134" i="6"/>
  <c r="D264" i="6"/>
  <c r="C264" i="6"/>
  <c r="B264" i="6"/>
  <c r="C84" i="6"/>
  <c r="B84" i="6"/>
  <c r="D84" i="6"/>
  <c r="C228" i="6"/>
  <c r="B228" i="6"/>
  <c r="D228" i="6"/>
  <c r="B45" i="6"/>
  <c r="D45" i="6"/>
  <c r="C45" i="6"/>
  <c r="B189" i="6"/>
  <c r="D189" i="6"/>
  <c r="C189" i="6"/>
  <c r="C32" i="6"/>
  <c r="B32" i="6"/>
  <c r="D32" i="6"/>
  <c r="C176" i="6"/>
  <c r="B176" i="6"/>
  <c r="D176" i="6"/>
  <c r="D341" i="6"/>
  <c r="C341" i="6"/>
  <c r="B341" i="6"/>
  <c r="C126" i="6"/>
  <c r="B126" i="6"/>
  <c r="D126" i="6"/>
  <c r="D260" i="6"/>
  <c r="C260" i="6"/>
  <c r="B260" i="6"/>
  <c r="C39" i="6"/>
  <c r="B39" i="6"/>
  <c r="D39" i="6"/>
  <c r="C183" i="6"/>
  <c r="B183" i="6"/>
  <c r="D183" i="6"/>
  <c r="B37" i="6"/>
  <c r="D37" i="6"/>
  <c r="C37" i="6"/>
  <c r="B181" i="6"/>
  <c r="D181" i="6"/>
  <c r="C181" i="6"/>
  <c r="C24" i="6"/>
  <c r="B24" i="6"/>
  <c r="D24" i="6"/>
  <c r="C168" i="6"/>
  <c r="B168" i="6"/>
  <c r="D168" i="6"/>
  <c r="D393" i="6"/>
  <c r="C393" i="6"/>
  <c r="B393" i="6"/>
  <c r="C118" i="6"/>
  <c r="B118" i="6"/>
  <c r="D118" i="6"/>
  <c r="D256" i="6"/>
  <c r="C256" i="6"/>
  <c r="B256" i="6"/>
  <c r="D438" i="6"/>
  <c r="C438" i="6"/>
  <c r="B438" i="6"/>
  <c r="D332" i="6"/>
  <c r="C332" i="6"/>
  <c r="B332" i="6"/>
  <c r="D380" i="6"/>
  <c r="C380" i="6"/>
  <c r="B380" i="6"/>
  <c r="D428" i="6"/>
  <c r="C428" i="6"/>
  <c r="B428" i="6"/>
  <c r="D467" i="6"/>
  <c r="C467" i="6"/>
  <c r="B467" i="6"/>
  <c r="C279" i="6"/>
  <c r="B279" i="6"/>
  <c r="D279" i="6"/>
  <c r="D327" i="6"/>
  <c r="C327" i="6"/>
  <c r="B327" i="6"/>
  <c r="D375" i="6"/>
  <c r="C375" i="6"/>
  <c r="B375" i="6"/>
  <c r="D423" i="6"/>
  <c r="C423" i="6"/>
  <c r="B423" i="6"/>
  <c r="D434" i="6"/>
  <c r="C434" i="6"/>
  <c r="B434" i="6"/>
  <c r="C342" i="6"/>
  <c r="B342" i="6"/>
  <c r="D342" i="6"/>
  <c r="C390" i="6"/>
  <c r="B390" i="6"/>
  <c r="D390" i="6"/>
  <c r="D463" i="6"/>
  <c r="C463" i="6"/>
  <c r="B463" i="6"/>
  <c r="D623" i="6"/>
  <c r="C623" i="6"/>
  <c r="B623" i="6"/>
  <c r="C480" i="6"/>
  <c r="B480" i="6"/>
  <c r="D480" i="6"/>
  <c r="C528" i="6"/>
  <c r="B528" i="6"/>
  <c r="D528" i="6"/>
  <c r="C576" i="6"/>
  <c r="B576" i="6"/>
  <c r="D576" i="6"/>
  <c r="C624" i="6"/>
  <c r="B624" i="6"/>
  <c r="D624" i="6"/>
  <c r="D672" i="6"/>
  <c r="C672" i="6"/>
  <c r="B672" i="6"/>
  <c r="D720" i="6"/>
  <c r="C720" i="6"/>
  <c r="B720" i="6"/>
  <c r="D768" i="6"/>
  <c r="C768" i="6"/>
  <c r="B768" i="6"/>
  <c r="D816" i="6"/>
  <c r="C816" i="6"/>
  <c r="B816" i="6"/>
  <c r="B1309" i="6"/>
  <c r="D1309" i="6"/>
  <c r="C1309" i="6"/>
  <c r="D675" i="6"/>
  <c r="C675" i="6"/>
  <c r="B675" i="6"/>
  <c r="D723" i="6"/>
  <c r="C723" i="6"/>
  <c r="B723" i="6"/>
  <c r="D771" i="6"/>
  <c r="C771" i="6"/>
  <c r="B771" i="6"/>
  <c r="D819" i="6"/>
  <c r="C819" i="6"/>
  <c r="B819" i="6"/>
  <c r="D450" i="6"/>
  <c r="C450" i="6"/>
  <c r="B450" i="6"/>
  <c r="D498" i="6"/>
  <c r="C498" i="6"/>
  <c r="B498" i="6"/>
  <c r="D546" i="6"/>
  <c r="C546" i="6"/>
  <c r="B546" i="6"/>
  <c r="D594" i="6"/>
  <c r="C594" i="6"/>
  <c r="B594" i="6"/>
  <c r="D642" i="6"/>
  <c r="C642" i="6"/>
  <c r="B642" i="6"/>
  <c r="D690" i="6"/>
  <c r="C690" i="6"/>
  <c r="B690" i="6"/>
  <c r="D738" i="6"/>
  <c r="C738" i="6"/>
  <c r="B738" i="6"/>
  <c r="D786" i="6"/>
  <c r="C786" i="6"/>
  <c r="B786" i="6"/>
  <c r="D867" i="6"/>
  <c r="C867" i="6"/>
  <c r="B867" i="6"/>
  <c r="D461" i="6"/>
  <c r="B461" i="6"/>
  <c r="C461" i="6"/>
  <c r="D509" i="6"/>
  <c r="C509" i="6"/>
  <c r="B509" i="6"/>
  <c r="D557" i="6"/>
  <c r="C557" i="6"/>
  <c r="B557" i="6"/>
  <c r="D605" i="6"/>
  <c r="C605" i="6"/>
  <c r="B605" i="6"/>
  <c r="D653" i="6"/>
  <c r="C653" i="6"/>
  <c r="B653" i="6"/>
  <c r="D701" i="6"/>
  <c r="C701" i="6"/>
  <c r="B701" i="6"/>
  <c r="D749" i="6"/>
  <c r="C749" i="6"/>
  <c r="B749" i="6"/>
  <c r="D797" i="6"/>
  <c r="C797" i="6"/>
  <c r="B797" i="6"/>
  <c r="B832" i="6"/>
  <c r="D832" i="6"/>
  <c r="C832" i="6"/>
  <c r="B880" i="6"/>
  <c r="D880" i="6"/>
  <c r="C880" i="6"/>
  <c r="D928" i="6"/>
  <c r="B928" i="6"/>
  <c r="C928" i="6"/>
  <c r="D976" i="6"/>
  <c r="B976" i="6"/>
  <c r="C976" i="6"/>
  <c r="D1024" i="6"/>
  <c r="C1024" i="6"/>
  <c r="B1024" i="6"/>
  <c r="D1072" i="6"/>
  <c r="C1072" i="6"/>
  <c r="B1072" i="6"/>
  <c r="D1120" i="6"/>
  <c r="C1120" i="6"/>
  <c r="B1120" i="6"/>
  <c r="D1168" i="6"/>
  <c r="C1168" i="6"/>
  <c r="B1168" i="6"/>
  <c r="B1314" i="6"/>
  <c r="D1314" i="6"/>
  <c r="C1314" i="6"/>
  <c r="D927" i="6"/>
  <c r="C927" i="6"/>
  <c r="B927" i="6"/>
  <c r="D975" i="6"/>
  <c r="C975" i="6"/>
  <c r="B975" i="6"/>
  <c r="D1023" i="6"/>
  <c r="C1023" i="6"/>
  <c r="B1023" i="6"/>
  <c r="D1071" i="6"/>
  <c r="C1071" i="6"/>
  <c r="B1071" i="6"/>
  <c r="D1119" i="6"/>
  <c r="C1119" i="6"/>
  <c r="B1119" i="6"/>
  <c r="D1167" i="6"/>
  <c r="C1167" i="6"/>
  <c r="B1167" i="6"/>
  <c r="B1204" i="6"/>
  <c r="D1204" i="6"/>
  <c r="C1204" i="6"/>
  <c r="D826" i="6"/>
  <c r="C826" i="6"/>
  <c r="B826" i="6"/>
  <c r="D874" i="6"/>
  <c r="B874" i="6"/>
  <c r="C874" i="6"/>
  <c r="D922" i="6"/>
  <c r="C922" i="6"/>
  <c r="B922" i="6"/>
  <c r="D970" i="6"/>
  <c r="C970" i="6"/>
  <c r="B970" i="6"/>
  <c r="D1018" i="6"/>
  <c r="C1018" i="6"/>
  <c r="B1018" i="6"/>
  <c r="D1066" i="6"/>
  <c r="C1066" i="6"/>
  <c r="B1066" i="6"/>
  <c r="D1114" i="6"/>
  <c r="C1114" i="6"/>
  <c r="B1114" i="6"/>
  <c r="D1162" i="6"/>
  <c r="C1162" i="6"/>
  <c r="B1162" i="6"/>
  <c r="D1252" i="6"/>
  <c r="B1252" i="6"/>
  <c r="C1252" i="6"/>
  <c r="D1300" i="6"/>
  <c r="B1300" i="6"/>
  <c r="C1300" i="6"/>
  <c r="D821" i="6"/>
  <c r="C821" i="6"/>
  <c r="B821" i="6"/>
  <c r="D869" i="6"/>
  <c r="C869" i="6"/>
  <c r="B869" i="6"/>
  <c r="D917" i="6"/>
  <c r="B917" i="6"/>
  <c r="C917" i="6"/>
  <c r="D965" i="6"/>
  <c r="B965" i="6"/>
  <c r="C965" i="6"/>
  <c r="D1013" i="6"/>
  <c r="C1013" i="6"/>
  <c r="B1013" i="6"/>
  <c r="D1061" i="6"/>
  <c r="C1061" i="6"/>
  <c r="B1061" i="6"/>
  <c r="D1109" i="6"/>
  <c r="C1109" i="6"/>
  <c r="B1109" i="6"/>
  <c r="D1157" i="6"/>
  <c r="C1157" i="6"/>
  <c r="B1157" i="6"/>
  <c r="D1215" i="6"/>
  <c r="C1215" i="6"/>
  <c r="B1215" i="6"/>
  <c r="C1471" i="6"/>
  <c r="B1471" i="6"/>
  <c r="D1471" i="6"/>
  <c r="B1375" i="6"/>
  <c r="D1375" i="6"/>
  <c r="C1375" i="6"/>
  <c r="D1481" i="6"/>
  <c r="C1481" i="6"/>
  <c r="B1481" i="6"/>
  <c r="D1247" i="6"/>
  <c r="C1247" i="6"/>
  <c r="B1247" i="6"/>
  <c r="D1295" i="6"/>
  <c r="C1295" i="6"/>
  <c r="B1295" i="6"/>
  <c r="D1441" i="6"/>
  <c r="B1441" i="6"/>
  <c r="C1441" i="6"/>
  <c r="B1418" i="6"/>
  <c r="D1418" i="6"/>
  <c r="C1418" i="6"/>
  <c r="C1222" i="6"/>
  <c r="B1222" i="6"/>
  <c r="D1222" i="6"/>
  <c r="C1270" i="6"/>
  <c r="B1270" i="6"/>
  <c r="D1270" i="6"/>
  <c r="D1335" i="6"/>
  <c r="C1335" i="6"/>
  <c r="B1335" i="6"/>
  <c r="D1355" i="6"/>
  <c r="C1355" i="6"/>
  <c r="B1355" i="6"/>
  <c r="C1451" i="6"/>
  <c r="B1451" i="6"/>
  <c r="D1451" i="6"/>
  <c r="D1453" i="6"/>
  <c r="B1453" i="6"/>
  <c r="C1453" i="6"/>
  <c r="D1319" i="6"/>
  <c r="C1319" i="6"/>
  <c r="B1319" i="6"/>
  <c r="B1435" i="6"/>
  <c r="D1435" i="6"/>
  <c r="C1435" i="6"/>
  <c r="B1344" i="6"/>
  <c r="C1344" i="6"/>
  <c r="D1344" i="6"/>
  <c r="B1392" i="6"/>
  <c r="D1392" i="6"/>
  <c r="C1392" i="6"/>
  <c r="B1440" i="6"/>
  <c r="D1440" i="6"/>
  <c r="C1440" i="6"/>
  <c r="B1488" i="6"/>
  <c r="D1488" i="6"/>
  <c r="C1488" i="6"/>
  <c r="C23" i="7"/>
  <c r="B23" i="7"/>
  <c r="D23" i="7"/>
  <c r="C26" i="7"/>
  <c r="B26" i="7"/>
  <c r="D26" i="7"/>
  <c r="C59" i="7"/>
  <c r="B59" i="7"/>
  <c r="D59" i="7"/>
  <c r="C62" i="7"/>
  <c r="B62" i="7"/>
  <c r="D62" i="7"/>
  <c r="C27" i="7"/>
  <c r="B27" i="7"/>
  <c r="D27" i="7"/>
  <c r="C103" i="7"/>
  <c r="B103" i="7"/>
  <c r="D103" i="7"/>
  <c r="C63" i="7"/>
  <c r="B63" i="7"/>
  <c r="D63" i="7"/>
  <c r="D119" i="7"/>
  <c r="C119" i="7"/>
  <c r="B119" i="7"/>
  <c r="D167" i="7"/>
  <c r="C167" i="7"/>
  <c r="B167" i="7"/>
  <c r="D234" i="7"/>
  <c r="C234" i="7"/>
  <c r="B234" i="7"/>
  <c r="C122" i="7"/>
  <c r="B122" i="7"/>
  <c r="D122" i="7"/>
  <c r="D170" i="7"/>
  <c r="C170" i="7"/>
  <c r="B170" i="7"/>
  <c r="D262" i="7"/>
  <c r="C262" i="7"/>
  <c r="B262" i="7"/>
  <c r="D149" i="7"/>
  <c r="C149" i="7"/>
  <c r="B149" i="7"/>
  <c r="D198" i="7"/>
  <c r="C198" i="7"/>
  <c r="B198" i="7"/>
  <c r="B8" i="7"/>
  <c r="D8" i="7"/>
  <c r="C8" i="7"/>
  <c r="B56" i="7"/>
  <c r="D56" i="7"/>
  <c r="C56" i="7"/>
  <c r="B104" i="7"/>
  <c r="D104" i="7"/>
  <c r="C104" i="7"/>
  <c r="B152" i="7"/>
  <c r="D152" i="7"/>
  <c r="C152" i="7"/>
  <c r="D200" i="7"/>
  <c r="C200" i="7"/>
  <c r="B200" i="7"/>
  <c r="D208" i="7"/>
  <c r="C208" i="7"/>
  <c r="B208" i="7"/>
  <c r="D256" i="7"/>
  <c r="C256" i="7"/>
  <c r="B256" i="7"/>
  <c r="D304" i="7"/>
  <c r="C304" i="7"/>
  <c r="B304" i="7"/>
  <c r="D352" i="7"/>
  <c r="C352" i="7"/>
  <c r="B352" i="7"/>
  <c r="D444" i="7"/>
  <c r="C444" i="7"/>
  <c r="B444" i="7"/>
  <c r="D488" i="7"/>
  <c r="C488" i="7"/>
  <c r="B488" i="7"/>
  <c r="D668" i="7"/>
  <c r="C668" i="7"/>
  <c r="B668" i="7"/>
  <c r="D239" i="7"/>
  <c r="C239" i="7"/>
  <c r="B239" i="7"/>
  <c r="C287" i="7"/>
  <c r="D287" i="7"/>
  <c r="B287" i="7"/>
  <c r="C335" i="7"/>
  <c r="B335" i="7"/>
  <c r="D335" i="7"/>
  <c r="D402" i="7"/>
  <c r="C402" i="7"/>
  <c r="B402" i="7"/>
  <c r="D552" i="7"/>
  <c r="C552" i="7"/>
  <c r="B552" i="7"/>
  <c r="D424" i="7"/>
  <c r="C424" i="7"/>
  <c r="B424" i="7"/>
  <c r="D604" i="7"/>
  <c r="C604" i="7"/>
  <c r="B604" i="7"/>
  <c r="D608" i="7"/>
  <c r="C608" i="7"/>
  <c r="B608" i="7"/>
  <c r="D225" i="7"/>
  <c r="C225" i="7"/>
  <c r="B225" i="7"/>
  <c r="D273" i="7"/>
  <c r="C273" i="7"/>
  <c r="B273" i="7"/>
  <c r="D321" i="7"/>
  <c r="C321" i="7"/>
  <c r="B321" i="7"/>
  <c r="D369" i="7"/>
  <c r="C369" i="7"/>
  <c r="B369" i="7"/>
  <c r="D468" i="7"/>
  <c r="C468" i="7"/>
  <c r="B468" i="7"/>
  <c r="B702" i="7"/>
  <c r="D702" i="7"/>
  <c r="C702" i="7"/>
  <c r="C407" i="7"/>
  <c r="B407" i="7"/>
  <c r="D407" i="7"/>
  <c r="C455" i="7"/>
  <c r="B455" i="7"/>
  <c r="D455" i="7"/>
  <c r="D503" i="7"/>
  <c r="C503" i="7"/>
  <c r="B503" i="7"/>
  <c r="D551" i="7"/>
  <c r="C551" i="7"/>
  <c r="B551" i="7"/>
  <c r="D599" i="7"/>
  <c r="C599" i="7"/>
  <c r="B599" i="7"/>
  <c r="D647" i="7"/>
  <c r="C647" i="7"/>
  <c r="B647" i="7"/>
  <c r="D719" i="7"/>
  <c r="C719" i="7"/>
  <c r="B719" i="7"/>
  <c r="D498" i="7"/>
  <c r="C498" i="7"/>
  <c r="B498" i="7"/>
  <c r="D546" i="7"/>
  <c r="C546" i="7"/>
  <c r="B546" i="7"/>
  <c r="D594" i="7"/>
  <c r="C594" i="7"/>
  <c r="B594" i="7"/>
  <c r="D642" i="7"/>
  <c r="C642" i="7"/>
  <c r="B642" i="7"/>
  <c r="C723" i="7"/>
  <c r="D723" i="7"/>
  <c r="B723" i="7"/>
  <c r="C401" i="7"/>
  <c r="B401" i="7"/>
  <c r="D401" i="7"/>
  <c r="C449" i="7"/>
  <c r="B449" i="7"/>
  <c r="D449" i="7"/>
  <c r="C497" i="7"/>
  <c r="B497" i="7"/>
  <c r="D497" i="7"/>
  <c r="C545" i="7"/>
  <c r="B545" i="7"/>
  <c r="D545" i="7"/>
  <c r="C593" i="7"/>
  <c r="B593" i="7"/>
  <c r="D593" i="7"/>
  <c r="C641" i="7"/>
  <c r="B641" i="7"/>
  <c r="D641" i="7"/>
  <c r="C695" i="7"/>
  <c r="B695" i="7"/>
  <c r="D695" i="7"/>
  <c r="D733" i="7"/>
  <c r="C733" i="7"/>
  <c r="B733" i="7"/>
  <c r="D781" i="7"/>
  <c r="C781" i="7"/>
  <c r="B781" i="7"/>
  <c r="D829" i="7"/>
  <c r="C829" i="7"/>
  <c r="B829" i="7"/>
  <c r="D877" i="7"/>
  <c r="C877" i="7"/>
  <c r="B877" i="7"/>
  <c r="D993" i="7"/>
  <c r="C993" i="7"/>
  <c r="B993" i="7"/>
  <c r="B716" i="7"/>
  <c r="D716" i="7"/>
  <c r="C716" i="7"/>
  <c r="D764" i="7"/>
  <c r="C764" i="7"/>
  <c r="B764" i="7"/>
  <c r="D812" i="7"/>
  <c r="C812" i="7"/>
  <c r="B812" i="7"/>
  <c r="D860" i="7"/>
  <c r="C860" i="7"/>
  <c r="B860" i="7"/>
  <c r="D957" i="7"/>
  <c r="C957" i="7"/>
  <c r="B957" i="7"/>
  <c r="D735" i="7"/>
  <c r="C735" i="7"/>
  <c r="B735" i="7"/>
  <c r="D783" i="7"/>
  <c r="C783" i="7"/>
  <c r="B783" i="7"/>
  <c r="D831" i="7"/>
  <c r="C831" i="7"/>
  <c r="B831" i="7"/>
  <c r="D879" i="7"/>
  <c r="C879" i="7"/>
  <c r="B879" i="7"/>
  <c r="D969" i="7"/>
  <c r="C969" i="7"/>
  <c r="B969" i="7"/>
  <c r="B742" i="7"/>
  <c r="D742" i="7"/>
  <c r="C742" i="7"/>
  <c r="B790" i="7"/>
  <c r="D790" i="7"/>
  <c r="C790" i="7"/>
  <c r="B838" i="7"/>
  <c r="D838" i="7"/>
  <c r="C838" i="7"/>
  <c r="B886" i="7"/>
  <c r="D886" i="7"/>
  <c r="C886" i="7"/>
  <c r="D1178" i="7"/>
  <c r="C1178" i="7"/>
  <c r="B1178" i="7"/>
  <c r="D904" i="7"/>
  <c r="C904" i="7"/>
  <c r="B904" i="7"/>
  <c r="D952" i="7"/>
  <c r="C952" i="7"/>
  <c r="B952" i="7"/>
  <c r="D1000" i="7"/>
  <c r="C1000" i="7"/>
  <c r="B1000" i="7"/>
  <c r="D1048" i="7"/>
  <c r="C1048" i="7"/>
  <c r="B1048" i="7"/>
  <c r="C1114" i="7"/>
  <c r="B1114" i="7"/>
  <c r="D1114" i="7"/>
  <c r="D1127" i="7"/>
  <c r="C1127" i="7"/>
  <c r="B1127" i="7"/>
  <c r="D931" i="7"/>
  <c r="C931" i="7"/>
  <c r="B931" i="7"/>
  <c r="D979" i="7"/>
  <c r="C979" i="7"/>
  <c r="B979" i="7"/>
  <c r="D1027" i="7"/>
  <c r="C1027" i="7"/>
  <c r="B1027" i="7"/>
  <c r="D1075" i="7"/>
  <c r="C1075" i="7"/>
  <c r="B1075" i="7"/>
  <c r="D1129" i="7"/>
  <c r="C1129" i="7"/>
  <c r="B1129" i="7"/>
  <c r="D898" i="7"/>
  <c r="C898" i="7"/>
  <c r="B898" i="7"/>
  <c r="C946" i="7"/>
  <c r="B946" i="7"/>
  <c r="D946" i="7"/>
  <c r="C994" i="7"/>
  <c r="B994" i="7"/>
  <c r="D994" i="7"/>
  <c r="C1042" i="7"/>
  <c r="B1042" i="7"/>
  <c r="D1042" i="7"/>
  <c r="C1122" i="7"/>
  <c r="B1122" i="7"/>
  <c r="D1122" i="7"/>
  <c r="B1110" i="7"/>
  <c r="D1110" i="7"/>
  <c r="C1110" i="7"/>
  <c r="B1191" i="7"/>
  <c r="D1191" i="7"/>
  <c r="C1191" i="7"/>
  <c r="D1267" i="7"/>
  <c r="C1267" i="7"/>
  <c r="B1267" i="7"/>
  <c r="B1360" i="7"/>
  <c r="D1360" i="7"/>
  <c r="C1360" i="7"/>
  <c r="D1198" i="7"/>
  <c r="C1198" i="7"/>
  <c r="B1198" i="7"/>
  <c r="D1317" i="7"/>
  <c r="C1317" i="7"/>
  <c r="B1317" i="7"/>
  <c r="D1297" i="7"/>
  <c r="C1297" i="7"/>
  <c r="B1297" i="7"/>
  <c r="D1277" i="7"/>
  <c r="C1277" i="7"/>
  <c r="B1277" i="7"/>
  <c r="D1181" i="7"/>
  <c r="C1181" i="7"/>
  <c r="B1181" i="7"/>
  <c r="D1243" i="7"/>
  <c r="C1243" i="7"/>
  <c r="B1243" i="7"/>
  <c r="C1381" i="7"/>
  <c r="D1381" i="7"/>
  <c r="B1381" i="7"/>
  <c r="D1092" i="7"/>
  <c r="C1092" i="7"/>
  <c r="B1092" i="7"/>
  <c r="B1140" i="7"/>
  <c r="C1140" i="7"/>
  <c r="D1140" i="7"/>
  <c r="B1188" i="7"/>
  <c r="D1188" i="7"/>
  <c r="C1188" i="7"/>
  <c r="B1245" i="7"/>
  <c r="D1245" i="7"/>
  <c r="C1245" i="7"/>
  <c r="B1324" i="7"/>
  <c r="D1324" i="7"/>
  <c r="C1324" i="7"/>
  <c r="D1427" i="7"/>
  <c r="C1427" i="7"/>
  <c r="B1427" i="7"/>
  <c r="D1384" i="7"/>
  <c r="C1384" i="7"/>
  <c r="B1384" i="7"/>
  <c r="D1476" i="7"/>
  <c r="C1476" i="7"/>
  <c r="B1476" i="7"/>
  <c r="C1408" i="7"/>
  <c r="B1408" i="7"/>
  <c r="D1408" i="7"/>
  <c r="C1413" i="7"/>
  <c r="B1413" i="7"/>
  <c r="D1413" i="7"/>
  <c r="C1397" i="7"/>
  <c r="D1397" i="7"/>
  <c r="B1397" i="7"/>
  <c r="D1250" i="7"/>
  <c r="C1250" i="7"/>
  <c r="B1250" i="7"/>
  <c r="D1298" i="7"/>
  <c r="C1298" i="7"/>
  <c r="B1298" i="7"/>
  <c r="D1346" i="7"/>
  <c r="C1346" i="7"/>
  <c r="B1346" i="7"/>
  <c r="C1501" i="7"/>
  <c r="D1501" i="7"/>
  <c r="B1501" i="7"/>
  <c r="D1406" i="7"/>
  <c r="C1406" i="7"/>
  <c r="B1406" i="7"/>
  <c r="D1478" i="7"/>
  <c r="C1478" i="7"/>
  <c r="B1478" i="7"/>
  <c r="B1459" i="7"/>
  <c r="D1459" i="7"/>
  <c r="C1459" i="7"/>
  <c r="AQ39" i="3"/>
  <c r="AP39" i="3"/>
  <c r="U3" i="3"/>
  <c r="W3" i="3" s="1"/>
  <c r="AT25" i="3"/>
  <c r="AS25" i="3"/>
  <c r="AQ50" i="3"/>
  <c r="AP50" i="3"/>
  <c r="AO11" i="3"/>
  <c r="AT41" i="3"/>
  <c r="AS41" i="3"/>
  <c r="AP30" i="3"/>
  <c r="AQ30" i="3"/>
  <c r="AR16" i="3"/>
  <c r="AA13" i="3"/>
  <c r="AF13" i="3" s="1"/>
  <c r="AK13" i="3" s="1"/>
  <c r="AQ43" i="3"/>
  <c r="AP43" i="3"/>
  <c r="AC4" i="3"/>
  <c r="AH4" i="3" s="1"/>
  <c r="AM4" i="3" s="1"/>
  <c r="AT26" i="3"/>
  <c r="AS26" i="3"/>
  <c r="AC12" i="3"/>
  <c r="AH12" i="3" s="1"/>
  <c r="AM12" i="3" s="1"/>
  <c r="Y12" i="3"/>
  <c r="AD12" i="3" s="1"/>
  <c r="AI12" i="3" s="1"/>
  <c r="D41" i="8"/>
  <c r="C41" i="8"/>
  <c r="B41" i="8"/>
  <c r="C54" i="8"/>
  <c r="B54" i="8"/>
  <c r="D54" i="8"/>
  <c r="D233" i="8"/>
  <c r="C233" i="8"/>
  <c r="B233" i="8"/>
  <c r="D32" i="8"/>
  <c r="C32" i="8"/>
  <c r="B32" i="8"/>
  <c r="D8" i="8"/>
  <c r="C8" i="8"/>
  <c r="B8" i="8"/>
  <c r="D292" i="8"/>
  <c r="C292" i="8"/>
  <c r="B292" i="8"/>
  <c r="B26" i="8"/>
  <c r="D26" i="8"/>
  <c r="C26" i="8"/>
  <c r="D477" i="8"/>
  <c r="C477" i="8"/>
  <c r="B477" i="8"/>
  <c r="C170" i="8"/>
  <c r="B170" i="8"/>
  <c r="D170" i="8"/>
  <c r="C141" i="8"/>
  <c r="D141" i="8"/>
  <c r="B141" i="8"/>
  <c r="D213" i="8"/>
  <c r="C213" i="8"/>
  <c r="B213" i="8"/>
  <c r="C146" i="8"/>
  <c r="B146" i="8"/>
  <c r="D146" i="8"/>
  <c r="C153" i="8"/>
  <c r="D153" i="8"/>
  <c r="B153" i="8"/>
  <c r="C385" i="8"/>
  <c r="B385" i="8"/>
  <c r="D385" i="8"/>
  <c r="C182" i="8"/>
  <c r="B182" i="8"/>
  <c r="D182" i="8"/>
  <c r="D164" i="8"/>
  <c r="C164" i="8"/>
  <c r="B164" i="8"/>
  <c r="D212" i="8"/>
  <c r="C212" i="8"/>
  <c r="B212" i="8"/>
  <c r="C369" i="8"/>
  <c r="B369" i="8"/>
  <c r="D369" i="8"/>
  <c r="D461" i="8"/>
  <c r="C461" i="8"/>
  <c r="B461" i="8"/>
  <c r="C47" i="8"/>
  <c r="D47" i="8"/>
  <c r="B47" i="8"/>
  <c r="C95" i="8"/>
  <c r="B95" i="8"/>
  <c r="D95" i="8"/>
  <c r="C143" i="8"/>
  <c r="B143" i="8"/>
  <c r="D143" i="8"/>
  <c r="C191" i="8"/>
  <c r="B191" i="8"/>
  <c r="D191" i="8"/>
  <c r="C241" i="8"/>
  <c r="B241" i="8"/>
  <c r="D241" i="8"/>
  <c r="D352" i="8"/>
  <c r="C352" i="8"/>
  <c r="B352" i="8"/>
  <c r="D259" i="8"/>
  <c r="C259" i="8"/>
  <c r="B259" i="8"/>
  <c r="D368" i="8"/>
  <c r="C368" i="8"/>
  <c r="B368" i="8"/>
  <c r="D541" i="8"/>
  <c r="C541" i="8"/>
  <c r="B541" i="8"/>
  <c r="D521" i="8"/>
  <c r="C521" i="8"/>
  <c r="B521" i="8"/>
  <c r="D383" i="8"/>
  <c r="B383" i="8"/>
  <c r="C383" i="8"/>
  <c r="D299" i="8"/>
  <c r="C299" i="8"/>
  <c r="B299" i="8"/>
  <c r="D347" i="8"/>
  <c r="C347" i="8"/>
  <c r="B347" i="8"/>
  <c r="D413" i="8"/>
  <c r="C413" i="8"/>
  <c r="B413" i="8"/>
  <c r="B274" i="8"/>
  <c r="D274" i="8"/>
  <c r="C274" i="8"/>
  <c r="B322" i="8"/>
  <c r="D322" i="8"/>
  <c r="C322" i="8"/>
  <c r="B370" i="8"/>
  <c r="D370" i="8"/>
  <c r="C370" i="8"/>
  <c r="D568" i="8"/>
  <c r="C568" i="8"/>
  <c r="B568" i="8"/>
  <c r="D388" i="8"/>
  <c r="C388" i="8"/>
  <c r="B388" i="8"/>
  <c r="D436" i="8"/>
  <c r="C436" i="8"/>
  <c r="B436" i="8"/>
  <c r="D484" i="8"/>
  <c r="C484" i="8"/>
  <c r="B484" i="8"/>
  <c r="D532" i="8"/>
  <c r="C532" i="8"/>
  <c r="B532" i="8"/>
  <c r="C557" i="8"/>
  <c r="D557" i="8"/>
  <c r="B557" i="8"/>
  <c r="D423" i="8"/>
  <c r="C423" i="8"/>
  <c r="B423" i="8"/>
  <c r="D471" i="8"/>
  <c r="C471" i="8"/>
  <c r="B471" i="8"/>
  <c r="D519" i="8"/>
  <c r="C519" i="8"/>
  <c r="B519" i="8"/>
  <c r="D600" i="8"/>
  <c r="C600" i="8"/>
  <c r="B600" i="8"/>
  <c r="D567" i="8"/>
  <c r="C567" i="8"/>
  <c r="B567" i="8"/>
  <c r="D398" i="8"/>
  <c r="B398" i="8"/>
  <c r="C398" i="8"/>
  <c r="C446" i="8"/>
  <c r="B446" i="8"/>
  <c r="D446" i="8"/>
  <c r="C494" i="8"/>
  <c r="B494" i="8"/>
  <c r="D494" i="8"/>
  <c r="C542" i="8"/>
  <c r="B542" i="8"/>
  <c r="D542" i="8"/>
  <c r="D708" i="8"/>
  <c r="C708" i="8"/>
  <c r="B708" i="8"/>
  <c r="C727" i="8"/>
  <c r="D727" i="8"/>
  <c r="B727" i="8"/>
  <c r="D579" i="8"/>
  <c r="C579" i="8"/>
  <c r="B579" i="8"/>
  <c r="D627" i="8"/>
  <c r="C627" i="8"/>
  <c r="B627" i="8"/>
  <c r="D675" i="8"/>
  <c r="C675" i="8"/>
  <c r="B675" i="8"/>
  <c r="C782" i="8"/>
  <c r="D782" i="8"/>
  <c r="B782" i="8"/>
  <c r="D1038" i="8"/>
  <c r="C1038" i="8"/>
  <c r="B1038" i="8"/>
  <c r="C558" i="8"/>
  <c r="B558" i="8"/>
  <c r="D558" i="8"/>
  <c r="D606" i="8"/>
  <c r="C606" i="8"/>
  <c r="B606" i="8"/>
  <c r="D654" i="8"/>
  <c r="C654" i="8"/>
  <c r="B654" i="8"/>
  <c r="D702" i="8"/>
  <c r="C702" i="8"/>
  <c r="B702" i="8"/>
  <c r="C800" i="8"/>
  <c r="B800" i="8"/>
  <c r="D800" i="8"/>
  <c r="C790" i="8"/>
  <c r="D790" i="8"/>
  <c r="B790" i="8"/>
  <c r="C792" i="8"/>
  <c r="B792" i="8"/>
  <c r="D792" i="8"/>
  <c r="C629" i="8"/>
  <c r="B629" i="8"/>
  <c r="D629" i="8"/>
  <c r="C677" i="8"/>
  <c r="B677" i="8"/>
  <c r="D677" i="8"/>
  <c r="D811" i="8"/>
  <c r="C811" i="8"/>
  <c r="B811" i="8"/>
  <c r="B761" i="8"/>
  <c r="C761" i="8"/>
  <c r="D761" i="8"/>
  <c r="C774" i="8"/>
  <c r="D774" i="8"/>
  <c r="B774" i="8"/>
  <c r="D827" i="8"/>
  <c r="C827" i="8"/>
  <c r="B827" i="8"/>
  <c r="D875" i="8"/>
  <c r="C875" i="8"/>
  <c r="B875" i="8"/>
  <c r="C830" i="8"/>
  <c r="B830" i="8"/>
  <c r="D830" i="8"/>
  <c r="D930" i="8"/>
  <c r="C930" i="8"/>
  <c r="B930" i="8"/>
  <c r="D870" i="8"/>
  <c r="C870" i="8"/>
  <c r="B870" i="8"/>
  <c r="D918" i="8"/>
  <c r="C918" i="8"/>
  <c r="B918" i="8"/>
  <c r="D934" i="8"/>
  <c r="C934" i="8"/>
  <c r="B934" i="8"/>
  <c r="D861" i="8"/>
  <c r="C861" i="8"/>
  <c r="B861" i="8"/>
  <c r="D909" i="8"/>
  <c r="C909" i="8"/>
  <c r="B909" i="8"/>
  <c r="D965" i="8"/>
  <c r="B965" i="8"/>
  <c r="C965" i="8"/>
  <c r="D852" i="8"/>
  <c r="C852" i="8"/>
  <c r="B852" i="8"/>
  <c r="D900" i="8"/>
  <c r="C900" i="8"/>
  <c r="B900" i="8"/>
  <c r="D1418" i="8"/>
  <c r="C1418" i="8"/>
  <c r="B1418" i="8"/>
  <c r="D1021" i="8"/>
  <c r="C1021" i="8"/>
  <c r="B1021" i="8"/>
  <c r="D1056" i="8"/>
  <c r="C1056" i="8"/>
  <c r="B1056" i="8"/>
  <c r="D956" i="8"/>
  <c r="C956" i="8"/>
  <c r="B956" i="8"/>
  <c r="D1004" i="8"/>
  <c r="C1004" i="8"/>
  <c r="B1004" i="8"/>
  <c r="D1052" i="8"/>
  <c r="C1052" i="8"/>
  <c r="B1052" i="8"/>
  <c r="D1092" i="8"/>
  <c r="C1092" i="8"/>
  <c r="B1092" i="8"/>
  <c r="D955" i="8"/>
  <c r="C955" i="8"/>
  <c r="B955" i="8"/>
  <c r="C1003" i="8"/>
  <c r="B1003" i="8"/>
  <c r="D1003" i="8"/>
  <c r="D1051" i="8"/>
  <c r="C1051" i="8"/>
  <c r="B1051" i="8"/>
  <c r="B1184" i="8"/>
  <c r="D1184" i="8"/>
  <c r="C1184" i="8"/>
  <c r="B1262" i="8"/>
  <c r="D1262" i="8"/>
  <c r="C1262" i="8"/>
  <c r="D1205" i="8"/>
  <c r="C1205" i="8"/>
  <c r="B1205" i="8"/>
  <c r="D1099" i="8"/>
  <c r="C1099" i="8"/>
  <c r="B1099" i="8"/>
  <c r="D1179" i="8"/>
  <c r="B1179" i="8"/>
  <c r="C1179" i="8"/>
  <c r="C1058" i="8"/>
  <c r="B1058" i="8"/>
  <c r="D1058" i="8"/>
  <c r="D1106" i="8"/>
  <c r="C1106" i="8"/>
  <c r="B1106" i="8"/>
  <c r="D1222" i="8"/>
  <c r="B1222" i="8"/>
  <c r="C1222" i="8"/>
  <c r="D1201" i="8"/>
  <c r="C1201" i="8"/>
  <c r="B1201" i="8"/>
  <c r="D1243" i="8"/>
  <c r="C1243" i="8"/>
  <c r="B1243" i="8"/>
  <c r="D1357" i="8"/>
  <c r="C1357" i="8"/>
  <c r="B1357" i="8"/>
  <c r="D1137" i="8"/>
  <c r="C1137" i="8"/>
  <c r="B1137" i="8"/>
  <c r="D1185" i="8"/>
  <c r="C1185" i="8"/>
  <c r="B1185" i="8"/>
  <c r="C1362" i="8"/>
  <c r="D1362" i="8"/>
  <c r="B1362" i="8"/>
  <c r="B1282" i="8"/>
  <c r="D1282" i="8"/>
  <c r="C1282" i="8"/>
  <c r="B1298" i="8"/>
  <c r="D1298" i="8"/>
  <c r="C1298" i="8"/>
  <c r="D1245" i="8"/>
  <c r="C1245" i="8"/>
  <c r="B1245" i="8"/>
  <c r="D1398" i="8"/>
  <c r="C1398" i="8"/>
  <c r="B1398" i="8"/>
  <c r="D1300" i="8"/>
  <c r="C1300" i="8"/>
  <c r="B1300" i="8"/>
  <c r="C1220" i="8"/>
  <c r="D1220" i="8"/>
  <c r="B1220" i="8"/>
  <c r="B1297" i="8"/>
  <c r="D1297" i="8"/>
  <c r="C1297" i="8"/>
  <c r="B1384" i="8"/>
  <c r="D1384" i="8"/>
  <c r="C1384" i="8"/>
  <c r="D1496" i="8"/>
  <c r="B1496" i="8"/>
  <c r="C1496" i="8"/>
  <c r="B1364" i="8"/>
  <c r="D1364" i="8"/>
  <c r="C1364" i="8"/>
  <c r="D1385" i="8"/>
  <c r="C1385" i="8"/>
  <c r="B1385" i="8"/>
  <c r="C1341" i="8"/>
  <c r="B1341" i="8"/>
  <c r="D1341" i="8"/>
  <c r="D1474" i="8"/>
  <c r="C1474" i="8"/>
  <c r="B1474" i="8"/>
  <c r="B1344" i="8"/>
  <c r="C1344" i="8"/>
  <c r="D1344" i="8"/>
  <c r="C1387" i="8"/>
  <c r="D1387" i="8"/>
  <c r="B1387" i="8"/>
  <c r="D1425" i="8"/>
  <c r="C1425" i="8"/>
  <c r="B1425" i="8"/>
  <c r="D1473" i="8"/>
  <c r="C1473" i="8"/>
  <c r="B1473" i="8"/>
  <c r="C1423" i="8"/>
  <c r="D1423" i="8"/>
  <c r="B1423" i="8"/>
  <c r="C1471" i="8"/>
  <c r="B1471" i="8"/>
  <c r="D1471" i="8"/>
  <c r="AQ23" i="3"/>
  <c r="AP23" i="3"/>
  <c r="R9" i="3"/>
  <c r="C127" i="6"/>
  <c r="B127" i="6"/>
  <c r="D127" i="6"/>
  <c r="C140" i="6"/>
  <c r="B140" i="6"/>
  <c r="D140" i="6"/>
  <c r="B77" i="6"/>
  <c r="D77" i="6"/>
  <c r="C77" i="6"/>
  <c r="B221" i="6"/>
  <c r="D221" i="6"/>
  <c r="C221" i="6"/>
  <c r="C16" i="6"/>
  <c r="B16" i="6"/>
  <c r="D16" i="6"/>
  <c r="C160" i="6"/>
  <c r="B160" i="6"/>
  <c r="D160" i="6"/>
  <c r="D381" i="6"/>
  <c r="C381" i="6"/>
  <c r="B381" i="6"/>
  <c r="B145" i="6"/>
  <c r="D145" i="6"/>
  <c r="C145" i="6"/>
  <c r="B269" i="6"/>
  <c r="D269" i="6"/>
  <c r="C269" i="6"/>
  <c r="C95" i="6"/>
  <c r="B95" i="6"/>
  <c r="D95" i="6"/>
  <c r="C239" i="6"/>
  <c r="B239" i="6"/>
  <c r="D239" i="6"/>
  <c r="C58" i="6"/>
  <c r="B58" i="6"/>
  <c r="D58" i="6"/>
  <c r="C202" i="6"/>
  <c r="B202" i="6"/>
  <c r="D202" i="6"/>
  <c r="C43" i="6"/>
  <c r="B43" i="6"/>
  <c r="D43" i="6"/>
  <c r="C187" i="6"/>
  <c r="B187" i="6"/>
  <c r="D187" i="6"/>
  <c r="D365" i="6"/>
  <c r="C365" i="6"/>
  <c r="B365" i="6"/>
  <c r="B137" i="6"/>
  <c r="D137" i="6"/>
  <c r="C137" i="6"/>
  <c r="B265" i="6"/>
  <c r="D265" i="6"/>
  <c r="C265" i="6"/>
  <c r="C52" i="6"/>
  <c r="B52" i="6"/>
  <c r="D52" i="6"/>
  <c r="C196" i="6"/>
  <c r="B196" i="6"/>
  <c r="D196" i="6"/>
  <c r="C50" i="6"/>
  <c r="B50" i="6"/>
  <c r="D50" i="6"/>
  <c r="C194" i="6"/>
  <c r="B194" i="6"/>
  <c r="D194" i="6"/>
  <c r="C35" i="6"/>
  <c r="B35" i="6"/>
  <c r="D35" i="6"/>
  <c r="C179" i="6"/>
  <c r="B179" i="6"/>
  <c r="D179" i="6"/>
  <c r="D409" i="6"/>
  <c r="C409" i="6"/>
  <c r="B409" i="6"/>
  <c r="B129" i="6"/>
  <c r="D129" i="6"/>
  <c r="C129" i="6"/>
  <c r="B261" i="6"/>
  <c r="D261" i="6"/>
  <c r="C261" i="6"/>
  <c r="D479" i="6"/>
  <c r="C479" i="6"/>
  <c r="B479" i="6"/>
  <c r="D336" i="6"/>
  <c r="C336" i="6"/>
  <c r="B336" i="6"/>
  <c r="D384" i="6"/>
  <c r="C384" i="6"/>
  <c r="B384" i="6"/>
  <c r="D432" i="6"/>
  <c r="C432" i="6"/>
  <c r="B432" i="6"/>
  <c r="D515" i="6"/>
  <c r="C515" i="6"/>
  <c r="B515" i="6"/>
  <c r="C283" i="6"/>
  <c r="B283" i="6"/>
  <c r="D283" i="6"/>
  <c r="D331" i="6"/>
  <c r="C331" i="6"/>
  <c r="B331" i="6"/>
  <c r="D379" i="6"/>
  <c r="C379" i="6"/>
  <c r="B379" i="6"/>
  <c r="D427" i="6"/>
  <c r="C427" i="6"/>
  <c r="B427" i="6"/>
  <c r="D503" i="6"/>
  <c r="C503" i="6"/>
  <c r="B503" i="6"/>
  <c r="C346" i="6"/>
  <c r="B346" i="6"/>
  <c r="D346" i="6"/>
  <c r="C394" i="6"/>
  <c r="B394" i="6"/>
  <c r="D394" i="6"/>
  <c r="D483" i="6"/>
  <c r="C483" i="6"/>
  <c r="B483" i="6"/>
  <c r="B436" i="6"/>
  <c r="D436" i="6"/>
  <c r="C436" i="6"/>
  <c r="C484" i="6"/>
  <c r="B484" i="6"/>
  <c r="D484" i="6"/>
  <c r="C532" i="6"/>
  <c r="B532" i="6"/>
  <c r="D532" i="6"/>
  <c r="C580" i="6"/>
  <c r="B580" i="6"/>
  <c r="D580" i="6"/>
  <c r="C628" i="6"/>
  <c r="B628" i="6"/>
  <c r="D628" i="6"/>
  <c r="D676" i="6"/>
  <c r="C676" i="6"/>
  <c r="B676" i="6"/>
  <c r="D724" i="6"/>
  <c r="C724" i="6"/>
  <c r="B724" i="6"/>
  <c r="D772" i="6"/>
  <c r="C772" i="6"/>
  <c r="B772" i="6"/>
  <c r="D839" i="6"/>
  <c r="C839" i="6"/>
  <c r="B839" i="6"/>
  <c r="D631" i="6"/>
  <c r="C631" i="6"/>
  <c r="B631" i="6"/>
  <c r="D679" i="6"/>
  <c r="C679" i="6"/>
  <c r="B679" i="6"/>
  <c r="D727" i="6"/>
  <c r="C727" i="6"/>
  <c r="B727" i="6"/>
  <c r="D775" i="6"/>
  <c r="C775" i="6"/>
  <c r="B775" i="6"/>
  <c r="D851" i="6"/>
  <c r="C851" i="6"/>
  <c r="B851" i="6"/>
  <c r="D454" i="6"/>
  <c r="C454" i="6"/>
  <c r="B454" i="6"/>
  <c r="D502" i="6"/>
  <c r="C502" i="6"/>
  <c r="B502" i="6"/>
  <c r="D550" i="6"/>
  <c r="C550" i="6"/>
  <c r="B550" i="6"/>
  <c r="D598" i="6"/>
  <c r="C598" i="6"/>
  <c r="B598" i="6"/>
  <c r="D646" i="6"/>
  <c r="C646" i="6"/>
  <c r="B646" i="6"/>
  <c r="D694" i="6"/>
  <c r="C694" i="6"/>
  <c r="B694" i="6"/>
  <c r="D742" i="6"/>
  <c r="C742" i="6"/>
  <c r="B742" i="6"/>
  <c r="D790" i="6"/>
  <c r="C790" i="6"/>
  <c r="B790" i="6"/>
  <c r="B1257" i="6"/>
  <c r="D1257" i="6"/>
  <c r="C1257" i="6"/>
  <c r="D465" i="6"/>
  <c r="C465" i="6"/>
  <c r="B465" i="6"/>
  <c r="D513" i="6"/>
  <c r="C513" i="6"/>
  <c r="B513" i="6"/>
  <c r="D561" i="6"/>
  <c r="B561" i="6"/>
  <c r="C561" i="6"/>
  <c r="D609" i="6"/>
  <c r="B609" i="6"/>
  <c r="C609" i="6"/>
  <c r="D657" i="6"/>
  <c r="C657" i="6"/>
  <c r="B657" i="6"/>
  <c r="D705" i="6"/>
  <c r="C705" i="6"/>
  <c r="B705" i="6"/>
  <c r="D753" i="6"/>
  <c r="C753" i="6"/>
  <c r="B753" i="6"/>
  <c r="D801" i="6"/>
  <c r="C801" i="6"/>
  <c r="B801" i="6"/>
  <c r="B836" i="6"/>
  <c r="D836" i="6"/>
  <c r="C836" i="6"/>
  <c r="B884" i="6"/>
  <c r="D884" i="6"/>
  <c r="C884" i="6"/>
  <c r="D932" i="6"/>
  <c r="B932" i="6"/>
  <c r="C932" i="6"/>
  <c r="D980" i="6"/>
  <c r="B980" i="6"/>
  <c r="C980" i="6"/>
  <c r="D1028" i="6"/>
  <c r="C1028" i="6"/>
  <c r="B1028" i="6"/>
  <c r="D1076" i="6"/>
  <c r="C1076" i="6"/>
  <c r="B1076" i="6"/>
  <c r="D1124" i="6"/>
  <c r="C1124" i="6"/>
  <c r="B1124" i="6"/>
  <c r="D1172" i="6"/>
  <c r="C1172" i="6"/>
  <c r="B1172" i="6"/>
  <c r="B1212" i="6"/>
  <c r="D1212" i="6"/>
  <c r="C1212" i="6"/>
  <c r="D931" i="6"/>
  <c r="C931" i="6"/>
  <c r="B931" i="6"/>
  <c r="D979" i="6"/>
  <c r="C979" i="6"/>
  <c r="B979" i="6"/>
  <c r="D1027" i="6"/>
  <c r="C1027" i="6"/>
  <c r="B1027" i="6"/>
  <c r="D1075" i="6"/>
  <c r="C1075" i="6"/>
  <c r="B1075" i="6"/>
  <c r="D1123" i="6"/>
  <c r="C1123" i="6"/>
  <c r="B1123" i="6"/>
  <c r="D1171" i="6"/>
  <c r="C1171" i="6"/>
  <c r="B1171" i="6"/>
  <c r="D1209" i="6"/>
  <c r="C1209" i="6"/>
  <c r="B1209" i="6"/>
  <c r="D830" i="6"/>
  <c r="C830" i="6"/>
  <c r="B830" i="6"/>
  <c r="D878" i="6"/>
  <c r="B878" i="6"/>
  <c r="C878" i="6"/>
  <c r="D926" i="6"/>
  <c r="C926" i="6"/>
  <c r="B926" i="6"/>
  <c r="D974" i="6"/>
  <c r="C974" i="6"/>
  <c r="B974" i="6"/>
  <c r="D1022" i="6"/>
  <c r="C1022" i="6"/>
  <c r="B1022" i="6"/>
  <c r="D1070" i="6"/>
  <c r="C1070" i="6"/>
  <c r="B1070" i="6"/>
  <c r="D1118" i="6"/>
  <c r="C1118" i="6"/>
  <c r="B1118" i="6"/>
  <c r="D1166" i="6"/>
  <c r="C1166" i="6"/>
  <c r="B1166" i="6"/>
  <c r="D1256" i="6"/>
  <c r="B1256" i="6"/>
  <c r="C1256" i="6"/>
  <c r="D1304" i="6"/>
  <c r="B1304" i="6"/>
  <c r="C1304" i="6"/>
  <c r="D825" i="6"/>
  <c r="B825" i="6"/>
  <c r="C825" i="6"/>
  <c r="D873" i="6"/>
  <c r="C873" i="6"/>
  <c r="B873" i="6"/>
  <c r="D921" i="6"/>
  <c r="C921" i="6"/>
  <c r="B921" i="6"/>
  <c r="D969" i="6"/>
  <c r="C969" i="6"/>
  <c r="B969" i="6"/>
  <c r="D1017" i="6"/>
  <c r="C1017" i="6"/>
  <c r="B1017" i="6"/>
  <c r="D1065" i="6"/>
  <c r="C1065" i="6"/>
  <c r="B1065" i="6"/>
  <c r="D1113" i="6"/>
  <c r="C1113" i="6"/>
  <c r="B1113" i="6"/>
  <c r="D1161" i="6"/>
  <c r="C1161" i="6"/>
  <c r="B1161" i="6"/>
  <c r="D1245" i="6"/>
  <c r="C1245" i="6"/>
  <c r="B1245" i="6"/>
  <c r="C1475" i="6"/>
  <c r="B1475" i="6"/>
  <c r="D1475" i="6"/>
  <c r="B1382" i="6"/>
  <c r="D1382" i="6"/>
  <c r="C1382" i="6"/>
  <c r="D1485" i="6"/>
  <c r="C1485" i="6"/>
  <c r="B1485" i="6"/>
  <c r="D1251" i="6"/>
  <c r="C1251" i="6"/>
  <c r="B1251" i="6"/>
  <c r="D1299" i="6"/>
  <c r="C1299" i="6"/>
  <c r="B1299" i="6"/>
  <c r="C1454" i="6"/>
  <c r="B1454" i="6"/>
  <c r="D1454" i="6"/>
  <c r="B1427" i="6"/>
  <c r="D1427" i="6"/>
  <c r="C1427" i="6"/>
  <c r="C1226" i="6"/>
  <c r="B1226" i="6"/>
  <c r="D1226" i="6"/>
  <c r="C1274" i="6"/>
  <c r="B1274" i="6"/>
  <c r="D1274" i="6"/>
  <c r="B1358" i="6"/>
  <c r="D1358" i="6"/>
  <c r="C1358" i="6"/>
  <c r="B1367" i="6"/>
  <c r="D1367" i="6"/>
  <c r="C1367" i="6"/>
  <c r="C1470" i="6"/>
  <c r="B1470" i="6"/>
  <c r="D1470" i="6"/>
  <c r="C1455" i="6"/>
  <c r="B1455" i="6"/>
  <c r="D1455" i="6"/>
  <c r="B1342" i="6"/>
  <c r="D1342" i="6"/>
  <c r="C1342" i="6"/>
  <c r="B1442" i="6"/>
  <c r="D1442" i="6"/>
  <c r="C1442" i="6"/>
  <c r="B1348" i="6"/>
  <c r="D1348" i="6"/>
  <c r="C1348" i="6"/>
  <c r="B1396" i="6"/>
  <c r="D1396" i="6"/>
  <c r="C1396" i="6"/>
  <c r="B1444" i="6"/>
  <c r="D1444" i="6"/>
  <c r="C1444" i="6"/>
  <c r="B1492" i="6"/>
  <c r="D1492" i="6"/>
  <c r="C1492" i="6"/>
  <c r="AA6" i="3"/>
  <c r="AF6" i="3" s="1"/>
  <c r="AK6" i="3" s="1"/>
  <c r="D81" i="7"/>
  <c r="C81" i="7"/>
  <c r="B81" i="7"/>
  <c r="C31" i="7"/>
  <c r="B31" i="7"/>
  <c r="D31" i="7"/>
  <c r="D69" i="7"/>
  <c r="C69" i="7"/>
  <c r="B69" i="7"/>
  <c r="C67" i="7"/>
  <c r="B67" i="7"/>
  <c r="D67" i="7"/>
  <c r="D37" i="7"/>
  <c r="C37" i="7"/>
  <c r="B37" i="7"/>
  <c r="D121" i="7"/>
  <c r="C121" i="7"/>
  <c r="B121" i="7"/>
  <c r="D73" i="7"/>
  <c r="C73" i="7"/>
  <c r="B73" i="7"/>
  <c r="D123" i="7"/>
  <c r="C123" i="7"/>
  <c r="B123" i="7"/>
  <c r="D171" i="7"/>
  <c r="C171" i="7"/>
  <c r="B171" i="7"/>
  <c r="D266" i="7"/>
  <c r="C266" i="7"/>
  <c r="B266" i="7"/>
  <c r="D126" i="7"/>
  <c r="C126" i="7"/>
  <c r="B126" i="7"/>
  <c r="D174" i="7"/>
  <c r="C174" i="7"/>
  <c r="B174" i="7"/>
  <c r="D278" i="7"/>
  <c r="C278" i="7"/>
  <c r="B278" i="7"/>
  <c r="D153" i="7"/>
  <c r="C153" i="7"/>
  <c r="B153" i="7"/>
  <c r="D210" i="7"/>
  <c r="C210" i="7"/>
  <c r="B210" i="7"/>
  <c r="B12" i="7"/>
  <c r="D12" i="7"/>
  <c r="C12" i="7"/>
  <c r="B60" i="7"/>
  <c r="D60" i="7"/>
  <c r="C60" i="7"/>
  <c r="B108" i="7"/>
  <c r="D108" i="7"/>
  <c r="C108" i="7"/>
  <c r="B156" i="7"/>
  <c r="D156" i="7"/>
  <c r="C156" i="7"/>
  <c r="D214" i="7"/>
  <c r="C214" i="7"/>
  <c r="B214" i="7"/>
  <c r="D212" i="7"/>
  <c r="C212" i="7"/>
  <c r="B212" i="7"/>
  <c r="D260" i="7"/>
  <c r="C260" i="7"/>
  <c r="B260" i="7"/>
  <c r="D308" i="7"/>
  <c r="C308" i="7"/>
  <c r="B308" i="7"/>
  <c r="D356" i="7"/>
  <c r="C356" i="7"/>
  <c r="B356" i="7"/>
  <c r="D452" i="7"/>
  <c r="C452" i="7"/>
  <c r="B452" i="7"/>
  <c r="D492" i="7"/>
  <c r="C492" i="7"/>
  <c r="B492" i="7"/>
  <c r="C195" i="7"/>
  <c r="B195" i="7"/>
  <c r="D195" i="7"/>
  <c r="D243" i="7"/>
  <c r="C243" i="7"/>
  <c r="B243" i="7"/>
  <c r="C291" i="7"/>
  <c r="B291" i="7"/>
  <c r="D291" i="7"/>
  <c r="C339" i="7"/>
  <c r="B339" i="7"/>
  <c r="D339" i="7"/>
  <c r="D410" i="7"/>
  <c r="C410" i="7"/>
  <c r="B410" i="7"/>
  <c r="D576" i="7"/>
  <c r="C576" i="7"/>
  <c r="B576" i="7"/>
  <c r="D432" i="7"/>
  <c r="C432" i="7"/>
  <c r="B432" i="7"/>
  <c r="D628" i="7"/>
  <c r="C628" i="7"/>
  <c r="B628" i="7"/>
  <c r="D632" i="7"/>
  <c r="C632" i="7"/>
  <c r="B632" i="7"/>
  <c r="D229" i="7"/>
  <c r="C229" i="7"/>
  <c r="B229" i="7"/>
  <c r="D277" i="7"/>
  <c r="C277" i="7"/>
  <c r="B277" i="7"/>
  <c r="D325" i="7"/>
  <c r="C325" i="7"/>
  <c r="B325" i="7"/>
  <c r="D373" i="7"/>
  <c r="C373" i="7"/>
  <c r="B373" i="7"/>
  <c r="D474" i="7"/>
  <c r="C474" i="7"/>
  <c r="B474" i="7"/>
  <c r="D717" i="7"/>
  <c r="C717" i="7"/>
  <c r="B717" i="7"/>
  <c r="C411" i="7"/>
  <c r="B411" i="7"/>
  <c r="D411" i="7"/>
  <c r="C459" i="7"/>
  <c r="B459" i="7"/>
  <c r="D459" i="7"/>
  <c r="D507" i="7"/>
  <c r="C507" i="7"/>
  <c r="B507" i="7"/>
  <c r="D555" i="7"/>
  <c r="C555" i="7"/>
  <c r="B555" i="7"/>
  <c r="D603" i="7"/>
  <c r="C603" i="7"/>
  <c r="B603" i="7"/>
  <c r="D651" i="7"/>
  <c r="C651" i="7"/>
  <c r="B651" i="7"/>
  <c r="B726" i="7"/>
  <c r="D726" i="7"/>
  <c r="C726" i="7"/>
  <c r="D502" i="7"/>
  <c r="C502" i="7"/>
  <c r="B502" i="7"/>
  <c r="D550" i="7"/>
  <c r="C550" i="7"/>
  <c r="B550" i="7"/>
  <c r="D598" i="7"/>
  <c r="C598" i="7"/>
  <c r="B598" i="7"/>
  <c r="D646" i="7"/>
  <c r="C646" i="7"/>
  <c r="B646" i="7"/>
  <c r="D1033" i="7"/>
  <c r="C1033" i="7"/>
  <c r="B1033" i="7"/>
  <c r="C405" i="7"/>
  <c r="B405" i="7"/>
  <c r="D405" i="7"/>
  <c r="C453" i="7"/>
  <c r="B453" i="7"/>
  <c r="D453" i="7"/>
  <c r="C501" i="7"/>
  <c r="B501" i="7"/>
  <c r="D501" i="7"/>
  <c r="C549" i="7"/>
  <c r="B549" i="7"/>
  <c r="D549" i="7"/>
  <c r="C597" i="7"/>
  <c r="B597" i="7"/>
  <c r="D597" i="7"/>
  <c r="C645" i="7"/>
  <c r="B645" i="7"/>
  <c r="D645" i="7"/>
  <c r="B718" i="7"/>
  <c r="D718" i="7"/>
  <c r="C718" i="7"/>
  <c r="D737" i="7"/>
  <c r="C737" i="7"/>
  <c r="B737" i="7"/>
  <c r="D785" i="7"/>
  <c r="C785" i="7"/>
  <c r="B785" i="7"/>
  <c r="D833" i="7"/>
  <c r="C833" i="7"/>
  <c r="B833" i="7"/>
  <c r="D881" i="7"/>
  <c r="C881" i="7"/>
  <c r="B881" i="7"/>
  <c r="D1041" i="7"/>
  <c r="C1041" i="7"/>
  <c r="B1041" i="7"/>
  <c r="B720" i="7"/>
  <c r="D720" i="7"/>
  <c r="C720" i="7"/>
  <c r="D768" i="7"/>
  <c r="C768" i="7"/>
  <c r="B768" i="7"/>
  <c r="D816" i="7"/>
  <c r="C816" i="7"/>
  <c r="B816" i="7"/>
  <c r="D864" i="7"/>
  <c r="C864" i="7"/>
  <c r="B864" i="7"/>
  <c r="D1001" i="7"/>
  <c r="C1001" i="7"/>
  <c r="B1001" i="7"/>
  <c r="D739" i="7"/>
  <c r="C739" i="7"/>
  <c r="B739" i="7"/>
  <c r="D787" i="7"/>
  <c r="C787" i="7"/>
  <c r="B787" i="7"/>
  <c r="D835" i="7"/>
  <c r="C835" i="7"/>
  <c r="B835" i="7"/>
  <c r="D883" i="7"/>
  <c r="C883" i="7"/>
  <c r="B883" i="7"/>
  <c r="D1017" i="7"/>
  <c r="C1017" i="7"/>
  <c r="B1017" i="7"/>
  <c r="B746" i="7"/>
  <c r="D746" i="7"/>
  <c r="C746" i="7"/>
  <c r="B794" i="7"/>
  <c r="D794" i="7"/>
  <c r="C794" i="7"/>
  <c r="B842" i="7"/>
  <c r="D842" i="7"/>
  <c r="C842" i="7"/>
  <c r="B890" i="7"/>
  <c r="D890" i="7"/>
  <c r="C890" i="7"/>
  <c r="D1287" i="7"/>
  <c r="C1287" i="7"/>
  <c r="B1287" i="7"/>
  <c r="D908" i="7"/>
  <c r="C908" i="7"/>
  <c r="B908" i="7"/>
  <c r="D956" i="7"/>
  <c r="C956" i="7"/>
  <c r="B956" i="7"/>
  <c r="D1004" i="7"/>
  <c r="C1004" i="7"/>
  <c r="B1004" i="7"/>
  <c r="D1052" i="7"/>
  <c r="C1052" i="7"/>
  <c r="B1052" i="7"/>
  <c r="C1130" i="7"/>
  <c r="B1130" i="7"/>
  <c r="D1130" i="7"/>
  <c r="D1143" i="7"/>
  <c r="C1143" i="7"/>
  <c r="B1143" i="7"/>
  <c r="D935" i="7"/>
  <c r="C935" i="7"/>
  <c r="B935" i="7"/>
  <c r="D983" i="7"/>
  <c r="C983" i="7"/>
  <c r="B983" i="7"/>
  <c r="D1031" i="7"/>
  <c r="C1031" i="7"/>
  <c r="B1031" i="7"/>
  <c r="D1079" i="7"/>
  <c r="C1079" i="7"/>
  <c r="B1079" i="7"/>
  <c r="D1145" i="7"/>
  <c r="C1145" i="7"/>
  <c r="B1145" i="7"/>
  <c r="C902" i="7"/>
  <c r="D902" i="7"/>
  <c r="B902" i="7"/>
  <c r="C950" i="7"/>
  <c r="B950" i="7"/>
  <c r="D950" i="7"/>
  <c r="C998" i="7"/>
  <c r="B998" i="7"/>
  <c r="D998" i="7"/>
  <c r="C1046" i="7"/>
  <c r="B1046" i="7"/>
  <c r="D1046" i="7"/>
  <c r="C1138" i="7"/>
  <c r="B1138" i="7"/>
  <c r="D1138" i="7"/>
  <c r="D1119" i="7"/>
  <c r="C1119" i="7"/>
  <c r="B1119" i="7"/>
  <c r="B1195" i="7"/>
  <c r="D1195" i="7"/>
  <c r="C1195" i="7"/>
  <c r="D1281" i="7"/>
  <c r="C1281" i="7"/>
  <c r="B1281" i="7"/>
  <c r="C1368" i="7"/>
  <c r="D1368" i="7"/>
  <c r="B1368" i="7"/>
  <c r="D1202" i="7"/>
  <c r="C1202" i="7"/>
  <c r="B1202" i="7"/>
  <c r="B1320" i="7"/>
  <c r="D1320" i="7"/>
  <c r="C1320" i="7"/>
  <c r="B1300" i="7"/>
  <c r="D1300" i="7"/>
  <c r="C1300" i="7"/>
  <c r="B1280" i="7"/>
  <c r="D1280" i="7"/>
  <c r="C1280" i="7"/>
  <c r="D1185" i="7"/>
  <c r="C1185" i="7"/>
  <c r="B1185" i="7"/>
  <c r="D1257" i="7"/>
  <c r="C1257" i="7"/>
  <c r="B1257" i="7"/>
  <c r="C1417" i="7"/>
  <c r="B1417" i="7"/>
  <c r="D1417" i="7"/>
  <c r="D1096" i="7"/>
  <c r="C1096" i="7"/>
  <c r="B1096" i="7"/>
  <c r="B1144" i="7"/>
  <c r="D1144" i="7"/>
  <c r="C1144" i="7"/>
  <c r="B1192" i="7"/>
  <c r="D1192" i="7"/>
  <c r="C1192" i="7"/>
  <c r="B1248" i="7"/>
  <c r="C1248" i="7"/>
  <c r="D1248" i="7"/>
  <c r="B1332" i="7"/>
  <c r="D1332" i="7"/>
  <c r="C1332" i="7"/>
  <c r="C1441" i="7"/>
  <c r="B1441" i="7"/>
  <c r="D1441" i="7"/>
  <c r="D1387" i="7"/>
  <c r="C1387" i="7"/>
  <c r="B1387" i="7"/>
  <c r="D1351" i="7"/>
  <c r="C1351" i="7"/>
  <c r="B1351" i="7"/>
  <c r="D1431" i="7"/>
  <c r="B1431" i="7"/>
  <c r="C1431" i="7"/>
  <c r="D1428" i="7"/>
  <c r="C1428" i="7"/>
  <c r="B1428" i="7"/>
  <c r="D1423" i="7"/>
  <c r="C1423" i="7"/>
  <c r="B1423" i="7"/>
  <c r="D1254" i="7"/>
  <c r="C1254" i="7"/>
  <c r="B1254" i="7"/>
  <c r="D1302" i="7"/>
  <c r="C1302" i="7"/>
  <c r="B1302" i="7"/>
  <c r="C1353" i="7"/>
  <c r="D1353" i="7"/>
  <c r="B1353" i="7"/>
  <c r="D1362" i="7"/>
  <c r="B1362" i="7"/>
  <c r="C1362" i="7"/>
  <c r="C1410" i="7"/>
  <c r="D1410" i="7"/>
  <c r="B1410" i="7"/>
  <c r="D1494" i="7"/>
  <c r="C1494" i="7"/>
  <c r="B1494" i="7"/>
  <c r="C1463" i="7"/>
  <c r="D1463" i="7"/>
  <c r="B1463" i="7"/>
  <c r="AR19" i="3"/>
  <c r="AS57" i="3"/>
  <c r="AT57" i="3"/>
  <c r="AB14" i="3"/>
  <c r="AG14" i="3" s="1"/>
  <c r="AL14" i="3" s="1"/>
  <c r="AT36" i="3"/>
  <c r="AS36" i="3"/>
  <c r="R5" i="3"/>
  <c r="D36" i="8"/>
  <c r="C36" i="8"/>
  <c r="B36" i="8"/>
  <c r="V2" i="3"/>
  <c r="W2" i="3" s="1"/>
  <c r="AP24" i="3"/>
  <c r="AQ24" i="3"/>
  <c r="AO10" i="3"/>
  <c r="AR10" i="3"/>
  <c r="V7" i="3"/>
  <c r="W7" i="3" s="1"/>
  <c r="AT35" i="3"/>
  <c r="AS35" i="3"/>
  <c r="AQ53" i="3"/>
  <c r="AP53" i="3"/>
  <c r="AR15" i="3"/>
  <c r="AQ55" i="3"/>
  <c r="AP55" i="3"/>
  <c r="Z12" i="3"/>
  <c r="AE12" i="3" s="1"/>
  <c r="AJ12" i="3" s="1"/>
  <c r="C117" i="8"/>
  <c r="D117" i="8"/>
  <c r="B117" i="8"/>
  <c r="D37" i="8"/>
  <c r="C37" i="8"/>
  <c r="B37" i="8"/>
  <c r="C17" i="8"/>
  <c r="D17" i="8"/>
  <c r="B17" i="8"/>
  <c r="D44" i="8"/>
  <c r="B44" i="8"/>
  <c r="C44" i="8"/>
  <c r="C178" i="8"/>
  <c r="B178" i="8"/>
  <c r="D178" i="8"/>
  <c r="C157" i="8"/>
  <c r="D157" i="8"/>
  <c r="B157" i="8"/>
  <c r="D221" i="8"/>
  <c r="C221" i="8"/>
  <c r="B221" i="8"/>
  <c r="D253" i="8"/>
  <c r="C253" i="8"/>
  <c r="B253" i="8"/>
  <c r="C349" i="8"/>
  <c r="B349" i="8"/>
  <c r="D349" i="8"/>
  <c r="D429" i="8"/>
  <c r="C429" i="8"/>
  <c r="B429" i="8"/>
  <c r="C190" i="8"/>
  <c r="B190" i="8"/>
  <c r="D190" i="8"/>
  <c r="D168" i="8"/>
  <c r="C168" i="8"/>
  <c r="B168" i="8"/>
  <c r="D216" i="8"/>
  <c r="C216" i="8"/>
  <c r="B216" i="8"/>
  <c r="D255" i="8"/>
  <c r="C255" i="8"/>
  <c r="B255" i="8"/>
  <c r="D3" i="8"/>
  <c r="C3" i="8"/>
  <c r="B3" i="8"/>
  <c r="C51" i="8"/>
  <c r="B51" i="8"/>
  <c r="D51" i="8"/>
  <c r="C99" i="8"/>
  <c r="B99" i="8"/>
  <c r="D99" i="8"/>
  <c r="C147" i="8"/>
  <c r="B147" i="8"/>
  <c r="D147" i="8"/>
  <c r="C195" i="8"/>
  <c r="B195" i="8"/>
  <c r="D195" i="8"/>
  <c r="C244" i="8"/>
  <c r="B244" i="8"/>
  <c r="D244" i="8"/>
  <c r="D376" i="8"/>
  <c r="C376" i="8"/>
  <c r="B376" i="8"/>
  <c r="C269" i="8"/>
  <c r="B269" i="8"/>
  <c r="D269" i="8"/>
  <c r="D237" i="8"/>
  <c r="C237" i="8"/>
  <c r="B237" i="8"/>
  <c r="D551" i="8"/>
  <c r="C551" i="8"/>
  <c r="B551" i="8"/>
  <c r="D545" i="8"/>
  <c r="C545" i="8"/>
  <c r="B545" i="8"/>
  <c r="D437" i="8"/>
  <c r="C437" i="8"/>
  <c r="B437" i="8"/>
  <c r="D303" i="8"/>
  <c r="C303" i="8"/>
  <c r="B303" i="8"/>
  <c r="D351" i="8"/>
  <c r="C351" i="8"/>
  <c r="B351" i="8"/>
  <c r="D509" i="8"/>
  <c r="C509" i="8"/>
  <c r="B509" i="8"/>
  <c r="B278" i="8"/>
  <c r="D278" i="8"/>
  <c r="C278" i="8"/>
  <c r="B326" i="8"/>
  <c r="D326" i="8"/>
  <c r="C326" i="8"/>
  <c r="B374" i="8"/>
  <c r="D374" i="8"/>
  <c r="C374" i="8"/>
  <c r="C581" i="8"/>
  <c r="B581" i="8"/>
  <c r="D581" i="8"/>
  <c r="D392" i="8"/>
  <c r="B392" i="8"/>
  <c r="C392" i="8"/>
  <c r="D440" i="8"/>
  <c r="C440" i="8"/>
  <c r="B440" i="8"/>
  <c r="D488" i="8"/>
  <c r="C488" i="8"/>
  <c r="B488" i="8"/>
  <c r="D536" i="8"/>
  <c r="C536" i="8"/>
  <c r="B536" i="8"/>
  <c r="C593" i="8"/>
  <c r="B593" i="8"/>
  <c r="D593" i="8"/>
  <c r="D427" i="8"/>
  <c r="C427" i="8"/>
  <c r="B427" i="8"/>
  <c r="D475" i="8"/>
  <c r="C475" i="8"/>
  <c r="B475" i="8"/>
  <c r="D523" i="8"/>
  <c r="C523" i="8"/>
  <c r="B523" i="8"/>
  <c r="D612" i="8"/>
  <c r="C612" i="8"/>
  <c r="B612" i="8"/>
  <c r="C569" i="8"/>
  <c r="D569" i="8"/>
  <c r="B569" i="8"/>
  <c r="C402" i="8"/>
  <c r="B402" i="8"/>
  <c r="D402" i="8"/>
  <c r="C450" i="8"/>
  <c r="B450" i="8"/>
  <c r="D450" i="8"/>
  <c r="C498" i="8"/>
  <c r="B498" i="8"/>
  <c r="D498" i="8"/>
  <c r="C546" i="8"/>
  <c r="B546" i="8"/>
  <c r="D546" i="8"/>
  <c r="D718" i="8"/>
  <c r="C718" i="8"/>
  <c r="B718" i="8"/>
  <c r="C730" i="8"/>
  <c r="D730" i="8"/>
  <c r="B730" i="8"/>
  <c r="D583" i="8"/>
  <c r="C583" i="8"/>
  <c r="B583" i="8"/>
  <c r="D631" i="8"/>
  <c r="C631" i="8"/>
  <c r="B631" i="8"/>
  <c r="D679" i="8"/>
  <c r="C679" i="8"/>
  <c r="B679" i="8"/>
  <c r="C812" i="8"/>
  <c r="B812" i="8"/>
  <c r="D812" i="8"/>
  <c r="D710" i="8"/>
  <c r="C710" i="8"/>
  <c r="B710" i="8"/>
  <c r="C562" i="8"/>
  <c r="B562" i="8"/>
  <c r="D562" i="8"/>
  <c r="D610" i="8"/>
  <c r="C610" i="8"/>
  <c r="B610" i="8"/>
  <c r="D658" i="8"/>
  <c r="C658" i="8"/>
  <c r="B658" i="8"/>
  <c r="D706" i="8"/>
  <c r="C706" i="8"/>
  <c r="B706" i="8"/>
  <c r="D823" i="8"/>
  <c r="C823" i="8"/>
  <c r="B823" i="8"/>
  <c r="C796" i="8"/>
  <c r="B796" i="8"/>
  <c r="D796" i="8"/>
  <c r="D815" i="8"/>
  <c r="C815" i="8"/>
  <c r="B815" i="8"/>
  <c r="C633" i="8"/>
  <c r="B633" i="8"/>
  <c r="D633" i="8"/>
  <c r="C681" i="8"/>
  <c r="B681" i="8"/>
  <c r="D681" i="8"/>
  <c r="C813" i="8"/>
  <c r="B813" i="8"/>
  <c r="D813" i="8"/>
  <c r="C772" i="8"/>
  <c r="B772" i="8"/>
  <c r="D772" i="8"/>
  <c r="C787" i="8"/>
  <c r="B787" i="8"/>
  <c r="D787" i="8"/>
  <c r="D831" i="8"/>
  <c r="C831" i="8"/>
  <c r="B831" i="8"/>
  <c r="D891" i="8"/>
  <c r="C891" i="8"/>
  <c r="B891" i="8"/>
  <c r="C836" i="8"/>
  <c r="B836" i="8"/>
  <c r="D836" i="8"/>
  <c r="D1046" i="8"/>
  <c r="C1046" i="8"/>
  <c r="B1046" i="8"/>
  <c r="D874" i="8"/>
  <c r="C874" i="8"/>
  <c r="B874" i="8"/>
  <c r="D922" i="8"/>
  <c r="C922" i="8"/>
  <c r="B922" i="8"/>
  <c r="D961" i="8"/>
  <c r="B961" i="8"/>
  <c r="C961" i="8"/>
  <c r="D865" i="8"/>
  <c r="C865" i="8"/>
  <c r="B865" i="8"/>
  <c r="D913" i="8"/>
  <c r="C913" i="8"/>
  <c r="B913" i="8"/>
  <c r="B986" i="8"/>
  <c r="D986" i="8"/>
  <c r="C986" i="8"/>
  <c r="D856" i="8"/>
  <c r="C856" i="8"/>
  <c r="B856" i="8"/>
  <c r="C904" i="8"/>
  <c r="B904" i="8"/>
  <c r="D904" i="8"/>
  <c r="C1069" i="8"/>
  <c r="B1069" i="8"/>
  <c r="D1069" i="8"/>
  <c r="D1025" i="8"/>
  <c r="C1025" i="8"/>
  <c r="B1025" i="8"/>
  <c r="D1064" i="8"/>
  <c r="C1064" i="8"/>
  <c r="B1064" i="8"/>
  <c r="D960" i="8"/>
  <c r="C960" i="8"/>
  <c r="B960" i="8"/>
  <c r="D1008" i="8"/>
  <c r="C1008" i="8"/>
  <c r="B1008" i="8"/>
  <c r="D1061" i="8"/>
  <c r="C1061" i="8"/>
  <c r="B1061" i="8"/>
  <c r="D1105" i="8"/>
  <c r="C1105" i="8"/>
  <c r="B1105" i="8"/>
  <c r="D959" i="8"/>
  <c r="C959" i="8"/>
  <c r="B959" i="8"/>
  <c r="D1007" i="8"/>
  <c r="C1007" i="8"/>
  <c r="B1007" i="8"/>
  <c r="D1125" i="8"/>
  <c r="C1125" i="8"/>
  <c r="B1125" i="8"/>
  <c r="D1104" i="8"/>
  <c r="C1104" i="8"/>
  <c r="B1104" i="8"/>
  <c r="D1131" i="8"/>
  <c r="C1131" i="8"/>
  <c r="B1131" i="8"/>
  <c r="D1246" i="8"/>
  <c r="B1246" i="8"/>
  <c r="C1246" i="8"/>
  <c r="D1103" i="8"/>
  <c r="C1103" i="8"/>
  <c r="B1103" i="8"/>
  <c r="C1143" i="8"/>
  <c r="B1143" i="8"/>
  <c r="D1143" i="8"/>
  <c r="D1062" i="8"/>
  <c r="C1062" i="8"/>
  <c r="B1062" i="8"/>
  <c r="D1110" i="8"/>
  <c r="C1110" i="8"/>
  <c r="B1110" i="8"/>
  <c r="D1234" i="8"/>
  <c r="C1234" i="8"/>
  <c r="B1234" i="8"/>
  <c r="D1238" i="8"/>
  <c r="B1238" i="8"/>
  <c r="C1238" i="8"/>
  <c r="D1250" i="8"/>
  <c r="C1250" i="8"/>
  <c r="B1250" i="8"/>
  <c r="D1381" i="8"/>
  <c r="C1381" i="8"/>
  <c r="B1381" i="8"/>
  <c r="D1141" i="8"/>
  <c r="C1141" i="8"/>
  <c r="B1141" i="8"/>
  <c r="D1189" i="8"/>
  <c r="C1189" i="8"/>
  <c r="B1189" i="8"/>
  <c r="C1370" i="8"/>
  <c r="D1370" i="8"/>
  <c r="B1370" i="8"/>
  <c r="D1285" i="8"/>
  <c r="C1285" i="8"/>
  <c r="B1285" i="8"/>
  <c r="C1306" i="8"/>
  <c r="B1306" i="8"/>
  <c r="D1306" i="8"/>
  <c r="D1249" i="8"/>
  <c r="C1249" i="8"/>
  <c r="B1249" i="8"/>
  <c r="D1432" i="8"/>
  <c r="B1432" i="8"/>
  <c r="C1432" i="8"/>
  <c r="D1328" i="8"/>
  <c r="C1328" i="8"/>
  <c r="B1328" i="8"/>
  <c r="C1224" i="8"/>
  <c r="D1224" i="8"/>
  <c r="B1224" i="8"/>
  <c r="B1305" i="8"/>
  <c r="D1305" i="8"/>
  <c r="C1305" i="8"/>
  <c r="B1396" i="8"/>
  <c r="C1396" i="8"/>
  <c r="D1396" i="8"/>
  <c r="D1498" i="8"/>
  <c r="C1498" i="8"/>
  <c r="B1498" i="8"/>
  <c r="B1372" i="8"/>
  <c r="D1372" i="8"/>
  <c r="C1372" i="8"/>
  <c r="D1450" i="8"/>
  <c r="C1450" i="8"/>
  <c r="B1450" i="8"/>
  <c r="C1347" i="8"/>
  <c r="D1347" i="8"/>
  <c r="B1347" i="8"/>
  <c r="D1478" i="8"/>
  <c r="C1478" i="8"/>
  <c r="B1478" i="8"/>
  <c r="C1358" i="8"/>
  <c r="B1358" i="8"/>
  <c r="D1358" i="8"/>
  <c r="D1414" i="8"/>
  <c r="C1414" i="8"/>
  <c r="B1414" i="8"/>
  <c r="D1429" i="8"/>
  <c r="C1429" i="8"/>
  <c r="B1429" i="8"/>
  <c r="D1477" i="8"/>
  <c r="C1477" i="8"/>
  <c r="B1477" i="8"/>
  <c r="C1427" i="8"/>
  <c r="D1427" i="8"/>
  <c r="B1427" i="8"/>
  <c r="C1475" i="8"/>
  <c r="B1475" i="8"/>
  <c r="D1475" i="8"/>
  <c r="AT56" i="3"/>
  <c r="AS56" i="3"/>
  <c r="C199" i="6"/>
  <c r="B199" i="6"/>
  <c r="D199" i="6"/>
  <c r="C212" i="6"/>
  <c r="B212" i="6"/>
  <c r="D212" i="6"/>
  <c r="C90" i="6"/>
  <c r="B90" i="6"/>
  <c r="D90" i="6"/>
  <c r="C234" i="6"/>
  <c r="B234" i="6"/>
  <c r="D234" i="6"/>
  <c r="C27" i="6"/>
  <c r="B27" i="6"/>
  <c r="D27" i="6"/>
  <c r="C171" i="6"/>
  <c r="B171" i="6"/>
  <c r="D171" i="6"/>
  <c r="C14" i="6"/>
  <c r="B14" i="6"/>
  <c r="D14" i="6"/>
  <c r="C158" i="6"/>
  <c r="B158" i="6"/>
  <c r="D158" i="6"/>
  <c r="D276" i="6"/>
  <c r="C276" i="6"/>
  <c r="B276" i="6"/>
  <c r="C108" i="6"/>
  <c r="B108" i="6"/>
  <c r="D108" i="6"/>
  <c r="D313" i="6"/>
  <c r="C313" i="6"/>
  <c r="B313" i="6"/>
  <c r="B69" i="6"/>
  <c r="D69" i="6"/>
  <c r="C69" i="6"/>
  <c r="B213" i="6"/>
  <c r="D213" i="6"/>
  <c r="C213" i="6"/>
  <c r="C56" i="6"/>
  <c r="B56" i="6"/>
  <c r="D56" i="6"/>
  <c r="C200" i="6"/>
  <c r="B200" i="6"/>
  <c r="D200" i="6"/>
  <c r="C6" i="6"/>
  <c r="B6" i="6"/>
  <c r="D6" i="6"/>
  <c r="C150" i="6"/>
  <c r="B150" i="6"/>
  <c r="D150" i="6"/>
  <c r="D272" i="6"/>
  <c r="C272" i="6"/>
  <c r="B272" i="6"/>
  <c r="C63" i="6"/>
  <c r="B63" i="6"/>
  <c r="D63" i="6"/>
  <c r="C207" i="6"/>
  <c r="B207" i="6"/>
  <c r="D207" i="6"/>
  <c r="B61" i="6"/>
  <c r="D61" i="6"/>
  <c r="C61" i="6"/>
  <c r="B205" i="6"/>
  <c r="D205" i="6"/>
  <c r="C205" i="6"/>
  <c r="C48" i="6"/>
  <c r="B48" i="6"/>
  <c r="D48" i="6"/>
  <c r="C192" i="6"/>
  <c r="B192" i="6"/>
  <c r="D192" i="6"/>
  <c r="D425" i="6"/>
  <c r="C425" i="6"/>
  <c r="B425" i="6"/>
  <c r="C142" i="6"/>
  <c r="B142" i="6"/>
  <c r="D142" i="6"/>
  <c r="D268" i="6"/>
  <c r="C268" i="6"/>
  <c r="B268" i="6"/>
  <c r="D527" i="6"/>
  <c r="C527" i="6"/>
  <c r="B527" i="6"/>
  <c r="D340" i="6"/>
  <c r="C340" i="6"/>
  <c r="B340" i="6"/>
  <c r="D388" i="6"/>
  <c r="C388" i="6"/>
  <c r="B388" i="6"/>
  <c r="D435" i="6"/>
  <c r="C435" i="6"/>
  <c r="B435" i="6"/>
  <c r="D543" i="6"/>
  <c r="B543" i="6"/>
  <c r="C543" i="6"/>
  <c r="C287" i="6"/>
  <c r="B287" i="6"/>
  <c r="D287" i="6"/>
  <c r="D335" i="6"/>
  <c r="C335" i="6"/>
  <c r="B335" i="6"/>
  <c r="D383" i="6"/>
  <c r="C383" i="6"/>
  <c r="B383" i="6"/>
  <c r="D431" i="6"/>
  <c r="C431" i="6"/>
  <c r="B431" i="6"/>
  <c r="D563" i="6"/>
  <c r="C563" i="6"/>
  <c r="B563" i="6"/>
  <c r="C350" i="6"/>
  <c r="B350" i="6"/>
  <c r="D350" i="6"/>
  <c r="C398" i="6"/>
  <c r="B398" i="6"/>
  <c r="D398" i="6"/>
  <c r="D531" i="6"/>
  <c r="C531" i="6"/>
  <c r="B531" i="6"/>
  <c r="D440" i="6"/>
  <c r="C440" i="6"/>
  <c r="B440" i="6"/>
  <c r="C488" i="6"/>
  <c r="B488" i="6"/>
  <c r="D488" i="6"/>
  <c r="C536" i="6"/>
  <c r="B536" i="6"/>
  <c r="D536" i="6"/>
  <c r="C584" i="6"/>
  <c r="B584" i="6"/>
  <c r="D584" i="6"/>
  <c r="D632" i="6"/>
  <c r="C632" i="6"/>
  <c r="B632" i="6"/>
  <c r="D680" i="6"/>
  <c r="C680" i="6"/>
  <c r="B680" i="6"/>
  <c r="D728" i="6"/>
  <c r="C728" i="6"/>
  <c r="B728" i="6"/>
  <c r="D776" i="6"/>
  <c r="C776" i="6"/>
  <c r="B776" i="6"/>
  <c r="B1253" i="6"/>
  <c r="D1253" i="6"/>
  <c r="C1253" i="6"/>
  <c r="D635" i="6"/>
  <c r="C635" i="6"/>
  <c r="B635" i="6"/>
  <c r="D683" i="6"/>
  <c r="C683" i="6"/>
  <c r="B683" i="6"/>
  <c r="D731" i="6"/>
  <c r="C731" i="6"/>
  <c r="B731" i="6"/>
  <c r="D779" i="6"/>
  <c r="C779" i="6"/>
  <c r="B779" i="6"/>
  <c r="B1289" i="6"/>
  <c r="D1289" i="6"/>
  <c r="C1289" i="6"/>
  <c r="D458" i="6"/>
  <c r="C458" i="6"/>
  <c r="B458" i="6"/>
  <c r="D506" i="6"/>
  <c r="C506" i="6"/>
  <c r="B506" i="6"/>
  <c r="D554" i="6"/>
  <c r="C554" i="6"/>
  <c r="B554" i="6"/>
  <c r="D602" i="6"/>
  <c r="C602" i="6"/>
  <c r="B602" i="6"/>
  <c r="D650" i="6"/>
  <c r="C650" i="6"/>
  <c r="B650" i="6"/>
  <c r="D698" i="6"/>
  <c r="C698" i="6"/>
  <c r="B698" i="6"/>
  <c r="D746" i="6"/>
  <c r="C746" i="6"/>
  <c r="B746" i="6"/>
  <c r="D794" i="6"/>
  <c r="C794" i="6"/>
  <c r="B794" i="6"/>
  <c r="B1305" i="6"/>
  <c r="D1305" i="6"/>
  <c r="C1305" i="6"/>
  <c r="D469" i="6"/>
  <c r="C469" i="6"/>
  <c r="B469" i="6"/>
  <c r="D517" i="6"/>
  <c r="C517" i="6"/>
  <c r="B517" i="6"/>
  <c r="D565" i="6"/>
  <c r="C565" i="6"/>
  <c r="B565" i="6"/>
  <c r="D613" i="6"/>
  <c r="C613" i="6"/>
  <c r="B613" i="6"/>
  <c r="D661" i="6"/>
  <c r="C661" i="6"/>
  <c r="B661" i="6"/>
  <c r="D709" i="6"/>
  <c r="C709" i="6"/>
  <c r="B709" i="6"/>
  <c r="D757" i="6"/>
  <c r="C757" i="6"/>
  <c r="B757" i="6"/>
  <c r="D805" i="6"/>
  <c r="B805" i="6"/>
  <c r="C805" i="6"/>
  <c r="B840" i="6"/>
  <c r="D840" i="6"/>
  <c r="C840" i="6"/>
  <c r="D888" i="6"/>
  <c r="B888" i="6"/>
  <c r="C888" i="6"/>
  <c r="D936" i="6"/>
  <c r="B936" i="6"/>
  <c r="C936" i="6"/>
  <c r="D984" i="6"/>
  <c r="B984" i="6"/>
  <c r="C984" i="6"/>
  <c r="D1032" i="6"/>
  <c r="C1032" i="6"/>
  <c r="B1032" i="6"/>
  <c r="D1080" i="6"/>
  <c r="C1080" i="6"/>
  <c r="B1080" i="6"/>
  <c r="D1128" i="6"/>
  <c r="C1128" i="6"/>
  <c r="B1128" i="6"/>
  <c r="D1176" i="6"/>
  <c r="C1176" i="6"/>
  <c r="B1176" i="6"/>
  <c r="D1232" i="6"/>
  <c r="B1232" i="6"/>
  <c r="C1232" i="6"/>
  <c r="D935" i="6"/>
  <c r="C935" i="6"/>
  <c r="B935" i="6"/>
  <c r="D983" i="6"/>
  <c r="C983" i="6"/>
  <c r="B983" i="6"/>
  <c r="D1031" i="6"/>
  <c r="C1031" i="6"/>
  <c r="B1031" i="6"/>
  <c r="D1079" i="6"/>
  <c r="C1079" i="6"/>
  <c r="B1079" i="6"/>
  <c r="D1127" i="6"/>
  <c r="C1127" i="6"/>
  <c r="B1127" i="6"/>
  <c r="D1175" i="6"/>
  <c r="C1175" i="6"/>
  <c r="B1175" i="6"/>
  <c r="D1225" i="6"/>
  <c r="C1225" i="6"/>
  <c r="B1225" i="6"/>
  <c r="D834" i="6"/>
  <c r="C834" i="6"/>
  <c r="B834" i="6"/>
  <c r="D882" i="6"/>
  <c r="C882" i="6"/>
  <c r="B882" i="6"/>
  <c r="D930" i="6"/>
  <c r="C930" i="6"/>
  <c r="B930" i="6"/>
  <c r="D978" i="6"/>
  <c r="C978" i="6"/>
  <c r="B978" i="6"/>
  <c r="D1026" i="6"/>
  <c r="C1026" i="6"/>
  <c r="B1026" i="6"/>
  <c r="D1074" i="6"/>
  <c r="C1074" i="6"/>
  <c r="B1074" i="6"/>
  <c r="D1122" i="6"/>
  <c r="C1122" i="6"/>
  <c r="B1122" i="6"/>
  <c r="D1170" i="6"/>
  <c r="C1170" i="6"/>
  <c r="B1170" i="6"/>
  <c r="D1260" i="6"/>
  <c r="B1260" i="6"/>
  <c r="C1260" i="6"/>
  <c r="D1308" i="6"/>
  <c r="B1308" i="6"/>
  <c r="C1308" i="6"/>
  <c r="D829" i="6"/>
  <c r="C829" i="6"/>
  <c r="B829" i="6"/>
  <c r="D877" i="6"/>
  <c r="C877" i="6"/>
  <c r="B877" i="6"/>
  <c r="D925" i="6"/>
  <c r="B925" i="6"/>
  <c r="C925" i="6"/>
  <c r="D973" i="6"/>
  <c r="B973" i="6"/>
  <c r="C973" i="6"/>
  <c r="D1021" i="6"/>
  <c r="C1021" i="6"/>
  <c r="B1021" i="6"/>
  <c r="D1069" i="6"/>
  <c r="C1069" i="6"/>
  <c r="B1069" i="6"/>
  <c r="D1117" i="6"/>
  <c r="C1117" i="6"/>
  <c r="B1117" i="6"/>
  <c r="D1165" i="6"/>
  <c r="C1165" i="6"/>
  <c r="B1165" i="6"/>
  <c r="D1311" i="6"/>
  <c r="B1311" i="6"/>
  <c r="C1311" i="6"/>
  <c r="C1479" i="6"/>
  <c r="B1479" i="6"/>
  <c r="D1479" i="6"/>
  <c r="B1391" i="6"/>
  <c r="D1391" i="6"/>
  <c r="C1391" i="6"/>
  <c r="D1489" i="6"/>
  <c r="C1489" i="6"/>
  <c r="B1489" i="6"/>
  <c r="D1255" i="6"/>
  <c r="C1255" i="6"/>
  <c r="B1255" i="6"/>
  <c r="D1303" i="6"/>
  <c r="C1303" i="6"/>
  <c r="B1303" i="6"/>
  <c r="B1318" i="6"/>
  <c r="D1318" i="6"/>
  <c r="C1318" i="6"/>
  <c r="B1434" i="6"/>
  <c r="D1434" i="6"/>
  <c r="C1434" i="6"/>
  <c r="C1230" i="6"/>
  <c r="B1230" i="6"/>
  <c r="D1230" i="6"/>
  <c r="C1278" i="6"/>
  <c r="B1278" i="6"/>
  <c r="D1278" i="6"/>
  <c r="D1365" i="6"/>
  <c r="B1365" i="6"/>
  <c r="C1365" i="6"/>
  <c r="B1374" i="6"/>
  <c r="D1374" i="6"/>
  <c r="C1374" i="6"/>
  <c r="C1474" i="6"/>
  <c r="B1474" i="6"/>
  <c r="D1474" i="6"/>
  <c r="B1322" i="6"/>
  <c r="C1322" i="6"/>
  <c r="D1322" i="6"/>
  <c r="D1357" i="6"/>
  <c r="C1357" i="6"/>
  <c r="B1357" i="6"/>
  <c r="D1461" i="6"/>
  <c r="B1461" i="6"/>
  <c r="C1461" i="6"/>
  <c r="B1352" i="6"/>
  <c r="D1352" i="6"/>
  <c r="C1352" i="6"/>
  <c r="B1400" i="6"/>
  <c r="D1400" i="6"/>
  <c r="C1400" i="6"/>
  <c r="B1448" i="6"/>
  <c r="D1448" i="6"/>
  <c r="C1448" i="6"/>
  <c r="B1496" i="6"/>
  <c r="D1496" i="6"/>
  <c r="C1496" i="6"/>
  <c r="AQ59" i="3"/>
  <c r="AP59" i="3"/>
  <c r="D33" i="7"/>
  <c r="C33" i="7"/>
  <c r="B33" i="7"/>
  <c r="D41" i="7"/>
  <c r="C41" i="7"/>
  <c r="B41" i="7"/>
  <c r="C102" i="7"/>
  <c r="B102" i="7"/>
  <c r="D102" i="7"/>
  <c r="D77" i="7"/>
  <c r="C77" i="7"/>
  <c r="B77" i="7"/>
  <c r="C70" i="7"/>
  <c r="B70" i="7"/>
  <c r="D70" i="7"/>
  <c r="C30" i="7"/>
  <c r="B30" i="7"/>
  <c r="D30" i="7"/>
  <c r="D5" i="7"/>
  <c r="C5" i="7"/>
  <c r="B5" i="7"/>
  <c r="D127" i="7"/>
  <c r="C127" i="7"/>
  <c r="B127" i="7"/>
  <c r="D175" i="7"/>
  <c r="C175" i="7"/>
  <c r="B175" i="7"/>
  <c r="D282" i="7"/>
  <c r="C282" i="7"/>
  <c r="B282" i="7"/>
  <c r="D130" i="7"/>
  <c r="C130" i="7"/>
  <c r="B130" i="7"/>
  <c r="D178" i="7"/>
  <c r="C178" i="7"/>
  <c r="B178" i="7"/>
  <c r="D330" i="7"/>
  <c r="C330" i="7"/>
  <c r="B330" i="7"/>
  <c r="D157" i="7"/>
  <c r="C157" i="7"/>
  <c r="B157" i="7"/>
  <c r="D226" i="7"/>
  <c r="C226" i="7"/>
  <c r="B226" i="7"/>
  <c r="B16" i="7"/>
  <c r="D16" i="7"/>
  <c r="C16" i="7"/>
  <c r="B64" i="7"/>
  <c r="D64" i="7"/>
  <c r="C64" i="7"/>
  <c r="B112" i="7"/>
  <c r="D112" i="7"/>
  <c r="C112" i="7"/>
  <c r="B160" i="7"/>
  <c r="D160" i="7"/>
  <c r="C160" i="7"/>
  <c r="D230" i="7"/>
  <c r="C230" i="7"/>
  <c r="B230" i="7"/>
  <c r="D216" i="7"/>
  <c r="C216" i="7"/>
  <c r="B216" i="7"/>
  <c r="D264" i="7"/>
  <c r="C264" i="7"/>
  <c r="B264" i="7"/>
  <c r="D312" i="7"/>
  <c r="C312" i="7"/>
  <c r="B312" i="7"/>
  <c r="D360" i="7"/>
  <c r="C360" i="7"/>
  <c r="B360" i="7"/>
  <c r="D460" i="7"/>
  <c r="C460" i="7"/>
  <c r="B460" i="7"/>
  <c r="D466" i="7"/>
  <c r="C466" i="7"/>
  <c r="B466" i="7"/>
  <c r="D199" i="7"/>
  <c r="C199" i="7"/>
  <c r="B199" i="7"/>
  <c r="D247" i="7"/>
  <c r="C247" i="7"/>
  <c r="B247" i="7"/>
  <c r="C295" i="7"/>
  <c r="D295" i="7"/>
  <c r="B295" i="7"/>
  <c r="C343" i="7"/>
  <c r="B343" i="7"/>
  <c r="D343" i="7"/>
  <c r="D418" i="7"/>
  <c r="C418" i="7"/>
  <c r="B418" i="7"/>
  <c r="D600" i="7"/>
  <c r="C600" i="7"/>
  <c r="B600" i="7"/>
  <c r="D440" i="7"/>
  <c r="C440" i="7"/>
  <c r="B440" i="7"/>
  <c r="D652" i="7"/>
  <c r="C652" i="7"/>
  <c r="B652" i="7"/>
  <c r="D656" i="7"/>
  <c r="C656" i="7"/>
  <c r="B656" i="7"/>
  <c r="D233" i="7"/>
  <c r="C233" i="7"/>
  <c r="B233" i="7"/>
  <c r="D281" i="7"/>
  <c r="C281" i="7"/>
  <c r="B281" i="7"/>
  <c r="D329" i="7"/>
  <c r="C329" i="7"/>
  <c r="B329" i="7"/>
  <c r="B377" i="7"/>
  <c r="D377" i="7"/>
  <c r="C377" i="7"/>
  <c r="D480" i="7"/>
  <c r="C480" i="7"/>
  <c r="B480" i="7"/>
  <c r="B722" i="7"/>
  <c r="D722" i="7"/>
  <c r="C722" i="7"/>
  <c r="C415" i="7"/>
  <c r="B415" i="7"/>
  <c r="D415" i="7"/>
  <c r="C463" i="7"/>
  <c r="B463" i="7"/>
  <c r="D463" i="7"/>
  <c r="D511" i="7"/>
  <c r="C511" i="7"/>
  <c r="B511" i="7"/>
  <c r="D559" i="7"/>
  <c r="C559" i="7"/>
  <c r="B559" i="7"/>
  <c r="D607" i="7"/>
  <c r="C607" i="7"/>
  <c r="B607" i="7"/>
  <c r="D655" i="7"/>
  <c r="C655" i="7"/>
  <c r="B655" i="7"/>
  <c r="D691" i="7"/>
  <c r="C691" i="7"/>
  <c r="B691" i="7"/>
  <c r="D506" i="7"/>
  <c r="C506" i="7"/>
  <c r="B506" i="7"/>
  <c r="D554" i="7"/>
  <c r="C554" i="7"/>
  <c r="B554" i="7"/>
  <c r="D602" i="7"/>
  <c r="C602" i="7"/>
  <c r="B602" i="7"/>
  <c r="D650" i="7"/>
  <c r="C650" i="7"/>
  <c r="B650" i="7"/>
  <c r="D693" i="7"/>
  <c r="C693" i="7"/>
  <c r="B693" i="7"/>
  <c r="C409" i="7"/>
  <c r="B409" i="7"/>
  <c r="D409" i="7"/>
  <c r="C457" i="7"/>
  <c r="B457" i="7"/>
  <c r="D457" i="7"/>
  <c r="C505" i="7"/>
  <c r="B505" i="7"/>
  <c r="D505" i="7"/>
  <c r="C553" i="7"/>
  <c r="B553" i="7"/>
  <c r="D553" i="7"/>
  <c r="C601" i="7"/>
  <c r="B601" i="7"/>
  <c r="D601" i="7"/>
  <c r="C649" i="7"/>
  <c r="B649" i="7"/>
  <c r="D649" i="7"/>
  <c r="B690" i="7"/>
  <c r="C690" i="7"/>
  <c r="D690" i="7"/>
  <c r="D741" i="7"/>
  <c r="C741" i="7"/>
  <c r="B741" i="7"/>
  <c r="D789" i="7"/>
  <c r="C789" i="7"/>
  <c r="B789" i="7"/>
  <c r="D837" i="7"/>
  <c r="C837" i="7"/>
  <c r="B837" i="7"/>
  <c r="D885" i="7"/>
  <c r="C885" i="7"/>
  <c r="B885" i="7"/>
  <c r="C1126" i="7"/>
  <c r="B1126" i="7"/>
  <c r="D1126" i="7"/>
  <c r="B724" i="7"/>
  <c r="D724" i="7"/>
  <c r="C724" i="7"/>
  <c r="D772" i="7"/>
  <c r="C772" i="7"/>
  <c r="B772" i="7"/>
  <c r="D820" i="7"/>
  <c r="C820" i="7"/>
  <c r="B820" i="7"/>
  <c r="D868" i="7"/>
  <c r="C868" i="7"/>
  <c r="B868" i="7"/>
  <c r="D1049" i="7"/>
  <c r="C1049" i="7"/>
  <c r="B1049" i="7"/>
  <c r="D743" i="7"/>
  <c r="C743" i="7"/>
  <c r="B743" i="7"/>
  <c r="D791" i="7"/>
  <c r="C791" i="7"/>
  <c r="B791" i="7"/>
  <c r="D839" i="7"/>
  <c r="C839" i="7"/>
  <c r="B839" i="7"/>
  <c r="D887" i="7"/>
  <c r="C887" i="7"/>
  <c r="B887" i="7"/>
  <c r="D1065" i="7"/>
  <c r="C1065" i="7"/>
  <c r="B1065" i="7"/>
  <c r="B750" i="7"/>
  <c r="D750" i="7"/>
  <c r="C750" i="7"/>
  <c r="B798" i="7"/>
  <c r="D798" i="7"/>
  <c r="C798" i="7"/>
  <c r="B846" i="7"/>
  <c r="D846" i="7"/>
  <c r="C846" i="7"/>
  <c r="B894" i="7"/>
  <c r="D894" i="7"/>
  <c r="C894" i="7"/>
  <c r="D1099" i="7"/>
  <c r="C1099" i="7"/>
  <c r="B1099" i="7"/>
  <c r="D912" i="7"/>
  <c r="C912" i="7"/>
  <c r="B912" i="7"/>
  <c r="D960" i="7"/>
  <c r="C960" i="7"/>
  <c r="B960" i="7"/>
  <c r="D1008" i="7"/>
  <c r="C1008" i="7"/>
  <c r="B1008" i="7"/>
  <c r="D1056" i="7"/>
  <c r="C1056" i="7"/>
  <c r="B1056" i="7"/>
  <c r="C1146" i="7"/>
  <c r="B1146" i="7"/>
  <c r="D1146" i="7"/>
  <c r="C1150" i="7"/>
  <c r="B1150" i="7"/>
  <c r="D1150" i="7"/>
  <c r="D939" i="7"/>
  <c r="C939" i="7"/>
  <c r="B939" i="7"/>
  <c r="D987" i="7"/>
  <c r="C987" i="7"/>
  <c r="B987" i="7"/>
  <c r="D1035" i="7"/>
  <c r="C1035" i="7"/>
  <c r="B1035" i="7"/>
  <c r="D1083" i="7"/>
  <c r="C1083" i="7"/>
  <c r="B1083" i="7"/>
  <c r="D1154" i="7"/>
  <c r="C1154" i="7"/>
  <c r="B1154" i="7"/>
  <c r="C906" i="7"/>
  <c r="D906" i="7"/>
  <c r="B906" i="7"/>
  <c r="C954" i="7"/>
  <c r="B954" i="7"/>
  <c r="D954" i="7"/>
  <c r="C1002" i="7"/>
  <c r="B1002" i="7"/>
  <c r="D1002" i="7"/>
  <c r="C1050" i="7"/>
  <c r="B1050" i="7"/>
  <c r="D1050" i="7"/>
  <c r="D1481" i="7"/>
  <c r="C1481" i="7"/>
  <c r="B1481" i="7"/>
  <c r="D1135" i="7"/>
  <c r="C1135" i="7"/>
  <c r="B1135" i="7"/>
  <c r="D1199" i="7"/>
  <c r="C1199" i="7"/>
  <c r="B1199" i="7"/>
  <c r="B1284" i="7"/>
  <c r="D1284" i="7"/>
  <c r="C1284" i="7"/>
  <c r="C1377" i="7"/>
  <c r="B1377" i="7"/>
  <c r="D1377" i="7"/>
  <c r="D1206" i="7"/>
  <c r="C1206" i="7"/>
  <c r="B1206" i="7"/>
  <c r="C1349" i="7"/>
  <c r="B1349" i="7"/>
  <c r="D1349" i="7"/>
  <c r="D1331" i="7"/>
  <c r="C1331" i="7"/>
  <c r="B1331" i="7"/>
  <c r="D1311" i="7"/>
  <c r="C1311" i="7"/>
  <c r="B1311" i="7"/>
  <c r="D1189" i="7"/>
  <c r="C1189" i="7"/>
  <c r="B1189" i="7"/>
  <c r="B1260" i="7"/>
  <c r="D1260" i="7"/>
  <c r="C1260" i="7"/>
  <c r="D1251" i="7"/>
  <c r="C1251" i="7"/>
  <c r="B1251" i="7"/>
  <c r="C1100" i="7"/>
  <c r="B1100" i="7"/>
  <c r="D1100" i="7"/>
  <c r="B1148" i="7"/>
  <c r="D1148" i="7"/>
  <c r="C1148" i="7"/>
  <c r="B1196" i="7"/>
  <c r="D1196" i="7"/>
  <c r="C1196" i="7"/>
  <c r="D1279" i="7"/>
  <c r="B1279" i="7"/>
  <c r="C1279" i="7"/>
  <c r="C1333" i="7"/>
  <c r="D1333" i="7"/>
  <c r="B1333" i="7"/>
  <c r="D1450" i="7"/>
  <c r="B1450" i="7"/>
  <c r="C1450" i="7"/>
  <c r="C1401" i="7"/>
  <c r="D1401" i="7"/>
  <c r="B1401" i="7"/>
  <c r="C1361" i="7"/>
  <c r="D1361" i="7"/>
  <c r="B1361" i="7"/>
  <c r="D1449" i="7"/>
  <c r="C1449" i="7"/>
  <c r="B1449" i="7"/>
  <c r="C1433" i="7"/>
  <c r="B1433" i="7"/>
  <c r="D1433" i="7"/>
  <c r="C1444" i="7"/>
  <c r="B1444" i="7"/>
  <c r="D1444" i="7"/>
  <c r="D1258" i="7"/>
  <c r="C1258" i="7"/>
  <c r="B1258" i="7"/>
  <c r="D1306" i="7"/>
  <c r="C1306" i="7"/>
  <c r="B1306" i="7"/>
  <c r="D1388" i="7"/>
  <c r="C1388" i="7"/>
  <c r="B1388" i="7"/>
  <c r="D1366" i="7"/>
  <c r="B1366" i="7"/>
  <c r="C1366" i="7"/>
  <c r="C1414" i="7"/>
  <c r="B1414" i="7"/>
  <c r="D1414" i="7"/>
  <c r="B1461" i="7"/>
  <c r="D1461" i="7"/>
  <c r="C1461" i="7"/>
  <c r="C1467" i="7"/>
  <c r="B1467" i="7"/>
  <c r="D1467" i="7"/>
  <c r="AP60" i="3"/>
  <c r="AQ60" i="3"/>
  <c r="AO17" i="3"/>
  <c r="V17" i="3"/>
  <c r="W17" i="3" s="1"/>
  <c r="AR11" i="3"/>
  <c r="AQ33" i="3"/>
  <c r="AP33" i="3"/>
  <c r="AQ51" i="3"/>
  <c r="AP51" i="3"/>
  <c r="AB13" i="3"/>
  <c r="AG13" i="3" s="1"/>
  <c r="AL13" i="3" s="1"/>
  <c r="AP18" i="3"/>
  <c r="AQ18" i="3"/>
  <c r="AP12" i="3"/>
  <c r="AQ12" i="3"/>
  <c r="C101" i="8"/>
  <c r="D101" i="8"/>
  <c r="B101" i="8"/>
  <c r="D364" i="8"/>
  <c r="C364" i="8"/>
  <c r="B364" i="8"/>
  <c r="D224" i="8"/>
  <c r="C224" i="8"/>
  <c r="B224" i="8"/>
  <c r="C155" i="8"/>
  <c r="B155" i="8"/>
  <c r="D155" i="8"/>
  <c r="D384" i="8"/>
  <c r="B384" i="8"/>
  <c r="C384" i="8"/>
  <c r="B238" i="8"/>
  <c r="C238" i="8"/>
  <c r="D238" i="8"/>
  <c r="D400" i="8"/>
  <c r="C400" i="8"/>
  <c r="B400" i="8"/>
  <c r="D387" i="8"/>
  <c r="C387" i="8"/>
  <c r="B387" i="8"/>
  <c r="D531" i="8"/>
  <c r="C531" i="8"/>
  <c r="B531" i="8"/>
  <c r="C458" i="8"/>
  <c r="B458" i="8"/>
  <c r="D458" i="8"/>
  <c r="D736" i="8"/>
  <c r="C736" i="8"/>
  <c r="B736" i="8"/>
  <c r="C738" i="8"/>
  <c r="D738" i="8"/>
  <c r="B738" i="8"/>
  <c r="AQ54" i="3"/>
  <c r="AP54" i="3"/>
  <c r="AQ32" i="3"/>
  <c r="AP32" i="3"/>
  <c r="B46" i="8"/>
  <c r="D46" i="8"/>
  <c r="C46" i="8"/>
  <c r="B42" i="8"/>
  <c r="D42" i="8"/>
  <c r="C42" i="8"/>
  <c r="D21" i="8"/>
  <c r="C21" i="8"/>
  <c r="B21" i="8"/>
  <c r="D10" i="8"/>
  <c r="C10" i="8"/>
  <c r="B10" i="8"/>
  <c r="Y2" i="3"/>
  <c r="AD2" i="3" s="1"/>
  <c r="AI2" i="3" s="1"/>
  <c r="AS54" i="3"/>
  <c r="AT54" i="3"/>
  <c r="AT44" i="3"/>
  <c r="AS44" i="3"/>
  <c r="AQ58" i="3"/>
  <c r="AP58" i="3"/>
  <c r="AT34" i="3"/>
  <c r="AS34" i="3"/>
  <c r="C85" i="8"/>
  <c r="D85" i="8"/>
  <c r="B85" i="8"/>
  <c r="D132" i="8"/>
  <c r="C132" i="8"/>
  <c r="B132" i="8"/>
  <c r="D64" i="8"/>
  <c r="C64" i="8"/>
  <c r="B64" i="8"/>
  <c r="D40" i="8"/>
  <c r="C40" i="8"/>
  <c r="B40" i="8"/>
  <c r="D53" i="8"/>
  <c r="C53" i="8"/>
  <c r="B53" i="8"/>
  <c r="C29" i="8"/>
  <c r="B29" i="8"/>
  <c r="D29" i="8"/>
  <c r="C58" i="8"/>
  <c r="B58" i="8"/>
  <c r="D58" i="8"/>
  <c r="D60" i="8"/>
  <c r="C60" i="8"/>
  <c r="B60" i="8"/>
  <c r="C186" i="8"/>
  <c r="B186" i="8"/>
  <c r="D186" i="8"/>
  <c r="D300" i="8"/>
  <c r="C300" i="8"/>
  <c r="B300" i="8"/>
  <c r="D229" i="8"/>
  <c r="C229" i="8"/>
  <c r="B229" i="8"/>
  <c r="D304" i="8"/>
  <c r="C304" i="8"/>
  <c r="B304" i="8"/>
  <c r="D12" i="8"/>
  <c r="C12" i="8"/>
  <c r="B12" i="8"/>
  <c r="C61" i="8"/>
  <c r="D61" i="8"/>
  <c r="B61" i="8"/>
  <c r="C198" i="8"/>
  <c r="B198" i="8"/>
  <c r="D198" i="8"/>
  <c r="D172" i="8"/>
  <c r="C172" i="8"/>
  <c r="B172" i="8"/>
  <c r="D220" i="8"/>
  <c r="C220" i="8"/>
  <c r="B220" i="8"/>
  <c r="D265" i="8"/>
  <c r="C265" i="8"/>
  <c r="B265" i="8"/>
  <c r="B7" i="8"/>
  <c r="D7" i="8"/>
  <c r="C7" i="8"/>
  <c r="C55" i="8"/>
  <c r="D55" i="8"/>
  <c r="B55" i="8"/>
  <c r="C103" i="8"/>
  <c r="B103" i="8"/>
  <c r="D103" i="8"/>
  <c r="C151" i="8"/>
  <c r="B151" i="8"/>
  <c r="D151" i="8"/>
  <c r="C199" i="8"/>
  <c r="B199" i="8"/>
  <c r="D199" i="8"/>
  <c r="D257" i="8"/>
  <c r="C257" i="8"/>
  <c r="B257" i="8"/>
  <c r="D493" i="8"/>
  <c r="C493" i="8"/>
  <c r="B493" i="8"/>
  <c r="C333" i="8"/>
  <c r="B333" i="8"/>
  <c r="D333" i="8"/>
  <c r="D240" i="8"/>
  <c r="C240" i="8"/>
  <c r="B240" i="8"/>
  <c r="D592" i="8"/>
  <c r="C592" i="8"/>
  <c r="B592" i="8"/>
  <c r="D564" i="8"/>
  <c r="C564" i="8"/>
  <c r="B564" i="8"/>
  <c r="D453" i="8"/>
  <c r="C453" i="8"/>
  <c r="B453" i="8"/>
  <c r="D307" i="8"/>
  <c r="C307" i="8"/>
  <c r="B307" i="8"/>
  <c r="D355" i="8"/>
  <c r="B355" i="8"/>
  <c r="C355" i="8"/>
  <c r="D533" i="8"/>
  <c r="C533" i="8"/>
  <c r="B533" i="8"/>
  <c r="B282" i="8"/>
  <c r="C282" i="8"/>
  <c r="D282" i="8"/>
  <c r="B330" i="8"/>
  <c r="D330" i="8"/>
  <c r="C330" i="8"/>
  <c r="B378" i="8"/>
  <c r="D378" i="8"/>
  <c r="C378" i="8"/>
  <c r="C597" i="8"/>
  <c r="B597" i="8"/>
  <c r="D597" i="8"/>
  <c r="D396" i="8"/>
  <c r="C396" i="8"/>
  <c r="B396" i="8"/>
  <c r="D444" i="8"/>
  <c r="C444" i="8"/>
  <c r="B444" i="8"/>
  <c r="D492" i="8"/>
  <c r="C492" i="8"/>
  <c r="B492" i="8"/>
  <c r="D540" i="8"/>
  <c r="C540" i="8"/>
  <c r="B540" i="8"/>
  <c r="D799" i="8"/>
  <c r="C799" i="8"/>
  <c r="B799" i="8"/>
  <c r="D431" i="8"/>
  <c r="C431" i="8"/>
  <c r="B431" i="8"/>
  <c r="D479" i="8"/>
  <c r="C479" i="8"/>
  <c r="B479" i="8"/>
  <c r="D527" i="8"/>
  <c r="C527" i="8"/>
  <c r="B527" i="8"/>
  <c r="D644" i="8"/>
  <c r="C644" i="8"/>
  <c r="B644" i="8"/>
  <c r="C589" i="8"/>
  <c r="B589" i="8"/>
  <c r="D589" i="8"/>
  <c r="D406" i="8"/>
  <c r="C406" i="8"/>
  <c r="B406" i="8"/>
  <c r="C454" i="8"/>
  <c r="B454" i="8"/>
  <c r="D454" i="8"/>
  <c r="C502" i="8"/>
  <c r="B502" i="8"/>
  <c r="D502" i="8"/>
  <c r="D580" i="8"/>
  <c r="C580" i="8"/>
  <c r="B580" i="8"/>
  <c r="C754" i="8"/>
  <c r="D754" i="8"/>
  <c r="B754" i="8"/>
  <c r="D733" i="8"/>
  <c r="C733" i="8"/>
  <c r="B733" i="8"/>
  <c r="D587" i="8"/>
  <c r="C587" i="8"/>
  <c r="B587" i="8"/>
  <c r="D635" i="8"/>
  <c r="C635" i="8"/>
  <c r="B635" i="8"/>
  <c r="D683" i="8"/>
  <c r="C683" i="8"/>
  <c r="B683" i="8"/>
  <c r="D829" i="8"/>
  <c r="C829" i="8"/>
  <c r="B829" i="8"/>
  <c r="D717" i="8"/>
  <c r="C717" i="8"/>
  <c r="B717" i="8"/>
  <c r="C566" i="8"/>
  <c r="B566" i="8"/>
  <c r="D566" i="8"/>
  <c r="D614" i="8"/>
  <c r="C614" i="8"/>
  <c r="B614" i="8"/>
  <c r="D662" i="8"/>
  <c r="C662" i="8"/>
  <c r="B662" i="8"/>
  <c r="D720" i="8"/>
  <c r="C720" i="8"/>
  <c r="B720" i="8"/>
  <c r="D825" i="8"/>
  <c r="C825" i="8"/>
  <c r="B825" i="8"/>
  <c r="D819" i="8"/>
  <c r="C819" i="8"/>
  <c r="B819" i="8"/>
  <c r="D817" i="8"/>
  <c r="C817" i="8"/>
  <c r="B817" i="8"/>
  <c r="C637" i="8"/>
  <c r="B637" i="8"/>
  <c r="D637" i="8"/>
  <c r="C685" i="8"/>
  <c r="B685" i="8"/>
  <c r="D685" i="8"/>
  <c r="C835" i="8"/>
  <c r="D835" i="8"/>
  <c r="B835" i="8"/>
  <c r="B785" i="8"/>
  <c r="D785" i="8"/>
  <c r="C785" i="8"/>
  <c r="D803" i="8"/>
  <c r="C803" i="8"/>
  <c r="B803" i="8"/>
  <c r="D846" i="8"/>
  <c r="C846" i="8"/>
  <c r="B846" i="8"/>
  <c r="D938" i="8"/>
  <c r="C938" i="8"/>
  <c r="B938" i="8"/>
  <c r="D915" i="8"/>
  <c r="C915" i="8"/>
  <c r="B915" i="8"/>
  <c r="D1166" i="8"/>
  <c r="C1166" i="8"/>
  <c r="B1166" i="8"/>
  <c r="D878" i="8"/>
  <c r="C878" i="8"/>
  <c r="B878" i="8"/>
  <c r="D926" i="8"/>
  <c r="C926" i="8"/>
  <c r="B926" i="8"/>
  <c r="B978" i="8"/>
  <c r="D978" i="8"/>
  <c r="C978" i="8"/>
  <c r="D869" i="8"/>
  <c r="C869" i="8"/>
  <c r="B869" i="8"/>
  <c r="D917" i="8"/>
  <c r="C917" i="8"/>
  <c r="B917" i="8"/>
  <c r="C990" i="8"/>
  <c r="B990" i="8"/>
  <c r="D990" i="8"/>
  <c r="D860" i="8"/>
  <c r="C860" i="8"/>
  <c r="B860" i="8"/>
  <c r="D908" i="8"/>
  <c r="C908" i="8"/>
  <c r="B908" i="8"/>
  <c r="C1073" i="8"/>
  <c r="B1073" i="8"/>
  <c r="D1073" i="8"/>
  <c r="D1029" i="8"/>
  <c r="C1029" i="8"/>
  <c r="B1029" i="8"/>
  <c r="D1096" i="8"/>
  <c r="C1096" i="8"/>
  <c r="B1096" i="8"/>
  <c r="D964" i="8"/>
  <c r="C964" i="8"/>
  <c r="B964" i="8"/>
  <c r="D1012" i="8"/>
  <c r="C1012" i="8"/>
  <c r="B1012" i="8"/>
  <c r="D1160" i="8"/>
  <c r="C1160" i="8"/>
  <c r="B1160" i="8"/>
  <c r="D1117" i="8"/>
  <c r="C1117" i="8"/>
  <c r="B1117" i="8"/>
  <c r="D963" i="8"/>
  <c r="C963" i="8"/>
  <c r="B963" i="8"/>
  <c r="D1011" i="8"/>
  <c r="C1011" i="8"/>
  <c r="B1011" i="8"/>
  <c r="D1142" i="8"/>
  <c r="C1142" i="8"/>
  <c r="B1142" i="8"/>
  <c r="D1108" i="8"/>
  <c r="B1108" i="8"/>
  <c r="C1108" i="8"/>
  <c r="D1147" i="8"/>
  <c r="C1147" i="8"/>
  <c r="B1147" i="8"/>
  <c r="D1059" i="8"/>
  <c r="C1059" i="8"/>
  <c r="B1059" i="8"/>
  <c r="D1107" i="8"/>
  <c r="C1107" i="8"/>
  <c r="B1107" i="8"/>
  <c r="D1316" i="8"/>
  <c r="C1316" i="8"/>
  <c r="B1316" i="8"/>
  <c r="D1066" i="8"/>
  <c r="C1066" i="8"/>
  <c r="B1066" i="8"/>
  <c r="D1114" i="8"/>
  <c r="C1114" i="8"/>
  <c r="B1114" i="8"/>
  <c r="D1277" i="8"/>
  <c r="C1277" i="8"/>
  <c r="B1277" i="8"/>
  <c r="D1314" i="8"/>
  <c r="C1314" i="8"/>
  <c r="B1314" i="8"/>
  <c r="D1258" i="8"/>
  <c r="C1258" i="8"/>
  <c r="B1258" i="8"/>
  <c r="D1428" i="8"/>
  <c r="B1428" i="8"/>
  <c r="C1428" i="8"/>
  <c r="D1145" i="8"/>
  <c r="C1145" i="8"/>
  <c r="B1145" i="8"/>
  <c r="D1193" i="8"/>
  <c r="C1193" i="8"/>
  <c r="B1193" i="8"/>
  <c r="C1378" i="8"/>
  <c r="D1378" i="8"/>
  <c r="B1378" i="8"/>
  <c r="D1293" i="8"/>
  <c r="C1293" i="8"/>
  <c r="B1293" i="8"/>
  <c r="D1322" i="8"/>
  <c r="C1322" i="8"/>
  <c r="B1322" i="8"/>
  <c r="D1253" i="8"/>
  <c r="C1253" i="8"/>
  <c r="B1253" i="8"/>
  <c r="D1260" i="8"/>
  <c r="C1260" i="8"/>
  <c r="B1260" i="8"/>
  <c r="D1332" i="8"/>
  <c r="C1332" i="8"/>
  <c r="B1332" i="8"/>
  <c r="C1228" i="8"/>
  <c r="D1228" i="8"/>
  <c r="B1228" i="8"/>
  <c r="D1310" i="8"/>
  <c r="C1310" i="8"/>
  <c r="B1310" i="8"/>
  <c r="D1422" i="8"/>
  <c r="C1422" i="8"/>
  <c r="B1422" i="8"/>
  <c r="C1342" i="8"/>
  <c r="D1342" i="8"/>
  <c r="B1342" i="8"/>
  <c r="B1380" i="8"/>
  <c r="D1380" i="8"/>
  <c r="C1380" i="8"/>
  <c r="D1452" i="8"/>
  <c r="B1452" i="8"/>
  <c r="C1452" i="8"/>
  <c r="C1350" i="8"/>
  <c r="D1350" i="8"/>
  <c r="B1350" i="8"/>
  <c r="D1482" i="8"/>
  <c r="C1482" i="8"/>
  <c r="B1482" i="8"/>
  <c r="C1366" i="8"/>
  <c r="B1366" i="8"/>
  <c r="D1366" i="8"/>
  <c r="D1416" i="8"/>
  <c r="B1416" i="8"/>
  <c r="C1416" i="8"/>
  <c r="D1433" i="8"/>
  <c r="C1433" i="8"/>
  <c r="B1433" i="8"/>
  <c r="D1481" i="8"/>
  <c r="B1481" i="8"/>
  <c r="C1481" i="8"/>
  <c r="C1431" i="8"/>
  <c r="D1431" i="8"/>
  <c r="B1431" i="8"/>
  <c r="C1479" i="8"/>
  <c r="B1479" i="8"/>
  <c r="D1479" i="8"/>
  <c r="AQ56" i="3"/>
  <c r="AP56" i="3"/>
  <c r="D353" i="6"/>
  <c r="C353" i="6"/>
  <c r="B353" i="6"/>
  <c r="C31" i="6"/>
  <c r="B31" i="6"/>
  <c r="D31" i="6"/>
  <c r="B101" i="6"/>
  <c r="D101" i="6"/>
  <c r="C101" i="6"/>
  <c r="B245" i="6"/>
  <c r="D245" i="6"/>
  <c r="C245" i="6"/>
  <c r="C40" i="6"/>
  <c r="B40" i="6"/>
  <c r="D40" i="6"/>
  <c r="C184" i="6"/>
  <c r="B184" i="6"/>
  <c r="D184" i="6"/>
  <c r="B25" i="6"/>
  <c r="D25" i="6"/>
  <c r="C25" i="6"/>
  <c r="B169" i="6"/>
  <c r="D169" i="6"/>
  <c r="C169" i="6"/>
  <c r="D284" i="6"/>
  <c r="C284" i="6"/>
  <c r="B284" i="6"/>
  <c r="C119" i="6"/>
  <c r="B119" i="6"/>
  <c r="D119" i="6"/>
  <c r="D337" i="6"/>
  <c r="C337" i="6"/>
  <c r="B337" i="6"/>
  <c r="C82" i="6"/>
  <c r="B82" i="6"/>
  <c r="D82" i="6"/>
  <c r="C226" i="6"/>
  <c r="B226" i="6"/>
  <c r="D226" i="6"/>
  <c r="C67" i="6"/>
  <c r="B67" i="6"/>
  <c r="D67" i="6"/>
  <c r="C211" i="6"/>
  <c r="B211" i="6"/>
  <c r="D211" i="6"/>
  <c r="B17" i="6"/>
  <c r="D17" i="6"/>
  <c r="C17" i="6"/>
  <c r="B161" i="6"/>
  <c r="D161" i="6"/>
  <c r="C161" i="6"/>
  <c r="C277" i="6"/>
  <c r="B277" i="6"/>
  <c r="D277" i="6"/>
  <c r="C76" i="6"/>
  <c r="B76" i="6"/>
  <c r="D76" i="6"/>
  <c r="C220" i="6"/>
  <c r="B220" i="6"/>
  <c r="D220" i="6"/>
  <c r="C74" i="6"/>
  <c r="B74" i="6"/>
  <c r="D74" i="6"/>
  <c r="C218" i="6"/>
  <c r="B218" i="6"/>
  <c r="D218" i="6"/>
  <c r="C59" i="6"/>
  <c r="B59" i="6"/>
  <c r="D59" i="6"/>
  <c r="C203" i="6"/>
  <c r="B203" i="6"/>
  <c r="D203" i="6"/>
  <c r="B9" i="6"/>
  <c r="D9" i="6"/>
  <c r="C9" i="6"/>
  <c r="B153" i="6"/>
  <c r="D153" i="6"/>
  <c r="C153" i="6"/>
  <c r="B273" i="6"/>
  <c r="D273" i="6"/>
  <c r="C273" i="6"/>
  <c r="D587" i="6"/>
  <c r="C587" i="6"/>
  <c r="B587" i="6"/>
  <c r="D344" i="6"/>
  <c r="C344" i="6"/>
  <c r="B344" i="6"/>
  <c r="D392" i="6"/>
  <c r="C392" i="6"/>
  <c r="B392" i="6"/>
  <c r="D507" i="6"/>
  <c r="C507" i="6"/>
  <c r="B507" i="6"/>
  <c r="D551" i="6"/>
  <c r="C551" i="6"/>
  <c r="B551" i="6"/>
  <c r="C291" i="6"/>
  <c r="B291" i="6"/>
  <c r="D291" i="6"/>
  <c r="D339" i="6"/>
  <c r="C339" i="6"/>
  <c r="B339" i="6"/>
  <c r="D387" i="6"/>
  <c r="C387" i="6"/>
  <c r="B387" i="6"/>
  <c r="D495" i="6"/>
  <c r="C495" i="6"/>
  <c r="B495" i="6"/>
  <c r="D611" i="6"/>
  <c r="C611" i="6"/>
  <c r="B611" i="6"/>
  <c r="C354" i="6"/>
  <c r="B354" i="6"/>
  <c r="D354" i="6"/>
  <c r="C402" i="6"/>
  <c r="B402" i="6"/>
  <c r="D402" i="6"/>
  <c r="D583" i="6"/>
  <c r="C583" i="6"/>
  <c r="B583" i="6"/>
  <c r="D444" i="6"/>
  <c r="C444" i="6"/>
  <c r="B444" i="6"/>
  <c r="C492" i="6"/>
  <c r="B492" i="6"/>
  <c r="D492" i="6"/>
  <c r="C540" i="6"/>
  <c r="B540" i="6"/>
  <c r="D540" i="6"/>
  <c r="C588" i="6"/>
  <c r="B588" i="6"/>
  <c r="D588" i="6"/>
  <c r="D636" i="6"/>
  <c r="C636" i="6"/>
  <c r="B636" i="6"/>
  <c r="D684" i="6"/>
  <c r="C684" i="6"/>
  <c r="B684" i="6"/>
  <c r="D732" i="6"/>
  <c r="C732" i="6"/>
  <c r="B732" i="6"/>
  <c r="D780" i="6"/>
  <c r="C780" i="6"/>
  <c r="B780" i="6"/>
  <c r="B1301" i="6"/>
  <c r="D1301" i="6"/>
  <c r="C1301" i="6"/>
  <c r="D639" i="6"/>
  <c r="C639" i="6"/>
  <c r="B639" i="6"/>
  <c r="D687" i="6"/>
  <c r="C687" i="6"/>
  <c r="B687" i="6"/>
  <c r="D735" i="6"/>
  <c r="C735" i="6"/>
  <c r="B735" i="6"/>
  <c r="D783" i="6"/>
  <c r="C783" i="6"/>
  <c r="B783" i="6"/>
  <c r="D855" i="6"/>
  <c r="C855" i="6"/>
  <c r="B855" i="6"/>
  <c r="D462" i="6"/>
  <c r="C462" i="6"/>
  <c r="B462" i="6"/>
  <c r="D510" i="6"/>
  <c r="C510" i="6"/>
  <c r="B510" i="6"/>
  <c r="D558" i="6"/>
  <c r="C558" i="6"/>
  <c r="B558" i="6"/>
  <c r="D606" i="6"/>
  <c r="C606" i="6"/>
  <c r="B606" i="6"/>
  <c r="D654" i="6"/>
  <c r="C654" i="6"/>
  <c r="B654" i="6"/>
  <c r="D702" i="6"/>
  <c r="C702" i="6"/>
  <c r="B702" i="6"/>
  <c r="D750" i="6"/>
  <c r="C750" i="6"/>
  <c r="B750" i="6"/>
  <c r="D798" i="6"/>
  <c r="C798" i="6"/>
  <c r="B798" i="6"/>
  <c r="D1465" i="6"/>
  <c r="B1465" i="6"/>
  <c r="C1465" i="6"/>
  <c r="D473" i="6"/>
  <c r="C473" i="6"/>
  <c r="B473" i="6"/>
  <c r="D521" i="6"/>
  <c r="C521" i="6"/>
  <c r="B521" i="6"/>
  <c r="D569" i="6"/>
  <c r="C569" i="6"/>
  <c r="B569" i="6"/>
  <c r="D617" i="6"/>
  <c r="C617" i="6"/>
  <c r="B617" i="6"/>
  <c r="D665" i="6"/>
  <c r="C665" i="6"/>
  <c r="B665" i="6"/>
  <c r="D713" i="6"/>
  <c r="C713" i="6"/>
  <c r="B713" i="6"/>
  <c r="D761" i="6"/>
  <c r="C761" i="6"/>
  <c r="B761" i="6"/>
  <c r="D809" i="6"/>
  <c r="C809" i="6"/>
  <c r="B809" i="6"/>
  <c r="B844" i="6"/>
  <c r="D844" i="6"/>
  <c r="C844" i="6"/>
  <c r="D892" i="6"/>
  <c r="B892" i="6"/>
  <c r="C892" i="6"/>
  <c r="D940" i="6"/>
  <c r="B940" i="6"/>
  <c r="C940" i="6"/>
  <c r="D988" i="6"/>
  <c r="B988" i="6"/>
  <c r="C988" i="6"/>
  <c r="D1036" i="6"/>
  <c r="C1036" i="6"/>
  <c r="B1036" i="6"/>
  <c r="D1084" i="6"/>
  <c r="C1084" i="6"/>
  <c r="B1084" i="6"/>
  <c r="D1132" i="6"/>
  <c r="C1132" i="6"/>
  <c r="B1132" i="6"/>
  <c r="D1180" i="6"/>
  <c r="C1180" i="6"/>
  <c r="B1180" i="6"/>
  <c r="D891" i="6"/>
  <c r="C891" i="6"/>
  <c r="B891" i="6"/>
  <c r="D939" i="6"/>
  <c r="C939" i="6"/>
  <c r="B939" i="6"/>
  <c r="D987" i="6"/>
  <c r="C987" i="6"/>
  <c r="B987" i="6"/>
  <c r="D1035" i="6"/>
  <c r="C1035" i="6"/>
  <c r="B1035" i="6"/>
  <c r="D1083" i="6"/>
  <c r="C1083" i="6"/>
  <c r="B1083" i="6"/>
  <c r="D1131" i="6"/>
  <c r="C1131" i="6"/>
  <c r="B1131" i="6"/>
  <c r="D1179" i="6"/>
  <c r="C1179" i="6"/>
  <c r="B1179" i="6"/>
  <c r="D1240" i="6"/>
  <c r="B1240" i="6"/>
  <c r="C1240" i="6"/>
  <c r="D838" i="6"/>
  <c r="C838" i="6"/>
  <c r="B838" i="6"/>
  <c r="D886" i="6"/>
  <c r="C886" i="6"/>
  <c r="B886" i="6"/>
  <c r="D934" i="6"/>
  <c r="C934" i="6"/>
  <c r="B934" i="6"/>
  <c r="D982" i="6"/>
  <c r="C982" i="6"/>
  <c r="B982" i="6"/>
  <c r="D1030" i="6"/>
  <c r="C1030" i="6"/>
  <c r="B1030" i="6"/>
  <c r="D1078" i="6"/>
  <c r="C1078" i="6"/>
  <c r="B1078" i="6"/>
  <c r="D1126" i="6"/>
  <c r="C1126" i="6"/>
  <c r="B1126" i="6"/>
  <c r="D1174" i="6"/>
  <c r="C1174" i="6"/>
  <c r="B1174" i="6"/>
  <c r="D1264" i="6"/>
  <c r="B1264" i="6"/>
  <c r="C1264" i="6"/>
  <c r="D1341" i="6"/>
  <c r="C1341" i="6"/>
  <c r="B1341" i="6"/>
  <c r="D833" i="6"/>
  <c r="C833" i="6"/>
  <c r="B833" i="6"/>
  <c r="D881" i="6"/>
  <c r="C881" i="6"/>
  <c r="B881" i="6"/>
  <c r="D929" i="6"/>
  <c r="C929" i="6"/>
  <c r="B929" i="6"/>
  <c r="D977" i="6"/>
  <c r="C977" i="6"/>
  <c r="B977" i="6"/>
  <c r="D1025" i="6"/>
  <c r="C1025" i="6"/>
  <c r="B1025" i="6"/>
  <c r="D1073" i="6"/>
  <c r="C1073" i="6"/>
  <c r="B1073" i="6"/>
  <c r="D1121" i="6"/>
  <c r="C1121" i="6"/>
  <c r="B1121" i="6"/>
  <c r="D1169" i="6"/>
  <c r="C1169" i="6"/>
  <c r="B1169" i="6"/>
  <c r="B1334" i="6"/>
  <c r="C1334" i="6"/>
  <c r="D1334" i="6"/>
  <c r="C1483" i="6"/>
  <c r="B1483" i="6"/>
  <c r="D1483" i="6"/>
  <c r="B1398" i="6"/>
  <c r="D1398" i="6"/>
  <c r="C1398" i="6"/>
  <c r="D1493" i="6"/>
  <c r="C1493" i="6"/>
  <c r="B1493" i="6"/>
  <c r="D1259" i="6"/>
  <c r="C1259" i="6"/>
  <c r="B1259" i="6"/>
  <c r="D1307" i="6"/>
  <c r="C1307" i="6"/>
  <c r="B1307" i="6"/>
  <c r="D1333" i="6"/>
  <c r="C1333" i="6"/>
  <c r="B1333" i="6"/>
  <c r="B1443" i="6"/>
  <c r="D1443" i="6"/>
  <c r="C1443" i="6"/>
  <c r="C1234" i="6"/>
  <c r="B1234" i="6"/>
  <c r="D1234" i="6"/>
  <c r="C1282" i="6"/>
  <c r="B1282" i="6"/>
  <c r="D1282" i="6"/>
  <c r="D1381" i="6"/>
  <c r="B1381" i="6"/>
  <c r="C1381" i="6"/>
  <c r="B1383" i="6"/>
  <c r="D1383" i="6"/>
  <c r="C1383" i="6"/>
  <c r="C1478" i="6"/>
  <c r="B1478" i="6"/>
  <c r="D1478" i="6"/>
  <c r="D1337" i="6"/>
  <c r="B1337" i="6"/>
  <c r="C1337" i="6"/>
  <c r="B1362" i="6"/>
  <c r="D1362" i="6"/>
  <c r="C1362" i="6"/>
  <c r="C1463" i="6"/>
  <c r="B1463" i="6"/>
  <c r="D1463" i="6"/>
  <c r="B1356" i="6"/>
  <c r="C1356" i="6"/>
  <c r="D1356" i="6"/>
  <c r="B1404" i="6"/>
  <c r="D1404" i="6"/>
  <c r="C1404" i="6"/>
  <c r="B1452" i="6"/>
  <c r="D1452" i="6"/>
  <c r="C1452" i="6"/>
  <c r="B1500" i="6"/>
  <c r="D1500" i="6"/>
  <c r="C1500" i="6"/>
  <c r="AT20" i="3"/>
  <c r="AS20" i="3"/>
  <c r="Z6" i="3"/>
  <c r="AE6" i="3" s="1"/>
  <c r="AJ6" i="3" s="1"/>
  <c r="C66" i="7"/>
  <c r="B66" i="7"/>
  <c r="D66" i="7"/>
  <c r="C74" i="7"/>
  <c r="B74" i="7"/>
  <c r="D74" i="7"/>
  <c r="C34" i="7"/>
  <c r="B34" i="7"/>
  <c r="D34" i="7"/>
  <c r="D117" i="7"/>
  <c r="C117" i="7"/>
  <c r="B117" i="7"/>
  <c r="C75" i="7"/>
  <c r="B75" i="7"/>
  <c r="D75" i="7"/>
  <c r="C35" i="7"/>
  <c r="B35" i="7"/>
  <c r="D35" i="7"/>
  <c r="C38" i="7"/>
  <c r="B38" i="7"/>
  <c r="D38" i="7"/>
  <c r="D131" i="7"/>
  <c r="C131" i="7"/>
  <c r="B131" i="7"/>
  <c r="D179" i="7"/>
  <c r="C179" i="7"/>
  <c r="B179" i="7"/>
  <c r="D294" i="7"/>
  <c r="C294" i="7"/>
  <c r="B294" i="7"/>
  <c r="D134" i="7"/>
  <c r="C134" i="7"/>
  <c r="B134" i="7"/>
  <c r="D182" i="7"/>
  <c r="C182" i="7"/>
  <c r="B182" i="7"/>
  <c r="D350" i="7"/>
  <c r="C350" i="7"/>
  <c r="B350" i="7"/>
  <c r="D161" i="7"/>
  <c r="C161" i="7"/>
  <c r="B161" i="7"/>
  <c r="D242" i="7"/>
  <c r="C242" i="7"/>
  <c r="B242" i="7"/>
  <c r="B20" i="7"/>
  <c r="D20" i="7"/>
  <c r="C20" i="7"/>
  <c r="B68" i="7"/>
  <c r="D68" i="7"/>
  <c r="C68" i="7"/>
  <c r="B116" i="7"/>
  <c r="D116" i="7"/>
  <c r="C116" i="7"/>
  <c r="B164" i="7"/>
  <c r="D164" i="7"/>
  <c r="C164" i="7"/>
  <c r="D246" i="7"/>
  <c r="C246" i="7"/>
  <c r="B246" i="7"/>
  <c r="D220" i="7"/>
  <c r="C220" i="7"/>
  <c r="B220" i="7"/>
  <c r="D268" i="7"/>
  <c r="C268" i="7"/>
  <c r="B268" i="7"/>
  <c r="D316" i="7"/>
  <c r="C316" i="7"/>
  <c r="B316" i="7"/>
  <c r="D364" i="7"/>
  <c r="C364" i="7"/>
  <c r="B364" i="7"/>
  <c r="D484" i="7"/>
  <c r="C484" i="7"/>
  <c r="B484" i="7"/>
  <c r="D472" i="7"/>
  <c r="C472" i="7"/>
  <c r="B472" i="7"/>
  <c r="D203" i="7"/>
  <c r="C203" i="7"/>
  <c r="B203" i="7"/>
  <c r="C251" i="7"/>
  <c r="D251" i="7"/>
  <c r="B251" i="7"/>
  <c r="C299" i="7"/>
  <c r="D299" i="7"/>
  <c r="B299" i="7"/>
  <c r="C347" i="7"/>
  <c r="B347" i="7"/>
  <c r="D347" i="7"/>
  <c r="D426" i="7"/>
  <c r="C426" i="7"/>
  <c r="B426" i="7"/>
  <c r="D624" i="7"/>
  <c r="C624" i="7"/>
  <c r="B624" i="7"/>
  <c r="D448" i="7"/>
  <c r="C448" i="7"/>
  <c r="B448" i="7"/>
  <c r="D676" i="7"/>
  <c r="C676" i="7"/>
  <c r="B676" i="7"/>
  <c r="D680" i="7"/>
  <c r="C680" i="7"/>
  <c r="B680" i="7"/>
  <c r="D237" i="7"/>
  <c r="B237" i="7"/>
  <c r="C237" i="7"/>
  <c r="D285" i="7"/>
  <c r="C285" i="7"/>
  <c r="B285" i="7"/>
  <c r="D333" i="7"/>
  <c r="C333" i="7"/>
  <c r="B333" i="7"/>
  <c r="D398" i="7"/>
  <c r="C398" i="7"/>
  <c r="B398" i="7"/>
  <c r="D516" i="7"/>
  <c r="C516" i="7"/>
  <c r="B516" i="7"/>
  <c r="D689" i="7"/>
  <c r="C689" i="7"/>
  <c r="B689" i="7"/>
  <c r="C419" i="7"/>
  <c r="B419" i="7"/>
  <c r="D419" i="7"/>
  <c r="C467" i="7"/>
  <c r="B467" i="7"/>
  <c r="D467" i="7"/>
  <c r="D515" i="7"/>
  <c r="C515" i="7"/>
  <c r="B515" i="7"/>
  <c r="D563" i="7"/>
  <c r="C563" i="7"/>
  <c r="B563" i="7"/>
  <c r="D611" i="7"/>
  <c r="C611" i="7"/>
  <c r="B611" i="7"/>
  <c r="D659" i="7"/>
  <c r="C659" i="7"/>
  <c r="B659" i="7"/>
  <c r="B714" i="7"/>
  <c r="D714" i="7"/>
  <c r="C714" i="7"/>
  <c r="D510" i="7"/>
  <c r="C510" i="7"/>
  <c r="B510" i="7"/>
  <c r="D558" i="7"/>
  <c r="C558" i="7"/>
  <c r="B558" i="7"/>
  <c r="D606" i="7"/>
  <c r="C606" i="7"/>
  <c r="B606" i="7"/>
  <c r="D654" i="7"/>
  <c r="C654" i="7"/>
  <c r="B654" i="7"/>
  <c r="D703" i="7"/>
  <c r="C703" i="7"/>
  <c r="B703" i="7"/>
  <c r="C413" i="7"/>
  <c r="B413" i="7"/>
  <c r="D413" i="7"/>
  <c r="C461" i="7"/>
  <c r="B461" i="7"/>
  <c r="D461" i="7"/>
  <c r="C509" i="7"/>
  <c r="B509" i="7"/>
  <c r="D509" i="7"/>
  <c r="C557" i="7"/>
  <c r="B557" i="7"/>
  <c r="D557" i="7"/>
  <c r="C605" i="7"/>
  <c r="B605" i="7"/>
  <c r="D605" i="7"/>
  <c r="C653" i="7"/>
  <c r="B653" i="7"/>
  <c r="D653" i="7"/>
  <c r="D705" i="7"/>
  <c r="B705" i="7"/>
  <c r="C705" i="7"/>
  <c r="D745" i="7"/>
  <c r="C745" i="7"/>
  <c r="B745" i="7"/>
  <c r="D793" i="7"/>
  <c r="C793" i="7"/>
  <c r="B793" i="7"/>
  <c r="D841" i="7"/>
  <c r="C841" i="7"/>
  <c r="B841" i="7"/>
  <c r="D889" i="7"/>
  <c r="C889" i="7"/>
  <c r="B889" i="7"/>
  <c r="D997" i="7"/>
  <c r="C997" i="7"/>
  <c r="B997" i="7"/>
  <c r="D728" i="7"/>
  <c r="B728" i="7"/>
  <c r="C728" i="7"/>
  <c r="D776" i="7"/>
  <c r="C776" i="7"/>
  <c r="B776" i="7"/>
  <c r="D824" i="7"/>
  <c r="C824" i="7"/>
  <c r="B824" i="7"/>
  <c r="D872" i="7"/>
  <c r="C872" i="7"/>
  <c r="B872" i="7"/>
  <c r="D1005" i="7"/>
  <c r="C1005" i="7"/>
  <c r="B1005" i="7"/>
  <c r="D747" i="7"/>
  <c r="C747" i="7"/>
  <c r="B747" i="7"/>
  <c r="D795" i="7"/>
  <c r="C795" i="7"/>
  <c r="B795" i="7"/>
  <c r="D843" i="7"/>
  <c r="C843" i="7"/>
  <c r="B843" i="7"/>
  <c r="D891" i="7"/>
  <c r="C891" i="7"/>
  <c r="B891" i="7"/>
  <c r="D1107" i="7"/>
  <c r="C1107" i="7"/>
  <c r="B1107" i="7"/>
  <c r="B754" i="7"/>
  <c r="D754" i="7"/>
  <c r="C754" i="7"/>
  <c r="B802" i="7"/>
  <c r="D802" i="7"/>
  <c r="C802" i="7"/>
  <c r="B850" i="7"/>
  <c r="D850" i="7"/>
  <c r="C850" i="7"/>
  <c r="D977" i="7"/>
  <c r="C977" i="7"/>
  <c r="B977" i="7"/>
  <c r="B1102" i="7"/>
  <c r="D1102" i="7"/>
  <c r="C1102" i="7"/>
  <c r="D916" i="7"/>
  <c r="C916" i="7"/>
  <c r="B916" i="7"/>
  <c r="D964" i="7"/>
  <c r="C964" i="7"/>
  <c r="B964" i="7"/>
  <c r="D1012" i="7"/>
  <c r="C1012" i="7"/>
  <c r="B1012" i="7"/>
  <c r="D1060" i="7"/>
  <c r="C1060" i="7"/>
  <c r="B1060" i="7"/>
  <c r="D1087" i="7"/>
  <c r="C1087" i="7"/>
  <c r="B1087" i="7"/>
  <c r="D895" i="7"/>
  <c r="C895" i="7"/>
  <c r="B895" i="7"/>
  <c r="D943" i="7"/>
  <c r="C943" i="7"/>
  <c r="B943" i="7"/>
  <c r="D991" i="7"/>
  <c r="C991" i="7"/>
  <c r="B991" i="7"/>
  <c r="D1039" i="7"/>
  <c r="C1039" i="7"/>
  <c r="B1039" i="7"/>
  <c r="D1095" i="7"/>
  <c r="C1095" i="7"/>
  <c r="B1095" i="7"/>
  <c r="D1158" i="7"/>
  <c r="C1158" i="7"/>
  <c r="B1158" i="7"/>
  <c r="C910" i="7"/>
  <c r="D910" i="7"/>
  <c r="B910" i="7"/>
  <c r="C958" i="7"/>
  <c r="B958" i="7"/>
  <c r="D958" i="7"/>
  <c r="C1006" i="7"/>
  <c r="B1006" i="7"/>
  <c r="D1006" i="7"/>
  <c r="C1054" i="7"/>
  <c r="B1054" i="7"/>
  <c r="D1054" i="7"/>
  <c r="D1097" i="7"/>
  <c r="B1097" i="7"/>
  <c r="C1097" i="7"/>
  <c r="D1155" i="7"/>
  <c r="C1155" i="7"/>
  <c r="B1155" i="7"/>
  <c r="D1203" i="7"/>
  <c r="C1203" i="7"/>
  <c r="B1203" i="7"/>
  <c r="D1315" i="7"/>
  <c r="C1315" i="7"/>
  <c r="B1315" i="7"/>
  <c r="C1385" i="7"/>
  <c r="D1385" i="7"/>
  <c r="B1385" i="7"/>
  <c r="D1210" i="7"/>
  <c r="C1210" i="7"/>
  <c r="B1210" i="7"/>
  <c r="D1363" i="7"/>
  <c r="B1363" i="7"/>
  <c r="C1363" i="7"/>
  <c r="C1356" i="7"/>
  <c r="D1356" i="7"/>
  <c r="B1356" i="7"/>
  <c r="D1325" i="7"/>
  <c r="C1325" i="7"/>
  <c r="B1325" i="7"/>
  <c r="D1193" i="7"/>
  <c r="C1193" i="7"/>
  <c r="B1193" i="7"/>
  <c r="D1291" i="7"/>
  <c r="C1291" i="7"/>
  <c r="B1291" i="7"/>
  <c r="C1265" i="7"/>
  <c r="B1265" i="7"/>
  <c r="D1265" i="7"/>
  <c r="B1104" i="7"/>
  <c r="D1104" i="7"/>
  <c r="C1104" i="7"/>
  <c r="B1152" i="7"/>
  <c r="D1152" i="7"/>
  <c r="C1152" i="7"/>
  <c r="B1200" i="7"/>
  <c r="D1200" i="7"/>
  <c r="C1200" i="7"/>
  <c r="B1293" i="7"/>
  <c r="D1293" i="7"/>
  <c r="C1293" i="7"/>
  <c r="C1337" i="7"/>
  <c r="D1337" i="7"/>
  <c r="B1337" i="7"/>
  <c r="D1452" i="7"/>
  <c r="C1452" i="7"/>
  <c r="B1452" i="7"/>
  <c r="D1419" i="7"/>
  <c r="C1419" i="7"/>
  <c r="B1419" i="7"/>
  <c r="D1392" i="7"/>
  <c r="C1392" i="7"/>
  <c r="B1392" i="7"/>
  <c r="D1457" i="7"/>
  <c r="C1457" i="7"/>
  <c r="B1457" i="7"/>
  <c r="D1482" i="7"/>
  <c r="B1482" i="7"/>
  <c r="C1482" i="7"/>
  <c r="B1420" i="7"/>
  <c r="D1420" i="7"/>
  <c r="C1420" i="7"/>
  <c r="B1262" i="7"/>
  <c r="D1262" i="7"/>
  <c r="C1262" i="7"/>
  <c r="B1310" i="7"/>
  <c r="D1310" i="7"/>
  <c r="C1310" i="7"/>
  <c r="D1391" i="7"/>
  <c r="C1391" i="7"/>
  <c r="B1391" i="7"/>
  <c r="D1370" i="7"/>
  <c r="B1370" i="7"/>
  <c r="C1370" i="7"/>
  <c r="D1418" i="7"/>
  <c r="C1418" i="7"/>
  <c r="B1418" i="7"/>
  <c r="B1477" i="7"/>
  <c r="D1477" i="7"/>
  <c r="C1477" i="7"/>
  <c r="D1471" i="7"/>
  <c r="C1471" i="7"/>
  <c r="B1471" i="7"/>
  <c r="AT50" i="3"/>
  <c r="AS50" i="3"/>
  <c r="AS43" i="3"/>
  <c r="AT43" i="3"/>
  <c r="AP15" i="3"/>
  <c r="AQ15" i="3"/>
  <c r="B34" i="8"/>
  <c r="D34" i="8"/>
  <c r="C34" i="8"/>
  <c r="B9" i="8"/>
  <c r="D9" i="8"/>
  <c r="C9" i="8"/>
  <c r="D332" i="8"/>
  <c r="C332" i="8"/>
  <c r="B332" i="8"/>
  <c r="C203" i="8"/>
  <c r="B203" i="8"/>
  <c r="D203" i="8"/>
  <c r="D572" i="8"/>
  <c r="C572" i="8"/>
  <c r="B572" i="8"/>
  <c r="B286" i="8"/>
  <c r="D286" i="8"/>
  <c r="C286" i="8"/>
  <c r="D448" i="8"/>
  <c r="C448" i="8"/>
  <c r="B448" i="8"/>
  <c r="D483" i="8"/>
  <c r="C483" i="8"/>
  <c r="B483" i="8"/>
  <c r="D410" i="8"/>
  <c r="C410" i="8"/>
  <c r="B410" i="8"/>
  <c r="D556" i="8"/>
  <c r="C556" i="8"/>
  <c r="B556" i="8"/>
  <c r="D687" i="8"/>
  <c r="C687" i="8"/>
  <c r="B687" i="8"/>
  <c r="D741" i="8"/>
  <c r="C741" i="8"/>
  <c r="B741" i="8"/>
  <c r="D666" i="8"/>
  <c r="C666" i="8"/>
  <c r="B666" i="8"/>
  <c r="C723" i="8"/>
  <c r="D723" i="8"/>
  <c r="B723" i="8"/>
  <c r="C847" i="8"/>
  <c r="D847" i="8"/>
  <c r="B847" i="8"/>
  <c r="D821" i="8"/>
  <c r="C821" i="8"/>
  <c r="B821" i="8"/>
  <c r="D838" i="8"/>
  <c r="C838" i="8"/>
  <c r="B838" i="8"/>
  <c r="C641" i="8"/>
  <c r="B641" i="8"/>
  <c r="D641" i="8"/>
  <c r="C689" i="8"/>
  <c r="B689" i="8"/>
  <c r="D689" i="8"/>
  <c r="B712" i="8"/>
  <c r="D712" i="8"/>
  <c r="C712" i="8"/>
  <c r="D807" i="8"/>
  <c r="C807" i="8"/>
  <c r="B807" i="8"/>
  <c r="D805" i="8"/>
  <c r="C805" i="8"/>
  <c r="B805" i="8"/>
  <c r="D850" i="8"/>
  <c r="C850" i="8"/>
  <c r="B850" i="8"/>
  <c r="C794" i="8"/>
  <c r="B794" i="8"/>
  <c r="D794" i="8"/>
  <c r="D1018" i="8"/>
  <c r="C1018" i="8"/>
  <c r="B1018" i="8"/>
  <c r="D945" i="8"/>
  <c r="B945" i="8"/>
  <c r="C945" i="8"/>
  <c r="D882" i="8"/>
  <c r="C882" i="8"/>
  <c r="B882" i="8"/>
  <c r="B970" i="8"/>
  <c r="D970" i="8"/>
  <c r="C970" i="8"/>
  <c r="D1014" i="8"/>
  <c r="C1014" i="8"/>
  <c r="B1014" i="8"/>
  <c r="D873" i="8"/>
  <c r="C873" i="8"/>
  <c r="B873" i="8"/>
  <c r="D921" i="8"/>
  <c r="C921" i="8"/>
  <c r="B921" i="8"/>
  <c r="D1022" i="8"/>
  <c r="C1022" i="8"/>
  <c r="B1022" i="8"/>
  <c r="C864" i="8"/>
  <c r="B864" i="8"/>
  <c r="D864" i="8"/>
  <c r="D912" i="8"/>
  <c r="C912" i="8"/>
  <c r="B912" i="8"/>
  <c r="C1077" i="8"/>
  <c r="B1077" i="8"/>
  <c r="D1077" i="8"/>
  <c r="D1033" i="8"/>
  <c r="C1033" i="8"/>
  <c r="B1033" i="8"/>
  <c r="B1274" i="8"/>
  <c r="D1274" i="8"/>
  <c r="C1274" i="8"/>
  <c r="D968" i="8"/>
  <c r="C968" i="8"/>
  <c r="B968" i="8"/>
  <c r="D1016" i="8"/>
  <c r="C1016" i="8"/>
  <c r="B1016" i="8"/>
  <c r="B1180" i="8"/>
  <c r="D1180" i="8"/>
  <c r="C1180" i="8"/>
  <c r="D1139" i="8"/>
  <c r="C1139" i="8"/>
  <c r="B1139" i="8"/>
  <c r="C967" i="8"/>
  <c r="B967" i="8"/>
  <c r="D967" i="8"/>
  <c r="D1015" i="8"/>
  <c r="C1015" i="8"/>
  <c r="B1015" i="8"/>
  <c r="D1148" i="8"/>
  <c r="C1148" i="8"/>
  <c r="B1148" i="8"/>
  <c r="D1112" i="8"/>
  <c r="C1112" i="8"/>
  <c r="B1112" i="8"/>
  <c r="D1156" i="8"/>
  <c r="C1156" i="8"/>
  <c r="B1156" i="8"/>
  <c r="D1063" i="8"/>
  <c r="C1063" i="8"/>
  <c r="B1063" i="8"/>
  <c r="D1111" i="8"/>
  <c r="C1111" i="8"/>
  <c r="B1111" i="8"/>
  <c r="C1354" i="8"/>
  <c r="D1354" i="8"/>
  <c r="B1354" i="8"/>
  <c r="D1070" i="8"/>
  <c r="C1070" i="8"/>
  <c r="B1070" i="8"/>
  <c r="B1118" i="8"/>
  <c r="D1118" i="8"/>
  <c r="C1118" i="8"/>
  <c r="C1327" i="8"/>
  <c r="B1327" i="8"/>
  <c r="D1327" i="8"/>
  <c r="D1198" i="8"/>
  <c r="C1198" i="8"/>
  <c r="B1198" i="8"/>
  <c r="D1268" i="8"/>
  <c r="C1268" i="8"/>
  <c r="B1268" i="8"/>
  <c r="B1239" i="8"/>
  <c r="D1239" i="8"/>
  <c r="C1239" i="8"/>
  <c r="B1149" i="8"/>
  <c r="D1149" i="8"/>
  <c r="C1149" i="8"/>
  <c r="D1197" i="8"/>
  <c r="C1197" i="8"/>
  <c r="B1197" i="8"/>
  <c r="C1386" i="8"/>
  <c r="D1386" i="8"/>
  <c r="B1386" i="8"/>
  <c r="D1301" i="8"/>
  <c r="C1301" i="8"/>
  <c r="B1301" i="8"/>
  <c r="D1209" i="8"/>
  <c r="C1209" i="8"/>
  <c r="B1209" i="8"/>
  <c r="D1257" i="8"/>
  <c r="C1257" i="8"/>
  <c r="B1257" i="8"/>
  <c r="B1263" i="8"/>
  <c r="D1263" i="8"/>
  <c r="C1263" i="8"/>
  <c r="D1336" i="8"/>
  <c r="C1336" i="8"/>
  <c r="B1336" i="8"/>
  <c r="C1232" i="8"/>
  <c r="D1232" i="8"/>
  <c r="B1232" i="8"/>
  <c r="D1430" i="8"/>
  <c r="C1430" i="8"/>
  <c r="B1430" i="8"/>
  <c r="D1424" i="8"/>
  <c r="B1424" i="8"/>
  <c r="C1424" i="8"/>
  <c r="C1395" i="8"/>
  <c r="D1395" i="8"/>
  <c r="B1395" i="8"/>
  <c r="B1388" i="8"/>
  <c r="D1388" i="8"/>
  <c r="C1388" i="8"/>
  <c r="D1456" i="8"/>
  <c r="B1456" i="8"/>
  <c r="C1456" i="8"/>
  <c r="D1390" i="8"/>
  <c r="C1390" i="8"/>
  <c r="B1390" i="8"/>
  <c r="D1486" i="8"/>
  <c r="C1486" i="8"/>
  <c r="B1486" i="8"/>
  <c r="C1374" i="8"/>
  <c r="B1374" i="8"/>
  <c r="D1374" i="8"/>
  <c r="D1389" i="8"/>
  <c r="C1389" i="8"/>
  <c r="B1389" i="8"/>
  <c r="C1437" i="8"/>
  <c r="B1437" i="8"/>
  <c r="D1437" i="8"/>
  <c r="D1485" i="8"/>
  <c r="C1485" i="8"/>
  <c r="B1485" i="8"/>
  <c r="C1435" i="8"/>
  <c r="D1435" i="8"/>
  <c r="B1435" i="8"/>
  <c r="C1483" i="8"/>
  <c r="B1483" i="8"/>
  <c r="D1483" i="8"/>
  <c r="AQ31" i="3"/>
  <c r="AP31" i="3"/>
  <c r="C278" i="6"/>
  <c r="B278" i="6"/>
  <c r="D278" i="6"/>
  <c r="C44" i="6"/>
  <c r="B44" i="6"/>
  <c r="D44" i="6"/>
  <c r="C103" i="6"/>
  <c r="B103" i="6"/>
  <c r="D103" i="6"/>
  <c r="C114" i="6"/>
  <c r="B114" i="6"/>
  <c r="D114" i="6"/>
  <c r="C254" i="6"/>
  <c r="B254" i="6"/>
  <c r="D254" i="6"/>
  <c r="C51" i="6"/>
  <c r="B51" i="6"/>
  <c r="D51" i="6"/>
  <c r="C195" i="6"/>
  <c r="B195" i="6"/>
  <c r="D195" i="6"/>
  <c r="C38" i="6"/>
  <c r="B38" i="6"/>
  <c r="D38" i="6"/>
  <c r="C182" i="6"/>
  <c r="B182" i="6"/>
  <c r="D182" i="6"/>
  <c r="D292" i="6"/>
  <c r="C292" i="6"/>
  <c r="B292" i="6"/>
  <c r="C132" i="6"/>
  <c r="B132" i="6"/>
  <c r="D132" i="6"/>
  <c r="D361" i="6"/>
  <c r="C361" i="6"/>
  <c r="B361" i="6"/>
  <c r="B93" i="6"/>
  <c r="D93" i="6"/>
  <c r="C93" i="6"/>
  <c r="B237" i="6"/>
  <c r="D237" i="6"/>
  <c r="C237" i="6"/>
  <c r="C80" i="6"/>
  <c r="B80" i="6"/>
  <c r="D80" i="6"/>
  <c r="C224" i="6"/>
  <c r="B224" i="6"/>
  <c r="D224" i="6"/>
  <c r="C30" i="6"/>
  <c r="B30" i="6"/>
  <c r="D30" i="6"/>
  <c r="C174" i="6"/>
  <c r="B174" i="6"/>
  <c r="D174" i="6"/>
  <c r="C285" i="6"/>
  <c r="B285" i="6"/>
  <c r="D285" i="6"/>
  <c r="C87" i="6"/>
  <c r="B87" i="6"/>
  <c r="D87" i="6"/>
  <c r="C231" i="6"/>
  <c r="B231" i="6"/>
  <c r="D231" i="6"/>
  <c r="B85" i="6"/>
  <c r="D85" i="6"/>
  <c r="C85" i="6"/>
  <c r="B229" i="6"/>
  <c r="D229" i="6"/>
  <c r="C229" i="6"/>
  <c r="C72" i="6"/>
  <c r="B72" i="6"/>
  <c r="D72" i="6"/>
  <c r="C216" i="6"/>
  <c r="B216" i="6"/>
  <c r="D216" i="6"/>
  <c r="C22" i="6"/>
  <c r="B22" i="6"/>
  <c r="D22" i="6"/>
  <c r="C166" i="6"/>
  <c r="B166" i="6"/>
  <c r="D166" i="6"/>
  <c r="D471" i="6"/>
  <c r="C471" i="6"/>
  <c r="B471" i="6"/>
  <c r="D300" i="6"/>
  <c r="C300" i="6"/>
  <c r="B300" i="6"/>
  <c r="D348" i="6"/>
  <c r="C348" i="6"/>
  <c r="B348" i="6"/>
  <c r="D396" i="6"/>
  <c r="C396" i="6"/>
  <c r="B396" i="6"/>
  <c r="D559" i="6"/>
  <c r="C559" i="6"/>
  <c r="B559" i="6"/>
  <c r="D599" i="6"/>
  <c r="C599" i="6"/>
  <c r="B599" i="6"/>
  <c r="C295" i="6"/>
  <c r="B295" i="6"/>
  <c r="D295" i="6"/>
  <c r="D343" i="6"/>
  <c r="C343" i="6"/>
  <c r="B343" i="6"/>
  <c r="D391" i="6"/>
  <c r="C391" i="6"/>
  <c r="B391" i="6"/>
  <c r="D571" i="6"/>
  <c r="C571" i="6"/>
  <c r="B571" i="6"/>
  <c r="C310" i="6"/>
  <c r="B310" i="6"/>
  <c r="D310" i="6"/>
  <c r="C358" i="6"/>
  <c r="B358" i="6"/>
  <c r="D358" i="6"/>
  <c r="C406" i="6"/>
  <c r="B406" i="6"/>
  <c r="D406" i="6"/>
  <c r="D455" i="6"/>
  <c r="B455" i="6"/>
  <c r="C455" i="6"/>
  <c r="B448" i="6"/>
  <c r="D448" i="6"/>
  <c r="C448" i="6"/>
  <c r="C496" i="6"/>
  <c r="B496" i="6"/>
  <c r="D496" i="6"/>
  <c r="C544" i="6"/>
  <c r="B544" i="6"/>
  <c r="D544" i="6"/>
  <c r="C592" i="6"/>
  <c r="B592" i="6"/>
  <c r="D592" i="6"/>
  <c r="D640" i="6"/>
  <c r="C640" i="6"/>
  <c r="B640" i="6"/>
  <c r="D688" i="6"/>
  <c r="C688" i="6"/>
  <c r="B688" i="6"/>
  <c r="D736" i="6"/>
  <c r="C736" i="6"/>
  <c r="B736" i="6"/>
  <c r="D784" i="6"/>
  <c r="C784" i="6"/>
  <c r="B784" i="6"/>
  <c r="D843" i="6"/>
  <c r="C843" i="6"/>
  <c r="B843" i="6"/>
  <c r="D643" i="6"/>
  <c r="C643" i="6"/>
  <c r="B643" i="6"/>
  <c r="D691" i="6"/>
  <c r="C691" i="6"/>
  <c r="B691" i="6"/>
  <c r="D739" i="6"/>
  <c r="C739" i="6"/>
  <c r="B739" i="6"/>
  <c r="D787" i="6"/>
  <c r="C787" i="6"/>
  <c r="B787" i="6"/>
  <c r="D879" i="6"/>
  <c r="C879" i="6"/>
  <c r="B879" i="6"/>
  <c r="D466" i="6"/>
  <c r="C466" i="6"/>
  <c r="B466" i="6"/>
  <c r="D514" i="6"/>
  <c r="C514" i="6"/>
  <c r="B514" i="6"/>
  <c r="D562" i="6"/>
  <c r="C562" i="6"/>
  <c r="B562" i="6"/>
  <c r="D610" i="6"/>
  <c r="C610" i="6"/>
  <c r="B610" i="6"/>
  <c r="D658" i="6"/>
  <c r="C658" i="6"/>
  <c r="B658" i="6"/>
  <c r="D706" i="6"/>
  <c r="C706" i="6"/>
  <c r="B706" i="6"/>
  <c r="D754" i="6"/>
  <c r="C754" i="6"/>
  <c r="B754" i="6"/>
  <c r="D802" i="6"/>
  <c r="C802" i="6"/>
  <c r="B802" i="6"/>
  <c r="D823" i="6"/>
  <c r="B823" i="6"/>
  <c r="C823" i="6"/>
  <c r="D477" i="6"/>
  <c r="C477" i="6"/>
  <c r="B477" i="6"/>
  <c r="D525" i="6"/>
  <c r="C525" i="6"/>
  <c r="B525" i="6"/>
  <c r="D573" i="6"/>
  <c r="C573" i="6"/>
  <c r="B573" i="6"/>
  <c r="D621" i="6"/>
  <c r="C621" i="6"/>
  <c r="B621" i="6"/>
  <c r="D669" i="6"/>
  <c r="C669" i="6"/>
  <c r="B669" i="6"/>
  <c r="D717" i="6"/>
  <c r="C717" i="6"/>
  <c r="B717" i="6"/>
  <c r="D765" i="6"/>
  <c r="C765" i="6"/>
  <c r="B765" i="6"/>
  <c r="D813" i="6"/>
  <c r="C813" i="6"/>
  <c r="B813" i="6"/>
  <c r="B848" i="6"/>
  <c r="C848" i="6"/>
  <c r="D848" i="6"/>
  <c r="D896" i="6"/>
  <c r="B896" i="6"/>
  <c r="C896" i="6"/>
  <c r="D944" i="6"/>
  <c r="B944" i="6"/>
  <c r="C944" i="6"/>
  <c r="D992" i="6"/>
  <c r="B992" i="6"/>
  <c r="C992" i="6"/>
  <c r="D1040" i="6"/>
  <c r="C1040" i="6"/>
  <c r="B1040" i="6"/>
  <c r="D1088" i="6"/>
  <c r="C1088" i="6"/>
  <c r="B1088" i="6"/>
  <c r="D1136" i="6"/>
  <c r="C1136" i="6"/>
  <c r="B1136" i="6"/>
  <c r="D1184" i="6"/>
  <c r="C1184" i="6"/>
  <c r="B1184" i="6"/>
  <c r="D895" i="6"/>
  <c r="C895" i="6"/>
  <c r="B895" i="6"/>
  <c r="D943" i="6"/>
  <c r="C943" i="6"/>
  <c r="B943" i="6"/>
  <c r="D991" i="6"/>
  <c r="C991" i="6"/>
  <c r="B991" i="6"/>
  <c r="D1039" i="6"/>
  <c r="C1039" i="6"/>
  <c r="B1039" i="6"/>
  <c r="D1087" i="6"/>
  <c r="C1087" i="6"/>
  <c r="B1087" i="6"/>
  <c r="D1135" i="6"/>
  <c r="C1135" i="6"/>
  <c r="B1135" i="6"/>
  <c r="D1183" i="6"/>
  <c r="C1183" i="6"/>
  <c r="B1183" i="6"/>
  <c r="B1338" i="6"/>
  <c r="D1338" i="6"/>
  <c r="C1338" i="6"/>
  <c r="D842" i="6"/>
  <c r="C842" i="6"/>
  <c r="B842" i="6"/>
  <c r="D890" i="6"/>
  <c r="C890" i="6"/>
  <c r="B890" i="6"/>
  <c r="D938" i="6"/>
  <c r="C938" i="6"/>
  <c r="B938" i="6"/>
  <c r="D986" i="6"/>
  <c r="C986" i="6"/>
  <c r="B986" i="6"/>
  <c r="D1034" i="6"/>
  <c r="C1034" i="6"/>
  <c r="B1034" i="6"/>
  <c r="D1082" i="6"/>
  <c r="C1082" i="6"/>
  <c r="B1082" i="6"/>
  <c r="D1130" i="6"/>
  <c r="C1130" i="6"/>
  <c r="B1130" i="6"/>
  <c r="D1178" i="6"/>
  <c r="C1178" i="6"/>
  <c r="B1178" i="6"/>
  <c r="D1268" i="6"/>
  <c r="B1268" i="6"/>
  <c r="C1268" i="6"/>
  <c r="C1213" i="6"/>
  <c r="B1213" i="6"/>
  <c r="D1213" i="6"/>
  <c r="D837" i="6"/>
  <c r="C837" i="6"/>
  <c r="B837" i="6"/>
  <c r="D885" i="6"/>
  <c r="C885" i="6"/>
  <c r="B885" i="6"/>
  <c r="D933" i="6"/>
  <c r="B933" i="6"/>
  <c r="C933" i="6"/>
  <c r="D981" i="6"/>
  <c r="C981" i="6"/>
  <c r="B981" i="6"/>
  <c r="D1029" i="6"/>
  <c r="C1029" i="6"/>
  <c r="B1029" i="6"/>
  <c r="D1077" i="6"/>
  <c r="C1077" i="6"/>
  <c r="B1077" i="6"/>
  <c r="D1125" i="6"/>
  <c r="C1125" i="6"/>
  <c r="B1125" i="6"/>
  <c r="D1173" i="6"/>
  <c r="C1173" i="6"/>
  <c r="B1173" i="6"/>
  <c r="D1349" i="6"/>
  <c r="B1349" i="6"/>
  <c r="C1349" i="6"/>
  <c r="C1487" i="6"/>
  <c r="B1487" i="6"/>
  <c r="D1487" i="6"/>
  <c r="B1407" i="6"/>
  <c r="D1407" i="6"/>
  <c r="C1407" i="6"/>
  <c r="D1497" i="6"/>
  <c r="C1497" i="6"/>
  <c r="B1497" i="6"/>
  <c r="D1263" i="6"/>
  <c r="C1263" i="6"/>
  <c r="B1263" i="6"/>
  <c r="D1313" i="6"/>
  <c r="C1313" i="6"/>
  <c r="B1313" i="6"/>
  <c r="D1343" i="6"/>
  <c r="C1343" i="6"/>
  <c r="B1343" i="6"/>
  <c r="C1458" i="6"/>
  <c r="B1458" i="6"/>
  <c r="D1458" i="6"/>
  <c r="C1238" i="6"/>
  <c r="B1238" i="6"/>
  <c r="D1238" i="6"/>
  <c r="C1286" i="6"/>
  <c r="B1286" i="6"/>
  <c r="D1286" i="6"/>
  <c r="D1397" i="6"/>
  <c r="B1397" i="6"/>
  <c r="C1397" i="6"/>
  <c r="B1390" i="6"/>
  <c r="D1390" i="6"/>
  <c r="C1390" i="6"/>
  <c r="C1482" i="6"/>
  <c r="B1482" i="6"/>
  <c r="D1482" i="6"/>
  <c r="B1347" i="6"/>
  <c r="D1347" i="6"/>
  <c r="C1347" i="6"/>
  <c r="B1371" i="6"/>
  <c r="D1371" i="6"/>
  <c r="C1371" i="6"/>
  <c r="B1312" i="6"/>
  <c r="D1312" i="6"/>
  <c r="C1312" i="6"/>
  <c r="B1360" i="6"/>
  <c r="D1360" i="6"/>
  <c r="C1360" i="6"/>
  <c r="B1408" i="6"/>
  <c r="D1408" i="6"/>
  <c r="C1408" i="6"/>
  <c r="B1456" i="6"/>
  <c r="D1456" i="6"/>
  <c r="C1456" i="6"/>
  <c r="AQ48" i="3"/>
  <c r="AP48" i="3"/>
  <c r="C71" i="7"/>
  <c r="B71" i="7"/>
  <c r="D71" i="7"/>
  <c r="C79" i="7"/>
  <c r="B79" i="7"/>
  <c r="D79" i="7"/>
  <c r="C39" i="7"/>
  <c r="B39" i="7"/>
  <c r="D39" i="7"/>
  <c r="D9" i="7"/>
  <c r="C9" i="7"/>
  <c r="B9" i="7"/>
  <c r="D85" i="7"/>
  <c r="C85" i="7"/>
  <c r="B85" i="7"/>
  <c r="D45" i="7"/>
  <c r="C45" i="7"/>
  <c r="B45" i="7"/>
  <c r="C43" i="7"/>
  <c r="B43" i="7"/>
  <c r="D43" i="7"/>
  <c r="D135" i="7"/>
  <c r="C135" i="7"/>
  <c r="B135" i="7"/>
  <c r="D183" i="7"/>
  <c r="C183" i="7"/>
  <c r="B183" i="7"/>
  <c r="D346" i="7"/>
  <c r="C346" i="7"/>
  <c r="B346" i="7"/>
  <c r="D138" i="7"/>
  <c r="C138" i="7"/>
  <c r="B138" i="7"/>
  <c r="D186" i="7"/>
  <c r="C186" i="7"/>
  <c r="B186" i="7"/>
  <c r="D366" i="7"/>
  <c r="C366" i="7"/>
  <c r="B366" i="7"/>
  <c r="D165" i="7"/>
  <c r="C165" i="7"/>
  <c r="B165" i="7"/>
  <c r="D258" i="7"/>
  <c r="C258" i="7"/>
  <c r="B258" i="7"/>
  <c r="B24" i="7"/>
  <c r="D24" i="7"/>
  <c r="C24" i="7"/>
  <c r="B72" i="7"/>
  <c r="D72" i="7"/>
  <c r="C72" i="7"/>
  <c r="B120" i="7"/>
  <c r="D120" i="7"/>
  <c r="C120" i="7"/>
  <c r="B168" i="7"/>
  <c r="D168" i="7"/>
  <c r="C168" i="7"/>
  <c r="D254" i="7"/>
  <c r="C254" i="7"/>
  <c r="B254" i="7"/>
  <c r="D224" i="7"/>
  <c r="C224" i="7"/>
  <c r="B224" i="7"/>
  <c r="D272" i="7"/>
  <c r="C272" i="7"/>
  <c r="B272" i="7"/>
  <c r="D320" i="7"/>
  <c r="C320" i="7"/>
  <c r="B320" i="7"/>
  <c r="D368" i="7"/>
  <c r="C368" i="7"/>
  <c r="B368" i="7"/>
  <c r="D520" i="7"/>
  <c r="C520" i="7"/>
  <c r="B520" i="7"/>
  <c r="D478" i="7"/>
  <c r="C478" i="7"/>
  <c r="B478" i="7"/>
  <c r="D207" i="7"/>
  <c r="C207" i="7"/>
  <c r="B207" i="7"/>
  <c r="C255" i="7"/>
  <c r="D255" i="7"/>
  <c r="B255" i="7"/>
  <c r="C303" i="7"/>
  <c r="D303" i="7"/>
  <c r="B303" i="7"/>
  <c r="C351" i="7"/>
  <c r="B351" i="7"/>
  <c r="D351" i="7"/>
  <c r="D434" i="7"/>
  <c r="C434" i="7"/>
  <c r="B434" i="7"/>
  <c r="D648" i="7"/>
  <c r="C648" i="7"/>
  <c r="B648" i="7"/>
  <c r="D456" i="7"/>
  <c r="C456" i="7"/>
  <c r="B456" i="7"/>
  <c r="D697" i="7"/>
  <c r="C697" i="7"/>
  <c r="B697" i="7"/>
  <c r="D193" i="7"/>
  <c r="C193" i="7"/>
  <c r="B193" i="7"/>
  <c r="D241" i="7"/>
  <c r="C241" i="7"/>
  <c r="B241" i="7"/>
  <c r="D289" i="7"/>
  <c r="C289" i="7"/>
  <c r="B289" i="7"/>
  <c r="D337" i="7"/>
  <c r="C337" i="7"/>
  <c r="B337" i="7"/>
  <c r="D406" i="7"/>
  <c r="C406" i="7"/>
  <c r="B406" i="7"/>
  <c r="D540" i="7"/>
  <c r="C540" i="7"/>
  <c r="B540" i="7"/>
  <c r="D699" i="7"/>
  <c r="C699" i="7"/>
  <c r="B699" i="7"/>
  <c r="C423" i="7"/>
  <c r="B423" i="7"/>
  <c r="D423" i="7"/>
  <c r="C471" i="7"/>
  <c r="B471" i="7"/>
  <c r="D471" i="7"/>
  <c r="D519" i="7"/>
  <c r="C519" i="7"/>
  <c r="B519" i="7"/>
  <c r="D567" i="7"/>
  <c r="C567" i="7"/>
  <c r="B567" i="7"/>
  <c r="D615" i="7"/>
  <c r="C615" i="7"/>
  <c r="B615" i="7"/>
  <c r="D663" i="7"/>
  <c r="C663" i="7"/>
  <c r="B663" i="7"/>
  <c r="D985" i="7"/>
  <c r="C985" i="7"/>
  <c r="B985" i="7"/>
  <c r="D514" i="7"/>
  <c r="C514" i="7"/>
  <c r="B514" i="7"/>
  <c r="D562" i="7"/>
  <c r="C562" i="7"/>
  <c r="B562" i="7"/>
  <c r="D610" i="7"/>
  <c r="C610" i="7"/>
  <c r="B610" i="7"/>
  <c r="D658" i="7"/>
  <c r="C658" i="7"/>
  <c r="B658" i="7"/>
  <c r="B698" i="7"/>
  <c r="D698" i="7"/>
  <c r="C698" i="7"/>
  <c r="C417" i="7"/>
  <c r="B417" i="7"/>
  <c r="D417" i="7"/>
  <c r="C465" i="7"/>
  <c r="B465" i="7"/>
  <c r="D465" i="7"/>
  <c r="C513" i="7"/>
  <c r="B513" i="7"/>
  <c r="D513" i="7"/>
  <c r="C561" i="7"/>
  <c r="B561" i="7"/>
  <c r="D561" i="7"/>
  <c r="C609" i="7"/>
  <c r="B609" i="7"/>
  <c r="D609" i="7"/>
  <c r="C657" i="7"/>
  <c r="B657" i="7"/>
  <c r="D657" i="7"/>
  <c r="B715" i="7"/>
  <c r="D715" i="7"/>
  <c r="C715" i="7"/>
  <c r="D749" i="7"/>
  <c r="C749" i="7"/>
  <c r="B749" i="7"/>
  <c r="D797" i="7"/>
  <c r="C797" i="7"/>
  <c r="B797" i="7"/>
  <c r="D845" i="7"/>
  <c r="C845" i="7"/>
  <c r="B845" i="7"/>
  <c r="D893" i="7"/>
  <c r="C893" i="7"/>
  <c r="B893" i="7"/>
  <c r="D1045" i="7"/>
  <c r="C1045" i="7"/>
  <c r="B1045" i="7"/>
  <c r="D732" i="7"/>
  <c r="B732" i="7"/>
  <c r="C732" i="7"/>
  <c r="D780" i="7"/>
  <c r="C780" i="7"/>
  <c r="B780" i="7"/>
  <c r="D828" i="7"/>
  <c r="C828" i="7"/>
  <c r="B828" i="7"/>
  <c r="D876" i="7"/>
  <c r="C876" i="7"/>
  <c r="B876" i="7"/>
  <c r="D1053" i="7"/>
  <c r="C1053" i="7"/>
  <c r="B1053" i="7"/>
  <c r="D751" i="7"/>
  <c r="C751" i="7"/>
  <c r="B751" i="7"/>
  <c r="D799" i="7"/>
  <c r="C799" i="7"/>
  <c r="B799" i="7"/>
  <c r="D847" i="7"/>
  <c r="C847" i="7"/>
  <c r="B847" i="7"/>
  <c r="D965" i="7"/>
  <c r="C965" i="7"/>
  <c r="B965" i="7"/>
  <c r="D897" i="7"/>
  <c r="C897" i="7"/>
  <c r="B897" i="7"/>
  <c r="B758" i="7"/>
  <c r="D758" i="7"/>
  <c r="C758" i="7"/>
  <c r="B806" i="7"/>
  <c r="D806" i="7"/>
  <c r="C806" i="7"/>
  <c r="B854" i="7"/>
  <c r="D854" i="7"/>
  <c r="C854" i="7"/>
  <c r="D1025" i="7"/>
  <c r="C1025" i="7"/>
  <c r="B1025" i="7"/>
  <c r="D1121" i="7"/>
  <c r="C1121" i="7"/>
  <c r="B1121" i="7"/>
  <c r="D920" i="7"/>
  <c r="C920" i="7"/>
  <c r="B920" i="7"/>
  <c r="D968" i="7"/>
  <c r="C968" i="7"/>
  <c r="B968" i="7"/>
  <c r="D1016" i="7"/>
  <c r="C1016" i="7"/>
  <c r="B1016" i="7"/>
  <c r="D1064" i="7"/>
  <c r="C1064" i="7"/>
  <c r="B1064" i="7"/>
  <c r="B1090" i="7"/>
  <c r="D1090" i="7"/>
  <c r="C1090" i="7"/>
  <c r="D899" i="7"/>
  <c r="C899" i="7"/>
  <c r="B899" i="7"/>
  <c r="D947" i="7"/>
  <c r="C947" i="7"/>
  <c r="B947" i="7"/>
  <c r="D995" i="7"/>
  <c r="C995" i="7"/>
  <c r="B995" i="7"/>
  <c r="D1043" i="7"/>
  <c r="C1043" i="7"/>
  <c r="B1043" i="7"/>
  <c r="B1098" i="7"/>
  <c r="D1098" i="7"/>
  <c r="C1098" i="7"/>
  <c r="D1089" i="7"/>
  <c r="C1089" i="7"/>
  <c r="B1089" i="7"/>
  <c r="C914" i="7"/>
  <c r="D914" i="7"/>
  <c r="B914" i="7"/>
  <c r="C962" i="7"/>
  <c r="B962" i="7"/>
  <c r="D962" i="7"/>
  <c r="C1010" i="7"/>
  <c r="B1010" i="7"/>
  <c r="D1010" i="7"/>
  <c r="C1058" i="7"/>
  <c r="B1058" i="7"/>
  <c r="D1058" i="7"/>
  <c r="D1105" i="7"/>
  <c r="B1105" i="7"/>
  <c r="C1105" i="7"/>
  <c r="B1159" i="7"/>
  <c r="C1159" i="7"/>
  <c r="D1159" i="7"/>
  <c r="D1207" i="7"/>
  <c r="C1207" i="7"/>
  <c r="B1207" i="7"/>
  <c r="D1329" i="7"/>
  <c r="C1329" i="7"/>
  <c r="B1329" i="7"/>
  <c r="D1407" i="7"/>
  <c r="C1407" i="7"/>
  <c r="B1407" i="7"/>
  <c r="D1214" i="7"/>
  <c r="C1214" i="7"/>
  <c r="B1214" i="7"/>
  <c r="C1373" i="7"/>
  <c r="B1373" i="7"/>
  <c r="D1373" i="7"/>
  <c r="D1396" i="7"/>
  <c r="C1396" i="7"/>
  <c r="B1396" i="7"/>
  <c r="B1328" i="7"/>
  <c r="D1328" i="7"/>
  <c r="C1328" i="7"/>
  <c r="D1197" i="7"/>
  <c r="C1197" i="7"/>
  <c r="B1197" i="7"/>
  <c r="D1305" i="7"/>
  <c r="C1305" i="7"/>
  <c r="B1305" i="7"/>
  <c r="B1268" i="7"/>
  <c r="D1268" i="7"/>
  <c r="C1268" i="7"/>
  <c r="B1108" i="7"/>
  <c r="D1108" i="7"/>
  <c r="C1108" i="7"/>
  <c r="B1156" i="7"/>
  <c r="D1156" i="7"/>
  <c r="C1156" i="7"/>
  <c r="B1204" i="7"/>
  <c r="D1204" i="7"/>
  <c r="C1204" i="7"/>
  <c r="B1296" i="7"/>
  <c r="C1296" i="7"/>
  <c r="D1296" i="7"/>
  <c r="C1341" i="7"/>
  <c r="D1341" i="7"/>
  <c r="B1341" i="7"/>
  <c r="D1456" i="7"/>
  <c r="B1456" i="7"/>
  <c r="C1456" i="7"/>
  <c r="C1429" i="7"/>
  <c r="B1429" i="7"/>
  <c r="D1429" i="7"/>
  <c r="D1395" i="7"/>
  <c r="C1395" i="7"/>
  <c r="B1395" i="7"/>
  <c r="D1486" i="7"/>
  <c r="C1486" i="7"/>
  <c r="B1486" i="7"/>
  <c r="D1484" i="7"/>
  <c r="C1484" i="7"/>
  <c r="B1484" i="7"/>
  <c r="D1435" i="7"/>
  <c r="B1435" i="7"/>
  <c r="C1435" i="7"/>
  <c r="D1266" i="7"/>
  <c r="C1266" i="7"/>
  <c r="B1266" i="7"/>
  <c r="D1314" i="7"/>
  <c r="C1314" i="7"/>
  <c r="B1314" i="7"/>
  <c r="D1415" i="7"/>
  <c r="C1415" i="7"/>
  <c r="B1415" i="7"/>
  <c r="B1374" i="7"/>
  <c r="C1374" i="7"/>
  <c r="D1374" i="7"/>
  <c r="D1422" i="7"/>
  <c r="C1422" i="7"/>
  <c r="B1422" i="7"/>
  <c r="B1493" i="7"/>
  <c r="D1493" i="7"/>
  <c r="C1493" i="7"/>
  <c r="B1475" i="7"/>
  <c r="C1475" i="7"/>
  <c r="D1475" i="7"/>
  <c r="AA5" i="3"/>
  <c r="AF5" i="3" s="1"/>
  <c r="AK5" i="3" s="1"/>
  <c r="AT29" i="3"/>
  <c r="AS29" i="3"/>
  <c r="Y15" i="3"/>
  <c r="AD15" i="3" s="1"/>
  <c r="AI15" i="3" s="1"/>
  <c r="AT58" i="3"/>
  <c r="AS58" i="3"/>
  <c r="AT55" i="3"/>
  <c r="AS55" i="3"/>
  <c r="D201" i="8"/>
  <c r="C201" i="8"/>
  <c r="B201" i="8"/>
  <c r="D76" i="8"/>
  <c r="C76" i="8"/>
  <c r="B76" i="8"/>
  <c r="D16" i="8"/>
  <c r="C16" i="8"/>
  <c r="B16" i="8"/>
  <c r="B2" i="8"/>
  <c r="D2" i="8"/>
  <c r="C2" i="8"/>
  <c r="C149" i="8"/>
  <c r="D149" i="8"/>
  <c r="B149" i="8"/>
  <c r="C49" i="8"/>
  <c r="B49" i="8"/>
  <c r="D49" i="8"/>
  <c r="D72" i="8"/>
  <c r="C72" i="8"/>
  <c r="B72" i="8"/>
  <c r="C66" i="8"/>
  <c r="B66" i="8"/>
  <c r="D66" i="8"/>
  <c r="C202" i="8"/>
  <c r="B202" i="8"/>
  <c r="D202" i="8"/>
  <c r="D473" i="8"/>
  <c r="C473" i="8"/>
  <c r="B473" i="8"/>
  <c r="C22" i="8"/>
  <c r="B22" i="8"/>
  <c r="D22" i="8"/>
  <c r="B25" i="8"/>
  <c r="D25" i="8"/>
  <c r="C25" i="8"/>
  <c r="C50" i="8"/>
  <c r="B50" i="8"/>
  <c r="D50" i="8"/>
  <c r="C78" i="8"/>
  <c r="B78" i="8"/>
  <c r="D78" i="8"/>
  <c r="C214" i="8"/>
  <c r="B214" i="8"/>
  <c r="D214" i="8"/>
  <c r="D180" i="8"/>
  <c r="C180" i="8"/>
  <c r="B180" i="8"/>
  <c r="D228" i="8"/>
  <c r="C228" i="8"/>
  <c r="B228" i="8"/>
  <c r="D356" i="8"/>
  <c r="C356" i="8"/>
  <c r="B356" i="8"/>
  <c r="D15" i="8"/>
  <c r="C15" i="8"/>
  <c r="B15" i="8"/>
  <c r="C63" i="8"/>
  <c r="D63" i="8"/>
  <c r="B63" i="8"/>
  <c r="C111" i="8"/>
  <c r="B111" i="8"/>
  <c r="D111" i="8"/>
  <c r="C159" i="8"/>
  <c r="B159" i="8"/>
  <c r="D159" i="8"/>
  <c r="C207" i="8"/>
  <c r="B207" i="8"/>
  <c r="D207" i="8"/>
  <c r="B289" i="8"/>
  <c r="D289" i="8"/>
  <c r="C289" i="8"/>
  <c r="D267" i="8"/>
  <c r="C267" i="8"/>
  <c r="B267" i="8"/>
  <c r="D397" i="8"/>
  <c r="C397" i="8"/>
  <c r="B397" i="8"/>
  <c r="D261" i="8"/>
  <c r="C261" i="8"/>
  <c r="B261" i="8"/>
  <c r="D389" i="8"/>
  <c r="B389" i="8"/>
  <c r="C389" i="8"/>
  <c r="C752" i="8"/>
  <c r="B752" i="8"/>
  <c r="D752" i="8"/>
  <c r="D501" i="8"/>
  <c r="C501" i="8"/>
  <c r="B501" i="8"/>
  <c r="D315" i="8"/>
  <c r="C315" i="8"/>
  <c r="B315" i="8"/>
  <c r="D363" i="8"/>
  <c r="C363" i="8"/>
  <c r="B363" i="8"/>
  <c r="B242" i="8"/>
  <c r="D242" i="8"/>
  <c r="C242" i="8"/>
  <c r="B290" i="8"/>
  <c r="D290" i="8"/>
  <c r="C290" i="8"/>
  <c r="B338" i="8"/>
  <c r="D338" i="8"/>
  <c r="C338" i="8"/>
  <c r="D417" i="8"/>
  <c r="C417" i="8"/>
  <c r="B417" i="8"/>
  <c r="D632" i="8"/>
  <c r="C632" i="8"/>
  <c r="B632" i="8"/>
  <c r="D404" i="8"/>
  <c r="C404" i="8"/>
  <c r="B404" i="8"/>
  <c r="D452" i="8"/>
  <c r="C452" i="8"/>
  <c r="B452" i="8"/>
  <c r="D500" i="8"/>
  <c r="C500" i="8"/>
  <c r="B500" i="8"/>
  <c r="D548" i="8"/>
  <c r="C548" i="8"/>
  <c r="B548" i="8"/>
  <c r="D391" i="8"/>
  <c r="C391" i="8"/>
  <c r="B391" i="8"/>
  <c r="D439" i="8"/>
  <c r="C439" i="8"/>
  <c r="B439" i="8"/>
  <c r="D487" i="8"/>
  <c r="C487" i="8"/>
  <c r="B487" i="8"/>
  <c r="D535" i="8"/>
  <c r="C535" i="8"/>
  <c r="B535" i="8"/>
  <c r="D668" i="8"/>
  <c r="C668" i="8"/>
  <c r="B668" i="8"/>
  <c r="D620" i="8"/>
  <c r="C620" i="8"/>
  <c r="B620" i="8"/>
  <c r="D414" i="8"/>
  <c r="B414" i="8"/>
  <c r="C414" i="8"/>
  <c r="C462" i="8"/>
  <c r="B462" i="8"/>
  <c r="D462" i="8"/>
  <c r="C510" i="8"/>
  <c r="B510" i="8"/>
  <c r="D510" i="8"/>
  <c r="C767" i="8"/>
  <c r="B767" i="8"/>
  <c r="D767" i="8"/>
  <c r="D576" i="8"/>
  <c r="C576" i="8"/>
  <c r="B576" i="8"/>
  <c r="D744" i="8"/>
  <c r="C744" i="8"/>
  <c r="B744" i="8"/>
  <c r="D595" i="8"/>
  <c r="C595" i="8"/>
  <c r="B595" i="8"/>
  <c r="D643" i="8"/>
  <c r="C643" i="8"/>
  <c r="B643" i="8"/>
  <c r="D691" i="8"/>
  <c r="C691" i="8"/>
  <c r="B691" i="8"/>
  <c r="D749" i="8"/>
  <c r="C749" i="8"/>
  <c r="B749" i="8"/>
  <c r="C746" i="8"/>
  <c r="D746" i="8"/>
  <c r="B746" i="8"/>
  <c r="C574" i="8"/>
  <c r="B574" i="8"/>
  <c r="D574" i="8"/>
  <c r="D622" i="8"/>
  <c r="C622" i="8"/>
  <c r="B622" i="8"/>
  <c r="D670" i="8"/>
  <c r="C670" i="8"/>
  <c r="B670" i="8"/>
  <c r="C726" i="8"/>
  <c r="D726" i="8"/>
  <c r="B726" i="8"/>
  <c r="D883" i="8"/>
  <c r="C883" i="8"/>
  <c r="B883" i="8"/>
  <c r="D832" i="8"/>
  <c r="C832" i="8"/>
  <c r="B832" i="8"/>
  <c r="C851" i="8"/>
  <c r="D851" i="8"/>
  <c r="B851" i="8"/>
  <c r="C645" i="8"/>
  <c r="B645" i="8"/>
  <c r="D645" i="8"/>
  <c r="C693" i="8"/>
  <c r="B693" i="8"/>
  <c r="D693" i="8"/>
  <c r="C719" i="8"/>
  <c r="B719" i="8"/>
  <c r="D719" i="8"/>
  <c r="B809" i="8"/>
  <c r="D809" i="8"/>
  <c r="C809" i="8"/>
  <c r="D927" i="8"/>
  <c r="C927" i="8"/>
  <c r="B927" i="8"/>
  <c r="D903" i="8"/>
  <c r="C903" i="8"/>
  <c r="B903" i="8"/>
  <c r="C798" i="8"/>
  <c r="B798" i="8"/>
  <c r="D798" i="8"/>
  <c r="D941" i="8"/>
  <c r="B941" i="8"/>
  <c r="C941" i="8"/>
  <c r="D957" i="8"/>
  <c r="B957" i="8"/>
  <c r="C957" i="8"/>
  <c r="D886" i="8"/>
  <c r="C886" i="8"/>
  <c r="B886" i="8"/>
  <c r="D929" i="8"/>
  <c r="C929" i="8"/>
  <c r="B929" i="8"/>
  <c r="C1097" i="8"/>
  <c r="B1097" i="8"/>
  <c r="D1097" i="8"/>
  <c r="D877" i="8"/>
  <c r="C877" i="8"/>
  <c r="B877" i="8"/>
  <c r="D925" i="8"/>
  <c r="C925" i="8"/>
  <c r="B925" i="8"/>
  <c r="C1101" i="8"/>
  <c r="B1101" i="8"/>
  <c r="D1101" i="8"/>
  <c r="D868" i="8"/>
  <c r="C868" i="8"/>
  <c r="B868" i="8"/>
  <c r="D916" i="8"/>
  <c r="C916" i="8"/>
  <c r="B916" i="8"/>
  <c r="C1081" i="8"/>
  <c r="B1081" i="8"/>
  <c r="D1081" i="8"/>
  <c r="D1037" i="8"/>
  <c r="C1037" i="8"/>
  <c r="B1037" i="8"/>
  <c r="D1343" i="8"/>
  <c r="C1343" i="8"/>
  <c r="B1343" i="8"/>
  <c r="D972" i="8"/>
  <c r="B972" i="8"/>
  <c r="C972" i="8"/>
  <c r="D1020" i="8"/>
  <c r="C1020" i="8"/>
  <c r="B1020" i="8"/>
  <c r="D1191" i="8"/>
  <c r="C1191" i="8"/>
  <c r="B1191" i="8"/>
  <c r="D1055" i="8"/>
  <c r="B1055" i="8"/>
  <c r="C1055" i="8"/>
  <c r="D971" i="8"/>
  <c r="C971" i="8"/>
  <c r="B971" i="8"/>
  <c r="D1019" i="8"/>
  <c r="C1019" i="8"/>
  <c r="B1019" i="8"/>
  <c r="D1135" i="8"/>
  <c r="C1135" i="8"/>
  <c r="B1135" i="8"/>
  <c r="D1116" i="8"/>
  <c r="C1116" i="8"/>
  <c r="B1116" i="8"/>
  <c r="B1159" i="8"/>
  <c r="D1159" i="8"/>
  <c r="C1159" i="8"/>
  <c r="D1067" i="8"/>
  <c r="C1067" i="8"/>
  <c r="B1067" i="8"/>
  <c r="D1115" i="8"/>
  <c r="C1115" i="8"/>
  <c r="B1115" i="8"/>
  <c r="D1365" i="8"/>
  <c r="C1365" i="8"/>
  <c r="B1365" i="8"/>
  <c r="D1074" i="8"/>
  <c r="C1074" i="8"/>
  <c r="B1074" i="8"/>
  <c r="D1122" i="8"/>
  <c r="C1122" i="8"/>
  <c r="B1122" i="8"/>
  <c r="D1349" i="8"/>
  <c r="C1349" i="8"/>
  <c r="B1349" i="8"/>
  <c r="D1214" i="8"/>
  <c r="C1214" i="8"/>
  <c r="B1214" i="8"/>
  <c r="D1280" i="8"/>
  <c r="C1280" i="8"/>
  <c r="B1280" i="8"/>
  <c r="B1271" i="8"/>
  <c r="C1271" i="8"/>
  <c r="D1271" i="8"/>
  <c r="D1153" i="8"/>
  <c r="C1153" i="8"/>
  <c r="B1153" i="8"/>
  <c r="D1218" i="8"/>
  <c r="C1218" i="8"/>
  <c r="B1218" i="8"/>
  <c r="D1394" i="8"/>
  <c r="C1394" i="8"/>
  <c r="B1394" i="8"/>
  <c r="C1311" i="8"/>
  <c r="B1311" i="8"/>
  <c r="D1311" i="8"/>
  <c r="D1213" i="8"/>
  <c r="C1213" i="8"/>
  <c r="B1213" i="8"/>
  <c r="D1324" i="8"/>
  <c r="C1324" i="8"/>
  <c r="B1324" i="8"/>
  <c r="B1266" i="8"/>
  <c r="D1266" i="8"/>
  <c r="C1266" i="8"/>
  <c r="D1340" i="8"/>
  <c r="C1340" i="8"/>
  <c r="B1340" i="8"/>
  <c r="C1236" i="8"/>
  <c r="B1236" i="8"/>
  <c r="D1236" i="8"/>
  <c r="B1286" i="8"/>
  <c r="D1286" i="8"/>
  <c r="C1286" i="8"/>
  <c r="D1345" i="8"/>
  <c r="C1345" i="8"/>
  <c r="B1345" i="8"/>
  <c r="D1402" i="8"/>
  <c r="C1402" i="8"/>
  <c r="B1402" i="8"/>
  <c r="B1404" i="8"/>
  <c r="D1404" i="8"/>
  <c r="C1404" i="8"/>
  <c r="D1460" i="8"/>
  <c r="B1460" i="8"/>
  <c r="C1460" i="8"/>
  <c r="C1399" i="8"/>
  <c r="D1399" i="8"/>
  <c r="B1399" i="8"/>
  <c r="D1490" i="8"/>
  <c r="C1490" i="8"/>
  <c r="B1490" i="8"/>
  <c r="C1382" i="8"/>
  <c r="B1382" i="8"/>
  <c r="D1382" i="8"/>
  <c r="D1393" i="8"/>
  <c r="C1393" i="8"/>
  <c r="B1393" i="8"/>
  <c r="B1441" i="8"/>
  <c r="D1441" i="8"/>
  <c r="C1441" i="8"/>
  <c r="D1489" i="8"/>
  <c r="B1489" i="8"/>
  <c r="C1489" i="8"/>
  <c r="C1439" i="8"/>
  <c r="B1439" i="8"/>
  <c r="D1439" i="8"/>
  <c r="C1487" i="8"/>
  <c r="B1487" i="8"/>
  <c r="D1487" i="8"/>
  <c r="AR9" i="3"/>
  <c r="C20" i="6"/>
  <c r="B20" i="6"/>
  <c r="D20" i="6"/>
  <c r="C116" i="6"/>
  <c r="B116" i="6"/>
  <c r="D116" i="6"/>
  <c r="C175" i="6"/>
  <c r="B175" i="6"/>
  <c r="D175" i="6"/>
  <c r="B125" i="6"/>
  <c r="D125" i="6"/>
  <c r="C125" i="6"/>
  <c r="C266" i="6"/>
  <c r="B266" i="6"/>
  <c r="D266" i="6"/>
  <c r="C64" i="6"/>
  <c r="B64" i="6"/>
  <c r="D64" i="6"/>
  <c r="C208" i="6"/>
  <c r="B208" i="6"/>
  <c r="D208" i="6"/>
  <c r="B49" i="6"/>
  <c r="D49" i="6"/>
  <c r="C49" i="6"/>
  <c r="B193" i="6"/>
  <c r="D193" i="6"/>
  <c r="C193" i="6"/>
  <c r="D519" i="6"/>
  <c r="C519" i="6"/>
  <c r="B519" i="6"/>
  <c r="C143" i="6"/>
  <c r="B143" i="6"/>
  <c r="D143" i="6"/>
  <c r="D385" i="6"/>
  <c r="C385" i="6"/>
  <c r="B385" i="6"/>
  <c r="C106" i="6"/>
  <c r="B106" i="6"/>
  <c r="D106" i="6"/>
  <c r="C250" i="6"/>
  <c r="B250" i="6"/>
  <c r="D250" i="6"/>
  <c r="C91" i="6"/>
  <c r="B91" i="6"/>
  <c r="D91" i="6"/>
  <c r="C235" i="6"/>
  <c r="B235" i="6"/>
  <c r="D235" i="6"/>
  <c r="B41" i="6"/>
  <c r="D41" i="6"/>
  <c r="C41" i="6"/>
  <c r="B185" i="6"/>
  <c r="D185" i="6"/>
  <c r="C185" i="6"/>
  <c r="C293" i="6"/>
  <c r="B293" i="6"/>
  <c r="D293" i="6"/>
  <c r="C100" i="6"/>
  <c r="B100" i="6"/>
  <c r="D100" i="6"/>
  <c r="C244" i="6"/>
  <c r="B244" i="6"/>
  <c r="D244" i="6"/>
  <c r="C98" i="6"/>
  <c r="B98" i="6"/>
  <c r="D98" i="6"/>
  <c r="C242" i="6"/>
  <c r="B242" i="6"/>
  <c r="D242" i="6"/>
  <c r="C83" i="6"/>
  <c r="B83" i="6"/>
  <c r="D83" i="6"/>
  <c r="C227" i="6"/>
  <c r="B227" i="6"/>
  <c r="D227" i="6"/>
  <c r="B33" i="6"/>
  <c r="D33" i="6"/>
  <c r="C33" i="6"/>
  <c r="B177" i="6"/>
  <c r="D177" i="6"/>
  <c r="C177" i="6"/>
  <c r="D443" i="6"/>
  <c r="C443" i="6"/>
  <c r="B443" i="6"/>
  <c r="D304" i="6"/>
  <c r="C304" i="6"/>
  <c r="B304" i="6"/>
  <c r="D352" i="6"/>
  <c r="C352" i="6"/>
  <c r="B352" i="6"/>
  <c r="D400" i="6"/>
  <c r="C400" i="6"/>
  <c r="B400" i="6"/>
  <c r="D607" i="6"/>
  <c r="C607" i="6"/>
  <c r="B607" i="6"/>
  <c r="C251" i="6"/>
  <c r="B251" i="6"/>
  <c r="D251" i="6"/>
  <c r="C299" i="6"/>
  <c r="B299" i="6"/>
  <c r="D299" i="6"/>
  <c r="D347" i="6"/>
  <c r="C347" i="6"/>
  <c r="B347" i="6"/>
  <c r="D395" i="6"/>
  <c r="C395" i="6"/>
  <c r="B395" i="6"/>
  <c r="D619" i="6"/>
  <c r="C619" i="6"/>
  <c r="B619" i="6"/>
  <c r="C314" i="6"/>
  <c r="B314" i="6"/>
  <c r="D314" i="6"/>
  <c r="C362" i="6"/>
  <c r="B362" i="6"/>
  <c r="D362" i="6"/>
  <c r="C410" i="6"/>
  <c r="B410" i="6"/>
  <c r="D410" i="6"/>
  <c r="D511" i="6"/>
  <c r="B511" i="6"/>
  <c r="C511" i="6"/>
  <c r="D452" i="6"/>
  <c r="C452" i="6"/>
  <c r="B452" i="6"/>
  <c r="C500" i="6"/>
  <c r="B500" i="6"/>
  <c r="D500" i="6"/>
  <c r="C548" i="6"/>
  <c r="B548" i="6"/>
  <c r="D548" i="6"/>
  <c r="C596" i="6"/>
  <c r="B596" i="6"/>
  <c r="D596" i="6"/>
  <c r="D644" i="6"/>
  <c r="C644" i="6"/>
  <c r="B644" i="6"/>
  <c r="D692" i="6"/>
  <c r="C692" i="6"/>
  <c r="B692" i="6"/>
  <c r="D740" i="6"/>
  <c r="C740" i="6"/>
  <c r="B740" i="6"/>
  <c r="D788" i="6"/>
  <c r="C788" i="6"/>
  <c r="B788" i="6"/>
  <c r="D883" i="6"/>
  <c r="C883" i="6"/>
  <c r="B883" i="6"/>
  <c r="D647" i="6"/>
  <c r="C647" i="6"/>
  <c r="B647" i="6"/>
  <c r="D695" i="6"/>
  <c r="C695" i="6"/>
  <c r="B695" i="6"/>
  <c r="D743" i="6"/>
  <c r="C743" i="6"/>
  <c r="B743" i="6"/>
  <c r="D791" i="6"/>
  <c r="C791" i="6"/>
  <c r="B791" i="6"/>
  <c r="B1269" i="6"/>
  <c r="D1269" i="6"/>
  <c r="C1269" i="6"/>
  <c r="D470" i="6"/>
  <c r="C470" i="6"/>
  <c r="B470" i="6"/>
  <c r="D518" i="6"/>
  <c r="C518" i="6"/>
  <c r="B518" i="6"/>
  <c r="D566" i="6"/>
  <c r="C566" i="6"/>
  <c r="B566" i="6"/>
  <c r="D614" i="6"/>
  <c r="C614" i="6"/>
  <c r="B614" i="6"/>
  <c r="D662" i="6"/>
  <c r="C662" i="6"/>
  <c r="B662" i="6"/>
  <c r="D710" i="6"/>
  <c r="C710" i="6"/>
  <c r="B710" i="6"/>
  <c r="D758" i="6"/>
  <c r="C758" i="6"/>
  <c r="B758" i="6"/>
  <c r="D806" i="6"/>
  <c r="C806" i="6"/>
  <c r="B806" i="6"/>
  <c r="B1285" i="6"/>
  <c r="D1285" i="6"/>
  <c r="C1285" i="6"/>
  <c r="D481" i="6"/>
  <c r="C481" i="6"/>
  <c r="B481" i="6"/>
  <c r="D529" i="6"/>
  <c r="C529" i="6"/>
  <c r="B529" i="6"/>
  <c r="D577" i="6"/>
  <c r="C577" i="6"/>
  <c r="B577" i="6"/>
  <c r="D625" i="6"/>
  <c r="C625" i="6"/>
  <c r="B625" i="6"/>
  <c r="D673" i="6"/>
  <c r="C673" i="6"/>
  <c r="B673" i="6"/>
  <c r="D721" i="6"/>
  <c r="C721" i="6"/>
  <c r="B721" i="6"/>
  <c r="D769" i="6"/>
  <c r="C769" i="6"/>
  <c r="B769" i="6"/>
  <c r="D817" i="6"/>
  <c r="C817" i="6"/>
  <c r="B817" i="6"/>
  <c r="B852" i="6"/>
  <c r="C852" i="6"/>
  <c r="D852" i="6"/>
  <c r="D900" i="6"/>
  <c r="B900" i="6"/>
  <c r="C900" i="6"/>
  <c r="D948" i="6"/>
  <c r="B948" i="6"/>
  <c r="C948" i="6"/>
  <c r="D996" i="6"/>
  <c r="B996" i="6"/>
  <c r="C996" i="6"/>
  <c r="D1044" i="6"/>
  <c r="C1044" i="6"/>
  <c r="B1044" i="6"/>
  <c r="D1092" i="6"/>
  <c r="C1092" i="6"/>
  <c r="B1092" i="6"/>
  <c r="D1140" i="6"/>
  <c r="C1140" i="6"/>
  <c r="B1140" i="6"/>
  <c r="D1188" i="6"/>
  <c r="C1188" i="6"/>
  <c r="B1188" i="6"/>
  <c r="D899" i="6"/>
  <c r="C899" i="6"/>
  <c r="B899" i="6"/>
  <c r="D947" i="6"/>
  <c r="C947" i="6"/>
  <c r="B947" i="6"/>
  <c r="D995" i="6"/>
  <c r="C995" i="6"/>
  <c r="B995" i="6"/>
  <c r="D1043" i="6"/>
  <c r="C1043" i="6"/>
  <c r="B1043" i="6"/>
  <c r="D1091" i="6"/>
  <c r="C1091" i="6"/>
  <c r="B1091" i="6"/>
  <c r="D1139" i="6"/>
  <c r="C1139" i="6"/>
  <c r="B1139" i="6"/>
  <c r="D1187" i="6"/>
  <c r="C1187" i="6"/>
  <c r="B1187" i="6"/>
  <c r="B1216" i="6"/>
  <c r="D1216" i="6"/>
  <c r="C1216" i="6"/>
  <c r="D846" i="6"/>
  <c r="B846" i="6"/>
  <c r="C846" i="6"/>
  <c r="D894" i="6"/>
  <c r="C894" i="6"/>
  <c r="B894" i="6"/>
  <c r="D942" i="6"/>
  <c r="C942" i="6"/>
  <c r="B942" i="6"/>
  <c r="D990" i="6"/>
  <c r="C990" i="6"/>
  <c r="B990" i="6"/>
  <c r="D1038" i="6"/>
  <c r="C1038" i="6"/>
  <c r="B1038" i="6"/>
  <c r="D1086" i="6"/>
  <c r="C1086" i="6"/>
  <c r="B1086" i="6"/>
  <c r="D1134" i="6"/>
  <c r="C1134" i="6"/>
  <c r="B1134" i="6"/>
  <c r="D1182" i="6"/>
  <c r="C1182" i="6"/>
  <c r="B1182" i="6"/>
  <c r="D1272" i="6"/>
  <c r="B1272" i="6"/>
  <c r="C1272" i="6"/>
  <c r="C1237" i="6"/>
  <c r="B1237" i="6"/>
  <c r="D1237" i="6"/>
  <c r="D841" i="6"/>
  <c r="C841" i="6"/>
  <c r="B841" i="6"/>
  <c r="D889" i="6"/>
  <c r="C889" i="6"/>
  <c r="B889" i="6"/>
  <c r="D937" i="6"/>
  <c r="C937" i="6"/>
  <c r="B937" i="6"/>
  <c r="D985" i="6"/>
  <c r="C985" i="6"/>
  <c r="B985" i="6"/>
  <c r="D1033" i="6"/>
  <c r="C1033" i="6"/>
  <c r="B1033" i="6"/>
  <c r="D1081" i="6"/>
  <c r="C1081" i="6"/>
  <c r="B1081" i="6"/>
  <c r="D1129" i="6"/>
  <c r="C1129" i="6"/>
  <c r="B1129" i="6"/>
  <c r="D1177" i="6"/>
  <c r="C1177" i="6"/>
  <c r="B1177" i="6"/>
  <c r="D1359" i="6"/>
  <c r="B1359" i="6"/>
  <c r="C1359" i="6"/>
  <c r="C1491" i="6"/>
  <c r="B1491" i="6"/>
  <c r="D1491" i="6"/>
  <c r="B1414" i="6"/>
  <c r="D1414" i="6"/>
  <c r="C1414" i="6"/>
  <c r="D1501" i="6"/>
  <c r="C1501" i="6"/>
  <c r="B1501" i="6"/>
  <c r="D1267" i="6"/>
  <c r="C1267" i="6"/>
  <c r="B1267" i="6"/>
  <c r="D1323" i="6"/>
  <c r="B1323" i="6"/>
  <c r="C1323" i="6"/>
  <c r="B1363" i="6"/>
  <c r="D1363" i="6"/>
  <c r="C1363" i="6"/>
  <c r="C1462" i="6"/>
  <c r="B1462" i="6"/>
  <c r="D1462" i="6"/>
  <c r="C1242" i="6"/>
  <c r="B1242" i="6"/>
  <c r="D1242" i="6"/>
  <c r="C1290" i="6"/>
  <c r="B1290" i="6"/>
  <c r="D1290" i="6"/>
  <c r="D1413" i="6"/>
  <c r="B1413" i="6"/>
  <c r="C1413" i="6"/>
  <c r="B1399" i="6"/>
  <c r="D1399" i="6"/>
  <c r="C1399" i="6"/>
  <c r="C1486" i="6"/>
  <c r="B1486" i="6"/>
  <c r="D1486" i="6"/>
  <c r="D1369" i="6"/>
  <c r="B1369" i="6"/>
  <c r="C1369" i="6"/>
  <c r="B1378" i="6"/>
  <c r="D1378" i="6"/>
  <c r="C1378" i="6"/>
  <c r="B1316" i="6"/>
  <c r="D1316" i="6"/>
  <c r="C1316" i="6"/>
  <c r="B1364" i="6"/>
  <c r="D1364" i="6"/>
  <c r="C1364" i="6"/>
  <c r="B1412" i="6"/>
  <c r="D1412" i="6"/>
  <c r="C1412" i="6"/>
  <c r="B1460" i="6"/>
  <c r="D1460" i="6"/>
  <c r="C1460" i="6"/>
  <c r="AB6" i="3"/>
  <c r="AG6" i="3" s="1"/>
  <c r="AL6" i="3" s="1"/>
  <c r="AT28" i="3"/>
  <c r="AS28" i="3"/>
  <c r="C3" i="7"/>
  <c r="B3" i="7"/>
  <c r="D3" i="7"/>
  <c r="D89" i="7"/>
  <c r="C89" i="7"/>
  <c r="B89" i="7"/>
  <c r="D49" i="7"/>
  <c r="C49" i="7"/>
  <c r="B49" i="7"/>
  <c r="C42" i="7"/>
  <c r="B42" i="7"/>
  <c r="D42" i="7"/>
  <c r="C2" i="7"/>
  <c r="B2" i="7"/>
  <c r="D2" i="7"/>
  <c r="C78" i="7"/>
  <c r="B78" i="7"/>
  <c r="D78" i="7"/>
  <c r="D53" i="7"/>
  <c r="C53" i="7"/>
  <c r="B53" i="7"/>
  <c r="D139" i="7"/>
  <c r="C139" i="7"/>
  <c r="B139" i="7"/>
  <c r="D187" i="7"/>
  <c r="C187" i="7"/>
  <c r="B187" i="7"/>
  <c r="D362" i="7"/>
  <c r="C362" i="7"/>
  <c r="B362" i="7"/>
  <c r="D142" i="7"/>
  <c r="C142" i="7"/>
  <c r="B142" i="7"/>
  <c r="D190" i="7"/>
  <c r="C190" i="7"/>
  <c r="B190" i="7"/>
  <c r="D310" i="7"/>
  <c r="C310" i="7"/>
  <c r="B310" i="7"/>
  <c r="D169" i="7"/>
  <c r="C169" i="7"/>
  <c r="B169" i="7"/>
  <c r="D274" i="7"/>
  <c r="C274" i="7"/>
  <c r="B274" i="7"/>
  <c r="B28" i="7"/>
  <c r="D28" i="7"/>
  <c r="C28" i="7"/>
  <c r="B76" i="7"/>
  <c r="D76" i="7"/>
  <c r="C76" i="7"/>
  <c r="B124" i="7"/>
  <c r="D124" i="7"/>
  <c r="C124" i="7"/>
  <c r="B172" i="7"/>
  <c r="D172" i="7"/>
  <c r="C172" i="7"/>
  <c r="D270" i="7"/>
  <c r="C270" i="7"/>
  <c r="B270" i="7"/>
  <c r="D228" i="7"/>
  <c r="C228" i="7"/>
  <c r="B228" i="7"/>
  <c r="D276" i="7"/>
  <c r="C276" i="7"/>
  <c r="B276" i="7"/>
  <c r="D324" i="7"/>
  <c r="C324" i="7"/>
  <c r="B324" i="7"/>
  <c r="D372" i="7"/>
  <c r="C372" i="7"/>
  <c r="B372" i="7"/>
  <c r="D544" i="7"/>
  <c r="C544" i="7"/>
  <c r="B544" i="7"/>
  <c r="D496" i="7"/>
  <c r="C496" i="7"/>
  <c r="B496" i="7"/>
  <c r="D211" i="7"/>
  <c r="C211" i="7"/>
  <c r="B211" i="7"/>
  <c r="C259" i="7"/>
  <c r="D259" i="7"/>
  <c r="B259" i="7"/>
  <c r="C307" i="7"/>
  <c r="D307" i="7"/>
  <c r="B307" i="7"/>
  <c r="C355" i="7"/>
  <c r="B355" i="7"/>
  <c r="D355" i="7"/>
  <c r="D442" i="7"/>
  <c r="C442" i="7"/>
  <c r="B442" i="7"/>
  <c r="D672" i="7"/>
  <c r="C672" i="7"/>
  <c r="B672" i="7"/>
  <c r="D464" i="7"/>
  <c r="C464" i="7"/>
  <c r="B464" i="7"/>
  <c r="D380" i="7"/>
  <c r="C380" i="7"/>
  <c r="B380" i="7"/>
  <c r="D197" i="7"/>
  <c r="C197" i="7"/>
  <c r="B197" i="7"/>
  <c r="D245" i="7"/>
  <c r="C245" i="7"/>
  <c r="B245" i="7"/>
  <c r="D293" i="7"/>
  <c r="C293" i="7"/>
  <c r="B293" i="7"/>
  <c r="D341" i="7"/>
  <c r="C341" i="7"/>
  <c r="B341" i="7"/>
  <c r="D414" i="7"/>
  <c r="C414" i="7"/>
  <c r="B414" i="7"/>
  <c r="D564" i="7"/>
  <c r="C564" i="7"/>
  <c r="B564" i="7"/>
  <c r="D379" i="7"/>
  <c r="C379" i="7"/>
  <c r="B379" i="7"/>
  <c r="C427" i="7"/>
  <c r="B427" i="7"/>
  <c r="D427" i="7"/>
  <c r="C475" i="7"/>
  <c r="B475" i="7"/>
  <c r="D475" i="7"/>
  <c r="D523" i="7"/>
  <c r="C523" i="7"/>
  <c r="B523" i="7"/>
  <c r="D571" i="7"/>
  <c r="C571" i="7"/>
  <c r="B571" i="7"/>
  <c r="D619" i="7"/>
  <c r="C619" i="7"/>
  <c r="B619" i="7"/>
  <c r="D667" i="7"/>
  <c r="C667" i="7"/>
  <c r="B667" i="7"/>
  <c r="B686" i="7"/>
  <c r="D686" i="7"/>
  <c r="C686" i="7"/>
  <c r="D518" i="7"/>
  <c r="C518" i="7"/>
  <c r="B518" i="7"/>
  <c r="D566" i="7"/>
  <c r="C566" i="7"/>
  <c r="B566" i="7"/>
  <c r="D614" i="7"/>
  <c r="C614" i="7"/>
  <c r="B614" i="7"/>
  <c r="D662" i="7"/>
  <c r="C662" i="7"/>
  <c r="B662" i="7"/>
  <c r="D713" i="7"/>
  <c r="C713" i="7"/>
  <c r="B713" i="7"/>
  <c r="C421" i="7"/>
  <c r="B421" i="7"/>
  <c r="D421" i="7"/>
  <c r="C469" i="7"/>
  <c r="B469" i="7"/>
  <c r="D469" i="7"/>
  <c r="C517" i="7"/>
  <c r="B517" i="7"/>
  <c r="D517" i="7"/>
  <c r="C565" i="7"/>
  <c r="B565" i="7"/>
  <c r="D565" i="7"/>
  <c r="C613" i="7"/>
  <c r="B613" i="7"/>
  <c r="D613" i="7"/>
  <c r="C661" i="7"/>
  <c r="B661" i="7"/>
  <c r="D661" i="7"/>
  <c r="D925" i="7"/>
  <c r="C925" i="7"/>
  <c r="B925" i="7"/>
  <c r="D753" i="7"/>
  <c r="C753" i="7"/>
  <c r="B753" i="7"/>
  <c r="D801" i="7"/>
  <c r="C801" i="7"/>
  <c r="B801" i="7"/>
  <c r="D849" i="7"/>
  <c r="C849" i="7"/>
  <c r="B849" i="7"/>
  <c r="D905" i="7"/>
  <c r="C905" i="7"/>
  <c r="B905" i="7"/>
  <c r="B688" i="7"/>
  <c r="D688" i="7"/>
  <c r="C688" i="7"/>
  <c r="D736" i="7"/>
  <c r="B736" i="7"/>
  <c r="C736" i="7"/>
  <c r="D784" i="7"/>
  <c r="C784" i="7"/>
  <c r="B784" i="7"/>
  <c r="D832" i="7"/>
  <c r="C832" i="7"/>
  <c r="B832" i="7"/>
  <c r="D880" i="7"/>
  <c r="C880" i="7"/>
  <c r="B880" i="7"/>
  <c r="B1256" i="7"/>
  <c r="D1256" i="7"/>
  <c r="C1256" i="7"/>
  <c r="D755" i="7"/>
  <c r="C755" i="7"/>
  <c r="B755" i="7"/>
  <c r="D803" i="7"/>
  <c r="C803" i="7"/>
  <c r="B803" i="7"/>
  <c r="D851" i="7"/>
  <c r="C851" i="7"/>
  <c r="B851" i="7"/>
  <c r="D1013" i="7"/>
  <c r="C1013" i="7"/>
  <c r="B1013" i="7"/>
  <c r="D973" i="7"/>
  <c r="C973" i="7"/>
  <c r="B973" i="7"/>
  <c r="B762" i="7"/>
  <c r="D762" i="7"/>
  <c r="C762" i="7"/>
  <c r="B810" i="7"/>
  <c r="D810" i="7"/>
  <c r="C810" i="7"/>
  <c r="B858" i="7"/>
  <c r="D858" i="7"/>
  <c r="C858" i="7"/>
  <c r="D1073" i="7"/>
  <c r="C1073" i="7"/>
  <c r="B1073" i="7"/>
  <c r="D1137" i="7"/>
  <c r="C1137" i="7"/>
  <c r="B1137" i="7"/>
  <c r="D924" i="7"/>
  <c r="C924" i="7"/>
  <c r="B924" i="7"/>
  <c r="D972" i="7"/>
  <c r="C972" i="7"/>
  <c r="B972" i="7"/>
  <c r="D1020" i="7"/>
  <c r="C1020" i="7"/>
  <c r="B1020" i="7"/>
  <c r="D1068" i="7"/>
  <c r="C1068" i="7"/>
  <c r="B1068" i="7"/>
  <c r="D1125" i="7"/>
  <c r="C1125" i="7"/>
  <c r="B1125" i="7"/>
  <c r="D903" i="7"/>
  <c r="C903" i="7"/>
  <c r="B903" i="7"/>
  <c r="D951" i="7"/>
  <c r="C951" i="7"/>
  <c r="B951" i="7"/>
  <c r="D999" i="7"/>
  <c r="C999" i="7"/>
  <c r="B999" i="7"/>
  <c r="D1047" i="7"/>
  <c r="C1047" i="7"/>
  <c r="B1047" i="7"/>
  <c r="B1106" i="7"/>
  <c r="D1106" i="7"/>
  <c r="C1106" i="7"/>
  <c r="D1115" i="7"/>
  <c r="C1115" i="7"/>
  <c r="B1115" i="7"/>
  <c r="C918" i="7"/>
  <c r="B918" i="7"/>
  <c r="D918" i="7"/>
  <c r="C966" i="7"/>
  <c r="B966" i="7"/>
  <c r="D966" i="7"/>
  <c r="C1014" i="7"/>
  <c r="B1014" i="7"/>
  <c r="D1014" i="7"/>
  <c r="C1062" i="7"/>
  <c r="B1062" i="7"/>
  <c r="D1062" i="7"/>
  <c r="D1117" i="7"/>
  <c r="B1117" i="7"/>
  <c r="C1117" i="7"/>
  <c r="B1163" i="7"/>
  <c r="D1163" i="7"/>
  <c r="C1163" i="7"/>
  <c r="D1211" i="7"/>
  <c r="C1211" i="7"/>
  <c r="B1211" i="7"/>
  <c r="C1365" i="7"/>
  <c r="B1365" i="7"/>
  <c r="D1365" i="7"/>
  <c r="D1241" i="7"/>
  <c r="C1241" i="7"/>
  <c r="B1241" i="7"/>
  <c r="D1218" i="7"/>
  <c r="C1218" i="7"/>
  <c r="B1218" i="7"/>
  <c r="D1399" i="7"/>
  <c r="C1399" i="7"/>
  <c r="B1399" i="7"/>
  <c r="C1405" i="7"/>
  <c r="B1405" i="7"/>
  <c r="D1405" i="7"/>
  <c r="D1371" i="7"/>
  <c r="C1371" i="7"/>
  <c r="B1371" i="7"/>
  <c r="D1201" i="7"/>
  <c r="C1201" i="7"/>
  <c r="B1201" i="7"/>
  <c r="B1308" i="7"/>
  <c r="D1308" i="7"/>
  <c r="C1308" i="7"/>
  <c r="D1299" i="7"/>
  <c r="C1299" i="7"/>
  <c r="B1299" i="7"/>
  <c r="B1112" i="7"/>
  <c r="D1112" i="7"/>
  <c r="C1112" i="7"/>
  <c r="B1160" i="7"/>
  <c r="D1160" i="7"/>
  <c r="C1160" i="7"/>
  <c r="B1208" i="7"/>
  <c r="D1208" i="7"/>
  <c r="C1208" i="7"/>
  <c r="D1327" i="7"/>
  <c r="B1327" i="7"/>
  <c r="C1327" i="7"/>
  <c r="C1345" i="7"/>
  <c r="D1345" i="7"/>
  <c r="B1345" i="7"/>
  <c r="C1458" i="7"/>
  <c r="B1458" i="7"/>
  <c r="D1458" i="7"/>
  <c r="D1443" i="7"/>
  <c r="B1443" i="7"/>
  <c r="C1443" i="7"/>
  <c r="D1411" i="7"/>
  <c r="C1411" i="7"/>
  <c r="B1411" i="7"/>
  <c r="D1335" i="7"/>
  <c r="C1335" i="7"/>
  <c r="B1335" i="7"/>
  <c r="D1488" i="7"/>
  <c r="B1488" i="7"/>
  <c r="C1488" i="7"/>
  <c r="D1465" i="7"/>
  <c r="B1465" i="7"/>
  <c r="C1465" i="7"/>
  <c r="D1270" i="7"/>
  <c r="C1270" i="7"/>
  <c r="B1270" i="7"/>
  <c r="D1318" i="7"/>
  <c r="C1318" i="7"/>
  <c r="B1318" i="7"/>
  <c r="C1425" i="7"/>
  <c r="B1425" i="7"/>
  <c r="D1425" i="7"/>
  <c r="D1378" i="7"/>
  <c r="C1378" i="7"/>
  <c r="B1378" i="7"/>
  <c r="D1426" i="7"/>
  <c r="C1426" i="7"/>
  <c r="B1426" i="7"/>
  <c r="D1448" i="7"/>
  <c r="C1448" i="7"/>
  <c r="B1448" i="7"/>
  <c r="C1479" i="7"/>
  <c r="D1479" i="7"/>
  <c r="B1479" i="7"/>
  <c r="AQ25" i="3"/>
  <c r="AP25" i="3"/>
  <c r="Y11" i="3"/>
  <c r="AD11" i="3" s="1"/>
  <c r="AI11" i="3" s="1"/>
  <c r="AS51" i="3"/>
  <c r="AT51" i="3"/>
  <c r="AT30" i="3"/>
  <c r="AS30" i="3"/>
  <c r="U13" i="3"/>
  <c r="W13" i="3" s="1"/>
  <c r="AC13" i="3"/>
  <c r="AH13" i="3" s="1"/>
  <c r="AM13" i="3" s="1"/>
  <c r="AC5" i="3"/>
  <c r="AH5" i="3" s="1"/>
  <c r="AM5" i="3" s="1"/>
  <c r="D193" i="8"/>
  <c r="C193" i="8"/>
  <c r="B193" i="8"/>
  <c r="C62" i="8"/>
  <c r="B62" i="8"/>
  <c r="D62" i="8"/>
  <c r="C69" i="8"/>
  <c r="D69" i="8"/>
  <c r="B69" i="8"/>
  <c r="D272" i="8"/>
  <c r="C272" i="8"/>
  <c r="B272" i="8"/>
  <c r="AQ35" i="3"/>
  <c r="AP35" i="3"/>
  <c r="AQ26" i="3"/>
  <c r="AP26" i="3"/>
  <c r="D316" i="8"/>
  <c r="C316" i="8"/>
  <c r="B316" i="8"/>
  <c r="D45" i="8"/>
  <c r="C45" i="8"/>
  <c r="B45" i="8"/>
  <c r="D288" i="8"/>
  <c r="C288" i="8"/>
  <c r="B288" i="8"/>
  <c r="D88" i="8"/>
  <c r="C88" i="8"/>
  <c r="B88" i="8"/>
  <c r="C210" i="8"/>
  <c r="B210" i="8"/>
  <c r="D210" i="8"/>
  <c r="D28" i="8"/>
  <c r="C28" i="8"/>
  <c r="B28" i="8"/>
  <c r="D80" i="8"/>
  <c r="C80" i="8"/>
  <c r="B80" i="8"/>
  <c r="C222" i="8"/>
  <c r="B222" i="8"/>
  <c r="D222" i="8"/>
  <c r="D232" i="8"/>
  <c r="C232" i="8"/>
  <c r="B232" i="8"/>
  <c r="D247" i="8"/>
  <c r="C247" i="8"/>
  <c r="B247" i="8"/>
  <c r="C67" i="8"/>
  <c r="B67" i="8"/>
  <c r="D67" i="8"/>
  <c r="C163" i="8"/>
  <c r="B163" i="8"/>
  <c r="D163" i="8"/>
  <c r="B293" i="8"/>
  <c r="D293" i="8"/>
  <c r="C293" i="8"/>
  <c r="D441" i="8"/>
  <c r="C441" i="8"/>
  <c r="B441" i="8"/>
  <c r="D405" i="8"/>
  <c r="B405" i="8"/>
  <c r="C405" i="8"/>
  <c r="D271" i="8"/>
  <c r="B271" i="8"/>
  <c r="C271" i="8"/>
  <c r="D367" i="8"/>
  <c r="C367" i="8"/>
  <c r="B367" i="8"/>
  <c r="B294" i="8"/>
  <c r="D294" i="8"/>
  <c r="C294" i="8"/>
  <c r="D513" i="8"/>
  <c r="C513" i="8"/>
  <c r="B513" i="8"/>
  <c r="D408" i="8"/>
  <c r="B408" i="8"/>
  <c r="C408" i="8"/>
  <c r="D504" i="8"/>
  <c r="C504" i="8"/>
  <c r="B504" i="8"/>
  <c r="D588" i="8"/>
  <c r="C588" i="8"/>
  <c r="B588" i="8"/>
  <c r="D443" i="8"/>
  <c r="C443" i="8"/>
  <c r="B443" i="8"/>
  <c r="D491" i="8"/>
  <c r="C491" i="8"/>
  <c r="B491" i="8"/>
  <c r="D539" i="8"/>
  <c r="C539" i="8"/>
  <c r="B539" i="8"/>
  <c r="D680" i="8"/>
  <c r="C680" i="8"/>
  <c r="B680" i="8"/>
  <c r="D628" i="8"/>
  <c r="C628" i="8"/>
  <c r="B628" i="8"/>
  <c r="D418" i="8"/>
  <c r="C418" i="8"/>
  <c r="B418" i="8"/>
  <c r="C466" i="8"/>
  <c r="B466" i="8"/>
  <c r="D466" i="8"/>
  <c r="C514" i="8"/>
  <c r="B514" i="8"/>
  <c r="D514" i="8"/>
  <c r="C824" i="8"/>
  <c r="B824" i="8"/>
  <c r="D824" i="8"/>
  <c r="C585" i="8"/>
  <c r="B585" i="8"/>
  <c r="D585" i="8"/>
  <c r="C756" i="8"/>
  <c r="B756" i="8"/>
  <c r="D756" i="8"/>
  <c r="D599" i="8"/>
  <c r="C599" i="8"/>
  <c r="B599" i="8"/>
  <c r="D647" i="8"/>
  <c r="C647" i="8"/>
  <c r="B647" i="8"/>
  <c r="D695" i="8"/>
  <c r="C695" i="8"/>
  <c r="B695" i="8"/>
  <c r="C760" i="8"/>
  <c r="B760" i="8"/>
  <c r="D760" i="8"/>
  <c r="C751" i="8"/>
  <c r="B751" i="8"/>
  <c r="D751" i="8"/>
  <c r="C578" i="8"/>
  <c r="B578" i="8"/>
  <c r="D578" i="8"/>
  <c r="D626" i="8"/>
  <c r="C626" i="8"/>
  <c r="B626" i="8"/>
  <c r="D674" i="8"/>
  <c r="C674" i="8"/>
  <c r="B674" i="8"/>
  <c r="D729" i="8"/>
  <c r="C729" i="8"/>
  <c r="B729" i="8"/>
  <c r="D899" i="8"/>
  <c r="C899" i="8"/>
  <c r="B899" i="8"/>
  <c r="D867" i="8"/>
  <c r="C867" i="8"/>
  <c r="B867" i="8"/>
  <c r="D919" i="8"/>
  <c r="C919" i="8"/>
  <c r="B919" i="8"/>
  <c r="C649" i="8"/>
  <c r="B649" i="8"/>
  <c r="D649" i="8"/>
  <c r="C697" i="8"/>
  <c r="B697" i="8"/>
  <c r="D697" i="8"/>
  <c r="C722" i="8"/>
  <c r="B722" i="8"/>
  <c r="D722" i="8"/>
  <c r="D828" i="8"/>
  <c r="C828" i="8"/>
  <c r="B828" i="8"/>
  <c r="D911" i="8"/>
  <c r="C911" i="8"/>
  <c r="B911" i="8"/>
  <c r="D981" i="8"/>
  <c r="B981" i="8"/>
  <c r="C981" i="8"/>
  <c r="C802" i="8"/>
  <c r="B802" i="8"/>
  <c r="D802" i="8"/>
  <c r="D950" i="8"/>
  <c r="C950" i="8"/>
  <c r="B950" i="8"/>
  <c r="C1002" i="8"/>
  <c r="B1002" i="8"/>
  <c r="D1002" i="8"/>
  <c r="D890" i="8"/>
  <c r="C890" i="8"/>
  <c r="B890" i="8"/>
  <c r="D937" i="8"/>
  <c r="C937" i="8"/>
  <c r="B937" i="8"/>
  <c r="D833" i="8"/>
  <c r="C833" i="8"/>
  <c r="B833" i="8"/>
  <c r="D881" i="8"/>
  <c r="C881" i="8"/>
  <c r="B881" i="8"/>
  <c r="D949" i="8"/>
  <c r="B949" i="8"/>
  <c r="C949" i="8"/>
  <c r="B1176" i="8"/>
  <c r="D1176" i="8"/>
  <c r="C1176" i="8"/>
  <c r="D872" i="8"/>
  <c r="C872" i="8"/>
  <c r="B872" i="8"/>
  <c r="D920" i="8"/>
  <c r="C920" i="8"/>
  <c r="B920" i="8"/>
  <c r="C1085" i="8"/>
  <c r="B1085" i="8"/>
  <c r="D1085" i="8"/>
  <c r="D1041" i="8"/>
  <c r="C1041" i="8"/>
  <c r="B1041" i="8"/>
  <c r="D928" i="8"/>
  <c r="B928" i="8"/>
  <c r="C928" i="8"/>
  <c r="D976" i="8"/>
  <c r="B976" i="8"/>
  <c r="C976" i="8"/>
  <c r="D1024" i="8"/>
  <c r="C1024" i="8"/>
  <c r="B1024" i="8"/>
  <c r="D1254" i="8"/>
  <c r="C1254" i="8"/>
  <c r="B1254" i="8"/>
  <c r="B1163" i="8"/>
  <c r="D1163" i="8"/>
  <c r="C1163" i="8"/>
  <c r="D975" i="8"/>
  <c r="C975" i="8"/>
  <c r="B975" i="8"/>
  <c r="D1023" i="8"/>
  <c r="C1023" i="8"/>
  <c r="B1023" i="8"/>
  <c r="D1151" i="8"/>
  <c r="C1151" i="8"/>
  <c r="B1151" i="8"/>
  <c r="D1120" i="8"/>
  <c r="C1120" i="8"/>
  <c r="B1120" i="8"/>
  <c r="B1188" i="8"/>
  <c r="D1188" i="8"/>
  <c r="C1188" i="8"/>
  <c r="D1071" i="8"/>
  <c r="B1071" i="8"/>
  <c r="C1071" i="8"/>
  <c r="D1119" i="8"/>
  <c r="C1119" i="8"/>
  <c r="B1119" i="8"/>
  <c r="D1130" i="8"/>
  <c r="B1130" i="8"/>
  <c r="C1130" i="8"/>
  <c r="D1078" i="8"/>
  <c r="C1078" i="8"/>
  <c r="B1078" i="8"/>
  <c r="D1126" i="8"/>
  <c r="C1126" i="8"/>
  <c r="B1126" i="8"/>
  <c r="D1207" i="8"/>
  <c r="C1207" i="8"/>
  <c r="B1207" i="8"/>
  <c r="D1226" i="8"/>
  <c r="C1226" i="8"/>
  <c r="B1226" i="8"/>
  <c r="C1203" i="8"/>
  <c r="B1203" i="8"/>
  <c r="D1203" i="8"/>
  <c r="B1283" i="8"/>
  <c r="C1283" i="8"/>
  <c r="D1283" i="8"/>
  <c r="D1157" i="8"/>
  <c r="C1157" i="8"/>
  <c r="B1157" i="8"/>
  <c r="D1230" i="8"/>
  <c r="C1230" i="8"/>
  <c r="B1230" i="8"/>
  <c r="D1261" i="8"/>
  <c r="C1261" i="8"/>
  <c r="B1261" i="8"/>
  <c r="D1320" i="8"/>
  <c r="C1320" i="8"/>
  <c r="B1320" i="8"/>
  <c r="D1217" i="8"/>
  <c r="B1217" i="8"/>
  <c r="C1217" i="8"/>
  <c r="D1426" i="8"/>
  <c r="C1426" i="8"/>
  <c r="B1426" i="8"/>
  <c r="D1269" i="8"/>
  <c r="C1269" i="8"/>
  <c r="B1269" i="8"/>
  <c r="C1346" i="8"/>
  <c r="D1346" i="8"/>
  <c r="B1346" i="8"/>
  <c r="C1240" i="8"/>
  <c r="B1240" i="8"/>
  <c r="D1240" i="8"/>
  <c r="B1294" i="8"/>
  <c r="D1294" i="8"/>
  <c r="C1294" i="8"/>
  <c r="B1348" i="8"/>
  <c r="D1348" i="8"/>
  <c r="C1348" i="8"/>
  <c r="D1442" i="8"/>
  <c r="C1442" i="8"/>
  <c r="B1442" i="8"/>
  <c r="D1446" i="8"/>
  <c r="C1446" i="8"/>
  <c r="B1446" i="8"/>
  <c r="D1464" i="8"/>
  <c r="B1464" i="8"/>
  <c r="C1464" i="8"/>
  <c r="D1406" i="8"/>
  <c r="C1406" i="8"/>
  <c r="B1406" i="8"/>
  <c r="D1313" i="8"/>
  <c r="C1313" i="8"/>
  <c r="B1313" i="8"/>
  <c r="B1392" i="8"/>
  <c r="C1392" i="8"/>
  <c r="D1392" i="8"/>
  <c r="D1397" i="8"/>
  <c r="C1397" i="8"/>
  <c r="B1397" i="8"/>
  <c r="C1445" i="8"/>
  <c r="D1445" i="8"/>
  <c r="B1445" i="8"/>
  <c r="C1493" i="8"/>
  <c r="B1493" i="8"/>
  <c r="D1493" i="8"/>
  <c r="C1443" i="8"/>
  <c r="D1443" i="8"/>
  <c r="B1443" i="8"/>
  <c r="C1491" i="8"/>
  <c r="B1491" i="8"/>
  <c r="D1491" i="8"/>
  <c r="C92" i="6"/>
  <c r="B92" i="6"/>
  <c r="D92" i="6"/>
  <c r="C188" i="6"/>
  <c r="B188" i="6"/>
  <c r="D188" i="6"/>
  <c r="C247" i="6"/>
  <c r="B247" i="6"/>
  <c r="D247" i="6"/>
  <c r="C138" i="6"/>
  <c r="B138" i="6"/>
  <c r="D138" i="6"/>
  <c r="C281" i="6"/>
  <c r="B281" i="6"/>
  <c r="D281" i="6"/>
  <c r="C75" i="6"/>
  <c r="B75" i="6"/>
  <c r="D75" i="6"/>
  <c r="C219" i="6"/>
  <c r="B219" i="6"/>
  <c r="D219" i="6"/>
  <c r="C62" i="6"/>
  <c r="B62" i="6"/>
  <c r="D62" i="6"/>
  <c r="C206" i="6"/>
  <c r="B206" i="6"/>
  <c r="D206" i="6"/>
  <c r="C12" i="6"/>
  <c r="B12" i="6"/>
  <c r="D12" i="6"/>
  <c r="C156" i="6"/>
  <c r="B156" i="6"/>
  <c r="D156" i="6"/>
  <c r="D401" i="6"/>
  <c r="C401" i="6"/>
  <c r="B401" i="6"/>
  <c r="B117" i="6"/>
  <c r="D117" i="6"/>
  <c r="C117" i="6"/>
  <c r="C262" i="6"/>
  <c r="B262" i="6"/>
  <c r="D262" i="6"/>
  <c r="C104" i="6"/>
  <c r="B104" i="6"/>
  <c r="D104" i="6"/>
  <c r="C248" i="6"/>
  <c r="B248" i="6"/>
  <c r="D248" i="6"/>
  <c r="C54" i="6"/>
  <c r="B54" i="6"/>
  <c r="D54" i="6"/>
  <c r="C198" i="6"/>
  <c r="B198" i="6"/>
  <c r="D198" i="6"/>
  <c r="D389" i="6"/>
  <c r="C389" i="6"/>
  <c r="B389" i="6"/>
  <c r="C111" i="6"/>
  <c r="B111" i="6"/>
  <c r="D111" i="6"/>
  <c r="D321" i="6"/>
  <c r="C321" i="6"/>
  <c r="B321" i="6"/>
  <c r="B109" i="6"/>
  <c r="D109" i="6"/>
  <c r="C109" i="6"/>
  <c r="C258" i="6"/>
  <c r="B258" i="6"/>
  <c r="D258" i="6"/>
  <c r="C96" i="6"/>
  <c r="B96" i="6"/>
  <c r="D96" i="6"/>
  <c r="C240" i="6"/>
  <c r="B240" i="6"/>
  <c r="D240" i="6"/>
  <c r="C46" i="6"/>
  <c r="B46" i="6"/>
  <c r="D46" i="6"/>
  <c r="C190" i="6"/>
  <c r="B190" i="6"/>
  <c r="D190" i="6"/>
  <c r="D499" i="6"/>
  <c r="C499" i="6"/>
  <c r="B499" i="6"/>
  <c r="D308" i="6"/>
  <c r="C308" i="6"/>
  <c r="B308" i="6"/>
  <c r="D356" i="6"/>
  <c r="C356" i="6"/>
  <c r="B356" i="6"/>
  <c r="D404" i="6"/>
  <c r="C404" i="6"/>
  <c r="B404" i="6"/>
  <c r="B1273" i="6"/>
  <c r="D1273" i="6"/>
  <c r="C1273" i="6"/>
  <c r="C255" i="6"/>
  <c r="B255" i="6"/>
  <c r="D255" i="6"/>
  <c r="C303" i="6"/>
  <c r="B303" i="6"/>
  <c r="D303" i="6"/>
  <c r="D351" i="6"/>
  <c r="C351" i="6"/>
  <c r="B351" i="6"/>
  <c r="D399" i="6"/>
  <c r="C399" i="6"/>
  <c r="B399" i="6"/>
  <c r="D887" i="6"/>
  <c r="C887" i="6"/>
  <c r="B887" i="6"/>
  <c r="C318" i="6"/>
  <c r="B318" i="6"/>
  <c r="D318" i="6"/>
  <c r="C366" i="6"/>
  <c r="B366" i="6"/>
  <c r="D366" i="6"/>
  <c r="C414" i="6"/>
  <c r="B414" i="6"/>
  <c r="D414" i="6"/>
  <c r="D555" i="6"/>
  <c r="C555" i="6"/>
  <c r="B555" i="6"/>
  <c r="D456" i="6"/>
  <c r="C456" i="6"/>
  <c r="B456" i="6"/>
  <c r="C504" i="6"/>
  <c r="B504" i="6"/>
  <c r="D504" i="6"/>
  <c r="C552" i="6"/>
  <c r="B552" i="6"/>
  <c r="D552" i="6"/>
  <c r="C600" i="6"/>
  <c r="B600" i="6"/>
  <c r="D600" i="6"/>
  <c r="D648" i="6"/>
  <c r="C648" i="6"/>
  <c r="B648" i="6"/>
  <c r="D696" i="6"/>
  <c r="C696" i="6"/>
  <c r="B696" i="6"/>
  <c r="D744" i="6"/>
  <c r="C744" i="6"/>
  <c r="B744" i="6"/>
  <c r="D792" i="6"/>
  <c r="C792" i="6"/>
  <c r="B792" i="6"/>
  <c r="B1208" i="6"/>
  <c r="D1208" i="6"/>
  <c r="C1208" i="6"/>
  <c r="D651" i="6"/>
  <c r="C651" i="6"/>
  <c r="B651" i="6"/>
  <c r="D699" i="6"/>
  <c r="C699" i="6"/>
  <c r="B699" i="6"/>
  <c r="D747" i="6"/>
  <c r="C747" i="6"/>
  <c r="B747" i="6"/>
  <c r="D795" i="6"/>
  <c r="C795" i="6"/>
  <c r="B795" i="6"/>
  <c r="D859" i="6"/>
  <c r="C859" i="6"/>
  <c r="B859" i="6"/>
  <c r="D474" i="6"/>
  <c r="C474" i="6"/>
  <c r="B474" i="6"/>
  <c r="D522" i="6"/>
  <c r="C522" i="6"/>
  <c r="B522" i="6"/>
  <c r="D570" i="6"/>
  <c r="C570" i="6"/>
  <c r="B570" i="6"/>
  <c r="D618" i="6"/>
  <c r="C618" i="6"/>
  <c r="B618" i="6"/>
  <c r="D666" i="6"/>
  <c r="C666" i="6"/>
  <c r="B666" i="6"/>
  <c r="D714" i="6"/>
  <c r="C714" i="6"/>
  <c r="B714" i="6"/>
  <c r="D762" i="6"/>
  <c r="C762" i="6"/>
  <c r="B762" i="6"/>
  <c r="D810" i="6"/>
  <c r="C810" i="6"/>
  <c r="B810" i="6"/>
  <c r="D437" i="6"/>
  <c r="C437" i="6"/>
  <c r="B437" i="6"/>
  <c r="D485" i="6"/>
  <c r="C485" i="6"/>
  <c r="B485" i="6"/>
  <c r="D533" i="6"/>
  <c r="C533" i="6"/>
  <c r="B533" i="6"/>
  <c r="D581" i="6"/>
  <c r="C581" i="6"/>
  <c r="B581" i="6"/>
  <c r="D629" i="6"/>
  <c r="C629" i="6"/>
  <c r="B629" i="6"/>
  <c r="D677" i="6"/>
  <c r="C677" i="6"/>
  <c r="B677" i="6"/>
  <c r="D725" i="6"/>
  <c r="C725" i="6"/>
  <c r="B725" i="6"/>
  <c r="D773" i="6"/>
  <c r="C773" i="6"/>
  <c r="B773" i="6"/>
  <c r="D827" i="6"/>
  <c r="C827" i="6"/>
  <c r="B827" i="6"/>
  <c r="B856" i="6"/>
  <c r="D856" i="6"/>
  <c r="C856" i="6"/>
  <c r="D904" i="6"/>
  <c r="B904" i="6"/>
  <c r="C904" i="6"/>
  <c r="D952" i="6"/>
  <c r="B952" i="6"/>
  <c r="C952" i="6"/>
  <c r="D1000" i="6"/>
  <c r="B1000" i="6"/>
  <c r="C1000" i="6"/>
  <c r="D1048" i="6"/>
  <c r="C1048" i="6"/>
  <c r="B1048" i="6"/>
  <c r="D1096" i="6"/>
  <c r="C1096" i="6"/>
  <c r="B1096" i="6"/>
  <c r="D1144" i="6"/>
  <c r="C1144" i="6"/>
  <c r="B1144" i="6"/>
  <c r="D1192" i="6"/>
  <c r="C1192" i="6"/>
  <c r="B1192" i="6"/>
  <c r="D903" i="6"/>
  <c r="C903" i="6"/>
  <c r="B903" i="6"/>
  <c r="D951" i="6"/>
  <c r="C951" i="6"/>
  <c r="B951" i="6"/>
  <c r="D999" i="6"/>
  <c r="C999" i="6"/>
  <c r="B999" i="6"/>
  <c r="D1047" i="6"/>
  <c r="C1047" i="6"/>
  <c r="B1047" i="6"/>
  <c r="D1095" i="6"/>
  <c r="C1095" i="6"/>
  <c r="B1095" i="6"/>
  <c r="D1143" i="6"/>
  <c r="C1143" i="6"/>
  <c r="B1143" i="6"/>
  <c r="D1191" i="6"/>
  <c r="C1191" i="6"/>
  <c r="B1191" i="6"/>
  <c r="D1229" i="6"/>
  <c r="C1229" i="6"/>
  <c r="B1229" i="6"/>
  <c r="D850" i="6"/>
  <c r="C850" i="6"/>
  <c r="B850" i="6"/>
  <c r="D898" i="6"/>
  <c r="C898" i="6"/>
  <c r="B898" i="6"/>
  <c r="D946" i="6"/>
  <c r="C946" i="6"/>
  <c r="B946" i="6"/>
  <c r="D994" i="6"/>
  <c r="C994" i="6"/>
  <c r="B994" i="6"/>
  <c r="D1042" i="6"/>
  <c r="C1042" i="6"/>
  <c r="B1042" i="6"/>
  <c r="D1090" i="6"/>
  <c r="C1090" i="6"/>
  <c r="B1090" i="6"/>
  <c r="D1138" i="6"/>
  <c r="C1138" i="6"/>
  <c r="B1138" i="6"/>
  <c r="D1186" i="6"/>
  <c r="C1186" i="6"/>
  <c r="B1186" i="6"/>
  <c r="D1276" i="6"/>
  <c r="B1276" i="6"/>
  <c r="C1276" i="6"/>
  <c r="C1467" i="6"/>
  <c r="B1467" i="6"/>
  <c r="D1467" i="6"/>
  <c r="D845" i="6"/>
  <c r="C845" i="6"/>
  <c r="B845" i="6"/>
  <c r="D893" i="6"/>
  <c r="C893" i="6"/>
  <c r="B893" i="6"/>
  <c r="D941" i="6"/>
  <c r="B941" i="6"/>
  <c r="C941" i="6"/>
  <c r="D989" i="6"/>
  <c r="C989" i="6"/>
  <c r="B989" i="6"/>
  <c r="D1037" i="6"/>
  <c r="C1037" i="6"/>
  <c r="B1037" i="6"/>
  <c r="D1085" i="6"/>
  <c r="C1085" i="6"/>
  <c r="B1085" i="6"/>
  <c r="D1133" i="6"/>
  <c r="C1133" i="6"/>
  <c r="B1133" i="6"/>
  <c r="D1181" i="6"/>
  <c r="C1181" i="6"/>
  <c r="B1181" i="6"/>
  <c r="D1373" i="6"/>
  <c r="B1373" i="6"/>
  <c r="C1373" i="6"/>
  <c r="C1495" i="6"/>
  <c r="B1495" i="6"/>
  <c r="D1495" i="6"/>
  <c r="B1423" i="6"/>
  <c r="D1423" i="6"/>
  <c r="C1423" i="6"/>
  <c r="C1450" i="6"/>
  <c r="B1450" i="6"/>
  <c r="D1450" i="6"/>
  <c r="D1271" i="6"/>
  <c r="C1271" i="6"/>
  <c r="B1271" i="6"/>
  <c r="B1346" i="6"/>
  <c r="C1346" i="6"/>
  <c r="D1346" i="6"/>
  <c r="B1370" i="6"/>
  <c r="D1370" i="6"/>
  <c r="C1370" i="6"/>
  <c r="D1198" i="6"/>
  <c r="C1198" i="6"/>
  <c r="B1198" i="6"/>
  <c r="C1246" i="6"/>
  <c r="B1246" i="6"/>
  <c r="D1246" i="6"/>
  <c r="C1294" i="6"/>
  <c r="B1294" i="6"/>
  <c r="D1294" i="6"/>
  <c r="D1429" i="6"/>
  <c r="B1429" i="6"/>
  <c r="C1429" i="6"/>
  <c r="B1406" i="6"/>
  <c r="D1406" i="6"/>
  <c r="C1406" i="6"/>
  <c r="C1490" i="6"/>
  <c r="B1490" i="6"/>
  <c r="D1490" i="6"/>
  <c r="D1385" i="6"/>
  <c r="B1385" i="6"/>
  <c r="C1385" i="6"/>
  <c r="B1387" i="6"/>
  <c r="D1387" i="6"/>
  <c r="C1387" i="6"/>
  <c r="B1320" i="6"/>
  <c r="D1320" i="6"/>
  <c r="C1320" i="6"/>
  <c r="B1368" i="6"/>
  <c r="D1368" i="6"/>
  <c r="C1368" i="6"/>
  <c r="B1416" i="6"/>
  <c r="D1416" i="6"/>
  <c r="C1416" i="6"/>
  <c r="B1464" i="6"/>
  <c r="D1464" i="6"/>
  <c r="C1464" i="6"/>
  <c r="AQ20" i="3"/>
  <c r="AP20" i="3"/>
  <c r="D13" i="7"/>
  <c r="C13" i="7"/>
  <c r="B13" i="7"/>
  <c r="D107" i="7"/>
  <c r="C107" i="7"/>
  <c r="B107" i="7"/>
  <c r="C82" i="7"/>
  <c r="B82" i="7"/>
  <c r="D82" i="7"/>
  <c r="C47" i="7"/>
  <c r="B47" i="7"/>
  <c r="D47" i="7"/>
  <c r="C7" i="7"/>
  <c r="B7" i="7"/>
  <c r="D7" i="7"/>
  <c r="C83" i="7"/>
  <c r="B83" i="7"/>
  <c r="D83" i="7"/>
  <c r="C86" i="7"/>
  <c r="B86" i="7"/>
  <c r="D86" i="7"/>
  <c r="D143" i="7"/>
  <c r="C143" i="7"/>
  <c r="B143" i="7"/>
  <c r="D191" i="7"/>
  <c r="C191" i="7"/>
  <c r="B191" i="7"/>
  <c r="D322" i="7"/>
  <c r="C322" i="7"/>
  <c r="B322" i="7"/>
  <c r="D146" i="7"/>
  <c r="C146" i="7"/>
  <c r="B146" i="7"/>
  <c r="D302" i="7"/>
  <c r="C302" i="7"/>
  <c r="B302" i="7"/>
  <c r="D125" i="7"/>
  <c r="C125" i="7"/>
  <c r="B125" i="7"/>
  <c r="D173" i="7"/>
  <c r="C173" i="7"/>
  <c r="B173" i="7"/>
  <c r="D318" i="7"/>
  <c r="C318" i="7"/>
  <c r="B318" i="7"/>
  <c r="B32" i="7"/>
  <c r="D32" i="7"/>
  <c r="C32" i="7"/>
  <c r="B80" i="7"/>
  <c r="D80" i="7"/>
  <c r="C80" i="7"/>
  <c r="B128" i="7"/>
  <c r="D128" i="7"/>
  <c r="C128" i="7"/>
  <c r="B176" i="7"/>
  <c r="D176" i="7"/>
  <c r="C176" i="7"/>
  <c r="D286" i="7"/>
  <c r="C286" i="7"/>
  <c r="B286" i="7"/>
  <c r="D232" i="7"/>
  <c r="C232" i="7"/>
  <c r="B232" i="7"/>
  <c r="D280" i="7"/>
  <c r="C280" i="7"/>
  <c r="B280" i="7"/>
  <c r="D328" i="7"/>
  <c r="C328" i="7"/>
  <c r="B328" i="7"/>
  <c r="D376" i="7"/>
  <c r="C376" i="7"/>
  <c r="B376" i="7"/>
  <c r="D568" i="7"/>
  <c r="C568" i="7"/>
  <c r="B568" i="7"/>
  <c r="D524" i="7"/>
  <c r="C524" i="7"/>
  <c r="B524" i="7"/>
  <c r="D215" i="7"/>
  <c r="C215" i="7"/>
  <c r="B215" i="7"/>
  <c r="C263" i="7"/>
  <c r="D263" i="7"/>
  <c r="B263" i="7"/>
  <c r="C311" i="7"/>
  <c r="D311" i="7"/>
  <c r="B311" i="7"/>
  <c r="C359" i="7"/>
  <c r="B359" i="7"/>
  <c r="D359" i="7"/>
  <c r="D450" i="7"/>
  <c r="C450" i="7"/>
  <c r="B450" i="7"/>
  <c r="D388" i="7"/>
  <c r="C388" i="7"/>
  <c r="B388" i="7"/>
  <c r="D470" i="7"/>
  <c r="C470" i="7"/>
  <c r="B470" i="7"/>
  <c r="D382" i="7"/>
  <c r="C382" i="7"/>
  <c r="B382" i="7"/>
  <c r="D201" i="7"/>
  <c r="C201" i="7"/>
  <c r="B201" i="7"/>
  <c r="D249" i="7"/>
  <c r="C249" i="7"/>
  <c r="B249" i="7"/>
  <c r="D297" i="7"/>
  <c r="C297" i="7"/>
  <c r="B297" i="7"/>
  <c r="D345" i="7"/>
  <c r="C345" i="7"/>
  <c r="B345" i="7"/>
  <c r="D422" i="7"/>
  <c r="C422" i="7"/>
  <c r="B422" i="7"/>
  <c r="D588" i="7"/>
  <c r="C588" i="7"/>
  <c r="B588" i="7"/>
  <c r="D383" i="7"/>
  <c r="C383" i="7"/>
  <c r="B383" i="7"/>
  <c r="C431" i="7"/>
  <c r="B431" i="7"/>
  <c r="D431" i="7"/>
  <c r="C479" i="7"/>
  <c r="B479" i="7"/>
  <c r="D479" i="7"/>
  <c r="D527" i="7"/>
  <c r="C527" i="7"/>
  <c r="B527" i="7"/>
  <c r="D575" i="7"/>
  <c r="C575" i="7"/>
  <c r="B575" i="7"/>
  <c r="D623" i="7"/>
  <c r="C623" i="7"/>
  <c r="B623" i="7"/>
  <c r="D671" i="7"/>
  <c r="C671" i="7"/>
  <c r="B671" i="7"/>
  <c r="D701" i="7"/>
  <c r="C701" i="7"/>
  <c r="B701" i="7"/>
  <c r="D522" i="7"/>
  <c r="C522" i="7"/>
  <c r="B522" i="7"/>
  <c r="D570" i="7"/>
  <c r="C570" i="7"/>
  <c r="B570" i="7"/>
  <c r="D618" i="7"/>
  <c r="C618" i="7"/>
  <c r="B618" i="7"/>
  <c r="D666" i="7"/>
  <c r="C666" i="7"/>
  <c r="B666" i="7"/>
  <c r="D1081" i="7"/>
  <c r="C1081" i="7"/>
  <c r="B1081" i="7"/>
  <c r="C425" i="7"/>
  <c r="B425" i="7"/>
  <c r="D425" i="7"/>
  <c r="C473" i="7"/>
  <c r="B473" i="7"/>
  <c r="D473" i="7"/>
  <c r="C521" i="7"/>
  <c r="B521" i="7"/>
  <c r="D521" i="7"/>
  <c r="C569" i="7"/>
  <c r="B569" i="7"/>
  <c r="D569" i="7"/>
  <c r="C617" i="7"/>
  <c r="B617" i="7"/>
  <c r="D617" i="7"/>
  <c r="C665" i="7"/>
  <c r="B665" i="7"/>
  <c r="D665" i="7"/>
  <c r="D687" i="7"/>
  <c r="C687" i="7"/>
  <c r="B687" i="7"/>
  <c r="D757" i="7"/>
  <c r="C757" i="7"/>
  <c r="B757" i="7"/>
  <c r="D805" i="7"/>
  <c r="C805" i="7"/>
  <c r="B805" i="7"/>
  <c r="D853" i="7"/>
  <c r="C853" i="7"/>
  <c r="B853" i="7"/>
  <c r="D989" i="7"/>
  <c r="C989" i="7"/>
  <c r="B989" i="7"/>
  <c r="B692" i="7"/>
  <c r="D692" i="7"/>
  <c r="C692" i="7"/>
  <c r="D740" i="7"/>
  <c r="B740" i="7"/>
  <c r="C740" i="7"/>
  <c r="D788" i="7"/>
  <c r="C788" i="7"/>
  <c r="B788" i="7"/>
  <c r="D836" i="7"/>
  <c r="C836" i="7"/>
  <c r="B836" i="7"/>
  <c r="D884" i="7"/>
  <c r="C884" i="7"/>
  <c r="B884" i="7"/>
  <c r="D909" i="7"/>
  <c r="C909" i="7"/>
  <c r="B909" i="7"/>
  <c r="D759" i="7"/>
  <c r="C759" i="7"/>
  <c r="B759" i="7"/>
  <c r="D807" i="7"/>
  <c r="C807" i="7"/>
  <c r="B807" i="7"/>
  <c r="D855" i="7"/>
  <c r="C855" i="7"/>
  <c r="B855" i="7"/>
  <c r="D1061" i="7"/>
  <c r="C1061" i="7"/>
  <c r="B1061" i="7"/>
  <c r="D1021" i="7"/>
  <c r="C1021" i="7"/>
  <c r="B1021" i="7"/>
  <c r="B766" i="7"/>
  <c r="D766" i="7"/>
  <c r="C766" i="7"/>
  <c r="B814" i="7"/>
  <c r="D814" i="7"/>
  <c r="C814" i="7"/>
  <c r="B862" i="7"/>
  <c r="D862" i="7"/>
  <c r="C862" i="7"/>
  <c r="D1340" i="7"/>
  <c r="B1340" i="7"/>
  <c r="C1340" i="7"/>
  <c r="D1123" i="7"/>
  <c r="C1123" i="7"/>
  <c r="B1123" i="7"/>
  <c r="D928" i="7"/>
  <c r="C928" i="7"/>
  <c r="B928" i="7"/>
  <c r="D976" i="7"/>
  <c r="C976" i="7"/>
  <c r="B976" i="7"/>
  <c r="D1024" i="7"/>
  <c r="C1024" i="7"/>
  <c r="B1024" i="7"/>
  <c r="D1072" i="7"/>
  <c r="C1072" i="7"/>
  <c r="B1072" i="7"/>
  <c r="D1141" i="7"/>
  <c r="C1141" i="7"/>
  <c r="B1141" i="7"/>
  <c r="D907" i="7"/>
  <c r="C907" i="7"/>
  <c r="B907" i="7"/>
  <c r="D955" i="7"/>
  <c r="C955" i="7"/>
  <c r="B955" i="7"/>
  <c r="D1003" i="7"/>
  <c r="C1003" i="7"/>
  <c r="B1003" i="7"/>
  <c r="D1051" i="7"/>
  <c r="C1051" i="7"/>
  <c r="B1051" i="7"/>
  <c r="C1118" i="7"/>
  <c r="B1118" i="7"/>
  <c r="D1118" i="7"/>
  <c r="D1131" i="7"/>
  <c r="C1131" i="7"/>
  <c r="B1131" i="7"/>
  <c r="C922" i="7"/>
  <c r="B922" i="7"/>
  <c r="D922" i="7"/>
  <c r="C970" i="7"/>
  <c r="B970" i="7"/>
  <c r="D970" i="7"/>
  <c r="C1018" i="7"/>
  <c r="B1018" i="7"/>
  <c r="D1018" i="7"/>
  <c r="C1066" i="7"/>
  <c r="B1066" i="7"/>
  <c r="D1066" i="7"/>
  <c r="D1133" i="7"/>
  <c r="B1133" i="7"/>
  <c r="C1133" i="7"/>
  <c r="B1167" i="7"/>
  <c r="D1167" i="7"/>
  <c r="C1167" i="7"/>
  <c r="D1215" i="7"/>
  <c r="C1215" i="7"/>
  <c r="B1215" i="7"/>
  <c r="D1247" i="7"/>
  <c r="C1247" i="7"/>
  <c r="B1247" i="7"/>
  <c r="B1244" i="7"/>
  <c r="D1244" i="7"/>
  <c r="C1244" i="7"/>
  <c r="D1222" i="7"/>
  <c r="C1222" i="7"/>
  <c r="B1222" i="7"/>
  <c r="D1416" i="7"/>
  <c r="C1416" i="7"/>
  <c r="B1416" i="7"/>
  <c r="C1445" i="7"/>
  <c r="B1445" i="7"/>
  <c r="D1445" i="7"/>
  <c r="D1157" i="7"/>
  <c r="B1157" i="7"/>
  <c r="C1157" i="7"/>
  <c r="D1205" i="7"/>
  <c r="C1205" i="7"/>
  <c r="B1205" i="7"/>
  <c r="D1237" i="7"/>
  <c r="C1237" i="7"/>
  <c r="B1237" i="7"/>
  <c r="C1313" i="7"/>
  <c r="B1313" i="7"/>
  <c r="D1313" i="7"/>
  <c r="B1116" i="7"/>
  <c r="D1116" i="7"/>
  <c r="C1116" i="7"/>
  <c r="B1164" i="7"/>
  <c r="D1164" i="7"/>
  <c r="C1164" i="7"/>
  <c r="B1212" i="7"/>
  <c r="D1212" i="7"/>
  <c r="C1212" i="7"/>
  <c r="D1367" i="7"/>
  <c r="C1367" i="7"/>
  <c r="B1367" i="7"/>
  <c r="C1352" i="7"/>
  <c r="D1352" i="7"/>
  <c r="B1352" i="7"/>
  <c r="D1460" i="7"/>
  <c r="C1460" i="7"/>
  <c r="B1460" i="7"/>
  <c r="D1470" i="7"/>
  <c r="C1470" i="7"/>
  <c r="B1470" i="7"/>
  <c r="C1421" i="7"/>
  <c r="B1421" i="7"/>
  <c r="D1421" i="7"/>
  <c r="D1339" i="7"/>
  <c r="C1339" i="7"/>
  <c r="B1339" i="7"/>
  <c r="C1490" i="7"/>
  <c r="B1490" i="7"/>
  <c r="D1490" i="7"/>
  <c r="D1473" i="7"/>
  <c r="B1473" i="7"/>
  <c r="C1473" i="7"/>
  <c r="D1274" i="7"/>
  <c r="C1274" i="7"/>
  <c r="B1274" i="7"/>
  <c r="D1322" i="7"/>
  <c r="C1322" i="7"/>
  <c r="B1322" i="7"/>
  <c r="C1437" i="7"/>
  <c r="B1437" i="7"/>
  <c r="D1437" i="7"/>
  <c r="C1382" i="7"/>
  <c r="D1382" i="7"/>
  <c r="B1382" i="7"/>
  <c r="B1430" i="7"/>
  <c r="D1430" i="7"/>
  <c r="C1430" i="7"/>
  <c r="D1464" i="7"/>
  <c r="C1464" i="7"/>
  <c r="B1464" i="7"/>
  <c r="D1483" i="7"/>
  <c r="C1483" i="7"/>
  <c r="B1483" i="7"/>
  <c r="U19" i="3"/>
  <c r="W19" i="3" s="1"/>
  <c r="AQ36" i="3"/>
  <c r="AP36" i="3"/>
  <c r="AA11" i="3"/>
  <c r="AF11" i="3" s="1"/>
  <c r="AK11" i="3" s="1"/>
  <c r="AQ52" i="3"/>
  <c r="AP52" i="3"/>
  <c r="AC16" i="3"/>
  <c r="AH16" i="3" s="1"/>
  <c r="AM16" i="3" s="1"/>
  <c r="AP27" i="3"/>
  <c r="AQ27" i="3"/>
  <c r="AT22" i="3"/>
  <c r="AS22" i="3"/>
  <c r="AP21" i="3"/>
  <c r="AQ21" i="3"/>
  <c r="AT40" i="3"/>
  <c r="AS40" i="3"/>
  <c r="AT24" i="3"/>
  <c r="AS24" i="3"/>
  <c r="C373" i="8"/>
  <c r="B373" i="8"/>
  <c r="D373" i="8"/>
  <c r="C77" i="8"/>
  <c r="D77" i="8"/>
  <c r="B77" i="8"/>
  <c r="D56" i="8"/>
  <c r="C56" i="8"/>
  <c r="B56" i="8"/>
  <c r="D68" i="8"/>
  <c r="C68" i="8"/>
  <c r="B68" i="8"/>
  <c r="D148" i="8"/>
  <c r="C148" i="8"/>
  <c r="B148" i="8"/>
  <c r="D48" i="8"/>
  <c r="B48" i="8"/>
  <c r="C48" i="8"/>
  <c r="C94" i="8"/>
  <c r="B94" i="8"/>
  <c r="D94" i="8"/>
  <c r="D184" i="8"/>
  <c r="C184" i="8"/>
  <c r="B184" i="8"/>
  <c r="D19" i="8"/>
  <c r="C19" i="8"/>
  <c r="B19" i="8"/>
  <c r="C115" i="8"/>
  <c r="B115" i="8"/>
  <c r="D115" i="8"/>
  <c r="C211" i="8"/>
  <c r="B211" i="8"/>
  <c r="D211" i="8"/>
  <c r="C337" i="8"/>
  <c r="B337" i="8"/>
  <c r="D337" i="8"/>
  <c r="D273" i="8"/>
  <c r="C273" i="8"/>
  <c r="B273" i="8"/>
  <c r="D616" i="8"/>
  <c r="C616" i="8"/>
  <c r="B616" i="8"/>
  <c r="D319" i="8"/>
  <c r="C319" i="8"/>
  <c r="B319" i="8"/>
  <c r="B246" i="8"/>
  <c r="D246" i="8"/>
  <c r="C246" i="8"/>
  <c r="B342" i="8"/>
  <c r="C342" i="8"/>
  <c r="D342" i="8"/>
  <c r="D640" i="8"/>
  <c r="C640" i="8"/>
  <c r="B640" i="8"/>
  <c r="D456" i="8"/>
  <c r="C456" i="8"/>
  <c r="B456" i="8"/>
  <c r="D395" i="8"/>
  <c r="B395" i="8"/>
  <c r="C395" i="8"/>
  <c r="AT38" i="3"/>
  <c r="AS38" i="3"/>
  <c r="AT53" i="3"/>
  <c r="AS53" i="3"/>
  <c r="AT47" i="3"/>
  <c r="AS47" i="3"/>
  <c r="D13" i="8"/>
  <c r="C13" i="8"/>
  <c r="B13" i="8"/>
  <c r="D18" i="8"/>
  <c r="C18" i="8"/>
  <c r="B18" i="8"/>
  <c r="C74" i="8"/>
  <c r="B74" i="8"/>
  <c r="D74" i="8"/>
  <c r="D84" i="8"/>
  <c r="C84" i="8"/>
  <c r="B84" i="8"/>
  <c r="C106" i="8"/>
  <c r="B106" i="8"/>
  <c r="D106" i="8"/>
  <c r="C81" i="8"/>
  <c r="D81" i="8"/>
  <c r="B81" i="8"/>
  <c r="D104" i="8"/>
  <c r="C104" i="8"/>
  <c r="B104" i="8"/>
  <c r="C86" i="8"/>
  <c r="B86" i="8"/>
  <c r="D86" i="8"/>
  <c r="C218" i="8"/>
  <c r="B218" i="8"/>
  <c r="D218" i="8"/>
  <c r="D165" i="8"/>
  <c r="C165" i="8"/>
  <c r="B165" i="8"/>
  <c r="C33" i="8"/>
  <c r="B33" i="8"/>
  <c r="D33" i="8"/>
  <c r="C57" i="8"/>
  <c r="B57" i="8"/>
  <c r="D57" i="8"/>
  <c r="D96" i="8"/>
  <c r="C96" i="8"/>
  <c r="B96" i="8"/>
  <c r="C110" i="8"/>
  <c r="B110" i="8"/>
  <c r="D110" i="8"/>
  <c r="C230" i="8"/>
  <c r="B230" i="8"/>
  <c r="D230" i="8"/>
  <c r="D188" i="8"/>
  <c r="C188" i="8"/>
  <c r="B188" i="8"/>
  <c r="D236" i="8"/>
  <c r="C236" i="8"/>
  <c r="B236" i="8"/>
  <c r="C260" i="8"/>
  <c r="D260" i="8"/>
  <c r="B260" i="8"/>
  <c r="B23" i="8"/>
  <c r="D23" i="8"/>
  <c r="C23" i="8"/>
  <c r="C71" i="8"/>
  <c r="B71" i="8"/>
  <c r="D71" i="8"/>
  <c r="C119" i="8"/>
  <c r="B119" i="8"/>
  <c r="D119" i="8"/>
  <c r="C167" i="8"/>
  <c r="B167" i="8"/>
  <c r="D167" i="8"/>
  <c r="C215" i="8"/>
  <c r="B215" i="8"/>
  <c r="D215" i="8"/>
  <c r="B297" i="8"/>
  <c r="D297" i="8"/>
  <c r="C297" i="8"/>
  <c r="C361" i="8"/>
  <c r="B361" i="8"/>
  <c r="D361" i="8"/>
  <c r="D445" i="8"/>
  <c r="C445" i="8"/>
  <c r="B445" i="8"/>
  <c r="C329" i="8"/>
  <c r="B329" i="8"/>
  <c r="D329" i="8"/>
  <c r="D421" i="8"/>
  <c r="B421" i="8"/>
  <c r="C421" i="8"/>
  <c r="D393" i="8"/>
  <c r="C393" i="8"/>
  <c r="B393" i="8"/>
  <c r="D275" i="8"/>
  <c r="C275" i="8"/>
  <c r="B275" i="8"/>
  <c r="D323" i="8"/>
  <c r="C323" i="8"/>
  <c r="B323" i="8"/>
  <c r="D371" i="8"/>
  <c r="C371" i="8"/>
  <c r="B371" i="8"/>
  <c r="B250" i="8"/>
  <c r="D250" i="8"/>
  <c r="C250" i="8"/>
  <c r="B298" i="8"/>
  <c r="D298" i="8"/>
  <c r="C298" i="8"/>
  <c r="B346" i="8"/>
  <c r="D346" i="8"/>
  <c r="C346" i="8"/>
  <c r="D537" i="8"/>
  <c r="C537" i="8"/>
  <c r="B537" i="8"/>
  <c r="D652" i="8"/>
  <c r="C652" i="8"/>
  <c r="B652" i="8"/>
  <c r="D412" i="8"/>
  <c r="C412" i="8"/>
  <c r="B412" i="8"/>
  <c r="D460" i="8"/>
  <c r="C460" i="8"/>
  <c r="B460" i="8"/>
  <c r="D508" i="8"/>
  <c r="C508" i="8"/>
  <c r="B508" i="8"/>
  <c r="D604" i="8"/>
  <c r="C604" i="8"/>
  <c r="B604" i="8"/>
  <c r="D399" i="8"/>
  <c r="C399" i="8"/>
  <c r="B399" i="8"/>
  <c r="D447" i="8"/>
  <c r="C447" i="8"/>
  <c r="B447" i="8"/>
  <c r="D495" i="8"/>
  <c r="C495" i="8"/>
  <c r="B495" i="8"/>
  <c r="D543" i="8"/>
  <c r="C543" i="8"/>
  <c r="B543" i="8"/>
  <c r="D692" i="8"/>
  <c r="C692" i="8"/>
  <c r="B692" i="8"/>
  <c r="D636" i="8"/>
  <c r="C636" i="8"/>
  <c r="B636" i="8"/>
  <c r="D422" i="8"/>
  <c r="C422" i="8"/>
  <c r="B422" i="8"/>
  <c r="C470" i="8"/>
  <c r="B470" i="8"/>
  <c r="D470" i="8"/>
  <c r="C518" i="8"/>
  <c r="B518" i="8"/>
  <c r="D518" i="8"/>
  <c r="B549" i="8"/>
  <c r="D549" i="8"/>
  <c r="C549" i="8"/>
  <c r="C601" i="8"/>
  <c r="B601" i="8"/>
  <c r="D601" i="8"/>
  <c r="D769" i="8"/>
  <c r="C769" i="8"/>
  <c r="B769" i="8"/>
  <c r="D603" i="8"/>
  <c r="C603" i="8"/>
  <c r="B603" i="8"/>
  <c r="D651" i="8"/>
  <c r="C651" i="8"/>
  <c r="B651" i="8"/>
  <c r="D699" i="8"/>
  <c r="C699" i="8"/>
  <c r="B699" i="8"/>
  <c r="D773" i="8"/>
  <c r="C773" i="8"/>
  <c r="B773" i="8"/>
  <c r="C762" i="8"/>
  <c r="D762" i="8"/>
  <c r="B762" i="8"/>
  <c r="C582" i="8"/>
  <c r="B582" i="8"/>
  <c r="D582" i="8"/>
  <c r="D630" i="8"/>
  <c r="C630" i="8"/>
  <c r="B630" i="8"/>
  <c r="D678" i="8"/>
  <c r="C678" i="8"/>
  <c r="B678" i="8"/>
  <c r="D732" i="8"/>
  <c r="C732" i="8"/>
  <c r="B732" i="8"/>
  <c r="D973" i="8"/>
  <c r="B973" i="8"/>
  <c r="C973" i="8"/>
  <c r="D716" i="8"/>
  <c r="C716" i="8"/>
  <c r="B716" i="8"/>
  <c r="D933" i="8"/>
  <c r="C933" i="8"/>
  <c r="B933" i="8"/>
  <c r="C653" i="8"/>
  <c r="B653" i="8"/>
  <c r="D653" i="8"/>
  <c r="C701" i="8"/>
  <c r="B701" i="8"/>
  <c r="D701" i="8"/>
  <c r="B725" i="8"/>
  <c r="D725" i="8"/>
  <c r="C725" i="8"/>
  <c r="B962" i="8"/>
  <c r="C962" i="8"/>
  <c r="D962" i="8"/>
  <c r="D997" i="8"/>
  <c r="B997" i="8"/>
  <c r="C997" i="8"/>
  <c r="D834" i="8"/>
  <c r="C834" i="8"/>
  <c r="B834" i="8"/>
  <c r="C806" i="8"/>
  <c r="B806" i="8"/>
  <c r="D806" i="8"/>
  <c r="D977" i="8"/>
  <c r="B977" i="8"/>
  <c r="C977" i="8"/>
  <c r="D1026" i="8"/>
  <c r="C1026" i="8"/>
  <c r="B1026" i="8"/>
  <c r="D894" i="8"/>
  <c r="C894" i="8"/>
  <c r="B894" i="8"/>
  <c r="D942" i="8"/>
  <c r="C942" i="8"/>
  <c r="B942" i="8"/>
  <c r="D837" i="8"/>
  <c r="C837" i="8"/>
  <c r="B837" i="8"/>
  <c r="D885" i="8"/>
  <c r="C885" i="8"/>
  <c r="B885" i="8"/>
  <c r="B982" i="8"/>
  <c r="D982" i="8"/>
  <c r="C982" i="8"/>
  <c r="B946" i="8"/>
  <c r="D946" i="8"/>
  <c r="C946" i="8"/>
  <c r="D876" i="8"/>
  <c r="C876" i="8"/>
  <c r="B876" i="8"/>
  <c r="B924" i="8"/>
  <c r="D924" i="8"/>
  <c r="C924" i="8"/>
  <c r="C1089" i="8"/>
  <c r="B1089" i="8"/>
  <c r="D1089" i="8"/>
  <c r="D1045" i="8"/>
  <c r="C1045" i="8"/>
  <c r="B1045" i="8"/>
  <c r="D932" i="8"/>
  <c r="C932" i="8"/>
  <c r="B932" i="8"/>
  <c r="D980" i="8"/>
  <c r="B980" i="8"/>
  <c r="C980" i="8"/>
  <c r="D1028" i="8"/>
  <c r="C1028" i="8"/>
  <c r="B1028" i="8"/>
  <c r="D1068" i="8"/>
  <c r="C1068" i="8"/>
  <c r="B1068" i="8"/>
  <c r="D931" i="8"/>
  <c r="C931" i="8"/>
  <c r="B931" i="8"/>
  <c r="D979" i="8"/>
  <c r="C979" i="8"/>
  <c r="B979" i="8"/>
  <c r="D1027" i="8"/>
  <c r="C1027" i="8"/>
  <c r="B1027" i="8"/>
  <c r="D1154" i="8"/>
  <c r="C1154" i="8"/>
  <c r="B1154" i="8"/>
  <c r="D1124" i="8"/>
  <c r="C1124" i="8"/>
  <c r="B1124" i="8"/>
  <c r="C1192" i="8"/>
  <c r="B1192" i="8"/>
  <c r="D1192" i="8"/>
  <c r="D1075" i="8"/>
  <c r="B1075" i="8"/>
  <c r="C1075" i="8"/>
  <c r="D1123" i="8"/>
  <c r="C1123" i="8"/>
  <c r="B1123" i="8"/>
  <c r="D1146" i="8"/>
  <c r="B1146" i="8"/>
  <c r="C1146" i="8"/>
  <c r="D1082" i="8"/>
  <c r="C1082" i="8"/>
  <c r="B1082" i="8"/>
  <c r="D1136" i="8"/>
  <c r="C1136" i="8"/>
  <c r="B1136" i="8"/>
  <c r="D1242" i="8"/>
  <c r="B1242" i="8"/>
  <c r="C1242" i="8"/>
  <c r="D1339" i="8"/>
  <c r="C1339" i="8"/>
  <c r="B1339" i="8"/>
  <c r="C1206" i="8"/>
  <c r="B1206" i="8"/>
  <c r="D1206" i="8"/>
  <c r="D1288" i="8"/>
  <c r="C1288" i="8"/>
  <c r="B1288" i="8"/>
  <c r="C1161" i="8"/>
  <c r="B1161" i="8"/>
  <c r="D1161" i="8"/>
  <c r="B1251" i="8"/>
  <c r="D1251" i="8"/>
  <c r="C1251" i="8"/>
  <c r="D1264" i="8"/>
  <c r="C1264" i="8"/>
  <c r="B1264" i="8"/>
  <c r="B1352" i="8"/>
  <c r="D1352" i="8"/>
  <c r="C1352" i="8"/>
  <c r="D1221" i="8"/>
  <c r="C1221" i="8"/>
  <c r="B1221" i="8"/>
  <c r="C1287" i="8"/>
  <c r="B1287" i="8"/>
  <c r="D1287" i="8"/>
  <c r="D1272" i="8"/>
  <c r="C1272" i="8"/>
  <c r="B1272" i="8"/>
  <c r="D1420" i="8"/>
  <c r="B1420" i="8"/>
  <c r="C1420" i="8"/>
  <c r="C1244" i="8"/>
  <c r="B1244" i="8"/>
  <c r="D1244" i="8"/>
  <c r="B1302" i="8"/>
  <c r="D1302" i="8"/>
  <c r="C1302" i="8"/>
  <c r="C1359" i="8"/>
  <c r="D1359" i="8"/>
  <c r="B1359" i="8"/>
  <c r="D1444" i="8"/>
  <c r="B1444" i="8"/>
  <c r="C1444" i="8"/>
  <c r="D1448" i="8"/>
  <c r="B1448" i="8"/>
  <c r="C1448" i="8"/>
  <c r="D1468" i="8"/>
  <c r="B1468" i="8"/>
  <c r="C1468" i="8"/>
  <c r="D1408" i="8"/>
  <c r="B1408" i="8"/>
  <c r="C1408" i="8"/>
  <c r="B1317" i="8"/>
  <c r="D1317" i="8"/>
  <c r="C1317" i="8"/>
  <c r="D1410" i="8"/>
  <c r="C1410" i="8"/>
  <c r="B1410" i="8"/>
  <c r="B1401" i="8"/>
  <c r="D1401" i="8"/>
  <c r="C1401" i="8"/>
  <c r="B1449" i="8"/>
  <c r="D1449" i="8"/>
  <c r="C1449" i="8"/>
  <c r="C1497" i="8"/>
  <c r="B1497" i="8"/>
  <c r="D1497" i="8"/>
  <c r="C1447" i="8"/>
  <c r="B1447" i="8"/>
  <c r="D1447" i="8"/>
  <c r="C1495" i="8"/>
  <c r="B1495" i="8"/>
  <c r="D1495" i="8"/>
  <c r="C164" i="6"/>
  <c r="B164" i="6"/>
  <c r="D164" i="6"/>
  <c r="D377" i="6"/>
  <c r="C377" i="6"/>
  <c r="B377" i="6"/>
  <c r="B5" i="6"/>
  <c r="D5" i="6"/>
  <c r="C5" i="6"/>
  <c r="B149" i="6"/>
  <c r="D149" i="6"/>
  <c r="C149" i="6"/>
  <c r="C289" i="6"/>
  <c r="B289" i="6"/>
  <c r="D289" i="6"/>
  <c r="C88" i="6"/>
  <c r="B88" i="6"/>
  <c r="D88" i="6"/>
  <c r="C232" i="6"/>
  <c r="B232" i="6"/>
  <c r="D232" i="6"/>
  <c r="B73" i="6"/>
  <c r="D73" i="6"/>
  <c r="C73" i="6"/>
  <c r="B217" i="6"/>
  <c r="D217" i="6"/>
  <c r="C217" i="6"/>
  <c r="C23" i="6"/>
  <c r="B23" i="6"/>
  <c r="D23" i="6"/>
  <c r="C167" i="6"/>
  <c r="B167" i="6"/>
  <c r="D167" i="6"/>
  <c r="D417" i="6"/>
  <c r="C417" i="6"/>
  <c r="B417" i="6"/>
  <c r="C130" i="6"/>
  <c r="B130" i="6"/>
  <c r="D130" i="6"/>
  <c r="C274" i="6"/>
  <c r="B274" i="6"/>
  <c r="D274" i="6"/>
  <c r="C115" i="6"/>
  <c r="B115" i="6"/>
  <c r="D115" i="6"/>
  <c r="C282" i="6"/>
  <c r="B282" i="6"/>
  <c r="D282" i="6"/>
  <c r="B65" i="6"/>
  <c r="D65" i="6"/>
  <c r="C65" i="6"/>
  <c r="B209" i="6"/>
  <c r="D209" i="6"/>
  <c r="C209" i="6"/>
  <c r="D405" i="6"/>
  <c r="C405" i="6"/>
  <c r="B405" i="6"/>
  <c r="C124" i="6"/>
  <c r="B124" i="6"/>
  <c r="D124" i="6"/>
  <c r="D345" i="6"/>
  <c r="C345" i="6"/>
  <c r="B345" i="6"/>
  <c r="C122" i="6"/>
  <c r="B122" i="6"/>
  <c r="D122" i="6"/>
  <c r="C270" i="6"/>
  <c r="B270" i="6"/>
  <c r="D270" i="6"/>
  <c r="C107" i="6"/>
  <c r="B107" i="6"/>
  <c r="D107" i="6"/>
  <c r="C302" i="6"/>
  <c r="B302" i="6"/>
  <c r="D302" i="6"/>
  <c r="B57" i="6"/>
  <c r="D57" i="6"/>
  <c r="C57" i="6"/>
  <c r="B201" i="6"/>
  <c r="D201" i="6"/>
  <c r="C201" i="6"/>
  <c r="D567" i="6"/>
  <c r="C567" i="6"/>
  <c r="B567" i="6"/>
  <c r="D312" i="6"/>
  <c r="C312" i="6"/>
  <c r="B312" i="6"/>
  <c r="D360" i="6"/>
  <c r="C360" i="6"/>
  <c r="B360" i="6"/>
  <c r="D408" i="6"/>
  <c r="C408" i="6"/>
  <c r="B408" i="6"/>
  <c r="D447" i="6"/>
  <c r="C447" i="6"/>
  <c r="B447" i="6"/>
  <c r="C259" i="6"/>
  <c r="B259" i="6"/>
  <c r="D259" i="6"/>
  <c r="C307" i="6"/>
  <c r="B307" i="6"/>
  <c r="D307" i="6"/>
  <c r="D355" i="6"/>
  <c r="C355" i="6"/>
  <c r="B355" i="6"/>
  <c r="D403" i="6"/>
  <c r="C403" i="6"/>
  <c r="B403" i="6"/>
  <c r="D451" i="6"/>
  <c r="C451" i="6"/>
  <c r="B451" i="6"/>
  <c r="C322" i="6"/>
  <c r="B322" i="6"/>
  <c r="D322" i="6"/>
  <c r="C370" i="6"/>
  <c r="B370" i="6"/>
  <c r="D370" i="6"/>
  <c r="C418" i="6"/>
  <c r="B418" i="6"/>
  <c r="D418" i="6"/>
  <c r="D603" i="6"/>
  <c r="C603" i="6"/>
  <c r="B603" i="6"/>
  <c r="C460" i="6"/>
  <c r="D460" i="6"/>
  <c r="B460" i="6"/>
  <c r="C508" i="6"/>
  <c r="B508" i="6"/>
  <c r="D508" i="6"/>
  <c r="C556" i="6"/>
  <c r="B556" i="6"/>
  <c r="D556" i="6"/>
  <c r="C604" i="6"/>
  <c r="B604" i="6"/>
  <c r="D604" i="6"/>
  <c r="D652" i="6"/>
  <c r="C652" i="6"/>
  <c r="B652" i="6"/>
  <c r="D700" i="6"/>
  <c r="C700" i="6"/>
  <c r="B700" i="6"/>
  <c r="D748" i="6"/>
  <c r="C748" i="6"/>
  <c r="B748" i="6"/>
  <c r="D796" i="6"/>
  <c r="C796" i="6"/>
  <c r="B796" i="6"/>
  <c r="D1217" i="6"/>
  <c r="C1217" i="6"/>
  <c r="B1217" i="6"/>
  <c r="D655" i="6"/>
  <c r="C655" i="6"/>
  <c r="B655" i="6"/>
  <c r="D703" i="6"/>
  <c r="C703" i="6"/>
  <c r="B703" i="6"/>
  <c r="D751" i="6"/>
  <c r="C751" i="6"/>
  <c r="B751" i="6"/>
  <c r="D799" i="6"/>
  <c r="C799" i="6"/>
  <c r="B799" i="6"/>
  <c r="D875" i="6"/>
  <c r="C875" i="6"/>
  <c r="B875" i="6"/>
  <c r="D478" i="6"/>
  <c r="C478" i="6"/>
  <c r="B478" i="6"/>
  <c r="D526" i="6"/>
  <c r="C526" i="6"/>
  <c r="B526" i="6"/>
  <c r="D574" i="6"/>
  <c r="C574" i="6"/>
  <c r="B574" i="6"/>
  <c r="D622" i="6"/>
  <c r="C622" i="6"/>
  <c r="B622" i="6"/>
  <c r="D670" i="6"/>
  <c r="C670" i="6"/>
  <c r="B670" i="6"/>
  <c r="D718" i="6"/>
  <c r="C718" i="6"/>
  <c r="B718" i="6"/>
  <c r="D766" i="6"/>
  <c r="C766" i="6"/>
  <c r="B766" i="6"/>
  <c r="D814" i="6"/>
  <c r="C814" i="6"/>
  <c r="B814" i="6"/>
  <c r="D441" i="6"/>
  <c r="C441" i="6"/>
  <c r="B441" i="6"/>
  <c r="D489" i="6"/>
  <c r="C489" i="6"/>
  <c r="B489" i="6"/>
  <c r="D537" i="6"/>
  <c r="C537" i="6"/>
  <c r="B537" i="6"/>
  <c r="D585" i="6"/>
  <c r="C585" i="6"/>
  <c r="B585" i="6"/>
  <c r="D633" i="6"/>
  <c r="C633" i="6"/>
  <c r="B633" i="6"/>
  <c r="D681" i="6"/>
  <c r="C681" i="6"/>
  <c r="B681" i="6"/>
  <c r="D729" i="6"/>
  <c r="C729" i="6"/>
  <c r="B729" i="6"/>
  <c r="D777" i="6"/>
  <c r="C777" i="6"/>
  <c r="B777" i="6"/>
  <c r="B1224" i="6"/>
  <c r="D1224" i="6"/>
  <c r="C1224" i="6"/>
  <c r="B860" i="6"/>
  <c r="D860" i="6"/>
  <c r="C860" i="6"/>
  <c r="D908" i="6"/>
  <c r="B908" i="6"/>
  <c r="C908" i="6"/>
  <c r="D956" i="6"/>
  <c r="B956" i="6"/>
  <c r="C956" i="6"/>
  <c r="D1004" i="6"/>
  <c r="B1004" i="6"/>
  <c r="C1004" i="6"/>
  <c r="D1052" i="6"/>
  <c r="C1052" i="6"/>
  <c r="B1052" i="6"/>
  <c r="D1100" i="6"/>
  <c r="C1100" i="6"/>
  <c r="B1100" i="6"/>
  <c r="D1148" i="6"/>
  <c r="C1148" i="6"/>
  <c r="B1148" i="6"/>
  <c r="D1196" i="6"/>
  <c r="C1196" i="6"/>
  <c r="B1196" i="6"/>
  <c r="D907" i="6"/>
  <c r="C907" i="6"/>
  <c r="B907" i="6"/>
  <c r="D955" i="6"/>
  <c r="C955" i="6"/>
  <c r="B955" i="6"/>
  <c r="D1003" i="6"/>
  <c r="C1003" i="6"/>
  <c r="B1003" i="6"/>
  <c r="D1051" i="6"/>
  <c r="C1051" i="6"/>
  <c r="B1051" i="6"/>
  <c r="D1099" i="6"/>
  <c r="C1099" i="6"/>
  <c r="B1099" i="6"/>
  <c r="D1147" i="6"/>
  <c r="C1147" i="6"/>
  <c r="B1147" i="6"/>
  <c r="D1195" i="6"/>
  <c r="C1195" i="6"/>
  <c r="B1195" i="6"/>
  <c r="D1244" i="6"/>
  <c r="B1244" i="6"/>
  <c r="C1244" i="6"/>
  <c r="D854" i="6"/>
  <c r="C854" i="6"/>
  <c r="B854" i="6"/>
  <c r="D902" i="6"/>
  <c r="C902" i="6"/>
  <c r="B902" i="6"/>
  <c r="D950" i="6"/>
  <c r="C950" i="6"/>
  <c r="B950" i="6"/>
  <c r="D998" i="6"/>
  <c r="C998" i="6"/>
  <c r="B998" i="6"/>
  <c r="D1046" i="6"/>
  <c r="C1046" i="6"/>
  <c r="B1046" i="6"/>
  <c r="D1094" i="6"/>
  <c r="C1094" i="6"/>
  <c r="B1094" i="6"/>
  <c r="D1142" i="6"/>
  <c r="C1142" i="6"/>
  <c r="B1142" i="6"/>
  <c r="D1190" i="6"/>
  <c r="C1190" i="6"/>
  <c r="B1190" i="6"/>
  <c r="D1280" i="6"/>
  <c r="B1280" i="6"/>
  <c r="C1280" i="6"/>
  <c r="D1203" i="6"/>
  <c r="B1203" i="6"/>
  <c r="C1203" i="6"/>
  <c r="D849" i="6"/>
  <c r="C849" i="6"/>
  <c r="B849" i="6"/>
  <c r="D897" i="6"/>
  <c r="C897" i="6"/>
  <c r="B897" i="6"/>
  <c r="D945" i="6"/>
  <c r="C945" i="6"/>
  <c r="B945" i="6"/>
  <c r="D993" i="6"/>
  <c r="C993" i="6"/>
  <c r="B993" i="6"/>
  <c r="D1041" i="6"/>
  <c r="C1041" i="6"/>
  <c r="B1041" i="6"/>
  <c r="D1089" i="6"/>
  <c r="C1089" i="6"/>
  <c r="B1089" i="6"/>
  <c r="D1137" i="6"/>
  <c r="C1137" i="6"/>
  <c r="B1137" i="6"/>
  <c r="D1185" i="6"/>
  <c r="C1185" i="6"/>
  <c r="B1185" i="6"/>
  <c r="D1389" i="6"/>
  <c r="B1389" i="6"/>
  <c r="C1389" i="6"/>
  <c r="C1499" i="6"/>
  <c r="B1499" i="6"/>
  <c r="D1499" i="6"/>
  <c r="B1430" i="6"/>
  <c r="D1430" i="6"/>
  <c r="C1430" i="6"/>
  <c r="D1227" i="6"/>
  <c r="C1227" i="6"/>
  <c r="B1227" i="6"/>
  <c r="D1275" i="6"/>
  <c r="C1275" i="6"/>
  <c r="B1275" i="6"/>
  <c r="D1361" i="6"/>
  <c r="B1361" i="6"/>
  <c r="C1361" i="6"/>
  <c r="B1379" i="6"/>
  <c r="D1379" i="6"/>
  <c r="C1379" i="6"/>
  <c r="D1202" i="6"/>
  <c r="C1202" i="6"/>
  <c r="B1202" i="6"/>
  <c r="C1250" i="6"/>
  <c r="B1250" i="6"/>
  <c r="D1250" i="6"/>
  <c r="C1298" i="6"/>
  <c r="B1298" i="6"/>
  <c r="D1298" i="6"/>
  <c r="D1445" i="6"/>
  <c r="B1445" i="6"/>
  <c r="C1445" i="6"/>
  <c r="B1415" i="6"/>
  <c r="D1415" i="6"/>
  <c r="C1415" i="6"/>
  <c r="C1494" i="6"/>
  <c r="B1494" i="6"/>
  <c r="D1494" i="6"/>
  <c r="D1401" i="6"/>
  <c r="B1401" i="6"/>
  <c r="C1401" i="6"/>
  <c r="B1394" i="6"/>
  <c r="D1394" i="6"/>
  <c r="C1394" i="6"/>
  <c r="B1324" i="6"/>
  <c r="D1324" i="6"/>
  <c r="C1324" i="6"/>
  <c r="B1372" i="6"/>
  <c r="D1372" i="6"/>
  <c r="C1372" i="6"/>
  <c r="B1420" i="6"/>
  <c r="D1420" i="6"/>
  <c r="C1420" i="6"/>
  <c r="B1468" i="6"/>
  <c r="D1468" i="6"/>
  <c r="C1468" i="6"/>
  <c r="C46" i="7"/>
  <c r="B46" i="7"/>
  <c r="D46" i="7"/>
  <c r="D113" i="7"/>
  <c r="C113" i="7"/>
  <c r="B113" i="7"/>
  <c r="C87" i="7"/>
  <c r="B87" i="7"/>
  <c r="D87" i="7"/>
  <c r="D57" i="7"/>
  <c r="C57" i="7"/>
  <c r="B57" i="7"/>
  <c r="D17" i="7"/>
  <c r="C17" i="7"/>
  <c r="B17" i="7"/>
  <c r="D93" i="7"/>
  <c r="C93" i="7"/>
  <c r="B93" i="7"/>
  <c r="C91" i="7"/>
  <c r="B91" i="7"/>
  <c r="D91" i="7"/>
  <c r="D147" i="7"/>
  <c r="C147" i="7"/>
  <c r="B147" i="7"/>
  <c r="D250" i="7"/>
  <c r="C250" i="7"/>
  <c r="B250" i="7"/>
  <c r="D396" i="7"/>
  <c r="C396" i="7"/>
  <c r="B396" i="7"/>
  <c r="D150" i="7"/>
  <c r="C150" i="7"/>
  <c r="B150" i="7"/>
  <c r="D338" i="7"/>
  <c r="C338" i="7"/>
  <c r="B338" i="7"/>
  <c r="D129" i="7"/>
  <c r="C129" i="7"/>
  <c r="B129" i="7"/>
  <c r="D177" i="7"/>
  <c r="C177" i="7"/>
  <c r="B177" i="7"/>
  <c r="D354" i="7"/>
  <c r="C354" i="7"/>
  <c r="B354" i="7"/>
  <c r="B36" i="7"/>
  <c r="D36" i="7"/>
  <c r="C36" i="7"/>
  <c r="B84" i="7"/>
  <c r="D84" i="7"/>
  <c r="C84" i="7"/>
  <c r="B132" i="7"/>
  <c r="D132" i="7"/>
  <c r="C132" i="7"/>
  <c r="B180" i="7"/>
  <c r="D180" i="7"/>
  <c r="C180" i="7"/>
  <c r="D306" i="7"/>
  <c r="C306" i="7"/>
  <c r="B306" i="7"/>
  <c r="D236" i="7"/>
  <c r="C236" i="7"/>
  <c r="B236" i="7"/>
  <c r="D284" i="7"/>
  <c r="C284" i="7"/>
  <c r="B284" i="7"/>
  <c r="D332" i="7"/>
  <c r="C332" i="7"/>
  <c r="B332" i="7"/>
  <c r="D404" i="7"/>
  <c r="C404" i="7"/>
  <c r="B404" i="7"/>
  <c r="D592" i="7"/>
  <c r="C592" i="7"/>
  <c r="B592" i="7"/>
  <c r="D548" i="7"/>
  <c r="C548" i="7"/>
  <c r="B548" i="7"/>
  <c r="D219" i="7"/>
  <c r="C219" i="7"/>
  <c r="B219" i="7"/>
  <c r="C267" i="7"/>
  <c r="D267" i="7"/>
  <c r="B267" i="7"/>
  <c r="C315" i="7"/>
  <c r="D315" i="7"/>
  <c r="B315" i="7"/>
  <c r="C363" i="7"/>
  <c r="B363" i="7"/>
  <c r="D363" i="7"/>
  <c r="D458" i="7"/>
  <c r="C458" i="7"/>
  <c r="B458" i="7"/>
  <c r="D378" i="7"/>
  <c r="C378" i="7"/>
  <c r="B378" i="7"/>
  <c r="D476" i="7"/>
  <c r="C476" i="7"/>
  <c r="B476" i="7"/>
  <c r="D384" i="7"/>
  <c r="C384" i="7"/>
  <c r="B384" i="7"/>
  <c r="D205" i="7"/>
  <c r="B205" i="7"/>
  <c r="C205" i="7"/>
  <c r="D253" i="7"/>
  <c r="C253" i="7"/>
  <c r="B253" i="7"/>
  <c r="D301" i="7"/>
  <c r="B301" i="7"/>
  <c r="C301" i="7"/>
  <c r="D349" i="7"/>
  <c r="C349" i="7"/>
  <c r="B349" i="7"/>
  <c r="D430" i="7"/>
  <c r="C430" i="7"/>
  <c r="B430" i="7"/>
  <c r="D612" i="7"/>
  <c r="C612" i="7"/>
  <c r="B612" i="7"/>
  <c r="B387" i="7"/>
  <c r="D387" i="7"/>
  <c r="C387" i="7"/>
  <c r="C435" i="7"/>
  <c r="B435" i="7"/>
  <c r="D435" i="7"/>
  <c r="D483" i="7"/>
  <c r="C483" i="7"/>
  <c r="B483" i="7"/>
  <c r="D531" i="7"/>
  <c r="C531" i="7"/>
  <c r="B531" i="7"/>
  <c r="D579" i="7"/>
  <c r="C579" i="7"/>
  <c r="B579" i="7"/>
  <c r="D627" i="7"/>
  <c r="C627" i="7"/>
  <c r="B627" i="7"/>
  <c r="D675" i="7"/>
  <c r="C675" i="7"/>
  <c r="B675" i="7"/>
  <c r="D711" i="7"/>
  <c r="C711" i="7"/>
  <c r="B711" i="7"/>
  <c r="D526" i="7"/>
  <c r="C526" i="7"/>
  <c r="B526" i="7"/>
  <c r="D574" i="7"/>
  <c r="C574" i="7"/>
  <c r="B574" i="7"/>
  <c r="D622" i="7"/>
  <c r="C622" i="7"/>
  <c r="B622" i="7"/>
  <c r="D670" i="7"/>
  <c r="C670" i="7"/>
  <c r="B670" i="7"/>
  <c r="C381" i="7"/>
  <c r="D381" i="7"/>
  <c r="B381" i="7"/>
  <c r="C429" i="7"/>
  <c r="B429" i="7"/>
  <c r="D429" i="7"/>
  <c r="C477" i="7"/>
  <c r="B477" i="7"/>
  <c r="D477" i="7"/>
  <c r="C525" i="7"/>
  <c r="B525" i="7"/>
  <c r="D525" i="7"/>
  <c r="C573" i="7"/>
  <c r="B573" i="7"/>
  <c r="D573" i="7"/>
  <c r="C621" i="7"/>
  <c r="B621" i="7"/>
  <c r="D621" i="7"/>
  <c r="C669" i="7"/>
  <c r="B669" i="7"/>
  <c r="D669" i="7"/>
  <c r="B710" i="7"/>
  <c r="D710" i="7"/>
  <c r="C710" i="7"/>
  <c r="D761" i="7"/>
  <c r="C761" i="7"/>
  <c r="B761" i="7"/>
  <c r="D809" i="7"/>
  <c r="C809" i="7"/>
  <c r="B809" i="7"/>
  <c r="D857" i="7"/>
  <c r="C857" i="7"/>
  <c r="B857" i="7"/>
  <c r="D1037" i="7"/>
  <c r="C1037" i="7"/>
  <c r="B1037" i="7"/>
  <c r="B696" i="7"/>
  <c r="D696" i="7"/>
  <c r="C696" i="7"/>
  <c r="D744" i="7"/>
  <c r="C744" i="7"/>
  <c r="B744" i="7"/>
  <c r="D792" i="7"/>
  <c r="C792" i="7"/>
  <c r="B792" i="7"/>
  <c r="D840" i="7"/>
  <c r="C840" i="7"/>
  <c r="B840" i="7"/>
  <c r="D888" i="7"/>
  <c r="C888" i="7"/>
  <c r="B888" i="7"/>
  <c r="D961" i="7"/>
  <c r="C961" i="7"/>
  <c r="B961" i="7"/>
  <c r="D763" i="7"/>
  <c r="C763" i="7"/>
  <c r="B763" i="7"/>
  <c r="D811" i="7"/>
  <c r="C811" i="7"/>
  <c r="B811" i="7"/>
  <c r="D859" i="7"/>
  <c r="C859" i="7"/>
  <c r="B859" i="7"/>
  <c r="C1142" i="7"/>
  <c r="B1142" i="7"/>
  <c r="D1142" i="7"/>
  <c r="D1069" i="7"/>
  <c r="C1069" i="7"/>
  <c r="B1069" i="7"/>
  <c r="B770" i="7"/>
  <c r="D770" i="7"/>
  <c r="C770" i="7"/>
  <c r="B818" i="7"/>
  <c r="D818" i="7"/>
  <c r="C818" i="7"/>
  <c r="B866" i="7"/>
  <c r="D866" i="7"/>
  <c r="C866" i="7"/>
  <c r="D913" i="7"/>
  <c r="C913" i="7"/>
  <c r="B913" i="7"/>
  <c r="D1139" i="7"/>
  <c r="C1139" i="7"/>
  <c r="B1139" i="7"/>
  <c r="D932" i="7"/>
  <c r="C932" i="7"/>
  <c r="B932" i="7"/>
  <c r="D980" i="7"/>
  <c r="C980" i="7"/>
  <c r="B980" i="7"/>
  <c r="D1028" i="7"/>
  <c r="C1028" i="7"/>
  <c r="B1028" i="7"/>
  <c r="D1076" i="7"/>
  <c r="C1076" i="7"/>
  <c r="B1076" i="7"/>
  <c r="D1162" i="7"/>
  <c r="C1162" i="7"/>
  <c r="B1162" i="7"/>
  <c r="D911" i="7"/>
  <c r="C911" i="7"/>
  <c r="B911" i="7"/>
  <c r="D959" i="7"/>
  <c r="C959" i="7"/>
  <c r="B959" i="7"/>
  <c r="D1007" i="7"/>
  <c r="C1007" i="7"/>
  <c r="B1007" i="7"/>
  <c r="D1055" i="7"/>
  <c r="C1055" i="7"/>
  <c r="B1055" i="7"/>
  <c r="C1134" i="7"/>
  <c r="B1134" i="7"/>
  <c r="D1134" i="7"/>
  <c r="D1147" i="7"/>
  <c r="C1147" i="7"/>
  <c r="B1147" i="7"/>
  <c r="C926" i="7"/>
  <c r="B926" i="7"/>
  <c r="D926" i="7"/>
  <c r="C974" i="7"/>
  <c r="B974" i="7"/>
  <c r="D974" i="7"/>
  <c r="C1022" i="7"/>
  <c r="B1022" i="7"/>
  <c r="D1022" i="7"/>
  <c r="C1070" i="7"/>
  <c r="B1070" i="7"/>
  <c r="D1070" i="7"/>
  <c r="D1149" i="7"/>
  <c r="B1149" i="7"/>
  <c r="C1149" i="7"/>
  <c r="B1171" i="7"/>
  <c r="D1171" i="7"/>
  <c r="C1171" i="7"/>
  <c r="D1219" i="7"/>
  <c r="C1219" i="7"/>
  <c r="B1219" i="7"/>
  <c r="D1261" i="7"/>
  <c r="C1261" i="7"/>
  <c r="B1261" i="7"/>
  <c r="D1275" i="7"/>
  <c r="C1275" i="7"/>
  <c r="B1275" i="7"/>
  <c r="D1226" i="7"/>
  <c r="C1226" i="7"/>
  <c r="B1226" i="7"/>
  <c r="D1439" i="7"/>
  <c r="B1439" i="7"/>
  <c r="C1439" i="7"/>
  <c r="D1454" i="7"/>
  <c r="C1454" i="7"/>
  <c r="B1454" i="7"/>
  <c r="D1161" i="7"/>
  <c r="B1161" i="7"/>
  <c r="C1161" i="7"/>
  <c r="D1209" i="7"/>
  <c r="C1209" i="7"/>
  <c r="B1209" i="7"/>
  <c r="B1240" i="7"/>
  <c r="D1240" i="7"/>
  <c r="C1240" i="7"/>
  <c r="B1316" i="7"/>
  <c r="D1316" i="7"/>
  <c r="C1316" i="7"/>
  <c r="B1120" i="7"/>
  <c r="D1120" i="7"/>
  <c r="C1120" i="7"/>
  <c r="B1168" i="7"/>
  <c r="D1168" i="7"/>
  <c r="C1168" i="7"/>
  <c r="B1216" i="7"/>
  <c r="D1216" i="7"/>
  <c r="C1216" i="7"/>
  <c r="D1259" i="7"/>
  <c r="C1259" i="7"/>
  <c r="B1259" i="7"/>
  <c r="C1359" i="7"/>
  <c r="D1359" i="7"/>
  <c r="B1359" i="7"/>
  <c r="C1409" i="7"/>
  <c r="B1409" i="7"/>
  <c r="D1409" i="7"/>
  <c r="D1497" i="7"/>
  <c r="C1497" i="7"/>
  <c r="B1497" i="7"/>
  <c r="D1440" i="7"/>
  <c r="C1440" i="7"/>
  <c r="B1440" i="7"/>
  <c r="D1343" i="7"/>
  <c r="C1343" i="7"/>
  <c r="B1343" i="7"/>
  <c r="D1492" i="7"/>
  <c r="C1492" i="7"/>
  <c r="B1492" i="7"/>
  <c r="D1230" i="7"/>
  <c r="C1230" i="7"/>
  <c r="B1230" i="7"/>
  <c r="D1278" i="7"/>
  <c r="C1278" i="7"/>
  <c r="B1278" i="7"/>
  <c r="D1326" i="7"/>
  <c r="C1326" i="7"/>
  <c r="B1326" i="7"/>
  <c r="D1498" i="7"/>
  <c r="B1498" i="7"/>
  <c r="C1498" i="7"/>
  <c r="C1386" i="7"/>
  <c r="B1386" i="7"/>
  <c r="D1386" i="7"/>
  <c r="D1434" i="7"/>
  <c r="C1434" i="7"/>
  <c r="B1434" i="7"/>
  <c r="D1480" i="7"/>
  <c r="C1480" i="7"/>
  <c r="B1480" i="7"/>
  <c r="D1487" i="7"/>
  <c r="C1487" i="7"/>
  <c r="B1487" i="7"/>
  <c r="AS60" i="3"/>
  <c r="AT60" i="3"/>
  <c r="AT39" i="3"/>
  <c r="AS39" i="3"/>
  <c r="Y14" i="3"/>
  <c r="AD14" i="3" s="1"/>
  <c r="AI14" i="3" s="1"/>
  <c r="AN14" i="3" s="1"/>
  <c r="AC11" i="3"/>
  <c r="AH11" i="3" s="1"/>
  <c r="AM11" i="3" s="1"/>
  <c r="Z11" i="3"/>
  <c r="AE11" i="3" s="1"/>
  <c r="AJ11" i="3" s="1"/>
  <c r="Y13" i="3"/>
  <c r="AD13" i="3" s="1"/>
  <c r="AI13" i="3" s="1"/>
  <c r="AQ37" i="3"/>
  <c r="AP37" i="3"/>
  <c r="D100" i="8"/>
  <c r="C100" i="8"/>
  <c r="B100" i="8"/>
  <c r="C194" i="8"/>
  <c r="B194" i="8"/>
  <c r="D194" i="8"/>
  <c r="C206" i="8"/>
  <c r="B206" i="8"/>
  <c r="D206" i="8"/>
  <c r="C59" i="8"/>
  <c r="B59" i="8"/>
  <c r="D59" i="8"/>
  <c r="C357" i="8"/>
  <c r="B357" i="8"/>
  <c r="D357" i="8"/>
  <c r="D311" i="8"/>
  <c r="C311" i="8"/>
  <c r="B311" i="8"/>
  <c r="D624" i="8"/>
  <c r="C624" i="8"/>
  <c r="B624" i="8"/>
  <c r="D544" i="8"/>
  <c r="C544" i="8"/>
  <c r="B544" i="8"/>
  <c r="C605" i="8"/>
  <c r="B605" i="8"/>
  <c r="D605" i="8"/>
  <c r="D596" i="8"/>
  <c r="C596" i="8"/>
  <c r="B596" i="8"/>
  <c r="D639" i="8"/>
  <c r="C639" i="8"/>
  <c r="B639" i="8"/>
  <c r="C570" i="8"/>
  <c r="B570" i="8"/>
  <c r="D570" i="8"/>
  <c r="AQ34" i="3"/>
  <c r="AP34" i="3"/>
  <c r="C93" i="8"/>
  <c r="D93" i="8"/>
  <c r="B93" i="8"/>
  <c r="C122" i="8"/>
  <c r="B122" i="8"/>
  <c r="D122" i="8"/>
  <c r="C97" i="8"/>
  <c r="D97" i="8"/>
  <c r="B97" i="8"/>
  <c r="D120" i="8"/>
  <c r="C120" i="8"/>
  <c r="B120" i="8"/>
  <c r="C102" i="8"/>
  <c r="B102" i="8"/>
  <c r="D102" i="8"/>
  <c r="C226" i="8"/>
  <c r="B226" i="8"/>
  <c r="D226" i="8"/>
  <c r="D173" i="8"/>
  <c r="C173" i="8"/>
  <c r="B173" i="8"/>
  <c r="B38" i="8"/>
  <c r="D38" i="8"/>
  <c r="C38" i="8"/>
  <c r="C73" i="8"/>
  <c r="D73" i="8"/>
  <c r="B73" i="8"/>
  <c r="D112" i="8"/>
  <c r="C112" i="8"/>
  <c r="B112" i="8"/>
  <c r="C126" i="8"/>
  <c r="B126" i="8"/>
  <c r="D126" i="8"/>
  <c r="D263" i="8"/>
  <c r="C263" i="8"/>
  <c r="B263" i="8"/>
  <c r="D192" i="8"/>
  <c r="C192" i="8"/>
  <c r="B192" i="8"/>
  <c r="D239" i="8"/>
  <c r="C239" i="8"/>
  <c r="B239" i="8"/>
  <c r="D285" i="8"/>
  <c r="C285" i="8"/>
  <c r="B285" i="8"/>
  <c r="C27" i="8"/>
  <c r="D27" i="8"/>
  <c r="B27" i="8"/>
  <c r="C75" i="8"/>
  <c r="B75" i="8"/>
  <c r="D75" i="8"/>
  <c r="C123" i="8"/>
  <c r="B123" i="8"/>
  <c r="D123" i="8"/>
  <c r="C171" i="8"/>
  <c r="B171" i="8"/>
  <c r="D171" i="8"/>
  <c r="C219" i="8"/>
  <c r="B219" i="8"/>
  <c r="D219" i="8"/>
  <c r="B301" i="8"/>
  <c r="D301" i="8"/>
  <c r="C301" i="8"/>
  <c r="D249" i="8"/>
  <c r="C249" i="8"/>
  <c r="B249" i="8"/>
  <c r="D243" i="8"/>
  <c r="B243" i="8"/>
  <c r="C243" i="8"/>
  <c r="C353" i="8"/>
  <c r="B353" i="8"/>
  <c r="D353" i="8"/>
  <c r="D485" i="8"/>
  <c r="C485" i="8"/>
  <c r="B485" i="8"/>
  <c r="D409" i="8"/>
  <c r="C409" i="8"/>
  <c r="B409" i="8"/>
  <c r="D279" i="8"/>
  <c r="C279" i="8"/>
  <c r="B279" i="8"/>
  <c r="D327" i="8"/>
  <c r="C327" i="8"/>
  <c r="B327" i="8"/>
  <c r="D375" i="8"/>
  <c r="C375" i="8"/>
  <c r="B375" i="8"/>
  <c r="B254" i="8"/>
  <c r="D254" i="8"/>
  <c r="C254" i="8"/>
  <c r="B302" i="8"/>
  <c r="D302" i="8"/>
  <c r="C302" i="8"/>
  <c r="B350" i="8"/>
  <c r="D350" i="8"/>
  <c r="C350" i="8"/>
  <c r="D765" i="8"/>
  <c r="C765" i="8"/>
  <c r="B765" i="8"/>
  <c r="D664" i="8"/>
  <c r="C664" i="8"/>
  <c r="B664" i="8"/>
  <c r="D416" i="8"/>
  <c r="C416" i="8"/>
  <c r="B416" i="8"/>
  <c r="D464" i="8"/>
  <c r="C464" i="8"/>
  <c r="B464" i="8"/>
  <c r="D512" i="8"/>
  <c r="C512" i="8"/>
  <c r="B512" i="8"/>
  <c r="D801" i="8"/>
  <c r="C801" i="8"/>
  <c r="B801" i="8"/>
  <c r="D403" i="8"/>
  <c r="C403" i="8"/>
  <c r="B403" i="8"/>
  <c r="D451" i="8"/>
  <c r="C451" i="8"/>
  <c r="B451" i="8"/>
  <c r="D499" i="8"/>
  <c r="C499" i="8"/>
  <c r="B499" i="8"/>
  <c r="D547" i="8"/>
  <c r="C547" i="8"/>
  <c r="B547" i="8"/>
  <c r="D704" i="8"/>
  <c r="C704" i="8"/>
  <c r="B704" i="8"/>
  <c r="C747" i="8"/>
  <c r="B747" i="8"/>
  <c r="D747" i="8"/>
  <c r="C426" i="8"/>
  <c r="B426" i="8"/>
  <c r="D426" i="8"/>
  <c r="C474" i="8"/>
  <c r="B474" i="8"/>
  <c r="D474" i="8"/>
  <c r="C522" i="8"/>
  <c r="B522" i="8"/>
  <c r="D522" i="8"/>
  <c r="D648" i="8"/>
  <c r="C648" i="8"/>
  <c r="B648" i="8"/>
  <c r="D608" i="8"/>
  <c r="C608" i="8"/>
  <c r="B608" i="8"/>
  <c r="C780" i="8"/>
  <c r="B780" i="8"/>
  <c r="D780" i="8"/>
  <c r="D607" i="8"/>
  <c r="C607" i="8"/>
  <c r="B607" i="8"/>
  <c r="D655" i="8"/>
  <c r="C655" i="8"/>
  <c r="B655" i="8"/>
  <c r="D703" i="8"/>
  <c r="C703" i="8"/>
  <c r="B703" i="8"/>
  <c r="C784" i="8"/>
  <c r="B784" i="8"/>
  <c r="D784" i="8"/>
  <c r="C775" i="8"/>
  <c r="B775" i="8"/>
  <c r="D775" i="8"/>
  <c r="C586" i="8"/>
  <c r="B586" i="8"/>
  <c r="D586" i="8"/>
  <c r="D634" i="8"/>
  <c r="C634" i="8"/>
  <c r="B634" i="8"/>
  <c r="D682" i="8"/>
  <c r="C682" i="8"/>
  <c r="B682" i="8"/>
  <c r="C735" i="8"/>
  <c r="D735" i="8"/>
  <c r="B735" i="8"/>
  <c r="D713" i="8"/>
  <c r="C713" i="8"/>
  <c r="B713" i="8"/>
  <c r="D740" i="8"/>
  <c r="C740" i="8"/>
  <c r="B740" i="8"/>
  <c r="C609" i="8"/>
  <c r="B609" i="8"/>
  <c r="D609" i="8"/>
  <c r="C657" i="8"/>
  <c r="B657" i="8"/>
  <c r="D657" i="8"/>
  <c r="C705" i="8"/>
  <c r="B705" i="8"/>
  <c r="D705" i="8"/>
  <c r="B728" i="8"/>
  <c r="D728" i="8"/>
  <c r="C728" i="8"/>
  <c r="D985" i="8"/>
  <c r="B985" i="8"/>
  <c r="C985" i="8"/>
  <c r="D842" i="8"/>
  <c r="C842" i="8"/>
  <c r="B842" i="8"/>
  <c r="C839" i="8"/>
  <c r="D839" i="8"/>
  <c r="B839" i="8"/>
  <c r="C810" i="8"/>
  <c r="B810" i="8"/>
  <c r="D810" i="8"/>
  <c r="D993" i="8"/>
  <c r="B993" i="8"/>
  <c r="C993" i="8"/>
  <c r="D1057" i="8"/>
  <c r="C1057" i="8"/>
  <c r="B1057" i="8"/>
  <c r="D898" i="8"/>
  <c r="C898" i="8"/>
  <c r="B898" i="8"/>
  <c r="D954" i="8"/>
  <c r="C954" i="8"/>
  <c r="B954" i="8"/>
  <c r="C841" i="8"/>
  <c r="B841" i="8"/>
  <c r="D841" i="8"/>
  <c r="D889" i="8"/>
  <c r="C889" i="8"/>
  <c r="B889" i="8"/>
  <c r="C994" i="8"/>
  <c r="B994" i="8"/>
  <c r="D994" i="8"/>
  <c r="B958" i="8"/>
  <c r="D958" i="8"/>
  <c r="C958" i="8"/>
  <c r="C880" i="8"/>
  <c r="B880" i="8"/>
  <c r="D880" i="8"/>
  <c r="D969" i="8"/>
  <c r="B969" i="8"/>
  <c r="C969" i="8"/>
  <c r="C1093" i="8"/>
  <c r="B1093" i="8"/>
  <c r="D1093" i="8"/>
  <c r="D1049" i="8"/>
  <c r="C1049" i="8"/>
  <c r="B1049" i="8"/>
  <c r="D936" i="8"/>
  <c r="B936" i="8"/>
  <c r="C936" i="8"/>
  <c r="D984" i="8"/>
  <c r="B984" i="8"/>
  <c r="C984" i="8"/>
  <c r="D1032" i="8"/>
  <c r="C1032" i="8"/>
  <c r="B1032" i="8"/>
  <c r="D1072" i="8"/>
  <c r="C1072" i="8"/>
  <c r="B1072" i="8"/>
  <c r="D935" i="8"/>
  <c r="C935" i="8"/>
  <c r="B935" i="8"/>
  <c r="D983" i="8"/>
  <c r="C983" i="8"/>
  <c r="B983" i="8"/>
  <c r="D1031" i="8"/>
  <c r="C1031" i="8"/>
  <c r="B1031" i="8"/>
  <c r="D1168" i="8"/>
  <c r="C1168" i="8"/>
  <c r="B1168" i="8"/>
  <c r="D1128" i="8"/>
  <c r="C1128" i="8"/>
  <c r="B1128" i="8"/>
  <c r="D1219" i="8"/>
  <c r="C1219" i="8"/>
  <c r="B1219" i="8"/>
  <c r="D1079" i="8"/>
  <c r="B1079" i="8"/>
  <c r="C1079" i="8"/>
  <c r="D1127" i="8"/>
  <c r="C1127" i="8"/>
  <c r="B1127" i="8"/>
  <c r="D1158" i="8"/>
  <c r="B1158" i="8"/>
  <c r="C1158" i="8"/>
  <c r="D1086" i="8"/>
  <c r="C1086" i="8"/>
  <c r="B1086" i="8"/>
  <c r="D1152" i="8"/>
  <c r="C1152" i="8"/>
  <c r="B1152" i="8"/>
  <c r="D1265" i="8"/>
  <c r="C1265" i="8"/>
  <c r="B1265" i="8"/>
  <c r="D1178" i="8"/>
  <c r="C1178" i="8"/>
  <c r="B1178" i="8"/>
  <c r="C1211" i="8"/>
  <c r="B1211" i="8"/>
  <c r="D1211" i="8"/>
  <c r="D1296" i="8"/>
  <c r="C1296" i="8"/>
  <c r="B1296" i="8"/>
  <c r="D1165" i="8"/>
  <c r="C1165" i="8"/>
  <c r="B1165" i="8"/>
  <c r="B1259" i="8"/>
  <c r="D1259" i="8"/>
  <c r="C1259" i="8"/>
  <c r="B1267" i="8"/>
  <c r="D1267" i="8"/>
  <c r="C1267" i="8"/>
  <c r="B1400" i="8"/>
  <c r="D1400" i="8"/>
  <c r="C1400" i="8"/>
  <c r="D1225" i="8"/>
  <c r="C1225" i="8"/>
  <c r="B1225" i="8"/>
  <c r="C1295" i="8"/>
  <c r="B1295" i="8"/>
  <c r="D1295" i="8"/>
  <c r="B1275" i="8"/>
  <c r="D1275" i="8"/>
  <c r="C1275" i="8"/>
  <c r="C1200" i="8"/>
  <c r="B1200" i="8"/>
  <c r="D1200" i="8"/>
  <c r="C1248" i="8"/>
  <c r="B1248" i="8"/>
  <c r="D1248" i="8"/>
  <c r="D1312" i="8"/>
  <c r="C1312" i="8"/>
  <c r="B1312" i="8"/>
  <c r="C1367" i="8"/>
  <c r="D1367" i="8"/>
  <c r="B1367" i="8"/>
  <c r="D1330" i="8"/>
  <c r="C1330" i="8"/>
  <c r="B1330" i="8"/>
  <c r="D1492" i="8"/>
  <c r="B1492" i="8"/>
  <c r="C1492" i="8"/>
  <c r="D1472" i="8"/>
  <c r="B1472" i="8"/>
  <c r="C1472" i="8"/>
  <c r="D1454" i="8"/>
  <c r="C1454" i="8"/>
  <c r="B1454" i="8"/>
  <c r="B1321" i="8"/>
  <c r="D1321" i="8"/>
  <c r="C1321" i="8"/>
  <c r="D1412" i="8"/>
  <c r="B1412" i="8"/>
  <c r="C1412" i="8"/>
  <c r="C1405" i="8"/>
  <c r="B1405" i="8"/>
  <c r="D1405" i="8"/>
  <c r="D1453" i="8"/>
  <c r="C1453" i="8"/>
  <c r="B1453" i="8"/>
  <c r="D1501" i="8"/>
  <c r="C1501" i="8"/>
  <c r="B1501" i="8"/>
  <c r="C1451" i="8"/>
  <c r="D1451" i="8"/>
  <c r="B1451" i="8"/>
  <c r="C1499" i="8"/>
  <c r="B1499" i="8"/>
  <c r="D1499" i="8"/>
  <c r="AT23" i="3"/>
  <c r="AS23" i="3"/>
  <c r="C236" i="6"/>
  <c r="B236" i="6"/>
  <c r="D236" i="6"/>
  <c r="C7" i="6"/>
  <c r="B7" i="6"/>
  <c r="D7" i="6"/>
  <c r="C18" i="6"/>
  <c r="B18" i="6"/>
  <c r="D18" i="6"/>
  <c r="C162" i="6"/>
  <c r="B162" i="6"/>
  <c r="D162" i="6"/>
  <c r="C297" i="6"/>
  <c r="B297" i="6"/>
  <c r="D297" i="6"/>
  <c r="C99" i="6"/>
  <c r="B99" i="6"/>
  <c r="D99" i="6"/>
  <c r="C243" i="6"/>
  <c r="B243" i="6"/>
  <c r="D243" i="6"/>
  <c r="C86" i="6"/>
  <c r="B86" i="6"/>
  <c r="D86" i="6"/>
  <c r="C230" i="6"/>
  <c r="B230" i="6"/>
  <c r="D230" i="6"/>
  <c r="C36" i="6"/>
  <c r="B36" i="6"/>
  <c r="D36" i="6"/>
  <c r="C180" i="6"/>
  <c r="B180" i="6"/>
  <c r="D180" i="6"/>
  <c r="D433" i="6"/>
  <c r="C433" i="6"/>
  <c r="B433" i="6"/>
  <c r="B141" i="6"/>
  <c r="D141" i="6"/>
  <c r="C141" i="6"/>
  <c r="D459" i="6"/>
  <c r="C459" i="6"/>
  <c r="B459" i="6"/>
  <c r="C128" i="6"/>
  <c r="B128" i="6"/>
  <c r="D128" i="6"/>
  <c r="C290" i="6"/>
  <c r="B290" i="6"/>
  <c r="D290" i="6"/>
  <c r="C78" i="6"/>
  <c r="B78" i="6"/>
  <c r="D78" i="6"/>
  <c r="C222" i="6"/>
  <c r="B222" i="6"/>
  <c r="D222" i="6"/>
  <c r="D421" i="6"/>
  <c r="C421" i="6"/>
  <c r="B421" i="6"/>
  <c r="C135" i="6"/>
  <c r="B135" i="6"/>
  <c r="D135" i="6"/>
  <c r="D369" i="6"/>
  <c r="C369" i="6"/>
  <c r="B369" i="6"/>
  <c r="B133" i="6"/>
  <c r="D133" i="6"/>
  <c r="C133" i="6"/>
  <c r="D280" i="6"/>
  <c r="C280" i="6"/>
  <c r="B280" i="6"/>
  <c r="C120" i="6"/>
  <c r="B120" i="6"/>
  <c r="D120" i="6"/>
  <c r="D305" i="6"/>
  <c r="C305" i="6"/>
  <c r="B305" i="6"/>
  <c r="C70" i="6"/>
  <c r="B70" i="6"/>
  <c r="D70" i="6"/>
  <c r="C214" i="6"/>
  <c r="B214" i="6"/>
  <c r="D214" i="6"/>
  <c r="D615" i="6"/>
  <c r="C615" i="6"/>
  <c r="B615" i="6"/>
  <c r="D316" i="6"/>
  <c r="C316" i="6"/>
  <c r="B316" i="6"/>
  <c r="D364" i="6"/>
  <c r="C364" i="6"/>
  <c r="B364" i="6"/>
  <c r="D412" i="6"/>
  <c r="C412" i="6"/>
  <c r="B412" i="6"/>
  <c r="D487" i="6"/>
  <c r="C487" i="6"/>
  <c r="B487" i="6"/>
  <c r="C263" i="6"/>
  <c r="B263" i="6"/>
  <c r="D263" i="6"/>
  <c r="D311" i="6"/>
  <c r="C311" i="6"/>
  <c r="B311" i="6"/>
  <c r="D359" i="6"/>
  <c r="C359" i="6"/>
  <c r="B359" i="6"/>
  <c r="D407" i="6"/>
  <c r="C407" i="6"/>
  <c r="B407" i="6"/>
  <c r="D475" i="6"/>
  <c r="C475" i="6"/>
  <c r="B475" i="6"/>
  <c r="C326" i="6"/>
  <c r="B326" i="6"/>
  <c r="D326" i="6"/>
  <c r="C374" i="6"/>
  <c r="B374" i="6"/>
  <c r="D374" i="6"/>
  <c r="C422" i="6"/>
  <c r="B422" i="6"/>
  <c r="D422" i="6"/>
  <c r="D491" i="6"/>
  <c r="C491" i="6"/>
  <c r="B491" i="6"/>
  <c r="C464" i="6"/>
  <c r="D464" i="6"/>
  <c r="B464" i="6"/>
  <c r="C512" i="6"/>
  <c r="B512" i="6"/>
  <c r="D512" i="6"/>
  <c r="C560" i="6"/>
  <c r="B560" i="6"/>
  <c r="D560" i="6"/>
  <c r="C608" i="6"/>
  <c r="B608" i="6"/>
  <c r="D608" i="6"/>
  <c r="D656" i="6"/>
  <c r="C656" i="6"/>
  <c r="B656" i="6"/>
  <c r="D704" i="6"/>
  <c r="C704" i="6"/>
  <c r="B704" i="6"/>
  <c r="D752" i="6"/>
  <c r="C752" i="6"/>
  <c r="B752" i="6"/>
  <c r="D800" i="6"/>
  <c r="C800" i="6"/>
  <c r="B800" i="6"/>
  <c r="B1281" i="6"/>
  <c r="D1281" i="6"/>
  <c r="C1281" i="6"/>
  <c r="D659" i="6"/>
  <c r="C659" i="6"/>
  <c r="B659" i="6"/>
  <c r="D707" i="6"/>
  <c r="C707" i="6"/>
  <c r="B707" i="6"/>
  <c r="D755" i="6"/>
  <c r="C755" i="6"/>
  <c r="B755" i="6"/>
  <c r="D803" i="6"/>
  <c r="C803" i="6"/>
  <c r="B803" i="6"/>
  <c r="B1249" i="6"/>
  <c r="D1249" i="6"/>
  <c r="C1249" i="6"/>
  <c r="D482" i="6"/>
  <c r="C482" i="6"/>
  <c r="B482" i="6"/>
  <c r="D530" i="6"/>
  <c r="C530" i="6"/>
  <c r="B530" i="6"/>
  <c r="D578" i="6"/>
  <c r="C578" i="6"/>
  <c r="B578" i="6"/>
  <c r="D626" i="6"/>
  <c r="C626" i="6"/>
  <c r="B626" i="6"/>
  <c r="D674" i="6"/>
  <c r="C674" i="6"/>
  <c r="B674" i="6"/>
  <c r="D722" i="6"/>
  <c r="C722" i="6"/>
  <c r="B722" i="6"/>
  <c r="D770" i="6"/>
  <c r="C770" i="6"/>
  <c r="B770" i="6"/>
  <c r="D818" i="6"/>
  <c r="C818" i="6"/>
  <c r="B818" i="6"/>
  <c r="D445" i="6"/>
  <c r="C445" i="6"/>
  <c r="B445" i="6"/>
  <c r="D493" i="6"/>
  <c r="C493" i="6"/>
  <c r="B493" i="6"/>
  <c r="D541" i="6"/>
  <c r="C541" i="6"/>
  <c r="B541" i="6"/>
  <c r="D589" i="6"/>
  <c r="C589" i="6"/>
  <c r="B589" i="6"/>
  <c r="D637" i="6"/>
  <c r="C637" i="6"/>
  <c r="B637" i="6"/>
  <c r="D685" i="6"/>
  <c r="C685" i="6"/>
  <c r="B685" i="6"/>
  <c r="D733" i="6"/>
  <c r="C733" i="6"/>
  <c r="B733" i="6"/>
  <c r="D781" i="6"/>
  <c r="C781" i="6"/>
  <c r="B781" i="6"/>
  <c r="B1265" i="6"/>
  <c r="D1265" i="6"/>
  <c r="C1265" i="6"/>
  <c r="B864" i="6"/>
  <c r="D864" i="6"/>
  <c r="C864" i="6"/>
  <c r="D912" i="6"/>
  <c r="B912" i="6"/>
  <c r="C912" i="6"/>
  <c r="D960" i="6"/>
  <c r="B960" i="6"/>
  <c r="C960" i="6"/>
  <c r="D1008" i="6"/>
  <c r="C1008" i="6"/>
  <c r="B1008" i="6"/>
  <c r="D1056" i="6"/>
  <c r="C1056" i="6"/>
  <c r="B1056" i="6"/>
  <c r="D1104" i="6"/>
  <c r="C1104" i="6"/>
  <c r="B1104" i="6"/>
  <c r="D1152" i="6"/>
  <c r="C1152" i="6"/>
  <c r="B1152" i="6"/>
  <c r="D1219" i="6"/>
  <c r="C1219" i="6"/>
  <c r="B1219" i="6"/>
  <c r="D911" i="6"/>
  <c r="C911" i="6"/>
  <c r="B911" i="6"/>
  <c r="D959" i="6"/>
  <c r="C959" i="6"/>
  <c r="B959" i="6"/>
  <c r="D1007" i="6"/>
  <c r="C1007" i="6"/>
  <c r="B1007" i="6"/>
  <c r="D1055" i="6"/>
  <c r="C1055" i="6"/>
  <c r="B1055" i="6"/>
  <c r="D1103" i="6"/>
  <c r="C1103" i="6"/>
  <c r="B1103" i="6"/>
  <c r="D1151" i="6"/>
  <c r="C1151" i="6"/>
  <c r="B1151" i="6"/>
  <c r="D1207" i="6"/>
  <c r="C1207" i="6"/>
  <c r="B1207" i="6"/>
  <c r="D1315" i="6"/>
  <c r="C1315" i="6"/>
  <c r="B1315" i="6"/>
  <c r="D858" i="6"/>
  <c r="C858" i="6"/>
  <c r="B858" i="6"/>
  <c r="D906" i="6"/>
  <c r="C906" i="6"/>
  <c r="B906" i="6"/>
  <c r="D954" i="6"/>
  <c r="C954" i="6"/>
  <c r="B954" i="6"/>
  <c r="D1002" i="6"/>
  <c r="C1002" i="6"/>
  <c r="B1002" i="6"/>
  <c r="D1050" i="6"/>
  <c r="C1050" i="6"/>
  <c r="B1050" i="6"/>
  <c r="D1098" i="6"/>
  <c r="C1098" i="6"/>
  <c r="B1098" i="6"/>
  <c r="D1146" i="6"/>
  <c r="C1146" i="6"/>
  <c r="B1146" i="6"/>
  <c r="D1194" i="6"/>
  <c r="C1194" i="6"/>
  <c r="B1194" i="6"/>
  <c r="D1284" i="6"/>
  <c r="B1284" i="6"/>
  <c r="C1284" i="6"/>
  <c r="B1220" i="6"/>
  <c r="C1220" i="6"/>
  <c r="D1220" i="6"/>
  <c r="D853" i="6"/>
  <c r="C853" i="6"/>
  <c r="B853" i="6"/>
  <c r="D901" i="6"/>
  <c r="C901" i="6"/>
  <c r="B901" i="6"/>
  <c r="D949" i="6"/>
  <c r="B949" i="6"/>
  <c r="C949" i="6"/>
  <c r="D997" i="6"/>
  <c r="C997" i="6"/>
  <c r="B997" i="6"/>
  <c r="D1045" i="6"/>
  <c r="C1045" i="6"/>
  <c r="B1045" i="6"/>
  <c r="D1093" i="6"/>
  <c r="C1093" i="6"/>
  <c r="B1093" i="6"/>
  <c r="D1141" i="6"/>
  <c r="C1141" i="6"/>
  <c r="B1141" i="6"/>
  <c r="D1189" i="6"/>
  <c r="C1189" i="6"/>
  <c r="B1189" i="6"/>
  <c r="D1405" i="6"/>
  <c r="B1405" i="6"/>
  <c r="C1405" i="6"/>
  <c r="D1321" i="6"/>
  <c r="C1321" i="6"/>
  <c r="B1321" i="6"/>
  <c r="B1439" i="6"/>
  <c r="D1439" i="6"/>
  <c r="C1439" i="6"/>
  <c r="D1231" i="6"/>
  <c r="C1231" i="6"/>
  <c r="B1231" i="6"/>
  <c r="D1279" i="6"/>
  <c r="C1279" i="6"/>
  <c r="B1279" i="6"/>
  <c r="D1377" i="6"/>
  <c r="B1377" i="6"/>
  <c r="C1377" i="6"/>
  <c r="B1386" i="6"/>
  <c r="D1386" i="6"/>
  <c r="C1386" i="6"/>
  <c r="C1206" i="6"/>
  <c r="B1206" i="6"/>
  <c r="D1206" i="6"/>
  <c r="C1254" i="6"/>
  <c r="B1254" i="6"/>
  <c r="D1254" i="6"/>
  <c r="C1302" i="6"/>
  <c r="B1302" i="6"/>
  <c r="D1302" i="6"/>
  <c r="C1447" i="6"/>
  <c r="B1447" i="6"/>
  <c r="D1447" i="6"/>
  <c r="B1422" i="6"/>
  <c r="D1422" i="6"/>
  <c r="C1422" i="6"/>
  <c r="C1498" i="6"/>
  <c r="B1498" i="6"/>
  <c r="D1498" i="6"/>
  <c r="D1417" i="6"/>
  <c r="B1417" i="6"/>
  <c r="C1417" i="6"/>
  <c r="B1403" i="6"/>
  <c r="D1403" i="6"/>
  <c r="C1403" i="6"/>
  <c r="B1328" i="6"/>
  <c r="D1328" i="6"/>
  <c r="C1328" i="6"/>
  <c r="B1376" i="6"/>
  <c r="D1376" i="6"/>
  <c r="C1376" i="6"/>
  <c r="B1424" i="6"/>
  <c r="D1424" i="6"/>
  <c r="C1424" i="6"/>
  <c r="B1472" i="6"/>
  <c r="D1472" i="6"/>
  <c r="C1472" i="6"/>
  <c r="C51" i="7"/>
  <c r="B51" i="7"/>
  <c r="D51" i="7"/>
  <c r="C6" i="7"/>
  <c r="B6" i="7"/>
  <c r="D6" i="7"/>
  <c r="D97" i="7"/>
  <c r="C97" i="7"/>
  <c r="B97" i="7"/>
  <c r="C90" i="7"/>
  <c r="B90" i="7"/>
  <c r="D90" i="7"/>
  <c r="C50" i="7"/>
  <c r="B50" i="7"/>
  <c r="D50" i="7"/>
  <c r="C10" i="7"/>
  <c r="B10" i="7"/>
  <c r="D10" i="7"/>
  <c r="D101" i="7"/>
  <c r="C101" i="7"/>
  <c r="B101" i="7"/>
  <c r="D151" i="7"/>
  <c r="C151" i="7"/>
  <c r="B151" i="7"/>
  <c r="D314" i="7"/>
  <c r="C314" i="7"/>
  <c r="B314" i="7"/>
  <c r="C106" i="7"/>
  <c r="B106" i="7"/>
  <c r="D106" i="7"/>
  <c r="D154" i="7"/>
  <c r="C154" i="7"/>
  <c r="B154" i="7"/>
  <c r="D196" i="7"/>
  <c r="C196" i="7"/>
  <c r="B196" i="7"/>
  <c r="D133" i="7"/>
  <c r="C133" i="7"/>
  <c r="B133" i="7"/>
  <c r="D181" i="7"/>
  <c r="C181" i="7"/>
  <c r="B181" i="7"/>
  <c r="D370" i="7"/>
  <c r="C370" i="7"/>
  <c r="B370" i="7"/>
  <c r="B40" i="7"/>
  <c r="D40" i="7"/>
  <c r="C40" i="7"/>
  <c r="B88" i="7"/>
  <c r="D88" i="7"/>
  <c r="C88" i="7"/>
  <c r="B136" i="7"/>
  <c r="D136" i="7"/>
  <c r="C136" i="7"/>
  <c r="B184" i="7"/>
  <c r="D184" i="7"/>
  <c r="C184" i="7"/>
  <c r="D334" i="7"/>
  <c r="C334" i="7"/>
  <c r="B334" i="7"/>
  <c r="D240" i="7"/>
  <c r="C240" i="7"/>
  <c r="B240" i="7"/>
  <c r="D288" i="7"/>
  <c r="C288" i="7"/>
  <c r="B288" i="7"/>
  <c r="D336" i="7"/>
  <c r="C336" i="7"/>
  <c r="B336" i="7"/>
  <c r="D412" i="7"/>
  <c r="C412" i="7"/>
  <c r="B412" i="7"/>
  <c r="D616" i="7"/>
  <c r="C616" i="7"/>
  <c r="B616" i="7"/>
  <c r="D572" i="7"/>
  <c r="C572" i="7"/>
  <c r="B572" i="7"/>
  <c r="D223" i="7"/>
  <c r="C223" i="7"/>
  <c r="B223" i="7"/>
  <c r="C271" i="7"/>
  <c r="D271" i="7"/>
  <c r="B271" i="7"/>
  <c r="C319" i="7"/>
  <c r="D319" i="7"/>
  <c r="B319" i="7"/>
  <c r="C367" i="7"/>
  <c r="B367" i="7"/>
  <c r="D367" i="7"/>
  <c r="D500" i="7"/>
  <c r="C500" i="7"/>
  <c r="B500" i="7"/>
  <c r="D386" i="7"/>
  <c r="C386" i="7"/>
  <c r="B386" i="7"/>
  <c r="D508" i="7"/>
  <c r="C508" i="7"/>
  <c r="B508" i="7"/>
  <c r="D512" i="7"/>
  <c r="C512" i="7"/>
  <c r="B512" i="7"/>
  <c r="D209" i="7"/>
  <c r="C209" i="7"/>
  <c r="B209" i="7"/>
  <c r="D257" i="7"/>
  <c r="C257" i="7"/>
  <c r="B257" i="7"/>
  <c r="D305" i="7"/>
  <c r="C305" i="7"/>
  <c r="B305" i="7"/>
  <c r="D353" i="7"/>
  <c r="C353" i="7"/>
  <c r="B353" i="7"/>
  <c r="D438" i="7"/>
  <c r="C438" i="7"/>
  <c r="B438" i="7"/>
  <c r="D636" i="7"/>
  <c r="C636" i="7"/>
  <c r="B636" i="7"/>
  <c r="B391" i="7"/>
  <c r="C391" i="7"/>
  <c r="D391" i="7"/>
  <c r="C439" i="7"/>
  <c r="B439" i="7"/>
  <c r="D439" i="7"/>
  <c r="D487" i="7"/>
  <c r="C487" i="7"/>
  <c r="B487" i="7"/>
  <c r="D535" i="7"/>
  <c r="C535" i="7"/>
  <c r="B535" i="7"/>
  <c r="D583" i="7"/>
  <c r="C583" i="7"/>
  <c r="B583" i="7"/>
  <c r="D631" i="7"/>
  <c r="C631" i="7"/>
  <c r="B631" i="7"/>
  <c r="D679" i="7"/>
  <c r="C679" i="7"/>
  <c r="B679" i="7"/>
  <c r="D482" i="7"/>
  <c r="C482" i="7"/>
  <c r="B482" i="7"/>
  <c r="D530" i="7"/>
  <c r="C530" i="7"/>
  <c r="B530" i="7"/>
  <c r="D578" i="7"/>
  <c r="C578" i="7"/>
  <c r="B578" i="7"/>
  <c r="D626" i="7"/>
  <c r="C626" i="7"/>
  <c r="B626" i="7"/>
  <c r="D674" i="7"/>
  <c r="C674" i="7"/>
  <c r="B674" i="7"/>
  <c r="C385" i="7"/>
  <c r="D385" i="7"/>
  <c r="B385" i="7"/>
  <c r="C433" i="7"/>
  <c r="B433" i="7"/>
  <c r="D433" i="7"/>
  <c r="C481" i="7"/>
  <c r="B481" i="7"/>
  <c r="D481" i="7"/>
  <c r="C529" i="7"/>
  <c r="B529" i="7"/>
  <c r="D529" i="7"/>
  <c r="C577" i="7"/>
  <c r="B577" i="7"/>
  <c r="D577" i="7"/>
  <c r="C625" i="7"/>
  <c r="B625" i="7"/>
  <c r="D625" i="7"/>
  <c r="C673" i="7"/>
  <c r="B673" i="7"/>
  <c r="D673" i="7"/>
  <c r="D937" i="7"/>
  <c r="C937" i="7"/>
  <c r="B937" i="7"/>
  <c r="D765" i="7"/>
  <c r="C765" i="7"/>
  <c r="B765" i="7"/>
  <c r="D813" i="7"/>
  <c r="C813" i="7"/>
  <c r="B813" i="7"/>
  <c r="D861" i="7"/>
  <c r="C861" i="7"/>
  <c r="B861" i="7"/>
  <c r="D1085" i="7"/>
  <c r="C1085" i="7"/>
  <c r="B1085" i="7"/>
  <c r="B700" i="7"/>
  <c r="C700" i="7"/>
  <c r="D700" i="7"/>
  <c r="D748" i="7"/>
  <c r="C748" i="7"/>
  <c r="B748" i="7"/>
  <c r="D796" i="7"/>
  <c r="C796" i="7"/>
  <c r="B796" i="7"/>
  <c r="D844" i="7"/>
  <c r="C844" i="7"/>
  <c r="B844" i="7"/>
  <c r="D892" i="7"/>
  <c r="C892" i="7"/>
  <c r="B892" i="7"/>
  <c r="D1009" i="7"/>
  <c r="C1009" i="7"/>
  <c r="B1009" i="7"/>
  <c r="D767" i="7"/>
  <c r="C767" i="7"/>
  <c r="B767" i="7"/>
  <c r="D815" i="7"/>
  <c r="C815" i="7"/>
  <c r="B815" i="7"/>
  <c r="D863" i="7"/>
  <c r="C863" i="7"/>
  <c r="B863" i="7"/>
  <c r="D901" i="7"/>
  <c r="C901" i="7"/>
  <c r="B901" i="7"/>
  <c r="D1166" i="7"/>
  <c r="C1166" i="7"/>
  <c r="B1166" i="7"/>
  <c r="B774" i="7"/>
  <c r="D774" i="7"/>
  <c r="C774" i="7"/>
  <c r="B822" i="7"/>
  <c r="D822" i="7"/>
  <c r="C822" i="7"/>
  <c r="B870" i="7"/>
  <c r="D870" i="7"/>
  <c r="C870" i="7"/>
  <c r="D949" i="7"/>
  <c r="C949" i="7"/>
  <c r="B949" i="7"/>
  <c r="D1253" i="7"/>
  <c r="C1253" i="7"/>
  <c r="B1253" i="7"/>
  <c r="D936" i="7"/>
  <c r="C936" i="7"/>
  <c r="B936" i="7"/>
  <c r="D984" i="7"/>
  <c r="C984" i="7"/>
  <c r="B984" i="7"/>
  <c r="D1032" i="7"/>
  <c r="C1032" i="7"/>
  <c r="B1032" i="7"/>
  <c r="D1080" i="7"/>
  <c r="C1080" i="7"/>
  <c r="B1080" i="7"/>
  <c r="D1174" i="7"/>
  <c r="C1174" i="7"/>
  <c r="B1174" i="7"/>
  <c r="D915" i="7"/>
  <c r="C915" i="7"/>
  <c r="B915" i="7"/>
  <c r="D963" i="7"/>
  <c r="C963" i="7"/>
  <c r="B963" i="7"/>
  <c r="D1011" i="7"/>
  <c r="C1011" i="7"/>
  <c r="B1011" i="7"/>
  <c r="D1059" i="7"/>
  <c r="C1059" i="7"/>
  <c r="B1059" i="7"/>
  <c r="D1239" i="7"/>
  <c r="C1239" i="7"/>
  <c r="B1239" i="7"/>
  <c r="D1170" i="7"/>
  <c r="C1170" i="7"/>
  <c r="B1170" i="7"/>
  <c r="C930" i="7"/>
  <c r="B930" i="7"/>
  <c r="D930" i="7"/>
  <c r="C978" i="7"/>
  <c r="B978" i="7"/>
  <c r="D978" i="7"/>
  <c r="C1026" i="7"/>
  <c r="B1026" i="7"/>
  <c r="D1026" i="7"/>
  <c r="C1074" i="7"/>
  <c r="B1074" i="7"/>
  <c r="D1074" i="7"/>
  <c r="B1151" i="7"/>
  <c r="D1151" i="7"/>
  <c r="C1151" i="7"/>
  <c r="B1175" i="7"/>
  <c r="D1175" i="7"/>
  <c r="C1175" i="7"/>
  <c r="D1223" i="7"/>
  <c r="C1223" i="7"/>
  <c r="B1223" i="7"/>
  <c r="B1264" i="7"/>
  <c r="D1264" i="7"/>
  <c r="C1264" i="7"/>
  <c r="D1289" i="7"/>
  <c r="C1289" i="7"/>
  <c r="B1289" i="7"/>
  <c r="D1255" i="7"/>
  <c r="C1255" i="7"/>
  <c r="B1255" i="7"/>
  <c r="D1235" i="7"/>
  <c r="C1235" i="7"/>
  <c r="B1235" i="7"/>
  <c r="D1489" i="7"/>
  <c r="C1489" i="7"/>
  <c r="B1489" i="7"/>
  <c r="D1165" i="7"/>
  <c r="C1165" i="7"/>
  <c r="B1165" i="7"/>
  <c r="D1213" i="7"/>
  <c r="C1213" i="7"/>
  <c r="B1213" i="7"/>
  <c r="D1271" i="7"/>
  <c r="C1271" i="7"/>
  <c r="B1271" i="7"/>
  <c r="D1364" i="7"/>
  <c r="C1364" i="7"/>
  <c r="B1364" i="7"/>
  <c r="B1124" i="7"/>
  <c r="C1124" i="7"/>
  <c r="D1124" i="7"/>
  <c r="B1172" i="7"/>
  <c r="D1172" i="7"/>
  <c r="C1172" i="7"/>
  <c r="B1220" i="7"/>
  <c r="D1220" i="7"/>
  <c r="C1220" i="7"/>
  <c r="D1273" i="7"/>
  <c r="C1273" i="7"/>
  <c r="B1273" i="7"/>
  <c r="C1376" i="7"/>
  <c r="D1376" i="7"/>
  <c r="B1376" i="7"/>
  <c r="D1424" i="7"/>
  <c r="B1424" i="7"/>
  <c r="C1424" i="7"/>
  <c r="D1466" i="7"/>
  <c r="B1466" i="7"/>
  <c r="C1466" i="7"/>
  <c r="C1354" i="7"/>
  <c r="B1354" i="7"/>
  <c r="D1354" i="7"/>
  <c r="D1347" i="7"/>
  <c r="B1347" i="7"/>
  <c r="C1347" i="7"/>
  <c r="C1350" i="7"/>
  <c r="D1350" i="7"/>
  <c r="B1350" i="7"/>
  <c r="C1234" i="7"/>
  <c r="B1234" i="7"/>
  <c r="D1234" i="7"/>
  <c r="C1282" i="7"/>
  <c r="B1282" i="7"/>
  <c r="D1282" i="7"/>
  <c r="C1330" i="7"/>
  <c r="B1330" i="7"/>
  <c r="D1330" i="7"/>
  <c r="D1500" i="7"/>
  <c r="C1500" i="7"/>
  <c r="B1500" i="7"/>
  <c r="C1390" i="7"/>
  <c r="D1390" i="7"/>
  <c r="B1390" i="7"/>
  <c r="D1438" i="7"/>
  <c r="C1438" i="7"/>
  <c r="B1438" i="7"/>
  <c r="D1496" i="7"/>
  <c r="B1496" i="7"/>
  <c r="C1496" i="7"/>
  <c r="B1491" i="7"/>
  <c r="D1491" i="7"/>
  <c r="C1491" i="7"/>
  <c r="AQ49" i="3"/>
  <c r="AP49" i="3"/>
  <c r="AQ41" i="3"/>
  <c r="AP41" i="3"/>
  <c r="AQ42" i="3"/>
  <c r="AP42" i="3"/>
  <c r="D52" i="8"/>
  <c r="C52" i="8"/>
  <c r="B52" i="8"/>
  <c r="D169" i="8"/>
  <c r="C169" i="8"/>
  <c r="B169" i="8"/>
  <c r="C113" i="8"/>
  <c r="D113" i="8"/>
  <c r="B113" i="8"/>
  <c r="C118" i="8"/>
  <c r="B118" i="8"/>
  <c r="D118" i="8"/>
  <c r="D181" i="8"/>
  <c r="C181" i="8"/>
  <c r="B181" i="8"/>
  <c r="C89" i="8"/>
  <c r="D89" i="8"/>
  <c r="B89" i="8"/>
  <c r="C142" i="8"/>
  <c r="B142" i="8"/>
  <c r="D142" i="8"/>
  <c r="D196" i="8"/>
  <c r="C196" i="8"/>
  <c r="B196" i="8"/>
  <c r="C317" i="8"/>
  <c r="B317" i="8"/>
  <c r="D317" i="8"/>
  <c r="C79" i="8"/>
  <c r="B79" i="8"/>
  <c r="D79" i="8"/>
  <c r="C175" i="8"/>
  <c r="B175" i="8"/>
  <c r="D175" i="8"/>
  <c r="B305" i="8"/>
  <c r="D305" i="8"/>
  <c r="C305" i="8"/>
  <c r="C264" i="8"/>
  <c r="B264" i="8"/>
  <c r="D264" i="8"/>
  <c r="D433" i="8"/>
  <c r="C433" i="8"/>
  <c r="B433" i="8"/>
  <c r="D283" i="8"/>
  <c r="C283" i="8"/>
  <c r="B283" i="8"/>
  <c r="D379" i="8"/>
  <c r="C379" i="8"/>
  <c r="B379" i="8"/>
  <c r="B306" i="8"/>
  <c r="D306" i="8"/>
  <c r="C306" i="8"/>
  <c r="C791" i="8"/>
  <c r="B791" i="8"/>
  <c r="D791" i="8"/>
  <c r="D420" i="8"/>
  <c r="B420" i="8"/>
  <c r="C420" i="8"/>
  <c r="D516" i="8"/>
  <c r="C516" i="8"/>
  <c r="B516" i="8"/>
  <c r="D407" i="8"/>
  <c r="C407" i="8"/>
  <c r="B407" i="8"/>
  <c r="D503" i="8"/>
  <c r="C503" i="8"/>
  <c r="B503" i="8"/>
  <c r="D559" i="8"/>
  <c r="C559" i="8"/>
  <c r="B559" i="8"/>
  <c r="C820" i="8"/>
  <c r="B820" i="8"/>
  <c r="D820" i="8"/>
  <c r="C382" i="8"/>
  <c r="B382" i="8"/>
  <c r="D382" i="8"/>
  <c r="C430" i="8"/>
  <c r="B430" i="8"/>
  <c r="D430" i="8"/>
  <c r="C478" i="8"/>
  <c r="B478" i="8"/>
  <c r="D478" i="8"/>
  <c r="C526" i="8"/>
  <c r="B526" i="8"/>
  <c r="D526" i="8"/>
  <c r="D660" i="8"/>
  <c r="C660" i="8"/>
  <c r="B660" i="8"/>
  <c r="D797" i="8"/>
  <c r="C797" i="8"/>
  <c r="B797" i="8"/>
  <c r="D793" i="8"/>
  <c r="C793" i="8"/>
  <c r="B793" i="8"/>
  <c r="D611" i="8"/>
  <c r="C611" i="8"/>
  <c r="B611" i="8"/>
  <c r="D659" i="8"/>
  <c r="C659" i="8"/>
  <c r="B659" i="8"/>
  <c r="D707" i="8"/>
  <c r="C707" i="8"/>
  <c r="B707" i="8"/>
  <c r="C808" i="8"/>
  <c r="B808" i="8"/>
  <c r="D808" i="8"/>
  <c r="C786" i="8"/>
  <c r="D786" i="8"/>
  <c r="B786" i="8"/>
  <c r="C590" i="8"/>
  <c r="B590" i="8"/>
  <c r="D590" i="8"/>
  <c r="D638" i="8"/>
  <c r="C638" i="8"/>
  <c r="B638" i="8"/>
  <c r="D686" i="8"/>
  <c r="C686" i="8"/>
  <c r="B686" i="8"/>
  <c r="D753" i="8"/>
  <c r="C753" i="8"/>
  <c r="B753" i="8"/>
  <c r="C743" i="8"/>
  <c r="B743" i="8"/>
  <c r="D743" i="8"/>
  <c r="D748" i="8"/>
  <c r="C748" i="8"/>
  <c r="B748" i="8"/>
  <c r="C613" i="8"/>
  <c r="B613" i="8"/>
  <c r="D613" i="8"/>
  <c r="C661" i="8"/>
  <c r="B661" i="8"/>
  <c r="D661" i="8"/>
  <c r="C709" i="8"/>
  <c r="B709" i="8"/>
  <c r="D709" i="8"/>
  <c r="C731" i="8"/>
  <c r="B731" i="8"/>
  <c r="D731" i="8"/>
  <c r="D1060" i="8"/>
  <c r="C1060" i="8"/>
  <c r="B1060" i="8"/>
  <c r="D863" i="8"/>
  <c r="C863" i="8"/>
  <c r="B863" i="8"/>
  <c r="D923" i="8"/>
  <c r="C923" i="8"/>
  <c r="B923" i="8"/>
  <c r="C814" i="8"/>
  <c r="B814" i="8"/>
  <c r="D814" i="8"/>
  <c r="D855" i="8"/>
  <c r="C855" i="8"/>
  <c r="B855" i="8"/>
  <c r="D854" i="8"/>
  <c r="C854" i="8"/>
  <c r="B854" i="8"/>
  <c r="D902" i="8"/>
  <c r="C902" i="8"/>
  <c r="B902" i="8"/>
  <c r="B974" i="8"/>
  <c r="D974" i="8"/>
  <c r="C974" i="8"/>
  <c r="D845" i="8"/>
  <c r="C845" i="8"/>
  <c r="B845" i="8"/>
  <c r="D893" i="8"/>
  <c r="C893" i="8"/>
  <c r="B893" i="8"/>
  <c r="D1005" i="8"/>
  <c r="B1005" i="8"/>
  <c r="C1005" i="8"/>
  <c r="D1001" i="8"/>
  <c r="B1001" i="8"/>
  <c r="C1001" i="8"/>
  <c r="D884" i="8"/>
  <c r="C884" i="8"/>
  <c r="B884" i="8"/>
  <c r="C1010" i="8"/>
  <c r="B1010" i="8"/>
  <c r="D1010" i="8"/>
  <c r="D1121" i="8"/>
  <c r="C1121" i="8"/>
  <c r="B1121" i="8"/>
  <c r="D1053" i="8"/>
  <c r="C1053" i="8"/>
  <c r="B1053" i="8"/>
  <c r="D940" i="8"/>
  <c r="C940" i="8"/>
  <c r="B940" i="8"/>
  <c r="D988" i="8"/>
  <c r="B988" i="8"/>
  <c r="C988" i="8"/>
  <c r="D1036" i="8"/>
  <c r="C1036" i="8"/>
  <c r="B1036" i="8"/>
  <c r="D1076" i="8"/>
  <c r="C1076" i="8"/>
  <c r="B1076" i="8"/>
  <c r="D939" i="8"/>
  <c r="C939" i="8"/>
  <c r="B939" i="8"/>
  <c r="D987" i="8"/>
  <c r="C987" i="8"/>
  <c r="B987" i="8"/>
  <c r="B1035" i="8"/>
  <c r="D1035" i="8"/>
  <c r="C1035" i="8"/>
  <c r="C1196" i="8"/>
  <c r="B1196" i="8"/>
  <c r="D1196" i="8"/>
  <c r="D1144" i="8"/>
  <c r="C1144" i="8"/>
  <c r="B1144" i="8"/>
  <c r="D1134" i="8"/>
  <c r="C1134" i="8"/>
  <c r="B1134" i="8"/>
  <c r="D1083" i="8"/>
  <c r="B1083" i="8"/>
  <c r="C1083" i="8"/>
  <c r="D1140" i="8"/>
  <c r="C1140" i="8"/>
  <c r="B1140" i="8"/>
  <c r="D1183" i="8"/>
  <c r="B1183" i="8"/>
  <c r="C1183" i="8"/>
  <c r="D1090" i="8"/>
  <c r="C1090" i="8"/>
  <c r="B1090" i="8"/>
  <c r="B1155" i="8"/>
  <c r="D1155" i="8"/>
  <c r="C1155" i="8"/>
  <c r="D1231" i="8"/>
  <c r="C1231" i="8"/>
  <c r="B1231" i="8"/>
  <c r="D1182" i="8"/>
  <c r="C1182" i="8"/>
  <c r="B1182" i="8"/>
  <c r="C1223" i="8"/>
  <c r="B1223" i="8"/>
  <c r="D1223" i="8"/>
  <c r="D1304" i="8"/>
  <c r="C1304" i="8"/>
  <c r="B1304" i="8"/>
  <c r="D1169" i="8"/>
  <c r="C1169" i="8"/>
  <c r="B1169" i="8"/>
  <c r="C1291" i="8"/>
  <c r="B1291" i="8"/>
  <c r="D1291" i="8"/>
  <c r="B1270" i="8"/>
  <c r="D1270" i="8"/>
  <c r="C1270" i="8"/>
  <c r="C1403" i="8"/>
  <c r="B1403" i="8"/>
  <c r="D1403" i="8"/>
  <c r="D1229" i="8"/>
  <c r="B1229" i="8"/>
  <c r="C1229" i="8"/>
  <c r="C1303" i="8"/>
  <c r="B1303" i="8"/>
  <c r="D1303" i="8"/>
  <c r="B1278" i="8"/>
  <c r="D1278" i="8"/>
  <c r="C1278" i="8"/>
  <c r="C1204" i="8"/>
  <c r="D1204" i="8"/>
  <c r="B1204" i="8"/>
  <c r="C1252" i="8"/>
  <c r="B1252" i="8"/>
  <c r="D1252" i="8"/>
  <c r="C1323" i="8"/>
  <c r="B1323" i="8"/>
  <c r="D1323" i="8"/>
  <c r="C1375" i="8"/>
  <c r="D1375" i="8"/>
  <c r="B1375" i="8"/>
  <c r="D1334" i="8"/>
  <c r="C1334" i="8"/>
  <c r="B1334" i="8"/>
  <c r="D1494" i="8"/>
  <c r="C1494" i="8"/>
  <c r="B1494" i="8"/>
  <c r="D1476" i="8"/>
  <c r="B1476" i="8"/>
  <c r="C1476" i="8"/>
  <c r="D1458" i="8"/>
  <c r="C1458" i="8"/>
  <c r="B1458" i="8"/>
  <c r="B1325" i="8"/>
  <c r="D1325" i="8"/>
  <c r="C1325" i="8"/>
  <c r="C1355" i="8"/>
  <c r="D1355" i="8"/>
  <c r="B1355" i="8"/>
  <c r="D1409" i="8"/>
  <c r="C1409" i="8"/>
  <c r="B1409" i="8"/>
  <c r="D1457" i="8"/>
  <c r="C1457" i="8"/>
  <c r="B1457" i="8"/>
  <c r="C1407" i="8"/>
  <c r="B1407" i="8"/>
  <c r="D1407" i="8"/>
  <c r="C1455" i="8"/>
  <c r="B1455" i="8"/>
  <c r="D1455" i="8"/>
  <c r="AQ46" i="3"/>
  <c r="AP46" i="3"/>
  <c r="C286" i="6"/>
  <c r="B286" i="6"/>
  <c r="D286" i="6"/>
  <c r="C79" i="6"/>
  <c r="B79" i="6"/>
  <c r="D79" i="6"/>
  <c r="B29" i="6"/>
  <c r="D29" i="6"/>
  <c r="C29" i="6"/>
  <c r="B173" i="6"/>
  <c r="D173" i="6"/>
  <c r="C173" i="6"/>
  <c r="D397" i="6"/>
  <c r="C397" i="6"/>
  <c r="B397" i="6"/>
  <c r="C112" i="6"/>
  <c r="B112" i="6"/>
  <c r="D112" i="6"/>
  <c r="C306" i="6"/>
  <c r="B306" i="6"/>
  <c r="D306" i="6"/>
  <c r="B97" i="6"/>
  <c r="D97" i="6"/>
  <c r="C97" i="6"/>
  <c r="B241" i="6"/>
  <c r="D241" i="6"/>
  <c r="C241" i="6"/>
  <c r="C47" i="6"/>
  <c r="B47" i="6"/>
  <c r="D47" i="6"/>
  <c r="C191" i="6"/>
  <c r="B191" i="6"/>
  <c r="D191" i="6"/>
  <c r="C10" i="6"/>
  <c r="B10" i="6"/>
  <c r="D10" i="6"/>
  <c r="C154" i="6"/>
  <c r="B154" i="6"/>
  <c r="D154" i="6"/>
  <c r="D595" i="6"/>
  <c r="C595" i="6"/>
  <c r="B595" i="6"/>
  <c r="C139" i="6"/>
  <c r="B139" i="6"/>
  <c r="D139" i="6"/>
  <c r="C298" i="6"/>
  <c r="B298" i="6"/>
  <c r="D298" i="6"/>
  <c r="B89" i="6"/>
  <c r="D89" i="6"/>
  <c r="C89" i="6"/>
  <c r="B233" i="6"/>
  <c r="D233" i="6"/>
  <c r="C233" i="6"/>
  <c r="C4" i="6"/>
  <c r="B4" i="6"/>
  <c r="D4" i="6"/>
  <c r="C148" i="6"/>
  <c r="B148" i="6"/>
  <c r="D148" i="6"/>
  <c r="C2" i="6"/>
  <c r="B2" i="6"/>
  <c r="D2" i="6"/>
  <c r="C146" i="6"/>
  <c r="B146" i="6"/>
  <c r="D146" i="6"/>
  <c r="D288" i="6"/>
  <c r="C288" i="6"/>
  <c r="B288" i="6"/>
  <c r="C131" i="6"/>
  <c r="B131" i="6"/>
  <c r="D131" i="6"/>
  <c r="D325" i="6"/>
  <c r="C325" i="6"/>
  <c r="B325" i="6"/>
  <c r="B81" i="6"/>
  <c r="D81" i="6"/>
  <c r="C81" i="6"/>
  <c r="B225" i="6"/>
  <c r="D225" i="6"/>
  <c r="C225" i="6"/>
  <c r="D835" i="6"/>
  <c r="C835" i="6"/>
  <c r="B835" i="6"/>
  <c r="D320" i="6"/>
  <c r="C320" i="6"/>
  <c r="B320" i="6"/>
  <c r="D368" i="6"/>
  <c r="C368" i="6"/>
  <c r="B368" i="6"/>
  <c r="D416" i="6"/>
  <c r="C416" i="6"/>
  <c r="B416" i="6"/>
  <c r="D535" i="6"/>
  <c r="C535" i="6"/>
  <c r="B535" i="6"/>
  <c r="C267" i="6"/>
  <c r="B267" i="6"/>
  <c r="D267" i="6"/>
  <c r="D315" i="6"/>
  <c r="C315" i="6"/>
  <c r="B315" i="6"/>
  <c r="D363" i="6"/>
  <c r="C363" i="6"/>
  <c r="B363" i="6"/>
  <c r="D411" i="6"/>
  <c r="C411" i="6"/>
  <c r="B411" i="6"/>
  <c r="D523" i="6"/>
  <c r="C523" i="6"/>
  <c r="B523" i="6"/>
  <c r="C330" i="6"/>
  <c r="B330" i="6"/>
  <c r="D330" i="6"/>
  <c r="C378" i="6"/>
  <c r="B378" i="6"/>
  <c r="D378" i="6"/>
  <c r="C426" i="6"/>
  <c r="B426" i="6"/>
  <c r="D426" i="6"/>
  <c r="D539" i="6"/>
  <c r="B539" i="6"/>
  <c r="C539" i="6"/>
  <c r="C468" i="6"/>
  <c r="B468" i="6"/>
  <c r="D468" i="6"/>
  <c r="C516" i="6"/>
  <c r="B516" i="6"/>
  <c r="D516" i="6"/>
  <c r="C564" i="6"/>
  <c r="B564" i="6"/>
  <c r="D564" i="6"/>
  <c r="C612" i="6"/>
  <c r="B612" i="6"/>
  <c r="D612" i="6"/>
  <c r="D660" i="6"/>
  <c r="C660" i="6"/>
  <c r="B660" i="6"/>
  <c r="D708" i="6"/>
  <c r="C708" i="6"/>
  <c r="B708" i="6"/>
  <c r="D756" i="6"/>
  <c r="C756" i="6"/>
  <c r="B756" i="6"/>
  <c r="D804" i="6"/>
  <c r="C804" i="6"/>
  <c r="B804" i="6"/>
  <c r="D1329" i="6"/>
  <c r="C1329" i="6"/>
  <c r="B1329" i="6"/>
  <c r="D663" i="6"/>
  <c r="C663" i="6"/>
  <c r="B663" i="6"/>
  <c r="D711" i="6"/>
  <c r="C711" i="6"/>
  <c r="B711" i="6"/>
  <c r="D759" i="6"/>
  <c r="C759" i="6"/>
  <c r="B759" i="6"/>
  <c r="D807" i="6"/>
  <c r="C807" i="6"/>
  <c r="B807" i="6"/>
  <c r="B1297" i="6"/>
  <c r="D1297" i="6"/>
  <c r="C1297" i="6"/>
  <c r="D486" i="6"/>
  <c r="C486" i="6"/>
  <c r="B486" i="6"/>
  <c r="D534" i="6"/>
  <c r="C534" i="6"/>
  <c r="B534" i="6"/>
  <c r="D582" i="6"/>
  <c r="C582" i="6"/>
  <c r="B582" i="6"/>
  <c r="D630" i="6"/>
  <c r="C630" i="6"/>
  <c r="B630" i="6"/>
  <c r="D678" i="6"/>
  <c r="C678" i="6"/>
  <c r="B678" i="6"/>
  <c r="D726" i="6"/>
  <c r="C726" i="6"/>
  <c r="B726" i="6"/>
  <c r="D774" i="6"/>
  <c r="C774" i="6"/>
  <c r="B774" i="6"/>
  <c r="D863" i="6"/>
  <c r="C863" i="6"/>
  <c r="B863" i="6"/>
  <c r="D449" i="6"/>
  <c r="C449" i="6"/>
  <c r="B449" i="6"/>
  <c r="D497" i="6"/>
  <c r="C497" i="6"/>
  <c r="B497" i="6"/>
  <c r="D545" i="6"/>
  <c r="C545" i="6"/>
  <c r="B545" i="6"/>
  <c r="D593" i="6"/>
  <c r="C593" i="6"/>
  <c r="B593" i="6"/>
  <c r="D641" i="6"/>
  <c r="C641" i="6"/>
  <c r="B641" i="6"/>
  <c r="D689" i="6"/>
  <c r="C689" i="6"/>
  <c r="B689" i="6"/>
  <c r="D737" i="6"/>
  <c r="C737" i="6"/>
  <c r="B737" i="6"/>
  <c r="D785" i="6"/>
  <c r="C785" i="6"/>
  <c r="B785" i="6"/>
  <c r="D820" i="6"/>
  <c r="C820" i="6"/>
  <c r="B820" i="6"/>
  <c r="B868" i="6"/>
  <c r="D868" i="6"/>
  <c r="C868" i="6"/>
  <c r="D916" i="6"/>
  <c r="B916" i="6"/>
  <c r="C916" i="6"/>
  <c r="D964" i="6"/>
  <c r="B964" i="6"/>
  <c r="C964" i="6"/>
  <c r="D1012" i="6"/>
  <c r="C1012" i="6"/>
  <c r="B1012" i="6"/>
  <c r="D1060" i="6"/>
  <c r="C1060" i="6"/>
  <c r="B1060" i="6"/>
  <c r="D1108" i="6"/>
  <c r="C1108" i="6"/>
  <c r="B1108" i="6"/>
  <c r="D1156" i="6"/>
  <c r="C1156" i="6"/>
  <c r="B1156" i="6"/>
  <c r="D1199" i="6"/>
  <c r="C1199" i="6"/>
  <c r="B1199" i="6"/>
  <c r="D915" i="6"/>
  <c r="C915" i="6"/>
  <c r="B915" i="6"/>
  <c r="D963" i="6"/>
  <c r="C963" i="6"/>
  <c r="B963" i="6"/>
  <c r="D1011" i="6"/>
  <c r="C1011" i="6"/>
  <c r="B1011" i="6"/>
  <c r="D1059" i="6"/>
  <c r="C1059" i="6"/>
  <c r="B1059" i="6"/>
  <c r="D1107" i="6"/>
  <c r="C1107" i="6"/>
  <c r="B1107" i="6"/>
  <c r="D1155" i="6"/>
  <c r="C1155" i="6"/>
  <c r="B1155" i="6"/>
  <c r="D1223" i="6"/>
  <c r="C1223" i="6"/>
  <c r="B1223" i="6"/>
  <c r="C1351" i="6"/>
  <c r="B1351" i="6"/>
  <c r="D1351" i="6"/>
  <c r="D862" i="6"/>
  <c r="C862" i="6"/>
  <c r="B862" i="6"/>
  <c r="D910" i="6"/>
  <c r="C910" i="6"/>
  <c r="B910" i="6"/>
  <c r="D958" i="6"/>
  <c r="C958" i="6"/>
  <c r="B958" i="6"/>
  <c r="D1006" i="6"/>
  <c r="C1006" i="6"/>
  <c r="B1006" i="6"/>
  <c r="D1054" i="6"/>
  <c r="C1054" i="6"/>
  <c r="B1054" i="6"/>
  <c r="D1102" i="6"/>
  <c r="C1102" i="6"/>
  <c r="B1102" i="6"/>
  <c r="D1150" i="6"/>
  <c r="C1150" i="6"/>
  <c r="B1150" i="6"/>
  <c r="D1211" i="6"/>
  <c r="C1211" i="6"/>
  <c r="B1211" i="6"/>
  <c r="D1288" i="6"/>
  <c r="B1288" i="6"/>
  <c r="C1288" i="6"/>
  <c r="B1241" i="6"/>
  <c r="D1241" i="6"/>
  <c r="C1241" i="6"/>
  <c r="D857" i="6"/>
  <c r="C857" i="6"/>
  <c r="B857" i="6"/>
  <c r="D905" i="6"/>
  <c r="C905" i="6"/>
  <c r="B905" i="6"/>
  <c r="D953" i="6"/>
  <c r="C953" i="6"/>
  <c r="B953" i="6"/>
  <c r="D1001" i="6"/>
  <c r="C1001" i="6"/>
  <c r="B1001" i="6"/>
  <c r="D1049" i="6"/>
  <c r="C1049" i="6"/>
  <c r="B1049" i="6"/>
  <c r="D1097" i="6"/>
  <c r="C1097" i="6"/>
  <c r="B1097" i="6"/>
  <c r="D1145" i="6"/>
  <c r="C1145" i="6"/>
  <c r="B1145" i="6"/>
  <c r="D1193" i="6"/>
  <c r="C1193" i="6"/>
  <c r="B1193" i="6"/>
  <c r="D1421" i="6"/>
  <c r="B1421" i="6"/>
  <c r="C1421" i="6"/>
  <c r="D1331" i="6"/>
  <c r="C1331" i="6"/>
  <c r="B1331" i="6"/>
  <c r="C1446" i="6"/>
  <c r="B1446" i="6"/>
  <c r="D1446" i="6"/>
  <c r="D1235" i="6"/>
  <c r="C1235" i="6"/>
  <c r="B1235" i="6"/>
  <c r="D1283" i="6"/>
  <c r="C1283" i="6"/>
  <c r="B1283" i="6"/>
  <c r="D1393" i="6"/>
  <c r="B1393" i="6"/>
  <c r="C1393" i="6"/>
  <c r="B1395" i="6"/>
  <c r="D1395" i="6"/>
  <c r="C1395" i="6"/>
  <c r="C1210" i="6"/>
  <c r="B1210" i="6"/>
  <c r="D1210" i="6"/>
  <c r="C1258" i="6"/>
  <c r="B1258" i="6"/>
  <c r="D1258" i="6"/>
  <c r="C1306" i="6"/>
  <c r="B1306" i="6"/>
  <c r="D1306" i="6"/>
  <c r="C1466" i="6"/>
  <c r="B1466" i="6"/>
  <c r="D1466" i="6"/>
  <c r="B1431" i="6"/>
  <c r="D1431" i="6"/>
  <c r="C1431" i="6"/>
  <c r="D1317" i="6"/>
  <c r="C1317" i="6"/>
  <c r="B1317" i="6"/>
  <c r="D1433" i="6"/>
  <c r="B1433" i="6"/>
  <c r="C1433" i="6"/>
  <c r="B1410" i="6"/>
  <c r="D1410" i="6"/>
  <c r="C1410" i="6"/>
  <c r="B1332" i="6"/>
  <c r="C1332" i="6"/>
  <c r="D1332" i="6"/>
  <c r="B1380" i="6"/>
  <c r="D1380" i="6"/>
  <c r="C1380" i="6"/>
  <c r="B1428" i="6"/>
  <c r="D1428" i="6"/>
  <c r="C1428" i="6"/>
  <c r="B1476" i="6"/>
  <c r="D1476" i="6"/>
  <c r="C1476" i="6"/>
  <c r="AT59" i="3"/>
  <c r="AS59" i="3"/>
  <c r="D61" i="7"/>
  <c r="C61" i="7"/>
  <c r="B61" i="7"/>
  <c r="C11" i="7"/>
  <c r="B11" i="7"/>
  <c r="D11" i="7"/>
  <c r="C14" i="7"/>
  <c r="B14" i="7"/>
  <c r="D14" i="7"/>
  <c r="C95" i="7"/>
  <c r="B95" i="7"/>
  <c r="D95" i="7"/>
  <c r="C55" i="7"/>
  <c r="B55" i="7"/>
  <c r="D55" i="7"/>
  <c r="C15" i="7"/>
  <c r="B15" i="7"/>
  <c r="D15" i="7"/>
  <c r="D109" i="7"/>
  <c r="C109" i="7"/>
  <c r="B109" i="7"/>
  <c r="D155" i="7"/>
  <c r="C155" i="7"/>
  <c r="B155" i="7"/>
  <c r="D194" i="7"/>
  <c r="C194" i="7"/>
  <c r="B194" i="7"/>
  <c r="C110" i="7"/>
  <c r="B110" i="7"/>
  <c r="D110" i="7"/>
  <c r="D158" i="7"/>
  <c r="C158" i="7"/>
  <c r="B158" i="7"/>
  <c r="D206" i="7"/>
  <c r="C206" i="7"/>
  <c r="B206" i="7"/>
  <c r="D137" i="7"/>
  <c r="C137" i="7"/>
  <c r="B137" i="7"/>
  <c r="D185" i="7"/>
  <c r="C185" i="7"/>
  <c r="B185" i="7"/>
  <c r="D298" i="7"/>
  <c r="C298" i="7"/>
  <c r="B298" i="7"/>
  <c r="B44" i="7"/>
  <c r="D44" i="7"/>
  <c r="C44" i="7"/>
  <c r="B92" i="7"/>
  <c r="D92" i="7"/>
  <c r="C92" i="7"/>
  <c r="B140" i="7"/>
  <c r="D140" i="7"/>
  <c r="C140" i="7"/>
  <c r="B188" i="7"/>
  <c r="D188" i="7"/>
  <c r="C188" i="7"/>
  <c r="D358" i="7"/>
  <c r="C358" i="7"/>
  <c r="B358" i="7"/>
  <c r="D244" i="7"/>
  <c r="C244" i="7"/>
  <c r="B244" i="7"/>
  <c r="D292" i="7"/>
  <c r="C292" i="7"/>
  <c r="B292" i="7"/>
  <c r="D340" i="7"/>
  <c r="C340" i="7"/>
  <c r="B340" i="7"/>
  <c r="D420" i="7"/>
  <c r="C420" i="7"/>
  <c r="B420" i="7"/>
  <c r="D640" i="7"/>
  <c r="C640" i="7"/>
  <c r="B640" i="7"/>
  <c r="D596" i="7"/>
  <c r="C596" i="7"/>
  <c r="B596" i="7"/>
  <c r="D227" i="7"/>
  <c r="C227" i="7"/>
  <c r="B227" i="7"/>
  <c r="C275" i="7"/>
  <c r="D275" i="7"/>
  <c r="B275" i="7"/>
  <c r="C323" i="7"/>
  <c r="D323" i="7"/>
  <c r="B323" i="7"/>
  <c r="C371" i="7"/>
  <c r="B371" i="7"/>
  <c r="D371" i="7"/>
  <c r="D390" i="7"/>
  <c r="C390" i="7"/>
  <c r="B390" i="7"/>
  <c r="D400" i="7"/>
  <c r="C400" i="7"/>
  <c r="B400" i="7"/>
  <c r="D532" i="7"/>
  <c r="C532" i="7"/>
  <c r="B532" i="7"/>
  <c r="D536" i="7"/>
  <c r="C536" i="7"/>
  <c r="B536" i="7"/>
  <c r="D213" i="7"/>
  <c r="C213" i="7"/>
  <c r="B213" i="7"/>
  <c r="D261" i="7"/>
  <c r="C261" i="7"/>
  <c r="B261" i="7"/>
  <c r="D309" i="7"/>
  <c r="C309" i="7"/>
  <c r="B309" i="7"/>
  <c r="D357" i="7"/>
  <c r="C357" i="7"/>
  <c r="B357" i="7"/>
  <c r="D446" i="7"/>
  <c r="C446" i="7"/>
  <c r="B446" i="7"/>
  <c r="D660" i="7"/>
  <c r="C660" i="7"/>
  <c r="B660" i="7"/>
  <c r="C395" i="7"/>
  <c r="B395" i="7"/>
  <c r="D395" i="7"/>
  <c r="C443" i="7"/>
  <c r="B443" i="7"/>
  <c r="D443" i="7"/>
  <c r="D491" i="7"/>
  <c r="C491" i="7"/>
  <c r="B491" i="7"/>
  <c r="D539" i="7"/>
  <c r="C539" i="7"/>
  <c r="B539" i="7"/>
  <c r="D587" i="7"/>
  <c r="C587" i="7"/>
  <c r="B587" i="7"/>
  <c r="D635" i="7"/>
  <c r="C635" i="7"/>
  <c r="B635" i="7"/>
  <c r="D683" i="7"/>
  <c r="C683" i="7"/>
  <c r="B683" i="7"/>
  <c r="D486" i="7"/>
  <c r="C486" i="7"/>
  <c r="B486" i="7"/>
  <c r="D534" i="7"/>
  <c r="C534" i="7"/>
  <c r="B534" i="7"/>
  <c r="D582" i="7"/>
  <c r="C582" i="7"/>
  <c r="B582" i="7"/>
  <c r="D630" i="7"/>
  <c r="C630" i="7"/>
  <c r="B630" i="7"/>
  <c r="D678" i="7"/>
  <c r="C678" i="7"/>
  <c r="B678" i="7"/>
  <c r="C389" i="7"/>
  <c r="D389" i="7"/>
  <c r="B389" i="7"/>
  <c r="C437" i="7"/>
  <c r="B437" i="7"/>
  <c r="D437" i="7"/>
  <c r="C485" i="7"/>
  <c r="B485" i="7"/>
  <c r="D485" i="7"/>
  <c r="C533" i="7"/>
  <c r="B533" i="7"/>
  <c r="D533" i="7"/>
  <c r="C581" i="7"/>
  <c r="B581" i="7"/>
  <c r="D581" i="7"/>
  <c r="C629" i="7"/>
  <c r="B629" i="7"/>
  <c r="D629" i="7"/>
  <c r="C677" i="7"/>
  <c r="B677" i="7"/>
  <c r="D677" i="7"/>
  <c r="D721" i="7"/>
  <c r="C721" i="7"/>
  <c r="B721" i="7"/>
  <c r="D769" i="7"/>
  <c r="C769" i="7"/>
  <c r="B769" i="7"/>
  <c r="D817" i="7"/>
  <c r="C817" i="7"/>
  <c r="B817" i="7"/>
  <c r="D865" i="7"/>
  <c r="C865" i="7"/>
  <c r="B865" i="7"/>
  <c r="D1153" i="7"/>
  <c r="B1153" i="7"/>
  <c r="C1153" i="7"/>
  <c r="B704" i="7"/>
  <c r="D704" i="7"/>
  <c r="C704" i="7"/>
  <c r="D752" i="7"/>
  <c r="C752" i="7"/>
  <c r="B752" i="7"/>
  <c r="D800" i="7"/>
  <c r="C800" i="7"/>
  <c r="B800" i="7"/>
  <c r="D848" i="7"/>
  <c r="C848" i="7"/>
  <c r="B848" i="7"/>
  <c r="D917" i="7"/>
  <c r="C917" i="7"/>
  <c r="B917" i="7"/>
  <c r="D1057" i="7"/>
  <c r="C1057" i="7"/>
  <c r="B1057" i="7"/>
  <c r="D771" i="7"/>
  <c r="C771" i="7"/>
  <c r="B771" i="7"/>
  <c r="D819" i="7"/>
  <c r="C819" i="7"/>
  <c r="B819" i="7"/>
  <c r="D867" i="7"/>
  <c r="C867" i="7"/>
  <c r="B867" i="7"/>
  <c r="D921" i="7"/>
  <c r="C921" i="7"/>
  <c r="B921" i="7"/>
  <c r="B730" i="7"/>
  <c r="D730" i="7"/>
  <c r="C730" i="7"/>
  <c r="B778" i="7"/>
  <c r="D778" i="7"/>
  <c r="C778" i="7"/>
  <c r="B826" i="7"/>
  <c r="D826" i="7"/>
  <c r="C826" i="7"/>
  <c r="B874" i="7"/>
  <c r="D874" i="7"/>
  <c r="C874" i="7"/>
  <c r="D981" i="7"/>
  <c r="C981" i="7"/>
  <c r="B981" i="7"/>
  <c r="D1344" i="7"/>
  <c r="B1344" i="7"/>
  <c r="C1344" i="7"/>
  <c r="D940" i="7"/>
  <c r="C940" i="7"/>
  <c r="B940" i="7"/>
  <c r="D988" i="7"/>
  <c r="C988" i="7"/>
  <c r="B988" i="7"/>
  <c r="D1036" i="7"/>
  <c r="C1036" i="7"/>
  <c r="B1036" i="7"/>
  <c r="D1084" i="7"/>
  <c r="C1084" i="7"/>
  <c r="B1084" i="7"/>
  <c r="D1186" i="7"/>
  <c r="C1186" i="7"/>
  <c r="B1186" i="7"/>
  <c r="D919" i="7"/>
  <c r="C919" i="7"/>
  <c r="B919" i="7"/>
  <c r="D967" i="7"/>
  <c r="C967" i="7"/>
  <c r="B967" i="7"/>
  <c r="D1015" i="7"/>
  <c r="C1015" i="7"/>
  <c r="B1015" i="7"/>
  <c r="D1063" i="7"/>
  <c r="C1063" i="7"/>
  <c r="B1063" i="7"/>
  <c r="B1304" i="7"/>
  <c r="D1304" i="7"/>
  <c r="C1304" i="7"/>
  <c r="D1182" i="7"/>
  <c r="C1182" i="7"/>
  <c r="B1182" i="7"/>
  <c r="C934" i="7"/>
  <c r="B934" i="7"/>
  <c r="D934" i="7"/>
  <c r="C982" i="7"/>
  <c r="B982" i="7"/>
  <c r="D982" i="7"/>
  <c r="C1030" i="7"/>
  <c r="B1030" i="7"/>
  <c r="D1030" i="7"/>
  <c r="C1078" i="7"/>
  <c r="B1078" i="7"/>
  <c r="D1078" i="7"/>
  <c r="D1336" i="7"/>
  <c r="B1336" i="7"/>
  <c r="C1336" i="7"/>
  <c r="B1179" i="7"/>
  <c r="D1179" i="7"/>
  <c r="C1179" i="7"/>
  <c r="D1227" i="7"/>
  <c r="C1227" i="7"/>
  <c r="B1227" i="7"/>
  <c r="D1295" i="7"/>
  <c r="C1295" i="7"/>
  <c r="B1295" i="7"/>
  <c r="B1292" i="7"/>
  <c r="D1292" i="7"/>
  <c r="C1292" i="7"/>
  <c r="D1269" i="7"/>
  <c r="C1269" i="7"/>
  <c r="B1269" i="7"/>
  <c r="D1249" i="7"/>
  <c r="C1249" i="7"/>
  <c r="B1249" i="7"/>
  <c r="D1229" i="7"/>
  <c r="C1229" i="7"/>
  <c r="B1229" i="7"/>
  <c r="D1169" i="7"/>
  <c r="C1169" i="7"/>
  <c r="B1169" i="7"/>
  <c r="D1217" i="7"/>
  <c r="C1217" i="7"/>
  <c r="B1217" i="7"/>
  <c r="D1285" i="7"/>
  <c r="C1285" i="7"/>
  <c r="B1285" i="7"/>
  <c r="D1412" i="7"/>
  <c r="C1412" i="7"/>
  <c r="B1412" i="7"/>
  <c r="B1128" i="7"/>
  <c r="D1128" i="7"/>
  <c r="C1128" i="7"/>
  <c r="B1176" i="7"/>
  <c r="D1176" i="7"/>
  <c r="C1176" i="7"/>
  <c r="B1224" i="7"/>
  <c r="D1224" i="7"/>
  <c r="C1224" i="7"/>
  <c r="B1276" i="7"/>
  <c r="D1276" i="7"/>
  <c r="C1276" i="7"/>
  <c r="D1379" i="7"/>
  <c r="C1379" i="7"/>
  <c r="B1379" i="7"/>
  <c r="D1436" i="7"/>
  <c r="B1436" i="7"/>
  <c r="C1436" i="7"/>
  <c r="D1468" i="7"/>
  <c r="C1468" i="7"/>
  <c r="B1468" i="7"/>
  <c r="C1372" i="7"/>
  <c r="B1372" i="7"/>
  <c r="D1372" i="7"/>
  <c r="C1369" i="7"/>
  <c r="B1369" i="7"/>
  <c r="D1369" i="7"/>
  <c r="C1357" i="7"/>
  <c r="D1357" i="7"/>
  <c r="B1357" i="7"/>
  <c r="D1238" i="7"/>
  <c r="C1238" i="7"/>
  <c r="B1238" i="7"/>
  <c r="D1286" i="7"/>
  <c r="C1286" i="7"/>
  <c r="B1286" i="7"/>
  <c r="D1334" i="7"/>
  <c r="C1334" i="7"/>
  <c r="B1334" i="7"/>
  <c r="C1453" i="7"/>
  <c r="D1453" i="7"/>
  <c r="B1453" i="7"/>
  <c r="C1394" i="7"/>
  <c r="D1394" i="7"/>
  <c r="B1394" i="7"/>
  <c r="D1442" i="7"/>
  <c r="C1442" i="7"/>
  <c r="B1442" i="7"/>
  <c r="C1447" i="7"/>
  <c r="D1447" i="7"/>
  <c r="B1447" i="7"/>
  <c r="C1495" i="7"/>
  <c r="D1495" i="7"/>
  <c r="B1495" i="7"/>
  <c r="AT33" i="3"/>
  <c r="AS33" i="3"/>
  <c r="AS52" i="3"/>
  <c r="AT52" i="3"/>
  <c r="AN16" i="3" l="1"/>
  <c r="AN7" i="3"/>
  <c r="AN15" i="3"/>
  <c r="AQ16" i="3"/>
  <c r="AP9" i="3"/>
  <c r="AN19" i="3"/>
  <c r="AS13" i="3"/>
  <c r="AT13" i="3" s="1"/>
  <c r="AN8" i="3"/>
  <c r="AQ9" i="3"/>
  <c r="AP13" i="3"/>
  <c r="AQ13" i="3" s="1"/>
  <c r="AN5" i="3"/>
  <c r="AN2" i="3"/>
  <c r="AT3" i="3"/>
  <c r="AQ6" i="3"/>
  <c r="AS5" i="3"/>
  <c r="AN17" i="3"/>
  <c r="AN6" i="3"/>
  <c r="AN4" i="3"/>
  <c r="AS14" i="3"/>
  <c r="X13" i="3"/>
  <c r="X4" i="3"/>
  <c r="X14" i="3"/>
  <c r="X19" i="3"/>
  <c r="X6" i="3"/>
  <c r="E7" i="1"/>
  <c r="AT2" i="3"/>
  <c r="AS2" i="3"/>
  <c r="AP14" i="3"/>
  <c r="AQ14" i="3" s="1"/>
  <c r="AS4" i="3"/>
  <c r="AT4" i="3" s="1"/>
  <c r="X11" i="3"/>
  <c r="X5" i="3"/>
  <c r="X17" i="3"/>
  <c r="AP2" i="3"/>
  <c r="AQ2" i="3"/>
  <c r="X8" i="3"/>
  <c r="AT12" i="3"/>
  <c r="AS12" i="3"/>
  <c r="AQ17" i="3"/>
  <c r="AP17" i="3"/>
  <c r="X7" i="3"/>
  <c r="AP3" i="3"/>
  <c r="AQ3" i="3"/>
  <c r="X18" i="3"/>
  <c r="AN13" i="3"/>
  <c r="AT10" i="3"/>
  <c r="AS10" i="3"/>
  <c r="AS16" i="3"/>
  <c r="AT16" i="3" s="1"/>
  <c r="AP10" i="3"/>
  <c r="AQ10" i="3"/>
  <c r="X9" i="3"/>
  <c r="X3" i="3"/>
  <c r="E5" i="1"/>
  <c r="AN11" i="3"/>
  <c r="AT9" i="3"/>
  <c r="AS9" i="3"/>
  <c r="AS19" i="3"/>
  <c r="AT19" i="3" s="1"/>
  <c r="AP7" i="3"/>
  <c r="AQ7" i="3"/>
  <c r="X10" i="3"/>
  <c r="AS17" i="3"/>
  <c r="AT17" i="3" s="1"/>
  <c r="X12" i="3"/>
  <c r="X2" i="3"/>
  <c r="AN12" i="3"/>
  <c r="AP8" i="3"/>
  <c r="AQ8" i="3"/>
  <c r="AS11" i="3"/>
  <c r="AT11" i="3" s="1"/>
  <c r="AQ11" i="3"/>
  <c r="AP11" i="3"/>
  <c r="X15" i="3"/>
  <c r="E6" i="1"/>
  <c r="AT15" i="3"/>
  <c r="AS15" i="3"/>
  <c r="AP5" i="3"/>
  <c r="AQ5" i="3"/>
  <c r="X16" i="3"/>
  <c r="A60" i="3" l="1"/>
  <c r="A57" i="3"/>
  <c r="A54" i="3"/>
  <c r="A51" i="3"/>
  <c r="A48" i="3"/>
  <c r="A45" i="3"/>
  <c r="A42" i="3"/>
  <c r="A61" i="3"/>
  <c r="A58" i="3"/>
  <c r="A55" i="3"/>
  <c r="A52" i="3"/>
  <c r="A49" i="3"/>
  <c r="A46" i="3"/>
  <c r="A43" i="3"/>
  <c r="A38" i="3"/>
  <c r="A35" i="3"/>
  <c r="A32" i="3"/>
  <c r="A50" i="3"/>
  <c r="A41" i="3"/>
  <c r="A39" i="3"/>
  <c r="A36" i="3"/>
  <c r="A33" i="3"/>
  <c r="A30" i="3"/>
  <c r="A27" i="3"/>
  <c r="A24" i="3"/>
  <c r="A21" i="3"/>
  <c r="A56" i="3"/>
  <c r="A47" i="3"/>
  <c r="A59" i="3"/>
  <c r="A40" i="3"/>
  <c r="A37" i="3"/>
  <c r="A34" i="3"/>
  <c r="A31" i="3"/>
  <c r="A28" i="3"/>
  <c r="A25" i="3"/>
  <c r="A22" i="3"/>
  <c r="A19" i="3"/>
  <c r="A16" i="3"/>
  <c r="A13" i="3"/>
  <c r="A53" i="3"/>
  <c r="A44" i="3"/>
  <c r="A29" i="3"/>
  <c r="A14" i="3"/>
  <c r="A7" i="3"/>
  <c r="A18" i="3"/>
  <c r="A8" i="3"/>
  <c r="A2" i="3"/>
  <c r="A20" i="3"/>
  <c r="A17" i="3"/>
  <c r="A9" i="3"/>
  <c r="A3" i="3"/>
  <c r="A12" i="3"/>
  <c r="A10" i="3"/>
  <c r="A4" i="3"/>
  <c r="A23" i="3"/>
  <c r="A5" i="3"/>
  <c r="A26" i="3"/>
  <c r="A6" i="3"/>
  <c r="A11" i="3"/>
  <c r="A15" i="3"/>
  <c r="B2" i="3" l="1"/>
  <c r="J2" i="3"/>
  <c r="H2" i="3"/>
  <c r="F2" i="3"/>
  <c r="D2" i="3"/>
  <c r="G2" i="3"/>
  <c r="E2" i="3"/>
  <c r="C2" i="3"/>
  <c r="K2" i="3"/>
  <c r="I2" i="3"/>
  <c r="K52" i="3"/>
  <c r="J52" i="3"/>
  <c r="E52" i="3"/>
  <c r="G52" i="3"/>
  <c r="F52" i="3"/>
  <c r="D52" i="3"/>
  <c r="C52" i="3"/>
  <c r="B52" i="3"/>
  <c r="I52" i="3"/>
  <c r="H52" i="3"/>
  <c r="F15" i="3"/>
  <c r="D15" i="3"/>
  <c r="B15" i="3"/>
  <c r="K15" i="3"/>
  <c r="J15" i="3"/>
  <c r="I15" i="3"/>
  <c r="H15" i="3"/>
  <c r="G15" i="3"/>
  <c r="E15" i="3"/>
  <c r="C15" i="3"/>
  <c r="J25" i="3"/>
  <c r="H25" i="3"/>
  <c r="G25" i="3"/>
  <c r="F25" i="3"/>
  <c r="E25" i="3"/>
  <c r="D25" i="3"/>
  <c r="C25" i="3"/>
  <c r="B25" i="3"/>
  <c r="K25" i="3"/>
  <c r="I25" i="3"/>
  <c r="K58" i="3"/>
  <c r="J58" i="3"/>
  <c r="H58" i="3"/>
  <c r="G58" i="3"/>
  <c r="E58" i="3"/>
  <c r="D58" i="3"/>
  <c r="I58" i="3"/>
  <c r="F58" i="3"/>
  <c r="C58" i="3"/>
  <c r="B58" i="3"/>
  <c r="F27" i="3"/>
  <c r="D27" i="3"/>
  <c r="C27" i="3"/>
  <c r="B27" i="3"/>
  <c r="K27" i="3"/>
  <c r="J27" i="3"/>
  <c r="I27" i="3"/>
  <c r="H27" i="3"/>
  <c r="G27" i="3"/>
  <c r="E27" i="3"/>
  <c r="F33" i="3"/>
  <c r="E33" i="3"/>
  <c r="D33" i="3"/>
  <c r="C33" i="3"/>
  <c r="B33" i="3"/>
  <c r="K33" i="3"/>
  <c r="J33" i="3"/>
  <c r="I33" i="3"/>
  <c r="H33" i="3"/>
  <c r="G33" i="3"/>
  <c r="G45" i="3"/>
  <c r="F45" i="3"/>
  <c r="I45" i="3"/>
  <c r="J45" i="3"/>
  <c r="H45" i="3"/>
  <c r="E45" i="3"/>
  <c r="D45" i="3"/>
  <c r="C45" i="3"/>
  <c r="B45" i="3"/>
  <c r="K45" i="3"/>
  <c r="J22" i="3"/>
  <c r="H22" i="3"/>
  <c r="F22" i="3"/>
  <c r="E22" i="3"/>
  <c r="D22" i="3"/>
  <c r="C22" i="3"/>
  <c r="B22" i="3"/>
  <c r="K22" i="3"/>
  <c r="I22" i="3"/>
  <c r="G22" i="3"/>
  <c r="B8" i="3"/>
  <c r="J8" i="3"/>
  <c r="H8" i="3"/>
  <c r="F8" i="3"/>
  <c r="D8" i="3"/>
  <c r="G8" i="3"/>
  <c r="E8" i="3"/>
  <c r="C8" i="3"/>
  <c r="K8" i="3"/>
  <c r="I8" i="3"/>
  <c r="J31" i="3"/>
  <c r="H31" i="3"/>
  <c r="G31" i="3"/>
  <c r="F31" i="3"/>
  <c r="E31" i="3"/>
  <c r="D31" i="3"/>
  <c r="C31" i="3"/>
  <c r="B31" i="3"/>
  <c r="K31" i="3"/>
  <c r="I31" i="3"/>
  <c r="J7" i="3"/>
  <c r="H7" i="3"/>
  <c r="F7" i="3"/>
  <c r="D7" i="3"/>
  <c r="B7" i="3"/>
  <c r="C7" i="3"/>
  <c r="K7" i="3"/>
  <c r="I7" i="3"/>
  <c r="G7" i="3"/>
  <c r="E7" i="3"/>
  <c r="C41" i="3"/>
  <c r="I41" i="3"/>
  <c r="G41" i="3"/>
  <c r="F41" i="3"/>
  <c r="E41" i="3"/>
  <c r="D41" i="3"/>
  <c r="B41" i="3"/>
  <c r="K41" i="3"/>
  <c r="J41" i="3"/>
  <c r="H41" i="3"/>
  <c r="J4" i="3"/>
  <c r="H4" i="3"/>
  <c r="F4" i="3"/>
  <c r="D4" i="3"/>
  <c r="B4" i="3"/>
  <c r="K4" i="3"/>
  <c r="I4" i="3"/>
  <c r="G4" i="3"/>
  <c r="E4" i="3"/>
  <c r="C4" i="3"/>
  <c r="G48" i="3"/>
  <c r="F48" i="3"/>
  <c r="I48" i="3"/>
  <c r="C48" i="3"/>
  <c r="B48" i="3"/>
  <c r="K48" i="3"/>
  <c r="J48" i="3"/>
  <c r="H48" i="3"/>
  <c r="E48" i="3"/>
  <c r="D48" i="3"/>
  <c r="B11" i="3"/>
  <c r="J11" i="3"/>
  <c r="H11" i="3"/>
  <c r="F11" i="3"/>
  <c r="E11" i="3"/>
  <c r="D11" i="3"/>
  <c r="K11" i="3"/>
  <c r="I11" i="3"/>
  <c r="G11" i="3"/>
  <c r="C11" i="3"/>
  <c r="K55" i="3"/>
  <c r="J55" i="3"/>
  <c r="E55" i="3"/>
  <c r="B55" i="3"/>
  <c r="I55" i="3"/>
  <c r="H55" i="3"/>
  <c r="G55" i="3"/>
  <c r="F55" i="3"/>
  <c r="D55" i="3"/>
  <c r="C55" i="3"/>
  <c r="B5" i="3"/>
  <c r="J5" i="3"/>
  <c r="H5" i="3"/>
  <c r="F5" i="3"/>
  <c r="D5" i="3"/>
  <c r="K5" i="3"/>
  <c r="I5" i="3"/>
  <c r="G5" i="3"/>
  <c r="E5" i="3"/>
  <c r="C5" i="3"/>
  <c r="K61" i="3"/>
  <c r="J61" i="3"/>
  <c r="H61" i="3"/>
  <c r="G61" i="3"/>
  <c r="E61" i="3"/>
  <c r="D61" i="3"/>
  <c r="I61" i="3"/>
  <c r="F61" i="3"/>
  <c r="C61" i="3"/>
  <c r="B61" i="3"/>
  <c r="C50" i="3"/>
  <c r="B50" i="3"/>
  <c r="I50" i="3"/>
  <c r="E50" i="3"/>
  <c r="F50" i="3"/>
  <c r="D50" i="3"/>
  <c r="K50" i="3"/>
  <c r="J50" i="3"/>
  <c r="H50" i="3"/>
  <c r="G50" i="3"/>
  <c r="J10" i="3"/>
  <c r="H10" i="3"/>
  <c r="F10" i="3"/>
  <c r="D10" i="3"/>
  <c r="B10" i="3"/>
  <c r="K10" i="3"/>
  <c r="I10" i="3"/>
  <c r="G10" i="3"/>
  <c r="E10" i="3"/>
  <c r="C10" i="3"/>
  <c r="C53" i="3"/>
  <c r="B53" i="3"/>
  <c r="I53" i="3"/>
  <c r="E53" i="3"/>
  <c r="K53" i="3"/>
  <c r="J53" i="3"/>
  <c r="H53" i="3"/>
  <c r="G53" i="3"/>
  <c r="F53" i="3"/>
  <c r="D53" i="3"/>
  <c r="C47" i="3"/>
  <c r="B47" i="3"/>
  <c r="I47" i="3"/>
  <c r="E47" i="3"/>
  <c r="K47" i="3"/>
  <c r="J47" i="3"/>
  <c r="H47" i="3"/>
  <c r="G47" i="3"/>
  <c r="F47" i="3"/>
  <c r="D47" i="3"/>
  <c r="B35" i="3"/>
  <c r="K35" i="3"/>
  <c r="J35" i="3"/>
  <c r="I35" i="3"/>
  <c r="H35" i="3"/>
  <c r="G35" i="3"/>
  <c r="F35" i="3"/>
  <c r="E35" i="3"/>
  <c r="D35" i="3"/>
  <c r="C35" i="3"/>
  <c r="G51" i="3"/>
  <c r="F51" i="3"/>
  <c r="I51" i="3"/>
  <c r="K51" i="3"/>
  <c r="J51" i="3"/>
  <c r="H51" i="3"/>
  <c r="E51" i="3"/>
  <c r="D51" i="3"/>
  <c r="C51" i="3"/>
  <c r="B51" i="3"/>
  <c r="B20" i="3"/>
  <c r="J20" i="3"/>
  <c r="I20" i="3"/>
  <c r="H20" i="3"/>
  <c r="G20" i="3"/>
  <c r="F20" i="3"/>
  <c r="E20" i="3"/>
  <c r="D20" i="3"/>
  <c r="K20" i="3"/>
  <c r="C20" i="3"/>
  <c r="J28" i="3"/>
  <c r="H28" i="3"/>
  <c r="G28" i="3"/>
  <c r="F28" i="3"/>
  <c r="E28" i="3"/>
  <c r="D28" i="3"/>
  <c r="C28" i="3"/>
  <c r="B28" i="3"/>
  <c r="K28" i="3"/>
  <c r="I28" i="3"/>
  <c r="F36" i="3"/>
  <c r="E36" i="3"/>
  <c r="D36" i="3"/>
  <c r="C36" i="3"/>
  <c r="B36" i="3"/>
  <c r="K36" i="3"/>
  <c r="J36" i="3"/>
  <c r="I36" i="3"/>
  <c r="H36" i="3"/>
  <c r="G36" i="3"/>
  <c r="B23" i="3"/>
  <c r="K23" i="3"/>
  <c r="J23" i="3"/>
  <c r="I23" i="3"/>
  <c r="H23" i="3"/>
  <c r="G23" i="3"/>
  <c r="F23" i="3"/>
  <c r="E23" i="3"/>
  <c r="D23" i="3"/>
  <c r="C23" i="3"/>
  <c r="G42" i="3"/>
  <c r="F42" i="3"/>
  <c r="I42" i="3"/>
  <c r="K42" i="3"/>
  <c r="J42" i="3"/>
  <c r="H42" i="3"/>
  <c r="E42" i="3"/>
  <c r="D42" i="3"/>
  <c r="C42" i="3"/>
  <c r="B42" i="3"/>
  <c r="C59" i="3"/>
  <c r="B59" i="3"/>
  <c r="K59" i="3"/>
  <c r="I59" i="3"/>
  <c r="H59" i="3"/>
  <c r="E59" i="3"/>
  <c r="J59" i="3"/>
  <c r="G59" i="3"/>
  <c r="F59" i="3"/>
  <c r="D59" i="3"/>
  <c r="F3" i="3"/>
  <c r="D3" i="3"/>
  <c r="B3" i="3"/>
  <c r="J3" i="3"/>
  <c r="H3" i="3"/>
  <c r="K3" i="3"/>
  <c r="I3" i="3"/>
  <c r="G3" i="3"/>
  <c r="E3" i="3"/>
  <c r="C3" i="3"/>
  <c r="J13" i="3"/>
  <c r="H13" i="3"/>
  <c r="F13" i="3"/>
  <c r="D13" i="3"/>
  <c r="C13" i="3"/>
  <c r="B13" i="3"/>
  <c r="K13" i="3"/>
  <c r="I13" i="3"/>
  <c r="G13" i="3"/>
  <c r="E13" i="3"/>
  <c r="C56" i="3"/>
  <c r="B56" i="3"/>
  <c r="I56" i="3"/>
  <c r="E56" i="3"/>
  <c r="K56" i="3"/>
  <c r="J56" i="3"/>
  <c r="H56" i="3"/>
  <c r="G56" i="3"/>
  <c r="F56" i="3"/>
  <c r="D56" i="3"/>
  <c r="B38" i="3"/>
  <c r="K38" i="3"/>
  <c r="J38" i="3"/>
  <c r="I38" i="3"/>
  <c r="H38" i="3"/>
  <c r="G38" i="3"/>
  <c r="F38" i="3"/>
  <c r="E38" i="3"/>
  <c r="D38" i="3"/>
  <c r="C38" i="3"/>
  <c r="G54" i="3"/>
  <c r="F54" i="3"/>
  <c r="I54" i="3"/>
  <c r="J54" i="3"/>
  <c r="H54" i="3"/>
  <c r="E54" i="3"/>
  <c r="D54" i="3"/>
  <c r="C54" i="3"/>
  <c r="B54" i="3"/>
  <c r="K54" i="3"/>
  <c r="F30" i="3"/>
  <c r="D30" i="3"/>
  <c r="C30" i="3"/>
  <c r="B30" i="3"/>
  <c r="K30" i="3"/>
  <c r="J30" i="3"/>
  <c r="I30" i="3"/>
  <c r="H30" i="3"/>
  <c r="G30" i="3"/>
  <c r="E30" i="3"/>
  <c r="F18" i="3"/>
  <c r="D18" i="3"/>
  <c r="B18" i="3"/>
  <c r="K18" i="3"/>
  <c r="J18" i="3"/>
  <c r="I18" i="3"/>
  <c r="H18" i="3"/>
  <c r="G18" i="3"/>
  <c r="E18" i="3"/>
  <c r="C18" i="3"/>
  <c r="J34" i="3"/>
  <c r="I34" i="3"/>
  <c r="H34" i="3"/>
  <c r="G34" i="3"/>
  <c r="F34" i="3"/>
  <c r="E34" i="3"/>
  <c r="D34" i="3"/>
  <c r="C34" i="3"/>
  <c r="B34" i="3"/>
  <c r="K34" i="3"/>
  <c r="J37" i="3"/>
  <c r="I37" i="3"/>
  <c r="H37" i="3"/>
  <c r="G37" i="3"/>
  <c r="F37" i="3"/>
  <c r="E37" i="3"/>
  <c r="D37" i="3"/>
  <c r="C37" i="3"/>
  <c r="B37" i="3"/>
  <c r="K37" i="3"/>
  <c r="B29" i="3"/>
  <c r="K29" i="3"/>
  <c r="J29" i="3"/>
  <c r="I29" i="3"/>
  <c r="H29" i="3"/>
  <c r="G29" i="3"/>
  <c r="F29" i="3"/>
  <c r="E29" i="3"/>
  <c r="D29" i="3"/>
  <c r="C29" i="3"/>
  <c r="C44" i="3"/>
  <c r="B44" i="3"/>
  <c r="I44" i="3"/>
  <c r="E44" i="3"/>
  <c r="K44" i="3"/>
  <c r="J44" i="3"/>
  <c r="H44" i="3"/>
  <c r="G44" i="3"/>
  <c r="F44" i="3"/>
  <c r="D44" i="3"/>
  <c r="F12" i="3"/>
  <c r="D12" i="3"/>
  <c r="B12" i="3"/>
  <c r="K12" i="3"/>
  <c r="J12" i="3"/>
  <c r="I12" i="3"/>
  <c r="H12" i="3"/>
  <c r="G12" i="3"/>
  <c r="E12" i="3"/>
  <c r="C12" i="3"/>
  <c r="F9" i="3"/>
  <c r="D9" i="3"/>
  <c r="B9" i="3"/>
  <c r="J9" i="3"/>
  <c r="H9" i="3"/>
  <c r="K9" i="3"/>
  <c r="I9" i="3"/>
  <c r="G9" i="3"/>
  <c r="E9" i="3"/>
  <c r="C9" i="3"/>
  <c r="J16" i="3"/>
  <c r="H16" i="3"/>
  <c r="F16" i="3"/>
  <c r="D16" i="3"/>
  <c r="C16" i="3"/>
  <c r="B16" i="3"/>
  <c r="K16" i="3"/>
  <c r="I16" i="3"/>
  <c r="G16" i="3"/>
  <c r="E16" i="3"/>
  <c r="F21" i="3"/>
  <c r="D21" i="3"/>
  <c r="B21" i="3"/>
  <c r="K21" i="3"/>
  <c r="J21" i="3"/>
  <c r="I21" i="3"/>
  <c r="H21" i="3"/>
  <c r="G21" i="3"/>
  <c r="E21" i="3"/>
  <c r="C21" i="3"/>
  <c r="K43" i="3"/>
  <c r="J43" i="3"/>
  <c r="E43" i="3"/>
  <c r="G43" i="3"/>
  <c r="F43" i="3"/>
  <c r="D43" i="3"/>
  <c r="C43" i="3"/>
  <c r="B43" i="3"/>
  <c r="I43" i="3"/>
  <c r="H43" i="3"/>
  <c r="G57" i="3"/>
  <c r="F57" i="3"/>
  <c r="I57" i="3"/>
  <c r="C57" i="3"/>
  <c r="B57" i="3"/>
  <c r="K57" i="3"/>
  <c r="J57" i="3"/>
  <c r="H57" i="3"/>
  <c r="E57" i="3"/>
  <c r="D57" i="3"/>
  <c r="K49" i="3"/>
  <c r="J49" i="3"/>
  <c r="E49" i="3"/>
  <c r="I49" i="3"/>
  <c r="H49" i="3"/>
  <c r="G49" i="3"/>
  <c r="F49" i="3"/>
  <c r="D49" i="3"/>
  <c r="C49" i="3"/>
  <c r="B49" i="3"/>
  <c r="F6" i="3"/>
  <c r="D6" i="3"/>
  <c r="B6" i="3"/>
  <c r="J6" i="3"/>
  <c r="H6" i="3"/>
  <c r="K6" i="3"/>
  <c r="I6" i="3"/>
  <c r="G6" i="3"/>
  <c r="E6" i="3"/>
  <c r="C6" i="3"/>
  <c r="B26" i="3"/>
  <c r="K26" i="3"/>
  <c r="J26" i="3"/>
  <c r="I26" i="3"/>
  <c r="H26" i="3"/>
  <c r="G26" i="3"/>
  <c r="F26" i="3"/>
  <c r="E26" i="3"/>
  <c r="D26" i="3"/>
  <c r="C26" i="3"/>
  <c r="F39" i="3"/>
  <c r="E39" i="3"/>
  <c r="D39" i="3"/>
  <c r="C39" i="3"/>
  <c r="B39" i="3"/>
  <c r="K39" i="3"/>
  <c r="J39" i="3"/>
  <c r="I39" i="3"/>
  <c r="H39" i="3"/>
  <c r="G39" i="3"/>
  <c r="B14" i="3"/>
  <c r="J14" i="3"/>
  <c r="H14" i="3"/>
  <c r="G14" i="3"/>
  <c r="F14" i="3"/>
  <c r="E14" i="3"/>
  <c r="D14" i="3"/>
  <c r="C14" i="3"/>
  <c r="K14" i="3"/>
  <c r="I14" i="3"/>
  <c r="J40" i="3"/>
  <c r="I40" i="3"/>
  <c r="H40" i="3"/>
  <c r="G40" i="3"/>
  <c r="F40" i="3"/>
  <c r="E40" i="3"/>
  <c r="D40" i="3"/>
  <c r="C40" i="3"/>
  <c r="B40" i="3"/>
  <c r="K40" i="3"/>
  <c r="B32" i="3"/>
  <c r="K32" i="3"/>
  <c r="J32" i="3"/>
  <c r="I32" i="3"/>
  <c r="H32" i="3"/>
  <c r="G32" i="3"/>
  <c r="F32" i="3"/>
  <c r="E32" i="3"/>
  <c r="D32" i="3"/>
  <c r="C32" i="3"/>
  <c r="B17" i="3"/>
  <c r="J17" i="3"/>
  <c r="H17" i="3"/>
  <c r="G17" i="3"/>
  <c r="F17" i="3"/>
  <c r="E17" i="3"/>
  <c r="D17" i="3"/>
  <c r="K17" i="3"/>
  <c r="I17" i="3"/>
  <c r="C17" i="3"/>
  <c r="J19" i="3"/>
  <c r="H19" i="3"/>
  <c r="F19" i="3"/>
  <c r="E19" i="3"/>
  <c r="D19" i="3"/>
  <c r="C19" i="3"/>
  <c r="B19" i="3"/>
  <c r="K19" i="3"/>
  <c r="I19" i="3"/>
  <c r="G19" i="3"/>
  <c r="F24" i="3"/>
  <c r="D24" i="3"/>
  <c r="C24" i="3"/>
  <c r="B24" i="3"/>
  <c r="K24" i="3"/>
  <c r="J24" i="3"/>
  <c r="I24" i="3"/>
  <c r="H24" i="3"/>
  <c r="E24" i="3"/>
  <c r="G24" i="3"/>
  <c r="K46" i="3"/>
  <c r="J46" i="3"/>
  <c r="E46" i="3"/>
  <c r="B46" i="3"/>
  <c r="I46" i="3"/>
  <c r="H46" i="3"/>
  <c r="G46" i="3"/>
  <c r="F46" i="3"/>
  <c r="D46" i="3"/>
  <c r="C46" i="3"/>
  <c r="G60" i="3"/>
  <c r="F60" i="3"/>
  <c r="D60" i="3"/>
  <c r="C60" i="3"/>
  <c r="I60" i="3"/>
  <c r="H60" i="3"/>
  <c r="E60" i="3"/>
  <c r="B60" i="3"/>
  <c r="K60" i="3"/>
  <c r="J60" i="3"/>
  <c r="E8" i="1" l="1"/>
  <c r="E4" i="1"/>
  <c r="E9" i="1"/>
</calcChain>
</file>

<file path=xl/sharedStrings.xml><?xml version="1.0" encoding="utf-8"?>
<sst xmlns="http://schemas.openxmlformats.org/spreadsheetml/2006/main" count="2794" uniqueCount="692">
  <si>
    <t>Estado</t>
  </si>
  <si>
    <t>Plantilla V4 lista</t>
  </si>
  <si>
    <t>Indicadores (se llenarán automáticamente)</t>
  </si>
  <si>
    <t>Líder</t>
  </si>
  <si>
    <t>Partidos</t>
  </si>
  <si>
    <t>✓</t>
  </si>
  <si>
    <t>Top Goleador</t>
  </si>
  <si>
    <t>Tabla de Posiciones</t>
  </si>
  <si>
    <t>Top Asistente</t>
  </si>
  <si>
    <t>Jugadores</t>
  </si>
  <si>
    <t>Top Remates al Arco</t>
  </si>
  <si>
    <t>Estadísticas Jugadores</t>
  </si>
  <si>
    <t>Equipo más goleador</t>
  </si>
  <si>
    <t>Goleadores</t>
  </si>
  <si>
    <t>Equipo mejor defensa</t>
  </si>
  <si>
    <t>Asistencias</t>
  </si>
  <si>
    <t>Remates al Arco</t>
  </si>
  <si>
    <t>Fecha</t>
  </si>
  <si>
    <t>Jornada</t>
  </si>
  <si>
    <t>Local</t>
  </si>
  <si>
    <t>Visitante</t>
  </si>
  <si>
    <t>Goles L</t>
  </si>
  <si>
    <t>Goles V</t>
  </si>
  <si>
    <t>Goles HT L</t>
  </si>
  <si>
    <t>Goles HT V</t>
  </si>
  <si>
    <t>xG L</t>
  </si>
  <si>
    <t>xG V</t>
  </si>
  <si>
    <t>Remates L</t>
  </si>
  <si>
    <t>Remates V</t>
  </si>
  <si>
    <t>Remates Arco L</t>
  </si>
  <si>
    <t>Remates Arco V</t>
  </si>
  <si>
    <t>Posesión L</t>
  </si>
  <si>
    <t>Posesión V</t>
  </si>
  <si>
    <t>Corners L</t>
  </si>
  <si>
    <t>Corners V</t>
  </si>
  <si>
    <t>Portero L</t>
  </si>
  <si>
    <t>Atajadas L</t>
  </si>
  <si>
    <t>Portero V</t>
  </si>
  <si>
    <t>Atajadas V</t>
  </si>
  <si>
    <t>Aux: N° partido Local</t>
  </si>
  <si>
    <t>Aux: N° partido Visit</t>
  </si>
  <si>
    <t>Aux: Clave Local</t>
  </si>
  <si>
    <t>Aux: Clave Visit</t>
  </si>
  <si>
    <t>Aux: nuevo Local?</t>
  </si>
  <si>
    <t>Aux: nuevo Visit?</t>
  </si>
  <si>
    <t>Aux: seq Local</t>
  </si>
  <si>
    <t>Aux: seq Visit</t>
  </si>
  <si>
    <t>Aux: clave equipo Local</t>
  </si>
  <si>
    <t>Aux: clave equipo Visit</t>
  </si>
  <si>
    <t>Rojas Local</t>
  </si>
  <si>
    <t>Expulsados Local (jugador y minuto)</t>
  </si>
  <si>
    <t>Rojas Visita</t>
  </si>
  <si>
    <t>Expulsados Visita (jugador y minuto)</t>
  </si>
  <si>
    <t>FC Cajamarca</t>
  </si>
  <si>
    <t>Juan Pablo II</t>
  </si>
  <si>
    <t>Sporting Cristal</t>
  </si>
  <si>
    <t>Deportivo Garcilaso</t>
  </si>
  <si>
    <t>Cienciano</t>
  </si>
  <si>
    <t>Melgar</t>
  </si>
  <si>
    <t>Moquegua</t>
  </si>
  <si>
    <t>Comerciantes Unidos</t>
  </si>
  <si>
    <t>AD Tarma</t>
  </si>
  <si>
    <t>Universitario</t>
  </si>
  <si>
    <t>Pos</t>
  </si>
  <si>
    <t>Equipo</t>
  </si>
  <si>
    <t>PJ</t>
  </si>
  <si>
    <t>PG</t>
  </si>
  <si>
    <t>PE</t>
  </si>
  <si>
    <t>PP</t>
  </si>
  <si>
    <t>GF</t>
  </si>
  <si>
    <t>GC</t>
  </si>
  <si>
    <t>DG</t>
  </si>
  <si>
    <t>PTS</t>
  </si>
  <si>
    <t>Últimos 5</t>
  </si>
  <si>
    <t>Aux: últimos 5 (no editar)</t>
  </si>
  <si>
    <t>CALC (no editar)</t>
  </si>
  <si>
    <t>Equipo Actual</t>
  </si>
  <si>
    <t>Jugador</t>
  </si>
  <si>
    <t>Posición</t>
  </si>
  <si>
    <t>Arrasco Mauricio</t>
  </si>
  <si>
    <t>Enciso Sebastian</t>
  </si>
  <si>
    <t>Palacios Brandon</t>
  </si>
  <si>
    <t>Reyna Lea Paolo Alessandro</t>
  </si>
  <si>
    <t>Torres Josue</t>
  </si>
  <si>
    <t>Leguizamón Nicolás</t>
  </si>
  <si>
    <t>Alvino Josue</t>
  </si>
  <si>
    <t>Perez Valencia Luis Felipe</t>
  </si>
  <si>
    <t>Canela Torres Jeremy Jorge</t>
  </si>
  <si>
    <t>Arias Fierro Santiago Daniel</t>
  </si>
  <si>
    <t>Barreto Gerson</t>
  </si>
  <si>
    <t>Souza Espana Cristian</t>
  </si>
  <si>
    <t>Hohberg Alejandro</t>
  </si>
  <si>
    <t>Lazo Matias</t>
  </si>
  <si>
    <t>Caceres Jefferson</t>
  </si>
  <si>
    <t>Cuesta Bernardo</t>
  </si>
  <si>
    <t>Quagliata Nicolas</t>
  </si>
  <si>
    <t>Vidales Johnny</t>
  </si>
  <si>
    <t>Valera Alex</t>
  </si>
  <si>
    <t>Tavara Martin</t>
  </si>
  <si>
    <t>Vilca Rodrigo</t>
  </si>
  <si>
    <t>Carpio Ferro Mathias Petter</t>
  </si>
  <si>
    <t>Herrera Josuee</t>
  </si>
  <si>
    <t>Sen Matias</t>
  </si>
  <si>
    <t>Davila Allonso</t>
  </si>
  <si>
    <t>Lastre Edgar</t>
  </si>
  <si>
    <t>Zapata Yorman</t>
  </si>
  <si>
    <t>Rival</t>
  </si>
  <si>
    <t>Local/Visitante</t>
  </si>
  <si>
    <t>Titular</t>
  </si>
  <si>
    <t>Minutos</t>
  </si>
  <si>
    <t>Goles</t>
  </si>
  <si>
    <t>Remates</t>
  </si>
  <si>
    <t>Sí</t>
  </si>
  <si>
    <t>No</t>
  </si>
  <si>
    <t>Necaxa</t>
  </si>
  <si>
    <t>Atlante</t>
  </si>
  <si>
    <t>Tijuana</t>
  </si>
  <si>
    <t>Tigres UANL</t>
  </si>
  <si>
    <t>León</t>
  </si>
  <si>
    <t>Atlas</t>
  </si>
  <si>
    <t>Atlético de San Luis</t>
  </si>
  <si>
    <t>Cruz Azul</t>
  </si>
  <si>
    <t>Juárez</t>
  </si>
  <si>
    <t>Puebla</t>
  </si>
  <si>
    <t>Pumas UNAM</t>
  </si>
  <si>
    <t>Pachuca</t>
  </si>
  <si>
    <t>Monterrey</t>
  </si>
  <si>
    <t>Santos Laguna</t>
  </si>
  <si>
    <t>Guadalajara</t>
  </si>
  <si>
    <t>Toluca</t>
  </si>
  <si>
    <t>Querétaro</t>
  </si>
  <si>
    <t>Club América</t>
  </si>
  <si>
    <t>Aguirre Rodrigo (45+1')</t>
  </si>
  <si>
    <t>Cambindo Abonia Diber Armando (42')</t>
  </si>
  <si>
    <t>Moreno Iker (64')</t>
  </si>
  <si>
    <t>Sepúlveda Ángel Baltazar (50')</t>
  </si>
  <si>
    <t>Cervantes Martin del Campo Alan Jhosue (88')</t>
  </si>
  <si>
    <t>Camacho Cesar</t>
  </si>
  <si>
    <t>Eulogio Jose</t>
  </si>
  <si>
    <t>Moreno Carlos</t>
  </si>
  <si>
    <t>Portero</t>
  </si>
  <si>
    <t>Barreto Sergio Damian</t>
  </si>
  <si>
    <t>Berlanga Jorge</t>
  </si>
  <si>
    <t>Collazo David</t>
  </si>
  <si>
    <t>Eduardo Bauermann</t>
  </si>
  <si>
    <t>Gamez Juan</t>
  </si>
  <si>
    <t>Isais Mauricio</t>
  </si>
  <si>
    <t>Lopez Abutro Rene</t>
  </si>
  <si>
    <t>Mozo Alan</t>
  </si>
  <si>
    <t>Sanchez Carlos</t>
  </si>
  <si>
    <t>Sánchez Moñino Edwin</t>
  </si>
  <si>
    <t>Venegas Moreno Francisco Eduardo</t>
  </si>
  <si>
    <t>Defensa</t>
  </si>
  <si>
    <t>Alvarez Gaël</t>
  </si>
  <si>
    <t>Bautista Alan</t>
  </si>
  <si>
    <t>Contreras Ari</t>
  </si>
  <si>
    <t>Montiel Elias</t>
  </si>
  <si>
    <t>Pizarro Rodolfo</t>
  </si>
  <si>
    <t>Rivera Christian</t>
  </si>
  <si>
    <t>Rodriguez Sergio</t>
  </si>
  <si>
    <t>Alcaraz Adrián</t>
  </si>
  <si>
    <t>Dominguez Alexei</t>
  </si>
  <si>
    <t>Hernandez Cristobal</t>
  </si>
  <si>
    <t>Hernández Illian</t>
  </si>
  <si>
    <t>Idrissi Oussama</t>
  </si>
  <si>
    <t>Kenedy</t>
  </si>
  <si>
    <t>Mendez Daniel</t>
  </si>
  <si>
    <t>Ramirez Jonatan</t>
  </si>
  <si>
    <t>Rondón Salomon</t>
  </si>
  <si>
    <t>Vallejo Nicolas</t>
  </si>
  <si>
    <t>Delantero</t>
  </si>
  <si>
    <t>Activo</t>
  </si>
  <si>
    <t>Hernández Jorge</t>
  </si>
  <si>
    <t>Rodríguez Antonio</t>
  </si>
  <si>
    <t>Bilbao Arteta Unai</t>
  </si>
  <si>
    <t>Cordero Vega Alan</t>
  </si>
  <si>
    <t>Fernández Rafael</t>
  </si>
  <si>
    <t>Gomez Alejandro</t>
  </si>
  <si>
    <t>Manzanarez Oscar</t>
  </si>
  <si>
    <t>Ortiz Orozco Pablo Nicolas</t>
  </si>
  <si>
    <t>Porozo Jackson</t>
  </si>
  <si>
    <t>Arciga Ramiro</t>
  </si>
  <si>
    <t>Boya Frank</t>
  </si>
  <si>
    <t>Escamilla Kevin</t>
  </si>
  <si>
    <t>Gonzalez Joban</t>
  </si>
  <si>
    <t>Mora Gilberto</t>
  </si>
  <si>
    <t>Orduno Jesús</t>
  </si>
  <si>
    <t>Padilla German</t>
  </si>
  <si>
    <t>Padilla Nanitamo</t>
  </si>
  <si>
    <t>Perez Aldahir</t>
  </si>
  <si>
    <t>Preciado Quintero Adonis Stalin</t>
  </si>
  <si>
    <t>Rivero Ignacio</t>
  </si>
  <si>
    <t>Tona Ivan</t>
  </si>
  <si>
    <t>Zapata Angel</t>
  </si>
  <si>
    <t>Centrocampista</t>
  </si>
  <si>
    <t>Abreu Diego</t>
  </si>
  <si>
    <t>El Ghezouani Mourad</t>
  </si>
  <si>
    <t>Leyva Christian</t>
  </si>
  <si>
    <t>Magallon Alejandro</t>
  </si>
  <si>
    <t>Martinez Josef</t>
  </si>
  <si>
    <t>Garcia Palomera Luis Manuel</t>
  </si>
  <si>
    <t>Gonzalez Duran Hugo Alfonso</t>
  </si>
  <si>
    <t>Aceves Sebastian</t>
  </si>
  <si>
    <t>Barbosa Diego</t>
  </si>
  <si>
    <t>Briseno Antonio</t>
  </si>
  <si>
    <t>Bruno Méndez</t>
  </si>
  <si>
    <t>Gallardo Jesus</t>
  </si>
  <si>
    <t>Garcia Caprizo Brian Alberto</t>
  </si>
  <si>
    <t>Luan</t>
  </si>
  <si>
    <t>Orta Erick</t>
  </si>
  <si>
    <t>Pereira Federico</t>
  </si>
  <si>
    <t>Simon Santiago</t>
  </si>
  <si>
    <t>del Villar Everardo</t>
  </si>
  <si>
    <t>Angulo Jesus</t>
  </si>
  <si>
    <t>Arce Juarez Fernando David</t>
  </si>
  <si>
    <t>Castro Nicolas</t>
  </si>
  <si>
    <t>Gutiérrez Érick</t>
  </si>
  <si>
    <t>Guzmán Víctor Alfonso</t>
  </si>
  <si>
    <t>Navarrete Luis</t>
  </si>
  <si>
    <t>Romero Franco</t>
  </si>
  <si>
    <t>Ruiz Marcel</t>
  </si>
  <si>
    <t>Alvarez Alek</t>
  </si>
  <si>
    <t>Carrillo Carlos</t>
  </si>
  <si>
    <t>Diaz Price Jorge</t>
  </si>
  <si>
    <t>Estrada Jose</t>
  </si>
  <si>
    <t>Helinho</t>
  </si>
  <si>
    <t>Paulinho</t>
  </si>
  <si>
    <t>Pérez Pavel</t>
  </si>
  <si>
    <t>Rossi Franco</t>
  </si>
  <si>
    <t>Vega Alexis</t>
  </si>
  <si>
    <t>Virgen Oswaldo</t>
  </si>
  <si>
    <t>Cardenas Luis</t>
  </si>
  <si>
    <t>Cuneo Kevin</t>
  </si>
  <si>
    <t>Mele Santiago</t>
  </si>
  <si>
    <t>Perez Santiago</t>
  </si>
  <si>
    <t>Ramos Cesar</t>
  </si>
  <si>
    <t>Aceves Alonso</t>
  </si>
  <si>
    <t>Aguirre Erick</t>
  </si>
  <si>
    <t>Arteaga Gerardo</t>
  </si>
  <si>
    <t>Bustos Cesar</t>
  </si>
  <si>
    <t>Casillas Javier</t>
  </si>
  <si>
    <t>Chavez Ricardo</t>
  </si>
  <si>
    <t>Frayde Carlos</t>
  </si>
  <si>
    <t>Garcia Diego</t>
  </si>
  <si>
    <t>Guzman Victor</t>
  </si>
  <si>
    <t>Medina Stefan</t>
  </si>
  <si>
    <t>Reyes Luis</t>
  </si>
  <si>
    <t>Salcedo Carlos</t>
  </si>
  <si>
    <t>Ambriz Fidel</t>
  </si>
  <si>
    <t>Dominguez Joel</t>
  </si>
  <si>
    <t>Fimbres Iker</t>
  </si>
  <si>
    <t>Galvez Omar</t>
  </si>
  <si>
    <t>Garza Cesar</t>
  </si>
  <si>
    <t>Pineda Orbelín</t>
  </si>
  <si>
    <t>Reyes Bermudez Cristian Isaac</t>
  </si>
  <si>
    <t>Rodriguez Jorge</t>
  </si>
  <si>
    <t>Rodriguez Sebastian</t>
  </si>
  <si>
    <t>Rojas Allen</t>
  </si>
  <si>
    <t>Torres Óliver</t>
  </si>
  <si>
    <t>Urias Alejandro</t>
  </si>
  <si>
    <t>Corona Jesús Manuel</t>
  </si>
  <si>
    <t>Djurdjevic Uros</t>
  </si>
  <si>
    <t>Ocampos Lucas</t>
  </si>
  <si>
    <t>Orellano Luca</t>
  </si>
  <si>
    <t>Rossi Diego</t>
  </si>
  <si>
    <t>de la Rosa Roberto</t>
  </si>
  <si>
    <t>Gudino Portillo Andres Guillermo</t>
  </si>
  <si>
    <t>Mier Kevin</t>
  </si>
  <si>
    <t>Ochoa Emmanuel</t>
  </si>
  <si>
    <t>Salgado Bruno</t>
  </si>
  <si>
    <t>Campos Omar</t>
  </si>
  <si>
    <t>Diaz Josue</t>
  </si>
  <si>
    <t>Ditta Willer</t>
  </si>
  <si>
    <t>Jimenez Cristian</t>
  </si>
  <si>
    <t>Montes Alan</t>
  </si>
  <si>
    <t>Orozco Jesus</t>
  </si>
  <si>
    <t>Piovi Gonzalo</t>
  </si>
  <si>
    <t>Ramirez Diego</t>
  </si>
  <si>
    <t>Rodarte Jorge</t>
  </si>
  <si>
    <t>Rubio Raymundo</t>
  </si>
  <si>
    <t>Garcia Amaury</t>
  </si>
  <si>
    <t>Gonzalez Rogelio</t>
  </si>
  <si>
    <t>León Cristhian</t>
  </si>
  <si>
    <t>Lira Erik</t>
  </si>
  <si>
    <t>Martínez Ariel</t>
  </si>
  <si>
    <t>Montano Andres</t>
  </si>
  <si>
    <t>Márquez Jeremy</t>
  </si>
  <si>
    <t>Palavecino Agustin</t>
  </si>
  <si>
    <t>Paradela Jose</t>
  </si>
  <si>
    <t>Ramirez Jacobo</t>
  </si>
  <si>
    <t>Rodriguez Carlos</t>
  </si>
  <si>
    <t>Sanchez Emmanuel</t>
  </si>
  <si>
    <t>Silva Ivan</t>
  </si>
  <si>
    <t>Valdez Diego</t>
  </si>
  <si>
    <t>Velázquez Karol</t>
  </si>
  <si>
    <t>Calero Juan</t>
  </si>
  <si>
    <t>Ebere Christian</t>
  </si>
  <si>
    <t>Fernández Gabriel</t>
  </si>
  <si>
    <t>Gamboa Bryan</t>
  </si>
  <si>
    <t>Ibáñez Nicolás</t>
  </si>
  <si>
    <t>Levy Mateo</t>
  </si>
  <si>
    <t>Morales Amaury</t>
  </si>
  <si>
    <t>Romero Luka</t>
  </si>
  <si>
    <t>Rotondi Carlos</t>
  </si>
  <si>
    <t>Hernandez Luis</t>
  </si>
  <si>
    <t>Sanchez Antonio</t>
  </si>
  <si>
    <t>Vargas Camilo</t>
  </si>
  <si>
    <t>Aguirre Ledesma Gaddi</t>
  </si>
  <si>
    <t>Capasso Manuel</t>
  </si>
  <si>
    <t>Gustavo Ferrareis</t>
  </si>
  <si>
    <t>Lozano Jose</t>
  </si>
  <si>
    <t>Mora Adrián</t>
  </si>
  <si>
    <t>Pier Roberto</t>
  </si>
  <si>
    <t>San Martin Jorge</t>
  </si>
  <si>
    <t>Schlegel Rodrigo</t>
  </si>
  <si>
    <t>Sánchez Jorge</t>
  </si>
  <si>
    <t>Valenzuela Milton</t>
  </si>
  <si>
    <t>Blanco Luis</t>
  </si>
  <si>
    <t>Esteves Luis</t>
  </si>
  <si>
    <t>Guillen Jesús</t>
  </si>
  <si>
    <t>Hernandez Sergio</t>
  </si>
  <si>
    <t>Ramirez Paulo</t>
  </si>
  <si>
    <t>Rios De Alba Victor Hugo</t>
  </si>
  <si>
    <t>Rocha Aldo</t>
  </si>
  <si>
    <t>Serrato Jesus</t>
  </si>
  <si>
    <t>Zaldivar Valverde Edgar</t>
  </si>
  <si>
    <t>Duk</t>
  </si>
  <si>
    <t>Gamboa Luis</t>
  </si>
  <si>
    <t>García Mateo Ezequiel</t>
  </si>
  <si>
    <t>Gonzalez Arturo</t>
  </si>
  <si>
    <t>Martin Jose</t>
  </si>
  <si>
    <t>Mmaee Ryan</t>
  </si>
  <si>
    <t>Rodriguez Agustin</t>
  </si>
  <si>
    <t>del Prete Gustavo</t>
  </si>
  <si>
    <t>Andrade Christopher</t>
  </si>
  <si>
    <t>Jimenez Luis</t>
  </si>
  <si>
    <t>Alonso Ricardo</t>
  </si>
  <si>
    <t>Martinez Emilio</t>
  </si>
  <si>
    <t>Martinez Raul</t>
  </si>
  <si>
    <t>Mendez Francisco</t>
  </si>
  <si>
    <t>Ochoa Diego</t>
  </si>
  <si>
    <t>Oliveros Agustin</t>
  </si>
  <si>
    <t>Pena Alexis</t>
  </si>
  <si>
    <t>Vargas Carlos</t>
  </si>
  <si>
    <t>Zaleta Oropeza Mauro Aldair</t>
  </si>
  <si>
    <t>Cortez Rogelio</t>
  </si>
  <si>
    <t>Espindola Matias</t>
  </si>
  <si>
    <t>Faravelli Lorenzo</t>
  </si>
  <si>
    <t>Ibarra Luis</t>
  </si>
  <si>
    <t>Leyva Danny</t>
  </si>
  <si>
    <t>Moreno Arath</t>
  </si>
  <si>
    <t>Palacios Joshua</t>
  </si>
  <si>
    <t>Pedraza Pedro</t>
  </si>
  <si>
    <t>Ruiz Javier</t>
  </si>
  <si>
    <t>Tello Israel</t>
  </si>
  <si>
    <t>Torres Patino Juan Pablo</t>
  </si>
  <si>
    <t>Carranza Julian</t>
  </si>
  <si>
    <t>Marquez Gomez Daniel</t>
  </si>
  <si>
    <t>Monreal Ricardo</t>
  </si>
  <si>
    <t>Pedroza Misael</t>
  </si>
  <si>
    <t>Rodriguez Emilio</t>
  </si>
  <si>
    <t>Rosero Kevin</t>
  </si>
  <si>
    <t>Valencia Juan</t>
  </si>
  <si>
    <t>Cota Rodolfo</t>
  </si>
  <si>
    <t>Lugo Cesar</t>
  </si>
  <si>
    <t>Malagon Luis</t>
  </si>
  <si>
    <t>Tapia Fernando</t>
  </si>
  <si>
    <t>Alvarez Kevin</t>
  </si>
  <si>
    <t>Araujo Munoz Andres Marioni</t>
  </si>
  <si>
    <t>Borja Cristian</t>
  </si>
  <si>
    <t>Caceres Sebastian</t>
  </si>
  <si>
    <t>Espinosa Dovat Thiago Nahuel</t>
  </si>
  <si>
    <t>Espinoza Dagoberto</t>
  </si>
  <si>
    <t>Juarez Ramon</t>
  </si>
  <si>
    <t>Mejáa Aaron</t>
  </si>
  <si>
    <t>Reyes Israel</t>
  </si>
  <si>
    <t>Rossano Franco</t>
  </si>
  <si>
    <t>Vazquez Miguel</t>
  </si>
  <si>
    <t>Arriaga Diego</t>
  </si>
  <si>
    <t>Cervantes Martin del Campo Alan Jhosue</t>
  </si>
  <si>
    <t>Gutierrez Torres Alexis Hazael</t>
  </si>
  <si>
    <t>Icaro</t>
  </si>
  <si>
    <t>Lima</t>
  </si>
  <si>
    <t>Naveda Santiago</t>
  </si>
  <si>
    <t>Raphael Veiga</t>
  </si>
  <si>
    <t>Rodrigo Dourado</t>
  </si>
  <si>
    <t>Sánchez Erick</t>
  </si>
  <si>
    <t>dos Santos Jonathan</t>
  </si>
  <si>
    <t>Cárdenas Alejandro</t>
  </si>
  <si>
    <t>Davila Victor</t>
  </si>
  <si>
    <t>Lozano Esteban</t>
  </si>
  <si>
    <t>Martin Henry</t>
  </si>
  <si>
    <t>Rodriguez Brian</t>
  </si>
  <si>
    <t>Salas Patricio</t>
  </si>
  <si>
    <t>Violante Isaias</t>
  </si>
  <si>
    <t>Zendejas Alex</t>
  </si>
  <si>
    <t>Zúñiga Jose</t>
  </si>
  <si>
    <t>Gutierrez Daniel</t>
  </si>
  <si>
    <t>Rodríguez Jesus Ivan</t>
  </si>
  <si>
    <t>Almada Facundo Ezequiel</t>
  </si>
  <si>
    <t>Leyva Angel</t>
  </si>
  <si>
    <t>Moreno Iker</t>
  </si>
  <si>
    <t>Navarro Eduardo</t>
  </si>
  <si>
    <t>Pachuca Martinez Jose Rodrigo</t>
  </si>
  <si>
    <t>Vargas Juan</t>
  </si>
  <si>
    <t>Villa Oscar</t>
  </si>
  <si>
    <t>Baltazar Carlos</t>
  </si>
  <si>
    <t>Castillo Raul</t>
  </si>
  <si>
    <t>Gonzalez Owen</t>
  </si>
  <si>
    <t>Herrera Alberto</t>
  </si>
  <si>
    <t>Lucas Camilo</t>
  </si>
  <si>
    <t>Organista Orozco Alejandro</t>
  </si>
  <si>
    <t>Ramirez Alonso</t>
  </si>
  <si>
    <t>Sanabria Sergio</t>
  </si>
  <si>
    <t>Tomas Mathias</t>
  </si>
  <si>
    <t>de la Rosa Alvaro</t>
  </si>
  <si>
    <t>Garnica Brayan</t>
  </si>
  <si>
    <t>Gomez Emiliano</t>
  </si>
  <si>
    <t>Hernández Luifer</t>
  </si>
  <si>
    <t>Maestro Ignacio</t>
  </si>
  <si>
    <t>Monarrez Ochoa Fernando</t>
  </si>
  <si>
    <t>Moreno Villegas Omar Fernando</t>
  </si>
  <si>
    <t>Mustre Eduardo</t>
  </si>
  <si>
    <t>Perez Arez</t>
  </si>
  <si>
    <t>Velasco Kevin</t>
  </si>
  <si>
    <t>Acevedo Carlos</t>
  </si>
  <si>
    <t>Holguin Hector</t>
  </si>
  <si>
    <t>Abella Jose</t>
  </si>
  <si>
    <t>Amione Bruno</t>
  </si>
  <si>
    <t>Cuevas Mauricio</t>
  </si>
  <si>
    <t>Echeverria Emmanuel</t>
  </si>
  <si>
    <t>Echilvestre Juan</t>
  </si>
  <si>
    <t>Orona Zavala Efrain</t>
  </si>
  <si>
    <t>Pardo Franco</t>
  </si>
  <si>
    <t>Perez Jonathan</t>
  </si>
  <si>
    <t>Picon Kevin</t>
  </si>
  <si>
    <t>Sanchez Filipe</t>
  </si>
  <si>
    <t>Bullaude Ezequiel</t>
  </si>
  <si>
    <t>Cedillo Nelson</t>
  </si>
  <si>
    <t>Gomez Luis</t>
  </si>
  <si>
    <t>Gruezo Carlos</t>
  </si>
  <si>
    <t>Guemez Javier</t>
  </si>
  <si>
    <t>López Aldo</t>
  </si>
  <si>
    <t>Mancha Joshua</t>
  </si>
  <si>
    <t>Mariscal Murra Salvador</t>
  </si>
  <si>
    <t>Ulloa Jose</t>
  </si>
  <si>
    <t>Villalba Francisco</t>
  </si>
  <si>
    <t>Aguirre Eduardo</t>
  </si>
  <si>
    <t>Di Yorio Lucas</t>
  </si>
  <si>
    <t>Gonzalez Diego</t>
  </si>
  <si>
    <t>Jimenez Tahiel</t>
  </si>
  <si>
    <t>Medina Diego</t>
  </si>
  <si>
    <t>Palacios Kevin</t>
  </si>
  <si>
    <t>Sordo Ramiro</t>
  </si>
  <si>
    <t>Vuoso Lucca</t>
  </si>
  <si>
    <t>Lajud Manuel Gibran</t>
  </si>
  <si>
    <t>Sanchez Andres</t>
  </si>
  <si>
    <t>Aguila Eduardo</t>
  </si>
  <si>
    <t>Carrillo Luis</t>
  </si>
  <si>
    <t>Cruz Aldo</t>
  </si>
  <si>
    <t>Domínguez Julio Cesar</t>
  </si>
  <si>
    <t>Galindo Cruz Benjamin</t>
  </si>
  <si>
    <t>Juanpe</t>
  </si>
  <si>
    <t>Lucas Esteves</t>
  </si>
  <si>
    <t>Robson Bambu</t>
  </si>
  <si>
    <t>Suarez Javier</t>
  </si>
  <si>
    <t>Torres Acosta Roman</t>
  </si>
  <si>
    <t>Galdames Benjamin</t>
  </si>
  <si>
    <t>Garcia Miguel</t>
  </si>
  <si>
    <t>Macias Oscar</t>
  </si>
  <si>
    <t>Meraz Roberto</t>
  </si>
  <si>
    <t>Ortega Kevin</t>
  </si>
  <si>
    <t>Perez Sebastian</t>
  </si>
  <si>
    <t>Reyes Angel</t>
  </si>
  <si>
    <t>Rodriguez David</t>
  </si>
  <si>
    <t>Salles-Lamonge Sebastien</t>
  </si>
  <si>
    <t>Duarte Anderson</t>
  </si>
  <si>
    <t>Flores Leonardo</t>
  </si>
  <si>
    <t>Joao Pedro Galvao</t>
  </si>
  <si>
    <t>Llorente Rafa</t>
  </si>
  <si>
    <t>Medina Jesus</t>
  </si>
  <si>
    <t>Muñoz Santiago</t>
  </si>
  <si>
    <t>Najera Ronaldo</t>
  </si>
  <si>
    <t>Garcia Jordan</t>
  </si>
  <si>
    <t>Garcia Oscar</t>
  </si>
  <si>
    <t>Barreiro Stiven</t>
  </si>
  <si>
    <t>Bellon Paul</t>
  </si>
  <si>
    <t>Colula Bryan</t>
  </si>
  <si>
    <t>Gauthier Valentin</t>
  </si>
  <si>
    <t>Guevara Juan</t>
  </si>
  <si>
    <t>Mora Christopher</t>
  </si>
  <si>
    <t>Ramirez David</t>
  </si>
  <si>
    <t>Reyes Salvador</t>
  </si>
  <si>
    <t>Romana Jhohan</t>
  </si>
  <si>
    <t>Vegas Sebastian</t>
  </si>
  <si>
    <t>Villegas Abraham</t>
  </si>
  <si>
    <t>Arcila Daniel</t>
  </si>
  <si>
    <t>Beltran Cruz Fernando</t>
  </si>
  <si>
    <t>Dominguez Chonteco Juan Pablo</t>
  </si>
  <si>
    <t>Echeverria Rodrigo</t>
  </si>
  <si>
    <t>Estrada Angel</t>
  </si>
  <si>
    <t>Lara Jesús</t>
  </si>
  <si>
    <t>Rodriguez Ivan</t>
  </si>
  <si>
    <t>Santos Sebastian</t>
  </si>
  <si>
    <t>Valadez Luis</t>
  </si>
  <si>
    <t>Alvarado Alfonso</t>
  </si>
  <si>
    <t>Cambindo Abonia Diber Armando</t>
  </si>
  <si>
    <t>Cortizo Jordi</t>
  </si>
  <si>
    <t>Diaz Ismael</t>
  </si>
  <si>
    <t>Funes Mori Rogelio</t>
  </si>
  <si>
    <t>Guerra Edgar</t>
  </si>
  <si>
    <t>Moreno Ivan</t>
  </si>
  <si>
    <t>Barragán Roberto</t>
  </si>
  <si>
    <t>Beltran Ronaldo</t>
  </si>
  <si>
    <t>Jimenez Oscar</t>
  </si>
  <si>
    <t>Alfaro Cristobal</t>
  </si>
  <si>
    <t>Bagui Tobar Diogo Osmar</t>
  </si>
  <si>
    <t>Carrera Juan Nicolas</t>
  </si>
  <si>
    <t>Espinoza Emiliano</t>
  </si>
  <si>
    <t>Padilla Axl</t>
  </si>
  <si>
    <t>Portales Walter</t>
  </si>
  <si>
    <t>Sanchez Luis</t>
  </si>
  <si>
    <t>Tercero Mendez Eduardo Santiago</t>
  </si>
  <si>
    <t>Bermudez Christian</t>
  </si>
  <si>
    <t>Clar Walter</t>
  </si>
  <si>
    <t>Escobar Armando</t>
  </si>
  <si>
    <t>Fernández Martin</t>
  </si>
  <si>
    <t>Garcia Pardo Maximiliano</t>
  </si>
  <si>
    <t>Ibarra de la Rosa Javier Eduardo</t>
  </si>
  <si>
    <t>Jhojan Julio</t>
  </si>
  <si>
    <t>Mejia Leonardo</t>
  </si>
  <si>
    <t>Meza Hardy</t>
  </si>
  <si>
    <t>Pizzuto Eugenio</t>
  </si>
  <si>
    <t>Urzua Alejandro</t>
  </si>
  <si>
    <t>Vazquez Octavio</t>
  </si>
  <si>
    <t>Adame Gilberto</t>
  </si>
  <si>
    <t>Calzadilla Luis</t>
  </si>
  <si>
    <t>Charcopa Jairon</t>
  </si>
  <si>
    <t>Coubert Ruben</t>
  </si>
  <si>
    <t>Gonzalez Daniel</t>
  </si>
  <si>
    <t>Jimenez Edgar</t>
  </si>
  <si>
    <t>Moxica Roberto</t>
  </si>
  <si>
    <t>Puente Luis</t>
  </si>
  <si>
    <t>Allison Revuelta Guillermo</t>
  </si>
  <si>
    <t>Hernandez Jose</t>
  </si>
  <si>
    <t>Abascia Lucas</t>
  </si>
  <si>
    <t>Duarte Bayron</t>
  </si>
  <si>
    <t>Parra Daniel</t>
  </si>
  <si>
    <t>Paulo Victor</t>
  </si>
  <si>
    <t>Reyes Diego</t>
  </si>
  <si>
    <t>Villanueva Lopez Carlos Octavio</t>
  </si>
  <si>
    <t>Alcalá Alex</t>
  </si>
  <si>
    <t>Arellano Jesús</t>
  </si>
  <si>
    <t>Cazares Juan</t>
  </si>
  <si>
    <t>Dueñas Erik</t>
  </si>
  <si>
    <t>Garcia Sergio</t>
  </si>
  <si>
    <t>García Carlo</t>
  </si>
  <si>
    <t>Gimenez Enzo Daniel</t>
  </si>
  <si>
    <t>Homenchenko Santiago</t>
  </si>
  <si>
    <t>Madrid Waldo</t>
  </si>
  <si>
    <t>Martinez Juan</t>
  </si>
  <si>
    <t>Parra Bernardo</t>
  </si>
  <si>
    <t>Unjanque Jean</t>
  </si>
  <si>
    <t>Avila Ali</t>
  </si>
  <si>
    <t>Coronel Mateo</t>
  </si>
  <si>
    <t>Perez Eduardo</t>
  </si>
  <si>
    <t>Robles Carlos</t>
  </si>
  <si>
    <t>Robles Juan</t>
  </si>
  <si>
    <t>Diaz Benny</t>
  </si>
  <si>
    <t>Jurado Sebastian</t>
  </si>
  <si>
    <t>Ruiz Guillermo</t>
  </si>
  <si>
    <t>Carmona Luis</t>
  </si>
  <si>
    <t>López Eder</t>
  </si>
  <si>
    <t>Manriquez Jose</t>
  </si>
  <si>
    <t>Mayorga Alejandro</t>
  </si>
  <si>
    <t>Murillo Jesus</t>
  </si>
  <si>
    <t>Nevarez Pulgarin Francisco Javier</t>
  </si>
  <si>
    <t>Ortega Haret</t>
  </si>
  <si>
    <t>Sepulveda Gilberto</t>
  </si>
  <si>
    <t>Aquino Javier</t>
  </si>
  <si>
    <t>Carmona Jan</t>
  </si>
  <si>
    <t>Fulgencio Raymundo</t>
  </si>
  <si>
    <t>Garcia Denzell</t>
  </si>
  <si>
    <t>Godinez Said</t>
  </si>
  <si>
    <t>Guilherme Castilho</t>
  </si>
  <si>
    <t>Martinez Kenneth</t>
  </si>
  <si>
    <t>Martinez Yepez Homer Enrique</t>
  </si>
  <si>
    <t>Monchu</t>
  </si>
  <si>
    <t>Rodriguez Jose</t>
  </si>
  <si>
    <t>Rodriguez Leonardo</t>
  </si>
  <si>
    <t>Romero Lucas</t>
  </si>
  <si>
    <t>Sigala Juan</t>
  </si>
  <si>
    <t>Ayon Ettson</t>
  </si>
  <si>
    <t>Dupuy Luca</t>
  </si>
  <si>
    <t>Estupinan Oscar</t>
  </si>
  <si>
    <t>Madson</t>
  </si>
  <si>
    <t>Ricardinho</t>
  </si>
  <si>
    <t>Torres Ramirez Ian Jairo Misael</t>
  </si>
  <si>
    <t>Carrera Antonio</t>
  </si>
  <si>
    <t>Guzman Nahuel</t>
  </si>
  <si>
    <t>Rodriguez Felipe</t>
  </si>
  <si>
    <t>Farfán Marco</t>
  </si>
  <si>
    <t>Fernández Francisco</t>
  </si>
  <si>
    <t>Franco Alan</t>
  </si>
  <si>
    <t>Garza Jesus</t>
  </si>
  <si>
    <t>Guerrero Rafael</t>
  </si>
  <si>
    <t>Joaquim</t>
  </si>
  <si>
    <t>Lorona Vladimir</t>
  </si>
  <si>
    <t>Ordonez Delgado Fernando Imanol</t>
  </si>
  <si>
    <t>Rodríguez Osvaldo</t>
  </si>
  <si>
    <t>Salazar Bryan</t>
  </si>
  <si>
    <t>Sanchez Purata Juan José</t>
  </si>
  <si>
    <t>Araujo Cesar</t>
  </si>
  <si>
    <t>Correa Ángel</t>
  </si>
  <si>
    <t>Flores Marcelo</t>
  </si>
  <si>
    <t>Galvan Isac</t>
  </si>
  <si>
    <t>Gorriaran Fontes Fernando</t>
  </si>
  <si>
    <t>Romulo</t>
  </si>
  <si>
    <t>Salinas Villarreal Marcelo</t>
  </si>
  <si>
    <t>Sanchez Guevara Diego Alexander</t>
  </si>
  <si>
    <t>Simeone</t>
  </si>
  <si>
    <t>Vigon Cham Juan Pablo</t>
  </si>
  <si>
    <t>Aguirre Rodrigo</t>
  </si>
  <si>
    <t>Brunetta Juan Francisco</t>
  </si>
  <si>
    <t>Galvan Isaias</t>
  </si>
  <si>
    <t>Gignac Andre-Pierre</t>
  </si>
  <si>
    <t>Herrera Ozziel</t>
  </si>
  <si>
    <t>Lainez Diego</t>
  </si>
  <si>
    <t>de Maria Campos Antoino</t>
  </si>
  <si>
    <t>Liceaga Juan</t>
  </si>
  <si>
    <t>Rangel Raul</t>
  </si>
  <si>
    <t>Whalley Oscar</t>
  </si>
  <si>
    <t>Aguirre Daniel</t>
  </si>
  <si>
    <t>Campillo Del Campo Diego</t>
  </si>
  <si>
    <t>Castillo Perez Jose</t>
  </si>
  <si>
    <t>Chavez Angel</t>
  </si>
  <si>
    <t>Gomez Miguel</t>
  </si>
  <si>
    <t>Gonzalez Bryan</t>
  </si>
  <si>
    <t>Ledezma Richard</t>
  </si>
  <si>
    <t>Tapias Miguel</t>
  </si>
  <si>
    <t>Alvarado Roberto</t>
  </si>
  <si>
    <t>Alvarez Efrain</t>
  </si>
  <si>
    <t>Castaneda Kevin</t>
  </si>
  <si>
    <t>Gonzalez Fernando</t>
  </si>
  <si>
    <t>Govea Omar</t>
  </si>
  <si>
    <t>Gutiérrez Brian</t>
  </si>
  <si>
    <t>Inda Samir</t>
  </si>
  <si>
    <t>Mata Hugo</t>
  </si>
  <si>
    <t>Rey Luis</t>
  </si>
  <si>
    <t>Romo Luis</t>
  </si>
  <si>
    <t>Sandoval Santiago</t>
  </si>
  <si>
    <t>Aguayo Sergio</t>
  </si>
  <si>
    <t>Camberos Hugo</t>
  </si>
  <si>
    <t>Carrillo Jordan</t>
  </si>
  <si>
    <t>Gonzalez Armando</t>
  </si>
  <si>
    <t>Latorre Diego</t>
  </si>
  <si>
    <t>Marin Ricardo</t>
  </si>
  <si>
    <t>Pérez Jonathan</t>
  </si>
  <si>
    <t>Sepúlveda Ángel Baltazar</t>
  </si>
  <si>
    <t>Lara Pablo</t>
  </si>
  <si>
    <t>Navas Keylor</t>
  </si>
  <si>
    <t>Paul Miguel</t>
  </si>
  <si>
    <t>Angulo Mosquera Alvaro Anyiver</t>
  </si>
  <si>
    <t>Azuaje Angel</t>
  </si>
  <si>
    <t>Bennevendo Pablo</t>
  </si>
  <si>
    <t>Calderon De Real Cristian Yonathan</t>
  </si>
  <si>
    <t>Duarte Rubén</t>
  </si>
  <si>
    <t>Leone Tony</t>
  </si>
  <si>
    <t>Nathan Silva</t>
  </si>
  <si>
    <t>Ramirez Denis</t>
  </si>
  <si>
    <t>Rivas Jesus</t>
  </si>
  <si>
    <t>Antuna Uriel</t>
  </si>
  <si>
    <t>Arteaga Victor</t>
  </si>
  <si>
    <t>Carranza Kleber</t>
  </si>
  <si>
    <t>Carrasquilla Adalberto</t>
  </si>
  <si>
    <t>Cordova Sebastian</t>
  </si>
  <si>
    <t>Garcia Stanley</t>
  </si>
  <si>
    <t>Lopez Rodrigo</t>
  </si>
  <si>
    <t>Rico Angel</t>
  </si>
  <si>
    <t>Rivas Ulises</t>
  </si>
  <si>
    <t>Trigos Santiago</t>
  </si>
  <si>
    <t>Vite Pedro</t>
  </si>
  <si>
    <t>Juninho</t>
  </si>
  <si>
    <t>Lopez Santiago</t>
  </si>
  <si>
    <t>Martínez Guillermo</t>
  </si>
  <si>
    <t>Medina Alan</t>
  </si>
  <si>
    <t>Morales Robert</t>
  </si>
  <si>
    <t>del Valle Yonathan</t>
  </si>
  <si>
    <t>Leon</t>
  </si>
  <si>
    <t>Atletico de San Luis</t>
  </si>
  <si>
    <t>Juarez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</si>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</sst>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9"/>
      <color rgb="FF808080"/>
      <name val="Cambria"/>
      <charset val="1"/>
    </font>
    <font>
      <i/>
      <sz val="9"/>
      <color rgb="FF808080"/>
      <name val="Cambria"/>
      <charset val="1"/>
    </font>
    <font>
      <b/>
      <sz val="11"/>
      <color rgb="FFFFFFFF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E7E6E6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9" fontId="0" fillId="0" borderId="0" xfId="0" applyNumberFormat="1" applyAlignment="1">
      <alignment horizontal="center"/>
    </xf>
    <xf numFmtId="0" fontId="3" fillId="3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/>
    <xf numFmtId="0" fontId="0" fillId="0" borderId="0" xfId="0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9" fontId="1" fillId="2" borderId="0" xfId="0" applyNumberFormat="1" applyFont="1" applyFill="1" applyAlignment="1">
      <alignment horizontal="center"/>
    </xf>
    <xf numFmtId="9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28" style="7" customWidth="1"/>
    <col min="2" max="2" width="20" style="7" customWidth="1"/>
    <col min="3" max="3" width="10" style="7" customWidth="1"/>
    <col min="4" max="4" width="30" style="7" customWidth="1"/>
    <col min="5" max="5" width="11" style="7" customWidth="1"/>
  </cols>
  <sheetData>
    <row r="1" spans="1:5" ht="15" customHeight="1" x14ac:dyDescent="0.25">
      <c r="A1" s="16" t="s">
        <v>691</v>
      </c>
      <c r="B1" s="1"/>
      <c r="C1" s="1"/>
      <c r="D1" s="1"/>
      <c r="E1" s="1"/>
    </row>
    <row r="3" spans="1:5" ht="15" customHeight="1" x14ac:dyDescent="0.25">
      <c r="A3" t="s">
        <v>0</v>
      </c>
      <c r="B3" t="s">
        <v>1</v>
      </c>
      <c r="D3" t="s">
        <v>2</v>
      </c>
    </row>
    <row r="4" spans="1:5" ht="15" customHeight="1" x14ac:dyDescent="0.25">
      <c r="D4" t="s">
        <v>3</v>
      </c>
      <c r="E4" t="str">
        <f>IF('Tabla Posiciones'!B2="","-",'Tabla Posiciones'!B2)</f>
        <v>Pachuca</v>
      </c>
    </row>
    <row r="5" spans="1:5" ht="15" customHeight="1" x14ac:dyDescent="0.25">
      <c r="A5" t="s">
        <v>4</v>
      </c>
      <c r="B5" t="s">
        <v>5</v>
      </c>
      <c r="D5" t="s">
        <v>6</v>
      </c>
      <c r="E5" t="str">
        <f>IF(Goleadores!$B$2="","-",IF(COUNTIF(Goleadores!$D$2:$D$1501,Goleadores!$D$2)=1,Goleadores!$B$2,IF(COUNTIF(Goleadores!$D$2:$D$1501,Goleadores!$D$2)=2,Goleadores!$B$2&amp;" / "&amp;Goleadores!$B$3,IF(COUNTIF(Goleadores!$D$2:$D$1501,Goleadores!$D$2)=3,Goleadores!$B$2&amp;" / "&amp;Goleadores!$B$3&amp;" / "&amp;Goleadores!$B$4,Goleadores!$B$2&amp;" / "&amp;Goleadores!$B$3&amp;" / "&amp;Goleadores!$B$4&amp;" +"&amp;(COUNTIF(Goleadores!$D$2:$D$1501,Goleadores!$D$2)-3)&amp;" más"))))</f>
        <v>Rondón Salomon / El Ghezouani Mourad / Ocampos Lucas +1 más</v>
      </c>
    </row>
    <row r="6" spans="1:5" ht="15" customHeight="1" x14ac:dyDescent="0.25">
      <c r="A6" t="s">
        <v>7</v>
      </c>
      <c r="B6" t="s">
        <v>5</v>
      </c>
      <c r="D6" t="s">
        <v>8</v>
      </c>
      <c r="E6" t="str">
        <f>IF(Asistencias!$B$2="","-",IF(COUNTIF(Asistencias!$D$2:$D$1501,Asistencias!$D$2)=1,Asistencias!$B$2,IF(COUNTIF(Asistencias!$D$2:$D$1501,Asistencias!$D$2)=2,Asistencias!$B$2&amp;" / "&amp;Asistencias!$B$3,IF(COUNTIF(Asistencias!$D$2:$D$1501,Asistencias!$D$2)=3,Asistencias!$B$2&amp;" / "&amp;Asistencias!$B$3&amp;" / "&amp;Asistencias!$B$4,Asistencias!$B$2&amp;" / "&amp;Asistencias!$B$3&amp;" / "&amp;Asistencias!$B$4&amp;" +"&amp;(COUNTIF(Asistencias!$D$2:$D$1501,Asistencias!$D$2)-3)&amp;" más"))))</f>
        <v>Montiel Elias / Idrissi Oussama / Padilla Nanitamo +14 más</v>
      </c>
    </row>
    <row r="7" spans="1:5" ht="15" customHeight="1" x14ac:dyDescent="0.25">
      <c r="A7" t="s">
        <v>9</v>
      </c>
      <c r="B7" t="s">
        <v>5</v>
      </c>
      <c r="D7" t="s">
        <v>10</v>
      </c>
      <c r="E7" t="str">
        <f>IF('Remates al Arco'!$B$2="","-",IF(COUNTIF('Remates al Arco'!$D$2:$D$1501,'Remates al Arco'!$D$2)=1,'Remates al Arco'!$B$2,IF(COUNTIF('Remates al Arco'!$D$2:$D$1501,'Remates al Arco'!$D$2)=2,'Remates al Arco'!$B$2&amp;" / "&amp;'Remates al Arco'!$B$3,IF(COUNTIF('Remates al Arco'!$D$2:$D$1501,'Remates al Arco'!$D$2)=3,'Remates al Arco'!$B$2&amp;" / "&amp;'Remates al Arco'!$B$3&amp;" / "&amp;'Remates al Arco'!$B$4,'Remates al Arco'!$B$2&amp;" / "&amp;'Remates al Arco'!$B$3&amp;" / "&amp;'Remates al Arco'!$B$4&amp;" +"&amp;(COUNTIF('Remates al Arco'!$D$2:$D$1501,'Remates al Arco'!$D$2)-3)&amp;" más"))))</f>
        <v>Orellano Luca</v>
      </c>
    </row>
    <row r="8" spans="1:5" ht="15" customHeight="1" x14ac:dyDescent="0.25">
      <c r="A8" t="s">
        <v>11</v>
      </c>
      <c r="B8" t="s">
        <v>5</v>
      </c>
      <c r="D8" t="s">
        <v>12</v>
      </c>
      <c r="E8" t="str">
        <f>IF('Tabla Posiciones'!$B$2="","-",IF(COUNTIF('Tabla Posiciones'!$AO$2:$AO$61,1)=1,IFERROR(INDEX('Tabla Posiciones'!$N$2:$N$61,MATCH("GF|1",'Tabla Posiciones'!$AQ$2:$AQ$61,0)),""),IF(COUNTIF('Tabla Posiciones'!$AO$2:$AO$61,1)=2,IFERROR(INDEX('Tabla Posiciones'!$N$2:$N$61,MATCH("GF|1",'Tabla Posiciones'!$AQ$2:$AQ$61,0)),"")&amp;" / "&amp;IFERROR(INDEX('Tabla Posiciones'!$N$2:$N$61,MATCH("GF|2",'Tabla Posiciones'!$AQ$2:$AQ$61,0)),""),IF(COUNTIF('Tabla Posiciones'!$AO$2:$AO$61,1)=3,IFERROR(INDEX('Tabla Posiciones'!$N$2:$N$61,MATCH("GF|1",'Tabla Posiciones'!$AQ$2:$AQ$61,0)),"")&amp;" / "&amp;IFERROR(INDEX('Tabla Posiciones'!$N$2:$N$61,MATCH("GF|2",'Tabla Posiciones'!$AQ$2:$AQ$61,0)),"")&amp;" / "&amp;IFERROR(INDEX('Tabla Posiciones'!$N$2:$N$61,MATCH("GF|3",'Tabla Posiciones'!$AQ$2:$AQ$61,0)),""),IFERROR(INDEX('Tabla Posiciones'!$N$2:$N$61,MATCH("GF|1",'Tabla Posiciones'!$AQ$2:$AQ$61,0)),"")&amp;" / "&amp;IFERROR(INDEX('Tabla Posiciones'!$N$2:$N$61,MATCH("GF|2",'Tabla Posiciones'!$AQ$2:$AQ$61,0)),"")&amp;" / "&amp;IFERROR(INDEX('Tabla Posiciones'!$N$2:$N$61,MATCH("GF|3",'Tabla Posiciones'!$AQ$2:$AQ$61,0)),"")&amp;" +"&amp;(COUNTIF('Tabla Posiciones'!$AO$2:$AO$61,1)-3)&amp;" más"))))</f>
        <v>Tijuana / Atlas / Cruz Azul +2 más</v>
      </c>
    </row>
    <row r="9" spans="1:5" ht="15" customHeight="1" x14ac:dyDescent="0.25">
      <c r="A9" t="s">
        <v>13</v>
      </c>
      <c r="B9" t="s">
        <v>5</v>
      </c>
      <c r="D9" t="s">
        <v>14</v>
      </c>
      <c r="E9" t="str">
        <f>IF('Tabla Posiciones'!$B$2="","-",IF(COUNTIF('Tabla Posiciones'!$AR$2:$AR$61,1)=1,IFERROR(INDEX('Tabla Posiciones'!$N$2:$N$61,MATCH("GC|1",'Tabla Posiciones'!$AT$2:$AT$61,0)),""),IF(COUNTIF('Tabla Posiciones'!$AR$2:$AR$61,1)=2,IFERROR(INDEX('Tabla Posiciones'!$N$2:$N$61,MATCH("GC|1",'Tabla Posiciones'!$AT$2:$AT$61,0)),"")&amp;" / "&amp;IFERROR(INDEX('Tabla Posiciones'!$N$2:$N$61,MATCH("GC|2",'Tabla Posiciones'!$AT$2:$AT$61,0)),""),IF(COUNTIF('Tabla Posiciones'!$AR$2:$AR$61,1)=3,IFERROR(INDEX('Tabla Posiciones'!$N$2:$N$61,MATCH("GC|1",'Tabla Posiciones'!$AT$2:$AT$61,0)),"")&amp;" / "&amp;IFERROR(INDEX('Tabla Posiciones'!$N$2:$N$61,MATCH("GC|2",'Tabla Posiciones'!$AT$2:$AT$61,0)),"")&amp;" / "&amp;IFERROR(INDEX('Tabla Posiciones'!$N$2:$N$61,MATCH("GC|3",'Tabla Posiciones'!$AT$2:$AT$61,0)),""),IFERROR(INDEX('Tabla Posiciones'!$N$2:$N$61,MATCH("GC|1",'Tabla Posiciones'!$AT$2:$AT$61,0)),"")&amp;" / "&amp;IFERROR(INDEX('Tabla Posiciones'!$N$2:$N$61,MATCH("GC|2",'Tabla Posiciones'!$AT$2:$AT$61,0)),"")&amp;" / "&amp;IFERROR(INDEX('Tabla Posiciones'!$N$2:$N$61,MATCH("GC|3",'Tabla Posiciones'!$AT$2:$AT$61,0)),"")&amp;" +"&amp;(COUNTIF('Tabla Posiciones'!$AR$2:$AR$61,1)-3)&amp;" más"))))</f>
        <v>Puebla / Pachuca / Toluca +1 más</v>
      </c>
    </row>
    <row r="10" spans="1:5" ht="15" customHeight="1" x14ac:dyDescent="0.25">
      <c r="A10" t="s">
        <v>15</v>
      </c>
      <c r="B10" t="s">
        <v>5</v>
      </c>
    </row>
    <row r="11" spans="1:5" ht="15" customHeight="1" x14ac:dyDescent="0.25">
      <c r="A11" t="s">
        <v>16</v>
      </c>
      <c r="B11" t="s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401"/>
  <sheetViews>
    <sheetView tabSelected="1" zoomScaleNormal="100" workbookViewId="0">
      <pane ySplit="1" topLeftCell="A2" activePane="bottomLeft" state="frozen"/>
      <selection pane="bottomLeft" activeCell="A11" sqref="A11"/>
    </sheetView>
  </sheetViews>
  <sheetFormatPr baseColWidth="10" defaultColWidth="15.7109375" defaultRowHeight="15" x14ac:dyDescent="0.25"/>
  <cols>
    <col min="1" max="1" width="20.7109375" style="11" customWidth="1"/>
    <col min="2" max="14" width="20.7109375" style="7" customWidth="1"/>
    <col min="15" max="16" width="20.7109375" style="13" customWidth="1"/>
    <col min="17" max="18" width="20.7109375" style="7" customWidth="1"/>
    <col min="19" max="19" width="30.7109375" style="7" customWidth="1"/>
    <col min="20" max="20" width="20.7109375" style="7" customWidth="1"/>
    <col min="21" max="21" width="30.7109375" style="7" customWidth="1"/>
    <col min="22" max="22" width="20.7109375" style="7" customWidth="1"/>
    <col min="23" max="26" width="16" style="7" hidden="1" customWidth="1"/>
    <col min="27" max="32" width="18" style="7" hidden="1" customWidth="1"/>
    <col min="33" max="33" width="20.7109375" style="8" customWidth="1"/>
    <col min="34" max="34" width="40.7109375" style="8" customWidth="1"/>
    <col min="35" max="35" width="20.7109375" style="8" customWidth="1"/>
    <col min="36" max="36" width="40.7109375" style="8" customWidth="1"/>
  </cols>
  <sheetData>
    <row r="1" spans="1:36" ht="15" customHeight="1" x14ac:dyDescent="0.25">
      <c r="A1" s="9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2" t="s">
        <v>31</v>
      </c>
      <c r="P1" s="12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1" t="s">
        <v>49</v>
      </c>
      <c r="AH1" s="1" t="s">
        <v>50</v>
      </c>
      <c r="AI1" s="1" t="s">
        <v>51</v>
      </c>
      <c r="AJ1" s="1" t="s">
        <v>52</v>
      </c>
    </row>
    <row r="2" spans="1:36" ht="15" customHeight="1" x14ac:dyDescent="0.25">
      <c r="A2" s="10">
        <v>46219</v>
      </c>
      <c r="B2" s="8">
        <v>1</v>
      </c>
      <c r="C2" s="8" t="s">
        <v>114</v>
      </c>
      <c r="D2" s="8" t="s">
        <v>115</v>
      </c>
      <c r="E2" s="8">
        <v>2</v>
      </c>
      <c r="F2" s="8">
        <v>1</v>
      </c>
      <c r="G2" s="8">
        <v>0</v>
      </c>
      <c r="H2" s="8">
        <v>0</v>
      </c>
      <c r="I2" s="8">
        <v>2.39</v>
      </c>
      <c r="J2" s="8">
        <v>0.6</v>
      </c>
      <c r="K2" s="8">
        <v>11</v>
      </c>
      <c r="L2" s="8">
        <v>12</v>
      </c>
      <c r="M2" s="8">
        <v>5</v>
      </c>
      <c r="N2" s="8">
        <v>3</v>
      </c>
      <c r="O2" s="14">
        <v>0.64</v>
      </c>
      <c r="P2" s="14">
        <v>0.36</v>
      </c>
      <c r="Q2" s="8">
        <v>11</v>
      </c>
      <c r="R2" s="8">
        <v>5</v>
      </c>
      <c r="S2" s="8" t="s">
        <v>335</v>
      </c>
      <c r="T2" s="8">
        <v>2</v>
      </c>
      <c r="U2" s="8" t="s">
        <v>514</v>
      </c>
      <c r="V2" s="8">
        <v>3</v>
      </c>
      <c r="W2" s="4">
        <f>IF($C2="","",SUMPRODUCT(($C$2:C2=C2)+($D$2:D2=C2)))</f>
        <v>1</v>
      </c>
      <c r="X2" s="4">
        <f>IF($D2="","",SUMPRODUCT(($C$2:C2=D2)+($D$2:D2=D2)))</f>
        <v>1</v>
      </c>
      <c r="Y2" s="4" t="str">
        <f t="shared" ref="Y2:Y65" si="0">IF($C2="","",C2&amp;"|"&amp;W2)</f>
        <v>Necaxa|1</v>
      </c>
      <c r="Z2" s="4" t="str">
        <f t="shared" ref="Z2:Z65" si="1">IF($D2="","",D2&amp;"|"&amp;X2)</f>
        <v>Atlante|1</v>
      </c>
      <c r="AA2" s="4">
        <f>IF($C2="","",IF(COUNTIF($C$1:C1,$C2)+COUNTIF($D$1:D1,$C2)=0,1,0))</f>
        <v>1</v>
      </c>
      <c r="AB2" s="4">
        <f>IF($D2="","",IF(COUNTIF($C$1:C2,$D2)+COUNTIF($D$1:D1,$D2)=0,1,0))</f>
        <v>1</v>
      </c>
      <c r="AC2" s="4">
        <f>IF(AA2=1,SUM($AA$2:AA2)-AA2+SUM($AB$2:AB2)-AB2+1,"")</f>
        <v>1</v>
      </c>
      <c r="AD2" s="4">
        <f>IF(AB2=1,SUM($AA$2:AA2)+SUM($AB$2:AB2)-AB2+1,"")</f>
        <v>2</v>
      </c>
      <c r="AE2" s="4" t="str">
        <f t="shared" ref="AE2:AE65" si="2">IF(AC2="","","TEAM|"&amp;AC2)</f>
        <v>TEAM|1</v>
      </c>
      <c r="AF2" s="4" t="str">
        <f t="shared" ref="AF2:AF65" si="3">IF(AD2="","","TEAM|"&amp;AD2)</f>
        <v>TEAM|2</v>
      </c>
      <c r="AG2" s="8">
        <f t="shared" ref="AG2:AG65" si="4">IF(AH2="",0,LEN(AH2)-LEN(SUBSTITUTE(AH2,"/",""))+1)</f>
        <v>0</v>
      </c>
      <c r="AI2" s="8">
        <f t="shared" ref="AI2:AI65" si="5">IF(AJ2="",0,LEN(AJ2)-LEN(SUBSTITUTE(AJ2,"/",""))+1)</f>
        <v>0</v>
      </c>
    </row>
    <row r="3" spans="1:36" ht="15" customHeight="1" x14ac:dyDescent="0.25">
      <c r="A3" s="10">
        <v>46219</v>
      </c>
      <c r="B3" s="8">
        <v>1</v>
      </c>
      <c r="C3" s="8" t="s">
        <v>116</v>
      </c>
      <c r="D3" s="8" t="s">
        <v>117</v>
      </c>
      <c r="E3" s="8">
        <v>3</v>
      </c>
      <c r="F3" s="8">
        <v>1</v>
      </c>
      <c r="G3" s="8">
        <v>1</v>
      </c>
      <c r="H3" s="8">
        <v>0</v>
      </c>
      <c r="I3" s="8">
        <v>2.0099999999999998</v>
      </c>
      <c r="J3" s="8">
        <v>0.61</v>
      </c>
      <c r="K3" s="8">
        <v>14</v>
      </c>
      <c r="L3" s="8">
        <v>8</v>
      </c>
      <c r="M3" s="8">
        <v>7</v>
      </c>
      <c r="N3" s="8">
        <v>4</v>
      </c>
      <c r="O3" s="14">
        <v>0.51</v>
      </c>
      <c r="P3" s="14">
        <v>0.49</v>
      </c>
      <c r="Q3" s="8">
        <v>1</v>
      </c>
      <c r="R3" s="8">
        <v>4</v>
      </c>
      <c r="S3" s="15" t="s">
        <v>173</v>
      </c>
      <c r="T3" s="8">
        <v>3</v>
      </c>
      <c r="U3" s="8" t="s">
        <v>599</v>
      </c>
      <c r="V3" s="8">
        <v>4</v>
      </c>
      <c r="W3" s="4">
        <f>IF($C3="","",SUMPRODUCT(($C$2:C3=C3)+($D$2:D3=C3)))</f>
        <v>1</v>
      </c>
      <c r="X3" s="4">
        <f>IF($D3="","",SUMPRODUCT(($C$2:C3=D3)+($D$2:D3=D3)))</f>
        <v>1</v>
      </c>
      <c r="Y3" s="4" t="str">
        <f t="shared" si="0"/>
        <v>Tijuana|1</v>
      </c>
      <c r="Z3" s="4" t="str">
        <f t="shared" si="1"/>
        <v>Tigres UANL|1</v>
      </c>
      <c r="AA3" s="4">
        <f>IF($C3="","",IF(COUNTIF($C$1:C2,$C3)+COUNTIF($D$1:D2,$C3)=0,1,0))</f>
        <v>1</v>
      </c>
      <c r="AB3" s="4">
        <f>IF($D3="","",IF(COUNTIF($C$1:C3,$D3)+COUNTIF($D$1:D2,$D3)=0,1,0))</f>
        <v>1</v>
      </c>
      <c r="AC3" s="4">
        <f>IF(AA3=1,SUM($AA$2:AA3)-AA3+SUM($AB$2:AB3)-AB3+1,"")</f>
        <v>3</v>
      </c>
      <c r="AD3" s="4">
        <f>IF(AB3=1,SUM($AA$2:AA3)+SUM($AB$2:AB3)-AB3+1,"")</f>
        <v>4</v>
      </c>
      <c r="AE3" s="4" t="str">
        <f t="shared" si="2"/>
        <v>TEAM|3</v>
      </c>
      <c r="AF3" s="4" t="str">
        <f t="shared" si="3"/>
        <v>TEAM|4</v>
      </c>
      <c r="AG3" s="8">
        <f t="shared" si="4"/>
        <v>0</v>
      </c>
      <c r="AI3" s="8">
        <f t="shared" si="5"/>
        <v>1</v>
      </c>
      <c r="AJ3" s="8" t="s">
        <v>132</v>
      </c>
    </row>
    <row r="4" spans="1:36" ht="15" customHeight="1" x14ac:dyDescent="0.25">
      <c r="A4" s="10">
        <v>46220</v>
      </c>
      <c r="B4" s="8">
        <v>1</v>
      </c>
      <c r="C4" s="8" t="s">
        <v>118</v>
      </c>
      <c r="D4" s="8" t="s">
        <v>119</v>
      </c>
      <c r="E4" s="8">
        <v>2</v>
      </c>
      <c r="F4" s="8">
        <v>3</v>
      </c>
      <c r="G4" s="8">
        <v>1</v>
      </c>
      <c r="H4" s="8">
        <v>1</v>
      </c>
      <c r="I4" s="8">
        <v>1.36</v>
      </c>
      <c r="J4" s="8">
        <v>1.75</v>
      </c>
      <c r="K4" s="8">
        <v>16</v>
      </c>
      <c r="L4" s="8">
        <v>9</v>
      </c>
      <c r="M4" s="8">
        <v>8</v>
      </c>
      <c r="N4" s="8">
        <v>7</v>
      </c>
      <c r="O4" s="14">
        <v>0.46</v>
      </c>
      <c r="P4" s="14">
        <v>0.54</v>
      </c>
      <c r="Q4" s="8">
        <v>6</v>
      </c>
      <c r="R4" s="8">
        <v>2</v>
      </c>
      <c r="S4" s="8" t="s">
        <v>484</v>
      </c>
      <c r="T4" s="8">
        <v>4</v>
      </c>
      <c r="U4" s="8" t="s">
        <v>305</v>
      </c>
      <c r="V4" s="8">
        <v>6</v>
      </c>
      <c r="W4" s="4">
        <f>IF($C4="","",SUMPRODUCT(($C$2:C4=C4)+($D$2:D4=C4)))</f>
        <v>1</v>
      </c>
      <c r="X4" s="4">
        <f>IF($D4="","",SUMPRODUCT(($C$2:C4=D4)+($D$2:D4=D4)))</f>
        <v>1</v>
      </c>
      <c r="Y4" s="4" t="str">
        <f t="shared" si="0"/>
        <v>León|1</v>
      </c>
      <c r="Z4" s="4" t="str">
        <f t="shared" si="1"/>
        <v>Atlas|1</v>
      </c>
      <c r="AA4" s="4">
        <f>IF($C4="","",IF(COUNTIF($C$1:C3,$C4)+COUNTIF($D$1:D3,$C4)=0,1,0))</f>
        <v>1</v>
      </c>
      <c r="AB4" s="4">
        <f>IF($D4="","",IF(COUNTIF($C$1:C4,$D4)+COUNTIF($D$1:D3,$D4)=0,1,0))</f>
        <v>1</v>
      </c>
      <c r="AC4" s="4">
        <f>IF(AA4=1,SUM($AA$2:AA4)-AA4+SUM($AB$2:AB4)-AB4+1,"")</f>
        <v>5</v>
      </c>
      <c r="AD4" s="4">
        <f>IF(AB4=1,SUM($AA$2:AA4)+SUM($AB$2:AB4)-AB4+1,"")</f>
        <v>6</v>
      </c>
      <c r="AE4" s="4" t="str">
        <f t="shared" si="2"/>
        <v>TEAM|5</v>
      </c>
      <c r="AF4" s="4" t="str">
        <f t="shared" si="3"/>
        <v>TEAM|6</v>
      </c>
      <c r="AG4" s="8">
        <f t="shared" si="4"/>
        <v>1</v>
      </c>
      <c r="AH4" s="8" t="s">
        <v>133</v>
      </c>
      <c r="AI4" s="8">
        <f t="shared" si="5"/>
        <v>0</v>
      </c>
    </row>
    <row r="5" spans="1:36" ht="15" customHeight="1" x14ac:dyDescent="0.25">
      <c r="A5" s="10">
        <v>46220</v>
      </c>
      <c r="B5" s="8">
        <v>1</v>
      </c>
      <c r="C5" s="8" t="s">
        <v>120</v>
      </c>
      <c r="D5" s="8" t="s">
        <v>121</v>
      </c>
      <c r="E5" s="8">
        <v>2</v>
      </c>
      <c r="F5" s="8">
        <v>3</v>
      </c>
      <c r="G5" s="8">
        <v>0</v>
      </c>
      <c r="H5" s="8">
        <v>0</v>
      </c>
      <c r="I5" s="8">
        <v>1.29</v>
      </c>
      <c r="J5" s="8">
        <v>3.14</v>
      </c>
      <c r="K5" s="8">
        <v>13</v>
      </c>
      <c r="L5" s="8">
        <v>20</v>
      </c>
      <c r="M5" s="8">
        <v>5</v>
      </c>
      <c r="N5" s="8">
        <v>10</v>
      </c>
      <c r="O5" s="14">
        <v>0.46</v>
      </c>
      <c r="P5" s="14">
        <v>0.54</v>
      </c>
      <c r="Q5" s="8">
        <v>4</v>
      </c>
      <c r="R5" s="8">
        <v>4</v>
      </c>
      <c r="S5" s="8" t="s">
        <v>456</v>
      </c>
      <c r="T5" s="8">
        <v>6</v>
      </c>
      <c r="U5" s="8" t="s">
        <v>267</v>
      </c>
      <c r="V5" s="8">
        <v>4</v>
      </c>
      <c r="W5" s="4">
        <f>IF($C5="","",SUMPRODUCT(($C$2:C5=C5)+($D$2:D5=C5)))</f>
        <v>1</v>
      </c>
      <c r="X5" s="4">
        <f>IF($D5="","",SUMPRODUCT(($C$2:C5=D5)+($D$2:D5=D5)))</f>
        <v>1</v>
      </c>
      <c r="Y5" s="4" t="str">
        <f t="shared" si="0"/>
        <v>Atlético de San Luis|1</v>
      </c>
      <c r="Z5" s="4" t="str">
        <f t="shared" si="1"/>
        <v>Cruz Azul|1</v>
      </c>
      <c r="AA5" s="4">
        <f>IF($C5="","",IF(COUNTIF($C$1:C4,$C5)+COUNTIF($D$1:D4,$C5)=0,1,0))</f>
        <v>1</v>
      </c>
      <c r="AB5" s="4">
        <f>IF($D5="","",IF(COUNTIF($C$1:C5,$D5)+COUNTIF($D$1:D4,$D5)=0,1,0))</f>
        <v>1</v>
      </c>
      <c r="AC5" s="4">
        <f>IF(AA5=1,SUM($AA$2:AA5)-AA5+SUM($AB$2:AB5)-AB5+1,"")</f>
        <v>7</v>
      </c>
      <c r="AD5" s="4">
        <f>IF(AB5=1,SUM($AA$2:AA5)+SUM($AB$2:AB5)-AB5+1,"")</f>
        <v>8</v>
      </c>
      <c r="AE5" s="4" t="str">
        <f t="shared" si="2"/>
        <v>TEAM|7</v>
      </c>
      <c r="AF5" s="4" t="str">
        <f t="shared" si="3"/>
        <v>TEAM|8</v>
      </c>
      <c r="AG5" s="8">
        <f t="shared" si="4"/>
        <v>0</v>
      </c>
      <c r="AI5" s="8">
        <f t="shared" si="5"/>
        <v>0</v>
      </c>
    </row>
    <row r="6" spans="1:36" ht="15" customHeight="1" x14ac:dyDescent="0.25">
      <c r="A6" s="10">
        <v>46220</v>
      </c>
      <c r="B6" s="8">
        <v>1</v>
      </c>
      <c r="C6" s="8" t="s">
        <v>122</v>
      </c>
      <c r="D6" s="8" t="s">
        <v>123</v>
      </c>
      <c r="E6" s="8">
        <v>0</v>
      </c>
      <c r="F6" s="8">
        <v>1</v>
      </c>
      <c r="G6" s="8">
        <v>0</v>
      </c>
      <c r="H6" s="8">
        <v>1</v>
      </c>
      <c r="I6" s="8">
        <v>0.86</v>
      </c>
      <c r="J6" s="8">
        <v>1.21</v>
      </c>
      <c r="K6" s="8">
        <v>13</v>
      </c>
      <c r="L6" s="8">
        <v>13</v>
      </c>
      <c r="M6" s="8">
        <v>1</v>
      </c>
      <c r="N6" s="8">
        <v>5</v>
      </c>
      <c r="O6" s="14">
        <v>0.65</v>
      </c>
      <c r="P6" s="14">
        <v>0.35</v>
      </c>
      <c r="Q6" s="8">
        <v>5</v>
      </c>
      <c r="R6" s="8">
        <v>7</v>
      </c>
      <c r="S6" s="8" t="s">
        <v>569</v>
      </c>
      <c r="T6" s="8">
        <v>4</v>
      </c>
      <c r="U6" s="8" t="s">
        <v>397</v>
      </c>
      <c r="V6" s="8">
        <v>1</v>
      </c>
      <c r="W6" s="4">
        <f>IF($C6="","",SUMPRODUCT(($C$2:C6=C6)+($D$2:D6=C6)))</f>
        <v>1</v>
      </c>
      <c r="X6" s="4">
        <f>IF($D6="","",SUMPRODUCT(($C$2:C6=D6)+($D$2:D6=D6)))</f>
        <v>1</v>
      </c>
      <c r="Y6" s="4" t="str">
        <f t="shared" si="0"/>
        <v>Juárez|1</v>
      </c>
      <c r="Z6" s="4" t="str">
        <f t="shared" si="1"/>
        <v>Puebla|1</v>
      </c>
      <c r="AA6" s="4">
        <f>IF($C6="","",IF(COUNTIF($C$1:C5,$C6)+COUNTIF($D$1:D5,$C6)=0,1,0))</f>
        <v>1</v>
      </c>
      <c r="AB6" s="4">
        <f>IF($D6="","",IF(COUNTIF($C$1:C6,$D6)+COUNTIF($D$1:D5,$D6)=0,1,0))</f>
        <v>1</v>
      </c>
      <c r="AC6" s="4">
        <f>IF(AA6=1,SUM($AA$2:AA6)-AA6+SUM($AB$2:AB6)-AB6+1,"")</f>
        <v>9</v>
      </c>
      <c r="AD6" s="4">
        <f>IF(AB6=1,SUM($AA$2:AA6)+SUM($AB$2:AB6)-AB6+1,"")</f>
        <v>10</v>
      </c>
      <c r="AE6" s="4" t="str">
        <f t="shared" si="2"/>
        <v>TEAM|9</v>
      </c>
      <c r="AF6" s="4" t="str">
        <f t="shared" si="3"/>
        <v>TEAM|10</v>
      </c>
      <c r="AG6" s="8">
        <f t="shared" si="4"/>
        <v>0</v>
      </c>
      <c r="AI6" s="8">
        <f t="shared" si="5"/>
        <v>1</v>
      </c>
      <c r="AJ6" s="8" t="s">
        <v>134</v>
      </c>
    </row>
    <row r="7" spans="1:36" ht="15" customHeight="1" x14ac:dyDescent="0.25">
      <c r="A7" s="10">
        <v>46221</v>
      </c>
      <c r="B7" s="8">
        <v>1</v>
      </c>
      <c r="C7" s="8" t="s">
        <v>124</v>
      </c>
      <c r="D7" s="8" t="s">
        <v>125</v>
      </c>
      <c r="E7" s="8">
        <v>0</v>
      </c>
      <c r="F7" s="8">
        <v>3</v>
      </c>
      <c r="G7" s="8">
        <v>0</v>
      </c>
      <c r="H7" s="8">
        <v>2</v>
      </c>
      <c r="I7" s="8">
        <v>0.28000000000000003</v>
      </c>
      <c r="J7" s="8">
        <v>1.08</v>
      </c>
      <c r="K7" s="8">
        <v>9</v>
      </c>
      <c r="L7" s="8">
        <v>15</v>
      </c>
      <c r="M7" s="8">
        <v>1</v>
      </c>
      <c r="N7" s="8">
        <v>6</v>
      </c>
      <c r="O7" s="14">
        <v>0.61</v>
      </c>
      <c r="P7" s="14">
        <v>0.39</v>
      </c>
      <c r="Q7" s="8">
        <v>9</v>
      </c>
      <c r="R7" s="8">
        <v>4</v>
      </c>
      <c r="S7" s="8" t="s">
        <v>660</v>
      </c>
      <c r="T7" s="8">
        <v>3</v>
      </c>
      <c r="U7" s="15" t="s">
        <v>139</v>
      </c>
      <c r="V7" s="8">
        <v>1</v>
      </c>
      <c r="W7" s="4">
        <f>IF($C7="","",SUMPRODUCT(($C$2:C7=C7)+($D$2:D7=C7)))</f>
        <v>1</v>
      </c>
      <c r="X7" s="4">
        <f>IF($D7="","",SUMPRODUCT(($C$2:C7=D7)+($D$2:D7=D7)))</f>
        <v>1</v>
      </c>
      <c r="Y7" s="4" t="str">
        <f t="shared" si="0"/>
        <v>Pumas UNAM|1</v>
      </c>
      <c r="Z7" s="4" t="str">
        <f t="shared" si="1"/>
        <v>Pachuca|1</v>
      </c>
      <c r="AA7" s="4">
        <f>IF($C7="","",IF(COUNTIF($C$1:C6,$C7)+COUNTIF($D$1:D6,$C7)=0,1,0))</f>
        <v>1</v>
      </c>
      <c r="AB7" s="4">
        <f>IF($D7="","",IF(COUNTIF($C$1:C7,$D7)+COUNTIF($D$1:D6,$D7)=0,1,0))</f>
        <v>1</v>
      </c>
      <c r="AC7" s="4">
        <f>IF(AA7=1,SUM($AA$2:AA7)-AA7+SUM($AB$2:AB7)-AB7+1,"")</f>
        <v>11</v>
      </c>
      <c r="AD7" s="4">
        <f>IF(AB7=1,SUM($AA$2:AA7)+SUM($AB$2:AB7)-AB7+1,"")</f>
        <v>12</v>
      </c>
      <c r="AE7" s="4" t="str">
        <f t="shared" si="2"/>
        <v>TEAM|11</v>
      </c>
      <c r="AF7" s="4" t="str">
        <f t="shared" si="3"/>
        <v>TEAM|12</v>
      </c>
      <c r="AG7" s="8">
        <f t="shared" si="4"/>
        <v>0</v>
      </c>
      <c r="AI7" s="8">
        <f t="shared" si="5"/>
        <v>0</v>
      </c>
    </row>
    <row r="8" spans="1:36" ht="15" customHeight="1" x14ac:dyDescent="0.25">
      <c r="A8" s="10">
        <v>46221</v>
      </c>
      <c r="B8" s="8">
        <v>1</v>
      </c>
      <c r="C8" s="8" t="s">
        <v>126</v>
      </c>
      <c r="D8" s="8" t="s">
        <v>127</v>
      </c>
      <c r="E8" s="8">
        <v>3</v>
      </c>
      <c r="F8" s="8">
        <v>2</v>
      </c>
      <c r="G8" s="8">
        <v>3</v>
      </c>
      <c r="H8" s="8">
        <v>1</v>
      </c>
      <c r="I8" s="8">
        <v>1.82</v>
      </c>
      <c r="J8" s="8">
        <v>2.0499999999999998</v>
      </c>
      <c r="K8" s="8">
        <v>19</v>
      </c>
      <c r="L8" s="8">
        <v>11</v>
      </c>
      <c r="M8" s="8">
        <v>13</v>
      </c>
      <c r="N8" s="8">
        <v>3</v>
      </c>
      <c r="O8" s="14">
        <v>0.56999999999999995</v>
      </c>
      <c r="P8" s="14">
        <v>0.43</v>
      </c>
      <c r="Q8" s="8">
        <v>5</v>
      </c>
      <c r="R8" s="8">
        <v>5</v>
      </c>
      <c r="S8" s="8" t="s">
        <v>231</v>
      </c>
      <c r="T8" s="8">
        <v>1</v>
      </c>
      <c r="U8" s="8" t="s">
        <v>425</v>
      </c>
      <c r="V8" s="8">
        <v>10</v>
      </c>
      <c r="W8" s="4">
        <f>IF($C8="","",SUMPRODUCT(($C$2:C8=C8)+($D$2:D8=C8)))</f>
        <v>1</v>
      </c>
      <c r="X8" s="4">
        <f>IF($D8="","",SUMPRODUCT(($C$2:C8=D8)+($D$2:D8=D8)))</f>
        <v>1</v>
      </c>
      <c r="Y8" s="4" t="str">
        <f t="shared" si="0"/>
        <v>Monterrey|1</v>
      </c>
      <c r="Z8" s="4" t="str">
        <f t="shared" si="1"/>
        <v>Santos Laguna|1</v>
      </c>
      <c r="AA8" s="4">
        <f>IF($C8="","",IF(COUNTIF($C$1:C7,$C8)+COUNTIF($D$1:D7,$C8)=0,1,0))</f>
        <v>1</v>
      </c>
      <c r="AB8" s="4">
        <f>IF($D8="","",IF(COUNTIF($C$1:C8,$D8)+COUNTIF($D$1:D7,$D8)=0,1,0))</f>
        <v>1</v>
      </c>
      <c r="AC8" s="4">
        <f>IF(AA8=1,SUM($AA$2:AA8)-AA8+SUM($AB$2:AB8)-AB8+1,"")</f>
        <v>13</v>
      </c>
      <c r="AD8" s="4">
        <f>IF(AB8=1,SUM($AA$2:AA8)+SUM($AB$2:AB8)-AB8+1,"")</f>
        <v>14</v>
      </c>
      <c r="AE8" s="4" t="str">
        <f t="shared" si="2"/>
        <v>TEAM|13</v>
      </c>
      <c r="AF8" s="4" t="str">
        <f t="shared" si="3"/>
        <v>TEAM|14</v>
      </c>
      <c r="AG8" s="8">
        <f t="shared" si="4"/>
        <v>0</v>
      </c>
      <c r="AI8" s="8">
        <f t="shared" si="5"/>
        <v>0</v>
      </c>
    </row>
    <row r="9" spans="1:36" ht="15" customHeight="1" x14ac:dyDescent="0.25">
      <c r="A9" s="10">
        <v>46221</v>
      </c>
      <c r="B9" s="8">
        <v>1</v>
      </c>
      <c r="C9" s="8" t="s">
        <v>128</v>
      </c>
      <c r="D9" s="8" t="s">
        <v>129</v>
      </c>
      <c r="E9" s="8">
        <v>0</v>
      </c>
      <c r="F9" s="8">
        <v>2</v>
      </c>
      <c r="G9" s="8">
        <v>0</v>
      </c>
      <c r="H9" s="8">
        <v>1</v>
      </c>
      <c r="I9" s="8">
        <v>1.0900000000000001</v>
      </c>
      <c r="J9" s="8">
        <v>1.77</v>
      </c>
      <c r="K9" s="8">
        <v>13</v>
      </c>
      <c r="L9" s="8">
        <v>14</v>
      </c>
      <c r="M9" s="8">
        <v>4</v>
      </c>
      <c r="N9" s="8">
        <v>9</v>
      </c>
      <c r="O9" s="14">
        <v>0.4</v>
      </c>
      <c r="P9" s="14">
        <v>0.6</v>
      </c>
      <c r="Q9" s="8">
        <v>9</v>
      </c>
      <c r="R9" s="8">
        <v>2</v>
      </c>
      <c r="S9" s="8" t="s">
        <v>630</v>
      </c>
      <c r="T9" s="8">
        <v>7</v>
      </c>
      <c r="U9" s="8" t="s">
        <v>200</v>
      </c>
      <c r="V9" s="8">
        <v>4</v>
      </c>
      <c r="W9" s="4">
        <f>IF($C9="","",SUMPRODUCT(($C$2:C9=C9)+($D$2:D9=C9)))</f>
        <v>1</v>
      </c>
      <c r="X9" s="4">
        <f>IF($D9="","",SUMPRODUCT(($C$2:C9=D9)+($D$2:D9=D9)))</f>
        <v>1</v>
      </c>
      <c r="Y9" s="4" t="str">
        <f t="shared" si="0"/>
        <v>Guadalajara|1</v>
      </c>
      <c r="Z9" s="4" t="str">
        <f t="shared" si="1"/>
        <v>Toluca|1</v>
      </c>
      <c r="AA9" s="4">
        <f>IF($C9="","",IF(COUNTIF($C$1:C8,$C9)+COUNTIF($D$1:D8,$C9)=0,1,0))</f>
        <v>1</v>
      </c>
      <c r="AB9" s="4">
        <f>IF($D9="","",IF(COUNTIF($C$1:C9,$D9)+COUNTIF($D$1:D8,$D9)=0,1,0))</f>
        <v>1</v>
      </c>
      <c r="AC9" s="4">
        <f>IF(AA9=1,SUM($AA$2:AA9)-AA9+SUM($AB$2:AB9)-AB9+1,"")</f>
        <v>15</v>
      </c>
      <c r="AD9" s="4">
        <f>IF(AB9=1,SUM($AA$2:AA9)+SUM($AB$2:AB9)-AB9+1,"")</f>
        <v>16</v>
      </c>
      <c r="AE9" s="4" t="str">
        <f t="shared" si="2"/>
        <v>TEAM|15</v>
      </c>
      <c r="AF9" s="4" t="str">
        <f t="shared" si="3"/>
        <v>TEAM|16</v>
      </c>
      <c r="AG9" s="8">
        <f t="shared" si="4"/>
        <v>1</v>
      </c>
      <c r="AH9" s="8" t="s">
        <v>135</v>
      </c>
      <c r="AI9" s="8">
        <f t="shared" si="5"/>
        <v>0</v>
      </c>
    </row>
    <row r="10" spans="1:36" ht="15" customHeight="1" x14ac:dyDescent="0.25">
      <c r="A10" s="10">
        <v>46221</v>
      </c>
      <c r="B10" s="8">
        <v>1</v>
      </c>
      <c r="C10" s="8" t="s">
        <v>130</v>
      </c>
      <c r="D10" s="8" t="s">
        <v>131</v>
      </c>
      <c r="E10" s="8">
        <v>0</v>
      </c>
      <c r="F10" s="8">
        <v>1</v>
      </c>
      <c r="G10" s="8">
        <v>0</v>
      </c>
      <c r="H10" s="8">
        <v>0</v>
      </c>
      <c r="I10" s="8">
        <v>0.95</v>
      </c>
      <c r="J10" s="8">
        <v>1.64</v>
      </c>
      <c r="K10" s="8">
        <v>10</v>
      </c>
      <c r="L10" s="8">
        <v>17</v>
      </c>
      <c r="M10" s="8">
        <v>2</v>
      </c>
      <c r="N10" s="8">
        <v>5</v>
      </c>
      <c r="O10" s="14">
        <v>0.38</v>
      </c>
      <c r="P10" s="14">
        <v>0.62</v>
      </c>
      <c r="Q10" s="8">
        <v>2</v>
      </c>
      <c r="R10" s="8">
        <v>12</v>
      </c>
      <c r="S10" s="8" t="s">
        <v>543</v>
      </c>
      <c r="T10" s="8">
        <v>4</v>
      </c>
      <c r="U10" s="8" t="s">
        <v>363</v>
      </c>
      <c r="V10" s="8">
        <v>2</v>
      </c>
      <c r="W10" s="4">
        <f>IF($C10="","",SUMPRODUCT(($C$2:C10=C10)+($D$2:D10=C10)))</f>
        <v>1</v>
      </c>
      <c r="X10" s="4">
        <f>IF($D10="","",SUMPRODUCT(($C$2:C10=D10)+($D$2:D10=D10)))</f>
        <v>1</v>
      </c>
      <c r="Y10" s="4" t="str">
        <f t="shared" si="0"/>
        <v>Querétaro|1</v>
      </c>
      <c r="Z10" s="4" t="str">
        <f t="shared" si="1"/>
        <v>Club América|1</v>
      </c>
      <c r="AA10" s="4">
        <f>IF($C10="","",IF(COUNTIF($C$1:C9,$C10)+COUNTIF($D$1:D9,$C10)=0,1,0))</f>
        <v>1</v>
      </c>
      <c r="AB10" s="4">
        <f>IF($D10="","",IF(COUNTIF($C$1:C10,$D10)+COUNTIF($D$1:D9,$D10)=0,1,0))</f>
        <v>1</v>
      </c>
      <c r="AC10" s="4">
        <f>IF(AA10=1,SUM($AA$2:AA10)-AA10+SUM($AB$2:AB10)-AB10+1,"")</f>
        <v>17</v>
      </c>
      <c r="AD10" s="4">
        <f>IF(AB10=1,SUM($AA$2:AA10)+SUM($AB$2:AB10)-AB10+1,"")</f>
        <v>18</v>
      </c>
      <c r="AE10" s="4" t="str">
        <f t="shared" si="2"/>
        <v>TEAM|17</v>
      </c>
      <c r="AF10" s="4" t="str">
        <f t="shared" si="3"/>
        <v>TEAM|18</v>
      </c>
      <c r="AG10" s="8">
        <f t="shared" si="4"/>
        <v>0</v>
      </c>
      <c r="AI10" s="8">
        <f t="shared" si="5"/>
        <v>1</v>
      </c>
      <c r="AJ10" s="8" t="s">
        <v>136</v>
      </c>
    </row>
    <row r="11" spans="1:36" ht="15" customHeight="1" x14ac:dyDescent="0.2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3"/>
      <c r="P11" s="3"/>
      <c r="Q11" s="8"/>
      <c r="R11" s="8"/>
      <c r="S11" s="8"/>
      <c r="T11" s="8"/>
      <c r="U11" s="8"/>
      <c r="V11" s="8"/>
      <c r="W11" s="4" t="str">
        <f>IF($C11="","",SUMPRODUCT(($C$2:C11=C11)+($D$2:D11=C11)))</f>
        <v/>
      </c>
      <c r="X11" s="4" t="str">
        <f>IF($D11="","",SUMPRODUCT(($C$2:C11=D11)+($D$2:D11=D11)))</f>
        <v/>
      </c>
      <c r="Y11" s="4" t="str">
        <f t="shared" si="0"/>
        <v/>
      </c>
      <c r="Z11" s="4" t="str">
        <f t="shared" si="1"/>
        <v/>
      </c>
      <c r="AA11" s="4" t="str">
        <f>IF($C11="","",IF(COUNTIF($C$1:C10,$C11)+COUNTIF($D$1:D10,$C11)=0,1,0))</f>
        <v/>
      </c>
      <c r="AB11" s="4" t="str">
        <f>IF($D11="","",IF(COUNTIF($C$1:C11,$D11)+COUNTIF($D$1:D10,$D11)=0,1,0))</f>
        <v/>
      </c>
      <c r="AC11" s="4" t="str">
        <f>IF(AA11=1,SUM($AA$2:AA11)-AA11+SUM($AB$2:AB11)-AB11+1,"")</f>
        <v/>
      </c>
      <c r="AD11" s="4" t="str">
        <f>IF(AB11=1,SUM($AA$2:AA11)+SUM($AB$2:AB11)-AB11+1,"")</f>
        <v/>
      </c>
      <c r="AE11" s="4" t="str">
        <f t="shared" si="2"/>
        <v/>
      </c>
      <c r="AF11" s="4" t="str">
        <f t="shared" si="3"/>
        <v/>
      </c>
      <c r="AG11" s="8">
        <f t="shared" si="4"/>
        <v>0</v>
      </c>
      <c r="AI11" s="8">
        <f t="shared" si="5"/>
        <v>0</v>
      </c>
    </row>
    <row r="12" spans="1:36" ht="15" customHeight="1" x14ac:dyDescent="0.2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3"/>
      <c r="P12" s="3"/>
      <c r="Q12" s="8"/>
      <c r="R12" s="8"/>
      <c r="S12" s="8"/>
      <c r="T12" s="8"/>
      <c r="U12" s="8"/>
      <c r="V12" s="8"/>
      <c r="W12" s="4" t="str">
        <f>IF($C12="","",SUMPRODUCT(($C$2:C12=C12)+($D$2:D12=C12)))</f>
        <v/>
      </c>
      <c r="X12" s="4" t="str">
        <f>IF($D12="","",SUMPRODUCT(($C$2:C12=D12)+($D$2:D12=D12)))</f>
        <v/>
      </c>
      <c r="Y12" s="4" t="str">
        <f t="shared" si="0"/>
        <v/>
      </c>
      <c r="Z12" s="4" t="str">
        <f t="shared" si="1"/>
        <v/>
      </c>
      <c r="AA12" s="4" t="str">
        <f>IF($C12="","",IF(COUNTIF($C$1:C11,$C12)+COUNTIF($D$1:D11,$C12)=0,1,0))</f>
        <v/>
      </c>
      <c r="AB12" s="4" t="str">
        <f>IF($D12="","",IF(COUNTIF($C$1:C12,$D12)+COUNTIF($D$1:D11,$D12)=0,1,0))</f>
        <v/>
      </c>
      <c r="AC12" s="4" t="str">
        <f>IF(AA12=1,SUM($AA$2:AA12)-AA12+SUM($AB$2:AB12)-AB12+1,"")</f>
        <v/>
      </c>
      <c r="AD12" s="4" t="str">
        <f>IF(AB12=1,SUM($AA$2:AA12)+SUM($AB$2:AB12)-AB12+1,"")</f>
        <v/>
      </c>
      <c r="AE12" s="4" t="str">
        <f t="shared" si="2"/>
        <v/>
      </c>
      <c r="AF12" s="4" t="str">
        <f t="shared" si="3"/>
        <v/>
      </c>
      <c r="AG12" s="8">
        <f t="shared" si="4"/>
        <v>0</v>
      </c>
      <c r="AI12" s="8">
        <f t="shared" si="5"/>
        <v>0</v>
      </c>
    </row>
    <row r="13" spans="1:36" ht="15" customHeight="1" x14ac:dyDescent="0.2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3"/>
      <c r="P13" s="3"/>
      <c r="Q13" s="8"/>
      <c r="R13" s="8"/>
      <c r="S13" s="8"/>
      <c r="T13" s="8"/>
      <c r="U13" s="8"/>
      <c r="V13" s="8"/>
      <c r="W13" s="4" t="str">
        <f>IF($C13="","",SUMPRODUCT(($C$2:C13=C13)+($D$2:D13=C13)))</f>
        <v/>
      </c>
      <c r="X13" s="4" t="str">
        <f>IF($D13="","",SUMPRODUCT(($C$2:C13=D13)+($D$2:D13=D13)))</f>
        <v/>
      </c>
      <c r="Y13" s="4" t="str">
        <f t="shared" si="0"/>
        <v/>
      </c>
      <c r="Z13" s="4" t="str">
        <f t="shared" si="1"/>
        <v/>
      </c>
      <c r="AA13" s="4" t="str">
        <f>IF($C13="","",IF(COUNTIF($C$1:C12,$C13)+COUNTIF($D$1:D12,$C13)=0,1,0))</f>
        <v/>
      </c>
      <c r="AB13" s="4" t="str">
        <f>IF($D13="","",IF(COUNTIF($C$1:C13,$D13)+COUNTIF($D$1:D12,$D13)=0,1,0))</f>
        <v/>
      </c>
      <c r="AC13" s="4" t="str">
        <f>IF(AA13=1,SUM($AA$2:AA13)-AA13+SUM($AB$2:AB13)-AB13+1,"")</f>
        <v/>
      </c>
      <c r="AD13" s="4" t="str">
        <f>IF(AB13=1,SUM($AA$2:AA13)+SUM($AB$2:AB13)-AB13+1,"")</f>
        <v/>
      </c>
      <c r="AE13" s="4" t="str">
        <f t="shared" si="2"/>
        <v/>
      </c>
      <c r="AF13" s="4" t="str">
        <f t="shared" si="3"/>
        <v/>
      </c>
      <c r="AG13" s="8">
        <f t="shared" si="4"/>
        <v>0</v>
      </c>
      <c r="AI13" s="8">
        <f t="shared" si="5"/>
        <v>0</v>
      </c>
    </row>
    <row r="14" spans="1:36" ht="15" customHeight="1" x14ac:dyDescent="0.2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3"/>
      <c r="P14" s="3"/>
      <c r="Q14" s="8"/>
      <c r="R14" s="8"/>
      <c r="S14" s="8"/>
      <c r="T14" s="8"/>
      <c r="U14" s="8"/>
      <c r="V14" s="8"/>
      <c r="W14" s="4" t="str">
        <f>IF($C14="","",SUMPRODUCT(($C$2:C14=C14)+($D$2:D14=C14)))</f>
        <v/>
      </c>
      <c r="X14" s="4" t="str">
        <f>IF($D14="","",SUMPRODUCT(($C$2:C14=D14)+($D$2:D14=D14)))</f>
        <v/>
      </c>
      <c r="Y14" s="4" t="str">
        <f t="shared" si="0"/>
        <v/>
      </c>
      <c r="Z14" s="4" t="str">
        <f t="shared" si="1"/>
        <v/>
      </c>
      <c r="AA14" s="4" t="str">
        <f>IF($C14="","",IF(COUNTIF($C$1:C13,$C14)+COUNTIF($D$1:D13,$C14)=0,1,0))</f>
        <v/>
      </c>
      <c r="AB14" s="4" t="str">
        <f>IF($D14="","",IF(COUNTIF($C$1:C14,$D14)+COUNTIF($D$1:D13,$D14)=0,1,0))</f>
        <v/>
      </c>
      <c r="AC14" s="4" t="str">
        <f>IF(AA14=1,SUM($AA$2:AA14)-AA14+SUM($AB$2:AB14)-AB14+1,"")</f>
        <v/>
      </c>
      <c r="AD14" s="4" t="str">
        <f>IF(AB14=1,SUM($AA$2:AA14)+SUM($AB$2:AB14)-AB14+1,"")</f>
        <v/>
      </c>
      <c r="AE14" s="4" t="str">
        <f t="shared" si="2"/>
        <v/>
      </c>
      <c r="AF14" s="4" t="str">
        <f t="shared" si="3"/>
        <v/>
      </c>
      <c r="AG14" s="8">
        <f t="shared" si="4"/>
        <v>0</v>
      </c>
      <c r="AI14" s="8">
        <f t="shared" si="5"/>
        <v>0</v>
      </c>
    </row>
    <row r="15" spans="1:36" ht="15" customHeight="1" x14ac:dyDescent="0.2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3"/>
      <c r="P15" s="3"/>
      <c r="Q15" s="8"/>
      <c r="R15" s="8"/>
      <c r="S15" s="8"/>
      <c r="T15" s="8"/>
      <c r="U15" s="8"/>
      <c r="V15" s="8"/>
      <c r="W15" s="4" t="str">
        <f>IF($C15="","",SUMPRODUCT(($C$2:C15=C15)+($D$2:D15=C15)))</f>
        <v/>
      </c>
      <c r="X15" s="4" t="str">
        <f>IF($D15="","",SUMPRODUCT(($C$2:C15=D15)+($D$2:D15=D15)))</f>
        <v/>
      </c>
      <c r="Y15" s="4" t="str">
        <f t="shared" si="0"/>
        <v/>
      </c>
      <c r="Z15" s="4" t="str">
        <f t="shared" si="1"/>
        <v/>
      </c>
      <c r="AA15" s="4" t="str">
        <f>IF($C15="","",IF(COUNTIF($C$1:C14,$C15)+COUNTIF($D$1:D14,$C15)=0,1,0))</f>
        <v/>
      </c>
      <c r="AB15" s="4" t="str">
        <f>IF($D15="","",IF(COUNTIF($C$1:C15,$D15)+COUNTIF($D$1:D14,$D15)=0,1,0))</f>
        <v/>
      </c>
      <c r="AC15" s="4" t="str">
        <f>IF(AA15=1,SUM($AA$2:AA15)-AA15+SUM($AB$2:AB15)-AB15+1,"")</f>
        <v/>
      </c>
      <c r="AD15" s="4" t="str">
        <f>IF(AB15=1,SUM($AA$2:AA15)+SUM($AB$2:AB15)-AB15+1,"")</f>
        <v/>
      </c>
      <c r="AE15" s="4" t="str">
        <f t="shared" si="2"/>
        <v/>
      </c>
      <c r="AF15" s="4" t="str">
        <f t="shared" si="3"/>
        <v/>
      </c>
      <c r="AG15" s="8">
        <f t="shared" si="4"/>
        <v>0</v>
      </c>
      <c r="AI15" s="8">
        <f t="shared" si="5"/>
        <v>0</v>
      </c>
    </row>
    <row r="16" spans="1:36" ht="15" customHeight="1" x14ac:dyDescent="0.2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3"/>
      <c r="P16" s="3"/>
      <c r="Q16" s="8"/>
      <c r="R16" s="8"/>
      <c r="S16" s="8"/>
      <c r="T16" s="8"/>
      <c r="U16" s="8"/>
      <c r="V16" s="8"/>
      <c r="W16" s="4" t="str">
        <f>IF($C16="","",SUMPRODUCT(($C$2:C16=C16)+($D$2:D16=C16)))</f>
        <v/>
      </c>
      <c r="X16" s="4" t="str">
        <f>IF($D16="","",SUMPRODUCT(($C$2:C16=D16)+($D$2:D16=D16)))</f>
        <v/>
      </c>
      <c r="Y16" s="4" t="str">
        <f t="shared" si="0"/>
        <v/>
      </c>
      <c r="Z16" s="4" t="str">
        <f t="shared" si="1"/>
        <v/>
      </c>
      <c r="AA16" s="4" t="str">
        <f>IF($C16="","",IF(COUNTIF($C$1:C15,$C16)+COUNTIF($D$1:D15,$C16)=0,1,0))</f>
        <v/>
      </c>
      <c r="AB16" s="4" t="str">
        <f>IF($D16="","",IF(COUNTIF($C$1:C16,$D16)+COUNTIF($D$1:D15,$D16)=0,1,0))</f>
        <v/>
      </c>
      <c r="AC16" s="4" t="str">
        <f>IF(AA16=1,SUM($AA$2:AA16)-AA16+SUM($AB$2:AB16)-AB16+1,"")</f>
        <v/>
      </c>
      <c r="AD16" s="4" t="str">
        <f>IF(AB16=1,SUM($AA$2:AA16)+SUM($AB$2:AB16)-AB16+1,"")</f>
        <v/>
      </c>
      <c r="AE16" s="4" t="str">
        <f t="shared" si="2"/>
        <v/>
      </c>
      <c r="AF16" s="4" t="str">
        <f t="shared" si="3"/>
        <v/>
      </c>
      <c r="AG16" s="8">
        <f t="shared" si="4"/>
        <v>0</v>
      </c>
      <c r="AI16" s="8">
        <f t="shared" si="5"/>
        <v>0</v>
      </c>
    </row>
    <row r="17" spans="1:35" ht="15" customHeight="1" x14ac:dyDescent="0.2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3"/>
      <c r="P17" s="3"/>
      <c r="Q17" s="8"/>
      <c r="R17" s="8"/>
      <c r="S17" s="8"/>
      <c r="T17" s="8"/>
      <c r="U17" s="8"/>
      <c r="V17" s="8"/>
      <c r="W17" s="4" t="str">
        <f>IF($C17="","",SUMPRODUCT(($C$2:C17=C17)+($D$2:D17=C17)))</f>
        <v/>
      </c>
      <c r="X17" s="4" t="str">
        <f>IF($D17="","",SUMPRODUCT(($C$2:C17=D17)+($D$2:D17=D17)))</f>
        <v/>
      </c>
      <c r="Y17" s="4" t="str">
        <f t="shared" si="0"/>
        <v/>
      </c>
      <c r="Z17" s="4" t="str">
        <f t="shared" si="1"/>
        <v/>
      </c>
      <c r="AA17" s="4" t="str">
        <f>IF($C17="","",IF(COUNTIF($C$1:C16,$C17)+COUNTIF($D$1:D16,$C17)=0,1,0))</f>
        <v/>
      </c>
      <c r="AB17" s="4" t="str">
        <f>IF($D17="","",IF(COUNTIF($C$1:C17,$D17)+COUNTIF($D$1:D16,$D17)=0,1,0))</f>
        <v/>
      </c>
      <c r="AC17" s="4" t="str">
        <f>IF(AA17=1,SUM($AA$2:AA17)-AA17+SUM($AB$2:AB17)-AB17+1,"")</f>
        <v/>
      </c>
      <c r="AD17" s="4" t="str">
        <f>IF(AB17=1,SUM($AA$2:AA17)+SUM($AB$2:AB17)-AB17+1,"")</f>
        <v/>
      </c>
      <c r="AE17" s="4" t="str">
        <f t="shared" si="2"/>
        <v/>
      </c>
      <c r="AF17" s="4" t="str">
        <f t="shared" si="3"/>
        <v/>
      </c>
      <c r="AG17" s="8">
        <f t="shared" si="4"/>
        <v>0</v>
      </c>
      <c r="AI17" s="8">
        <f t="shared" si="5"/>
        <v>0</v>
      </c>
    </row>
    <row r="18" spans="1:35" ht="15" customHeight="1" x14ac:dyDescent="0.2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3"/>
      <c r="P18" s="3"/>
      <c r="Q18" s="8"/>
      <c r="R18" s="8"/>
      <c r="S18" s="8"/>
      <c r="T18" s="8"/>
      <c r="U18" s="8"/>
      <c r="V18" s="8"/>
      <c r="W18" s="4" t="str">
        <f>IF($C18="","",SUMPRODUCT(($C$2:C18=C18)+($D$2:D18=C18)))</f>
        <v/>
      </c>
      <c r="X18" s="4" t="str">
        <f>IF($D18="","",SUMPRODUCT(($C$2:C18=D18)+($D$2:D18=D18)))</f>
        <v/>
      </c>
      <c r="Y18" s="4" t="str">
        <f t="shared" si="0"/>
        <v/>
      </c>
      <c r="Z18" s="4" t="str">
        <f t="shared" si="1"/>
        <v/>
      </c>
      <c r="AA18" s="4" t="str">
        <f>IF($C18="","",IF(COUNTIF($C$1:C17,$C18)+COUNTIF($D$1:D17,$C18)=0,1,0))</f>
        <v/>
      </c>
      <c r="AB18" s="4" t="str">
        <f>IF($D18="","",IF(COUNTIF($C$1:C18,$D18)+COUNTIF($D$1:D17,$D18)=0,1,0))</f>
        <v/>
      </c>
      <c r="AC18" s="4" t="str">
        <f>IF(AA18=1,SUM($AA$2:AA18)-AA18+SUM($AB$2:AB18)-AB18+1,"")</f>
        <v/>
      </c>
      <c r="AD18" s="4" t="str">
        <f>IF(AB18=1,SUM($AA$2:AA18)+SUM($AB$2:AB18)-AB18+1,"")</f>
        <v/>
      </c>
      <c r="AE18" s="4" t="str">
        <f t="shared" si="2"/>
        <v/>
      </c>
      <c r="AF18" s="4" t="str">
        <f t="shared" si="3"/>
        <v/>
      </c>
      <c r="AG18" s="8">
        <f t="shared" si="4"/>
        <v>0</v>
      </c>
      <c r="AI18" s="8">
        <f t="shared" si="5"/>
        <v>0</v>
      </c>
    </row>
    <row r="19" spans="1:35" ht="15" customHeight="1" x14ac:dyDescent="0.2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3"/>
      <c r="P19" s="3"/>
      <c r="Q19" s="8"/>
      <c r="R19" s="8"/>
      <c r="S19" s="8"/>
      <c r="T19" s="8"/>
      <c r="U19" s="8"/>
      <c r="V19" s="8"/>
      <c r="W19" s="4" t="str">
        <f>IF($C19="","",SUMPRODUCT(($C$2:C19=C19)+($D$2:D19=C19)))</f>
        <v/>
      </c>
      <c r="X19" s="4" t="str">
        <f>IF($D19="","",SUMPRODUCT(($C$2:C19=D19)+($D$2:D19=D19)))</f>
        <v/>
      </c>
      <c r="Y19" s="4" t="str">
        <f t="shared" si="0"/>
        <v/>
      </c>
      <c r="Z19" s="4" t="str">
        <f t="shared" si="1"/>
        <v/>
      </c>
      <c r="AA19" s="4" t="str">
        <f>IF($C19="","",IF(COUNTIF($C$1:C18,$C19)+COUNTIF($D$1:D18,$C19)=0,1,0))</f>
        <v/>
      </c>
      <c r="AB19" s="4" t="str">
        <f>IF($D19="","",IF(COUNTIF($C$1:C19,$D19)+COUNTIF($D$1:D18,$D19)=0,1,0))</f>
        <v/>
      </c>
      <c r="AC19" s="4" t="str">
        <f>IF(AA19=1,SUM($AA$2:AA19)-AA19+SUM($AB$2:AB19)-AB19+1,"")</f>
        <v/>
      </c>
      <c r="AD19" s="4" t="str">
        <f>IF(AB19=1,SUM($AA$2:AA19)+SUM($AB$2:AB19)-AB19+1,"")</f>
        <v/>
      </c>
      <c r="AE19" s="4" t="str">
        <f t="shared" si="2"/>
        <v/>
      </c>
      <c r="AF19" s="4" t="str">
        <f t="shared" si="3"/>
        <v/>
      </c>
      <c r="AG19" s="8">
        <f t="shared" si="4"/>
        <v>0</v>
      </c>
      <c r="AI19" s="8">
        <f t="shared" si="5"/>
        <v>0</v>
      </c>
    </row>
    <row r="20" spans="1:35" ht="15" customHeight="1" x14ac:dyDescent="0.2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3"/>
      <c r="P20" s="3"/>
      <c r="Q20" s="8"/>
      <c r="R20" s="8"/>
      <c r="S20" s="8"/>
      <c r="T20" s="8"/>
      <c r="U20" s="8"/>
      <c r="V20" s="8"/>
      <c r="W20" s="4" t="str">
        <f>IF($C20="","",SUMPRODUCT(($C$2:C20=C20)+($D$2:D20=C20)))</f>
        <v/>
      </c>
      <c r="X20" s="4" t="str">
        <f>IF($D20="","",SUMPRODUCT(($C$2:C20=D20)+($D$2:D20=D20)))</f>
        <v/>
      </c>
      <c r="Y20" s="4" t="str">
        <f t="shared" si="0"/>
        <v/>
      </c>
      <c r="Z20" s="4" t="str">
        <f t="shared" si="1"/>
        <v/>
      </c>
      <c r="AA20" s="4" t="str">
        <f>IF($C20="","",IF(COUNTIF($C$1:C19,$C20)+COUNTIF($D$1:D19,$C20)=0,1,0))</f>
        <v/>
      </c>
      <c r="AB20" s="4" t="str">
        <f>IF($D20="","",IF(COUNTIF($C$1:C20,$D20)+COUNTIF($D$1:D19,$D20)=0,1,0))</f>
        <v/>
      </c>
      <c r="AC20" s="4" t="str">
        <f>IF(AA20=1,SUM($AA$2:AA20)-AA20+SUM($AB$2:AB20)-AB20+1,"")</f>
        <v/>
      </c>
      <c r="AD20" s="4" t="str">
        <f>IF(AB20=1,SUM($AA$2:AA20)+SUM($AB$2:AB20)-AB20+1,"")</f>
        <v/>
      </c>
      <c r="AE20" s="4" t="str">
        <f t="shared" si="2"/>
        <v/>
      </c>
      <c r="AF20" s="4" t="str">
        <f t="shared" si="3"/>
        <v/>
      </c>
      <c r="AG20" s="8">
        <f t="shared" si="4"/>
        <v>0</v>
      </c>
      <c r="AI20" s="8">
        <f t="shared" si="5"/>
        <v>0</v>
      </c>
    </row>
    <row r="21" spans="1:35" ht="15" customHeight="1" x14ac:dyDescent="0.2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3"/>
      <c r="P21" s="3"/>
      <c r="Q21" s="8"/>
      <c r="R21" s="8"/>
      <c r="S21" s="8"/>
      <c r="T21" s="8"/>
      <c r="U21" s="8"/>
      <c r="V21" s="8"/>
      <c r="W21" s="4" t="str">
        <f>IF($C21="","",SUMPRODUCT(($C$2:C21=C21)+($D$2:D21=C21)))</f>
        <v/>
      </c>
      <c r="X21" s="4" t="str">
        <f>IF($D21="","",SUMPRODUCT(($C$2:C21=D21)+($D$2:D21=D21)))</f>
        <v/>
      </c>
      <c r="Y21" s="4" t="str">
        <f t="shared" si="0"/>
        <v/>
      </c>
      <c r="Z21" s="4" t="str">
        <f t="shared" si="1"/>
        <v/>
      </c>
      <c r="AA21" s="4" t="str">
        <f>IF($C21="","",IF(COUNTIF($C$1:C20,$C21)+COUNTIF($D$1:D20,$C21)=0,1,0))</f>
        <v/>
      </c>
      <c r="AB21" s="4" t="str">
        <f>IF($D21="","",IF(COUNTIF($C$1:C21,$D21)+COUNTIF($D$1:D20,$D21)=0,1,0))</f>
        <v/>
      </c>
      <c r="AC21" s="4" t="str">
        <f>IF(AA21=1,SUM($AA$2:AA21)-AA21+SUM($AB$2:AB21)-AB21+1,"")</f>
        <v/>
      </c>
      <c r="AD21" s="4" t="str">
        <f>IF(AB21=1,SUM($AA$2:AA21)+SUM($AB$2:AB21)-AB21+1,"")</f>
        <v/>
      </c>
      <c r="AE21" s="4" t="str">
        <f t="shared" si="2"/>
        <v/>
      </c>
      <c r="AF21" s="4" t="str">
        <f t="shared" si="3"/>
        <v/>
      </c>
      <c r="AG21" s="8">
        <f t="shared" si="4"/>
        <v>0</v>
      </c>
      <c r="AI21" s="8">
        <f t="shared" si="5"/>
        <v>0</v>
      </c>
    </row>
    <row r="22" spans="1:35" ht="15" customHeight="1" x14ac:dyDescent="0.2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3"/>
      <c r="P22" s="3"/>
      <c r="Q22" s="8"/>
      <c r="R22" s="8"/>
      <c r="S22" s="8"/>
      <c r="T22" s="8"/>
      <c r="U22" s="8"/>
      <c r="V22" s="8"/>
      <c r="W22" s="4" t="str">
        <f>IF($C22="","",SUMPRODUCT(($C$2:C22=C22)+($D$2:D22=C22)))</f>
        <v/>
      </c>
      <c r="X22" s="4" t="str">
        <f>IF($D22="","",SUMPRODUCT(($C$2:C22=D22)+($D$2:D22=D22)))</f>
        <v/>
      </c>
      <c r="Y22" s="4" t="str">
        <f t="shared" si="0"/>
        <v/>
      </c>
      <c r="Z22" s="4" t="str">
        <f t="shared" si="1"/>
        <v/>
      </c>
      <c r="AA22" s="4" t="str">
        <f>IF($C22="","",IF(COUNTIF($C$1:C21,$C22)+COUNTIF($D$1:D21,$C22)=0,1,0))</f>
        <v/>
      </c>
      <c r="AB22" s="4" t="str">
        <f>IF($D22="","",IF(COUNTIF($C$1:C22,$D22)+COUNTIF($D$1:D21,$D22)=0,1,0))</f>
        <v/>
      </c>
      <c r="AC22" s="4" t="str">
        <f>IF(AA22=1,SUM($AA$2:AA22)-AA22+SUM($AB$2:AB22)-AB22+1,"")</f>
        <v/>
      </c>
      <c r="AD22" s="4" t="str">
        <f>IF(AB22=1,SUM($AA$2:AA22)+SUM($AB$2:AB22)-AB22+1,"")</f>
        <v/>
      </c>
      <c r="AE22" s="4" t="str">
        <f t="shared" si="2"/>
        <v/>
      </c>
      <c r="AF22" s="4" t="str">
        <f t="shared" si="3"/>
        <v/>
      </c>
      <c r="AG22" s="8">
        <f t="shared" si="4"/>
        <v>0</v>
      </c>
      <c r="AI22" s="8">
        <f t="shared" si="5"/>
        <v>0</v>
      </c>
    </row>
    <row r="23" spans="1:35" ht="15" customHeight="1" x14ac:dyDescent="0.2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"/>
      <c r="P23" s="3"/>
      <c r="Q23" s="8"/>
      <c r="R23" s="8"/>
      <c r="S23" s="8"/>
      <c r="T23" s="8"/>
      <c r="U23" s="8"/>
      <c r="V23" s="8"/>
      <c r="W23" s="4" t="str">
        <f>IF($C23="","",SUMPRODUCT(($C$2:C23=C23)+($D$2:D23=C23)))</f>
        <v/>
      </c>
      <c r="X23" s="4" t="str">
        <f>IF($D23="","",SUMPRODUCT(($C$2:C23=D23)+($D$2:D23=D23)))</f>
        <v/>
      </c>
      <c r="Y23" s="4" t="str">
        <f t="shared" si="0"/>
        <v/>
      </c>
      <c r="Z23" s="4" t="str">
        <f t="shared" si="1"/>
        <v/>
      </c>
      <c r="AA23" s="4" t="str">
        <f>IF($C23="","",IF(COUNTIF($C$1:C22,$C23)+COUNTIF($D$1:D22,$C23)=0,1,0))</f>
        <v/>
      </c>
      <c r="AB23" s="4" t="str">
        <f>IF($D23="","",IF(COUNTIF($C$1:C23,$D23)+COUNTIF($D$1:D22,$D23)=0,1,0))</f>
        <v/>
      </c>
      <c r="AC23" s="4" t="str">
        <f>IF(AA23=1,SUM($AA$2:AA23)-AA23+SUM($AB$2:AB23)-AB23+1,"")</f>
        <v/>
      </c>
      <c r="AD23" s="4" t="str">
        <f>IF(AB23=1,SUM($AA$2:AA23)+SUM($AB$2:AB23)-AB23+1,"")</f>
        <v/>
      </c>
      <c r="AE23" s="4" t="str">
        <f t="shared" si="2"/>
        <v/>
      </c>
      <c r="AF23" s="4" t="str">
        <f t="shared" si="3"/>
        <v/>
      </c>
      <c r="AG23" s="8">
        <f t="shared" si="4"/>
        <v>0</v>
      </c>
      <c r="AI23" s="8">
        <f t="shared" si="5"/>
        <v>0</v>
      </c>
    </row>
    <row r="24" spans="1:35" ht="15" customHeight="1" x14ac:dyDescent="0.2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3"/>
      <c r="P24" s="3"/>
      <c r="Q24" s="8"/>
      <c r="R24" s="8"/>
      <c r="S24" s="8"/>
      <c r="T24" s="8"/>
      <c r="U24" s="8"/>
      <c r="V24" s="8"/>
      <c r="W24" s="4" t="str">
        <f>IF($C24="","",SUMPRODUCT(($C$2:C24=C24)+($D$2:D24=C24)))</f>
        <v/>
      </c>
      <c r="X24" s="4" t="str">
        <f>IF($D24="","",SUMPRODUCT(($C$2:C24=D24)+($D$2:D24=D24)))</f>
        <v/>
      </c>
      <c r="Y24" s="4" t="str">
        <f t="shared" si="0"/>
        <v/>
      </c>
      <c r="Z24" s="4" t="str">
        <f t="shared" si="1"/>
        <v/>
      </c>
      <c r="AA24" s="4" t="str">
        <f>IF($C24="","",IF(COUNTIF($C$1:C23,$C24)+COUNTIF($D$1:D23,$C24)=0,1,0))</f>
        <v/>
      </c>
      <c r="AB24" s="4" t="str">
        <f>IF($D24="","",IF(COUNTIF($C$1:C24,$D24)+COUNTIF($D$1:D23,$D24)=0,1,0))</f>
        <v/>
      </c>
      <c r="AC24" s="4" t="str">
        <f>IF(AA24=1,SUM($AA$2:AA24)-AA24+SUM($AB$2:AB24)-AB24+1,"")</f>
        <v/>
      </c>
      <c r="AD24" s="4" t="str">
        <f>IF(AB24=1,SUM($AA$2:AA24)+SUM($AB$2:AB24)-AB24+1,"")</f>
        <v/>
      </c>
      <c r="AE24" s="4" t="str">
        <f t="shared" si="2"/>
        <v/>
      </c>
      <c r="AF24" s="4" t="str">
        <f t="shared" si="3"/>
        <v/>
      </c>
      <c r="AG24" s="8">
        <f t="shared" si="4"/>
        <v>0</v>
      </c>
      <c r="AI24" s="8">
        <f t="shared" si="5"/>
        <v>0</v>
      </c>
    </row>
    <row r="25" spans="1:35" ht="15" customHeight="1" x14ac:dyDescent="0.2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3"/>
      <c r="P25" s="3"/>
      <c r="Q25" s="8"/>
      <c r="R25" s="8"/>
      <c r="S25" s="8"/>
      <c r="T25" s="8"/>
      <c r="U25" s="8"/>
      <c r="V25" s="8"/>
      <c r="W25" s="4" t="str">
        <f>IF($C25="","",SUMPRODUCT(($C$2:C25=C25)+($D$2:D25=C25)))</f>
        <v/>
      </c>
      <c r="X25" s="4" t="str">
        <f>IF($D25="","",SUMPRODUCT(($C$2:C25=D25)+($D$2:D25=D25)))</f>
        <v/>
      </c>
      <c r="Y25" s="4" t="str">
        <f t="shared" si="0"/>
        <v/>
      </c>
      <c r="Z25" s="4" t="str">
        <f t="shared" si="1"/>
        <v/>
      </c>
      <c r="AA25" s="4" t="str">
        <f>IF($C25="","",IF(COUNTIF($C$1:C24,$C25)+COUNTIF($D$1:D24,$C25)=0,1,0))</f>
        <v/>
      </c>
      <c r="AB25" s="4" t="str">
        <f>IF($D25="","",IF(COUNTIF($C$1:C25,$D25)+COUNTIF($D$1:D24,$D25)=0,1,0))</f>
        <v/>
      </c>
      <c r="AC25" s="4" t="str">
        <f>IF(AA25=1,SUM($AA$2:AA25)-AA25+SUM($AB$2:AB25)-AB25+1,"")</f>
        <v/>
      </c>
      <c r="AD25" s="4" t="str">
        <f>IF(AB25=1,SUM($AA$2:AA25)+SUM($AB$2:AB25)-AB25+1,"")</f>
        <v/>
      </c>
      <c r="AE25" s="4" t="str">
        <f t="shared" si="2"/>
        <v/>
      </c>
      <c r="AF25" s="4" t="str">
        <f t="shared" si="3"/>
        <v/>
      </c>
      <c r="AG25" s="8">
        <f t="shared" si="4"/>
        <v>0</v>
      </c>
      <c r="AI25" s="8">
        <f t="shared" si="5"/>
        <v>0</v>
      </c>
    </row>
    <row r="26" spans="1:35" ht="15" customHeight="1" x14ac:dyDescent="0.2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3"/>
      <c r="P26" s="3"/>
      <c r="Q26" s="8"/>
      <c r="R26" s="8"/>
      <c r="S26" s="8"/>
      <c r="T26" s="8"/>
      <c r="U26" s="8"/>
      <c r="V26" s="8"/>
      <c r="W26" s="4" t="str">
        <f>IF($C26="","",SUMPRODUCT(($C$2:C26=C26)+($D$2:D26=C26)))</f>
        <v/>
      </c>
      <c r="X26" s="4" t="str">
        <f>IF($D26="","",SUMPRODUCT(($C$2:C26=D26)+($D$2:D26=D26)))</f>
        <v/>
      </c>
      <c r="Y26" s="4" t="str">
        <f t="shared" si="0"/>
        <v/>
      </c>
      <c r="Z26" s="4" t="str">
        <f t="shared" si="1"/>
        <v/>
      </c>
      <c r="AA26" s="4" t="str">
        <f>IF($C26="","",IF(COUNTIF($C$1:C25,$C26)+COUNTIF($D$1:D25,$C26)=0,1,0))</f>
        <v/>
      </c>
      <c r="AB26" s="4" t="str">
        <f>IF($D26="","",IF(COUNTIF($C$1:C26,$D26)+COUNTIF($D$1:D25,$D26)=0,1,0))</f>
        <v/>
      </c>
      <c r="AC26" s="4" t="str">
        <f>IF(AA26=1,SUM($AA$2:AA26)-AA26+SUM($AB$2:AB26)-AB26+1,"")</f>
        <v/>
      </c>
      <c r="AD26" s="4" t="str">
        <f>IF(AB26=1,SUM($AA$2:AA26)+SUM($AB$2:AB26)-AB26+1,"")</f>
        <v/>
      </c>
      <c r="AE26" s="4" t="str">
        <f t="shared" si="2"/>
        <v/>
      </c>
      <c r="AF26" s="4" t="str">
        <f t="shared" si="3"/>
        <v/>
      </c>
      <c r="AG26" s="8">
        <f t="shared" si="4"/>
        <v>0</v>
      </c>
      <c r="AI26" s="8">
        <f t="shared" si="5"/>
        <v>0</v>
      </c>
    </row>
    <row r="27" spans="1:35" ht="15" customHeight="1" x14ac:dyDescent="0.2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3"/>
      <c r="P27" s="3"/>
      <c r="Q27" s="8"/>
      <c r="R27" s="8"/>
      <c r="S27" s="8"/>
      <c r="T27" s="8"/>
      <c r="U27" s="8"/>
      <c r="V27" s="8"/>
      <c r="W27" s="4" t="str">
        <f>IF($C27="","",SUMPRODUCT(($C$2:C27=C27)+($D$2:D27=C27)))</f>
        <v/>
      </c>
      <c r="X27" s="4" t="str">
        <f>IF($D27="","",SUMPRODUCT(($C$2:C27=D27)+($D$2:D27=D27)))</f>
        <v/>
      </c>
      <c r="Y27" s="4" t="str">
        <f t="shared" si="0"/>
        <v/>
      </c>
      <c r="Z27" s="4" t="str">
        <f t="shared" si="1"/>
        <v/>
      </c>
      <c r="AA27" s="4" t="str">
        <f>IF($C27="","",IF(COUNTIF($C$1:C26,$C27)+COUNTIF($D$1:D26,$C27)=0,1,0))</f>
        <v/>
      </c>
      <c r="AB27" s="4" t="str">
        <f>IF($D27="","",IF(COUNTIF($C$1:C27,$D27)+COUNTIF($D$1:D26,$D27)=0,1,0))</f>
        <v/>
      </c>
      <c r="AC27" s="4" t="str">
        <f>IF(AA27=1,SUM($AA$2:AA27)-AA27+SUM($AB$2:AB27)-AB27+1,"")</f>
        <v/>
      </c>
      <c r="AD27" s="4" t="str">
        <f>IF(AB27=1,SUM($AA$2:AA27)+SUM($AB$2:AB27)-AB27+1,"")</f>
        <v/>
      </c>
      <c r="AE27" s="4" t="str">
        <f t="shared" si="2"/>
        <v/>
      </c>
      <c r="AF27" s="4" t="str">
        <f t="shared" si="3"/>
        <v/>
      </c>
      <c r="AG27" s="8">
        <f t="shared" si="4"/>
        <v>0</v>
      </c>
      <c r="AI27" s="8">
        <f t="shared" si="5"/>
        <v>0</v>
      </c>
    </row>
    <row r="28" spans="1:35" ht="15" customHeight="1" x14ac:dyDescent="0.2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3"/>
      <c r="P28" s="3"/>
      <c r="Q28" s="8"/>
      <c r="R28" s="8"/>
      <c r="S28" s="8"/>
      <c r="T28" s="8"/>
      <c r="U28" s="8"/>
      <c r="V28" s="8"/>
      <c r="W28" s="4" t="str">
        <f>IF($C28="","",SUMPRODUCT(($C$2:C28=C28)+($D$2:D28=C28)))</f>
        <v/>
      </c>
      <c r="X28" s="4" t="str">
        <f>IF($D28="","",SUMPRODUCT(($C$2:C28=D28)+($D$2:D28=D28)))</f>
        <v/>
      </c>
      <c r="Y28" s="4" t="str">
        <f t="shared" si="0"/>
        <v/>
      </c>
      <c r="Z28" s="4" t="str">
        <f t="shared" si="1"/>
        <v/>
      </c>
      <c r="AA28" s="4" t="str">
        <f>IF($C28="","",IF(COUNTIF($C$1:C27,$C28)+COUNTIF($D$1:D27,$C28)=0,1,0))</f>
        <v/>
      </c>
      <c r="AB28" s="4" t="str">
        <f>IF($D28="","",IF(COUNTIF($C$1:C28,$D28)+COUNTIF($D$1:D27,$D28)=0,1,0))</f>
        <v/>
      </c>
      <c r="AC28" s="4" t="str">
        <f>IF(AA28=1,SUM($AA$2:AA28)-AA28+SUM($AB$2:AB28)-AB28+1,"")</f>
        <v/>
      </c>
      <c r="AD28" s="4" t="str">
        <f>IF(AB28=1,SUM($AA$2:AA28)+SUM($AB$2:AB28)-AB28+1,"")</f>
        <v/>
      </c>
      <c r="AE28" s="4" t="str">
        <f t="shared" si="2"/>
        <v/>
      </c>
      <c r="AF28" s="4" t="str">
        <f t="shared" si="3"/>
        <v/>
      </c>
      <c r="AG28" s="8">
        <f t="shared" si="4"/>
        <v>0</v>
      </c>
      <c r="AI28" s="8">
        <f t="shared" si="5"/>
        <v>0</v>
      </c>
    </row>
    <row r="29" spans="1:35" ht="15" customHeight="1" x14ac:dyDescent="0.2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3"/>
      <c r="P29" s="3"/>
      <c r="Q29" s="8"/>
      <c r="R29" s="8"/>
      <c r="S29" s="8"/>
      <c r="T29" s="8"/>
      <c r="U29" s="8"/>
      <c r="V29" s="8"/>
      <c r="W29" s="4" t="str">
        <f>IF($C29="","",SUMPRODUCT(($C$2:C29=C29)+($D$2:D29=C29)))</f>
        <v/>
      </c>
      <c r="X29" s="4" t="str">
        <f>IF($D29="","",SUMPRODUCT(($C$2:C29=D29)+($D$2:D29=D29)))</f>
        <v/>
      </c>
      <c r="Y29" s="4" t="str">
        <f t="shared" si="0"/>
        <v/>
      </c>
      <c r="Z29" s="4" t="str">
        <f t="shared" si="1"/>
        <v/>
      </c>
      <c r="AA29" s="4" t="str">
        <f>IF($C29="","",IF(COUNTIF($C$1:C28,$C29)+COUNTIF($D$1:D28,$C29)=0,1,0))</f>
        <v/>
      </c>
      <c r="AB29" s="4" t="str">
        <f>IF($D29="","",IF(COUNTIF($C$1:C29,$D29)+COUNTIF($D$1:D28,$D29)=0,1,0))</f>
        <v/>
      </c>
      <c r="AC29" s="4" t="str">
        <f>IF(AA29=1,SUM($AA$2:AA29)-AA29+SUM($AB$2:AB29)-AB29+1,"")</f>
        <v/>
      </c>
      <c r="AD29" s="4" t="str">
        <f>IF(AB29=1,SUM($AA$2:AA29)+SUM($AB$2:AB29)-AB29+1,"")</f>
        <v/>
      </c>
      <c r="AE29" s="4" t="str">
        <f t="shared" si="2"/>
        <v/>
      </c>
      <c r="AF29" s="4" t="str">
        <f t="shared" si="3"/>
        <v/>
      </c>
      <c r="AG29" s="8">
        <f t="shared" si="4"/>
        <v>0</v>
      </c>
      <c r="AI29" s="8">
        <f t="shared" si="5"/>
        <v>0</v>
      </c>
    </row>
    <row r="30" spans="1:35" ht="15" customHeight="1" x14ac:dyDescent="0.2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3"/>
      <c r="P30" s="3"/>
      <c r="Q30" s="8"/>
      <c r="R30" s="8"/>
      <c r="S30" s="8"/>
      <c r="T30" s="8"/>
      <c r="U30" s="8"/>
      <c r="V30" s="8"/>
      <c r="W30" s="4" t="str">
        <f>IF($C30="","",SUMPRODUCT(($C$2:C30=C30)+($D$2:D30=C30)))</f>
        <v/>
      </c>
      <c r="X30" s="4" t="str">
        <f>IF($D30="","",SUMPRODUCT(($C$2:C30=D30)+($D$2:D30=D30)))</f>
        <v/>
      </c>
      <c r="Y30" s="4" t="str">
        <f t="shared" si="0"/>
        <v/>
      </c>
      <c r="Z30" s="4" t="str">
        <f t="shared" si="1"/>
        <v/>
      </c>
      <c r="AA30" s="4" t="str">
        <f>IF($C30="","",IF(COUNTIF($C$1:C29,$C30)+COUNTIF($D$1:D29,$C30)=0,1,0))</f>
        <v/>
      </c>
      <c r="AB30" s="4" t="str">
        <f>IF($D30="","",IF(COUNTIF($C$1:C30,$D30)+COUNTIF($D$1:D29,$D30)=0,1,0))</f>
        <v/>
      </c>
      <c r="AC30" s="4" t="str">
        <f>IF(AA30=1,SUM($AA$2:AA30)-AA30+SUM($AB$2:AB30)-AB30+1,"")</f>
        <v/>
      </c>
      <c r="AD30" s="4" t="str">
        <f>IF(AB30=1,SUM($AA$2:AA30)+SUM($AB$2:AB30)-AB30+1,"")</f>
        <v/>
      </c>
      <c r="AE30" s="4" t="str">
        <f t="shared" si="2"/>
        <v/>
      </c>
      <c r="AF30" s="4" t="str">
        <f t="shared" si="3"/>
        <v/>
      </c>
      <c r="AG30" s="8">
        <f t="shared" si="4"/>
        <v>0</v>
      </c>
      <c r="AI30" s="8">
        <f t="shared" si="5"/>
        <v>0</v>
      </c>
    </row>
    <row r="31" spans="1:35" ht="15" customHeight="1" x14ac:dyDescent="0.2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3"/>
      <c r="P31" s="3"/>
      <c r="Q31" s="8"/>
      <c r="R31" s="8"/>
      <c r="S31" s="8"/>
      <c r="T31" s="8"/>
      <c r="U31" s="8"/>
      <c r="V31" s="8"/>
      <c r="W31" s="4" t="str">
        <f>IF($C31="","",SUMPRODUCT(($C$2:C31=C31)+($D$2:D31=C31)))</f>
        <v/>
      </c>
      <c r="X31" s="4" t="str">
        <f>IF($D31="","",SUMPRODUCT(($C$2:C31=D31)+($D$2:D31=D31)))</f>
        <v/>
      </c>
      <c r="Y31" s="4" t="str">
        <f t="shared" si="0"/>
        <v/>
      </c>
      <c r="Z31" s="4" t="str">
        <f t="shared" si="1"/>
        <v/>
      </c>
      <c r="AA31" s="4" t="str">
        <f>IF($C31="","",IF(COUNTIF($C$1:C30,$C31)+COUNTIF($D$1:D30,$C31)=0,1,0))</f>
        <v/>
      </c>
      <c r="AB31" s="4" t="str">
        <f>IF($D31="","",IF(COUNTIF($C$1:C31,$D31)+COUNTIF($D$1:D30,$D31)=0,1,0))</f>
        <v/>
      </c>
      <c r="AC31" s="4" t="str">
        <f>IF(AA31=1,SUM($AA$2:AA31)-AA31+SUM($AB$2:AB31)-AB31+1,"")</f>
        <v/>
      </c>
      <c r="AD31" s="4" t="str">
        <f>IF(AB31=1,SUM($AA$2:AA31)+SUM($AB$2:AB31)-AB31+1,"")</f>
        <v/>
      </c>
      <c r="AE31" s="4" t="str">
        <f t="shared" si="2"/>
        <v/>
      </c>
      <c r="AF31" s="4" t="str">
        <f t="shared" si="3"/>
        <v/>
      </c>
      <c r="AG31" s="8">
        <f t="shared" si="4"/>
        <v>0</v>
      </c>
      <c r="AI31" s="8">
        <f t="shared" si="5"/>
        <v>0</v>
      </c>
    </row>
    <row r="32" spans="1:35" ht="15" customHeight="1" x14ac:dyDescent="0.2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3"/>
      <c r="P32" s="3"/>
      <c r="Q32" s="8"/>
      <c r="R32" s="8"/>
      <c r="S32" s="8"/>
      <c r="T32" s="8"/>
      <c r="U32" s="8"/>
      <c r="V32" s="8"/>
      <c r="W32" s="4" t="str">
        <f>IF($C32="","",SUMPRODUCT(($C$2:C32=C32)+($D$2:D32=C32)))</f>
        <v/>
      </c>
      <c r="X32" s="4" t="str">
        <f>IF($D32="","",SUMPRODUCT(($C$2:C32=D32)+($D$2:D32=D32)))</f>
        <v/>
      </c>
      <c r="Y32" s="4" t="str">
        <f t="shared" si="0"/>
        <v/>
      </c>
      <c r="Z32" s="4" t="str">
        <f t="shared" si="1"/>
        <v/>
      </c>
      <c r="AA32" s="4" t="str">
        <f>IF($C32="","",IF(COUNTIF($C$1:C31,$C32)+COUNTIF($D$1:D31,$C32)=0,1,0))</f>
        <v/>
      </c>
      <c r="AB32" s="4" t="str">
        <f>IF($D32="","",IF(COUNTIF($C$1:C32,$D32)+COUNTIF($D$1:D31,$D32)=0,1,0))</f>
        <v/>
      </c>
      <c r="AC32" s="4" t="str">
        <f>IF(AA32=1,SUM($AA$2:AA32)-AA32+SUM($AB$2:AB32)-AB32+1,"")</f>
        <v/>
      </c>
      <c r="AD32" s="4" t="str">
        <f>IF(AB32=1,SUM($AA$2:AA32)+SUM($AB$2:AB32)-AB32+1,"")</f>
        <v/>
      </c>
      <c r="AE32" s="4" t="str">
        <f t="shared" si="2"/>
        <v/>
      </c>
      <c r="AF32" s="4" t="str">
        <f t="shared" si="3"/>
        <v/>
      </c>
      <c r="AG32" s="8">
        <f t="shared" si="4"/>
        <v>0</v>
      </c>
      <c r="AI32" s="8">
        <f t="shared" si="5"/>
        <v>0</v>
      </c>
    </row>
    <row r="33" spans="1:35" ht="15" customHeight="1" x14ac:dyDescent="0.2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3"/>
      <c r="P33" s="3"/>
      <c r="Q33" s="8"/>
      <c r="R33" s="8"/>
      <c r="S33" s="8"/>
      <c r="T33" s="8"/>
      <c r="U33" s="8"/>
      <c r="V33" s="8"/>
      <c r="W33" s="4" t="str">
        <f>IF($C33="","",SUMPRODUCT(($C$2:C33=C33)+($D$2:D33=C33)))</f>
        <v/>
      </c>
      <c r="X33" s="4" t="str">
        <f>IF($D33="","",SUMPRODUCT(($C$2:C33=D33)+($D$2:D33=D33)))</f>
        <v/>
      </c>
      <c r="Y33" s="4" t="str">
        <f t="shared" si="0"/>
        <v/>
      </c>
      <c r="Z33" s="4" t="str">
        <f t="shared" si="1"/>
        <v/>
      </c>
      <c r="AA33" s="4" t="str">
        <f>IF($C33="","",IF(COUNTIF($C$1:C32,$C33)+COUNTIF($D$1:D32,$C33)=0,1,0))</f>
        <v/>
      </c>
      <c r="AB33" s="4" t="str">
        <f>IF($D33="","",IF(COUNTIF($C$1:C33,$D33)+COUNTIF($D$1:D32,$D33)=0,1,0))</f>
        <v/>
      </c>
      <c r="AC33" s="4" t="str">
        <f>IF(AA33=1,SUM($AA$2:AA33)-AA33+SUM($AB$2:AB33)-AB33+1,"")</f>
        <v/>
      </c>
      <c r="AD33" s="4" t="str">
        <f>IF(AB33=1,SUM($AA$2:AA33)+SUM($AB$2:AB33)-AB33+1,"")</f>
        <v/>
      </c>
      <c r="AE33" s="4" t="str">
        <f t="shared" si="2"/>
        <v/>
      </c>
      <c r="AF33" s="4" t="str">
        <f t="shared" si="3"/>
        <v/>
      </c>
      <c r="AG33" s="8">
        <f t="shared" si="4"/>
        <v>0</v>
      </c>
      <c r="AI33" s="8">
        <f t="shared" si="5"/>
        <v>0</v>
      </c>
    </row>
    <row r="34" spans="1:35" ht="15" customHeight="1" x14ac:dyDescent="0.25">
      <c r="A34" s="10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3"/>
      <c r="P34" s="3"/>
      <c r="Q34" s="8"/>
      <c r="R34" s="8"/>
      <c r="S34" s="8"/>
      <c r="T34" s="8"/>
      <c r="U34" s="8"/>
      <c r="V34" s="8"/>
      <c r="W34" s="4" t="str">
        <f>IF($C34="","",SUMPRODUCT(($C$2:C34=C34)+($D$2:D34=C34)))</f>
        <v/>
      </c>
      <c r="X34" s="4" t="str">
        <f>IF($D34="","",SUMPRODUCT(($C$2:C34=D34)+($D$2:D34=D34)))</f>
        <v/>
      </c>
      <c r="Y34" s="4" t="str">
        <f t="shared" si="0"/>
        <v/>
      </c>
      <c r="Z34" s="4" t="str">
        <f t="shared" si="1"/>
        <v/>
      </c>
      <c r="AA34" s="4" t="str">
        <f>IF($C34="","",IF(COUNTIF($C$1:C33,$C34)+COUNTIF($D$1:D33,$C34)=0,1,0))</f>
        <v/>
      </c>
      <c r="AB34" s="4" t="str">
        <f>IF($D34="","",IF(COUNTIF($C$1:C34,$D34)+COUNTIF($D$1:D33,$D34)=0,1,0))</f>
        <v/>
      </c>
      <c r="AC34" s="4" t="str">
        <f>IF(AA34=1,SUM($AA$2:AA34)-AA34+SUM($AB$2:AB34)-AB34+1,"")</f>
        <v/>
      </c>
      <c r="AD34" s="4" t="str">
        <f>IF(AB34=1,SUM($AA$2:AA34)+SUM($AB$2:AB34)-AB34+1,"")</f>
        <v/>
      </c>
      <c r="AE34" s="4" t="str">
        <f t="shared" si="2"/>
        <v/>
      </c>
      <c r="AF34" s="4" t="str">
        <f t="shared" si="3"/>
        <v/>
      </c>
      <c r="AG34" s="8">
        <f t="shared" si="4"/>
        <v>0</v>
      </c>
      <c r="AI34" s="8">
        <f t="shared" si="5"/>
        <v>0</v>
      </c>
    </row>
    <row r="35" spans="1:35" ht="15" customHeight="1" x14ac:dyDescent="0.25">
      <c r="A35" s="10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3"/>
      <c r="P35" s="3"/>
      <c r="Q35" s="8"/>
      <c r="R35" s="8"/>
      <c r="S35" s="8"/>
      <c r="T35" s="8"/>
      <c r="U35" s="8"/>
      <c r="V35" s="8"/>
      <c r="W35" s="4" t="str">
        <f>IF($C35="","",SUMPRODUCT(($C$2:C35=C35)+($D$2:D35=C35)))</f>
        <v/>
      </c>
      <c r="X35" s="4" t="str">
        <f>IF($D35="","",SUMPRODUCT(($C$2:C35=D35)+($D$2:D35=D35)))</f>
        <v/>
      </c>
      <c r="Y35" s="4" t="str">
        <f t="shared" si="0"/>
        <v/>
      </c>
      <c r="Z35" s="4" t="str">
        <f t="shared" si="1"/>
        <v/>
      </c>
      <c r="AA35" s="4" t="str">
        <f>IF($C35="","",IF(COUNTIF($C$1:C34,$C35)+COUNTIF($D$1:D34,$C35)=0,1,0))</f>
        <v/>
      </c>
      <c r="AB35" s="4" t="str">
        <f>IF($D35="","",IF(COUNTIF($C$1:C35,$D35)+COUNTIF($D$1:D34,$D35)=0,1,0))</f>
        <v/>
      </c>
      <c r="AC35" s="4" t="str">
        <f>IF(AA35=1,SUM($AA$2:AA35)-AA35+SUM($AB$2:AB35)-AB35+1,"")</f>
        <v/>
      </c>
      <c r="AD35" s="4" t="str">
        <f>IF(AB35=1,SUM($AA$2:AA35)+SUM($AB$2:AB35)-AB35+1,"")</f>
        <v/>
      </c>
      <c r="AE35" s="4" t="str">
        <f t="shared" si="2"/>
        <v/>
      </c>
      <c r="AF35" s="4" t="str">
        <f t="shared" si="3"/>
        <v/>
      </c>
      <c r="AG35" s="8">
        <f t="shared" si="4"/>
        <v>0</v>
      </c>
      <c r="AI35" s="8">
        <f t="shared" si="5"/>
        <v>0</v>
      </c>
    </row>
    <row r="36" spans="1:35" ht="15" customHeight="1" x14ac:dyDescent="0.25">
      <c r="A36" s="1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3"/>
      <c r="P36" s="3"/>
      <c r="Q36" s="8"/>
      <c r="R36" s="8"/>
      <c r="S36" s="8"/>
      <c r="T36" s="8"/>
      <c r="U36" s="8"/>
      <c r="V36" s="8"/>
      <c r="W36" s="4" t="str">
        <f>IF($C36="","",SUMPRODUCT(($C$2:C36=C36)+($D$2:D36=C36)))</f>
        <v/>
      </c>
      <c r="X36" s="4" t="str">
        <f>IF($D36="","",SUMPRODUCT(($C$2:C36=D36)+($D$2:D36=D36)))</f>
        <v/>
      </c>
      <c r="Y36" s="4" t="str">
        <f t="shared" si="0"/>
        <v/>
      </c>
      <c r="Z36" s="4" t="str">
        <f t="shared" si="1"/>
        <v/>
      </c>
      <c r="AA36" s="4" t="str">
        <f>IF($C36="","",IF(COUNTIF($C$1:C35,$C36)+COUNTIF($D$1:D35,$C36)=0,1,0))</f>
        <v/>
      </c>
      <c r="AB36" s="4" t="str">
        <f>IF($D36="","",IF(COUNTIF($C$1:C36,$D36)+COUNTIF($D$1:D35,$D36)=0,1,0))</f>
        <v/>
      </c>
      <c r="AC36" s="4" t="str">
        <f>IF(AA36=1,SUM($AA$2:AA36)-AA36+SUM($AB$2:AB36)-AB36+1,"")</f>
        <v/>
      </c>
      <c r="AD36" s="4" t="str">
        <f>IF(AB36=1,SUM($AA$2:AA36)+SUM($AB$2:AB36)-AB36+1,"")</f>
        <v/>
      </c>
      <c r="AE36" s="4" t="str">
        <f t="shared" si="2"/>
        <v/>
      </c>
      <c r="AF36" s="4" t="str">
        <f t="shared" si="3"/>
        <v/>
      </c>
      <c r="AG36" s="8">
        <f t="shared" si="4"/>
        <v>0</v>
      </c>
      <c r="AI36" s="8">
        <f t="shared" si="5"/>
        <v>0</v>
      </c>
    </row>
    <row r="37" spans="1:35" ht="15" customHeight="1" x14ac:dyDescent="0.25">
      <c r="A37" s="10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3"/>
      <c r="P37" s="3"/>
      <c r="Q37" s="8"/>
      <c r="R37" s="8"/>
      <c r="S37" s="8"/>
      <c r="T37" s="8"/>
      <c r="U37" s="8"/>
      <c r="V37" s="8"/>
      <c r="W37" s="4" t="str">
        <f>IF($C37="","",SUMPRODUCT(($C$2:C37=C37)+($D$2:D37=C37)))</f>
        <v/>
      </c>
      <c r="X37" s="4" t="str">
        <f>IF($D37="","",SUMPRODUCT(($C$2:C37=D37)+($D$2:D37=D37)))</f>
        <v/>
      </c>
      <c r="Y37" s="4" t="str">
        <f t="shared" si="0"/>
        <v/>
      </c>
      <c r="Z37" s="4" t="str">
        <f t="shared" si="1"/>
        <v/>
      </c>
      <c r="AA37" s="4" t="str">
        <f>IF($C37="","",IF(COUNTIF($C$1:C36,$C37)+COUNTIF($D$1:D36,$C37)=0,1,0))</f>
        <v/>
      </c>
      <c r="AB37" s="4" t="str">
        <f>IF($D37="","",IF(COUNTIF($C$1:C37,$D37)+COUNTIF($D$1:D36,$D37)=0,1,0))</f>
        <v/>
      </c>
      <c r="AC37" s="4" t="str">
        <f>IF(AA37=1,SUM($AA$2:AA37)-AA37+SUM($AB$2:AB37)-AB37+1,"")</f>
        <v/>
      </c>
      <c r="AD37" s="4" t="str">
        <f>IF(AB37=1,SUM($AA$2:AA37)+SUM($AB$2:AB37)-AB37+1,"")</f>
        <v/>
      </c>
      <c r="AE37" s="4" t="str">
        <f t="shared" si="2"/>
        <v/>
      </c>
      <c r="AF37" s="4" t="str">
        <f t="shared" si="3"/>
        <v/>
      </c>
      <c r="AG37" s="8">
        <f t="shared" si="4"/>
        <v>0</v>
      </c>
      <c r="AI37" s="8">
        <f t="shared" si="5"/>
        <v>0</v>
      </c>
    </row>
    <row r="38" spans="1:35" ht="15" customHeight="1" x14ac:dyDescent="0.25">
      <c r="A38" s="10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3"/>
      <c r="P38" s="3"/>
      <c r="Q38" s="8"/>
      <c r="R38" s="8"/>
      <c r="S38" s="8"/>
      <c r="T38" s="8"/>
      <c r="U38" s="8"/>
      <c r="V38" s="8"/>
      <c r="W38" s="4" t="str">
        <f>IF($C38="","",SUMPRODUCT(($C$2:C38=C38)+($D$2:D38=C38)))</f>
        <v/>
      </c>
      <c r="X38" s="4" t="str">
        <f>IF($D38="","",SUMPRODUCT(($C$2:C38=D38)+($D$2:D38=D38)))</f>
        <v/>
      </c>
      <c r="Y38" s="4" t="str">
        <f t="shared" si="0"/>
        <v/>
      </c>
      <c r="Z38" s="4" t="str">
        <f t="shared" si="1"/>
        <v/>
      </c>
      <c r="AA38" s="4" t="str">
        <f>IF($C38="","",IF(COUNTIF($C$1:C37,$C38)+COUNTIF($D$1:D37,$C38)=0,1,0))</f>
        <v/>
      </c>
      <c r="AB38" s="4" t="str">
        <f>IF($D38="","",IF(COUNTIF($C$1:C38,$D38)+COUNTIF($D$1:D37,$D38)=0,1,0))</f>
        <v/>
      </c>
      <c r="AC38" s="4" t="str">
        <f>IF(AA38=1,SUM($AA$2:AA38)-AA38+SUM($AB$2:AB38)-AB38+1,"")</f>
        <v/>
      </c>
      <c r="AD38" s="4" t="str">
        <f>IF(AB38=1,SUM($AA$2:AA38)+SUM($AB$2:AB38)-AB38+1,"")</f>
        <v/>
      </c>
      <c r="AE38" s="4" t="str">
        <f t="shared" si="2"/>
        <v/>
      </c>
      <c r="AF38" s="4" t="str">
        <f t="shared" si="3"/>
        <v/>
      </c>
      <c r="AG38" s="8">
        <f t="shared" si="4"/>
        <v>0</v>
      </c>
      <c r="AI38" s="8">
        <f t="shared" si="5"/>
        <v>0</v>
      </c>
    </row>
    <row r="39" spans="1:35" ht="15" customHeight="1" x14ac:dyDescent="0.25">
      <c r="A39" s="10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3"/>
      <c r="P39" s="3"/>
      <c r="Q39" s="8"/>
      <c r="R39" s="8"/>
      <c r="S39" s="8"/>
      <c r="T39" s="8"/>
      <c r="U39" s="8"/>
      <c r="V39" s="8"/>
      <c r="W39" s="4" t="str">
        <f>IF($C39="","",SUMPRODUCT(($C$2:C39=C39)+($D$2:D39=C39)))</f>
        <v/>
      </c>
      <c r="X39" s="4" t="str">
        <f>IF($D39="","",SUMPRODUCT(($C$2:C39=D39)+($D$2:D39=D39)))</f>
        <v/>
      </c>
      <c r="Y39" s="4" t="str">
        <f t="shared" si="0"/>
        <v/>
      </c>
      <c r="Z39" s="4" t="str">
        <f t="shared" si="1"/>
        <v/>
      </c>
      <c r="AA39" s="4" t="str">
        <f>IF($C39="","",IF(COUNTIF($C$1:C38,$C39)+COUNTIF($D$1:D38,$C39)=0,1,0))</f>
        <v/>
      </c>
      <c r="AB39" s="4" t="str">
        <f>IF($D39="","",IF(COUNTIF($C$1:C39,$D39)+COUNTIF($D$1:D38,$D39)=0,1,0))</f>
        <v/>
      </c>
      <c r="AC39" s="4" t="str">
        <f>IF(AA39=1,SUM($AA$2:AA39)-AA39+SUM($AB$2:AB39)-AB39+1,"")</f>
        <v/>
      </c>
      <c r="AD39" s="4" t="str">
        <f>IF(AB39=1,SUM($AA$2:AA39)+SUM($AB$2:AB39)-AB39+1,"")</f>
        <v/>
      </c>
      <c r="AE39" s="4" t="str">
        <f t="shared" si="2"/>
        <v/>
      </c>
      <c r="AF39" s="4" t="str">
        <f t="shared" si="3"/>
        <v/>
      </c>
      <c r="AG39" s="8">
        <f t="shared" si="4"/>
        <v>0</v>
      </c>
      <c r="AI39" s="8">
        <f t="shared" si="5"/>
        <v>0</v>
      </c>
    </row>
    <row r="40" spans="1:35" ht="15" customHeight="1" x14ac:dyDescent="0.25">
      <c r="A40" s="1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3"/>
      <c r="P40" s="3"/>
      <c r="Q40" s="8"/>
      <c r="R40" s="8"/>
      <c r="S40" s="8"/>
      <c r="T40" s="8"/>
      <c r="U40" s="8"/>
      <c r="V40" s="8"/>
      <c r="W40" s="4" t="str">
        <f>IF($C40="","",SUMPRODUCT(($C$2:C40=C40)+($D$2:D40=C40)))</f>
        <v/>
      </c>
      <c r="X40" s="4" t="str">
        <f>IF($D40="","",SUMPRODUCT(($C$2:C40=D40)+($D$2:D40=D40)))</f>
        <v/>
      </c>
      <c r="Y40" s="4" t="str">
        <f t="shared" si="0"/>
        <v/>
      </c>
      <c r="Z40" s="4" t="str">
        <f t="shared" si="1"/>
        <v/>
      </c>
      <c r="AA40" s="4" t="str">
        <f>IF($C40="","",IF(COUNTIF($C$1:C39,$C40)+COUNTIF($D$1:D39,$C40)=0,1,0))</f>
        <v/>
      </c>
      <c r="AB40" s="4" t="str">
        <f>IF($D40="","",IF(COUNTIF($C$1:C40,$D40)+COUNTIF($D$1:D39,$D40)=0,1,0))</f>
        <v/>
      </c>
      <c r="AC40" s="4" t="str">
        <f>IF(AA40=1,SUM($AA$2:AA40)-AA40+SUM($AB$2:AB40)-AB40+1,"")</f>
        <v/>
      </c>
      <c r="AD40" s="4" t="str">
        <f>IF(AB40=1,SUM($AA$2:AA40)+SUM($AB$2:AB40)-AB40+1,"")</f>
        <v/>
      </c>
      <c r="AE40" s="4" t="str">
        <f t="shared" si="2"/>
        <v/>
      </c>
      <c r="AF40" s="4" t="str">
        <f t="shared" si="3"/>
        <v/>
      </c>
      <c r="AG40" s="8">
        <f t="shared" si="4"/>
        <v>0</v>
      </c>
      <c r="AI40" s="8">
        <f t="shared" si="5"/>
        <v>0</v>
      </c>
    </row>
    <row r="41" spans="1:35" ht="15" customHeight="1" x14ac:dyDescent="0.25">
      <c r="A41" s="10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3"/>
      <c r="P41" s="3"/>
      <c r="Q41" s="8"/>
      <c r="R41" s="8"/>
      <c r="S41" s="8"/>
      <c r="T41" s="8"/>
      <c r="U41" s="8"/>
      <c r="V41" s="8"/>
      <c r="W41" s="4" t="str">
        <f>IF($C41="","",SUMPRODUCT(($C$2:C41=C41)+($D$2:D41=C41)))</f>
        <v/>
      </c>
      <c r="X41" s="4" t="str">
        <f>IF($D41="","",SUMPRODUCT(($C$2:C41=D41)+($D$2:D41=D41)))</f>
        <v/>
      </c>
      <c r="Y41" s="4" t="str">
        <f t="shared" si="0"/>
        <v/>
      </c>
      <c r="Z41" s="4" t="str">
        <f t="shared" si="1"/>
        <v/>
      </c>
      <c r="AA41" s="4" t="str">
        <f>IF($C41="","",IF(COUNTIF($C$1:C40,$C41)+COUNTIF($D$1:D40,$C41)=0,1,0))</f>
        <v/>
      </c>
      <c r="AB41" s="4" t="str">
        <f>IF($D41="","",IF(COUNTIF($C$1:C41,$D41)+COUNTIF($D$1:D40,$D41)=0,1,0))</f>
        <v/>
      </c>
      <c r="AC41" s="4" t="str">
        <f>IF(AA41=1,SUM($AA$2:AA41)-AA41+SUM($AB$2:AB41)-AB41+1,"")</f>
        <v/>
      </c>
      <c r="AD41" s="4" t="str">
        <f>IF(AB41=1,SUM($AA$2:AA41)+SUM($AB$2:AB41)-AB41+1,"")</f>
        <v/>
      </c>
      <c r="AE41" s="4" t="str">
        <f t="shared" si="2"/>
        <v/>
      </c>
      <c r="AF41" s="4" t="str">
        <f t="shared" si="3"/>
        <v/>
      </c>
      <c r="AG41" s="8">
        <f t="shared" si="4"/>
        <v>0</v>
      </c>
      <c r="AI41" s="8">
        <f t="shared" si="5"/>
        <v>0</v>
      </c>
    </row>
    <row r="42" spans="1:35" ht="15" customHeight="1" x14ac:dyDescent="0.25">
      <c r="A42" s="10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3"/>
      <c r="P42" s="3"/>
      <c r="Q42" s="8"/>
      <c r="R42" s="8"/>
      <c r="S42" s="8"/>
      <c r="T42" s="8"/>
      <c r="U42" s="8"/>
      <c r="V42" s="8"/>
      <c r="W42" t="str">
        <f>IF($C42="","",SUMPRODUCT(($C$2:C42=C42)+($D$2:D42=C42)))</f>
        <v/>
      </c>
      <c r="X42" t="str">
        <f>IF($D42="","",SUMPRODUCT(($C$2:C42=D42)+($D$2:D42=D42)))</f>
        <v/>
      </c>
      <c r="Y42" t="str">
        <f t="shared" si="0"/>
        <v/>
      </c>
      <c r="Z42" t="str">
        <f t="shared" si="1"/>
        <v/>
      </c>
      <c r="AA42" s="4" t="str">
        <f>IF($C42="","",IF(COUNTIF($C$1:C41,$C42)+COUNTIF($D$1:D41,$C42)=0,1,0))</f>
        <v/>
      </c>
      <c r="AB42" s="4" t="str">
        <f>IF($D42="","",IF(COUNTIF($C$1:C42,$D42)+COUNTIF($D$1:D41,$D42)=0,1,0))</f>
        <v/>
      </c>
      <c r="AC42" s="4" t="str">
        <f>IF(AA42=1,SUM($AA$2:AA42)-AA42+SUM($AB$2:AB42)-AB42+1,"")</f>
        <v/>
      </c>
      <c r="AD42" s="4" t="str">
        <f>IF(AB42=1,SUM($AA$2:AA42)+SUM($AB$2:AB42)-AB42+1,"")</f>
        <v/>
      </c>
      <c r="AE42" s="4" t="str">
        <f t="shared" si="2"/>
        <v/>
      </c>
      <c r="AF42" s="4" t="str">
        <f t="shared" si="3"/>
        <v/>
      </c>
      <c r="AG42" s="8">
        <f t="shared" si="4"/>
        <v>0</v>
      </c>
      <c r="AI42" s="8">
        <f t="shared" si="5"/>
        <v>0</v>
      </c>
    </row>
    <row r="43" spans="1:35" ht="15" customHeight="1" x14ac:dyDescent="0.25">
      <c r="A43" s="10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3"/>
      <c r="P43" s="3"/>
      <c r="Q43" s="8"/>
      <c r="R43" s="8"/>
      <c r="S43" s="8"/>
      <c r="T43" s="8"/>
      <c r="U43" s="8"/>
      <c r="V43" s="8"/>
      <c r="W43" t="str">
        <f>IF($C43="","",SUMPRODUCT(($C$2:C43=C43)+($D$2:D43=C43)))</f>
        <v/>
      </c>
      <c r="X43" t="str">
        <f>IF($D43="","",SUMPRODUCT(($C$2:C43=D43)+($D$2:D43=D43)))</f>
        <v/>
      </c>
      <c r="Y43" t="str">
        <f t="shared" si="0"/>
        <v/>
      </c>
      <c r="Z43" t="str">
        <f t="shared" si="1"/>
        <v/>
      </c>
      <c r="AA43" s="4" t="str">
        <f>IF($C43="","",IF(COUNTIF($C$1:C42,$C43)+COUNTIF($D$1:D42,$C43)=0,1,0))</f>
        <v/>
      </c>
      <c r="AB43" s="4" t="str">
        <f>IF($D43="","",IF(COUNTIF($C$1:C43,$D43)+COUNTIF($D$1:D42,$D43)=0,1,0))</f>
        <v/>
      </c>
      <c r="AC43" s="4" t="str">
        <f>IF(AA43=1,SUM($AA$2:AA43)-AA43+SUM($AB$2:AB43)-AB43+1,"")</f>
        <v/>
      </c>
      <c r="AD43" s="4" t="str">
        <f>IF(AB43=1,SUM($AA$2:AA43)+SUM($AB$2:AB43)-AB43+1,"")</f>
        <v/>
      </c>
      <c r="AE43" s="4" t="str">
        <f t="shared" si="2"/>
        <v/>
      </c>
      <c r="AF43" s="4" t="str">
        <f t="shared" si="3"/>
        <v/>
      </c>
      <c r="AG43" s="8">
        <f t="shared" si="4"/>
        <v>0</v>
      </c>
      <c r="AI43" s="8">
        <f t="shared" si="5"/>
        <v>0</v>
      </c>
    </row>
    <row r="44" spans="1:35" ht="15" customHeight="1" x14ac:dyDescent="0.25">
      <c r="A44" s="1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3"/>
      <c r="P44" s="3"/>
      <c r="Q44" s="8"/>
      <c r="R44" s="8"/>
      <c r="S44" s="8"/>
      <c r="T44" s="8"/>
      <c r="U44" s="8"/>
      <c r="V44" s="8"/>
      <c r="W44" t="str">
        <f>IF($C44="","",SUMPRODUCT(($C$2:C44=C44)+($D$2:D44=C44)))</f>
        <v/>
      </c>
      <c r="X44" t="str">
        <f>IF($D44="","",SUMPRODUCT(($C$2:C44=D44)+($D$2:D44=D44)))</f>
        <v/>
      </c>
      <c r="Y44" t="str">
        <f t="shared" si="0"/>
        <v/>
      </c>
      <c r="Z44" t="str">
        <f t="shared" si="1"/>
        <v/>
      </c>
      <c r="AA44" s="4" t="str">
        <f>IF($C44="","",IF(COUNTIF($C$1:C43,$C44)+COUNTIF($D$1:D43,$C44)=0,1,0))</f>
        <v/>
      </c>
      <c r="AB44" s="4" t="str">
        <f>IF($D44="","",IF(COUNTIF($C$1:C44,$D44)+COUNTIF($D$1:D43,$D44)=0,1,0))</f>
        <v/>
      </c>
      <c r="AC44" s="4" t="str">
        <f>IF(AA44=1,SUM($AA$2:AA44)-AA44+SUM($AB$2:AB44)-AB44+1,"")</f>
        <v/>
      </c>
      <c r="AD44" s="4" t="str">
        <f>IF(AB44=1,SUM($AA$2:AA44)+SUM($AB$2:AB44)-AB44+1,"")</f>
        <v/>
      </c>
      <c r="AE44" s="4" t="str">
        <f t="shared" si="2"/>
        <v/>
      </c>
      <c r="AF44" s="4" t="str">
        <f t="shared" si="3"/>
        <v/>
      </c>
      <c r="AG44" s="8">
        <f t="shared" si="4"/>
        <v>0</v>
      </c>
      <c r="AI44" s="8">
        <f t="shared" si="5"/>
        <v>0</v>
      </c>
    </row>
    <row r="45" spans="1:35" ht="15" customHeight="1" x14ac:dyDescent="0.25">
      <c r="A45" s="10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3"/>
      <c r="P45" s="3"/>
      <c r="Q45" s="8"/>
      <c r="R45" s="8"/>
      <c r="S45" s="8"/>
      <c r="T45" s="8"/>
      <c r="U45" s="8"/>
      <c r="V45" s="8"/>
      <c r="W45" t="str">
        <f>IF($C45="","",SUMPRODUCT(($C$2:C45=C45)+($D$2:D45=C45)))</f>
        <v/>
      </c>
      <c r="X45" t="str">
        <f>IF($D45="","",SUMPRODUCT(($C$2:C45=D45)+($D$2:D45=D45)))</f>
        <v/>
      </c>
      <c r="Y45" t="str">
        <f t="shared" si="0"/>
        <v/>
      </c>
      <c r="Z45" t="str">
        <f t="shared" si="1"/>
        <v/>
      </c>
      <c r="AA45" s="4" t="str">
        <f>IF($C45="","",IF(COUNTIF($C$1:C44,$C45)+COUNTIF($D$1:D44,$C45)=0,1,0))</f>
        <v/>
      </c>
      <c r="AB45" s="4" t="str">
        <f>IF($D45="","",IF(COUNTIF($C$1:C45,$D45)+COUNTIF($D$1:D44,$D45)=0,1,0))</f>
        <v/>
      </c>
      <c r="AC45" s="4" t="str">
        <f>IF(AA45=1,SUM($AA$2:AA45)-AA45+SUM($AB$2:AB45)-AB45+1,"")</f>
        <v/>
      </c>
      <c r="AD45" s="4" t="str">
        <f>IF(AB45=1,SUM($AA$2:AA45)+SUM($AB$2:AB45)-AB45+1,"")</f>
        <v/>
      </c>
      <c r="AE45" s="4" t="str">
        <f t="shared" si="2"/>
        <v/>
      </c>
      <c r="AF45" s="4" t="str">
        <f t="shared" si="3"/>
        <v/>
      </c>
      <c r="AG45" s="8">
        <f t="shared" si="4"/>
        <v>0</v>
      </c>
      <c r="AI45" s="8">
        <f t="shared" si="5"/>
        <v>0</v>
      </c>
    </row>
    <row r="46" spans="1:35" ht="15" customHeight="1" x14ac:dyDescent="0.25">
      <c r="A46" s="10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3"/>
      <c r="P46" s="3"/>
      <c r="Q46" s="8"/>
      <c r="R46" s="8"/>
      <c r="S46" s="8"/>
      <c r="T46" s="8"/>
      <c r="U46" s="8"/>
      <c r="V46" s="8"/>
      <c r="W46" t="str">
        <f>IF($C46="","",SUMPRODUCT(($C$2:C46=C46)+($D$2:D46=C46)))</f>
        <v/>
      </c>
      <c r="X46" t="str">
        <f>IF($D46="","",SUMPRODUCT(($C$2:C46=D46)+($D$2:D46=D46)))</f>
        <v/>
      </c>
      <c r="Y46" t="str">
        <f t="shared" si="0"/>
        <v/>
      </c>
      <c r="Z46" t="str">
        <f t="shared" si="1"/>
        <v/>
      </c>
      <c r="AA46" s="4" t="str">
        <f>IF($C46="","",IF(COUNTIF($C$1:C45,$C46)+COUNTIF($D$1:D45,$C46)=0,1,0))</f>
        <v/>
      </c>
      <c r="AB46" s="4" t="str">
        <f>IF($D46="","",IF(COUNTIF($C$1:C46,$D46)+COUNTIF($D$1:D45,$D46)=0,1,0))</f>
        <v/>
      </c>
      <c r="AC46" s="4" t="str">
        <f>IF(AA46=1,SUM($AA$2:AA46)-AA46+SUM($AB$2:AB46)-AB46+1,"")</f>
        <v/>
      </c>
      <c r="AD46" s="4" t="str">
        <f>IF(AB46=1,SUM($AA$2:AA46)+SUM($AB$2:AB46)-AB46+1,"")</f>
        <v/>
      </c>
      <c r="AE46" s="4" t="str">
        <f t="shared" si="2"/>
        <v/>
      </c>
      <c r="AF46" s="4" t="str">
        <f t="shared" si="3"/>
        <v/>
      </c>
      <c r="AG46" s="8">
        <f t="shared" si="4"/>
        <v>0</v>
      </c>
      <c r="AI46" s="8">
        <f t="shared" si="5"/>
        <v>0</v>
      </c>
    </row>
    <row r="47" spans="1:35" ht="15" customHeight="1" x14ac:dyDescent="0.25">
      <c r="A47" s="10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3"/>
      <c r="P47" s="3"/>
      <c r="Q47" s="8"/>
      <c r="R47" s="8"/>
      <c r="S47" s="8"/>
      <c r="T47" s="8"/>
      <c r="U47" s="8"/>
      <c r="V47" s="8"/>
      <c r="W47" t="str">
        <f>IF($C47="","",SUMPRODUCT(($C$2:C47=C47)+($D$2:D47=C47)))</f>
        <v/>
      </c>
      <c r="X47" t="str">
        <f>IF($D47="","",SUMPRODUCT(($C$2:C47=D47)+($D$2:D47=D47)))</f>
        <v/>
      </c>
      <c r="Y47" t="str">
        <f t="shared" si="0"/>
        <v/>
      </c>
      <c r="Z47" t="str">
        <f t="shared" si="1"/>
        <v/>
      </c>
      <c r="AA47" s="4" t="str">
        <f>IF($C47="","",IF(COUNTIF($C$1:C46,$C47)+COUNTIF($D$1:D46,$C47)=0,1,0))</f>
        <v/>
      </c>
      <c r="AB47" s="4" t="str">
        <f>IF($D47="","",IF(COUNTIF($C$1:C47,$D47)+COUNTIF($D$1:D46,$D47)=0,1,0))</f>
        <v/>
      </c>
      <c r="AC47" s="4" t="str">
        <f>IF(AA47=1,SUM($AA$2:AA47)-AA47+SUM($AB$2:AB47)-AB47+1,"")</f>
        <v/>
      </c>
      <c r="AD47" s="4" t="str">
        <f>IF(AB47=1,SUM($AA$2:AA47)+SUM($AB$2:AB47)-AB47+1,"")</f>
        <v/>
      </c>
      <c r="AE47" s="4" t="str">
        <f t="shared" si="2"/>
        <v/>
      </c>
      <c r="AF47" s="4" t="str">
        <f t="shared" si="3"/>
        <v/>
      </c>
      <c r="AG47" s="8">
        <f t="shared" si="4"/>
        <v>0</v>
      </c>
      <c r="AI47" s="8">
        <f t="shared" si="5"/>
        <v>0</v>
      </c>
    </row>
    <row r="48" spans="1:35" ht="15" customHeight="1" x14ac:dyDescent="0.25">
      <c r="A48" s="10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3"/>
      <c r="P48" s="3"/>
      <c r="Q48" s="8"/>
      <c r="R48" s="8"/>
      <c r="S48" s="8"/>
      <c r="T48" s="8"/>
      <c r="U48" s="8"/>
      <c r="V48" s="8"/>
      <c r="W48" t="str">
        <f>IF($C48="","",SUMPRODUCT(($C$2:C48=C48)+($D$2:D48=C48)))</f>
        <v/>
      </c>
      <c r="X48" t="str">
        <f>IF($D48="","",SUMPRODUCT(($C$2:C48=D48)+($D$2:D48=D48)))</f>
        <v/>
      </c>
      <c r="Y48" t="str">
        <f t="shared" si="0"/>
        <v/>
      </c>
      <c r="Z48" t="str">
        <f t="shared" si="1"/>
        <v/>
      </c>
      <c r="AA48" s="4" t="str">
        <f>IF($C48="","",IF(COUNTIF($C$1:C47,$C48)+COUNTIF($D$1:D47,$C48)=0,1,0))</f>
        <v/>
      </c>
      <c r="AB48" s="4" t="str">
        <f>IF($D48="","",IF(COUNTIF($C$1:C48,$D48)+COUNTIF($D$1:D47,$D48)=0,1,0))</f>
        <v/>
      </c>
      <c r="AC48" s="4" t="str">
        <f>IF(AA48=1,SUM($AA$2:AA48)-AA48+SUM($AB$2:AB48)-AB48+1,"")</f>
        <v/>
      </c>
      <c r="AD48" s="4" t="str">
        <f>IF(AB48=1,SUM($AA$2:AA48)+SUM($AB$2:AB48)-AB48+1,"")</f>
        <v/>
      </c>
      <c r="AE48" s="4" t="str">
        <f t="shared" si="2"/>
        <v/>
      </c>
      <c r="AF48" s="4" t="str">
        <f t="shared" si="3"/>
        <v/>
      </c>
      <c r="AG48" s="8">
        <f t="shared" si="4"/>
        <v>0</v>
      </c>
      <c r="AI48" s="8">
        <f t="shared" si="5"/>
        <v>0</v>
      </c>
    </row>
    <row r="49" spans="1:35" ht="15" customHeight="1" x14ac:dyDescent="0.25">
      <c r="A49" s="10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3"/>
      <c r="P49" s="3"/>
      <c r="Q49" s="8"/>
      <c r="R49" s="8"/>
      <c r="S49" s="8"/>
      <c r="T49" s="8"/>
      <c r="U49" s="8"/>
      <c r="V49" s="8"/>
      <c r="W49" t="str">
        <f>IF($C49="","",SUMPRODUCT(($C$2:C49=C49)+($D$2:D49=C49)))</f>
        <v/>
      </c>
      <c r="X49" t="str">
        <f>IF($D49="","",SUMPRODUCT(($C$2:C49=D49)+($D$2:D49=D49)))</f>
        <v/>
      </c>
      <c r="Y49" t="str">
        <f t="shared" si="0"/>
        <v/>
      </c>
      <c r="Z49" t="str">
        <f t="shared" si="1"/>
        <v/>
      </c>
      <c r="AA49" s="4" t="str">
        <f>IF($C49="","",IF(COUNTIF($C$1:C48,$C49)+COUNTIF($D$1:D48,$C49)=0,1,0))</f>
        <v/>
      </c>
      <c r="AB49" s="4" t="str">
        <f>IF($D49="","",IF(COUNTIF($C$1:C49,$D49)+COUNTIF($D$1:D48,$D49)=0,1,0))</f>
        <v/>
      </c>
      <c r="AC49" s="4" t="str">
        <f>IF(AA49=1,SUM($AA$2:AA49)-AA49+SUM($AB$2:AB49)-AB49+1,"")</f>
        <v/>
      </c>
      <c r="AD49" s="4" t="str">
        <f>IF(AB49=1,SUM($AA$2:AA49)+SUM($AB$2:AB49)-AB49+1,"")</f>
        <v/>
      </c>
      <c r="AE49" s="4" t="str">
        <f t="shared" si="2"/>
        <v/>
      </c>
      <c r="AF49" s="4" t="str">
        <f t="shared" si="3"/>
        <v/>
      </c>
      <c r="AG49" s="8">
        <f t="shared" si="4"/>
        <v>0</v>
      </c>
      <c r="AI49" s="8">
        <f t="shared" si="5"/>
        <v>0</v>
      </c>
    </row>
    <row r="50" spans="1:35" ht="15" customHeight="1" x14ac:dyDescent="0.25">
      <c r="A50" s="10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3"/>
      <c r="P50" s="3"/>
      <c r="Q50" s="8"/>
      <c r="R50" s="8"/>
      <c r="S50" s="8"/>
      <c r="T50" s="8"/>
      <c r="U50" s="8"/>
      <c r="V50" s="8"/>
      <c r="W50" t="str">
        <f>IF($C50="","",SUMPRODUCT(($C$2:C50=C50)+($D$2:D50=C50)))</f>
        <v/>
      </c>
      <c r="X50" t="str">
        <f>IF($D50="","",SUMPRODUCT(($C$2:C50=D50)+($D$2:D50=D50)))</f>
        <v/>
      </c>
      <c r="Y50" t="str">
        <f t="shared" si="0"/>
        <v/>
      </c>
      <c r="Z50" t="str">
        <f t="shared" si="1"/>
        <v/>
      </c>
      <c r="AA50" s="4" t="str">
        <f>IF($C50="","",IF(COUNTIF($C$1:C49,$C50)+COUNTIF($D$1:D49,$C50)=0,1,0))</f>
        <v/>
      </c>
      <c r="AB50" s="4" t="str">
        <f>IF($D50="","",IF(COUNTIF($C$1:C50,$D50)+COUNTIF($D$1:D49,$D50)=0,1,0))</f>
        <v/>
      </c>
      <c r="AC50" s="4" t="str">
        <f>IF(AA50=1,SUM($AA$2:AA50)-AA50+SUM($AB$2:AB50)-AB50+1,"")</f>
        <v/>
      </c>
      <c r="AD50" s="4" t="str">
        <f>IF(AB50=1,SUM($AA$2:AA50)+SUM($AB$2:AB50)-AB50+1,"")</f>
        <v/>
      </c>
      <c r="AE50" s="4" t="str">
        <f t="shared" si="2"/>
        <v/>
      </c>
      <c r="AF50" s="4" t="str">
        <f t="shared" si="3"/>
        <v/>
      </c>
      <c r="AG50" s="8">
        <f t="shared" si="4"/>
        <v>0</v>
      </c>
      <c r="AI50" s="8">
        <f t="shared" si="5"/>
        <v>0</v>
      </c>
    </row>
    <row r="51" spans="1:35" ht="15" customHeight="1" x14ac:dyDescent="0.25">
      <c r="A51" s="10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3"/>
      <c r="P51" s="3"/>
      <c r="Q51" s="8"/>
      <c r="R51" s="8"/>
      <c r="S51" s="8"/>
      <c r="T51" s="8"/>
      <c r="U51" s="8"/>
      <c r="V51" s="8"/>
      <c r="W51" t="str">
        <f>IF($C51="","",SUMPRODUCT(($C$2:C51=C51)+($D$2:D51=C51)))</f>
        <v/>
      </c>
      <c r="X51" t="str">
        <f>IF($D51="","",SUMPRODUCT(($C$2:C51=D51)+($D$2:D51=D51)))</f>
        <v/>
      </c>
      <c r="Y51" t="str">
        <f t="shared" si="0"/>
        <v/>
      </c>
      <c r="Z51" t="str">
        <f t="shared" si="1"/>
        <v/>
      </c>
      <c r="AA51" s="4" t="str">
        <f>IF($C51="","",IF(COUNTIF($C$1:C50,$C51)+COUNTIF($D$1:D50,$C51)=0,1,0))</f>
        <v/>
      </c>
      <c r="AB51" s="4" t="str">
        <f>IF($D51="","",IF(COUNTIF($C$1:C51,$D51)+COUNTIF($D$1:D50,$D51)=0,1,0))</f>
        <v/>
      </c>
      <c r="AC51" s="4" t="str">
        <f>IF(AA51=1,SUM($AA$2:AA51)-AA51+SUM($AB$2:AB51)-AB51+1,"")</f>
        <v/>
      </c>
      <c r="AD51" s="4" t="str">
        <f>IF(AB51=1,SUM($AA$2:AA51)+SUM($AB$2:AB51)-AB51+1,"")</f>
        <v/>
      </c>
      <c r="AE51" s="4" t="str">
        <f t="shared" si="2"/>
        <v/>
      </c>
      <c r="AF51" s="4" t="str">
        <f t="shared" si="3"/>
        <v/>
      </c>
      <c r="AG51" s="8">
        <f t="shared" si="4"/>
        <v>0</v>
      </c>
      <c r="AI51" s="8">
        <f t="shared" si="5"/>
        <v>0</v>
      </c>
    </row>
    <row r="52" spans="1:35" ht="15" customHeight="1" x14ac:dyDescent="0.25">
      <c r="A52" s="10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3"/>
      <c r="P52" s="3"/>
      <c r="Q52" s="8"/>
      <c r="R52" s="8"/>
      <c r="S52" s="8"/>
      <c r="T52" s="8"/>
      <c r="U52" s="8"/>
      <c r="V52" s="8"/>
      <c r="W52" t="str">
        <f>IF($C52="","",SUMPRODUCT(($C$2:C52=C52)+($D$2:D52=C52)))</f>
        <v/>
      </c>
      <c r="X52" t="str">
        <f>IF($D52="","",SUMPRODUCT(($C$2:C52=D52)+($D$2:D52=D52)))</f>
        <v/>
      </c>
      <c r="Y52" t="str">
        <f t="shared" si="0"/>
        <v/>
      </c>
      <c r="Z52" t="str">
        <f t="shared" si="1"/>
        <v/>
      </c>
      <c r="AA52" s="4" t="str">
        <f>IF($C52="","",IF(COUNTIF($C$1:C51,$C52)+COUNTIF($D$1:D51,$C52)=0,1,0))</f>
        <v/>
      </c>
      <c r="AB52" s="4" t="str">
        <f>IF($D52="","",IF(COUNTIF($C$1:C52,$D52)+COUNTIF($D$1:D51,$D52)=0,1,0))</f>
        <v/>
      </c>
      <c r="AC52" s="4" t="str">
        <f>IF(AA52=1,SUM($AA$2:AA52)-AA52+SUM($AB$2:AB52)-AB52+1,"")</f>
        <v/>
      </c>
      <c r="AD52" s="4" t="str">
        <f>IF(AB52=1,SUM($AA$2:AA52)+SUM($AB$2:AB52)-AB52+1,"")</f>
        <v/>
      </c>
      <c r="AE52" s="4" t="str">
        <f t="shared" si="2"/>
        <v/>
      </c>
      <c r="AF52" s="4" t="str">
        <f t="shared" si="3"/>
        <v/>
      </c>
      <c r="AG52" s="8">
        <f t="shared" si="4"/>
        <v>0</v>
      </c>
      <c r="AI52" s="8">
        <f t="shared" si="5"/>
        <v>0</v>
      </c>
    </row>
    <row r="53" spans="1:35" ht="15" customHeight="1" x14ac:dyDescent="0.25">
      <c r="A53" s="10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3"/>
      <c r="P53" s="3"/>
      <c r="Q53" s="8"/>
      <c r="R53" s="8"/>
      <c r="S53" s="8"/>
      <c r="T53" s="8"/>
      <c r="U53" s="8"/>
      <c r="V53" s="8"/>
      <c r="W53" t="str">
        <f>IF($C53="","",SUMPRODUCT(($C$2:C53=C53)+($D$2:D53=C53)))</f>
        <v/>
      </c>
      <c r="X53" t="str">
        <f>IF($D53="","",SUMPRODUCT(($C$2:C53=D53)+($D$2:D53=D53)))</f>
        <v/>
      </c>
      <c r="Y53" t="str">
        <f t="shared" si="0"/>
        <v/>
      </c>
      <c r="Z53" t="str">
        <f t="shared" si="1"/>
        <v/>
      </c>
      <c r="AA53" s="4" t="str">
        <f>IF($C53="","",IF(COUNTIF($C$1:C52,$C53)+COUNTIF($D$1:D52,$C53)=0,1,0))</f>
        <v/>
      </c>
      <c r="AB53" s="4" t="str">
        <f>IF($D53="","",IF(COUNTIF($C$1:C53,$D53)+COUNTIF($D$1:D52,$D53)=0,1,0))</f>
        <v/>
      </c>
      <c r="AC53" s="4" t="str">
        <f>IF(AA53=1,SUM($AA$2:AA53)-AA53+SUM($AB$2:AB53)-AB53+1,"")</f>
        <v/>
      </c>
      <c r="AD53" s="4" t="str">
        <f>IF(AB53=1,SUM($AA$2:AA53)+SUM($AB$2:AB53)-AB53+1,"")</f>
        <v/>
      </c>
      <c r="AE53" s="4" t="str">
        <f t="shared" si="2"/>
        <v/>
      </c>
      <c r="AF53" s="4" t="str">
        <f t="shared" si="3"/>
        <v/>
      </c>
      <c r="AG53" s="8">
        <f t="shared" si="4"/>
        <v>0</v>
      </c>
      <c r="AI53" s="8">
        <f t="shared" si="5"/>
        <v>0</v>
      </c>
    </row>
    <row r="54" spans="1:35" ht="15" customHeight="1" x14ac:dyDescent="0.25">
      <c r="A54" s="10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3"/>
      <c r="P54" s="3"/>
      <c r="Q54" s="8"/>
      <c r="R54" s="8"/>
      <c r="S54" s="8"/>
      <c r="T54" s="8"/>
      <c r="U54" s="8"/>
      <c r="V54" s="8"/>
      <c r="W54" t="str">
        <f>IF($C54="","",SUMPRODUCT(($C$2:C54=C54)+($D$2:D54=C54)))</f>
        <v/>
      </c>
      <c r="X54" t="str">
        <f>IF($D54="","",SUMPRODUCT(($C$2:C54=D54)+($D$2:D54=D54)))</f>
        <v/>
      </c>
      <c r="Y54" t="str">
        <f t="shared" si="0"/>
        <v/>
      </c>
      <c r="Z54" t="str">
        <f t="shared" si="1"/>
        <v/>
      </c>
      <c r="AA54" s="4" t="str">
        <f>IF($C54="","",IF(COUNTIF($C$1:C53,$C54)+COUNTIF($D$1:D53,$C54)=0,1,0))</f>
        <v/>
      </c>
      <c r="AB54" s="4" t="str">
        <f>IF($D54="","",IF(COUNTIF($C$1:C54,$D54)+COUNTIF($D$1:D53,$D54)=0,1,0))</f>
        <v/>
      </c>
      <c r="AC54" s="4" t="str">
        <f>IF(AA54=1,SUM($AA$2:AA54)-AA54+SUM($AB$2:AB54)-AB54+1,"")</f>
        <v/>
      </c>
      <c r="AD54" s="4" t="str">
        <f>IF(AB54=1,SUM($AA$2:AA54)+SUM($AB$2:AB54)-AB54+1,"")</f>
        <v/>
      </c>
      <c r="AE54" s="4" t="str">
        <f t="shared" si="2"/>
        <v/>
      </c>
      <c r="AF54" s="4" t="str">
        <f t="shared" si="3"/>
        <v/>
      </c>
      <c r="AG54" s="8">
        <f t="shared" si="4"/>
        <v>0</v>
      </c>
      <c r="AI54" s="8">
        <f t="shared" si="5"/>
        <v>0</v>
      </c>
    </row>
    <row r="55" spans="1:35" ht="15" customHeight="1" x14ac:dyDescent="0.25">
      <c r="A55" s="10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3"/>
      <c r="P55" s="3"/>
      <c r="Q55" s="8"/>
      <c r="R55" s="8"/>
      <c r="S55" s="8"/>
      <c r="T55" s="8"/>
      <c r="U55" s="8"/>
      <c r="V55" s="8"/>
      <c r="W55" t="str">
        <f>IF($C55="","",SUMPRODUCT(($C$2:C55=C55)+($D$2:D55=C55)))</f>
        <v/>
      </c>
      <c r="X55" t="str">
        <f>IF($D55="","",SUMPRODUCT(($C$2:C55=D55)+($D$2:D55=D55)))</f>
        <v/>
      </c>
      <c r="Y55" t="str">
        <f t="shared" si="0"/>
        <v/>
      </c>
      <c r="Z55" t="str">
        <f t="shared" si="1"/>
        <v/>
      </c>
      <c r="AA55" s="4" t="str">
        <f>IF($C55="","",IF(COUNTIF($C$1:C54,$C55)+COUNTIF($D$1:D54,$C55)=0,1,0))</f>
        <v/>
      </c>
      <c r="AB55" s="4" t="str">
        <f>IF($D55="","",IF(COUNTIF($C$1:C55,$D55)+COUNTIF($D$1:D54,$D55)=0,1,0))</f>
        <v/>
      </c>
      <c r="AC55" s="4" t="str">
        <f>IF(AA55=1,SUM($AA$2:AA55)-AA55+SUM($AB$2:AB55)-AB55+1,"")</f>
        <v/>
      </c>
      <c r="AD55" s="4" t="str">
        <f>IF(AB55=1,SUM($AA$2:AA55)+SUM($AB$2:AB55)-AB55+1,"")</f>
        <v/>
      </c>
      <c r="AE55" s="4" t="str">
        <f t="shared" si="2"/>
        <v/>
      </c>
      <c r="AF55" s="4" t="str">
        <f t="shared" si="3"/>
        <v/>
      </c>
      <c r="AG55" s="8">
        <f t="shared" si="4"/>
        <v>0</v>
      </c>
      <c r="AI55" s="8">
        <f t="shared" si="5"/>
        <v>0</v>
      </c>
    </row>
    <row r="56" spans="1:35" ht="15" customHeight="1" x14ac:dyDescent="0.25">
      <c r="A56" s="10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3"/>
      <c r="P56" s="3"/>
      <c r="Q56" s="8"/>
      <c r="R56" s="8"/>
      <c r="S56" s="8"/>
      <c r="T56" s="8"/>
      <c r="U56" s="8"/>
      <c r="V56" s="8"/>
      <c r="W56" t="str">
        <f>IF($C56="","",SUMPRODUCT(($C$2:C56=C56)+($D$2:D56=C56)))</f>
        <v/>
      </c>
      <c r="X56" t="str">
        <f>IF($D56="","",SUMPRODUCT(($C$2:C56=D56)+($D$2:D56=D56)))</f>
        <v/>
      </c>
      <c r="Y56" t="str">
        <f t="shared" si="0"/>
        <v/>
      </c>
      <c r="Z56" t="str">
        <f t="shared" si="1"/>
        <v/>
      </c>
      <c r="AA56" s="4" t="str">
        <f>IF($C56="","",IF(COUNTIF($C$1:C55,$C56)+COUNTIF($D$1:D55,$C56)=0,1,0))</f>
        <v/>
      </c>
      <c r="AB56" s="4" t="str">
        <f>IF($D56="","",IF(COUNTIF($C$1:C56,$D56)+COUNTIF($D$1:D55,$D56)=0,1,0))</f>
        <v/>
      </c>
      <c r="AC56" s="4" t="str">
        <f>IF(AA56=1,SUM($AA$2:AA56)-AA56+SUM($AB$2:AB56)-AB56+1,"")</f>
        <v/>
      </c>
      <c r="AD56" s="4" t="str">
        <f>IF(AB56=1,SUM($AA$2:AA56)+SUM($AB$2:AB56)-AB56+1,"")</f>
        <v/>
      </c>
      <c r="AE56" s="4" t="str">
        <f t="shared" si="2"/>
        <v/>
      </c>
      <c r="AF56" s="4" t="str">
        <f t="shared" si="3"/>
        <v/>
      </c>
      <c r="AG56" s="8">
        <f t="shared" si="4"/>
        <v>0</v>
      </c>
      <c r="AI56" s="8">
        <f t="shared" si="5"/>
        <v>0</v>
      </c>
    </row>
    <row r="57" spans="1:35" ht="15" customHeight="1" x14ac:dyDescent="0.25">
      <c r="A57" s="10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3"/>
      <c r="P57" s="3"/>
      <c r="Q57" s="8"/>
      <c r="R57" s="8"/>
      <c r="S57" s="8"/>
      <c r="T57" s="8"/>
      <c r="U57" s="8"/>
      <c r="V57" s="8"/>
      <c r="W57" t="str">
        <f>IF($C57="","",SUMPRODUCT(($C$2:C57=C57)+($D$2:D57=C57)))</f>
        <v/>
      </c>
      <c r="X57" t="str">
        <f>IF($D57="","",SUMPRODUCT(($C$2:C57=D57)+($D$2:D57=D57)))</f>
        <v/>
      </c>
      <c r="Y57" t="str">
        <f t="shared" si="0"/>
        <v/>
      </c>
      <c r="Z57" t="str">
        <f t="shared" si="1"/>
        <v/>
      </c>
      <c r="AA57" s="4" t="str">
        <f>IF($C57="","",IF(COUNTIF($C$1:C56,$C57)+COUNTIF($D$1:D56,$C57)=0,1,0))</f>
        <v/>
      </c>
      <c r="AB57" s="4" t="str">
        <f>IF($D57="","",IF(COUNTIF($C$1:C57,$D57)+COUNTIF($D$1:D56,$D57)=0,1,0))</f>
        <v/>
      </c>
      <c r="AC57" s="4" t="str">
        <f>IF(AA57=1,SUM($AA$2:AA57)-AA57+SUM($AB$2:AB57)-AB57+1,"")</f>
        <v/>
      </c>
      <c r="AD57" s="4" t="str">
        <f>IF(AB57=1,SUM($AA$2:AA57)+SUM($AB$2:AB57)-AB57+1,"")</f>
        <v/>
      </c>
      <c r="AE57" s="4" t="str">
        <f t="shared" si="2"/>
        <v/>
      </c>
      <c r="AF57" s="4" t="str">
        <f t="shared" si="3"/>
        <v/>
      </c>
      <c r="AG57" s="8">
        <f t="shared" si="4"/>
        <v>0</v>
      </c>
      <c r="AI57" s="8">
        <f t="shared" si="5"/>
        <v>0</v>
      </c>
    </row>
    <row r="58" spans="1:35" ht="15" customHeight="1" x14ac:dyDescent="0.25">
      <c r="A58" s="10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3"/>
      <c r="P58" s="3"/>
      <c r="Q58" s="8"/>
      <c r="R58" s="8"/>
      <c r="S58" s="8"/>
      <c r="T58" s="8"/>
      <c r="U58" s="8"/>
      <c r="V58" s="8"/>
      <c r="W58" t="str">
        <f>IF($C58="","",SUMPRODUCT(($C$2:C58=C58)+($D$2:D58=C58)))</f>
        <v/>
      </c>
      <c r="X58" t="str">
        <f>IF($D58="","",SUMPRODUCT(($C$2:C58=D58)+($D$2:D58=D58)))</f>
        <v/>
      </c>
      <c r="Y58" t="str">
        <f t="shared" si="0"/>
        <v/>
      </c>
      <c r="Z58" t="str">
        <f t="shared" si="1"/>
        <v/>
      </c>
      <c r="AA58" s="4" t="str">
        <f>IF($C58="","",IF(COUNTIF($C$1:C57,$C58)+COUNTIF($D$1:D57,$C58)=0,1,0))</f>
        <v/>
      </c>
      <c r="AB58" s="4" t="str">
        <f>IF($D58="","",IF(COUNTIF($C$1:C58,$D58)+COUNTIF($D$1:D57,$D58)=0,1,0))</f>
        <v/>
      </c>
      <c r="AC58" s="4" t="str">
        <f>IF(AA58=1,SUM($AA$2:AA58)-AA58+SUM($AB$2:AB58)-AB58+1,"")</f>
        <v/>
      </c>
      <c r="AD58" s="4" t="str">
        <f>IF(AB58=1,SUM($AA$2:AA58)+SUM($AB$2:AB58)-AB58+1,"")</f>
        <v/>
      </c>
      <c r="AE58" s="4" t="str">
        <f t="shared" si="2"/>
        <v/>
      </c>
      <c r="AF58" s="4" t="str">
        <f t="shared" si="3"/>
        <v/>
      </c>
      <c r="AG58" s="8">
        <f t="shared" si="4"/>
        <v>0</v>
      </c>
      <c r="AI58" s="8">
        <f t="shared" si="5"/>
        <v>0</v>
      </c>
    </row>
    <row r="59" spans="1:35" ht="15" customHeight="1" x14ac:dyDescent="0.25">
      <c r="A59" s="10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3"/>
      <c r="P59" s="3"/>
      <c r="Q59" s="8"/>
      <c r="R59" s="8"/>
      <c r="S59" s="8"/>
      <c r="T59" s="8"/>
      <c r="U59" s="8"/>
      <c r="V59" s="8"/>
      <c r="W59" t="str">
        <f>IF($C59="","",SUMPRODUCT(($C$2:C59=C59)+($D$2:D59=C59)))</f>
        <v/>
      </c>
      <c r="X59" t="str">
        <f>IF($D59="","",SUMPRODUCT(($C$2:C59=D59)+($D$2:D59=D59)))</f>
        <v/>
      </c>
      <c r="Y59" t="str">
        <f t="shared" si="0"/>
        <v/>
      </c>
      <c r="Z59" t="str">
        <f t="shared" si="1"/>
        <v/>
      </c>
      <c r="AA59" s="4" t="str">
        <f>IF($C59="","",IF(COUNTIF($C$1:C58,$C59)+COUNTIF($D$1:D58,$C59)=0,1,0))</f>
        <v/>
      </c>
      <c r="AB59" s="4" t="str">
        <f>IF($D59="","",IF(COUNTIF($C$1:C59,$D59)+COUNTIF($D$1:D58,$D59)=0,1,0))</f>
        <v/>
      </c>
      <c r="AC59" s="4" t="str">
        <f>IF(AA59=1,SUM($AA$2:AA59)-AA59+SUM($AB$2:AB59)-AB59+1,"")</f>
        <v/>
      </c>
      <c r="AD59" s="4" t="str">
        <f>IF(AB59=1,SUM($AA$2:AA59)+SUM($AB$2:AB59)-AB59+1,"")</f>
        <v/>
      </c>
      <c r="AE59" s="4" t="str">
        <f t="shared" si="2"/>
        <v/>
      </c>
      <c r="AF59" s="4" t="str">
        <f t="shared" si="3"/>
        <v/>
      </c>
      <c r="AG59" s="8">
        <f t="shared" si="4"/>
        <v>0</v>
      </c>
      <c r="AI59" s="8">
        <f t="shared" si="5"/>
        <v>0</v>
      </c>
    </row>
    <row r="60" spans="1:35" ht="15" customHeight="1" x14ac:dyDescent="0.25">
      <c r="A60" s="10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3"/>
      <c r="P60" s="3"/>
      <c r="Q60" s="8"/>
      <c r="R60" s="8"/>
      <c r="S60" s="8"/>
      <c r="T60" s="8"/>
      <c r="U60" s="8"/>
      <c r="V60" s="8"/>
      <c r="W60" t="str">
        <f>IF($C60="","",SUMPRODUCT(($C$2:C60=C60)+($D$2:D60=C60)))</f>
        <v/>
      </c>
      <c r="X60" t="str">
        <f>IF($D60="","",SUMPRODUCT(($C$2:C60=D60)+($D$2:D60=D60)))</f>
        <v/>
      </c>
      <c r="Y60" t="str">
        <f t="shared" si="0"/>
        <v/>
      </c>
      <c r="Z60" t="str">
        <f t="shared" si="1"/>
        <v/>
      </c>
      <c r="AA60" s="4" t="str">
        <f>IF($C60="","",IF(COUNTIF($C$1:C59,$C60)+COUNTIF($D$1:D59,$C60)=0,1,0))</f>
        <v/>
      </c>
      <c r="AB60" s="4" t="str">
        <f>IF($D60="","",IF(COUNTIF($C$1:C60,$D60)+COUNTIF($D$1:D59,$D60)=0,1,0))</f>
        <v/>
      </c>
      <c r="AC60" s="4" t="str">
        <f>IF(AA60=1,SUM($AA$2:AA60)-AA60+SUM($AB$2:AB60)-AB60+1,"")</f>
        <v/>
      </c>
      <c r="AD60" s="4" t="str">
        <f>IF(AB60=1,SUM($AA$2:AA60)+SUM($AB$2:AB60)-AB60+1,"")</f>
        <v/>
      </c>
      <c r="AE60" s="4" t="str">
        <f t="shared" si="2"/>
        <v/>
      </c>
      <c r="AF60" s="4" t="str">
        <f t="shared" si="3"/>
        <v/>
      </c>
      <c r="AG60" s="8">
        <f t="shared" si="4"/>
        <v>0</v>
      </c>
      <c r="AI60" s="8">
        <f t="shared" si="5"/>
        <v>0</v>
      </c>
    </row>
    <row r="61" spans="1:35" ht="15" customHeight="1" x14ac:dyDescent="0.25">
      <c r="A61" s="10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3"/>
      <c r="P61" s="3"/>
      <c r="Q61" s="8"/>
      <c r="R61" s="8"/>
      <c r="S61" s="8"/>
      <c r="T61" s="8"/>
      <c r="U61" s="8"/>
      <c r="V61" s="8"/>
      <c r="W61" t="str">
        <f>IF($C61="","",SUMPRODUCT(($C$2:C61=C61)+($D$2:D61=C61)))</f>
        <v/>
      </c>
      <c r="X61" t="str">
        <f>IF($D61="","",SUMPRODUCT(($C$2:C61=D61)+($D$2:D61=D61)))</f>
        <v/>
      </c>
      <c r="Y61" t="str">
        <f t="shared" si="0"/>
        <v/>
      </c>
      <c r="Z61" t="str">
        <f t="shared" si="1"/>
        <v/>
      </c>
      <c r="AA61" s="4" t="str">
        <f>IF($C61="","",IF(COUNTIF($C$1:C60,$C61)+COUNTIF($D$1:D60,$C61)=0,1,0))</f>
        <v/>
      </c>
      <c r="AB61" s="4" t="str">
        <f>IF($D61="","",IF(COUNTIF($C$1:C61,$D61)+COUNTIF($D$1:D60,$D61)=0,1,0))</f>
        <v/>
      </c>
      <c r="AC61" s="4" t="str">
        <f>IF(AA61=1,SUM($AA$2:AA61)-AA61+SUM($AB$2:AB61)-AB61+1,"")</f>
        <v/>
      </c>
      <c r="AD61" s="4" t="str">
        <f>IF(AB61=1,SUM($AA$2:AA61)+SUM($AB$2:AB61)-AB61+1,"")</f>
        <v/>
      </c>
      <c r="AE61" s="4" t="str">
        <f t="shared" si="2"/>
        <v/>
      </c>
      <c r="AF61" s="4" t="str">
        <f t="shared" si="3"/>
        <v/>
      </c>
      <c r="AG61" s="8">
        <f t="shared" si="4"/>
        <v>0</v>
      </c>
      <c r="AI61" s="8">
        <f t="shared" si="5"/>
        <v>0</v>
      </c>
    </row>
    <row r="62" spans="1:35" ht="15" customHeight="1" x14ac:dyDescent="0.25">
      <c r="A62" s="10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3"/>
      <c r="P62" s="3"/>
      <c r="Q62" s="8"/>
      <c r="R62" s="8"/>
      <c r="S62" s="8"/>
      <c r="T62" s="8"/>
      <c r="U62" s="8"/>
      <c r="V62" s="8"/>
      <c r="W62" t="str">
        <f>IF($C62="","",SUMPRODUCT(($C$2:C62=C62)+($D$2:D62=C62)))</f>
        <v/>
      </c>
      <c r="X62" t="str">
        <f>IF($D62="","",SUMPRODUCT(($C$2:C62=D62)+($D$2:D62=D62)))</f>
        <v/>
      </c>
      <c r="Y62" t="str">
        <f t="shared" si="0"/>
        <v/>
      </c>
      <c r="Z62" t="str">
        <f t="shared" si="1"/>
        <v/>
      </c>
      <c r="AA62" s="4" t="str">
        <f>IF($C62="","",IF(COUNTIF($C$1:C61,$C62)+COUNTIF($D$1:D61,$C62)=0,1,0))</f>
        <v/>
      </c>
      <c r="AB62" s="4" t="str">
        <f>IF($D62="","",IF(COUNTIF($C$1:C62,$D62)+COUNTIF($D$1:D61,$D62)=0,1,0))</f>
        <v/>
      </c>
      <c r="AC62" s="4" t="str">
        <f>IF(AA62=1,SUM($AA$2:AA62)-AA62+SUM($AB$2:AB62)-AB62+1,"")</f>
        <v/>
      </c>
      <c r="AD62" s="4" t="str">
        <f>IF(AB62=1,SUM($AA$2:AA62)+SUM($AB$2:AB62)-AB62+1,"")</f>
        <v/>
      </c>
      <c r="AE62" s="4" t="str">
        <f t="shared" si="2"/>
        <v/>
      </c>
      <c r="AF62" s="4" t="str">
        <f t="shared" si="3"/>
        <v/>
      </c>
      <c r="AG62" s="8">
        <f t="shared" si="4"/>
        <v>0</v>
      </c>
      <c r="AI62" s="8">
        <f t="shared" si="5"/>
        <v>0</v>
      </c>
    </row>
    <row r="63" spans="1:35" ht="15" customHeight="1" x14ac:dyDescent="0.25">
      <c r="A63" s="10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3"/>
      <c r="P63" s="3"/>
      <c r="Q63" s="8"/>
      <c r="R63" s="8"/>
      <c r="S63" s="8"/>
      <c r="T63" s="8"/>
      <c r="U63" s="8"/>
      <c r="V63" s="8"/>
      <c r="W63" t="str">
        <f>IF($C63="","",SUMPRODUCT(($C$2:C63=C63)+($D$2:D63=C63)))</f>
        <v/>
      </c>
      <c r="X63" t="str">
        <f>IF($D63="","",SUMPRODUCT(($C$2:C63=D63)+($D$2:D63=D63)))</f>
        <v/>
      </c>
      <c r="Y63" t="str">
        <f t="shared" si="0"/>
        <v/>
      </c>
      <c r="Z63" t="str">
        <f t="shared" si="1"/>
        <v/>
      </c>
      <c r="AA63" s="4" t="str">
        <f>IF($C63="","",IF(COUNTIF($C$1:C62,$C63)+COUNTIF($D$1:D62,$C63)=0,1,0))</f>
        <v/>
      </c>
      <c r="AB63" s="4" t="str">
        <f>IF($D63="","",IF(COUNTIF($C$1:C63,$D63)+COUNTIF($D$1:D62,$D63)=0,1,0))</f>
        <v/>
      </c>
      <c r="AC63" s="4" t="str">
        <f>IF(AA63=1,SUM($AA$2:AA63)-AA63+SUM($AB$2:AB63)-AB63+1,"")</f>
        <v/>
      </c>
      <c r="AD63" s="4" t="str">
        <f>IF(AB63=1,SUM($AA$2:AA63)+SUM($AB$2:AB63)-AB63+1,"")</f>
        <v/>
      </c>
      <c r="AE63" s="4" t="str">
        <f t="shared" si="2"/>
        <v/>
      </c>
      <c r="AF63" s="4" t="str">
        <f t="shared" si="3"/>
        <v/>
      </c>
      <c r="AG63" s="8">
        <f t="shared" si="4"/>
        <v>0</v>
      </c>
      <c r="AI63" s="8">
        <f t="shared" si="5"/>
        <v>0</v>
      </c>
    </row>
    <row r="64" spans="1:35" ht="15" customHeight="1" x14ac:dyDescent="0.25">
      <c r="A64" s="10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3"/>
      <c r="P64" s="3"/>
      <c r="Q64" s="8"/>
      <c r="R64" s="8"/>
      <c r="S64" s="8"/>
      <c r="T64" s="8"/>
      <c r="U64" s="8"/>
      <c r="V64" s="8"/>
      <c r="W64" t="str">
        <f>IF($C64="","",SUMPRODUCT(($C$2:C64=C64)+($D$2:D64=C64)))</f>
        <v/>
      </c>
      <c r="X64" t="str">
        <f>IF($D64="","",SUMPRODUCT(($C$2:C64=D64)+($D$2:D64=D64)))</f>
        <v/>
      </c>
      <c r="Y64" t="str">
        <f t="shared" si="0"/>
        <v/>
      </c>
      <c r="Z64" t="str">
        <f t="shared" si="1"/>
        <v/>
      </c>
      <c r="AA64" s="4" t="str">
        <f>IF($C64="","",IF(COUNTIF($C$1:C63,$C64)+COUNTIF($D$1:D63,$C64)=0,1,0))</f>
        <v/>
      </c>
      <c r="AB64" s="4" t="str">
        <f>IF($D64="","",IF(COUNTIF($C$1:C64,$D64)+COUNTIF($D$1:D63,$D64)=0,1,0))</f>
        <v/>
      </c>
      <c r="AC64" s="4" t="str">
        <f>IF(AA64=1,SUM($AA$2:AA64)-AA64+SUM($AB$2:AB64)-AB64+1,"")</f>
        <v/>
      </c>
      <c r="AD64" s="4" t="str">
        <f>IF(AB64=1,SUM($AA$2:AA64)+SUM($AB$2:AB64)-AB64+1,"")</f>
        <v/>
      </c>
      <c r="AE64" s="4" t="str">
        <f t="shared" si="2"/>
        <v/>
      </c>
      <c r="AF64" s="4" t="str">
        <f t="shared" si="3"/>
        <v/>
      </c>
      <c r="AG64" s="8">
        <f t="shared" si="4"/>
        <v>0</v>
      </c>
      <c r="AI64" s="8">
        <f t="shared" si="5"/>
        <v>0</v>
      </c>
    </row>
    <row r="65" spans="1:35" ht="15" customHeight="1" x14ac:dyDescent="0.25">
      <c r="A65" s="10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3"/>
      <c r="P65" s="3"/>
      <c r="Q65" s="8"/>
      <c r="R65" s="8"/>
      <c r="S65" s="8"/>
      <c r="T65" s="8"/>
      <c r="U65" s="8"/>
      <c r="V65" s="8"/>
      <c r="W65" t="str">
        <f>IF($C65="","",SUMPRODUCT(($C$2:C65=C65)+($D$2:D65=C65)))</f>
        <v/>
      </c>
      <c r="X65" t="str">
        <f>IF($D65="","",SUMPRODUCT(($C$2:C65=D65)+($D$2:D65=D65)))</f>
        <v/>
      </c>
      <c r="Y65" t="str">
        <f t="shared" si="0"/>
        <v/>
      </c>
      <c r="Z65" t="str">
        <f t="shared" si="1"/>
        <v/>
      </c>
      <c r="AA65" s="4" t="str">
        <f>IF($C65="","",IF(COUNTIF($C$1:C64,$C65)+COUNTIF($D$1:D64,$C65)=0,1,0))</f>
        <v/>
      </c>
      <c r="AB65" s="4" t="str">
        <f>IF($D65="","",IF(COUNTIF($C$1:C65,$D65)+COUNTIF($D$1:D64,$D65)=0,1,0))</f>
        <v/>
      </c>
      <c r="AC65" s="4" t="str">
        <f>IF(AA65=1,SUM($AA$2:AA65)-AA65+SUM($AB$2:AB65)-AB65+1,"")</f>
        <v/>
      </c>
      <c r="AD65" s="4" t="str">
        <f>IF(AB65=1,SUM($AA$2:AA65)+SUM($AB$2:AB65)-AB65+1,"")</f>
        <v/>
      </c>
      <c r="AE65" s="4" t="str">
        <f t="shared" si="2"/>
        <v/>
      </c>
      <c r="AF65" s="4" t="str">
        <f t="shared" si="3"/>
        <v/>
      </c>
      <c r="AG65" s="8">
        <f t="shared" si="4"/>
        <v>0</v>
      </c>
      <c r="AI65" s="8">
        <f t="shared" si="5"/>
        <v>0</v>
      </c>
    </row>
    <row r="66" spans="1:35" ht="15" customHeight="1" x14ac:dyDescent="0.25">
      <c r="A66" s="10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3"/>
      <c r="P66" s="3"/>
      <c r="Q66" s="8"/>
      <c r="R66" s="8"/>
      <c r="S66" s="8"/>
      <c r="T66" s="8"/>
      <c r="U66" s="8"/>
      <c r="V66" s="8"/>
      <c r="W66" t="str">
        <f>IF($C66="","",SUMPRODUCT(($C$2:C66=C66)+($D$2:D66=C66)))</f>
        <v/>
      </c>
      <c r="X66" t="str">
        <f>IF($D66="","",SUMPRODUCT(($C$2:C66=D66)+($D$2:D66=D66)))</f>
        <v/>
      </c>
      <c r="Y66" t="str">
        <f t="shared" ref="Y66:Y129" si="6">IF($C66="","",C66&amp;"|"&amp;W66)</f>
        <v/>
      </c>
      <c r="Z66" t="str">
        <f t="shared" ref="Z66:Z129" si="7">IF($D66="","",D66&amp;"|"&amp;X66)</f>
        <v/>
      </c>
      <c r="AA66" s="4" t="str">
        <f>IF($C66="","",IF(COUNTIF($C$1:C65,$C66)+COUNTIF($D$1:D65,$C66)=0,1,0))</f>
        <v/>
      </c>
      <c r="AB66" s="4" t="str">
        <f>IF($D66="","",IF(COUNTIF($C$1:C66,$D66)+COUNTIF($D$1:D65,$D66)=0,1,0))</f>
        <v/>
      </c>
      <c r="AC66" s="4" t="str">
        <f>IF(AA66=1,SUM($AA$2:AA66)-AA66+SUM($AB$2:AB66)-AB66+1,"")</f>
        <v/>
      </c>
      <c r="AD66" s="4" t="str">
        <f>IF(AB66=1,SUM($AA$2:AA66)+SUM($AB$2:AB66)-AB66+1,"")</f>
        <v/>
      </c>
      <c r="AE66" s="4" t="str">
        <f t="shared" ref="AE66:AE129" si="8">IF(AC66="","","TEAM|"&amp;AC66)</f>
        <v/>
      </c>
      <c r="AF66" s="4" t="str">
        <f t="shared" ref="AF66:AF129" si="9">IF(AD66="","","TEAM|"&amp;AD66)</f>
        <v/>
      </c>
      <c r="AG66" s="8">
        <f t="shared" ref="AG66:AG129" si="10">IF(AH66="",0,LEN(AH66)-LEN(SUBSTITUTE(AH66,"/",""))+1)</f>
        <v>0</v>
      </c>
      <c r="AI66" s="8">
        <f t="shared" ref="AI66:AI129" si="11">IF(AJ66="",0,LEN(AJ66)-LEN(SUBSTITUTE(AJ66,"/",""))+1)</f>
        <v>0</v>
      </c>
    </row>
    <row r="67" spans="1:35" ht="15" customHeight="1" x14ac:dyDescent="0.25">
      <c r="A67" s="10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3"/>
      <c r="P67" s="3"/>
      <c r="Q67" s="8"/>
      <c r="R67" s="8"/>
      <c r="S67" s="8"/>
      <c r="T67" s="8"/>
      <c r="U67" s="8"/>
      <c r="V67" s="8"/>
      <c r="W67" t="str">
        <f>IF($C67="","",SUMPRODUCT(($C$2:C67=C67)+($D$2:D67=C67)))</f>
        <v/>
      </c>
      <c r="X67" t="str">
        <f>IF($D67="","",SUMPRODUCT(($C$2:C67=D67)+($D$2:D67=D67)))</f>
        <v/>
      </c>
      <c r="Y67" t="str">
        <f t="shared" si="6"/>
        <v/>
      </c>
      <c r="Z67" t="str">
        <f t="shared" si="7"/>
        <v/>
      </c>
      <c r="AA67" s="4" t="str">
        <f>IF($C67="","",IF(COUNTIF($C$1:C66,$C67)+COUNTIF($D$1:D66,$C67)=0,1,0))</f>
        <v/>
      </c>
      <c r="AB67" s="4" t="str">
        <f>IF($D67="","",IF(COUNTIF($C$1:C67,$D67)+COUNTIF($D$1:D66,$D67)=0,1,0))</f>
        <v/>
      </c>
      <c r="AC67" s="4" t="str">
        <f>IF(AA67=1,SUM($AA$2:AA67)-AA67+SUM($AB$2:AB67)-AB67+1,"")</f>
        <v/>
      </c>
      <c r="AD67" s="4" t="str">
        <f>IF(AB67=1,SUM($AA$2:AA67)+SUM($AB$2:AB67)-AB67+1,"")</f>
        <v/>
      </c>
      <c r="AE67" s="4" t="str">
        <f t="shared" si="8"/>
        <v/>
      </c>
      <c r="AF67" s="4" t="str">
        <f t="shared" si="9"/>
        <v/>
      </c>
      <c r="AG67" s="8">
        <f t="shared" si="10"/>
        <v>0</v>
      </c>
      <c r="AI67" s="8">
        <f t="shared" si="11"/>
        <v>0</v>
      </c>
    </row>
    <row r="68" spans="1:35" ht="15" customHeight="1" x14ac:dyDescent="0.25">
      <c r="A68" s="10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3"/>
      <c r="P68" s="3"/>
      <c r="Q68" s="8"/>
      <c r="R68" s="8"/>
      <c r="S68" s="8"/>
      <c r="T68" s="8"/>
      <c r="U68" s="8"/>
      <c r="V68" s="8"/>
      <c r="W68" t="str">
        <f>IF($C68="","",SUMPRODUCT(($C$2:C68=C68)+($D$2:D68=C68)))</f>
        <v/>
      </c>
      <c r="X68" t="str">
        <f>IF($D68="","",SUMPRODUCT(($C$2:C68=D68)+($D$2:D68=D68)))</f>
        <v/>
      </c>
      <c r="Y68" t="str">
        <f t="shared" si="6"/>
        <v/>
      </c>
      <c r="Z68" t="str">
        <f t="shared" si="7"/>
        <v/>
      </c>
      <c r="AA68" s="4" t="str">
        <f>IF($C68="","",IF(COUNTIF($C$1:C67,$C68)+COUNTIF($D$1:D67,$C68)=0,1,0))</f>
        <v/>
      </c>
      <c r="AB68" s="4" t="str">
        <f>IF($D68="","",IF(COUNTIF($C$1:C68,$D68)+COUNTIF($D$1:D67,$D68)=0,1,0))</f>
        <v/>
      </c>
      <c r="AC68" s="4" t="str">
        <f>IF(AA68=1,SUM($AA$2:AA68)-AA68+SUM($AB$2:AB68)-AB68+1,"")</f>
        <v/>
      </c>
      <c r="AD68" s="4" t="str">
        <f>IF(AB68=1,SUM($AA$2:AA68)+SUM($AB$2:AB68)-AB68+1,"")</f>
        <v/>
      </c>
      <c r="AE68" s="4" t="str">
        <f t="shared" si="8"/>
        <v/>
      </c>
      <c r="AF68" s="4" t="str">
        <f t="shared" si="9"/>
        <v/>
      </c>
      <c r="AG68" s="8">
        <f t="shared" si="10"/>
        <v>0</v>
      </c>
      <c r="AI68" s="8">
        <f t="shared" si="11"/>
        <v>0</v>
      </c>
    </row>
    <row r="69" spans="1:35" ht="15" customHeight="1" x14ac:dyDescent="0.25">
      <c r="A69" s="10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3"/>
      <c r="P69" s="3"/>
      <c r="Q69" s="8"/>
      <c r="R69" s="8"/>
      <c r="S69" s="8"/>
      <c r="T69" s="8"/>
      <c r="U69" s="8"/>
      <c r="V69" s="8"/>
      <c r="W69" t="str">
        <f>IF($C69="","",SUMPRODUCT(($C$2:C69=C69)+($D$2:D69=C69)))</f>
        <v/>
      </c>
      <c r="X69" t="str">
        <f>IF($D69="","",SUMPRODUCT(($C$2:C69=D69)+($D$2:D69=D69)))</f>
        <v/>
      </c>
      <c r="Y69" t="str">
        <f t="shared" si="6"/>
        <v/>
      </c>
      <c r="Z69" t="str">
        <f t="shared" si="7"/>
        <v/>
      </c>
      <c r="AA69" s="4" t="str">
        <f>IF($C69="","",IF(COUNTIF($C$1:C68,$C69)+COUNTIF($D$1:D68,$C69)=0,1,0))</f>
        <v/>
      </c>
      <c r="AB69" s="4" t="str">
        <f>IF($D69="","",IF(COUNTIF($C$1:C69,$D69)+COUNTIF($D$1:D68,$D69)=0,1,0))</f>
        <v/>
      </c>
      <c r="AC69" s="4" t="str">
        <f>IF(AA69=1,SUM($AA$2:AA69)-AA69+SUM($AB$2:AB69)-AB69+1,"")</f>
        <v/>
      </c>
      <c r="AD69" s="4" t="str">
        <f>IF(AB69=1,SUM($AA$2:AA69)+SUM($AB$2:AB69)-AB69+1,"")</f>
        <v/>
      </c>
      <c r="AE69" s="4" t="str">
        <f t="shared" si="8"/>
        <v/>
      </c>
      <c r="AF69" s="4" t="str">
        <f t="shared" si="9"/>
        <v/>
      </c>
      <c r="AG69" s="8">
        <f t="shared" si="10"/>
        <v>0</v>
      </c>
      <c r="AI69" s="8">
        <f t="shared" si="11"/>
        <v>0</v>
      </c>
    </row>
    <row r="70" spans="1:35" ht="15" customHeight="1" x14ac:dyDescent="0.25">
      <c r="A70" s="10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3"/>
      <c r="P70" s="3"/>
      <c r="Q70" s="8"/>
      <c r="R70" s="8"/>
      <c r="S70" s="8"/>
      <c r="T70" s="8"/>
      <c r="U70" s="8"/>
      <c r="V70" s="8"/>
      <c r="W70" t="str">
        <f>IF($C70="","",SUMPRODUCT(($C$2:C70=C70)+($D$2:D70=C70)))</f>
        <v/>
      </c>
      <c r="X70" t="str">
        <f>IF($D70="","",SUMPRODUCT(($C$2:C70=D70)+($D$2:D70=D70)))</f>
        <v/>
      </c>
      <c r="Y70" t="str">
        <f t="shared" si="6"/>
        <v/>
      </c>
      <c r="Z70" t="str">
        <f t="shared" si="7"/>
        <v/>
      </c>
      <c r="AA70" s="4" t="str">
        <f>IF($C70="","",IF(COUNTIF($C$1:C69,$C70)+COUNTIF($D$1:D69,$C70)=0,1,0))</f>
        <v/>
      </c>
      <c r="AB70" s="4" t="str">
        <f>IF($D70="","",IF(COUNTIF($C$1:C70,$D70)+COUNTIF($D$1:D69,$D70)=0,1,0))</f>
        <v/>
      </c>
      <c r="AC70" s="4" t="str">
        <f>IF(AA70=1,SUM($AA$2:AA70)-AA70+SUM($AB$2:AB70)-AB70+1,"")</f>
        <v/>
      </c>
      <c r="AD70" s="4" t="str">
        <f>IF(AB70=1,SUM($AA$2:AA70)+SUM($AB$2:AB70)-AB70+1,"")</f>
        <v/>
      </c>
      <c r="AE70" s="4" t="str">
        <f t="shared" si="8"/>
        <v/>
      </c>
      <c r="AF70" s="4" t="str">
        <f t="shared" si="9"/>
        <v/>
      </c>
      <c r="AG70" s="8">
        <f t="shared" si="10"/>
        <v>0</v>
      </c>
      <c r="AI70" s="8">
        <f t="shared" si="11"/>
        <v>0</v>
      </c>
    </row>
    <row r="71" spans="1:35" ht="15" customHeight="1" x14ac:dyDescent="0.25">
      <c r="A71" s="10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3"/>
      <c r="P71" s="3"/>
      <c r="Q71" s="8"/>
      <c r="R71" s="8"/>
      <c r="S71" s="8"/>
      <c r="T71" s="8"/>
      <c r="U71" s="8"/>
      <c r="V71" s="8"/>
      <c r="W71" t="str">
        <f>IF($C71="","",SUMPRODUCT(($C$2:C71=C71)+($D$2:D71=C71)))</f>
        <v/>
      </c>
      <c r="X71" t="str">
        <f>IF($D71="","",SUMPRODUCT(($C$2:C71=D71)+($D$2:D71=D71)))</f>
        <v/>
      </c>
      <c r="Y71" t="str">
        <f t="shared" si="6"/>
        <v/>
      </c>
      <c r="Z71" t="str">
        <f t="shared" si="7"/>
        <v/>
      </c>
      <c r="AA71" s="4" t="str">
        <f>IF($C71="","",IF(COUNTIF($C$1:C70,$C71)+COUNTIF($D$1:D70,$C71)=0,1,0))</f>
        <v/>
      </c>
      <c r="AB71" s="4" t="str">
        <f>IF($D71="","",IF(COUNTIF($C$1:C71,$D71)+COUNTIF($D$1:D70,$D71)=0,1,0))</f>
        <v/>
      </c>
      <c r="AC71" s="4" t="str">
        <f>IF(AA71=1,SUM($AA$2:AA71)-AA71+SUM($AB$2:AB71)-AB71+1,"")</f>
        <v/>
      </c>
      <c r="AD71" s="4" t="str">
        <f>IF(AB71=1,SUM($AA$2:AA71)+SUM($AB$2:AB71)-AB71+1,"")</f>
        <v/>
      </c>
      <c r="AE71" s="4" t="str">
        <f t="shared" si="8"/>
        <v/>
      </c>
      <c r="AF71" s="4" t="str">
        <f t="shared" si="9"/>
        <v/>
      </c>
      <c r="AG71" s="8">
        <f t="shared" si="10"/>
        <v>0</v>
      </c>
      <c r="AI71" s="8">
        <f t="shared" si="11"/>
        <v>0</v>
      </c>
    </row>
    <row r="72" spans="1:35" ht="15" customHeight="1" x14ac:dyDescent="0.25">
      <c r="A72" s="10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3"/>
      <c r="P72" s="3"/>
      <c r="Q72" s="8"/>
      <c r="R72" s="8"/>
      <c r="S72" s="8"/>
      <c r="T72" s="8"/>
      <c r="U72" s="8"/>
      <c r="V72" s="8"/>
      <c r="W72" t="str">
        <f>IF($C72="","",SUMPRODUCT(($C$2:C72=C72)+($D$2:D72=C72)))</f>
        <v/>
      </c>
      <c r="X72" t="str">
        <f>IF($D72="","",SUMPRODUCT(($C$2:C72=D72)+($D$2:D72=D72)))</f>
        <v/>
      </c>
      <c r="Y72" t="str">
        <f t="shared" si="6"/>
        <v/>
      </c>
      <c r="Z72" t="str">
        <f t="shared" si="7"/>
        <v/>
      </c>
      <c r="AA72" s="4" t="str">
        <f>IF($C72="","",IF(COUNTIF($C$1:C71,$C72)+COUNTIF($D$1:D71,$C72)=0,1,0))</f>
        <v/>
      </c>
      <c r="AB72" s="4" t="str">
        <f>IF($D72="","",IF(COUNTIF($C$1:C72,$D72)+COUNTIF($D$1:D71,$D72)=0,1,0))</f>
        <v/>
      </c>
      <c r="AC72" s="4" t="str">
        <f>IF(AA72=1,SUM($AA$2:AA72)-AA72+SUM($AB$2:AB72)-AB72+1,"")</f>
        <v/>
      </c>
      <c r="AD72" s="4" t="str">
        <f>IF(AB72=1,SUM($AA$2:AA72)+SUM($AB$2:AB72)-AB72+1,"")</f>
        <v/>
      </c>
      <c r="AE72" s="4" t="str">
        <f t="shared" si="8"/>
        <v/>
      </c>
      <c r="AF72" s="4" t="str">
        <f t="shared" si="9"/>
        <v/>
      </c>
      <c r="AG72" s="8">
        <f t="shared" si="10"/>
        <v>0</v>
      </c>
      <c r="AI72" s="8">
        <f t="shared" si="11"/>
        <v>0</v>
      </c>
    </row>
    <row r="73" spans="1:35" ht="15" customHeight="1" x14ac:dyDescent="0.25">
      <c r="A73" s="10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3"/>
      <c r="P73" s="3"/>
      <c r="Q73" s="8"/>
      <c r="R73" s="8"/>
      <c r="S73" s="8"/>
      <c r="T73" s="8"/>
      <c r="U73" s="8"/>
      <c r="V73" s="8"/>
      <c r="W73" t="str">
        <f>IF($C73="","",SUMPRODUCT(($C$2:C73=C73)+($D$2:D73=C73)))</f>
        <v/>
      </c>
      <c r="X73" t="str">
        <f>IF($D73="","",SUMPRODUCT(($C$2:C73=D73)+($D$2:D73=D73)))</f>
        <v/>
      </c>
      <c r="Y73" t="str">
        <f t="shared" si="6"/>
        <v/>
      </c>
      <c r="Z73" t="str">
        <f t="shared" si="7"/>
        <v/>
      </c>
      <c r="AA73" s="4" t="str">
        <f>IF($C73="","",IF(COUNTIF($C$1:C72,$C73)+COUNTIF($D$1:D72,$C73)=0,1,0))</f>
        <v/>
      </c>
      <c r="AB73" s="4" t="str">
        <f>IF($D73="","",IF(COUNTIF($C$1:C73,$D73)+COUNTIF($D$1:D72,$D73)=0,1,0))</f>
        <v/>
      </c>
      <c r="AC73" s="4" t="str">
        <f>IF(AA73=1,SUM($AA$2:AA73)-AA73+SUM($AB$2:AB73)-AB73+1,"")</f>
        <v/>
      </c>
      <c r="AD73" s="4" t="str">
        <f>IF(AB73=1,SUM($AA$2:AA73)+SUM($AB$2:AB73)-AB73+1,"")</f>
        <v/>
      </c>
      <c r="AE73" s="4" t="str">
        <f t="shared" si="8"/>
        <v/>
      </c>
      <c r="AF73" s="4" t="str">
        <f t="shared" si="9"/>
        <v/>
      </c>
      <c r="AG73" s="8">
        <f t="shared" si="10"/>
        <v>0</v>
      </c>
      <c r="AI73" s="8">
        <f t="shared" si="11"/>
        <v>0</v>
      </c>
    </row>
    <row r="74" spans="1:35" ht="15" customHeight="1" x14ac:dyDescent="0.25">
      <c r="A74" s="10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3"/>
      <c r="P74" s="3"/>
      <c r="Q74" s="8"/>
      <c r="R74" s="8"/>
      <c r="S74" s="8"/>
      <c r="T74" s="8"/>
      <c r="U74" s="8"/>
      <c r="V74" s="8"/>
      <c r="W74" t="str">
        <f>IF($C74="","",SUMPRODUCT(($C$2:C74=C74)+($D$2:D74=C74)))</f>
        <v/>
      </c>
      <c r="X74" t="str">
        <f>IF($D74="","",SUMPRODUCT(($C$2:C74=D74)+($D$2:D74=D74)))</f>
        <v/>
      </c>
      <c r="Y74" t="str">
        <f t="shared" si="6"/>
        <v/>
      </c>
      <c r="Z74" t="str">
        <f t="shared" si="7"/>
        <v/>
      </c>
      <c r="AA74" s="4" t="str">
        <f>IF($C74="","",IF(COUNTIF($C$1:C73,$C74)+COUNTIF($D$1:D73,$C74)=0,1,0))</f>
        <v/>
      </c>
      <c r="AB74" s="4" t="str">
        <f>IF($D74="","",IF(COUNTIF($C$1:C74,$D74)+COUNTIF($D$1:D73,$D74)=0,1,0))</f>
        <v/>
      </c>
      <c r="AC74" s="4" t="str">
        <f>IF(AA74=1,SUM($AA$2:AA74)-AA74+SUM($AB$2:AB74)-AB74+1,"")</f>
        <v/>
      </c>
      <c r="AD74" s="4" t="str">
        <f>IF(AB74=1,SUM($AA$2:AA74)+SUM($AB$2:AB74)-AB74+1,"")</f>
        <v/>
      </c>
      <c r="AE74" s="4" t="str">
        <f t="shared" si="8"/>
        <v/>
      </c>
      <c r="AF74" s="4" t="str">
        <f t="shared" si="9"/>
        <v/>
      </c>
      <c r="AG74" s="8">
        <f t="shared" si="10"/>
        <v>0</v>
      </c>
      <c r="AI74" s="8">
        <f t="shared" si="11"/>
        <v>0</v>
      </c>
    </row>
    <row r="75" spans="1:35" ht="15" customHeight="1" x14ac:dyDescent="0.25">
      <c r="A75" s="10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3"/>
      <c r="P75" s="3"/>
      <c r="Q75" s="8"/>
      <c r="R75" s="8"/>
      <c r="S75" s="8"/>
      <c r="T75" s="8"/>
      <c r="U75" s="8"/>
      <c r="V75" s="8"/>
      <c r="W75" t="str">
        <f>IF($C75="","",SUMPRODUCT(($C$2:C75=C75)+($D$2:D75=C75)))</f>
        <v/>
      </c>
      <c r="X75" t="str">
        <f>IF($D75="","",SUMPRODUCT(($C$2:C75=D75)+($D$2:D75=D75)))</f>
        <v/>
      </c>
      <c r="Y75" t="str">
        <f t="shared" si="6"/>
        <v/>
      </c>
      <c r="Z75" t="str">
        <f t="shared" si="7"/>
        <v/>
      </c>
      <c r="AA75" s="4" t="str">
        <f>IF($C75="","",IF(COUNTIF($C$1:C74,$C75)+COUNTIF($D$1:D74,$C75)=0,1,0))</f>
        <v/>
      </c>
      <c r="AB75" s="4" t="str">
        <f>IF($D75="","",IF(COUNTIF($C$1:C75,$D75)+COUNTIF($D$1:D74,$D75)=0,1,0))</f>
        <v/>
      </c>
      <c r="AC75" s="4" t="str">
        <f>IF(AA75=1,SUM($AA$2:AA75)-AA75+SUM($AB$2:AB75)-AB75+1,"")</f>
        <v/>
      </c>
      <c r="AD75" s="4" t="str">
        <f>IF(AB75=1,SUM($AA$2:AA75)+SUM($AB$2:AB75)-AB75+1,"")</f>
        <v/>
      </c>
      <c r="AE75" s="4" t="str">
        <f t="shared" si="8"/>
        <v/>
      </c>
      <c r="AF75" s="4" t="str">
        <f t="shared" si="9"/>
        <v/>
      </c>
      <c r="AG75" s="8">
        <f t="shared" si="10"/>
        <v>0</v>
      </c>
      <c r="AI75" s="8">
        <f t="shared" si="11"/>
        <v>0</v>
      </c>
    </row>
    <row r="76" spans="1:35" ht="15" customHeight="1" x14ac:dyDescent="0.25">
      <c r="A76" s="10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3"/>
      <c r="P76" s="3"/>
      <c r="Q76" s="8"/>
      <c r="R76" s="8"/>
      <c r="S76" s="8"/>
      <c r="T76" s="8"/>
      <c r="U76" s="8"/>
      <c r="V76" s="8"/>
      <c r="W76" t="str">
        <f>IF($C76="","",SUMPRODUCT(($C$2:C76=C76)+($D$2:D76=C76)))</f>
        <v/>
      </c>
      <c r="X76" t="str">
        <f>IF($D76="","",SUMPRODUCT(($C$2:C76=D76)+($D$2:D76=D76)))</f>
        <v/>
      </c>
      <c r="Y76" t="str">
        <f t="shared" si="6"/>
        <v/>
      </c>
      <c r="Z76" t="str">
        <f t="shared" si="7"/>
        <v/>
      </c>
      <c r="AA76" s="4" t="str">
        <f>IF($C76="","",IF(COUNTIF($C$1:C75,$C76)+COUNTIF($D$1:D75,$C76)=0,1,0))</f>
        <v/>
      </c>
      <c r="AB76" s="4" t="str">
        <f>IF($D76="","",IF(COUNTIF($C$1:C76,$D76)+COUNTIF($D$1:D75,$D76)=0,1,0))</f>
        <v/>
      </c>
      <c r="AC76" s="4" t="str">
        <f>IF(AA76=1,SUM($AA$2:AA76)-AA76+SUM($AB$2:AB76)-AB76+1,"")</f>
        <v/>
      </c>
      <c r="AD76" s="4" t="str">
        <f>IF(AB76=1,SUM($AA$2:AA76)+SUM($AB$2:AB76)-AB76+1,"")</f>
        <v/>
      </c>
      <c r="AE76" s="4" t="str">
        <f t="shared" si="8"/>
        <v/>
      </c>
      <c r="AF76" s="4" t="str">
        <f t="shared" si="9"/>
        <v/>
      </c>
      <c r="AG76" s="8">
        <f t="shared" si="10"/>
        <v>0</v>
      </c>
      <c r="AI76" s="8">
        <f t="shared" si="11"/>
        <v>0</v>
      </c>
    </row>
    <row r="77" spans="1:35" ht="15" customHeight="1" x14ac:dyDescent="0.25">
      <c r="A77" s="10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3"/>
      <c r="P77" s="3"/>
      <c r="Q77" s="8"/>
      <c r="R77" s="8"/>
      <c r="S77" s="8"/>
      <c r="T77" s="8"/>
      <c r="U77" s="8"/>
      <c r="V77" s="8"/>
      <c r="W77" t="str">
        <f>IF($C77="","",SUMPRODUCT(($C$2:C77=C77)+($D$2:D77=C77)))</f>
        <v/>
      </c>
      <c r="X77" t="str">
        <f>IF($D77="","",SUMPRODUCT(($C$2:C77=D77)+($D$2:D77=D77)))</f>
        <v/>
      </c>
      <c r="Y77" t="str">
        <f t="shared" si="6"/>
        <v/>
      </c>
      <c r="Z77" t="str">
        <f t="shared" si="7"/>
        <v/>
      </c>
      <c r="AA77" s="4" t="str">
        <f>IF($C77="","",IF(COUNTIF($C$1:C76,$C77)+COUNTIF($D$1:D76,$C77)=0,1,0))</f>
        <v/>
      </c>
      <c r="AB77" s="4" t="str">
        <f>IF($D77="","",IF(COUNTIF($C$1:C77,$D77)+COUNTIF($D$1:D76,$D77)=0,1,0))</f>
        <v/>
      </c>
      <c r="AC77" s="4" t="str">
        <f>IF(AA77=1,SUM($AA$2:AA77)-AA77+SUM($AB$2:AB77)-AB77+1,"")</f>
        <v/>
      </c>
      <c r="AD77" s="4" t="str">
        <f>IF(AB77=1,SUM($AA$2:AA77)+SUM($AB$2:AB77)-AB77+1,"")</f>
        <v/>
      </c>
      <c r="AE77" s="4" t="str">
        <f t="shared" si="8"/>
        <v/>
      </c>
      <c r="AF77" s="4" t="str">
        <f t="shared" si="9"/>
        <v/>
      </c>
      <c r="AG77" s="8">
        <f t="shared" si="10"/>
        <v>0</v>
      </c>
      <c r="AI77" s="8">
        <f t="shared" si="11"/>
        <v>0</v>
      </c>
    </row>
    <row r="78" spans="1:35" ht="15" customHeight="1" x14ac:dyDescent="0.25">
      <c r="A78" s="10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3"/>
      <c r="P78" s="3"/>
      <c r="Q78" s="8"/>
      <c r="R78" s="8"/>
      <c r="S78" s="8"/>
      <c r="T78" s="8"/>
      <c r="U78" s="8"/>
      <c r="V78" s="8"/>
      <c r="W78" t="str">
        <f>IF($C78="","",SUMPRODUCT(($C$2:C78=C78)+($D$2:D78=C78)))</f>
        <v/>
      </c>
      <c r="X78" t="str">
        <f>IF($D78="","",SUMPRODUCT(($C$2:C78=D78)+($D$2:D78=D78)))</f>
        <v/>
      </c>
      <c r="Y78" t="str">
        <f t="shared" si="6"/>
        <v/>
      </c>
      <c r="Z78" t="str">
        <f t="shared" si="7"/>
        <v/>
      </c>
      <c r="AA78" s="4" t="str">
        <f>IF($C78="","",IF(COUNTIF($C$1:C77,$C78)+COUNTIF($D$1:D77,$C78)=0,1,0))</f>
        <v/>
      </c>
      <c r="AB78" s="4" t="str">
        <f>IF($D78="","",IF(COUNTIF($C$1:C78,$D78)+COUNTIF($D$1:D77,$D78)=0,1,0))</f>
        <v/>
      </c>
      <c r="AC78" s="4" t="str">
        <f>IF(AA78=1,SUM($AA$2:AA78)-AA78+SUM($AB$2:AB78)-AB78+1,"")</f>
        <v/>
      </c>
      <c r="AD78" s="4" t="str">
        <f>IF(AB78=1,SUM($AA$2:AA78)+SUM($AB$2:AB78)-AB78+1,"")</f>
        <v/>
      </c>
      <c r="AE78" s="4" t="str">
        <f t="shared" si="8"/>
        <v/>
      </c>
      <c r="AF78" s="4" t="str">
        <f t="shared" si="9"/>
        <v/>
      </c>
      <c r="AG78" s="8">
        <f t="shared" si="10"/>
        <v>0</v>
      </c>
      <c r="AI78" s="8">
        <f t="shared" si="11"/>
        <v>0</v>
      </c>
    </row>
    <row r="79" spans="1:35" ht="15" customHeight="1" x14ac:dyDescent="0.25">
      <c r="A79" s="10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3"/>
      <c r="P79" s="3"/>
      <c r="Q79" s="8"/>
      <c r="R79" s="8"/>
      <c r="S79" s="8"/>
      <c r="T79" s="8"/>
      <c r="U79" s="8"/>
      <c r="V79" s="8"/>
      <c r="W79" t="str">
        <f>IF($C79="","",SUMPRODUCT(($C$2:C79=C79)+($D$2:D79=C79)))</f>
        <v/>
      </c>
      <c r="X79" t="str">
        <f>IF($D79="","",SUMPRODUCT(($C$2:C79=D79)+($D$2:D79=D79)))</f>
        <v/>
      </c>
      <c r="Y79" t="str">
        <f t="shared" si="6"/>
        <v/>
      </c>
      <c r="Z79" t="str">
        <f t="shared" si="7"/>
        <v/>
      </c>
      <c r="AA79" s="4" t="str">
        <f>IF($C79="","",IF(COUNTIF($C$1:C78,$C79)+COUNTIF($D$1:D78,$C79)=0,1,0))</f>
        <v/>
      </c>
      <c r="AB79" s="4" t="str">
        <f>IF($D79="","",IF(COUNTIF($C$1:C79,$D79)+COUNTIF($D$1:D78,$D79)=0,1,0))</f>
        <v/>
      </c>
      <c r="AC79" s="4" t="str">
        <f>IF(AA79=1,SUM($AA$2:AA79)-AA79+SUM($AB$2:AB79)-AB79+1,"")</f>
        <v/>
      </c>
      <c r="AD79" s="4" t="str">
        <f>IF(AB79=1,SUM($AA$2:AA79)+SUM($AB$2:AB79)-AB79+1,"")</f>
        <v/>
      </c>
      <c r="AE79" s="4" t="str">
        <f t="shared" si="8"/>
        <v/>
      </c>
      <c r="AF79" s="4" t="str">
        <f t="shared" si="9"/>
        <v/>
      </c>
      <c r="AG79" s="8">
        <f t="shared" si="10"/>
        <v>0</v>
      </c>
      <c r="AI79" s="8">
        <f t="shared" si="11"/>
        <v>0</v>
      </c>
    </row>
    <row r="80" spans="1:35" ht="15" customHeight="1" x14ac:dyDescent="0.25">
      <c r="A80" s="10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3"/>
      <c r="P80" s="3"/>
      <c r="Q80" s="8"/>
      <c r="R80" s="8"/>
      <c r="S80" s="8"/>
      <c r="T80" s="8"/>
      <c r="U80" s="8"/>
      <c r="V80" s="8"/>
      <c r="W80" t="str">
        <f>IF($C80="","",SUMPRODUCT(($C$2:C80=C80)+($D$2:D80=C80)))</f>
        <v/>
      </c>
      <c r="X80" t="str">
        <f>IF($D80="","",SUMPRODUCT(($C$2:C80=D80)+($D$2:D80=D80)))</f>
        <v/>
      </c>
      <c r="Y80" t="str">
        <f t="shared" si="6"/>
        <v/>
      </c>
      <c r="Z80" t="str">
        <f t="shared" si="7"/>
        <v/>
      </c>
      <c r="AA80" s="4" t="str">
        <f>IF($C80="","",IF(COUNTIF($C$1:C79,$C80)+COUNTIF($D$1:D79,$C80)=0,1,0))</f>
        <v/>
      </c>
      <c r="AB80" s="4" t="str">
        <f>IF($D80="","",IF(COUNTIF($C$1:C80,$D80)+COUNTIF($D$1:D79,$D80)=0,1,0))</f>
        <v/>
      </c>
      <c r="AC80" s="4" t="str">
        <f>IF(AA80=1,SUM($AA$2:AA80)-AA80+SUM($AB$2:AB80)-AB80+1,"")</f>
        <v/>
      </c>
      <c r="AD80" s="4" t="str">
        <f>IF(AB80=1,SUM($AA$2:AA80)+SUM($AB$2:AB80)-AB80+1,"")</f>
        <v/>
      </c>
      <c r="AE80" s="4" t="str">
        <f t="shared" si="8"/>
        <v/>
      </c>
      <c r="AF80" s="4" t="str">
        <f t="shared" si="9"/>
        <v/>
      </c>
      <c r="AG80" s="8">
        <f t="shared" si="10"/>
        <v>0</v>
      </c>
      <c r="AI80" s="8">
        <f t="shared" si="11"/>
        <v>0</v>
      </c>
    </row>
    <row r="81" spans="1:35" ht="15" customHeight="1" x14ac:dyDescent="0.25">
      <c r="A81" s="10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3"/>
      <c r="P81" s="3"/>
      <c r="Q81" s="8"/>
      <c r="R81" s="8"/>
      <c r="S81" s="8"/>
      <c r="T81" s="8"/>
      <c r="U81" s="8"/>
      <c r="V81" s="8"/>
      <c r="W81" t="str">
        <f>IF($C81="","",SUMPRODUCT(($C$2:C81=C81)+($D$2:D81=C81)))</f>
        <v/>
      </c>
      <c r="X81" t="str">
        <f>IF($D81="","",SUMPRODUCT(($C$2:C81=D81)+($D$2:D81=D81)))</f>
        <v/>
      </c>
      <c r="Y81" t="str">
        <f t="shared" si="6"/>
        <v/>
      </c>
      <c r="Z81" t="str">
        <f t="shared" si="7"/>
        <v/>
      </c>
      <c r="AA81" s="4" t="str">
        <f>IF($C81="","",IF(COUNTIF($C$1:C80,$C81)+COUNTIF($D$1:D80,$C81)=0,1,0))</f>
        <v/>
      </c>
      <c r="AB81" s="4" t="str">
        <f>IF($D81="","",IF(COUNTIF($C$1:C81,$D81)+COUNTIF($D$1:D80,$D81)=0,1,0))</f>
        <v/>
      </c>
      <c r="AC81" s="4" t="str">
        <f>IF(AA81=1,SUM($AA$2:AA81)-AA81+SUM($AB$2:AB81)-AB81+1,"")</f>
        <v/>
      </c>
      <c r="AD81" s="4" t="str">
        <f>IF(AB81=1,SUM($AA$2:AA81)+SUM($AB$2:AB81)-AB81+1,"")</f>
        <v/>
      </c>
      <c r="AE81" s="4" t="str">
        <f t="shared" si="8"/>
        <v/>
      </c>
      <c r="AF81" s="4" t="str">
        <f t="shared" si="9"/>
        <v/>
      </c>
      <c r="AG81" s="8">
        <f t="shared" si="10"/>
        <v>0</v>
      </c>
      <c r="AI81" s="8">
        <f t="shared" si="11"/>
        <v>0</v>
      </c>
    </row>
    <row r="82" spans="1:35" ht="15" customHeight="1" x14ac:dyDescent="0.25">
      <c r="A82" s="10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3"/>
      <c r="P82" s="3"/>
      <c r="Q82" s="8"/>
      <c r="R82" s="8"/>
      <c r="S82" s="8"/>
      <c r="T82" s="8"/>
      <c r="U82" s="8"/>
      <c r="V82" s="8"/>
      <c r="W82" t="str">
        <f>IF($C82="","",SUMPRODUCT(($C$2:C82=C82)+($D$2:D82=C82)))</f>
        <v/>
      </c>
      <c r="X82" t="str">
        <f>IF($D82="","",SUMPRODUCT(($C$2:C82=D82)+($D$2:D82=D82)))</f>
        <v/>
      </c>
      <c r="Y82" t="str">
        <f t="shared" si="6"/>
        <v/>
      </c>
      <c r="Z82" t="str">
        <f t="shared" si="7"/>
        <v/>
      </c>
      <c r="AA82" s="4" t="str">
        <f>IF($C82="","",IF(COUNTIF($C$1:C81,$C82)+COUNTIF($D$1:D81,$C82)=0,1,0))</f>
        <v/>
      </c>
      <c r="AB82" s="4" t="str">
        <f>IF($D82="","",IF(COUNTIF($C$1:C82,$D82)+COUNTIF($D$1:D81,$D82)=0,1,0))</f>
        <v/>
      </c>
      <c r="AC82" s="4" t="str">
        <f>IF(AA82=1,SUM($AA$2:AA82)-AA82+SUM($AB$2:AB82)-AB82+1,"")</f>
        <v/>
      </c>
      <c r="AD82" s="4" t="str">
        <f>IF(AB82=1,SUM($AA$2:AA82)+SUM($AB$2:AB82)-AB82+1,"")</f>
        <v/>
      </c>
      <c r="AE82" s="4" t="str">
        <f t="shared" si="8"/>
        <v/>
      </c>
      <c r="AF82" s="4" t="str">
        <f t="shared" si="9"/>
        <v/>
      </c>
      <c r="AG82" s="8">
        <f t="shared" si="10"/>
        <v>0</v>
      </c>
      <c r="AI82" s="8">
        <f t="shared" si="11"/>
        <v>0</v>
      </c>
    </row>
    <row r="83" spans="1:35" ht="15" customHeight="1" x14ac:dyDescent="0.25">
      <c r="A83" s="10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3"/>
      <c r="P83" s="3"/>
      <c r="Q83" s="8"/>
      <c r="R83" s="8"/>
      <c r="S83" s="8"/>
      <c r="T83" s="8"/>
      <c r="U83" s="8"/>
      <c r="V83" s="8"/>
      <c r="W83" t="str">
        <f>IF($C83="","",SUMPRODUCT(($C$2:C83=C83)+($D$2:D83=C83)))</f>
        <v/>
      </c>
      <c r="X83" t="str">
        <f>IF($D83="","",SUMPRODUCT(($C$2:C83=D83)+($D$2:D83=D83)))</f>
        <v/>
      </c>
      <c r="Y83" t="str">
        <f t="shared" si="6"/>
        <v/>
      </c>
      <c r="Z83" t="str">
        <f t="shared" si="7"/>
        <v/>
      </c>
      <c r="AA83" s="4" t="str">
        <f>IF($C83="","",IF(COUNTIF($C$1:C82,$C83)+COUNTIF($D$1:D82,$C83)=0,1,0))</f>
        <v/>
      </c>
      <c r="AB83" s="4" t="str">
        <f>IF($D83="","",IF(COUNTIF($C$1:C83,$D83)+COUNTIF($D$1:D82,$D83)=0,1,0))</f>
        <v/>
      </c>
      <c r="AC83" s="4" t="str">
        <f>IF(AA83=1,SUM($AA$2:AA83)-AA83+SUM($AB$2:AB83)-AB83+1,"")</f>
        <v/>
      </c>
      <c r="AD83" s="4" t="str">
        <f>IF(AB83=1,SUM($AA$2:AA83)+SUM($AB$2:AB83)-AB83+1,"")</f>
        <v/>
      </c>
      <c r="AE83" s="4" t="str">
        <f t="shared" si="8"/>
        <v/>
      </c>
      <c r="AF83" s="4" t="str">
        <f t="shared" si="9"/>
        <v/>
      </c>
      <c r="AG83" s="8">
        <f t="shared" si="10"/>
        <v>0</v>
      </c>
      <c r="AI83" s="8">
        <f t="shared" si="11"/>
        <v>0</v>
      </c>
    </row>
    <row r="84" spans="1:35" ht="15" customHeight="1" x14ac:dyDescent="0.25">
      <c r="A84" s="10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3"/>
      <c r="P84" s="3"/>
      <c r="Q84" s="8"/>
      <c r="R84" s="8"/>
      <c r="S84" s="8"/>
      <c r="T84" s="8"/>
      <c r="U84" s="8"/>
      <c r="V84" s="8"/>
      <c r="W84" t="str">
        <f>IF($C84="","",SUMPRODUCT(($C$2:C84=C84)+($D$2:D84=C84)))</f>
        <v/>
      </c>
      <c r="X84" t="str">
        <f>IF($D84="","",SUMPRODUCT(($C$2:C84=D84)+($D$2:D84=D84)))</f>
        <v/>
      </c>
      <c r="Y84" t="str">
        <f t="shared" si="6"/>
        <v/>
      </c>
      <c r="Z84" t="str">
        <f t="shared" si="7"/>
        <v/>
      </c>
      <c r="AA84" s="4" t="str">
        <f>IF($C84="","",IF(COUNTIF($C$1:C83,$C84)+COUNTIF($D$1:D83,$C84)=0,1,0))</f>
        <v/>
      </c>
      <c r="AB84" s="4" t="str">
        <f>IF($D84="","",IF(COUNTIF($C$1:C84,$D84)+COUNTIF($D$1:D83,$D84)=0,1,0))</f>
        <v/>
      </c>
      <c r="AC84" s="4" t="str">
        <f>IF(AA84=1,SUM($AA$2:AA84)-AA84+SUM($AB$2:AB84)-AB84+1,"")</f>
        <v/>
      </c>
      <c r="AD84" s="4" t="str">
        <f>IF(AB84=1,SUM($AA$2:AA84)+SUM($AB$2:AB84)-AB84+1,"")</f>
        <v/>
      </c>
      <c r="AE84" s="4" t="str">
        <f t="shared" si="8"/>
        <v/>
      </c>
      <c r="AF84" s="4" t="str">
        <f t="shared" si="9"/>
        <v/>
      </c>
      <c r="AG84" s="8">
        <f t="shared" si="10"/>
        <v>0</v>
      </c>
      <c r="AI84" s="8">
        <f t="shared" si="11"/>
        <v>0</v>
      </c>
    </row>
    <row r="85" spans="1:35" ht="15" customHeight="1" x14ac:dyDescent="0.25">
      <c r="A85" s="10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3"/>
      <c r="P85" s="3"/>
      <c r="Q85" s="8"/>
      <c r="R85" s="8"/>
      <c r="S85" s="8"/>
      <c r="T85" s="8"/>
      <c r="U85" s="8"/>
      <c r="V85" s="8"/>
      <c r="W85" t="str">
        <f>IF($C85="","",SUMPRODUCT(($C$2:C85=C85)+($D$2:D85=C85)))</f>
        <v/>
      </c>
      <c r="X85" t="str">
        <f>IF($D85="","",SUMPRODUCT(($C$2:C85=D85)+($D$2:D85=D85)))</f>
        <v/>
      </c>
      <c r="Y85" t="str">
        <f t="shared" si="6"/>
        <v/>
      </c>
      <c r="Z85" t="str">
        <f t="shared" si="7"/>
        <v/>
      </c>
      <c r="AA85" s="4" t="str">
        <f>IF($C85="","",IF(COUNTIF($C$1:C84,$C85)+COUNTIF($D$1:D84,$C85)=0,1,0))</f>
        <v/>
      </c>
      <c r="AB85" s="4" t="str">
        <f>IF($D85="","",IF(COUNTIF($C$1:C85,$D85)+COUNTIF($D$1:D84,$D85)=0,1,0))</f>
        <v/>
      </c>
      <c r="AC85" s="4" t="str">
        <f>IF(AA85=1,SUM($AA$2:AA85)-AA85+SUM($AB$2:AB85)-AB85+1,"")</f>
        <v/>
      </c>
      <c r="AD85" s="4" t="str">
        <f>IF(AB85=1,SUM($AA$2:AA85)+SUM($AB$2:AB85)-AB85+1,"")</f>
        <v/>
      </c>
      <c r="AE85" s="4" t="str">
        <f t="shared" si="8"/>
        <v/>
      </c>
      <c r="AF85" s="4" t="str">
        <f t="shared" si="9"/>
        <v/>
      </c>
      <c r="AG85" s="8">
        <f t="shared" si="10"/>
        <v>0</v>
      </c>
      <c r="AI85" s="8">
        <f t="shared" si="11"/>
        <v>0</v>
      </c>
    </row>
    <row r="86" spans="1:35" ht="15" customHeight="1" x14ac:dyDescent="0.25">
      <c r="A86" s="10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3"/>
      <c r="P86" s="3"/>
      <c r="Q86" s="8"/>
      <c r="R86" s="8"/>
      <c r="S86" s="8"/>
      <c r="T86" s="8"/>
      <c r="U86" s="8"/>
      <c r="V86" s="8"/>
      <c r="W86" t="str">
        <f>IF($C86="","",SUMPRODUCT(($C$2:C86=C86)+($D$2:D86=C86)))</f>
        <v/>
      </c>
      <c r="X86" t="str">
        <f>IF($D86="","",SUMPRODUCT(($C$2:C86=D86)+($D$2:D86=D86)))</f>
        <v/>
      </c>
      <c r="Y86" t="str">
        <f t="shared" si="6"/>
        <v/>
      </c>
      <c r="Z86" t="str">
        <f t="shared" si="7"/>
        <v/>
      </c>
      <c r="AA86" s="4" t="str">
        <f>IF($C86="","",IF(COUNTIF($C$1:C85,$C86)+COUNTIF($D$1:D85,$C86)=0,1,0))</f>
        <v/>
      </c>
      <c r="AB86" s="4" t="str">
        <f>IF($D86="","",IF(COUNTIF($C$1:C86,$D86)+COUNTIF($D$1:D85,$D86)=0,1,0))</f>
        <v/>
      </c>
      <c r="AC86" s="4" t="str">
        <f>IF(AA86=1,SUM($AA$2:AA86)-AA86+SUM($AB$2:AB86)-AB86+1,"")</f>
        <v/>
      </c>
      <c r="AD86" s="4" t="str">
        <f>IF(AB86=1,SUM($AA$2:AA86)+SUM($AB$2:AB86)-AB86+1,"")</f>
        <v/>
      </c>
      <c r="AE86" s="4" t="str">
        <f t="shared" si="8"/>
        <v/>
      </c>
      <c r="AF86" s="4" t="str">
        <f t="shared" si="9"/>
        <v/>
      </c>
      <c r="AG86" s="8">
        <f t="shared" si="10"/>
        <v>0</v>
      </c>
      <c r="AI86" s="8">
        <f t="shared" si="11"/>
        <v>0</v>
      </c>
    </row>
    <row r="87" spans="1:35" ht="15" customHeight="1" x14ac:dyDescent="0.25">
      <c r="A87" s="10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3"/>
      <c r="P87" s="3"/>
      <c r="Q87" s="8"/>
      <c r="R87" s="8"/>
      <c r="S87" s="8"/>
      <c r="T87" s="8"/>
      <c r="U87" s="8"/>
      <c r="V87" s="8"/>
      <c r="W87" t="str">
        <f>IF($C87="","",SUMPRODUCT(($C$2:C87=C87)+($D$2:D87=C87)))</f>
        <v/>
      </c>
      <c r="X87" t="str">
        <f>IF($D87="","",SUMPRODUCT(($C$2:C87=D87)+($D$2:D87=D87)))</f>
        <v/>
      </c>
      <c r="Y87" t="str">
        <f t="shared" si="6"/>
        <v/>
      </c>
      <c r="Z87" t="str">
        <f t="shared" si="7"/>
        <v/>
      </c>
      <c r="AA87" s="4" t="str">
        <f>IF($C87="","",IF(COUNTIF($C$1:C86,$C87)+COUNTIF($D$1:D86,$C87)=0,1,0))</f>
        <v/>
      </c>
      <c r="AB87" s="4" t="str">
        <f>IF($D87="","",IF(COUNTIF($C$1:C87,$D87)+COUNTIF($D$1:D86,$D87)=0,1,0))</f>
        <v/>
      </c>
      <c r="AC87" s="4" t="str">
        <f>IF(AA87=1,SUM($AA$2:AA87)-AA87+SUM($AB$2:AB87)-AB87+1,"")</f>
        <v/>
      </c>
      <c r="AD87" s="4" t="str">
        <f>IF(AB87=1,SUM($AA$2:AA87)+SUM($AB$2:AB87)-AB87+1,"")</f>
        <v/>
      </c>
      <c r="AE87" s="4" t="str">
        <f t="shared" si="8"/>
        <v/>
      </c>
      <c r="AF87" s="4" t="str">
        <f t="shared" si="9"/>
        <v/>
      </c>
      <c r="AG87" s="8">
        <f t="shared" si="10"/>
        <v>0</v>
      </c>
      <c r="AI87" s="8">
        <f t="shared" si="11"/>
        <v>0</v>
      </c>
    </row>
    <row r="88" spans="1:35" ht="15" customHeight="1" x14ac:dyDescent="0.25">
      <c r="A88" s="10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3"/>
      <c r="P88" s="3"/>
      <c r="Q88" s="8"/>
      <c r="R88" s="8"/>
      <c r="S88" s="8"/>
      <c r="T88" s="8"/>
      <c r="U88" s="8"/>
      <c r="V88" s="8"/>
      <c r="W88" t="str">
        <f>IF($C88="","",SUMPRODUCT(($C$2:C88=C88)+($D$2:D88=C88)))</f>
        <v/>
      </c>
      <c r="X88" t="str">
        <f>IF($D88="","",SUMPRODUCT(($C$2:C88=D88)+($D$2:D88=D88)))</f>
        <v/>
      </c>
      <c r="Y88" t="str">
        <f t="shared" si="6"/>
        <v/>
      </c>
      <c r="Z88" t="str">
        <f t="shared" si="7"/>
        <v/>
      </c>
      <c r="AA88" s="4" t="str">
        <f>IF($C88="","",IF(COUNTIF($C$1:C87,$C88)+COUNTIF($D$1:D87,$C88)=0,1,0))</f>
        <v/>
      </c>
      <c r="AB88" s="4" t="str">
        <f>IF($D88="","",IF(COUNTIF($C$1:C88,$D88)+COUNTIF($D$1:D87,$D88)=0,1,0))</f>
        <v/>
      </c>
      <c r="AC88" s="4" t="str">
        <f>IF(AA88=1,SUM($AA$2:AA88)-AA88+SUM($AB$2:AB88)-AB88+1,"")</f>
        <v/>
      </c>
      <c r="AD88" s="4" t="str">
        <f>IF(AB88=1,SUM($AA$2:AA88)+SUM($AB$2:AB88)-AB88+1,"")</f>
        <v/>
      </c>
      <c r="AE88" s="4" t="str">
        <f t="shared" si="8"/>
        <v/>
      </c>
      <c r="AF88" s="4" t="str">
        <f t="shared" si="9"/>
        <v/>
      </c>
      <c r="AG88" s="8">
        <f t="shared" si="10"/>
        <v>0</v>
      </c>
      <c r="AI88" s="8">
        <f t="shared" si="11"/>
        <v>0</v>
      </c>
    </row>
    <row r="89" spans="1:35" ht="15" customHeight="1" x14ac:dyDescent="0.25">
      <c r="A89" s="10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3"/>
      <c r="P89" s="3"/>
      <c r="Q89" s="8"/>
      <c r="R89" s="8"/>
      <c r="S89" s="8"/>
      <c r="T89" s="8"/>
      <c r="U89" s="8"/>
      <c r="V89" s="8"/>
      <c r="W89" t="str">
        <f>IF($C89="","",SUMPRODUCT(($C$2:C89=C89)+($D$2:D89=C89)))</f>
        <v/>
      </c>
      <c r="X89" t="str">
        <f>IF($D89="","",SUMPRODUCT(($C$2:C89=D89)+($D$2:D89=D89)))</f>
        <v/>
      </c>
      <c r="Y89" t="str">
        <f t="shared" si="6"/>
        <v/>
      </c>
      <c r="Z89" t="str">
        <f t="shared" si="7"/>
        <v/>
      </c>
      <c r="AA89" s="4" t="str">
        <f>IF($C89="","",IF(COUNTIF($C$1:C88,$C89)+COUNTIF($D$1:D88,$C89)=0,1,0))</f>
        <v/>
      </c>
      <c r="AB89" s="4" t="str">
        <f>IF($D89="","",IF(COUNTIF($C$1:C89,$D89)+COUNTIF($D$1:D88,$D89)=0,1,0))</f>
        <v/>
      </c>
      <c r="AC89" s="4" t="str">
        <f>IF(AA89=1,SUM($AA$2:AA89)-AA89+SUM($AB$2:AB89)-AB89+1,"")</f>
        <v/>
      </c>
      <c r="AD89" s="4" t="str">
        <f>IF(AB89=1,SUM($AA$2:AA89)+SUM($AB$2:AB89)-AB89+1,"")</f>
        <v/>
      </c>
      <c r="AE89" s="4" t="str">
        <f t="shared" si="8"/>
        <v/>
      </c>
      <c r="AF89" s="4" t="str">
        <f t="shared" si="9"/>
        <v/>
      </c>
      <c r="AG89" s="8">
        <f t="shared" si="10"/>
        <v>0</v>
      </c>
      <c r="AI89" s="8">
        <f t="shared" si="11"/>
        <v>0</v>
      </c>
    </row>
    <row r="90" spans="1:35" ht="15" customHeight="1" x14ac:dyDescent="0.25">
      <c r="A90" s="10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3"/>
      <c r="P90" s="3"/>
      <c r="Q90" s="8"/>
      <c r="R90" s="8"/>
      <c r="S90" s="8"/>
      <c r="T90" s="8"/>
      <c r="U90" s="8"/>
      <c r="V90" s="8"/>
      <c r="W90" t="str">
        <f>IF($C90="","",SUMPRODUCT(($C$2:C90=C90)+($D$2:D90=C90)))</f>
        <v/>
      </c>
      <c r="X90" t="str">
        <f>IF($D90="","",SUMPRODUCT(($C$2:C90=D90)+($D$2:D90=D90)))</f>
        <v/>
      </c>
      <c r="Y90" t="str">
        <f t="shared" si="6"/>
        <v/>
      </c>
      <c r="Z90" t="str">
        <f t="shared" si="7"/>
        <v/>
      </c>
      <c r="AA90" s="4" t="str">
        <f>IF($C90="","",IF(COUNTIF($C$1:C89,$C90)+COUNTIF($D$1:D89,$C90)=0,1,0))</f>
        <v/>
      </c>
      <c r="AB90" s="4" t="str">
        <f>IF($D90="","",IF(COUNTIF($C$1:C90,$D90)+COUNTIF($D$1:D89,$D90)=0,1,0))</f>
        <v/>
      </c>
      <c r="AC90" s="4" t="str">
        <f>IF(AA90=1,SUM($AA$2:AA90)-AA90+SUM($AB$2:AB90)-AB90+1,"")</f>
        <v/>
      </c>
      <c r="AD90" s="4" t="str">
        <f>IF(AB90=1,SUM($AA$2:AA90)+SUM($AB$2:AB90)-AB90+1,"")</f>
        <v/>
      </c>
      <c r="AE90" s="4" t="str">
        <f t="shared" si="8"/>
        <v/>
      </c>
      <c r="AF90" s="4" t="str">
        <f t="shared" si="9"/>
        <v/>
      </c>
      <c r="AG90" s="8">
        <f t="shared" si="10"/>
        <v>0</v>
      </c>
      <c r="AI90" s="8">
        <f t="shared" si="11"/>
        <v>0</v>
      </c>
    </row>
    <row r="91" spans="1:35" ht="15" customHeight="1" x14ac:dyDescent="0.25">
      <c r="A91" s="10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3"/>
      <c r="P91" s="3"/>
      <c r="Q91" s="8"/>
      <c r="R91" s="8"/>
      <c r="S91" s="8"/>
      <c r="T91" s="8"/>
      <c r="U91" s="8"/>
      <c r="V91" s="8"/>
      <c r="W91" t="str">
        <f>IF($C91="","",SUMPRODUCT(($C$2:C91=C91)+($D$2:D91=C91)))</f>
        <v/>
      </c>
      <c r="X91" t="str">
        <f>IF($D91="","",SUMPRODUCT(($C$2:C91=D91)+($D$2:D91=D91)))</f>
        <v/>
      </c>
      <c r="Y91" t="str">
        <f t="shared" si="6"/>
        <v/>
      </c>
      <c r="Z91" t="str">
        <f t="shared" si="7"/>
        <v/>
      </c>
      <c r="AA91" s="4" t="str">
        <f>IF($C91="","",IF(COUNTIF($C$1:C90,$C91)+COUNTIF($D$1:D90,$C91)=0,1,0))</f>
        <v/>
      </c>
      <c r="AB91" s="4" t="str">
        <f>IF($D91="","",IF(COUNTIF($C$1:C91,$D91)+COUNTIF($D$1:D90,$D91)=0,1,0))</f>
        <v/>
      </c>
      <c r="AC91" s="4" t="str">
        <f>IF(AA91=1,SUM($AA$2:AA91)-AA91+SUM($AB$2:AB91)-AB91+1,"")</f>
        <v/>
      </c>
      <c r="AD91" s="4" t="str">
        <f>IF(AB91=1,SUM($AA$2:AA91)+SUM($AB$2:AB91)-AB91+1,"")</f>
        <v/>
      </c>
      <c r="AE91" s="4" t="str">
        <f t="shared" si="8"/>
        <v/>
      </c>
      <c r="AF91" s="4" t="str">
        <f t="shared" si="9"/>
        <v/>
      </c>
      <c r="AG91" s="8">
        <f t="shared" si="10"/>
        <v>0</v>
      </c>
      <c r="AI91" s="8">
        <f t="shared" si="11"/>
        <v>0</v>
      </c>
    </row>
    <row r="92" spans="1:35" ht="15" customHeight="1" x14ac:dyDescent="0.25">
      <c r="A92" s="10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3"/>
      <c r="P92" s="3"/>
      <c r="Q92" s="8"/>
      <c r="R92" s="8"/>
      <c r="S92" s="8"/>
      <c r="T92" s="8"/>
      <c r="U92" s="8"/>
      <c r="V92" s="8"/>
      <c r="W92" t="str">
        <f>IF($C92="","",SUMPRODUCT(($C$2:C92=C92)+($D$2:D92=C92)))</f>
        <v/>
      </c>
      <c r="X92" t="str">
        <f>IF($D92="","",SUMPRODUCT(($C$2:C92=D92)+($D$2:D92=D92)))</f>
        <v/>
      </c>
      <c r="Y92" t="str">
        <f t="shared" si="6"/>
        <v/>
      </c>
      <c r="Z92" t="str">
        <f t="shared" si="7"/>
        <v/>
      </c>
      <c r="AA92" s="4" t="str">
        <f>IF($C92="","",IF(COUNTIF($C$1:C91,$C92)+COUNTIF($D$1:D91,$C92)=0,1,0))</f>
        <v/>
      </c>
      <c r="AB92" s="4" t="str">
        <f>IF($D92="","",IF(COUNTIF($C$1:C92,$D92)+COUNTIF($D$1:D91,$D92)=0,1,0))</f>
        <v/>
      </c>
      <c r="AC92" s="4" t="str">
        <f>IF(AA92=1,SUM($AA$2:AA92)-AA92+SUM($AB$2:AB92)-AB92+1,"")</f>
        <v/>
      </c>
      <c r="AD92" s="4" t="str">
        <f>IF(AB92=1,SUM($AA$2:AA92)+SUM($AB$2:AB92)-AB92+1,"")</f>
        <v/>
      </c>
      <c r="AE92" s="4" t="str">
        <f t="shared" si="8"/>
        <v/>
      </c>
      <c r="AF92" s="4" t="str">
        <f t="shared" si="9"/>
        <v/>
      </c>
      <c r="AG92" s="8">
        <f t="shared" si="10"/>
        <v>0</v>
      </c>
      <c r="AI92" s="8">
        <f t="shared" si="11"/>
        <v>0</v>
      </c>
    </row>
    <row r="93" spans="1:35" ht="15" customHeight="1" x14ac:dyDescent="0.25">
      <c r="A93" s="10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3"/>
      <c r="P93" s="3"/>
      <c r="Q93" s="8"/>
      <c r="R93" s="8"/>
      <c r="S93" s="8"/>
      <c r="T93" s="8"/>
      <c r="U93" s="8"/>
      <c r="V93" s="8"/>
      <c r="W93" t="str">
        <f>IF($C93="","",SUMPRODUCT(($C$2:C93=C93)+($D$2:D93=C93)))</f>
        <v/>
      </c>
      <c r="X93" t="str">
        <f>IF($D93="","",SUMPRODUCT(($C$2:C93=D93)+($D$2:D93=D93)))</f>
        <v/>
      </c>
      <c r="Y93" t="str">
        <f t="shared" si="6"/>
        <v/>
      </c>
      <c r="Z93" t="str">
        <f t="shared" si="7"/>
        <v/>
      </c>
      <c r="AA93" s="4" t="str">
        <f>IF($C93="","",IF(COUNTIF($C$1:C92,$C93)+COUNTIF($D$1:D92,$C93)=0,1,0))</f>
        <v/>
      </c>
      <c r="AB93" s="4" t="str">
        <f>IF($D93="","",IF(COUNTIF($C$1:C93,$D93)+COUNTIF($D$1:D92,$D93)=0,1,0))</f>
        <v/>
      </c>
      <c r="AC93" s="4" t="str">
        <f>IF(AA93=1,SUM($AA$2:AA93)-AA93+SUM($AB$2:AB93)-AB93+1,"")</f>
        <v/>
      </c>
      <c r="AD93" s="4" t="str">
        <f>IF(AB93=1,SUM($AA$2:AA93)+SUM($AB$2:AB93)-AB93+1,"")</f>
        <v/>
      </c>
      <c r="AE93" s="4" t="str">
        <f t="shared" si="8"/>
        <v/>
      </c>
      <c r="AF93" s="4" t="str">
        <f t="shared" si="9"/>
        <v/>
      </c>
      <c r="AG93" s="8">
        <f t="shared" si="10"/>
        <v>0</v>
      </c>
      <c r="AI93" s="8">
        <f t="shared" si="11"/>
        <v>0</v>
      </c>
    </row>
    <row r="94" spans="1:35" ht="15" customHeight="1" x14ac:dyDescent="0.25">
      <c r="A94" s="10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3"/>
      <c r="P94" s="3"/>
      <c r="Q94" s="8"/>
      <c r="R94" s="8"/>
      <c r="S94" s="8"/>
      <c r="T94" s="8"/>
      <c r="U94" s="8"/>
      <c r="V94" s="8"/>
      <c r="W94" t="str">
        <f>IF($C94="","",SUMPRODUCT(($C$2:C94=C94)+($D$2:D94=C94)))</f>
        <v/>
      </c>
      <c r="X94" t="str">
        <f>IF($D94="","",SUMPRODUCT(($C$2:C94=D94)+($D$2:D94=D94)))</f>
        <v/>
      </c>
      <c r="Y94" t="str">
        <f t="shared" si="6"/>
        <v/>
      </c>
      <c r="Z94" t="str">
        <f t="shared" si="7"/>
        <v/>
      </c>
      <c r="AA94" s="4" t="str">
        <f>IF($C94="","",IF(COUNTIF($C$1:C93,$C94)+COUNTIF($D$1:D93,$C94)=0,1,0))</f>
        <v/>
      </c>
      <c r="AB94" s="4" t="str">
        <f>IF($D94="","",IF(COUNTIF($C$1:C94,$D94)+COUNTIF($D$1:D93,$D94)=0,1,0))</f>
        <v/>
      </c>
      <c r="AC94" s="4" t="str">
        <f>IF(AA94=1,SUM($AA$2:AA94)-AA94+SUM($AB$2:AB94)-AB94+1,"")</f>
        <v/>
      </c>
      <c r="AD94" s="4" t="str">
        <f>IF(AB94=1,SUM($AA$2:AA94)+SUM($AB$2:AB94)-AB94+1,"")</f>
        <v/>
      </c>
      <c r="AE94" s="4" t="str">
        <f t="shared" si="8"/>
        <v/>
      </c>
      <c r="AF94" s="4" t="str">
        <f t="shared" si="9"/>
        <v/>
      </c>
      <c r="AG94" s="8">
        <f t="shared" si="10"/>
        <v>0</v>
      </c>
      <c r="AI94" s="8">
        <f t="shared" si="11"/>
        <v>0</v>
      </c>
    </row>
    <row r="95" spans="1:35" ht="15" customHeight="1" x14ac:dyDescent="0.25">
      <c r="A95" s="10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3"/>
      <c r="P95" s="3"/>
      <c r="Q95" s="8"/>
      <c r="R95" s="8"/>
      <c r="S95" s="8"/>
      <c r="T95" s="8"/>
      <c r="U95" s="8"/>
      <c r="V95" s="8"/>
      <c r="W95" t="str">
        <f>IF($C95="","",SUMPRODUCT(($C$2:C95=C95)+($D$2:D95=C95)))</f>
        <v/>
      </c>
      <c r="X95" t="str">
        <f>IF($D95="","",SUMPRODUCT(($C$2:C95=D95)+($D$2:D95=D95)))</f>
        <v/>
      </c>
      <c r="Y95" t="str">
        <f t="shared" si="6"/>
        <v/>
      </c>
      <c r="Z95" t="str">
        <f t="shared" si="7"/>
        <v/>
      </c>
      <c r="AA95" s="4" t="str">
        <f>IF($C95="","",IF(COUNTIF($C$1:C94,$C95)+COUNTIF($D$1:D94,$C95)=0,1,0))</f>
        <v/>
      </c>
      <c r="AB95" s="4" t="str">
        <f>IF($D95="","",IF(COUNTIF($C$1:C95,$D95)+COUNTIF($D$1:D94,$D95)=0,1,0))</f>
        <v/>
      </c>
      <c r="AC95" s="4" t="str">
        <f>IF(AA95=1,SUM($AA$2:AA95)-AA95+SUM($AB$2:AB95)-AB95+1,"")</f>
        <v/>
      </c>
      <c r="AD95" s="4" t="str">
        <f>IF(AB95=1,SUM($AA$2:AA95)+SUM($AB$2:AB95)-AB95+1,"")</f>
        <v/>
      </c>
      <c r="AE95" s="4" t="str">
        <f t="shared" si="8"/>
        <v/>
      </c>
      <c r="AF95" s="4" t="str">
        <f t="shared" si="9"/>
        <v/>
      </c>
      <c r="AG95" s="8">
        <f t="shared" si="10"/>
        <v>0</v>
      </c>
      <c r="AI95" s="8">
        <f t="shared" si="11"/>
        <v>0</v>
      </c>
    </row>
    <row r="96" spans="1:35" ht="15" customHeight="1" x14ac:dyDescent="0.25">
      <c r="A96" s="10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3"/>
      <c r="P96" s="3"/>
      <c r="Q96" s="8"/>
      <c r="R96" s="8"/>
      <c r="S96" s="8"/>
      <c r="T96" s="8"/>
      <c r="U96" s="8"/>
      <c r="V96" s="8"/>
      <c r="W96" t="str">
        <f>IF($C96="","",SUMPRODUCT(($C$2:C96=C96)+($D$2:D96=C96)))</f>
        <v/>
      </c>
      <c r="X96" t="str">
        <f>IF($D96="","",SUMPRODUCT(($C$2:C96=D96)+($D$2:D96=D96)))</f>
        <v/>
      </c>
      <c r="Y96" t="str">
        <f t="shared" si="6"/>
        <v/>
      </c>
      <c r="Z96" t="str">
        <f t="shared" si="7"/>
        <v/>
      </c>
      <c r="AA96" s="4" t="str">
        <f>IF($C96="","",IF(COUNTIF($C$1:C95,$C96)+COUNTIF($D$1:D95,$C96)=0,1,0))</f>
        <v/>
      </c>
      <c r="AB96" s="4" t="str">
        <f>IF($D96="","",IF(COUNTIF($C$1:C96,$D96)+COUNTIF($D$1:D95,$D96)=0,1,0))</f>
        <v/>
      </c>
      <c r="AC96" s="4" t="str">
        <f>IF(AA96=1,SUM($AA$2:AA96)-AA96+SUM($AB$2:AB96)-AB96+1,"")</f>
        <v/>
      </c>
      <c r="AD96" s="4" t="str">
        <f>IF(AB96=1,SUM($AA$2:AA96)+SUM($AB$2:AB96)-AB96+1,"")</f>
        <v/>
      </c>
      <c r="AE96" s="4" t="str">
        <f t="shared" si="8"/>
        <v/>
      </c>
      <c r="AF96" s="4" t="str">
        <f t="shared" si="9"/>
        <v/>
      </c>
      <c r="AG96" s="8">
        <f t="shared" si="10"/>
        <v>0</v>
      </c>
      <c r="AI96" s="8">
        <f t="shared" si="11"/>
        <v>0</v>
      </c>
    </row>
    <row r="97" spans="1:35" ht="15" customHeight="1" x14ac:dyDescent="0.25">
      <c r="A97" s="10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3"/>
      <c r="P97" s="3"/>
      <c r="Q97" s="8"/>
      <c r="R97" s="8"/>
      <c r="S97" s="8"/>
      <c r="T97" s="8"/>
      <c r="U97" s="8"/>
      <c r="V97" s="8"/>
      <c r="W97" t="str">
        <f>IF($C97="","",SUMPRODUCT(($C$2:C97=C97)+($D$2:D97=C97)))</f>
        <v/>
      </c>
      <c r="X97" t="str">
        <f>IF($D97="","",SUMPRODUCT(($C$2:C97=D97)+($D$2:D97=D97)))</f>
        <v/>
      </c>
      <c r="Y97" t="str">
        <f t="shared" si="6"/>
        <v/>
      </c>
      <c r="Z97" t="str">
        <f t="shared" si="7"/>
        <v/>
      </c>
      <c r="AA97" s="4" t="str">
        <f>IF($C97="","",IF(COUNTIF($C$1:C96,$C97)+COUNTIF($D$1:D96,$C97)=0,1,0))</f>
        <v/>
      </c>
      <c r="AB97" s="4" t="str">
        <f>IF($D97="","",IF(COUNTIF($C$1:C97,$D97)+COUNTIF($D$1:D96,$D97)=0,1,0))</f>
        <v/>
      </c>
      <c r="AC97" s="4" t="str">
        <f>IF(AA97=1,SUM($AA$2:AA97)-AA97+SUM($AB$2:AB97)-AB97+1,"")</f>
        <v/>
      </c>
      <c r="AD97" s="4" t="str">
        <f>IF(AB97=1,SUM($AA$2:AA97)+SUM($AB$2:AB97)-AB97+1,"")</f>
        <v/>
      </c>
      <c r="AE97" s="4" t="str">
        <f t="shared" si="8"/>
        <v/>
      </c>
      <c r="AF97" s="4" t="str">
        <f t="shared" si="9"/>
        <v/>
      </c>
      <c r="AG97" s="8">
        <f t="shared" si="10"/>
        <v>0</v>
      </c>
      <c r="AI97" s="8">
        <f t="shared" si="11"/>
        <v>0</v>
      </c>
    </row>
    <row r="98" spans="1:35" ht="15" customHeight="1" x14ac:dyDescent="0.25">
      <c r="A98" s="10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3"/>
      <c r="P98" s="3"/>
      <c r="Q98" s="8"/>
      <c r="R98" s="8"/>
      <c r="S98" s="8"/>
      <c r="T98" s="8"/>
      <c r="U98" s="8"/>
      <c r="V98" s="8"/>
      <c r="W98" t="str">
        <f>IF($C98="","",SUMPRODUCT(($C$2:C98=C98)+($D$2:D98=C98)))</f>
        <v/>
      </c>
      <c r="X98" t="str">
        <f>IF($D98="","",SUMPRODUCT(($C$2:C98=D98)+($D$2:D98=D98)))</f>
        <v/>
      </c>
      <c r="Y98" t="str">
        <f t="shared" si="6"/>
        <v/>
      </c>
      <c r="Z98" t="str">
        <f t="shared" si="7"/>
        <v/>
      </c>
      <c r="AA98" s="4" t="str">
        <f>IF($C98="","",IF(COUNTIF($C$1:C97,$C98)+COUNTIF($D$1:D97,$C98)=0,1,0))</f>
        <v/>
      </c>
      <c r="AB98" s="4" t="str">
        <f>IF($D98="","",IF(COUNTIF($C$1:C98,$D98)+COUNTIF($D$1:D97,$D98)=0,1,0))</f>
        <v/>
      </c>
      <c r="AC98" s="4" t="str">
        <f>IF(AA98=1,SUM($AA$2:AA98)-AA98+SUM($AB$2:AB98)-AB98+1,"")</f>
        <v/>
      </c>
      <c r="AD98" s="4" t="str">
        <f>IF(AB98=1,SUM($AA$2:AA98)+SUM($AB$2:AB98)-AB98+1,"")</f>
        <v/>
      </c>
      <c r="AE98" s="4" t="str">
        <f t="shared" si="8"/>
        <v/>
      </c>
      <c r="AF98" s="4" t="str">
        <f t="shared" si="9"/>
        <v/>
      </c>
      <c r="AG98" s="8">
        <f t="shared" si="10"/>
        <v>0</v>
      </c>
      <c r="AI98" s="8">
        <f t="shared" si="11"/>
        <v>0</v>
      </c>
    </row>
    <row r="99" spans="1:35" ht="15" customHeight="1" x14ac:dyDescent="0.25">
      <c r="A99" s="10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3"/>
      <c r="P99" s="3"/>
      <c r="Q99" s="8"/>
      <c r="R99" s="8"/>
      <c r="S99" s="8"/>
      <c r="T99" s="8"/>
      <c r="U99" s="8"/>
      <c r="V99" s="8"/>
      <c r="W99" t="str">
        <f>IF($C99="","",SUMPRODUCT(($C$2:C99=C99)+($D$2:D99=C99)))</f>
        <v/>
      </c>
      <c r="X99" t="str">
        <f>IF($D99="","",SUMPRODUCT(($C$2:C99=D99)+($D$2:D99=D99)))</f>
        <v/>
      </c>
      <c r="Y99" t="str">
        <f t="shared" si="6"/>
        <v/>
      </c>
      <c r="Z99" t="str">
        <f t="shared" si="7"/>
        <v/>
      </c>
      <c r="AA99" s="4" t="str">
        <f>IF($C99="","",IF(COUNTIF($C$1:C98,$C99)+COUNTIF($D$1:D98,$C99)=0,1,0))</f>
        <v/>
      </c>
      <c r="AB99" s="4" t="str">
        <f>IF($D99="","",IF(COUNTIF($C$1:C99,$D99)+COUNTIF($D$1:D98,$D99)=0,1,0))</f>
        <v/>
      </c>
      <c r="AC99" s="4" t="str">
        <f>IF(AA99=1,SUM($AA$2:AA99)-AA99+SUM($AB$2:AB99)-AB99+1,"")</f>
        <v/>
      </c>
      <c r="AD99" s="4" t="str">
        <f>IF(AB99=1,SUM($AA$2:AA99)+SUM($AB$2:AB99)-AB99+1,"")</f>
        <v/>
      </c>
      <c r="AE99" s="4" t="str">
        <f t="shared" si="8"/>
        <v/>
      </c>
      <c r="AF99" s="4" t="str">
        <f t="shared" si="9"/>
        <v/>
      </c>
      <c r="AG99" s="8">
        <f t="shared" si="10"/>
        <v>0</v>
      </c>
      <c r="AI99" s="8">
        <f t="shared" si="11"/>
        <v>0</v>
      </c>
    </row>
    <row r="100" spans="1:35" ht="15" customHeight="1" x14ac:dyDescent="0.25">
      <c r="A100" s="10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3"/>
      <c r="P100" s="3"/>
      <c r="Q100" s="8"/>
      <c r="R100" s="8"/>
      <c r="S100" s="8"/>
      <c r="T100" s="8"/>
      <c r="U100" s="8"/>
      <c r="V100" s="8"/>
      <c r="W100" t="str">
        <f>IF($C100="","",SUMPRODUCT(($C$2:C100=C100)+($D$2:D100=C100)))</f>
        <v/>
      </c>
      <c r="X100" t="str">
        <f>IF($D100="","",SUMPRODUCT(($C$2:C100=D100)+($D$2:D100=D100)))</f>
        <v/>
      </c>
      <c r="Y100" t="str">
        <f t="shared" si="6"/>
        <v/>
      </c>
      <c r="Z100" t="str">
        <f t="shared" si="7"/>
        <v/>
      </c>
      <c r="AA100" s="4" t="str">
        <f>IF($C100="","",IF(COUNTIF($C$1:C99,$C100)+COUNTIF($D$1:D99,$C100)=0,1,0))</f>
        <v/>
      </c>
      <c r="AB100" s="4" t="str">
        <f>IF($D100="","",IF(COUNTIF($C$1:C100,$D100)+COUNTIF($D$1:D99,$D100)=0,1,0))</f>
        <v/>
      </c>
      <c r="AC100" s="4" t="str">
        <f>IF(AA100=1,SUM($AA$2:AA100)-AA100+SUM($AB$2:AB100)-AB100+1,"")</f>
        <v/>
      </c>
      <c r="AD100" s="4" t="str">
        <f>IF(AB100=1,SUM($AA$2:AA100)+SUM($AB$2:AB100)-AB100+1,"")</f>
        <v/>
      </c>
      <c r="AE100" s="4" t="str">
        <f t="shared" si="8"/>
        <v/>
      </c>
      <c r="AF100" s="4" t="str">
        <f t="shared" si="9"/>
        <v/>
      </c>
      <c r="AG100" s="8">
        <f t="shared" si="10"/>
        <v>0</v>
      </c>
      <c r="AI100" s="8">
        <f t="shared" si="11"/>
        <v>0</v>
      </c>
    </row>
    <row r="101" spans="1:35" ht="15" customHeight="1" x14ac:dyDescent="0.25">
      <c r="A101" s="10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3"/>
      <c r="P101" s="3"/>
      <c r="Q101" s="8"/>
      <c r="R101" s="8"/>
      <c r="S101" s="8"/>
      <c r="T101" s="8"/>
      <c r="U101" s="8"/>
      <c r="V101" s="8"/>
      <c r="W101" t="str">
        <f>IF($C101="","",SUMPRODUCT(($C$2:C101=C101)+($D$2:D101=C101)))</f>
        <v/>
      </c>
      <c r="X101" t="str">
        <f>IF($D101="","",SUMPRODUCT(($C$2:C101=D101)+($D$2:D101=D101)))</f>
        <v/>
      </c>
      <c r="Y101" t="str">
        <f t="shared" si="6"/>
        <v/>
      </c>
      <c r="Z101" t="str">
        <f t="shared" si="7"/>
        <v/>
      </c>
      <c r="AA101" s="4" t="str">
        <f>IF($C101="","",IF(COUNTIF($C$1:C100,$C101)+COUNTIF($D$1:D100,$C101)=0,1,0))</f>
        <v/>
      </c>
      <c r="AB101" s="4" t="str">
        <f>IF($D101="","",IF(COUNTIF($C$1:C101,$D101)+COUNTIF($D$1:D100,$D101)=0,1,0))</f>
        <v/>
      </c>
      <c r="AC101" s="4" t="str">
        <f>IF(AA101=1,SUM($AA$2:AA101)-AA101+SUM($AB$2:AB101)-AB101+1,"")</f>
        <v/>
      </c>
      <c r="AD101" s="4" t="str">
        <f>IF(AB101=1,SUM($AA$2:AA101)+SUM($AB$2:AB101)-AB101+1,"")</f>
        <v/>
      </c>
      <c r="AE101" s="4" t="str">
        <f t="shared" si="8"/>
        <v/>
      </c>
      <c r="AF101" s="4" t="str">
        <f t="shared" si="9"/>
        <v/>
      </c>
      <c r="AG101" s="8">
        <f t="shared" si="10"/>
        <v>0</v>
      </c>
      <c r="AI101" s="8">
        <f t="shared" si="11"/>
        <v>0</v>
      </c>
    </row>
    <row r="102" spans="1:35" ht="15" customHeight="1" x14ac:dyDescent="0.25">
      <c r="A102" s="10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3"/>
      <c r="P102" s="3"/>
      <c r="Q102" s="8"/>
      <c r="R102" s="8"/>
      <c r="S102" s="8"/>
      <c r="T102" s="8"/>
      <c r="U102" s="8"/>
      <c r="V102" s="8"/>
      <c r="W102" t="str">
        <f>IF($C102="","",SUMPRODUCT(($C$2:C102=C102)+($D$2:D102=C102)))</f>
        <v/>
      </c>
      <c r="X102" t="str">
        <f>IF($D102="","",SUMPRODUCT(($C$2:C102=D102)+($D$2:D102=D102)))</f>
        <v/>
      </c>
      <c r="Y102" t="str">
        <f t="shared" si="6"/>
        <v/>
      </c>
      <c r="Z102" t="str">
        <f t="shared" si="7"/>
        <v/>
      </c>
      <c r="AA102" s="4" t="str">
        <f>IF($C102="","",IF(COUNTIF($C$1:C101,$C102)+COUNTIF($D$1:D101,$C102)=0,1,0))</f>
        <v/>
      </c>
      <c r="AB102" s="4" t="str">
        <f>IF($D102="","",IF(COUNTIF($C$1:C102,$D102)+COUNTIF($D$1:D101,$D102)=0,1,0))</f>
        <v/>
      </c>
      <c r="AC102" s="4" t="str">
        <f>IF(AA102=1,SUM($AA$2:AA102)-AA102+SUM($AB$2:AB102)-AB102+1,"")</f>
        <v/>
      </c>
      <c r="AD102" s="4" t="str">
        <f>IF(AB102=1,SUM($AA$2:AA102)+SUM($AB$2:AB102)-AB102+1,"")</f>
        <v/>
      </c>
      <c r="AE102" s="4" t="str">
        <f t="shared" si="8"/>
        <v/>
      </c>
      <c r="AF102" s="4" t="str">
        <f t="shared" si="9"/>
        <v/>
      </c>
      <c r="AG102" s="8">
        <f t="shared" si="10"/>
        <v>0</v>
      </c>
      <c r="AI102" s="8">
        <f t="shared" si="11"/>
        <v>0</v>
      </c>
    </row>
    <row r="103" spans="1:35" ht="15" customHeight="1" x14ac:dyDescent="0.25">
      <c r="A103" s="10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3"/>
      <c r="P103" s="3"/>
      <c r="Q103" s="8"/>
      <c r="R103" s="8"/>
      <c r="S103" s="8"/>
      <c r="T103" s="8"/>
      <c r="U103" s="8"/>
      <c r="V103" s="8"/>
      <c r="W103" t="str">
        <f>IF($C103="","",SUMPRODUCT(($C$2:C103=C103)+($D$2:D103=C103)))</f>
        <v/>
      </c>
      <c r="X103" t="str">
        <f>IF($D103="","",SUMPRODUCT(($C$2:C103=D103)+($D$2:D103=D103)))</f>
        <v/>
      </c>
      <c r="Y103" t="str">
        <f t="shared" si="6"/>
        <v/>
      </c>
      <c r="Z103" t="str">
        <f t="shared" si="7"/>
        <v/>
      </c>
      <c r="AA103" s="4" t="str">
        <f>IF($C103="","",IF(COUNTIF($C$1:C102,$C103)+COUNTIF($D$1:D102,$C103)=0,1,0))</f>
        <v/>
      </c>
      <c r="AB103" s="4" t="str">
        <f>IF($D103="","",IF(COUNTIF($C$1:C103,$D103)+COUNTIF($D$1:D102,$D103)=0,1,0))</f>
        <v/>
      </c>
      <c r="AC103" s="4" t="str">
        <f>IF(AA103=1,SUM($AA$2:AA103)-AA103+SUM($AB$2:AB103)-AB103+1,"")</f>
        <v/>
      </c>
      <c r="AD103" s="4" t="str">
        <f>IF(AB103=1,SUM($AA$2:AA103)+SUM($AB$2:AB103)-AB103+1,"")</f>
        <v/>
      </c>
      <c r="AE103" s="4" t="str">
        <f t="shared" si="8"/>
        <v/>
      </c>
      <c r="AF103" s="4" t="str">
        <f t="shared" si="9"/>
        <v/>
      </c>
      <c r="AG103" s="8">
        <f t="shared" si="10"/>
        <v>0</v>
      </c>
      <c r="AI103" s="8">
        <f t="shared" si="11"/>
        <v>0</v>
      </c>
    </row>
    <row r="104" spans="1:35" ht="15" customHeight="1" x14ac:dyDescent="0.25">
      <c r="A104" s="10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3"/>
      <c r="P104" s="3"/>
      <c r="Q104" s="8"/>
      <c r="R104" s="8"/>
      <c r="S104" s="8"/>
      <c r="T104" s="8"/>
      <c r="U104" s="8"/>
      <c r="V104" s="8"/>
      <c r="W104" t="str">
        <f>IF($C104="","",SUMPRODUCT(($C$2:C104=C104)+($D$2:D104=C104)))</f>
        <v/>
      </c>
      <c r="X104" t="str">
        <f>IF($D104="","",SUMPRODUCT(($C$2:C104=D104)+($D$2:D104=D104)))</f>
        <v/>
      </c>
      <c r="Y104" t="str">
        <f t="shared" si="6"/>
        <v/>
      </c>
      <c r="Z104" t="str">
        <f t="shared" si="7"/>
        <v/>
      </c>
      <c r="AA104" s="4" t="str">
        <f>IF($C104="","",IF(COUNTIF($C$1:C103,$C104)+COUNTIF($D$1:D103,$C104)=0,1,0))</f>
        <v/>
      </c>
      <c r="AB104" s="4" t="str">
        <f>IF($D104="","",IF(COUNTIF($C$1:C104,$D104)+COUNTIF($D$1:D103,$D104)=0,1,0))</f>
        <v/>
      </c>
      <c r="AC104" s="4" t="str">
        <f>IF(AA104=1,SUM($AA$2:AA104)-AA104+SUM($AB$2:AB104)-AB104+1,"")</f>
        <v/>
      </c>
      <c r="AD104" s="4" t="str">
        <f>IF(AB104=1,SUM($AA$2:AA104)+SUM($AB$2:AB104)-AB104+1,"")</f>
        <v/>
      </c>
      <c r="AE104" s="4" t="str">
        <f t="shared" si="8"/>
        <v/>
      </c>
      <c r="AF104" s="4" t="str">
        <f t="shared" si="9"/>
        <v/>
      </c>
      <c r="AG104" s="8">
        <f t="shared" si="10"/>
        <v>0</v>
      </c>
      <c r="AI104" s="8">
        <f t="shared" si="11"/>
        <v>0</v>
      </c>
    </row>
    <row r="105" spans="1:35" ht="15" customHeight="1" x14ac:dyDescent="0.25">
      <c r="A105" s="10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3"/>
      <c r="P105" s="3"/>
      <c r="Q105" s="8"/>
      <c r="R105" s="8"/>
      <c r="S105" s="8"/>
      <c r="T105" s="8"/>
      <c r="U105" s="8"/>
      <c r="V105" s="8"/>
      <c r="W105" t="str">
        <f>IF($C105="","",SUMPRODUCT(($C$2:C105=C105)+($D$2:D105=C105)))</f>
        <v/>
      </c>
      <c r="X105" t="str">
        <f>IF($D105="","",SUMPRODUCT(($C$2:C105=D105)+($D$2:D105=D105)))</f>
        <v/>
      </c>
      <c r="Y105" t="str">
        <f t="shared" si="6"/>
        <v/>
      </c>
      <c r="Z105" t="str">
        <f t="shared" si="7"/>
        <v/>
      </c>
      <c r="AA105" s="4" t="str">
        <f>IF($C105="","",IF(COUNTIF($C$1:C104,$C105)+COUNTIF($D$1:D104,$C105)=0,1,0))</f>
        <v/>
      </c>
      <c r="AB105" s="4" t="str">
        <f>IF($D105="","",IF(COUNTIF($C$1:C105,$D105)+COUNTIF($D$1:D104,$D105)=0,1,0))</f>
        <v/>
      </c>
      <c r="AC105" s="4" t="str">
        <f>IF(AA105=1,SUM($AA$2:AA105)-AA105+SUM($AB$2:AB105)-AB105+1,"")</f>
        <v/>
      </c>
      <c r="AD105" s="4" t="str">
        <f>IF(AB105=1,SUM($AA$2:AA105)+SUM($AB$2:AB105)-AB105+1,"")</f>
        <v/>
      </c>
      <c r="AE105" s="4" t="str">
        <f t="shared" si="8"/>
        <v/>
      </c>
      <c r="AF105" s="4" t="str">
        <f t="shared" si="9"/>
        <v/>
      </c>
      <c r="AG105" s="8">
        <f t="shared" si="10"/>
        <v>0</v>
      </c>
      <c r="AI105" s="8">
        <f t="shared" si="11"/>
        <v>0</v>
      </c>
    </row>
    <row r="106" spans="1:35" ht="15" customHeight="1" x14ac:dyDescent="0.25">
      <c r="A106" s="10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3"/>
      <c r="P106" s="3"/>
      <c r="Q106" s="8"/>
      <c r="R106" s="8"/>
      <c r="S106" s="8"/>
      <c r="T106" s="8"/>
      <c r="U106" s="8"/>
      <c r="V106" s="8"/>
      <c r="W106" t="str">
        <f>IF($C106="","",SUMPRODUCT(($C$2:C106=C106)+($D$2:D106=C106)))</f>
        <v/>
      </c>
      <c r="X106" t="str">
        <f>IF($D106="","",SUMPRODUCT(($C$2:C106=D106)+($D$2:D106=D106)))</f>
        <v/>
      </c>
      <c r="Y106" t="str">
        <f t="shared" si="6"/>
        <v/>
      </c>
      <c r="Z106" t="str">
        <f t="shared" si="7"/>
        <v/>
      </c>
      <c r="AA106" s="4" t="str">
        <f>IF($C106="","",IF(COUNTIF($C$1:C105,$C106)+COUNTIF($D$1:D105,$C106)=0,1,0))</f>
        <v/>
      </c>
      <c r="AB106" s="4" t="str">
        <f>IF($D106="","",IF(COUNTIF($C$1:C106,$D106)+COUNTIF($D$1:D105,$D106)=0,1,0))</f>
        <v/>
      </c>
      <c r="AC106" s="4" t="str">
        <f>IF(AA106=1,SUM($AA$2:AA106)-AA106+SUM($AB$2:AB106)-AB106+1,"")</f>
        <v/>
      </c>
      <c r="AD106" s="4" t="str">
        <f>IF(AB106=1,SUM($AA$2:AA106)+SUM($AB$2:AB106)-AB106+1,"")</f>
        <v/>
      </c>
      <c r="AE106" s="4" t="str">
        <f t="shared" si="8"/>
        <v/>
      </c>
      <c r="AF106" s="4" t="str">
        <f t="shared" si="9"/>
        <v/>
      </c>
      <c r="AG106" s="8">
        <f t="shared" si="10"/>
        <v>0</v>
      </c>
      <c r="AI106" s="8">
        <f t="shared" si="11"/>
        <v>0</v>
      </c>
    </row>
    <row r="107" spans="1:35" ht="15" customHeight="1" x14ac:dyDescent="0.25">
      <c r="A107" s="10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3"/>
      <c r="P107" s="3"/>
      <c r="Q107" s="8"/>
      <c r="R107" s="8"/>
      <c r="S107" s="8"/>
      <c r="T107" s="8"/>
      <c r="U107" s="8"/>
      <c r="V107" s="8"/>
      <c r="W107" t="str">
        <f>IF($C107="","",SUMPRODUCT(($C$2:C107=C107)+($D$2:D107=C107)))</f>
        <v/>
      </c>
      <c r="X107" t="str">
        <f>IF($D107="","",SUMPRODUCT(($C$2:C107=D107)+($D$2:D107=D107)))</f>
        <v/>
      </c>
      <c r="Y107" t="str">
        <f t="shared" si="6"/>
        <v/>
      </c>
      <c r="Z107" t="str">
        <f t="shared" si="7"/>
        <v/>
      </c>
      <c r="AA107" s="4" t="str">
        <f>IF($C107="","",IF(COUNTIF($C$1:C106,$C107)+COUNTIF($D$1:D106,$C107)=0,1,0))</f>
        <v/>
      </c>
      <c r="AB107" s="4" t="str">
        <f>IF($D107="","",IF(COUNTIF($C$1:C107,$D107)+COUNTIF($D$1:D106,$D107)=0,1,0))</f>
        <v/>
      </c>
      <c r="AC107" s="4" t="str">
        <f>IF(AA107=1,SUM($AA$2:AA107)-AA107+SUM($AB$2:AB107)-AB107+1,"")</f>
        <v/>
      </c>
      <c r="AD107" s="4" t="str">
        <f>IF(AB107=1,SUM($AA$2:AA107)+SUM($AB$2:AB107)-AB107+1,"")</f>
        <v/>
      </c>
      <c r="AE107" s="4" t="str">
        <f t="shared" si="8"/>
        <v/>
      </c>
      <c r="AF107" s="4" t="str">
        <f t="shared" si="9"/>
        <v/>
      </c>
      <c r="AG107" s="8">
        <f t="shared" si="10"/>
        <v>0</v>
      </c>
      <c r="AI107" s="8">
        <f t="shared" si="11"/>
        <v>0</v>
      </c>
    </row>
    <row r="108" spans="1:35" ht="15" customHeight="1" x14ac:dyDescent="0.25">
      <c r="A108" s="10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3"/>
      <c r="P108" s="3"/>
      <c r="Q108" s="8"/>
      <c r="R108" s="8"/>
      <c r="S108" s="8"/>
      <c r="T108" s="8"/>
      <c r="U108" s="8"/>
      <c r="V108" s="8"/>
      <c r="W108" t="str">
        <f>IF($C108="","",SUMPRODUCT(($C$2:C108=C108)+($D$2:D108=C108)))</f>
        <v/>
      </c>
      <c r="X108" t="str">
        <f>IF($D108="","",SUMPRODUCT(($C$2:C108=D108)+($D$2:D108=D108)))</f>
        <v/>
      </c>
      <c r="Y108" t="str">
        <f t="shared" si="6"/>
        <v/>
      </c>
      <c r="Z108" t="str">
        <f t="shared" si="7"/>
        <v/>
      </c>
      <c r="AA108" s="4" t="str">
        <f>IF($C108="","",IF(COUNTIF($C$1:C107,$C108)+COUNTIF($D$1:D107,$C108)=0,1,0))</f>
        <v/>
      </c>
      <c r="AB108" s="4" t="str">
        <f>IF($D108="","",IF(COUNTIF($C$1:C108,$D108)+COUNTIF($D$1:D107,$D108)=0,1,0))</f>
        <v/>
      </c>
      <c r="AC108" s="4" t="str">
        <f>IF(AA108=1,SUM($AA$2:AA108)-AA108+SUM($AB$2:AB108)-AB108+1,"")</f>
        <v/>
      </c>
      <c r="AD108" s="4" t="str">
        <f>IF(AB108=1,SUM($AA$2:AA108)+SUM($AB$2:AB108)-AB108+1,"")</f>
        <v/>
      </c>
      <c r="AE108" s="4" t="str">
        <f t="shared" si="8"/>
        <v/>
      </c>
      <c r="AF108" s="4" t="str">
        <f t="shared" si="9"/>
        <v/>
      </c>
      <c r="AG108" s="8">
        <f t="shared" si="10"/>
        <v>0</v>
      </c>
      <c r="AI108" s="8">
        <f t="shared" si="11"/>
        <v>0</v>
      </c>
    </row>
    <row r="109" spans="1:35" ht="15" customHeight="1" x14ac:dyDescent="0.25">
      <c r="A109" s="10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3"/>
      <c r="P109" s="3"/>
      <c r="Q109" s="8"/>
      <c r="R109" s="8"/>
      <c r="S109" s="8"/>
      <c r="T109" s="8"/>
      <c r="U109" s="8"/>
      <c r="V109" s="8"/>
      <c r="W109" t="str">
        <f>IF($C109="","",SUMPRODUCT(($C$2:C109=C109)+($D$2:D109=C109)))</f>
        <v/>
      </c>
      <c r="X109" t="str">
        <f>IF($D109="","",SUMPRODUCT(($C$2:C109=D109)+($D$2:D109=D109)))</f>
        <v/>
      </c>
      <c r="Y109" t="str">
        <f t="shared" si="6"/>
        <v/>
      </c>
      <c r="Z109" t="str">
        <f t="shared" si="7"/>
        <v/>
      </c>
      <c r="AA109" s="4" t="str">
        <f>IF($C109="","",IF(COUNTIF($C$1:C108,$C109)+COUNTIF($D$1:D108,$C109)=0,1,0))</f>
        <v/>
      </c>
      <c r="AB109" s="4" t="str">
        <f>IF($D109="","",IF(COUNTIF($C$1:C109,$D109)+COUNTIF($D$1:D108,$D109)=0,1,0))</f>
        <v/>
      </c>
      <c r="AC109" s="4" t="str">
        <f>IF(AA109=1,SUM($AA$2:AA109)-AA109+SUM($AB$2:AB109)-AB109+1,"")</f>
        <v/>
      </c>
      <c r="AD109" s="4" t="str">
        <f>IF(AB109=1,SUM($AA$2:AA109)+SUM($AB$2:AB109)-AB109+1,"")</f>
        <v/>
      </c>
      <c r="AE109" s="4" t="str">
        <f t="shared" si="8"/>
        <v/>
      </c>
      <c r="AF109" s="4" t="str">
        <f t="shared" si="9"/>
        <v/>
      </c>
      <c r="AG109" s="8">
        <f t="shared" si="10"/>
        <v>0</v>
      </c>
      <c r="AI109" s="8">
        <f t="shared" si="11"/>
        <v>0</v>
      </c>
    </row>
    <row r="110" spans="1:35" ht="15" customHeight="1" x14ac:dyDescent="0.25">
      <c r="A110" s="10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3"/>
      <c r="P110" s="3"/>
      <c r="Q110" s="8"/>
      <c r="R110" s="8"/>
      <c r="S110" s="8"/>
      <c r="T110" s="8"/>
      <c r="U110" s="8"/>
      <c r="V110" s="8"/>
      <c r="W110" t="str">
        <f>IF($C110="","",SUMPRODUCT(($C$2:C110=C110)+($D$2:D110=C110)))</f>
        <v/>
      </c>
      <c r="X110" t="str">
        <f>IF($D110="","",SUMPRODUCT(($C$2:C110=D110)+($D$2:D110=D110)))</f>
        <v/>
      </c>
      <c r="Y110" t="str">
        <f t="shared" si="6"/>
        <v/>
      </c>
      <c r="Z110" t="str">
        <f t="shared" si="7"/>
        <v/>
      </c>
      <c r="AA110" s="4" t="str">
        <f>IF($C110="","",IF(COUNTIF($C$1:C109,$C110)+COUNTIF($D$1:D109,$C110)=0,1,0))</f>
        <v/>
      </c>
      <c r="AB110" s="4" t="str">
        <f>IF($D110="","",IF(COUNTIF($C$1:C110,$D110)+COUNTIF($D$1:D109,$D110)=0,1,0))</f>
        <v/>
      </c>
      <c r="AC110" s="4" t="str">
        <f>IF(AA110=1,SUM($AA$2:AA110)-AA110+SUM($AB$2:AB110)-AB110+1,"")</f>
        <v/>
      </c>
      <c r="AD110" s="4" t="str">
        <f>IF(AB110=1,SUM($AA$2:AA110)+SUM($AB$2:AB110)-AB110+1,"")</f>
        <v/>
      </c>
      <c r="AE110" s="4" t="str">
        <f t="shared" si="8"/>
        <v/>
      </c>
      <c r="AF110" s="4" t="str">
        <f t="shared" si="9"/>
        <v/>
      </c>
      <c r="AG110" s="8">
        <f t="shared" si="10"/>
        <v>0</v>
      </c>
      <c r="AI110" s="8">
        <f t="shared" si="11"/>
        <v>0</v>
      </c>
    </row>
    <row r="111" spans="1:35" ht="15" customHeight="1" x14ac:dyDescent="0.25">
      <c r="A111" s="10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3"/>
      <c r="P111" s="3"/>
      <c r="Q111" s="8"/>
      <c r="R111" s="8"/>
      <c r="S111" s="8"/>
      <c r="T111" s="8"/>
      <c r="U111" s="8"/>
      <c r="V111" s="8"/>
      <c r="W111" t="str">
        <f>IF($C111="","",SUMPRODUCT(($C$2:C111=C111)+($D$2:D111=C111)))</f>
        <v/>
      </c>
      <c r="X111" t="str">
        <f>IF($D111="","",SUMPRODUCT(($C$2:C111=D111)+($D$2:D111=D111)))</f>
        <v/>
      </c>
      <c r="Y111" t="str">
        <f t="shared" si="6"/>
        <v/>
      </c>
      <c r="Z111" t="str">
        <f t="shared" si="7"/>
        <v/>
      </c>
      <c r="AA111" s="4" t="str">
        <f>IF($C111="","",IF(COUNTIF($C$1:C110,$C111)+COUNTIF($D$1:D110,$C111)=0,1,0))</f>
        <v/>
      </c>
      <c r="AB111" s="4" t="str">
        <f>IF($D111="","",IF(COUNTIF($C$1:C111,$D111)+COUNTIF($D$1:D110,$D111)=0,1,0))</f>
        <v/>
      </c>
      <c r="AC111" s="4" t="str">
        <f>IF(AA111=1,SUM($AA$2:AA111)-AA111+SUM($AB$2:AB111)-AB111+1,"")</f>
        <v/>
      </c>
      <c r="AD111" s="4" t="str">
        <f>IF(AB111=1,SUM($AA$2:AA111)+SUM($AB$2:AB111)-AB111+1,"")</f>
        <v/>
      </c>
      <c r="AE111" s="4" t="str">
        <f t="shared" si="8"/>
        <v/>
      </c>
      <c r="AF111" s="4" t="str">
        <f t="shared" si="9"/>
        <v/>
      </c>
      <c r="AG111" s="8">
        <f t="shared" si="10"/>
        <v>0</v>
      </c>
      <c r="AI111" s="8">
        <f t="shared" si="11"/>
        <v>0</v>
      </c>
    </row>
    <row r="112" spans="1:35" ht="15" customHeight="1" x14ac:dyDescent="0.25">
      <c r="A112" s="10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3"/>
      <c r="P112" s="3"/>
      <c r="Q112" s="8"/>
      <c r="R112" s="8"/>
      <c r="S112" s="8"/>
      <c r="T112" s="8"/>
      <c r="U112" s="8"/>
      <c r="V112" s="8"/>
      <c r="W112" t="str">
        <f>IF($C112="","",SUMPRODUCT(($C$2:C112=C112)+($D$2:D112=C112)))</f>
        <v/>
      </c>
      <c r="X112" t="str">
        <f>IF($D112="","",SUMPRODUCT(($C$2:C112=D112)+($D$2:D112=D112)))</f>
        <v/>
      </c>
      <c r="Y112" t="str">
        <f t="shared" si="6"/>
        <v/>
      </c>
      <c r="Z112" t="str">
        <f t="shared" si="7"/>
        <v/>
      </c>
      <c r="AA112" s="4" t="str">
        <f>IF($C112="","",IF(COUNTIF($C$1:C111,$C112)+COUNTIF($D$1:D111,$C112)=0,1,0))</f>
        <v/>
      </c>
      <c r="AB112" s="4" t="str">
        <f>IF($D112="","",IF(COUNTIF($C$1:C112,$D112)+COUNTIF($D$1:D111,$D112)=0,1,0))</f>
        <v/>
      </c>
      <c r="AC112" s="4" t="str">
        <f>IF(AA112=1,SUM($AA$2:AA112)-AA112+SUM($AB$2:AB112)-AB112+1,"")</f>
        <v/>
      </c>
      <c r="AD112" s="4" t="str">
        <f>IF(AB112=1,SUM($AA$2:AA112)+SUM($AB$2:AB112)-AB112+1,"")</f>
        <v/>
      </c>
      <c r="AE112" s="4" t="str">
        <f t="shared" si="8"/>
        <v/>
      </c>
      <c r="AF112" s="4" t="str">
        <f t="shared" si="9"/>
        <v/>
      </c>
      <c r="AG112" s="8">
        <f t="shared" si="10"/>
        <v>0</v>
      </c>
      <c r="AI112" s="8">
        <f t="shared" si="11"/>
        <v>0</v>
      </c>
    </row>
    <row r="113" spans="1:35" ht="15" customHeight="1" x14ac:dyDescent="0.25">
      <c r="A113" s="10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3"/>
      <c r="P113" s="3"/>
      <c r="Q113" s="8"/>
      <c r="R113" s="8"/>
      <c r="S113" s="8"/>
      <c r="T113" s="8"/>
      <c r="U113" s="8"/>
      <c r="V113" s="8"/>
      <c r="W113" t="str">
        <f>IF($C113="","",SUMPRODUCT(($C$2:C113=C113)+($D$2:D113=C113)))</f>
        <v/>
      </c>
      <c r="X113" t="str">
        <f>IF($D113="","",SUMPRODUCT(($C$2:C113=D113)+($D$2:D113=D113)))</f>
        <v/>
      </c>
      <c r="Y113" t="str">
        <f t="shared" si="6"/>
        <v/>
      </c>
      <c r="Z113" t="str">
        <f t="shared" si="7"/>
        <v/>
      </c>
      <c r="AA113" s="4" t="str">
        <f>IF($C113="","",IF(COUNTIF($C$1:C112,$C113)+COUNTIF($D$1:D112,$C113)=0,1,0))</f>
        <v/>
      </c>
      <c r="AB113" s="4" t="str">
        <f>IF($D113="","",IF(COUNTIF($C$1:C113,$D113)+COUNTIF($D$1:D112,$D113)=0,1,0))</f>
        <v/>
      </c>
      <c r="AC113" s="4" t="str">
        <f>IF(AA113=1,SUM($AA$2:AA113)-AA113+SUM($AB$2:AB113)-AB113+1,"")</f>
        <v/>
      </c>
      <c r="AD113" s="4" t="str">
        <f>IF(AB113=1,SUM($AA$2:AA113)+SUM($AB$2:AB113)-AB113+1,"")</f>
        <v/>
      </c>
      <c r="AE113" s="4" t="str">
        <f t="shared" si="8"/>
        <v/>
      </c>
      <c r="AF113" s="4" t="str">
        <f t="shared" si="9"/>
        <v/>
      </c>
      <c r="AG113" s="8">
        <f t="shared" si="10"/>
        <v>0</v>
      </c>
      <c r="AI113" s="8">
        <f t="shared" si="11"/>
        <v>0</v>
      </c>
    </row>
    <row r="114" spans="1:35" ht="15" customHeight="1" x14ac:dyDescent="0.25">
      <c r="A114" s="10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3"/>
      <c r="P114" s="3"/>
      <c r="Q114" s="8"/>
      <c r="R114" s="8"/>
      <c r="S114" s="8"/>
      <c r="T114" s="8"/>
      <c r="U114" s="8"/>
      <c r="V114" s="8"/>
      <c r="W114" t="str">
        <f>IF($C114="","",SUMPRODUCT(($C$2:C114=C114)+($D$2:D114=C114)))</f>
        <v/>
      </c>
      <c r="X114" t="str">
        <f>IF($D114="","",SUMPRODUCT(($C$2:C114=D114)+($D$2:D114=D114)))</f>
        <v/>
      </c>
      <c r="Y114" t="str">
        <f t="shared" si="6"/>
        <v/>
      </c>
      <c r="Z114" t="str">
        <f t="shared" si="7"/>
        <v/>
      </c>
      <c r="AA114" s="4" t="str">
        <f>IF($C114="","",IF(COUNTIF($C$1:C113,$C114)+COUNTIF($D$1:D113,$C114)=0,1,0))</f>
        <v/>
      </c>
      <c r="AB114" s="4" t="str">
        <f>IF($D114="","",IF(COUNTIF($C$1:C114,$D114)+COUNTIF($D$1:D113,$D114)=0,1,0))</f>
        <v/>
      </c>
      <c r="AC114" s="4" t="str">
        <f>IF(AA114=1,SUM($AA$2:AA114)-AA114+SUM($AB$2:AB114)-AB114+1,"")</f>
        <v/>
      </c>
      <c r="AD114" s="4" t="str">
        <f>IF(AB114=1,SUM($AA$2:AA114)+SUM($AB$2:AB114)-AB114+1,"")</f>
        <v/>
      </c>
      <c r="AE114" s="4" t="str">
        <f t="shared" si="8"/>
        <v/>
      </c>
      <c r="AF114" s="4" t="str">
        <f t="shared" si="9"/>
        <v/>
      </c>
      <c r="AG114" s="8">
        <f t="shared" si="10"/>
        <v>0</v>
      </c>
      <c r="AI114" s="8">
        <f t="shared" si="11"/>
        <v>0</v>
      </c>
    </row>
    <row r="115" spans="1:35" ht="15" customHeight="1" x14ac:dyDescent="0.25">
      <c r="A115" s="10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3"/>
      <c r="P115" s="3"/>
      <c r="Q115" s="8"/>
      <c r="R115" s="8"/>
      <c r="S115" s="8"/>
      <c r="T115" s="8"/>
      <c r="U115" s="8"/>
      <c r="V115" s="8"/>
      <c r="W115" t="str">
        <f>IF($C115="","",SUMPRODUCT(($C$2:C115=C115)+($D$2:D115=C115)))</f>
        <v/>
      </c>
      <c r="X115" t="str">
        <f>IF($D115="","",SUMPRODUCT(($C$2:C115=D115)+($D$2:D115=D115)))</f>
        <v/>
      </c>
      <c r="Y115" t="str">
        <f t="shared" si="6"/>
        <v/>
      </c>
      <c r="Z115" t="str">
        <f t="shared" si="7"/>
        <v/>
      </c>
      <c r="AA115" s="4" t="str">
        <f>IF($C115="","",IF(COUNTIF($C$1:C114,$C115)+COUNTIF($D$1:D114,$C115)=0,1,0))</f>
        <v/>
      </c>
      <c r="AB115" s="4" t="str">
        <f>IF($D115="","",IF(COUNTIF($C$1:C115,$D115)+COUNTIF($D$1:D114,$D115)=0,1,0))</f>
        <v/>
      </c>
      <c r="AC115" s="4" t="str">
        <f>IF(AA115=1,SUM($AA$2:AA115)-AA115+SUM($AB$2:AB115)-AB115+1,"")</f>
        <v/>
      </c>
      <c r="AD115" s="4" t="str">
        <f>IF(AB115=1,SUM($AA$2:AA115)+SUM($AB$2:AB115)-AB115+1,"")</f>
        <v/>
      </c>
      <c r="AE115" s="4" t="str">
        <f t="shared" si="8"/>
        <v/>
      </c>
      <c r="AF115" s="4" t="str">
        <f t="shared" si="9"/>
        <v/>
      </c>
      <c r="AG115" s="8">
        <f t="shared" si="10"/>
        <v>0</v>
      </c>
      <c r="AI115" s="8">
        <f t="shared" si="11"/>
        <v>0</v>
      </c>
    </row>
    <row r="116" spans="1:35" ht="15" customHeight="1" x14ac:dyDescent="0.25">
      <c r="A116" s="10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3"/>
      <c r="P116" s="3"/>
      <c r="Q116" s="8"/>
      <c r="R116" s="8"/>
      <c r="S116" s="8"/>
      <c r="T116" s="8"/>
      <c r="U116" s="8"/>
      <c r="V116" s="8"/>
      <c r="W116" t="str">
        <f>IF($C116="","",SUMPRODUCT(($C$2:C116=C116)+($D$2:D116=C116)))</f>
        <v/>
      </c>
      <c r="X116" t="str">
        <f>IF($D116="","",SUMPRODUCT(($C$2:C116=D116)+($D$2:D116=D116)))</f>
        <v/>
      </c>
      <c r="Y116" t="str">
        <f t="shared" si="6"/>
        <v/>
      </c>
      <c r="Z116" t="str">
        <f t="shared" si="7"/>
        <v/>
      </c>
      <c r="AA116" s="4" t="str">
        <f>IF($C116="","",IF(COUNTIF($C$1:C115,$C116)+COUNTIF($D$1:D115,$C116)=0,1,0))</f>
        <v/>
      </c>
      <c r="AB116" s="4" t="str">
        <f>IF($D116="","",IF(COUNTIF($C$1:C116,$D116)+COUNTIF($D$1:D115,$D116)=0,1,0))</f>
        <v/>
      </c>
      <c r="AC116" s="4" t="str">
        <f>IF(AA116=1,SUM($AA$2:AA116)-AA116+SUM($AB$2:AB116)-AB116+1,"")</f>
        <v/>
      </c>
      <c r="AD116" s="4" t="str">
        <f>IF(AB116=1,SUM($AA$2:AA116)+SUM($AB$2:AB116)-AB116+1,"")</f>
        <v/>
      </c>
      <c r="AE116" s="4" t="str">
        <f t="shared" si="8"/>
        <v/>
      </c>
      <c r="AF116" s="4" t="str">
        <f t="shared" si="9"/>
        <v/>
      </c>
      <c r="AG116" s="8">
        <f t="shared" si="10"/>
        <v>0</v>
      </c>
      <c r="AI116" s="8">
        <f t="shared" si="11"/>
        <v>0</v>
      </c>
    </row>
    <row r="117" spans="1:35" ht="15" customHeight="1" x14ac:dyDescent="0.25">
      <c r="A117" s="10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3"/>
      <c r="P117" s="3"/>
      <c r="Q117" s="8"/>
      <c r="R117" s="8"/>
      <c r="S117" s="8"/>
      <c r="T117" s="8"/>
      <c r="U117" s="8"/>
      <c r="V117" s="8"/>
      <c r="W117" t="str">
        <f>IF($C117="","",SUMPRODUCT(($C$2:C117=C117)+($D$2:D117=C117)))</f>
        <v/>
      </c>
      <c r="X117" t="str">
        <f>IF($D117="","",SUMPRODUCT(($C$2:C117=D117)+($D$2:D117=D117)))</f>
        <v/>
      </c>
      <c r="Y117" t="str">
        <f t="shared" si="6"/>
        <v/>
      </c>
      <c r="Z117" t="str">
        <f t="shared" si="7"/>
        <v/>
      </c>
      <c r="AA117" s="4" t="str">
        <f>IF($C117="","",IF(COUNTIF($C$1:C116,$C117)+COUNTIF($D$1:D116,$C117)=0,1,0))</f>
        <v/>
      </c>
      <c r="AB117" s="4" t="str">
        <f>IF($D117="","",IF(COUNTIF($C$1:C117,$D117)+COUNTIF($D$1:D116,$D117)=0,1,0))</f>
        <v/>
      </c>
      <c r="AC117" s="4" t="str">
        <f>IF(AA117=1,SUM($AA$2:AA117)-AA117+SUM($AB$2:AB117)-AB117+1,"")</f>
        <v/>
      </c>
      <c r="AD117" s="4" t="str">
        <f>IF(AB117=1,SUM($AA$2:AA117)+SUM($AB$2:AB117)-AB117+1,"")</f>
        <v/>
      </c>
      <c r="AE117" s="4" t="str">
        <f t="shared" si="8"/>
        <v/>
      </c>
      <c r="AF117" s="4" t="str">
        <f t="shared" si="9"/>
        <v/>
      </c>
      <c r="AG117" s="8">
        <f t="shared" si="10"/>
        <v>0</v>
      </c>
      <c r="AI117" s="8">
        <f t="shared" si="11"/>
        <v>0</v>
      </c>
    </row>
    <row r="118" spans="1:35" ht="15" customHeight="1" x14ac:dyDescent="0.25">
      <c r="A118" s="10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3"/>
      <c r="P118" s="3"/>
      <c r="Q118" s="8"/>
      <c r="R118" s="8"/>
      <c r="S118" s="8"/>
      <c r="T118" s="8"/>
      <c r="U118" s="8"/>
      <c r="V118" s="8"/>
      <c r="W118" t="str">
        <f>IF($C118="","",SUMPRODUCT(($C$2:C118=C118)+($D$2:D118=C118)))</f>
        <v/>
      </c>
      <c r="X118" t="str">
        <f>IF($D118="","",SUMPRODUCT(($C$2:C118=D118)+($D$2:D118=D118)))</f>
        <v/>
      </c>
      <c r="Y118" t="str">
        <f t="shared" si="6"/>
        <v/>
      </c>
      <c r="Z118" t="str">
        <f t="shared" si="7"/>
        <v/>
      </c>
      <c r="AA118" s="4" t="str">
        <f>IF($C118="","",IF(COUNTIF($C$1:C117,$C118)+COUNTIF($D$1:D117,$C118)=0,1,0))</f>
        <v/>
      </c>
      <c r="AB118" s="4" t="str">
        <f>IF($D118="","",IF(COUNTIF($C$1:C118,$D118)+COUNTIF($D$1:D117,$D118)=0,1,0))</f>
        <v/>
      </c>
      <c r="AC118" s="4" t="str">
        <f>IF(AA118=1,SUM($AA$2:AA118)-AA118+SUM($AB$2:AB118)-AB118+1,"")</f>
        <v/>
      </c>
      <c r="AD118" s="4" t="str">
        <f>IF(AB118=1,SUM($AA$2:AA118)+SUM($AB$2:AB118)-AB118+1,"")</f>
        <v/>
      </c>
      <c r="AE118" s="4" t="str">
        <f t="shared" si="8"/>
        <v/>
      </c>
      <c r="AF118" s="4" t="str">
        <f t="shared" si="9"/>
        <v/>
      </c>
      <c r="AG118" s="8">
        <f t="shared" si="10"/>
        <v>0</v>
      </c>
      <c r="AI118" s="8">
        <f t="shared" si="11"/>
        <v>0</v>
      </c>
    </row>
    <row r="119" spans="1:35" ht="15" customHeight="1" x14ac:dyDescent="0.25">
      <c r="A119" s="10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3"/>
      <c r="P119" s="3"/>
      <c r="Q119" s="8"/>
      <c r="R119" s="8"/>
      <c r="S119" s="8"/>
      <c r="T119" s="8"/>
      <c r="U119" s="8"/>
      <c r="V119" s="8"/>
      <c r="W119" t="str">
        <f>IF($C119="","",SUMPRODUCT(($C$2:C119=C119)+($D$2:D119=C119)))</f>
        <v/>
      </c>
      <c r="X119" t="str">
        <f>IF($D119="","",SUMPRODUCT(($C$2:C119=D119)+($D$2:D119=D119)))</f>
        <v/>
      </c>
      <c r="Y119" t="str">
        <f t="shared" si="6"/>
        <v/>
      </c>
      <c r="Z119" t="str">
        <f t="shared" si="7"/>
        <v/>
      </c>
      <c r="AA119" s="4" t="str">
        <f>IF($C119="","",IF(COUNTIF($C$1:C118,$C119)+COUNTIF($D$1:D118,$C119)=0,1,0))</f>
        <v/>
      </c>
      <c r="AB119" s="4" t="str">
        <f>IF($D119="","",IF(COUNTIF($C$1:C119,$D119)+COUNTIF($D$1:D118,$D119)=0,1,0))</f>
        <v/>
      </c>
      <c r="AC119" s="4" t="str">
        <f>IF(AA119=1,SUM($AA$2:AA119)-AA119+SUM($AB$2:AB119)-AB119+1,"")</f>
        <v/>
      </c>
      <c r="AD119" s="4" t="str">
        <f>IF(AB119=1,SUM($AA$2:AA119)+SUM($AB$2:AB119)-AB119+1,"")</f>
        <v/>
      </c>
      <c r="AE119" s="4" t="str">
        <f t="shared" si="8"/>
        <v/>
      </c>
      <c r="AF119" s="4" t="str">
        <f t="shared" si="9"/>
        <v/>
      </c>
      <c r="AG119" s="8">
        <f t="shared" si="10"/>
        <v>0</v>
      </c>
      <c r="AI119" s="8">
        <f t="shared" si="11"/>
        <v>0</v>
      </c>
    </row>
    <row r="120" spans="1:35" ht="15" customHeight="1" x14ac:dyDescent="0.25">
      <c r="A120" s="10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3"/>
      <c r="P120" s="3"/>
      <c r="Q120" s="8"/>
      <c r="R120" s="8"/>
      <c r="S120" s="8"/>
      <c r="T120" s="8"/>
      <c r="U120" s="8"/>
      <c r="V120" s="8"/>
      <c r="W120" t="str">
        <f>IF($C120="","",SUMPRODUCT(($C$2:C120=C120)+($D$2:D120=C120)))</f>
        <v/>
      </c>
      <c r="X120" t="str">
        <f>IF($D120="","",SUMPRODUCT(($C$2:C120=D120)+($D$2:D120=D120)))</f>
        <v/>
      </c>
      <c r="Y120" t="str">
        <f t="shared" si="6"/>
        <v/>
      </c>
      <c r="Z120" t="str">
        <f t="shared" si="7"/>
        <v/>
      </c>
      <c r="AA120" s="4" t="str">
        <f>IF($C120="","",IF(COUNTIF($C$1:C119,$C120)+COUNTIF($D$1:D119,$C120)=0,1,0))</f>
        <v/>
      </c>
      <c r="AB120" s="4" t="str">
        <f>IF($D120="","",IF(COUNTIF($C$1:C120,$D120)+COUNTIF($D$1:D119,$D120)=0,1,0))</f>
        <v/>
      </c>
      <c r="AC120" s="4" t="str">
        <f>IF(AA120=1,SUM($AA$2:AA120)-AA120+SUM($AB$2:AB120)-AB120+1,"")</f>
        <v/>
      </c>
      <c r="AD120" s="4" t="str">
        <f>IF(AB120=1,SUM($AA$2:AA120)+SUM($AB$2:AB120)-AB120+1,"")</f>
        <v/>
      </c>
      <c r="AE120" s="4" t="str">
        <f t="shared" si="8"/>
        <v/>
      </c>
      <c r="AF120" s="4" t="str">
        <f t="shared" si="9"/>
        <v/>
      </c>
      <c r="AG120" s="8">
        <f t="shared" si="10"/>
        <v>0</v>
      </c>
      <c r="AI120" s="8">
        <f t="shared" si="11"/>
        <v>0</v>
      </c>
    </row>
    <row r="121" spans="1:35" ht="15" customHeight="1" x14ac:dyDescent="0.25">
      <c r="A121" s="10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3"/>
      <c r="P121" s="3"/>
      <c r="Q121" s="8"/>
      <c r="R121" s="8"/>
      <c r="S121" s="8"/>
      <c r="T121" s="8"/>
      <c r="U121" s="8"/>
      <c r="V121" s="8"/>
      <c r="W121" t="str">
        <f>IF($C121="","",SUMPRODUCT(($C$2:C121=C121)+($D$2:D121=C121)))</f>
        <v/>
      </c>
      <c r="X121" t="str">
        <f>IF($D121="","",SUMPRODUCT(($C$2:C121=D121)+($D$2:D121=D121)))</f>
        <v/>
      </c>
      <c r="Y121" t="str">
        <f t="shared" si="6"/>
        <v/>
      </c>
      <c r="Z121" t="str">
        <f t="shared" si="7"/>
        <v/>
      </c>
      <c r="AA121" s="4" t="str">
        <f>IF($C121="","",IF(COUNTIF($C$1:C120,$C121)+COUNTIF($D$1:D120,$C121)=0,1,0))</f>
        <v/>
      </c>
      <c r="AB121" s="4" t="str">
        <f>IF($D121="","",IF(COUNTIF($C$1:C121,$D121)+COUNTIF($D$1:D120,$D121)=0,1,0))</f>
        <v/>
      </c>
      <c r="AC121" s="4" t="str">
        <f>IF(AA121=1,SUM($AA$2:AA121)-AA121+SUM($AB$2:AB121)-AB121+1,"")</f>
        <v/>
      </c>
      <c r="AD121" s="4" t="str">
        <f>IF(AB121=1,SUM($AA$2:AA121)+SUM($AB$2:AB121)-AB121+1,"")</f>
        <v/>
      </c>
      <c r="AE121" s="4" t="str">
        <f t="shared" si="8"/>
        <v/>
      </c>
      <c r="AF121" s="4" t="str">
        <f t="shared" si="9"/>
        <v/>
      </c>
      <c r="AG121" s="8">
        <f t="shared" si="10"/>
        <v>0</v>
      </c>
      <c r="AI121" s="8">
        <f t="shared" si="11"/>
        <v>0</v>
      </c>
    </row>
    <row r="122" spans="1:35" ht="15" customHeight="1" x14ac:dyDescent="0.25">
      <c r="A122" s="10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3"/>
      <c r="P122" s="3"/>
      <c r="Q122" s="8"/>
      <c r="R122" s="8"/>
      <c r="S122" s="8"/>
      <c r="T122" s="8"/>
      <c r="U122" s="8"/>
      <c r="V122" s="8"/>
      <c r="W122" t="str">
        <f>IF($C122="","",SUMPRODUCT(($C$2:C122=C122)+($D$2:D122=C122)))</f>
        <v/>
      </c>
      <c r="X122" t="str">
        <f>IF($D122="","",SUMPRODUCT(($C$2:C122=D122)+($D$2:D122=D122)))</f>
        <v/>
      </c>
      <c r="Y122" t="str">
        <f t="shared" si="6"/>
        <v/>
      </c>
      <c r="Z122" t="str">
        <f t="shared" si="7"/>
        <v/>
      </c>
      <c r="AA122" s="4" t="str">
        <f>IF($C122="","",IF(COUNTIF($C$1:C121,$C122)+COUNTIF($D$1:D121,$C122)=0,1,0))</f>
        <v/>
      </c>
      <c r="AB122" s="4" t="str">
        <f>IF($D122="","",IF(COUNTIF($C$1:C122,$D122)+COUNTIF($D$1:D121,$D122)=0,1,0))</f>
        <v/>
      </c>
      <c r="AC122" s="4" t="str">
        <f>IF(AA122=1,SUM($AA$2:AA122)-AA122+SUM($AB$2:AB122)-AB122+1,"")</f>
        <v/>
      </c>
      <c r="AD122" s="4" t="str">
        <f>IF(AB122=1,SUM($AA$2:AA122)+SUM($AB$2:AB122)-AB122+1,"")</f>
        <v/>
      </c>
      <c r="AE122" s="4" t="str">
        <f t="shared" si="8"/>
        <v/>
      </c>
      <c r="AF122" s="4" t="str">
        <f t="shared" si="9"/>
        <v/>
      </c>
      <c r="AG122" s="8">
        <f t="shared" si="10"/>
        <v>0</v>
      </c>
      <c r="AI122" s="8">
        <f t="shared" si="11"/>
        <v>0</v>
      </c>
    </row>
    <row r="123" spans="1:35" ht="15" customHeight="1" x14ac:dyDescent="0.25">
      <c r="A123" s="10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3"/>
      <c r="P123" s="3"/>
      <c r="Q123" s="8"/>
      <c r="R123" s="8"/>
      <c r="S123" s="8"/>
      <c r="T123" s="8"/>
      <c r="U123" s="8"/>
      <c r="V123" s="8"/>
      <c r="W123" t="str">
        <f>IF($C123="","",SUMPRODUCT(($C$2:C123=C123)+($D$2:D123=C123)))</f>
        <v/>
      </c>
      <c r="X123" t="str">
        <f>IF($D123="","",SUMPRODUCT(($C$2:C123=D123)+($D$2:D123=D123)))</f>
        <v/>
      </c>
      <c r="Y123" t="str">
        <f t="shared" si="6"/>
        <v/>
      </c>
      <c r="Z123" t="str">
        <f t="shared" si="7"/>
        <v/>
      </c>
      <c r="AA123" s="4" t="str">
        <f>IF($C123="","",IF(COUNTIF($C$1:C122,$C123)+COUNTIF($D$1:D122,$C123)=0,1,0))</f>
        <v/>
      </c>
      <c r="AB123" s="4" t="str">
        <f>IF($D123="","",IF(COUNTIF($C$1:C123,$D123)+COUNTIF($D$1:D122,$D123)=0,1,0))</f>
        <v/>
      </c>
      <c r="AC123" s="4" t="str">
        <f>IF(AA123=1,SUM($AA$2:AA123)-AA123+SUM($AB$2:AB123)-AB123+1,"")</f>
        <v/>
      </c>
      <c r="AD123" s="4" t="str">
        <f>IF(AB123=1,SUM($AA$2:AA123)+SUM($AB$2:AB123)-AB123+1,"")</f>
        <v/>
      </c>
      <c r="AE123" s="4" t="str">
        <f t="shared" si="8"/>
        <v/>
      </c>
      <c r="AF123" s="4" t="str">
        <f t="shared" si="9"/>
        <v/>
      </c>
      <c r="AG123" s="8">
        <f t="shared" si="10"/>
        <v>0</v>
      </c>
      <c r="AI123" s="8">
        <f t="shared" si="11"/>
        <v>0</v>
      </c>
    </row>
    <row r="124" spans="1:35" ht="15" customHeight="1" x14ac:dyDescent="0.25">
      <c r="A124" s="10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3"/>
      <c r="P124" s="3"/>
      <c r="Q124" s="8"/>
      <c r="R124" s="8"/>
      <c r="S124" s="8"/>
      <c r="T124" s="8"/>
      <c r="U124" s="8"/>
      <c r="V124" s="8"/>
      <c r="W124" t="str">
        <f>IF($C124="","",SUMPRODUCT(($C$2:C124=C124)+($D$2:D124=C124)))</f>
        <v/>
      </c>
      <c r="X124" t="str">
        <f>IF($D124="","",SUMPRODUCT(($C$2:C124=D124)+($D$2:D124=D124)))</f>
        <v/>
      </c>
      <c r="Y124" t="str">
        <f t="shared" si="6"/>
        <v/>
      </c>
      <c r="Z124" t="str">
        <f t="shared" si="7"/>
        <v/>
      </c>
      <c r="AA124" s="4" t="str">
        <f>IF($C124="","",IF(COUNTIF($C$1:C123,$C124)+COUNTIF($D$1:D123,$C124)=0,1,0))</f>
        <v/>
      </c>
      <c r="AB124" s="4" t="str">
        <f>IF($D124="","",IF(COUNTIF($C$1:C124,$D124)+COUNTIF($D$1:D123,$D124)=0,1,0))</f>
        <v/>
      </c>
      <c r="AC124" s="4" t="str">
        <f>IF(AA124=1,SUM($AA$2:AA124)-AA124+SUM($AB$2:AB124)-AB124+1,"")</f>
        <v/>
      </c>
      <c r="AD124" s="4" t="str">
        <f>IF(AB124=1,SUM($AA$2:AA124)+SUM($AB$2:AB124)-AB124+1,"")</f>
        <v/>
      </c>
      <c r="AE124" s="4" t="str">
        <f t="shared" si="8"/>
        <v/>
      </c>
      <c r="AF124" s="4" t="str">
        <f t="shared" si="9"/>
        <v/>
      </c>
      <c r="AG124" s="8">
        <f t="shared" si="10"/>
        <v>0</v>
      </c>
      <c r="AI124" s="8">
        <f t="shared" si="11"/>
        <v>0</v>
      </c>
    </row>
    <row r="125" spans="1:35" ht="15" customHeight="1" x14ac:dyDescent="0.25">
      <c r="A125" s="10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3"/>
      <c r="P125" s="3"/>
      <c r="Q125" s="8"/>
      <c r="R125" s="8"/>
      <c r="S125" s="8"/>
      <c r="T125" s="8"/>
      <c r="U125" s="8"/>
      <c r="V125" s="8"/>
      <c r="W125" t="str">
        <f>IF($C125="","",SUMPRODUCT(($C$2:C125=C125)+($D$2:D125=C125)))</f>
        <v/>
      </c>
      <c r="X125" t="str">
        <f>IF($D125="","",SUMPRODUCT(($C$2:C125=D125)+($D$2:D125=D125)))</f>
        <v/>
      </c>
      <c r="Y125" t="str">
        <f t="shared" si="6"/>
        <v/>
      </c>
      <c r="Z125" t="str">
        <f t="shared" si="7"/>
        <v/>
      </c>
      <c r="AA125" s="4" t="str">
        <f>IF($C125="","",IF(COUNTIF($C$1:C124,$C125)+COUNTIF($D$1:D124,$C125)=0,1,0))</f>
        <v/>
      </c>
      <c r="AB125" s="4" t="str">
        <f>IF($D125="","",IF(COUNTIF($C$1:C125,$D125)+COUNTIF($D$1:D124,$D125)=0,1,0))</f>
        <v/>
      </c>
      <c r="AC125" s="4" t="str">
        <f>IF(AA125=1,SUM($AA$2:AA125)-AA125+SUM($AB$2:AB125)-AB125+1,"")</f>
        <v/>
      </c>
      <c r="AD125" s="4" t="str">
        <f>IF(AB125=1,SUM($AA$2:AA125)+SUM($AB$2:AB125)-AB125+1,"")</f>
        <v/>
      </c>
      <c r="AE125" s="4" t="str">
        <f t="shared" si="8"/>
        <v/>
      </c>
      <c r="AF125" s="4" t="str">
        <f t="shared" si="9"/>
        <v/>
      </c>
      <c r="AG125" s="8">
        <f t="shared" si="10"/>
        <v>0</v>
      </c>
      <c r="AI125" s="8">
        <f t="shared" si="11"/>
        <v>0</v>
      </c>
    </row>
    <row r="126" spans="1:35" ht="15" customHeight="1" x14ac:dyDescent="0.25">
      <c r="A126" s="10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3"/>
      <c r="P126" s="3"/>
      <c r="Q126" s="8"/>
      <c r="R126" s="8"/>
      <c r="S126" s="8"/>
      <c r="T126" s="8"/>
      <c r="U126" s="8"/>
      <c r="V126" s="8"/>
      <c r="W126" t="str">
        <f>IF($C126="","",SUMPRODUCT(($C$2:C126=C126)+($D$2:D126=C126)))</f>
        <v/>
      </c>
      <c r="X126" t="str">
        <f>IF($D126="","",SUMPRODUCT(($C$2:C126=D126)+($D$2:D126=D126)))</f>
        <v/>
      </c>
      <c r="Y126" t="str">
        <f t="shared" si="6"/>
        <v/>
      </c>
      <c r="Z126" t="str">
        <f t="shared" si="7"/>
        <v/>
      </c>
      <c r="AA126" s="4" t="str">
        <f>IF($C126="","",IF(COUNTIF($C$1:C125,$C126)+COUNTIF($D$1:D125,$C126)=0,1,0))</f>
        <v/>
      </c>
      <c r="AB126" s="4" t="str">
        <f>IF($D126="","",IF(COUNTIF($C$1:C126,$D126)+COUNTIF($D$1:D125,$D126)=0,1,0))</f>
        <v/>
      </c>
      <c r="AC126" s="4" t="str">
        <f>IF(AA126=1,SUM($AA$2:AA126)-AA126+SUM($AB$2:AB126)-AB126+1,"")</f>
        <v/>
      </c>
      <c r="AD126" s="4" t="str">
        <f>IF(AB126=1,SUM($AA$2:AA126)+SUM($AB$2:AB126)-AB126+1,"")</f>
        <v/>
      </c>
      <c r="AE126" s="4" t="str">
        <f t="shared" si="8"/>
        <v/>
      </c>
      <c r="AF126" s="4" t="str">
        <f t="shared" si="9"/>
        <v/>
      </c>
      <c r="AG126" s="8">
        <f t="shared" si="10"/>
        <v>0</v>
      </c>
      <c r="AI126" s="8">
        <f t="shared" si="11"/>
        <v>0</v>
      </c>
    </row>
    <row r="127" spans="1:35" ht="15" customHeight="1" x14ac:dyDescent="0.25">
      <c r="A127" s="10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3"/>
      <c r="P127" s="3"/>
      <c r="Q127" s="8"/>
      <c r="R127" s="8"/>
      <c r="S127" s="8"/>
      <c r="T127" s="8"/>
      <c r="U127" s="8"/>
      <c r="V127" s="8"/>
      <c r="W127" t="str">
        <f>IF($C127="","",SUMPRODUCT(($C$2:C127=C127)+($D$2:D127=C127)))</f>
        <v/>
      </c>
      <c r="X127" t="str">
        <f>IF($D127="","",SUMPRODUCT(($C$2:C127=D127)+($D$2:D127=D127)))</f>
        <v/>
      </c>
      <c r="Y127" t="str">
        <f t="shared" si="6"/>
        <v/>
      </c>
      <c r="Z127" t="str">
        <f t="shared" si="7"/>
        <v/>
      </c>
      <c r="AA127" s="4" t="str">
        <f>IF($C127="","",IF(COUNTIF($C$1:C126,$C127)+COUNTIF($D$1:D126,$C127)=0,1,0))</f>
        <v/>
      </c>
      <c r="AB127" s="4" t="str">
        <f>IF($D127="","",IF(COUNTIF($C$1:C127,$D127)+COUNTIF($D$1:D126,$D127)=0,1,0))</f>
        <v/>
      </c>
      <c r="AC127" s="4" t="str">
        <f>IF(AA127=1,SUM($AA$2:AA127)-AA127+SUM($AB$2:AB127)-AB127+1,"")</f>
        <v/>
      </c>
      <c r="AD127" s="4" t="str">
        <f>IF(AB127=1,SUM($AA$2:AA127)+SUM($AB$2:AB127)-AB127+1,"")</f>
        <v/>
      </c>
      <c r="AE127" s="4" t="str">
        <f t="shared" si="8"/>
        <v/>
      </c>
      <c r="AF127" s="4" t="str">
        <f t="shared" si="9"/>
        <v/>
      </c>
      <c r="AG127" s="8">
        <f t="shared" si="10"/>
        <v>0</v>
      </c>
      <c r="AI127" s="8">
        <f t="shared" si="11"/>
        <v>0</v>
      </c>
    </row>
    <row r="128" spans="1:35" ht="15" customHeight="1" x14ac:dyDescent="0.25">
      <c r="A128" s="10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3"/>
      <c r="P128" s="3"/>
      <c r="Q128" s="8"/>
      <c r="R128" s="8"/>
      <c r="S128" s="8"/>
      <c r="T128" s="8"/>
      <c r="U128" s="8"/>
      <c r="V128" s="8"/>
      <c r="W128" t="str">
        <f>IF($C128="","",SUMPRODUCT(($C$2:C128=C128)+($D$2:D128=C128)))</f>
        <v/>
      </c>
      <c r="X128" t="str">
        <f>IF($D128="","",SUMPRODUCT(($C$2:C128=D128)+($D$2:D128=D128)))</f>
        <v/>
      </c>
      <c r="Y128" t="str">
        <f t="shared" si="6"/>
        <v/>
      </c>
      <c r="Z128" t="str">
        <f t="shared" si="7"/>
        <v/>
      </c>
      <c r="AA128" s="4" t="str">
        <f>IF($C128="","",IF(COUNTIF($C$1:C127,$C128)+COUNTIF($D$1:D127,$C128)=0,1,0))</f>
        <v/>
      </c>
      <c r="AB128" s="4" t="str">
        <f>IF($D128="","",IF(COUNTIF($C$1:C128,$D128)+COUNTIF($D$1:D127,$D128)=0,1,0))</f>
        <v/>
      </c>
      <c r="AC128" s="4" t="str">
        <f>IF(AA128=1,SUM($AA$2:AA128)-AA128+SUM($AB$2:AB128)-AB128+1,"")</f>
        <v/>
      </c>
      <c r="AD128" s="4" t="str">
        <f>IF(AB128=1,SUM($AA$2:AA128)+SUM($AB$2:AB128)-AB128+1,"")</f>
        <v/>
      </c>
      <c r="AE128" s="4" t="str">
        <f t="shared" si="8"/>
        <v/>
      </c>
      <c r="AF128" s="4" t="str">
        <f t="shared" si="9"/>
        <v/>
      </c>
      <c r="AG128" s="8">
        <f t="shared" si="10"/>
        <v>0</v>
      </c>
      <c r="AI128" s="8">
        <f t="shared" si="11"/>
        <v>0</v>
      </c>
    </row>
    <row r="129" spans="1:35" ht="15" customHeight="1" x14ac:dyDescent="0.25">
      <c r="A129" s="10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3"/>
      <c r="P129" s="3"/>
      <c r="Q129" s="8"/>
      <c r="R129" s="8"/>
      <c r="S129" s="8"/>
      <c r="T129" s="8"/>
      <c r="U129" s="8"/>
      <c r="V129" s="8"/>
      <c r="W129" t="str">
        <f>IF($C129="","",SUMPRODUCT(($C$2:C129=C129)+($D$2:D129=C129)))</f>
        <v/>
      </c>
      <c r="X129" t="str">
        <f>IF($D129="","",SUMPRODUCT(($C$2:C129=D129)+($D$2:D129=D129)))</f>
        <v/>
      </c>
      <c r="Y129" t="str">
        <f t="shared" si="6"/>
        <v/>
      </c>
      <c r="Z129" t="str">
        <f t="shared" si="7"/>
        <v/>
      </c>
      <c r="AA129" s="4" t="str">
        <f>IF($C129="","",IF(COUNTIF($C$1:C128,$C129)+COUNTIF($D$1:D128,$C129)=0,1,0))</f>
        <v/>
      </c>
      <c r="AB129" s="4" t="str">
        <f>IF($D129="","",IF(COUNTIF($C$1:C129,$D129)+COUNTIF($D$1:D128,$D129)=0,1,0))</f>
        <v/>
      </c>
      <c r="AC129" s="4" t="str">
        <f>IF(AA129=1,SUM($AA$2:AA129)-AA129+SUM($AB$2:AB129)-AB129+1,"")</f>
        <v/>
      </c>
      <c r="AD129" s="4" t="str">
        <f>IF(AB129=1,SUM($AA$2:AA129)+SUM($AB$2:AB129)-AB129+1,"")</f>
        <v/>
      </c>
      <c r="AE129" s="4" t="str">
        <f t="shared" si="8"/>
        <v/>
      </c>
      <c r="AF129" s="4" t="str">
        <f t="shared" si="9"/>
        <v/>
      </c>
      <c r="AG129" s="8">
        <f t="shared" si="10"/>
        <v>0</v>
      </c>
      <c r="AI129" s="8">
        <f t="shared" si="11"/>
        <v>0</v>
      </c>
    </row>
    <row r="130" spans="1:35" ht="15" customHeight="1" x14ac:dyDescent="0.25">
      <c r="A130" s="10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3"/>
      <c r="P130" s="3"/>
      <c r="Q130" s="8"/>
      <c r="R130" s="8"/>
      <c r="S130" s="8"/>
      <c r="T130" s="8"/>
      <c r="U130" s="8"/>
      <c r="V130" s="8"/>
      <c r="W130" t="str">
        <f>IF($C130="","",SUMPRODUCT(($C$2:C130=C130)+($D$2:D130=C130)))</f>
        <v/>
      </c>
      <c r="X130" t="str">
        <f>IF($D130="","",SUMPRODUCT(($C$2:C130=D130)+($D$2:D130=D130)))</f>
        <v/>
      </c>
      <c r="Y130" t="str">
        <f t="shared" ref="Y130:Y193" si="12">IF($C130="","",C130&amp;"|"&amp;W130)</f>
        <v/>
      </c>
      <c r="Z130" t="str">
        <f t="shared" ref="Z130:Z193" si="13">IF($D130="","",D130&amp;"|"&amp;X130)</f>
        <v/>
      </c>
      <c r="AA130" s="4" t="str">
        <f>IF($C130="","",IF(COUNTIF($C$1:C129,$C130)+COUNTIF($D$1:D129,$C130)=0,1,0))</f>
        <v/>
      </c>
      <c r="AB130" s="4" t="str">
        <f>IF($D130="","",IF(COUNTIF($C$1:C130,$D130)+COUNTIF($D$1:D129,$D130)=0,1,0))</f>
        <v/>
      </c>
      <c r="AC130" s="4" t="str">
        <f>IF(AA130=1,SUM($AA$2:AA130)-AA130+SUM($AB$2:AB130)-AB130+1,"")</f>
        <v/>
      </c>
      <c r="AD130" s="4" t="str">
        <f>IF(AB130=1,SUM($AA$2:AA130)+SUM($AB$2:AB130)-AB130+1,"")</f>
        <v/>
      </c>
      <c r="AE130" s="4" t="str">
        <f t="shared" ref="AE130:AE193" si="14">IF(AC130="","","TEAM|"&amp;AC130)</f>
        <v/>
      </c>
      <c r="AF130" s="4" t="str">
        <f t="shared" ref="AF130:AF193" si="15">IF(AD130="","","TEAM|"&amp;AD130)</f>
        <v/>
      </c>
      <c r="AG130" s="8">
        <f t="shared" ref="AG130:AG193" si="16">IF(AH130="",0,LEN(AH130)-LEN(SUBSTITUTE(AH130,"/",""))+1)</f>
        <v>0</v>
      </c>
      <c r="AI130" s="8">
        <f t="shared" ref="AI130:AI193" si="17">IF(AJ130="",0,LEN(AJ130)-LEN(SUBSTITUTE(AJ130,"/",""))+1)</f>
        <v>0</v>
      </c>
    </row>
    <row r="131" spans="1:35" ht="15" customHeight="1" x14ac:dyDescent="0.25">
      <c r="A131" s="10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3"/>
      <c r="P131" s="3"/>
      <c r="Q131" s="8"/>
      <c r="R131" s="8"/>
      <c r="S131" s="8"/>
      <c r="T131" s="8"/>
      <c r="U131" s="8"/>
      <c r="V131" s="8"/>
      <c r="W131" t="str">
        <f>IF($C131="","",SUMPRODUCT(($C$2:C131=C131)+($D$2:D131=C131)))</f>
        <v/>
      </c>
      <c r="X131" t="str">
        <f>IF($D131="","",SUMPRODUCT(($C$2:C131=D131)+($D$2:D131=D131)))</f>
        <v/>
      </c>
      <c r="Y131" t="str">
        <f t="shared" si="12"/>
        <v/>
      </c>
      <c r="Z131" t="str">
        <f t="shared" si="13"/>
        <v/>
      </c>
      <c r="AA131" s="4" t="str">
        <f>IF($C131="","",IF(COUNTIF($C$1:C130,$C131)+COUNTIF($D$1:D130,$C131)=0,1,0))</f>
        <v/>
      </c>
      <c r="AB131" s="4" t="str">
        <f>IF($D131="","",IF(COUNTIF($C$1:C131,$D131)+COUNTIF($D$1:D130,$D131)=0,1,0))</f>
        <v/>
      </c>
      <c r="AC131" s="4" t="str">
        <f>IF(AA131=1,SUM($AA$2:AA131)-AA131+SUM($AB$2:AB131)-AB131+1,"")</f>
        <v/>
      </c>
      <c r="AD131" s="4" t="str">
        <f>IF(AB131=1,SUM($AA$2:AA131)+SUM($AB$2:AB131)-AB131+1,"")</f>
        <v/>
      </c>
      <c r="AE131" s="4" t="str">
        <f t="shared" si="14"/>
        <v/>
      </c>
      <c r="AF131" s="4" t="str">
        <f t="shared" si="15"/>
        <v/>
      </c>
      <c r="AG131" s="8">
        <f t="shared" si="16"/>
        <v>0</v>
      </c>
      <c r="AI131" s="8">
        <f t="shared" si="17"/>
        <v>0</v>
      </c>
    </row>
    <row r="132" spans="1:35" ht="15" customHeight="1" x14ac:dyDescent="0.25">
      <c r="A132" s="10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3"/>
      <c r="P132" s="3"/>
      <c r="Q132" s="8"/>
      <c r="R132" s="8"/>
      <c r="S132" s="8"/>
      <c r="T132" s="8"/>
      <c r="U132" s="8"/>
      <c r="V132" s="8"/>
      <c r="W132" t="str">
        <f>IF($C132="","",SUMPRODUCT(($C$2:C132=C132)+($D$2:D132=C132)))</f>
        <v/>
      </c>
      <c r="X132" t="str">
        <f>IF($D132="","",SUMPRODUCT(($C$2:C132=D132)+($D$2:D132=D132)))</f>
        <v/>
      </c>
      <c r="Y132" t="str">
        <f t="shared" si="12"/>
        <v/>
      </c>
      <c r="Z132" t="str">
        <f t="shared" si="13"/>
        <v/>
      </c>
      <c r="AA132" s="4" t="str">
        <f>IF($C132="","",IF(COUNTIF($C$1:C131,$C132)+COUNTIF($D$1:D131,$C132)=0,1,0))</f>
        <v/>
      </c>
      <c r="AB132" s="4" t="str">
        <f>IF($D132="","",IF(COUNTIF($C$1:C132,$D132)+COUNTIF($D$1:D131,$D132)=0,1,0))</f>
        <v/>
      </c>
      <c r="AC132" s="4" t="str">
        <f>IF(AA132=1,SUM($AA$2:AA132)-AA132+SUM($AB$2:AB132)-AB132+1,"")</f>
        <v/>
      </c>
      <c r="AD132" s="4" t="str">
        <f>IF(AB132=1,SUM($AA$2:AA132)+SUM($AB$2:AB132)-AB132+1,"")</f>
        <v/>
      </c>
      <c r="AE132" s="4" t="str">
        <f t="shared" si="14"/>
        <v/>
      </c>
      <c r="AF132" s="4" t="str">
        <f t="shared" si="15"/>
        <v/>
      </c>
      <c r="AG132" s="8">
        <f t="shared" si="16"/>
        <v>0</v>
      </c>
      <c r="AI132" s="8">
        <f t="shared" si="17"/>
        <v>0</v>
      </c>
    </row>
    <row r="133" spans="1:35" ht="15" customHeight="1" x14ac:dyDescent="0.25">
      <c r="A133" s="10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3"/>
      <c r="P133" s="3"/>
      <c r="Q133" s="8"/>
      <c r="R133" s="8"/>
      <c r="S133" s="8"/>
      <c r="T133" s="8"/>
      <c r="U133" s="8"/>
      <c r="V133" s="8"/>
      <c r="W133" t="str">
        <f>IF($C133="","",SUMPRODUCT(($C$2:C133=C133)+($D$2:D133=C133)))</f>
        <v/>
      </c>
      <c r="X133" t="str">
        <f>IF($D133="","",SUMPRODUCT(($C$2:C133=D133)+($D$2:D133=D133)))</f>
        <v/>
      </c>
      <c r="Y133" t="str">
        <f t="shared" si="12"/>
        <v/>
      </c>
      <c r="Z133" t="str">
        <f t="shared" si="13"/>
        <v/>
      </c>
      <c r="AA133" s="4" t="str">
        <f>IF($C133="","",IF(COUNTIF($C$1:C132,$C133)+COUNTIF($D$1:D132,$C133)=0,1,0))</f>
        <v/>
      </c>
      <c r="AB133" s="4" t="str">
        <f>IF($D133="","",IF(COUNTIF($C$1:C133,$D133)+COUNTIF($D$1:D132,$D133)=0,1,0))</f>
        <v/>
      </c>
      <c r="AC133" s="4" t="str">
        <f>IF(AA133=1,SUM($AA$2:AA133)-AA133+SUM($AB$2:AB133)-AB133+1,"")</f>
        <v/>
      </c>
      <c r="AD133" s="4" t="str">
        <f>IF(AB133=1,SUM($AA$2:AA133)+SUM($AB$2:AB133)-AB133+1,"")</f>
        <v/>
      </c>
      <c r="AE133" s="4" t="str">
        <f t="shared" si="14"/>
        <v/>
      </c>
      <c r="AF133" s="4" t="str">
        <f t="shared" si="15"/>
        <v/>
      </c>
      <c r="AG133" s="8">
        <f t="shared" si="16"/>
        <v>0</v>
      </c>
      <c r="AI133" s="8">
        <f t="shared" si="17"/>
        <v>0</v>
      </c>
    </row>
    <row r="134" spans="1:35" ht="15" customHeight="1" x14ac:dyDescent="0.25">
      <c r="A134" s="10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3"/>
      <c r="P134" s="3"/>
      <c r="Q134" s="8"/>
      <c r="R134" s="8"/>
      <c r="S134" s="8"/>
      <c r="T134" s="8"/>
      <c r="U134" s="8"/>
      <c r="V134" s="8"/>
      <c r="W134" t="str">
        <f>IF($C134="","",SUMPRODUCT(($C$2:C134=C134)+($D$2:D134=C134)))</f>
        <v/>
      </c>
      <c r="X134" t="str">
        <f>IF($D134="","",SUMPRODUCT(($C$2:C134=D134)+($D$2:D134=D134)))</f>
        <v/>
      </c>
      <c r="Y134" t="str">
        <f t="shared" si="12"/>
        <v/>
      </c>
      <c r="Z134" t="str">
        <f t="shared" si="13"/>
        <v/>
      </c>
      <c r="AA134" s="4" t="str">
        <f>IF($C134="","",IF(COUNTIF($C$1:C133,$C134)+COUNTIF($D$1:D133,$C134)=0,1,0))</f>
        <v/>
      </c>
      <c r="AB134" s="4" t="str">
        <f>IF($D134="","",IF(COUNTIF($C$1:C134,$D134)+COUNTIF($D$1:D133,$D134)=0,1,0))</f>
        <v/>
      </c>
      <c r="AC134" s="4" t="str">
        <f>IF(AA134=1,SUM($AA$2:AA134)-AA134+SUM($AB$2:AB134)-AB134+1,"")</f>
        <v/>
      </c>
      <c r="AD134" s="4" t="str">
        <f>IF(AB134=1,SUM($AA$2:AA134)+SUM($AB$2:AB134)-AB134+1,"")</f>
        <v/>
      </c>
      <c r="AE134" s="4" t="str">
        <f t="shared" si="14"/>
        <v/>
      </c>
      <c r="AF134" s="4" t="str">
        <f t="shared" si="15"/>
        <v/>
      </c>
      <c r="AG134" s="8">
        <f t="shared" si="16"/>
        <v>0</v>
      </c>
      <c r="AI134" s="8">
        <f t="shared" si="17"/>
        <v>0</v>
      </c>
    </row>
    <row r="135" spans="1:35" ht="15" customHeight="1" x14ac:dyDescent="0.25">
      <c r="A135" s="10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3"/>
      <c r="P135" s="3"/>
      <c r="Q135" s="8"/>
      <c r="R135" s="8"/>
      <c r="S135" s="8"/>
      <c r="T135" s="8"/>
      <c r="U135" s="8"/>
      <c r="V135" s="8"/>
      <c r="W135" t="str">
        <f>IF($C135="","",SUMPRODUCT(($C$2:C135=C135)+($D$2:D135=C135)))</f>
        <v/>
      </c>
      <c r="X135" t="str">
        <f>IF($D135="","",SUMPRODUCT(($C$2:C135=D135)+($D$2:D135=D135)))</f>
        <v/>
      </c>
      <c r="Y135" t="str">
        <f t="shared" si="12"/>
        <v/>
      </c>
      <c r="Z135" t="str">
        <f t="shared" si="13"/>
        <v/>
      </c>
      <c r="AA135" s="4" t="str">
        <f>IF($C135="","",IF(COUNTIF($C$1:C134,$C135)+COUNTIF($D$1:D134,$C135)=0,1,0))</f>
        <v/>
      </c>
      <c r="AB135" s="4" t="str">
        <f>IF($D135="","",IF(COUNTIF($C$1:C135,$D135)+COUNTIF($D$1:D134,$D135)=0,1,0))</f>
        <v/>
      </c>
      <c r="AC135" s="4" t="str">
        <f>IF(AA135=1,SUM($AA$2:AA135)-AA135+SUM($AB$2:AB135)-AB135+1,"")</f>
        <v/>
      </c>
      <c r="AD135" s="4" t="str">
        <f>IF(AB135=1,SUM($AA$2:AA135)+SUM($AB$2:AB135)-AB135+1,"")</f>
        <v/>
      </c>
      <c r="AE135" s="4" t="str">
        <f t="shared" si="14"/>
        <v/>
      </c>
      <c r="AF135" s="4" t="str">
        <f t="shared" si="15"/>
        <v/>
      </c>
      <c r="AG135" s="8">
        <f t="shared" si="16"/>
        <v>0</v>
      </c>
      <c r="AI135" s="8">
        <f t="shared" si="17"/>
        <v>0</v>
      </c>
    </row>
    <row r="136" spans="1:35" ht="15" customHeight="1" x14ac:dyDescent="0.25">
      <c r="A136" s="10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3"/>
      <c r="P136" s="3"/>
      <c r="Q136" s="8"/>
      <c r="R136" s="8"/>
      <c r="S136" s="8"/>
      <c r="T136" s="8"/>
      <c r="U136" s="8"/>
      <c r="V136" s="8"/>
      <c r="W136" t="str">
        <f>IF($C136="","",SUMPRODUCT(($C$2:C136=C136)+($D$2:D136=C136)))</f>
        <v/>
      </c>
      <c r="X136" t="str">
        <f>IF($D136="","",SUMPRODUCT(($C$2:C136=D136)+($D$2:D136=D136)))</f>
        <v/>
      </c>
      <c r="Y136" t="str">
        <f t="shared" si="12"/>
        <v/>
      </c>
      <c r="Z136" t="str">
        <f t="shared" si="13"/>
        <v/>
      </c>
      <c r="AA136" s="4" t="str">
        <f>IF($C136="","",IF(COUNTIF($C$1:C135,$C136)+COUNTIF($D$1:D135,$C136)=0,1,0))</f>
        <v/>
      </c>
      <c r="AB136" s="4" t="str">
        <f>IF($D136="","",IF(COUNTIF($C$1:C136,$D136)+COUNTIF($D$1:D135,$D136)=0,1,0))</f>
        <v/>
      </c>
      <c r="AC136" s="4" t="str">
        <f>IF(AA136=1,SUM($AA$2:AA136)-AA136+SUM($AB$2:AB136)-AB136+1,"")</f>
        <v/>
      </c>
      <c r="AD136" s="4" t="str">
        <f>IF(AB136=1,SUM($AA$2:AA136)+SUM($AB$2:AB136)-AB136+1,"")</f>
        <v/>
      </c>
      <c r="AE136" s="4" t="str">
        <f t="shared" si="14"/>
        <v/>
      </c>
      <c r="AF136" s="4" t="str">
        <f t="shared" si="15"/>
        <v/>
      </c>
      <c r="AG136" s="8">
        <f t="shared" si="16"/>
        <v>0</v>
      </c>
      <c r="AI136" s="8">
        <f t="shared" si="17"/>
        <v>0</v>
      </c>
    </row>
    <row r="137" spans="1:35" ht="15" customHeight="1" x14ac:dyDescent="0.25">
      <c r="A137" s="10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3"/>
      <c r="P137" s="3"/>
      <c r="Q137" s="8"/>
      <c r="R137" s="8"/>
      <c r="S137" s="8"/>
      <c r="T137" s="8"/>
      <c r="U137" s="8"/>
      <c r="V137" s="8"/>
      <c r="W137" t="str">
        <f>IF($C137="","",SUMPRODUCT(($C$2:C137=C137)+($D$2:D137=C137)))</f>
        <v/>
      </c>
      <c r="X137" t="str">
        <f>IF($D137="","",SUMPRODUCT(($C$2:C137=D137)+($D$2:D137=D137)))</f>
        <v/>
      </c>
      <c r="Y137" t="str">
        <f t="shared" si="12"/>
        <v/>
      </c>
      <c r="Z137" t="str">
        <f t="shared" si="13"/>
        <v/>
      </c>
      <c r="AA137" s="4" t="str">
        <f>IF($C137="","",IF(COUNTIF($C$1:C136,$C137)+COUNTIF($D$1:D136,$C137)=0,1,0))</f>
        <v/>
      </c>
      <c r="AB137" s="4" t="str">
        <f>IF($D137="","",IF(COUNTIF($C$1:C137,$D137)+COUNTIF($D$1:D136,$D137)=0,1,0))</f>
        <v/>
      </c>
      <c r="AC137" s="4" t="str">
        <f>IF(AA137=1,SUM($AA$2:AA137)-AA137+SUM($AB$2:AB137)-AB137+1,"")</f>
        <v/>
      </c>
      <c r="AD137" s="4" t="str">
        <f>IF(AB137=1,SUM($AA$2:AA137)+SUM($AB$2:AB137)-AB137+1,"")</f>
        <v/>
      </c>
      <c r="AE137" s="4" t="str">
        <f t="shared" si="14"/>
        <v/>
      </c>
      <c r="AF137" s="4" t="str">
        <f t="shared" si="15"/>
        <v/>
      </c>
      <c r="AG137" s="8">
        <f t="shared" si="16"/>
        <v>0</v>
      </c>
      <c r="AI137" s="8">
        <f t="shared" si="17"/>
        <v>0</v>
      </c>
    </row>
    <row r="138" spans="1:35" ht="15" customHeight="1" x14ac:dyDescent="0.25">
      <c r="A138" s="10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3"/>
      <c r="P138" s="3"/>
      <c r="Q138" s="8"/>
      <c r="R138" s="8"/>
      <c r="S138" s="8"/>
      <c r="T138" s="8"/>
      <c r="U138" s="8"/>
      <c r="V138" s="8"/>
      <c r="W138" t="str">
        <f>IF($C138="","",SUMPRODUCT(($C$2:C138=C138)+($D$2:D138=C138)))</f>
        <v/>
      </c>
      <c r="X138" t="str">
        <f>IF($D138="","",SUMPRODUCT(($C$2:C138=D138)+($D$2:D138=D138)))</f>
        <v/>
      </c>
      <c r="Y138" t="str">
        <f t="shared" si="12"/>
        <v/>
      </c>
      <c r="Z138" t="str">
        <f t="shared" si="13"/>
        <v/>
      </c>
      <c r="AA138" s="4" t="str">
        <f>IF($C138="","",IF(COUNTIF($C$1:C137,$C138)+COUNTIF($D$1:D137,$C138)=0,1,0))</f>
        <v/>
      </c>
      <c r="AB138" s="4" t="str">
        <f>IF($D138="","",IF(COUNTIF($C$1:C138,$D138)+COUNTIF($D$1:D137,$D138)=0,1,0))</f>
        <v/>
      </c>
      <c r="AC138" s="4" t="str">
        <f>IF(AA138=1,SUM($AA$2:AA138)-AA138+SUM($AB$2:AB138)-AB138+1,"")</f>
        <v/>
      </c>
      <c r="AD138" s="4" t="str">
        <f>IF(AB138=1,SUM($AA$2:AA138)+SUM($AB$2:AB138)-AB138+1,"")</f>
        <v/>
      </c>
      <c r="AE138" s="4" t="str">
        <f t="shared" si="14"/>
        <v/>
      </c>
      <c r="AF138" s="4" t="str">
        <f t="shared" si="15"/>
        <v/>
      </c>
      <c r="AG138" s="8">
        <f t="shared" si="16"/>
        <v>0</v>
      </c>
      <c r="AI138" s="8">
        <f t="shared" si="17"/>
        <v>0</v>
      </c>
    </row>
    <row r="139" spans="1:35" ht="15" customHeight="1" x14ac:dyDescent="0.25">
      <c r="A139" s="10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3"/>
      <c r="P139" s="3"/>
      <c r="Q139" s="8"/>
      <c r="R139" s="8"/>
      <c r="S139" s="8"/>
      <c r="T139" s="8"/>
      <c r="U139" s="8"/>
      <c r="V139" s="8"/>
      <c r="W139" t="str">
        <f>IF($C139="","",SUMPRODUCT(($C$2:C139=C139)+($D$2:D139=C139)))</f>
        <v/>
      </c>
      <c r="X139" t="str">
        <f>IF($D139="","",SUMPRODUCT(($C$2:C139=D139)+($D$2:D139=D139)))</f>
        <v/>
      </c>
      <c r="Y139" t="str">
        <f t="shared" si="12"/>
        <v/>
      </c>
      <c r="Z139" t="str">
        <f t="shared" si="13"/>
        <v/>
      </c>
      <c r="AA139" s="4" t="str">
        <f>IF($C139="","",IF(COUNTIF($C$1:C138,$C139)+COUNTIF($D$1:D138,$C139)=0,1,0))</f>
        <v/>
      </c>
      <c r="AB139" s="4" t="str">
        <f>IF($D139="","",IF(COUNTIF($C$1:C139,$D139)+COUNTIF($D$1:D138,$D139)=0,1,0))</f>
        <v/>
      </c>
      <c r="AC139" s="4" t="str">
        <f>IF(AA139=1,SUM($AA$2:AA139)-AA139+SUM($AB$2:AB139)-AB139+1,"")</f>
        <v/>
      </c>
      <c r="AD139" s="4" t="str">
        <f>IF(AB139=1,SUM($AA$2:AA139)+SUM($AB$2:AB139)-AB139+1,"")</f>
        <v/>
      </c>
      <c r="AE139" s="4" t="str">
        <f t="shared" si="14"/>
        <v/>
      </c>
      <c r="AF139" s="4" t="str">
        <f t="shared" si="15"/>
        <v/>
      </c>
      <c r="AG139" s="8">
        <f t="shared" si="16"/>
        <v>0</v>
      </c>
      <c r="AI139" s="8">
        <f t="shared" si="17"/>
        <v>0</v>
      </c>
    </row>
    <row r="140" spans="1:35" ht="15" customHeight="1" x14ac:dyDescent="0.25">
      <c r="A140" s="10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3"/>
      <c r="P140" s="3"/>
      <c r="Q140" s="8"/>
      <c r="R140" s="8"/>
      <c r="S140" s="8"/>
      <c r="T140" s="8"/>
      <c r="U140" s="8"/>
      <c r="V140" s="8"/>
      <c r="W140" t="str">
        <f>IF($C140="","",SUMPRODUCT(($C$2:C140=C140)+($D$2:D140=C140)))</f>
        <v/>
      </c>
      <c r="X140" t="str">
        <f>IF($D140="","",SUMPRODUCT(($C$2:C140=D140)+($D$2:D140=D140)))</f>
        <v/>
      </c>
      <c r="Y140" t="str">
        <f t="shared" si="12"/>
        <v/>
      </c>
      <c r="Z140" t="str">
        <f t="shared" si="13"/>
        <v/>
      </c>
      <c r="AA140" s="4" t="str">
        <f>IF($C140="","",IF(COUNTIF($C$1:C139,$C140)+COUNTIF($D$1:D139,$C140)=0,1,0))</f>
        <v/>
      </c>
      <c r="AB140" s="4" t="str">
        <f>IF($D140="","",IF(COUNTIF($C$1:C140,$D140)+COUNTIF($D$1:D139,$D140)=0,1,0))</f>
        <v/>
      </c>
      <c r="AC140" s="4" t="str">
        <f>IF(AA140=1,SUM($AA$2:AA140)-AA140+SUM($AB$2:AB140)-AB140+1,"")</f>
        <v/>
      </c>
      <c r="AD140" s="4" t="str">
        <f>IF(AB140=1,SUM($AA$2:AA140)+SUM($AB$2:AB140)-AB140+1,"")</f>
        <v/>
      </c>
      <c r="AE140" s="4" t="str">
        <f t="shared" si="14"/>
        <v/>
      </c>
      <c r="AF140" s="4" t="str">
        <f t="shared" si="15"/>
        <v/>
      </c>
      <c r="AG140" s="8">
        <f t="shared" si="16"/>
        <v>0</v>
      </c>
      <c r="AI140" s="8">
        <f t="shared" si="17"/>
        <v>0</v>
      </c>
    </row>
    <row r="141" spans="1:35" ht="15" customHeight="1" x14ac:dyDescent="0.25">
      <c r="A141" s="10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3"/>
      <c r="P141" s="3"/>
      <c r="Q141" s="8"/>
      <c r="R141" s="8"/>
      <c r="S141" s="8"/>
      <c r="T141" s="8"/>
      <c r="U141" s="8"/>
      <c r="V141" s="8"/>
      <c r="W141" t="str">
        <f>IF($C141="","",SUMPRODUCT(($C$2:C141=C141)+($D$2:D141=C141)))</f>
        <v/>
      </c>
      <c r="X141" t="str">
        <f>IF($D141="","",SUMPRODUCT(($C$2:C141=D141)+($D$2:D141=D141)))</f>
        <v/>
      </c>
      <c r="Y141" t="str">
        <f t="shared" si="12"/>
        <v/>
      </c>
      <c r="Z141" t="str">
        <f t="shared" si="13"/>
        <v/>
      </c>
      <c r="AA141" s="4" t="str">
        <f>IF($C141="","",IF(COUNTIF($C$1:C140,$C141)+COUNTIF($D$1:D140,$C141)=0,1,0))</f>
        <v/>
      </c>
      <c r="AB141" s="4" t="str">
        <f>IF($D141="","",IF(COUNTIF($C$1:C141,$D141)+COUNTIF($D$1:D140,$D141)=0,1,0))</f>
        <v/>
      </c>
      <c r="AC141" s="4" t="str">
        <f>IF(AA141=1,SUM($AA$2:AA141)-AA141+SUM($AB$2:AB141)-AB141+1,"")</f>
        <v/>
      </c>
      <c r="AD141" s="4" t="str">
        <f>IF(AB141=1,SUM($AA$2:AA141)+SUM($AB$2:AB141)-AB141+1,"")</f>
        <v/>
      </c>
      <c r="AE141" s="4" t="str">
        <f t="shared" si="14"/>
        <v/>
      </c>
      <c r="AF141" s="4" t="str">
        <f t="shared" si="15"/>
        <v/>
      </c>
      <c r="AG141" s="8">
        <f t="shared" si="16"/>
        <v>0</v>
      </c>
      <c r="AI141" s="8">
        <f t="shared" si="17"/>
        <v>0</v>
      </c>
    </row>
    <row r="142" spans="1:35" ht="15" customHeight="1" x14ac:dyDescent="0.25">
      <c r="A142" s="10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3"/>
      <c r="P142" s="3"/>
      <c r="Q142" s="8"/>
      <c r="R142" s="8"/>
      <c r="S142" s="8"/>
      <c r="T142" s="8"/>
      <c r="U142" s="8"/>
      <c r="V142" s="8"/>
      <c r="W142" t="str">
        <f>IF($C142="","",SUMPRODUCT(($C$2:C142=C142)+($D$2:D142=C142)))</f>
        <v/>
      </c>
      <c r="X142" t="str">
        <f>IF($D142="","",SUMPRODUCT(($C$2:C142=D142)+($D$2:D142=D142)))</f>
        <v/>
      </c>
      <c r="Y142" t="str">
        <f t="shared" si="12"/>
        <v/>
      </c>
      <c r="Z142" t="str">
        <f t="shared" si="13"/>
        <v/>
      </c>
      <c r="AA142" s="4" t="str">
        <f>IF($C142="","",IF(COUNTIF($C$1:C141,$C142)+COUNTIF($D$1:D141,$C142)=0,1,0))</f>
        <v/>
      </c>
      <c r="AB142" s="4" t="str">
        <f>IF($D142="","",IF(COUNTIF($C$1:C142,$D142)+COUNTIF($D$1:D141,$D142)=0,1,0))</f>
        <v/>
      </c>
      <c r="AC142" s="4" t="str">
        <f>IF(AA142=1,SUM($AA$2:AA142)-AA142+SUM($AB$2:AB142)-AB142+1,"")</f>
        <v/>
      </c>
      <c r="AD142" s="4" t="str">
        <f>IF(AB142=1,SUM($AA$2:AA142)+SUM($AB$2:AB142)-AB142+1,"")</f>
        <v/>
      </c>
      <c r="AE142" s="4" t="str">
        <f t="shared" si="14"/>
        <v/>
      </c>
      <c r="AF142" s="4" t="str">
        <f t="shared" si="15"/>
        <v/>
      </c>
      <c r="AG142" s="8">
        <f t="shared" si="16"/>
        <v>0</v>
      </c>
      <c r="AI142" s="8">
        <f t="shared" si="17"/>
        <v>0</v>
      </c>
    </row>
    <row r="143" spans="1:35" ht="15" customHeight="1" x14ac:dyDescent="0.25">
      <c r="A143" s="10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3"/>
      <c r="P143" s="3"/>
      <c r="Q143" s="8"/>
      <c r="R143" s="8"/>
      <c r="S143" s="8"/>
      <c r="T143" s="8"/>
      <c r="U143" s="8"/>
      <c r="V143" s="8"/>
      <c r="W143" t="str">
        <f>IF($C143="","",SUMPRODUCT(($C$2:C143=C143)+($D$2:D143=C143)))</f>
        <v/>
      </c>
      <c r="X143" t="str">
        <f>IF($D143="","",SUMPRODUCT(($C$2:C143=D143)+($D$2:D143=D143)))</f>
        <v/>
      </c>
      <c r="Y143" t="str">
        <f t="shared" si="12"/>
        <v/>
      </c>
      <c r="Z143" t="str">
        <f t="shared" si="13"/>
        <v/>
      </c>
      <c r="AA143" s="4" t="str">
        <f>IF($C143="","",IF(COUNTIF($C$1:C142,$C143)+COUNTIF($D$1:D142,$C143)=0,1,0))</f>
        <v/>
      </c>
      <c r="AB143" s="4" t="str">
        <f>IF($D143="","",IF(COUNTIF($C$1:C143,$D143)+COUNTIF($D$1:D142,$D143)=0,1,0))</f>
        <v/>
      </c>
      <c r="AC143" s="4" t="str">
        <f>IF(AA143=1,SUM($AA$2:AA143)-AA143+SUM($AB$2:AB143)-AB143+1,"")</f>
        <v/>
      </c>
      <c r="AD143" s="4" t="str">
        <f>IF(AB143=1,SUM($AA$2:AA143)+SUM($AB$2:AB143)-AB143+1,"")</f>
        <v/>
      </c>
      <c r="AE143" s="4" t="str">
        <f t="shared" si="14"/>
        <v/>
      </c>
      <c r="AF143" s="4" t="str">
        <f t="shared" si="15"/>
        <v/>
      </c>
      <c r="AG143" s="8">
        <f t="shared" si="16"/>
        <v>0</v>
      </c>
      <c r="AI143" s="8">
        <f t="shared" si="17"/>
        <v>0</v>
      </c>
    </row>
    <row r="144" spans="1:35" ht="15" customHeight="1" x14ac:dyDescent="0.25">
      <c r="A144" s="10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3"/>
      <c r="P144" s="3"/>
      <c r="Q144" s="8"/>
      <c r="R144" s="8"/>
      <c r="S144" s="8"/>
      <c r="T144" s="8"/>
      <c r="U144" s="8"/>
      <c r="V144" s="8"/>
      <c r="W144" t="str">
        <f>IF($C144="","",SUMPRODUCT(($C$2:C144=C144)+($D$2:D144=C144)))</f>
        <v/>
      </c>
      <c r="X144" t="str">
        <f>IF($D144="","",SUMPRODUCT(($C$2:C144=D144)+($D$2:D144=D144)))</f>
        <v/>
      </c>
      <c r="Y144" t="str">
        <f t="shared" si="12"/>
        <v/>
      </c>
      <c r="Z144" t="str">
        <f t="shared" si="13"/>
        <v/>
      </c>
      <c r="AA144" s="4" t="str">
        <f>IF($C144="","",IF(COUNTIF($C$1:C143,$C144)+COUNTIF($D$1:D143,$C144)=0,1,0))</f>
        <v/>
      </c>
      <c r="AB144" s="4" t="str">
        <f>IF($D144="","",IF(COUNTIF($C$1:C144,$D144)+COUNTIF($D$1:D143,$D144)=0,1,0))</f>
        <v/>
      </c>
      <c r="AC144" s="4" t="str">
        <f>IF(AA144=1,SUM($AA$2:AA144)-AA144+SUM($AB$2:AB144)-AB144+1,"")</f>
        <v/>
      </c>
      <c r="AD144" s="4" t="str">
        <f>IF(AB144=1,SUM($AA$2:AA144)+SUM($AB$2:AB144)-AB144+1,"")</f>
        <v/>
      </c>
      <c r="AE144" s="4" t="str">
        <f t="shared" si="14"/>
        <v/>
      </c>
      <c r="AF144" s="4" t="str">
        <f t="shared" si="15"/>
        <v/>
      </c>
      <c r="AG144" s="8">
        <f t="shared" si="16"/>
        <v>0</v>
      </c>
      <c r="AI144" s="8">
        <f t="shared" si="17"/>
        <v>0</v>
      </c>
    </row>
    <row r="145" spans="1:35" ht="15" customHeight="1" x14ac:dyDescent="0.25">
      <c r="A145" s="10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3"/>
      <c r="P145" s="3"/>
      <c r="Q145" s="8"/>
      <c r="R145" s="8"/>
      <c r="S145" s="8"/>
      <c r="T145" s="8"/>
      <c r="U145" s="8"/>
      <c r="V145" s="8"/>
      <c r="W145" t="str">
        <f>IF($C145="","",SUMPRODUCT(($C$2:C145=C145)+($D$2:D145=C145)))</f>
        <v/>
      </c>
      <c r="X145" t="str">
        <f>IF($D145="","",SUMPRODUCT(($C$2:C145=D145)+($D$2:D145=D145)))</f>
        <v/>
      </c>
      <c r="Y145" t="str">
        <f t="shared" si="12"/>
        <v/>
      </c>
      <c r="Z145" t="str">
        <f t="shared" si="13"/>
        <v/>
      </c>
      <c r="AA145" s="4" t="str">
        <f>IF($C145="","",IF(COUNTIF($C$1:C144,$C145)+COUNTIF($D$1:D144,$C145)=0,1,0))</f>
        <v/>
      </c>
      <c r="AB145" s="4" t="str">
        <f>IF($D145="","",IF(COUNTIF($C$1:C145,$D145)+COUNTIF($D$1:D144,$D145)=0,1,0))</f>
        <v/>
      </c>
      <c r="AC145" s="4" t="str">
        <f>IF(AA145=1,SUM($AA$2:AA145)-AA145+SUM($AB$2:AB145)-AB145+1,"")</f>
        <v/>
      </c>
      <c r="AD145" s="4" t="str">
        <f>IF(AB145=1,SUM($AA$2:AA145)+SUM($AB$2:AB145)-AB145+1,"")</f>
        <v/>
      </c>
      <c r="AE145" s="4" t="str">
        <f t="shared" si="14"/>
        <v/>
      </c>
      <c r="AF145" s="4" t="str">
        <f t="shared" si="15"/>
        <v/>
      </c>
      <c r="AG145" s="8">
        <f t="shared" si="16"/>
        <v>0</v>
      </c>
      <c r="AI145" s="8">
        <f t="shared" si="17"/>
        <v>0</v>
      </c>
    </row>
    <row r="146" spans="1:35" ht="15" customHeight="1" x14ac:dyDescent="0.25">
      <c r="A146" s="10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3"/>
      <c r="P146" s="3"/>
      <c r="Q146" s="8"/>
      <c r="R146" s="8"/>
      <c r="S146" s="8"/>
      <c r="T146" s="8"/>
      <c r="U146" s="8"/>
      <c r="V146" s="8"/>
      <c r="W146" t="str">
        <f>IF($C146="","",SUMPRODUCT(($C$2:C146=C146)+($D$2:D146=C146)))</f>
        <v/>
      </c>
      <c r="X146" t="str">
        <f>IF($D146="","",SUMPRODUCT(($C$2:C146=D146)+($D$2:D146=D146)))</f>
        <v/>
      </c>
      <c r="Y146" t="str">
        <f t="shared" si="12"/>
        <v/>
      </c>
      <c r="Z146" t="str">
        <f t="shared" si="13"/>
        <v/>
      </c>
      <c r="AA146" s="4" t="str">
        <f>IF($C146="","",IF(COUNTIF($C$1:C145,$C146)+COUNTIF($D$1:D145,$C146)=0,1,0))</f>
        <v/>
      </c>
      <c r="AB146" s="4" t="str">
        <f>IF($D146="","",IF(COUNTIF($C$1:C146,$D146)+COUNTIF($D$1:D145,$D146)=0,1,0))</f>
        <v/>
      </c>
      <c r="AC146" s="4" t="str">
        <f>IF(AA146=1,SUM($AA$2:AA146)-AA146+SUM($AB$2:AB146)-AB146+1,"")</f>
        <v/>
      </c>
      <c r="AD146" s="4" t="str">
        <f>IF(AB146=1,SUM($AA$2:AA146)+SUM($AB$2:AB146)-AB146+1,"")</f>
        <v/>
      </c>
      <c r="AE146" s="4" t="str">
        <f t="shared" si="14"/>
        <v/>
      </c>
      <c r="AF146" s="4" t="str">
        <f t="shared" si="15"/>
        <v/>
      </c>
      <c r="AG146" s="8">
        <f t="shared" si="16"/>
        <v>0</v>
      </c>
      <c r="AI146" s="8">
        <f t="shared" si="17"/>
        <v>0</v>
      </c>
    </row>
    <row r="147" spans="1:35" ht="15" customHeight="1" x14ac:dyDescent="0.25">
      <c r="A147" s="10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3"/>
      <c r="P147" s="3"/>
      <c r="Q147" s="8"/>
      <c r="R147" s="8"/>
      <c r="S147" s="8"/>
      <c r="T147" s="8"/>
      <c r="U147" s="8"/>
      <c r="V147" s="8"/>
      <c r="W147" t="str">
        <f>IF($C147="","",SUMPRODUCT(($C$2:C147=C147)+($D$2:D147=C147)))</f>
        <v/>
      </c>
      <c r="X147" t="str">
        <f>IF($D147="","",SUMPRODUCT(($C$2:C147=D147)+($D$2:D147=D147)))</f>
        <v/>
      </c>
      <c r="Y147" t="str">
        <f t="shared" si="12"/>
        <v/>
      </c>
      <c r="Z147" t="str">
        <f t="shared" si="13"/>
        <v/>
      </c>
      <c r="AA147" s="4" t="str">
        <f>IF($C147="","",IF(COUNTIF($C$1:C146,$C147)+COUNTIF($D$1:D146,$C147)=0,1,0))</f>
        <v/>
      </c>
      <c r="AB147" s="4" t="str">
        <f>IF($D147="","",IF(COUNTIF($C$1:C147,$D147)+COUNTIF($D$1:D146,$D147)=0,1,0))</f>
        <v/>
      </c>
      <c r="AC147" s="4" t="str">
        <f>IF(AA147=1,SUM($AA$2:AA147)-AA147+SUM($AB$2:AB147)-AB147+1,"")</f>
        <v/>
      </c>
      <c r="AD147" s="4" t="str">
        <f>IF(AB147=1,SUM($AA$2:AA147)+SUM($AB$2:AB147)-AB147+1,"")</f>
        <v/>
      </c>
      <c r="AE147" s="4" t="str">
        <f t="shared" si="14"/>
        <v/>
      </c>
      <c r="AF147" s="4" t="str">
        <f t="shared" si="15"/>
        <v/>
      </c>
      <c r="AG147" s="8">
        <f t="shared" si="16"/>
        <v>0</v>
      </c>
      <c r="AI147" s="8">
        <f t="shared" si="17"/>
        <v>0</v>
      </c>
    </row>
    <row r="148" spans="1:35" ht="15" customHeight="1" x14ac:dyDescent="0.25">
      <c r="A148" s="10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3"/>
      <c r="P148" s="3"/>
      <c r="Q148" s="8"/>
      <c r="R148" s="8"/>
      <c r="S148" s="8"/>
      <c r="T148" s="8"/>
      <c r="U148" s="8"/>
      <c r="V148" s="8"/>
      <c r="W148" t="str">
        <f>IF($C148="","",SUMPRODUCT(($C$2:C148=C148)+($D$2:D148=C148)))</f>
        <v/>
      </c>
      <c r="X148" t="str">
        <f>IF($D148="","",SUMPRODUCT(($C$2:C148=D148)+($D$2:D148=D148)))</f>
        <v/>
      </c>
      <c r="Y148" t="str">
        <f t="shared" si="12"/>
        <v/>
      </c>
      <c r="Z148" t="str">
        <f t="shared" si="13"/>
        <v/>
      </c>
      <c r="AA148" s="4" t="str">
        <f>IF($C148="","",IF(COUNTIF($C$1:C147,$C148)+COUNTIF($D$1:D147,$C148)=0,1,0))</f>
        <v/>
      </c>
      <c r="AB148" s="4" t="str">
        <f>IF($D148="","",IF(COUNTIF($C$1:C148,$D148)+COUNTIF($D$1:D147,$D148)=0,1,0))</f>
        <v/>
      </c>
      <c r="AC148" s="4" t="str">
        <f>IF(AA148=1,SUM($AA$2:AA148)-AA148+SUM($AB$2:AB148)-AB148+1,"")</f>
        <v/>
      </c>
      <c r="AD148" s="4" t="str">
        <f>IF(AB148=1,SUM($AA$2:AA148)+SUM($AB$2:AB148)-AB148+1,"")</f>
        <v/>
      </c>
      <c r="AE148" s="4" t="str">
        <f t="shared" si="14"/>
        <v/>
      </c>
      <c r="AF148" s="4" t="str">
        <f t="shared" si="15"/>
        <v/>
      </c>
      <c r="AG148" s="8">
        <f t="shared" si="16"/>
        <v>0</v>
      </c>
      <c r="AI148" s="8">
        <f t="shared" si="17"/>
        <v>0</v>
      </c>
    </row>
    <row r="149" spans="1:35" ht="15" customHeight="1" x14ac:dyDescent="0.25">
      <c r="A149" s="10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3"/>
      <c r="P149" s="3"/>
      <c r="Q149" s="8"/>
      <c r="R149" s="8"/>
      <c r="S149" s="8"/>
      <c r="T149" s="8"/>
      <c r="U149" s="8"/>
      <c r="V149" s="8"/>
      <c r="W149" t="str">
        <f>IF($C149="","",SUMPRODUCT(($C$2:C149=C149)+($D$2:D149=C149)))</f>
        <v/>
      </c>
      <c r="X149" t="str">
        <f>IF($D149="","",SUMPRODUCT(($C$2:C149=D149)+($D$2:D149=D149)))</f>
        <v/>
      </c>
      <c r="Y149" t="str">
        <f t="shared" si="12"/>
        <v/>
      </c>
      <c r="Z149" t="str">
        <f t="shared" si="13"/>
        <v/>
      </c>
      <c r="AA149" s="4" t="str">
        <f>IF($C149="","",IF(COUNTIF($C$1:C148,$C149)+COUNTIF($D$1:D148,$C149)=0,1,0))</f>
        <v/>
      </c>
      <c r="AB149" s="4" t="str">
        <f>IF($D149="","",IF(COUNTIF($C$1:C149,$D149)+COUNTIF($D$1:D148,$D149)=0,1,0))</f>
        <v/>
      </c>
      <c r="AC149" s="4" t="str">
        <f>IF(AA149=1,SUM($AA$2:AA149)-AA149+SUM($AB$2:AB149)-AB149+1,"")</f>
        <v/>
      </c>
      <c r="AD149" s="4" t="str">
        <f>IF(AB149=1,SUM($AA$2:AA149)+SUM($AB$2:AB149)-AB149+1,"")</f>
        <v/>
      </c>
      <c r="AE149" s="4" t="str">
        <f t="shared" si="14"/>
        <v/>
      </c>
      <c r="AF149" s="4" t="str">
        <f t="shared" si="15"/>
        <v/>
      </c>
      <c r="AG149" s="8">
        <f t="shared" si="16"/>
        <v>0</v>
      </c>
      <c r="AI149" s="8">
        <f t="shared" si="17"/>
        <v>0</v>
      </c>
    </row>
    <row r="150" spans="1:35" ht="15" customHeight="1" x14ac:dyDescent="0.25">
      <c r="A150" s="10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3"/>
      <c r="P150" s="3"/>
      <c r="Q150" s="8"/>
      <c r="R150" s="8"/>
      <c r="S150" s="8"/>
      <c r="T150" s="8"/>
      <c r="U150" s="8"/>
      <c r="V150" s="8"/>
      <c r="W150" t="str">
        <f>IF($C150="","",SUMPRODUCT(($C$2:C150=C150)+($D$2:D150=C150)))</f>
        <v/>
      </c>
      <c r="X150" t="str">
        <f>IF($D150="","",SUMPRODUCT(($C$2:C150=D150)+($D$2:D150=D150)))</f>
        <v/>
      </c>
      <c r="Y150" t="str">
        <f t="shared" si="12"/>
        <v/>
      </c>
      <c r="Z150" t="str">
        <f t="shared" si="13"/>
        <v/>
      </c>
      <c r="AA150" s="4" t="str">
        <f>IF($C150="","",IF(COUNTIF($C$1:C149,$C150)+COUNTIF($D$1:D149,$C150)=0,1,0))</f>
        <v/>
      </c>
      <c r="AB150" s="4" t="str">
        <f>IF($D150="","",IF(COUNTIF($C$1:C150,$D150)+COUNTIF($D$1:D149,$D150)=0,1,0))</f>
        <v/>
      </c>
      <c r="AC150" s="4" t="str">
        <f>IF(AA150=1,SUM($AA$2:AA150)-AA150+SUM($AB$2:AB150)-AB150+1,"")</f>
        <v/>
      </c>
      <c r="AD150" s="4" t="str">
        <f>IF(AB150=1,SUM($AA$2:AA150)+SUM($AB$2:AB150)-AB150+1,"")</f>
        <v/>
      </c>
      <c r="AE150" s="4" t="str">
        <f t="shared" si="14"/>
        <v/>
      </c>
      <c r="AF150" s="4" t="str">
        <f t="shared" si="15"/>
        <v/>
      </c>
      <c r="AG150" s="8">
        <f t="shared" si="16"/>
        <v>0</v>
      </c>
      <c r="AI150" s="8">
        <f t="shared" si="17"/>
        <v>0</v>
      </c>
    </row>
    <row r="151" spans="1:35" ht="15" customHeight="1" x14ac:dyDescent="0.25">
      <c r="A151" s="10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3"/>
      <c r="P151" s="3"/>
      <c r="Q151" s="8"/>
      <c r="R151" s="8"/>
      <c r="S151" s="8"/>
      <c r="T151" s="8"/>
      <c r="U151" s="8"/>
      <c r="V151" s="8"/>
      <c r="W151" t="str">
        <f>IF($C151="","",SUMPRODUCT(($C$2:C151=C151)+($D$2:D151=C151)))</f>
        <v/>
      </c>
      <c r="X151" t="str">
        <f>IF($D151="","",SUMPRODUCT(($C$2:C151=D151)+($D$2:D151=D151)))</f>
        <v/>
      </c>
      <c r="Y151" t="str">
        <f t="shared" si="12"/>
        <v/>
      </c>
      <c r="Z151" t="str">
        <f t="shared" si="13"/>
        <v/>
      </c>
      <c r="AA151" s="4" t="str">
        <f>IF($C151="","",IF(COUNTIF($C$1:C150,$C151)+COUNTIF($D$1:D150,$C151)=0,1,0))</f>
        <v/>
      </c>
      <c r="AB151" s="4" t="str">
        <f>IF($D151="","",IF(COUNTIF($C$1:C151,$D151)+COUNTIF($D$1:D150,$D151)=0,1,0))</f>
        <v/>
      </c>
      <c r="AC151" s="4" t="str">
        <f>IF(AA151=1,SUM($AA$2:AA151)-AA151+SUM($AB$2:AB151)-AB151+1,"")</f>
        <v/>
      </c>
      <c r="AD151" s="4" t="str">
        <f>IF(AB151=1,SUM($AA$2:AA151)+SUM($AB$2:AB151)-AB151+1,"")</f>
        <v/>
      </c>
      <c r="AE151" s="4" t="str">
        <f t="shared" si="14"/>
        <v/>
      </c>
      <c r="AF151" s="4" t="str">
        <f t="shared" si="15"/>
        <v/>
      </c>
      <c r="AG151" s="8">
        <f t="shared" si="16"/>
        <v>0</v>
      </c>
      <c r="AI151" s="8">
        <f t="shared" si="17"/>
        <v>0</v>
      </c>
    </row>
    <row r="152" spans="1:35" ht="15" customHeight="1" x14ac:dyDescent="0.25">
      <c r="A152" s="10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3"/>
      <c r="P152" s="3"/>
      <c r="Q152" s="8"/>
      <c r="R152" s="8"/>
      <c r="S152" s="8"/>
      <c r="T152" s="8"/>
      <c r="U152" s="8"/>
      <c r="V152" s="8"/>
      <c r="W152" t="str">
        <f>IF($C152="","",SUMPRODUCT(($C$2:C152=C152)+($D$2:D152=C152)))</f>
        <v/>
      </c>
      <c r="X152" t="str">
        <f>IF($D152="","",SUMPRODUCT(($C$2:C152=D152)+($D$2:D152=D152)))</f>
        <v/>
      </c>
      <c r="Y152" t="str">
        <f t="shared" si="12"/>
        <v/>
      </c>
      <c r="Z152" t="str">
        <f t="shared" si="13"/>
        <v/>
      </c>
      <c r="AA152" s="4" t="str">
        <f>IF($C152="","",IF(COUNTIF($C$1:C151,$C152)+COUNTIF($D$1:D151,$C152)=0,1,0))</f>
        <v/>
      </c>
      <c r="AB152" s="4" t="str">
        <f>IF($D152="","",IF(COUNTIF($C$1:C152,$D152)+COUNTIF($D$1:D151,$D152)=0,1,0))</f>
        <v/>
      </c>
      <c r="AC152" s="4" t="str">
        <f>IF(AA152=1,SUM($AA$2:AA152)-AA152+SUM($AB$2:AB152)-AB152+1,"")</f>
        <v/>
      </c>
      <c r="AD152" s="4" t="str">
        <f>IF(AB152=1,SUM($AA$2:AA152)+SUM($AB$2:AB152)-AB152+1,"")</f>
        <v/>
      </c>
      <c r="AE152" s="4" t="str">
        <f t="shared" si="14"/>
        <v/>
      </c>
      <c r="AF152" s="4" t="str">
        <f t="shared" si="15"/>
        <v/>
      </c>
      <c r="AG152" s="8">
        <f t="shared" si="16"/>
        <v>0</v>
      </c>
      <c r="AI152" s="8">
        <f t="shared" si="17"/>
        <v>0</v>
      </c>
    </row>
    <row r="153" spans="1:35" ht="15" customHeight="1" x14ac:dyDescent="0.25">
      <c r="A153" s="10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3"/>
      <c r="P153" s="3"/>
      <c r="Q153" s="8"/>
      <c r="R153" s="8"/>
      <c r="S153" s="8"/>
      <c r="T153" s="8"/>
      <c r="U153" s="8"/>
      <c r="V153" s="8"/>
      <c r="W153" t="str">
        <f>IF($C153="","",SUMPRODUCT(($C$2:C153=C153)+($D$2:D153=C153)))</f>
        <v/>
      </c>
      <c r="X153" t="str">
        <f>IF($D153="","",SUMPRODUCT(($C$2:C153=D153)+($D$2:D153=D153)))</f>
        <v/>
      </c>
      <c r="Y153" t="str">
        <f t="shared" si="12"/>
        <v/>
      </c>
      <c r="Z153" t="str">
        <f t="shared" si="13"/>
        <v/>
      </c>
      <c r="AA153" s="4" t="str">
        <f>IF($C153="","",IF(COUNTIF($C$1:C152,$C153)+COUNTIF($D$1:D152,$C153)=0,1,0))</f>
        <v/>
      </c>
      <c r="AB153" s="4" t="str">
        <f>IF($D153="","",IF(COUNTIF($C$1:C153,$D153)+COUNTIF($D$1:D152,$D153)=0,1,0))</f>
        <v/>
      </c>
      <c r="AC153" s="4" t="str">
        <f>IF(AA153=1,SUM($AA$2:AA153)-AA153+SUM($AB$2:AB153)-AB153+1,"")</f>
        <v/>
      </c>
      <c r="AD153" s="4" t="str">
        <f>IF(AB153=1,SUM($AA$2:AA153)+SUM($AB$2:AB153)-AB153+1,"")</f>
        <v/>
      </c>
      <c r="AE153" s="4" t="str">
        <f t="shared" si="14"/>
        <v/>
      </c>
      <c r="AF153" s="4" t="str">
        <f t="shared" si="15"/>
        <v/>
      </c>
      <c r="AG153" s="8">
        <f t="shared" si="16"/>
        <v>0</v>
      </c>
      <c r="AI153" s="8">
        <f t="shared" si="17"/>
        <v>0</v>
      </c>
    </row>
    <row r="154" spans="1:35" ht="15" customHeight="1" x14ac:dyDescent="0.25">
      <c r="A154" s="10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3"/>
      <c r="P154" s="3"/>
      <c r="Q154" s="8"/>
      <c r="R154" s="8"/>
      <c r="S154" s="8"/>
      <c r="T154" s="8"/>
      <c r="U154" s="8"/>
      <c r="V154" s="8"/>
      <c r="W154" t="str">
        <f>IF($C154="","",SUMPRODUCT(($C$2:C154=C154)+($D$2:D154=C154)))</f>
        <v/>
      </c>
      <c r="X154" t="str">
        <f>IF($D154="","",SUMPRODUCT(($C$2:C154=D154)+($D$2:D154=D154)))</f>
        <v/>
      </c>
      <c r="Y154" t="str">
        <f t="shared" si="12"/>
        <v/>
      </c>
      <c r="Z154" t="str">
        <f t="shared" si="13"/>
        <v/>
      </c>
      <c r="AA154" s="4" t="str">
        <f>IF($C154="","",IF(COUNTIF($C$1:C153,$C154)+COUNTIF($D$1:D153,$C154)=0,1,0))</f>
        <v/>
      </c>
      <c r="AB154" s="4" t="str">
        <f>IF($D154="","",IF(COUNTIF($C$1:C154,$D154)+COUNTIF($D$1:D153,$D154)=0,1,0))</f>
        <v/>
      </c>
      <c r="AC154" s="4" t="str">
        <f>IF(AA154=1,SUM($AA$2:AA154)-AA154+SUM($AB$2:AB154)-AB154+1,"")</f>
        <v/>
      </c>
      <c r="AD154" s="4" t="str">
        <f>IF(AB154=1,SUM($AA$2:AA154)+SUM($AB$2:AB154)-AB154+1,"")</f>
        <v/>
      </c>
      <c r="AE154" s="4" t="str">
        <f t="shared" si="14"/>
        <v/>
      </c>
      <c r="AF154" s="4" t="str">
        <f t="shared" si="15"/>
        <v/>
      </c>
      <c r="AG154" s="8">
        <f t="shared" si="16"/>
        <v>0</v>
      </c>
      <c r="AI154" s="8">
        <f t="shared" si="17"/>
        <v>0</v>
      </c>
    </row>
    <row r="155" spans="1:35" ht="15" customHeight="1" x14ac:dyDescent="0.25">
      <c r="A155" s="10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3"/>
      <c r="P155" s="3"/>
      <c r="Q155" s="8"/>
      <c r="R155" s="8"/>
      <c r="S155" s="8"/>
      <c r="T155" s="8"/>
      <c r="U155" s="8"/>
      <c r="V155" s="8"/>
      <c r="W155" t="str">
        <f>IF($C155="","",SUMPRODUCT(($C$2:C155=C155)+($D$2:D155=C155)))</f>
        <v/>
      </c>
      <c r="X155" t="str">
        <f>IF($D155="","",SUMPRODUCT(($C$2:C155=D155)+($D$2:D155=D155)))</f>
        <v/>
      </c>
      <c r="Y155" t="str">
        <f t="shared" si="12"/>
        <v/>
      </c>
      <c r="Z155" t="str">
        <f t="shared" si="13"/>
        <v/>
      </c>
      <c r="AA155" s="4" t="str">
        <f>IF($C155="","",IF(COUNTIF($C$1:C154,$C155)+COUNTIF($D$1:D154,$C155)=0,1,0))</f>
        <v/>
      </c>
      <c r="AB155" s="4" t="str">
        <f>IF($D155="","",IF(COUNTIF($C$1:C155,$D155)+COUNTIF($D$1:D154,$D155)=0,1,0))</f>
        <v/>
      </c>
      <c r="AC155" s="4" t="str">
        <f>IF(AA155=1,SUM($AA$2:AA155)-AA155+SUM($AB$2:AB155)-AB155+1,"")</f>
        <v/>
      </c>
      <c r="AD155" s="4" t="str">
        <f>IF(AB155=1,SUM($AA$2:AA155)+SUM($AB$2:AB155)-AB155+1,"")</f>
        <v/>
      </c>
      <c r="AE155" s="4" t="str">
        <f t="shared" si="14"/>
        <v/>
      </c>
      <c r="AF155" s="4" t="str">
        <f t="shared" si="15"/>
        <v/>
      </c>
      <c r="AG155" s="8">
        <f t="shared" si="16"/>
        <v>0</v>
      </c>
      <c r="AI155" s="8">
        <f t="shared" si="17"/>
        <v>0</v>
      </c>
    </row>
    <row r="156" spans="1:35" ht="15" customHeight="1" x14ac:dyDescent="0.25">
      <c r="A156" s="10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3"/>
      <c r="P156" s="3"/>
      <c r="Q156" s="8"/>
      <c r="R156" s="8"/>
      <c r="S156" s="8"/>
      <c r="T156" s="8"/>
      <c r="U156" s="8"/>
      <c r="V156" s="8"/>
      <c r="W156" t="str">
        <f>IF($C156="","",SUMPRODUCT(($C$2:C156=C156)+($D$2:D156=C156)))</f>
        <v/>
      </c>
      <c r="X156" t="str">
        <f>IF($D156="","",SUMPRODUCT(($C$2:C156=D156)+($D$2:D156=D156)))</f>
        <v/>
      </c>
      <c r="Y156" t="str">
        <f t="shared" si="12"/>
        <v/>
      </c>
      <c r="Z156" t="str">
        <f t="shared" si="13"/>
        <v/>
      </c>
      <c r="AA156" s="4" t="str">
        <f>IF($C156="","",IF(COUNTIF($C$1:C155,$C156)+COUNTIF($D$1:D155,$C156)=0,1,0))</f>
        <v/>
      </c>
      <c r="AB156" s="4" t="str">
        <f>IF($D156="","",IF(COUNTIF($C$1:C156,$D156)+COUNTIF($D$1:D155,$D156)=0,1,0))</f>
        <v/>
      </c>
      <c r="AC156" s="4" t="str">
        <f>IF(AA156=1,SUM($AA$2:AA156)-AA156+SUM($AB$2:AB156)-AB156+1,"")</f>
        <v/>
      </c>
      <c r="AD156" s="4" t="str">
        <f>IF(AB156=1,SUM($AA$2:AA156)+SUM($AB$2:AB156)-AB156+1,"")</f>
        <v/>
      </c>
      <c r="AE156" s="4" t="str">
        <f t="shared" si="14"/>
        <v/>
      </c>
      <c r="AF156" s="4" t="str">
        <f t="shared" si="15"/>
        <v/>
      </c>
      <c r="AG156" s="8">
        <f t="shared" si="16"/>
        <v>0</v>
      </c>
      <c r="AI156" s="8">
        <f t="shared" si="17"/>
        <v>0</v>
      </c>
    </row>
    <row r="157" spans="1:35" ht="15" customHeight="1" x14ac:dyDescent="0.25">
      <c r="A157" s="10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3"/>
      <c r="P157" s="3"/>
      <c r="Q157" s="8"/>
      <c r="R157" s="8"/>
      <c r="S157" s="8"/>
      <c r="T157" s="8"/>
      <c r="U157" s="8"/>
      <c r="V157" s="8"/>
      <c r="W157" t="str">
        <f>IF($C157="","",SUMPRODUCT(($C$2:C157=C157)+($D$2:D157=C157)))</f>
        <v/>
      </c>
      <c r="X157" t="str">
        <f>IF($D157="","",SUMPRODUCT(($C$2:C157=D157)+($D$2:D157=D157)))</f>
        <v/>
      </c>
      <c r="Y157" t="str">
        <f t="shared" si="12"/>
        <v/>
      </c>
      <c r="Z157" t="str">
        <f t="shared" si="13"/>
        <v/>
      </c>
      <c r="AA157" s="4" t="str">
        <f>IF($C157="","",IF(COUNTIF($C$1:C156,$C157)+COUNTIF($D$1:D156,$C157)=0,1,0))</f>
        <v/>
      </c>
      <c r="AB157" s="4" t="str">
        <f>IF($D157="","",IF(COUNTIF($C$1:C157,$D157)+COUNTIF($D$1:D156,$D157)=0,1,0))</f>
        <v/>
      </c>
      <c r="AC157" s="4" t="str">
        <f>IF(AA157=1,SUM($AA$2:AA157)-AA157+SUM($AB$2:AB157)-AB157+1,"")</f>
        <v/>
      </c>
      <c r="AD157" s="4" t="str">
        <f>IF(AB157=1,SUM($AA$2:AA157)+SUM($AB$2:AB157)-AB157+1,"")</f>
        <v/>
      </c>
      <c r="AE157" s="4" t="str">
        <f t="shared" si="14"/>
        <v/>
      </c>
      <c r="AF157" s="4" t="str">
        <f t="shared" si="15"/>
        <v/>
      </c>
      <c r="AG157" s="8">
        <f t="shared" si="16"/>
        <v>0</v>
      </c>
      <c r="AI157" s="8">
        <f t="shared" si="17"/>
        <v>0</v>
      </c>
    </row>
    <row r="158" spans="1:35" ht="15" customHeight="1" x14ac:dyDescent="0.25">
      <c r="A158" s="10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3"/>
      <c r="P158" s="3"/>
      <c r="Q158" s="8"/>
      <c r="R158" s="8"/>
      <c r="S158" s="8"/>
      <c r="T158" s="8"/>
      <c r="U158" s="8"/>
      <c r="V158" s="8"/>
      <c r="W158" t="str">
        <f>IF($C158="","",SUMPRODUCT(($C$2:C158=C158)+($D$2:D158=C158)))</f>
        <v/>
      </c>
      <c r="X158" t="str">
        <f>IF($D158="","",SUMPRODUCT(($C$2:C158=D158)+($D$2:D158=D158)))</f>
        <v/>
      </c>
      <c r="Y158" t="str">
        <f t="shared" si="12"/>
        <v/>
      </c>
      <c r="Z158" t="str">
        <f t="shared" si="13"/>
        <v/>
      </c>
      <c r="AA158" s="4" t="str">
        <f>IF($C158="","",IF(COUNTIF($C$1:C157,$C158)+COUNTIF($D$1:D157,$C158)=0,1,0))</f>
        <v/>
      </c>
      <c r="AB158" s="4" t="str">
        <f>IF($D158="","",IF(COUNTIF($C$1:C158,$D158)+COUNTIF($D$1:D157,$D158)=0,1,0))</f>
        <v/>
      </c>
      <c r="AC158" s="4" t="str">
        <f>IF(AA158=1,SUM($AA$2:AA158)-AA158+SUM($AB$2:AB158)-AB158+1,"")</f>
        <v/>
      </c>
      <c r="AD158" s="4" t="str">
        <f>IF(AB158=1,SUM($AA$2:AA158)+SUM($AB$2:AB158)-AB158+1,"")</f>
        <v/>
      </c>
      <c r="AE158" s="4" t="str">
        <f t="shared" si="14"/>
        <v/>
      </c>
      <c r="AF158" s="4" t="str">
        <f t="shared" si="15"/>
        <v/>
      </c>
      <c r="AG158" s="8">
        <f t="shared" si="16"/>
        <v>0</v>
      </c>
      <c r="AI158" s="8">
        <f t="shared" si="17"/>
        <v>0</v>
      </c>
    </row>
    <row r="159" spans="1:35" ht="15" customHeight="1" x14ac:dyDescent="0.25">
      <c r="A159" s="10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3"/>
      <c r="P159" s="3"/>
      <c r="Q159" s="8"/>
      <c r="R159" s="8"/>
      <c r="S159" s="8"/>
      <c r="T159" s="8"/>
      <c r="U159" s="8"/>
      <c r="V159" s="8"/>
      <c r="W159" t="str">
        <f>IF($C159="","",SUMPRODUCT(($C$2:C159=C159)+($D$2:D159=C159)))</f>
        <v/>
      </c>
      <c r="X159" t="str">
        <f>IF($D159="","",SUMPRODUCT(($C$2:C159=D159)+($D$2:D159=D159)))</f>
        <v/>
      </c>
      <c r="Y159" t="str">
        <f t="shared" si="12"/>
        <v/>
      </c>
      <c r="Z159" t="str">
        <f t="shared" si="13"/>
        <v/>
      </c>
      <c r="AA159" s="4" t="str">
        <f>IF($C159="","",IF(COUNTIF($C$1:C158,$C159)+COUNTIF($D$1:D158,$C159)=0,1,0))</f>
        <v/>
      </c>
      <c r="AB159" s="4" t="str">
        <f>IF($D159="","",IF(COUNTIF($C$1:C159,$D159)+COUNTIF($D$1:D158,$D159)=0,1,0))</f>
        <v/>
      </c>
      <c r="AC159" s="4" t="str">
        <f>IF(AA159=1,SUM($AA$2:AA159)-AA159+SUM($AB$2:AB159)-AB159+1,"")</f>
        <v/>
      </c>
      <c r="AD159" s="4" t="str">
        <f>IF(AB159=1,SUM($AA$2:AA159)+SUM($AB$2:AB159)-AB159+1,"")</f>
        <v/>
      </c>
      <c r="AE159" s="4" t="str">
        <f t="shared" si="14"/>
        <v/>
      </c>
      <c r="AF159" s="4" t="str">
        <f t="shared" si="15"/>
        <v/>
      </c>
      <c r="AG159" s="8">
        <f t="shared" si="16"/>
        <v>0</v>
      </c>
      <c r="AI159" s="8">
        <f t="shared" si="17"/>
        <v>0</v>
      </c>
    </row>
    <row r="160" spans="1:35" ht="15" customHeight="1" x14ac:dyDescent="0.25">
      <c r="A160" s="10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3"/>
      <c r="P160" s="3"/>
      <c r="Q160" s="8"/>
      <c r="R160" s="8"/>
      <c r="S160" s="8"/>
      <c r="T160" s="8"/>
      <c r="U160" s="8"/>
      <c r="V160" s="8"/>
      <c r="W160" t="str">
        <f>IF($C160="","",SUMPRODUCT(($C$2:C160=C160)+($D$2:D160=C160)))</f>
        <v/>
      </c>
      <c r="X160" t="str">
        <f>IF($D160="","",SUMPRODUCT(($C$2:C160=D160)+($D$2:D160=D160)))</f>
        <v/>
      </c>
      <c r="Y160" t="str">
        <f t="shared" si="12"/>
        <v/>
      </c>
      <c r="Z160" t="str">
        <f t="shared" si="13"/>
        <v/>
      </c>
      <c r="AA160" s="4" t="str">
        <f>IF($C160="","",IF(COUNTIF($C$1:C159,$C160)+COUNTIF($D$1:D159,$C160)=0,1,0))</f>
        <v/>
      </c>
      <c r="AB160" s="4" t="str">
        <f>IF($D160="","",IF(COUNTIF($C$1:C160,$D160)+COUNTIF($D$1:D159,$D160)=0,1,0))</f>
        <v/>
      </c>
      <c r="AC160" s="4" t="str">
        <f>IF(AA160=1,SUM($AA$2:AA160)-AA160+SUM($AB$2:AB160)-AB160+1,"")</f>
        <v/>
      </c>
      <c r="AD160" s="4" t="str">
        <f>IF(AB160=1,SUM($AA$2:AA160)+SUM($AB$2:AB160)-AB160+1,"")</f>
        <v/>
      </c>
      <c r="AE160" s="4" t="str">
        <f t="shared" si="14"/>
        <v/>
      </c>
      <c r="AF160" s="4" t="str">
        <f t="shared" si="15"/>
        <v/>
      </c>
      <c r="AG160" s="8">
        <f t="shared" si="16"/>
        <v>0</v>
      </c>
      <c r="AI160" s="8">
        <f t="shared" si="17"/>
        <v>0</v>
      </c>
    </row>
    <row r="161" spans="1:35" ht="15" customHeight="1" x14ac:dyDescent="0.25">
      <c r="A161" s="10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3"/>
      <c r="P161" s="3"/>
      <c r="Q161" s="8"/>
      <c r="R161" s="8"/>
      <c r="S161" s="8"/>
      <c r="T161" s="8"/>
      <c r="U161" s="8"/>
      <c r="V161" s="8"/>
      <c r="W161" t="str">
        <f>IF($C161="","",SUMPRODUCT(($C$2:C161=C161)+($D$2:D161=C161)))</f>
        <v/>
      </c>
      <c r="X161" t="str">
        <f>IF($D161="","",SUMPRODUCT(($C$2:C161=D161)+($D$2:D161=D161)))</f>
        <v/>
      </c>
      <c r="Y161" t="str">
        <f t="shared" si="12"/>
        <v/>
      </c>
      <c r="Z161" t="str">
        <f t="shared" si="13"/>
        <v/>
      </c>
      <c r="AA161" s="4" t="str">
        <f>IF($C161="","",IF(COUNTIF($C$1:C160,$C161)+COUNTIF($D$1:D160,$C161)=0,1,0))</f>
        <v/>
      </c>
      <c r="AB161" s="4" t="str">
        <f>IF($D161="","",IF(COUNTIF($C$1:C161,$D161)+COUNTIF($D$1:D160,$D161)=0,1,0))</f>
        <v/>
      </c>
      <c r="AC161" s="4" t="str">
        <f>IF(AA161=1,SUM($AA$2:AA161)-AA161+SUM($AB$2:AB161)-AB161+1,"")</f>
        <v/>
      </c>
      <c r="AD161" s="4" t="str">
        <f>IF(AB161=1,SUM($AA$2:AA161)+SUM($AB$2:AB161)-AB161+1,"")</f>
        <v/>
      </c>
      <c r="AE161" s="4" t="str">
        <f t="shared" si="14"/>
        <v/>
      </c>
      <c r="AF161" s="4" t="str">
        <f t="shared" si="15"/>
        <v/>
      </c>
      <c r="AG161" s="8">
        <f t="shared" si="16"/>
        <v>0</v>
      </c>
      <c r="AI161" s="8">
        <f t="shared" si="17"/>
        <v>0</v>
      </c>
    </row>
    <row r="162" spans="1:35" ht="15" customHeight="1" x14ac:dyDescent="0.25">
      <c r="A162" s="10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3"/>
      <c r="P162" s="3"/>
      <c r="Q162" s="8"/>
      <c r="R162" s="8"/>
      <c r="S162" s="8"/>
      <c r="T162" s="8"/>
      <c r="U162" s="8"/>
      <c r="V162" s="8"/>
      <c r="W162" t="str">
        <f>IF($C162="","",SUMPRODUCT(($C$2:C162=C162)+($D$2:D162=C162)))</f>
        <v/>
      </c>
      <c r="X162" t="str">
        <f>IF($D162="","",SUMPRODUCT(($C$2:C162=D162)+($D$2:D162=D162)))</f>
        <v/>
      </c>
      <c r="Y162" t="str">
        <f t="shared" si="12"/>
        <v/>
      </c>
      <c r="Z162" t="str">
        <f t="shared" si="13"/>
        <v/>
      </c>
      <c r="AA162" s="4" t="str">
        <f>IF($C162="","",IF(COUNTIF($C$1:C161,$C162)+COUNTIF($D$1:D161,$C162)=0,1,0))</f>
        <v/>
      </c>
      <c r="AB162" s="4" t="str">
        <f>IF($D162="","",IF(COUNTIF($C$1:C162,$D162)+COUNTIF($D$1:D161,$D162)=0,1,0))</f>
        <v/>
      </c>
      <c r="AC162" s="4" t="str">
        <f>IF(AA162=1,SUM($AA$2:AA162)-AA162+SUM($AB$2:AB162)-AB162+1,"")</f>
        <v/>
      </c>
      <c r="AD162" s="4" t="str">
        <f>IF(AB162=1,SUM($AA$2:AA162)+SUM($AB$2:AB162)-AB162+1,"")</f>
        <v/>
      </c>
      <c r="AE162" s="4" t="str">
        <f t="shared" si="14"/>
        <v/>
      </c>
      <c r="AF162" s="4" t="str">
        <f t="shared" si="15"/>
        <v/>
      </c>
      <c r="AG162" s="8">
        <f t="shared" si="16"/>
        <v>0</v>
      </c>
      <c r="AI162" s="8">
        <f t="shared" si="17"/>
        <v>0</v>
      </c>
    </row>
    <row r="163" spans="1:35" ht="15" customHeight="1" x14ac:dyDescent="0.25">
      <c r="A163" s="10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3"/>
      <c r="P163" s="3"/>
      <c r="Q163" s="8"/>
      <c r="R163" s="8"/>
      <c r="S163" s="8"/>
      <c r="T163" s="8"/>
      <c r="U163" s="8"/>
      <c r="V163" s="8"/>
      <c r="W163" t="str">
        <f>IF($C163="","",SUMPRODUCT(($C$2:C163=C163)+($D$2:D163=C163)))</f>
        <v/>
      </c>
      <c r="X163" t="str">
        <f>IF($D163="","",SUMPRODUCT(($C$2:C163=D163)+($D$2:D163=D163)))</f>
        <v/>
      </c>
      <c r="Y163" t="str">
        <f t="shared" si="12"/>
        <v/>
      </c>
      <c r="Z163" t="str">
        <f t="shared" si="13"/>
        <v/>
      </c>
      <c r="AA163" s="4" t="str">
        <f>IF($C163="","",IF(COUNTIF($C$1:C162,$C163)+COUNTIF($D$1:D162,$C163)=0,1,0))</f>
        <v/>
      </c>
      <c r="AB163" s="4" t="str">
        <f>IF($D163="","",IF(COUNTIF($C$1:C163,$D163)+COUNTIF($D$1:D162,$D163)=0,1,0))</f>
        <v/>
      </c>
      <c r="AC163" s="4" t="str">
        <f>IF(AA163=1,SUM($AA$2:AA163)-AA163+SUM($AB$2:AB163)-AB163+1,"")</f>
        <v/>
      </c>
      <c r="AD163" s="4" t="str">
        <f>IF(AB163=1,SUM($AA$2:AA163)+SUM($AB$2:AB163)-AB163+1,"")</f>
        <v/>
      </c>
      <c r="AE163" s="4" t="str">
        <f t="shared" si="14"/>
        <v/>
      </c>
      <c r="AF163" s="4" t="str">
        <f t="shared" si="15"/>
        <v/>
      </c>
      <c r="AG163" s="8">
        <f t="shared" si="16"/>
        <v>0</v>
      </c>
      <c r="AI163" s="8">
        <f t="shared" si="17"/>
        <v>0</v>
      </c>
    </row>
    <row r="164" spans="1:35" ht="15" customHeight="1" x14ac:dyDescent="0.25">
      <c r="A164" s="10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3"/>
      <c r="P164" s="3"/>
      <c r="Q164" s="8"/>
      <c r="R164" s="8"/>
      <c r="S164" s="8"/>
      <c r="T164" s="8"/>
      <c r="U164" s="8"/>
      <c r="V164" s="8"/>
      <c r="W164" t="str">
        <f>IF($C164="","",SUMPRODUCT(($C$2:C164=C164)+($D$2:D164=C164)))</f>
        <v/>
      </c>
      <c r="X164" t="str">
        <f>IF($D164="","",SUMPRODUCT(($C$2:C164=D164)+($D$2:D164=D164)))</f>
        <v/>
      </c>
      <c r="Y164" t="str">
        <f t="shared" si="12"/>
        <v/>
      </c>
      <c r="Z164" t="str">
        <f t="shared" si="13"/>
        <v/>
      </c>
      <c r="AA164" s="4" t="str">
        <f>IF($C164="","",IF(COUNTIF($C$1:C163,$C164)+COUNTIF($D$1:D163,$C164)=0,1,0))</f>
        <v/>
      </c>
      <c r="AB164" s="4" t="str">
        <f>IF($D164="","",IF(COUNTIF($C$1:C164,$D164)+COUNTIF($D$1:D163,$D164)=0,1,0))</f>
        <v/>
      </c>
      <c r="AC164" s="4" t="str">
        <f>IF(AA164=1,SUM($AA$2:AA164)-AA164+SUM($AB$2:AB164)-AB164+1,"")</f>
        <v/>
      </c>
      <c r="AD164" s="4" t="str">
        <f>IF(AB164=1,SUM($AA$2:AA164)+SUM($AB$2:AB164)-AB164+1,"")</f>
        <v/>
      </c>
      <c r="AE164" s="4" t="str">
        <f t="shared" si="14"/>
        <v/>
      </c>
      <c r="AF164" s="4" t="str">
        <f t="shared" si="15"/>
        <v/>
      </c>
      <c r="AG164" s="8">
        <f t="shared" si="16"/>
        <v>0</v>
      </c>
      <c r="AI164" s="8">
        <f t="shared" si="17"/>
        <v>0</v>
      </c>
    </row>
    <row r="165" spans="1:35" ht="15" customHeight="1" x14ac:dyDescent="0.25">
      <c r="A165" s="10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3"/>
      <c r="P165" s="3"/>
      <c r="Q165" s="8"/>
      <c r="R165" s="8"/>
      <c r="S165" s="8"/>
      <c r="T165" s="8"/>
      <c r="U165" s="8"/>
      <c r="V165" s="8"/>
      <c r="W165" t="str">
        <f>IF($C165="","",SUMPRODUCT(($C$2:C165=C165)+($D$2:D165=C165)))</f>
        <v/>
      </c>
      <c r="X165" t="str">
        <f>IF($D165="","",SUMPRODUCT(($C$2:C165=D165)+($D$2:D165=D165)))</f>
        <v/>
      </c>
      <c r="Y165" t="str">
        <f t="shared" si="12"/>
        <v/>
      </c>
      <c r="Z165" t="str">
        <f t="shared" si="13"/>
        <v/>
      </c>
      <c r="AA165" s="4" t="str">
        <f>IF($C165="","",IF(COUNTIF($C$1:C164,$C165)+COUNTIF($D$1:D164,$C165)=0,1,0))</f>
        <v/>
      </c>
      <c r="AB165" s="4" t="str">
        <f>IF($D165="","",IF(COUNTIF($C$1:C165,$D165)+COUNTIF($D$1:D164,$D165)=0,1,0))</f>
        <v/>
      </c>
      <c r="AC165" s="4" t="str">
        <f>IF(AA165=1,SUM($AA$2:AA165)-AA165+SUM($AB$2:AB165)-AB165+1,"")</f>
        <v/>
      </c>
      <c r="AD165" s="4" t="str">
        <f>IF(AB165=1,SUM($AA$2:AA165)+SUM($AB$2:AB165)-AB165+1,"")</f>
        <v/>
      </c>
      <c r="AE165" s="4" t="str">
        <f t="shared" si="14"/>
        <v/>
      </c>
      <c r="AF165" s="4" t="str">
        <f t="shared" si="15"/>
        <v/>
      </c>
      <c r="AG165" s="8">
        <f t="shared" si="16"/>
        <v>0</v>
      </c>
      <c r="AI165" s="8">
        <f t="shared" si="17"/>
        <v>0</v>
      </c>
    </row>
    <row r="166" spans="1:35" ht="15" customHeight="1" x14ac:dyDescent="0.25">
      <c r="A166" s="10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3"/>
      <c r="P166" s="3"/>
      <c r="Q166" s="8"/>
      <c r="R166" s="8"/>
      <c r="S166" s="8"/>
      <c r="T166" s="8"/>
      <c r="U166" s="8"/>
      <c r="V166" s="8"/>
      <c r="W166" t="str">
        <f>IF($C166="","",SUMPRODUCT(($C$2:C166=C166)+($D$2:D166=C166)))</f>
        <v/>
      </c>
      <c r="X166" t="str">
        <f>IF($D166="","",SUMPRODUCT(($C$2:C166=D166)+($D$2:D166=D166)))</f>
        <v/>
      </c>
      <c r="Y166" t="str">
        <f t="shared" si="12"/>
        <v/>
      </c>
      <c r="Z166" t="str">
        <f t="shared" si="13"/>
        <v/>
      </c>
      <c r="AA166" s="4" t="str">
        <f>IF($C166="","",IF(COUNTIF($C$1:C165,$C166)+COUNTIF($D$1:D165,$C166)=0,1,0))</f>
        <v/>
      </c>
      <c r="AB166" s="4" t="str">
        <f>IF($D166="","",IF(COUNTIF($C$1:C166,$D166)+COUNTIF($D$1:D165,$D166)=0,1,0))</f>
        <v/>
      </c>
      <c r="AC166" s="4" t="str">
        <f>IF(AA166=1,SUM($AA$2:AA166)-AA166+SUM($AB$2:AB166)-AB166+1,"")</f>
        <v/>
      </c>
      <c r="AD166" s="4" t="str">
        <f>IF(AB166=1,SUM($AA$2:AA166)+SUM($AB$2:AB166)-AB166+1,"")</f>
        <v/>
      </c>
      <c r="AE166" s="4" t="str">
        <f t="shared" si="14"/>
        <v/>
      </c>
      <c r="AF166" s="4" t="str">
        <f t="shared" si="15"/>
        <v/>
      </c>
      <c r="AG166" s="8">
        <f t="shared" si="16"/>
        <v>0</v>
      </c>
      <c r="AI166" s="8">
        <f t="shared" si="17"/>
        <v>0</v>
      </c>
    </row>
    <row r="167" spans="1:35" ht="15" customHeight="1" x14ac:dyDescent="0.25">
      <c r="A167" s="10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3"/>
      <c r="P167" s="3"/>
      <c r="Q167" s="8"/>
      <c r="R167" s="8"/>
      <c r="S167" s="8"/>
      <c r="T167" s="8"/>
      <c r="U167" s="8"/>
      <c r="V167" s="8"/>
      <c r="W167" t="str">
        <f>IF($C167="","",SUMPRODUCT(($C$2:C167=C167)+($D$2:D167=C167)))</f>
        <v/>
      </c>
      <c r="X167" t="str">
        <f>IF($D167="","",SUMPRODUCT(($C$2:C167=D167)+($D$2:D167=D167)))</f>
        <v/>
      </c>
      <c r="Y167" t="str">
        <f t="shared" si="12"/>
        <v/>
      </c>
      <c r="Z167" t="str">
        <f t="shared" si="13"/>
        <v/>
      </c>
      <c r="AA167" s="4" t="str">
        <f>IF($C167="","",IF(COUNTIF($C$1:C166,$C167)+COUNTIF($D$1:D166,$C167)=0,1,0))</f>
        <v/>
      </c>
      <c r="AB167" s="4" t="str">
        <f>IF($D167="","",IF(COUNTIF($C$1:C167,$D167)+COUNTIF($D$1:D166,$D167)=0,1,0))</f>
        <v/>
      </c>
      <c r="AC167" s="4" t="str">
        <f>IF(AA167=1,SUM($AA$2:AA167)-AA167+SUM($AB$2:AB167)-AB167+1,"")</f>
        <v/>
      </c>
      <c r="AD167" s="4" t="str">
        <f>IF(AB167=1,SUM($AA$2:AA167)+SUM($AB$2:AB167)-AB167+1,"")</f>
        <v/>
      </c>
      <c r="AE167" s="4" t="str">
        <f t="shared" si="14"/>
        <v/>
      </c>
      <c r="AF167" s="4" t="str">
        <f t="shared" si="15"/>
        <v/>
      </c>
      <c r="AG167" s="8">
        <f t="shared" si="16"/>
        <v>0</v>
      </c>
      <c r="AI167" s="8">
        <f t="shared" si="17"/>
        <v>0</v>
      </c>
    </row>
    <row r="168" spans="1:35" ht="15" customHeight="1" x14ac:dyDescent="0.25">
      <c r="A168" s="10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3"/>
      <c r="P168" s="3"/>
      <c r="Q168" s="8"/>
      <c r="R168" s="8"/>
      <c r="S168" s="8"/>
      <c r="T168" s="8"/>
      <c r="U168" s="8"/>
      <c r="V168" s="8"/>
      <c r="W168" t="str">
        <f>IF($C168="","",SUMPRODUCT(($C$2:C168=C168)+($D$2:D168=C168)))</f>
        <v/>
      </c>
      <c r="X168" t="str">
        <f>IF($D168="","",SUMPRODUCT(($C$2:C168=D168)+($D$2:D168=D168)))</f>
        <v/>
      </c>
      <c r="Y168" t="str">
        <f t="shared" si="12"/>
        <v/>
      </c>
      <c r="Z168" t="str">
        <f t="shared" si="13"/>
        <v/>
      </c>
      <c r="AA168" s="4" t="str">
        <f>IF($C168="","",IF(COUNTIF($C$1:C167,$C168)+COUNTIF($D$1:D167,$C168)=0,1,0))</f>
        <v/>
      </c>
      <c r="AB168" s="4" t="str">
        <f>IF($D168="","",IF(COUNTIF($C$1:C168,$D168)+COUNTIF($D$1:D167,$D168)=0,1,0))</f>
        <v/>
      </c>
      <c r="AC168" s="4" t="str">
        <f>IF(AA168=1,SUM($AA$2:AA168)-AA168+SUM($AB$2:AB168)-AB168+1,"")</f>
        <v/>
      </c>
      <c r="AD168" s="4" t="str">
        <f>IF(AB168=1,SUM($AA$2:AA168)+SUM($AB$2:AB168)-AB168+1,"")</f>
        <v/>
      </c>
      <c r="AE168" s="4" t="str">
        <f t="shared" si="14"/>
        <v/>
      </c>
      <c r="AF168" s="4" t="str">
        <f t="shared" si="15"/>
        <v/>
      </c>
      <c r="AG168" s="8">
        <f t="shared" si="16"/>
        <v>0</v>
      </c>
      <c r="AI168" s="8">
        <f t="shared" si="17"/>
        <v>0</v>
      </c>
    </row>
    <row r="169" spans="1:35" ht="15" customHeight="1" x14ac:dyDescent="0.25">
      <c r="A169" s="10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3"/>
      <c r="P169" s="3"/>
      <c r="Q169" s="8"/>
      <c r="R169" s="8"/>
      <c r="S169" s="8"/>
      <c r="T169" s="8"/>
      <c r="U169" s="8"/>
      <c r="V169" s="8"/>
      <c r="W169" t="str">
        <f>IF($C169="","",SUMPRODUCT(($C$2:C169=C169)+($D$2:D169=C169)))</f>
        <v/>
      </c>
      <c r="X169" t="str">
        <f>IF($D169="","",SUMPRODUCT(($C$2:C169=D169)+($D$2:D169=D169)))</f>
        <v/>
      </c>
      <c r="Y169" t="str">
        <f t="shared" si="12"/>
        <v/>
      </c>
      <c r="Z169" t="str">
        <f t="shared" si="13"/>
        <v/>
      </c>
      <c r="AA169" s="4" t="str">
        <f>IF($C169="","",IF(COUNTIF($C$1:C168,$C169)+COUNTIF($D$1:D168,$C169)=0,1,0))</f>
        <v/>
      </c>
      <c r="AB169" s="4" t="str">
        <f>IF($D169="","",IF(COUNTIF($C$1:C169,$D169)+COUNTIF($D$1:D168,$D169)=0,1,0))</f>
        <v/>
      </c>
      <c r="AC169" s="4" t="str">
        <f>IF(AA169=1,SUM($AA$2:AA169)-AA169+SUM($AB$2:AB169)-AB169+1,"")</f>
        <v/>
      </c>
      <c r="AD169" s="4" t="str">
        <f>IF(AB169=1,SUM($AA$2:AA169)+SUM($AB$2:AB169)-AB169+1,"")</f>
        <v/>
      </c>
      <c r="AE169" s="4" t="str">
        <f t="shared" si="14"/>
        <v/>
      </c>
      <c r="AF169" s="4" t="str">
        <f t="shared" si="15"/>
        <v/>
      </c>
      <c r="AG169" s="8">
        <f t="shared" si="16"/>
        <v>0</v>
      </c>
      <c r="AI169" s="8">
        <f t="shared" si="17"/>
        <v>0</v>
      </c>
    </row>
    <row r="170" spans="1:35" ht="15" customHeight="1" x14ac:dyDescent="0.25">
      <c r="A170" s="10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3"/>
      <c r="P170" s="3"/>
      <c r="Q170" s="8"/>
      <c r="R170" s="8"/>
      <c r="S170" s="8"/>
      <c r="T170" s="8"/>
      <c r="U170" s="8"/>
      <c r="V170" s="8"/>
      <c r="W170" t="str">
        <f>IF($C170="","",SUMPRODUCT(($C$2:C170=C170)+($D$2:D170=C170)))</f>
        <v/>
      </c>
      <c r="X170" t="str">
        <f>IF($D170="","",SUMPRODUCT(($C$2:C170=D170)+($D$2:D170=D170)))</f>
        <v/>
      </c>
      <c r="Y170" t="str">
        <f t="shared" si="12"/>
        <v/>
      </c>
      <c r="Z170" t="str">
        <f t="shared" si="13"/>
        <v/>
      </c>
      <c r="AA170" s="4" t="str">
        <f>IF($C170="","",IF(COUNTIF($C$1:C169,$C170)+COUNTIF($D$1:D169,$C170)=0,1,0))</f>
        <v/>
      </c>
      <c r="AB170" s="4" t="str">
        <f>IF($D170="","",IF(COUNTIF($C$1:C170,$D170)+COUNTIF($D$1:D169,$D170)=0,1,0))</f>
        <v/>
      </c>
      <c r="AC170" s="4" t="str">
        <f>IF(AA170=1,SUM($AA$2:AA170)-AA170+SUM($AB$2:AB170)-AB170+1,"")</f>
        <v/>
      </c>
      <c r="AD170" s="4" t="str">
        <f>IF(AB170=1,SUM($AA$2:AA170)+SUM($AB$2:AB170)-AB170+1,"")</f>
        <v/>
      </c>
      <c r="AE170" s="4" t="str">
        <f t="shared" si="14"/>
        <v/>
      </c>
      <c r="AF170" s="4" t="str">
        <f t="shared" si="15"/>
        <v/>
      </c>
      <c r="AG170" s="8">
        <f t="shared" si="16"/>
        <v>0</v>
      </c>
      <c r="AI170" s="8">
        <f t="shared" si="17"/>
        <v>0</v>
      </c>
    </row>
    <row r="171" spans="1:35" ht="15" customHeight="1" x14ac:dyDescent="0.25">
      <c r="A171" s="10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3"/>
      <c r="P171" s="3"/>
      <c r="Q171" s="8"/>
      <c r="R171" s="8"/>
      <c r="S171" s="8"/>
      <c r="T171" s="8"/>
      <c r="U171" s="8"/>
      <c r="V171" s="8"/>
      <c r="W171" t="str">
        <f>IF($C171="","",SUMPRODUCT(($C$2:C171=C171)+($D$2:D171=C171)))</f>
        <v/>
      </c>
      <c r="X171" t="str">
        <f>IF($D171="","",SUMPRODUCT(($C$2:C171=D171)+($D$2:D171=D171)))</f>
        <v/>
      </c>
      <c r="Y171" t="str">
        <f t="shared" si="12"/>
        <v/>
      </c>
      <c r="Z171" t="str">
        <f t="shared" si="13"/>
        <v/>
      </c>
      <c r="AA171" s="4" t="str">
        <f>IF($C171="","",IF(COUNTIF($C$1:C170,$C171)+COUNTIF($D$1:D170,$C171)=0,1,0))</f>
        <v/>
      </c>
      <c r="AB171" s="4" t="str">
        <f>IF($D171="","",IF(COUNTIF($C$1:C171,$D171)+COUNTIF($D$1:D170,$D171)=0,1,0))</f>
        <v/>
      </c>
      <c r="AC171" s="4" t="str">
        <f>IF(AA171=1,SUM($AA$2:AA171)-AA171+SUM($AB$2:AB171)-AB171+1,"")</f>
        <v/>
      </c>
      <c r="AD171" s="4" t="str">
        <f>IF(AB171=1,SUM($AA$2:AA171)+SUM($AB$2:AB171)-AB171+1,"")</f>
        <v/>
      </c>
      <c r="AE171" s="4" t="str">
        <f t="shared" si="14"/>
        <v/>
      </c>
      <c r="AF171" s="4" t="str">
        <f t="shared" si="15"/>
        <v/>
      </c>
      <c r="AG171" s="8">
        <f t="shared" si="16"/>
        <v>0</v>
      </c>
      <c r="AI171" s="8">
        <f t="shared" si="17"/>
        <v>0</v>
      </c>
    </row>
    <row r="172" spans="1:35" ht="15" customHeight="1" x14ac:dyDescent="0.25">
      <c r="A172" s="10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3"/>
      <c r="P172" s="3"/>
      <c r="Q172" s="8"/>
      <c r="R172" s="8"/>
      <c r="S172" s="8"/>
      <c r="T172" s="8"/>
      <c r="U172" s="8"/>
      <c r="V172" s="8"/>
      <c r="W172" t="str">
        <f>IF($C172="","",SUMPRODUCT(($C$2:C172=C172)+($D$2:D172=C172)))</f>
        <v/>
      </c>
      <c r="X172" t="str">
        <f>IF($D172="","",SUMPRODUCT(($C$2:C172=D172)+($D$2:D172=D172)))</f>
        <v/>
      </c>
      <c r="Y172" t="str">
        <f t="shared" si="12"/>
        <v/>
      </c>
      <c r="Z172" t="str">
        <f t="shared" si="13"/>
        <v/>
      </c>
      <c r="AA172" s="4" t="str">
        <f>IF($C172="","",IF(COUNTIF($C$1:C171,$C172)+COUNTIF($D$1:D171,$C172)=0,1,0))</f>
        <v/>
      </c>
      <c r="AB172" s="4" t="str">
        <f>IF($D172="","",IF(COUNTIF($C$1:C172,$D172)+COUNTIF($D$1:D171,$D172)=0,1,0))</f>
        <v/>
      </c>
      <c r="AC172" s="4" t="str">
        <f>IF(AA172=1,SUM($AA$2:AA172)-AA172+SUM($AB$2:AB172)-AB172+1,"")</f>
        <v/>
      </c>
      <c r="AD172" s="4" t="str">
        <f>IF(AB172=1,SUM($AA$2:AA172)+SUM($AB$2:AB172)-AB172+1,"")</f>
        <v/>
      </c>
      <c r="AE172" s="4" t="str">
        <f t="shared" si="14"/>
        <v/>
      </c>
      <c r="AF172" s="4" t="str">
        <f t="shared" si="15"/>
        <v/>
      </c>
      <c r="AG172" s="8">
        <f t="shared" si="16"/>
        <v>0</v>
      </c>
      <c r="AI172" s="8">
        <f t="shared" si="17"/>
        <v>0</v>
      </c>
    </row>
    <row r="173" spans="1:35" ht="15" customHeight="1" x14ac:dyDescent="0.25">
      <c r="A173" s="10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3"/>
      <c r="P173" s="3"/>
      <c r="Q173" s="8"/>
      <c r="R173" s="8"/>
      <c r="S173" s="8"/>
      <c r="T173" s="8"/>
      <c r="U173" s="8"/>
      <c r="V173" s="8"/>
      <c r="W173" t="str">
        <f>IF($C173="","",SUMPRODUCT(($C$2:C173=C173)+($D$2:D173=C173)))</f>
        <v/>
      </c>
      <c r="X173" t="str">
        <f>IF($D173="","",SUMPRODUCT(($C$2:C173=D173)+($D$2:D173=D173)))</f>
        <v/>
      </c>
      <c r="Y173" t="str">
        <f t="shared" si="12"/>
        <v/>
      </c>
      <c r="Z173" t="str">
        <f t="shared" si="13"/>
        <v/>
      </c>
      <c r="AA173" s="4" t="str">
        <f>IF($C173="","",IF(COUNTIF($C$1:C172,$C173)+COUNTIF($D$1:D172,$C173)=0,1,0))</f>
        <v/>
      </c>
      <c r="AB173" s="4" t="str">
        <f>IF($D173="","",IF(COUNTIF($C$1:C173,$D173)+COUNTIF($D$1:D172,$D173)=0,1,0))</f>
        <v/>
      </c>
      <c r="AC173" s="4" t="str">
        <f>IF(AA173=1,SUM($AA$2:AA173)-AA173+SUM($AB$2:AB173)-AB173+1,"")</f>
        <v/>
      </c>
      <c r="AD173" s="4" t="str">
        <f>IF(AB173=1,SUM($AA$2:AA173)+SUM($AB$2:AB173)-AB173+1,"")</f>
        <v/>
      </c>
      <c r="AE173" s="4" t="str">
        <f t="shared" si="14"/>
        <v/>
      </c>
      <c r="AF173" s="4" t="str">
        <f t="shared" si="15"/>
        <v/>
      </c>
      <c r="AG173" s="8">
        <f t="shared" si="16"/>
        <v>0</v>
      </c>
      <c r="AI173" s="8">
        <f t="shared" si="17"/>
        <v>0</v>
      </c>
    </row>
    <row r="174" spans="1:35" ht="15" customHeight="1" x14ac:dyDescent="0.25">
      <c r="A174" s="10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3"/>
      <c r="P174" s="3"/>
      <c r="Q174" s="8"/>
      <c r="R174" s="8"/>
      <c r="S174" s="8"/>
      <c r="T174" s="8"/>
      <c r="U174" s="8"/>
      <c r="V174" s="8"/>
      <c r="W174" t="str">
        <f>IF($C174="","",SUMPRODUCT(($C$2:C174=C174)+($D$2:D174=C174)))</f>
        <v/>
      </c>
      <c r="X174" t="str">
        <f>IF($D174="","",SUMPRODUCT(($C$2:C174=D174)+($D$2:D174=D174)))</f>
        <v/>
      </c>
      <c r="Y174" t="str">
        <f t="shared" si="12"/>
        <v/>
      </c>
      <c r="Z174" t="str">
        <f t="shared" si="13"/>
        <v/>
      </c>
      <c r="AA174" s="4" t="str">
        <f>IF($C174="","",IF(COUNTIF($C$1:C173,$C174)+COUNTIF($D$1:D173,$C174)=0,1,0))</f>
        <v/>
      </c>
      <c r="AB174" s="4" t="str">
        <f>IF($D174="","",IF(COUNTIF($C$1:C174,$D174)+COUNTIF($D$1:D173,$D174)=0,1,0))</f>
        <v/>
      </c>
      <c r="AC174" s="4" t="str">
        <f>IF(AA174=1,SUM($AA$2:AA174)-AA174+SUM($AB$2:AB174)-AB174+1,"")</f>
        <v/>
      </c>
      <c r="AD174" s="4" t="str">
        <f>IF(AB174=1,SUM($AA$2:AA174)+SUM($AB$2:AB174)-AB174+1,"")</f>
        <v/>
      </c>
      <c r="AE174" s="4" t="str">
        <f t="shared" si="14"/>
        <v/>
      </c>
      <c r="AF174" s="4" t="str">
        <f t="shared" si="15"/>
        <v/>
      </c>
      <c r="AG174" s="8">
        <f t="shared" si="16"/>
        <v>0</v>
      </c>
      <c r="AI174" s="8">
        <f t="shared" si="17"/>
        <v>0</v>
      </c>
    </row>
    <row r="175" spans="1:35" ht="15" customHeight="1" x14ac:dyDescent="0.25">
      <c r="A175" s="10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3"/>
      <c r="P175" s="3"/>
      <c r="Q175" s="8"/>
      <c r="R175" s="8"/>
      <c r="S175" s="8"/>
      <c r="T175" s="8"/>
      <c r="U175" s="8"/>
      <c r="V175" s="8"/>
      <c r="W175" t="str">
        <f>IF($C175="","",SUMPRODUCT(($C$2:C175=C175)+($D$2:D175=C175)))</f>
        <v/>
      </c>
      <c r="X175" t="str">
        <f>IF($D175="","",SUMPRODUCT(($C$2:C175=D175)+($D$2:D175=D175)))</f>
        <v/>
      </c>
      <c r="Y175" t="str">
        <f t="shared" si="12"/>
        <v/>
      </c>
      <c r="Z175" t="str">
        <f t="shared" si="13"/>
        <v/>
      </c>
      <c r="AA175" s="4" t="str">
        <f>IF($C175="","",IF(COUNTIF($C$1:C174,$C175)+COUNTIF($D$1:D174,$C175)=0,1,0))</f>
        <v/>
      </c>
      <c r="AB175" s="4" t="str">
        <f>IF($D175="","",IF(COUNTIF($C$1:C175,$D175)+COUNTIF($D$1:D174,$D175)=0,1,0))</f>
        <v/>
      </c>
      <c r="AC175" s="4" t="str">
        <f>IF(AA175=1,SUM($AA$2:AA175)-AA175+SUM($AB$2:AB175)-AB175+1,"")</f>
        <v/>
      </c>
      <c r="AD175" s="4" t="str">
        <f>IF(AB175=1,SUM($AA$2:AA175)+SUM($AB$2:AB175)-AB175+1,"")</f>
        <v/>
      </c>
      <c r="AE175" s="4" t="str">
        <f t="shared" si="14"/>
        <v/>
      </c>
      <c r="AF175" s="4" t="str">
        <f t="shared" si="15"/>
        <v/>
      </c>
      <c r="AG175" s="8">
        <f t="shared" si="16"/>
        <v>0</v>
      </c>
      <c r="AI175" s="8">
        <f t="shared" si="17"/>
        <v>0</v>
      </c>
    </row>
    <row r="176" spans="1:35" ht="15" customHeight="1" x14ac:dyDescent="0.25">
      <c r="A176" s="10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3"/>
      <c r="P176" s="3"/>
      <c r="Q176" s="8"/>
      <c r="R176" s="8"/>
      <c r="S176" s="8"/>
      <c r="T176" s="8"/>
      <c r="U176" s="8"/>
      <c r="V176" s="8"/>
      <c r="W176" t="str">
        <f>IF($C176="","",SUMPRODUCT(($C$2:C176=C176)+($D$2:D176=C176)))</f>
        <v/>
      </c>
      <c r="X176" t="str">
        <f>IF($D176="","",SUMPRODUCT(($C$2:C176=D176)+($D$2:D176=D176)))</f>
        <v/>
      </c>
      <c r="Y176" t="str">
        <f t="shared" si="12"/>
        <v/>
      </c>
      <c r="Z176" t="str">
        <f t="shared" si="13"/>
        <v/>
      </c>
      <c r="AA176" s="4" t="str">
        <f>IF($C176="","",IF(COUNTIF($C$1:C175,$C176)+COUNTIF($D$1:D175,$C176)=0,1,0))</f>
        <v/>
      </c>
      <c r="AB176" s="4" t="str">
        <f>IF($D176="","",IF(COUNTIF($C$1:C176,$D176)+COUNTIF($D$1:D175,$D176)=0,1,0))</f>
        <v/>
      </c>
      <c r="AC176" s="4" t="str">
        <f>IF(AA176=1,SUM($AA$2:AA176)-AA176+SUM($AB$2:AB176)-AB176+1,"")</f>
        <v/>
      </c>
      <c r="AD176" s="4" t="str">
        <f>IF(AB176=1,SUM($AA$2:AA176)+SUM($AB$2:AB176)-AB176+1,"")</f>
        <v/>
      </c>
      <c r="AE176" s="4" t="str">
        <f t="shared" si="14"/>
        <v/>
      </c>
      <c r="AF176" s="4" t="str">
        <f t="shared" si="15"/>
        <v/>
      </c>
      <c r="AG176" s="8">
        <f t="shared" si="16"/>
        <v>0</v>
      </c>
      <c r="AI176" s="8">
        <f t="shared" si="17"/>
        <v>0</v>
      </c>
    </row>
    <row r="177" spans="1:35" ht="15" customHeight="1" x14ac:dyDescent="0.25">
      <c r="A177" s="10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3"/>
      <c r="P177" s="3"/>
      <c r="Q177" s="8"/>
      <c r="R177" s="8"/>
      <c r="S177" s="8"/>
      <c r="T177" s="8"/>
      <c r="U177" s="8"/>
      <c r="V177" s="8"/>
      <c r="W177" t="str">
        <f>IF($C177="","",SUMPRODUCT(($C$2:C177=C177)+($D$2:D177=C177)))</f>
        <v/>
      </c>
      <c r="X177" t="str">
        <f>IF($D177="","",SUMPRODUCT(($C$2:C177=D177)+($D$2:D177=D177)))</f>
        <v/>
      </c>
      <c r="Y177" t="str">
        <f t="shared" si="12"/>
        <v/>
      </c>
      <c r="Z177" t="str">
        <f t="shared" si="13"/>
        <v/>
      </c>
      <c r="AA177" s="4" t="str">
        <f>IF($C177="","",IF(COUNTIF($C$1:C176,$C177)+COUNTIF($D$1:D176,$C177)=0,1,0))</f>
        <v/>
      </c>
      <c r="AB177" s="4" t="str">
        <f>IF($D177="","",IF(COUNTIF($C$1:C177,$D177)+COUNTIF($D$1:D176,$D177)=0,1,0))</f>
        <v/>
      </c>
      <c r="AC177" s="4" t="str">
        <f>IF(AA177=1,SUM($AA$2:AA177)-AA177+SUM($AB$2:AB177)-AB177+1,"")</f>
        <v/>
      </c>
      <c r="AD177" s="4" t="str">
        <f>IF(AB177=1,SUM($AA$2:AA177)+SUM($AB$2:AB177)-AB177+1,"")</f>
        <v/>
      </c>
      <c r="AE177" s="4" t="str">
        <f t="shared" si="14"/>
        <v/>
      </c>
      <c r="AF177" s="4" t="str">
        <f t="shared" si="15"/>
        <v/>
      </c>
      <c r="AG177" s="8">
        <f t="shared" si="16"/>
        <v>0</v>
      </c>
      <c r="AI177" s="8">
        <f t="shared" si="17"/>
        <v>0</v>
      </c>
    </row>
    <row r="178" spans="1:35" ht="15" customHeight="1" x14ac:dyDescent="0.25">
      <c r="A178" s="10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3"/>
      <c r="P178" s="3"/>
      <c r="Q178" s="8"/>
      <c r="R178" s="8"/>
      <c r="S178" s="8"/>
      <c r="T178" s="8"/>
      <c r="U178" s="8"/>
      <c r="V178" s="8"/>
      <c r="W178" t="str">
        <f>IF($C178="","",SUMPRODUCT(($C$2:C178=C178)+($D$2:D178=C178)))</f>
        <v/>
      </c>
      <c r="X178" t="str">
        <f>IF($D178="","",SUMPRODUCT(($C$2:C178=D178)+($D$2:D178=D178)))</f>
        <v/>
      </c>
      <c r="Y178" t="str">
        <f t="shared" si="12"/>
        <v/>
      </c>
      <c r="Z178" t="str">
        <f t="shared" si="13"/>
        <v/>
      </c>
      <c r="AA178" s="4" t="str">
        <f>IF($C178="","",IF(COUNTIF($C$1:C177,$C178)+COUNTIF($D$1:D177,$C178)=0,1,0))</f>
        <v/>
      </c>
      <c r="AB178" s="4" t="str">
        <f>IF($D178="","",IF(COUNTIF($C$1:C178,$D178)+COUNTIF($D$1:D177,$D178)=0,1,0))</f>
        <v/>
      </c>
      <c r="AC178" s="4" t="str">
        <f>IF(AA178=1,SUM($AA$2:AA178)-AA178+SUM($AB$2:AB178)-AB178+1,"")</f>
        <v/>
      </c>
      <c r="AD178" s="4" t="str">
        <f>IF(AB178=1,SUM($AA$2:AA178)+SUM($AB$2:AB178)-AB178+1,"")</f>
        <v/>
      </c>
      <c r="AE178" s="4" t="str">
        <f t="shared" si="14"/>
        <v/>
      </c>
      <c r="AF178" s="4" t="str">
        <f t="shared" si="15"/>
        <v/>
      </c>
      <c r="AG178" s="8">
        <f t="shared" si="16"/>
        <v>0</v>
      </c>
      <c r="AI178" s="8">
        <f t="shared" si="17"/>
        <v>0</v>
      </c>
    </row>
    <row r="179" spans="1:35" ht="15" customHeight="1" x14ac:dyDescent="0.25">
      <c r="A179" s="10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3"/>
      <c r="P179" s="3"/>
      <c r="Q179" s="8"/>
      <c r="R179" s="8"/>
      <c r="S179" s="8"/>
      <c r="T179" s="8"/>
      <c r="U179" s="8"/>
      <c r="V179" s="8"/>
      <c r="W179" t="str">
        <f>IF($C179="","",SUMPRODUCT(($C$2:C179=C179)+($D$2:D179=C179)))</f>
        <v/>
      </c>
      <c r="X179" t="str">
        <f>IF($D179="","",SUMPRODUCT(($C$2:C179=D179)+($D$2:D179=D179)))</f>
        <v/>
      </c>
      <c r="Y179" t="str">
        <f t="shared" si="12"/>
        <v/>
      </c>
      <c r="Z179" t="str">
        <f t="shared" si="13"/>
        <v/>
      </c>
      <c r="AA179" s="4" t="str">
        <f>IF($C179="","",IF(COUNTIF($C$1:C178,$C179)+COUNTIF($D$1:D178,$C179)=0,1,0))</f>
        <v/>
      </c>
      <c r="AB179" s="4" t="str">
        <f>IF($D179="","",IF(COUNTIF($C$1:C179,$D179)+COUNTIF($D$1:D178,$D179)=0,1,0))</f>
        <v/>
      </c>
      <c r="AC179" s="4" t="str">
        <f>IF(AA179=1,SUM($AA$2:AA179)-AA179+SUM($AB$2:AB179)-AB179+1,"")</f>
        <v/>
      </c>
      <c r="AD179" s="4" t="str">
        <f>IF(AB179=1,SUM($AA$2:AA179)+SUM($AB$2:AB179)-AB179+1,"")</f>
        <v/>
      </c>
      <c r="AE179" s="4" t="str">
        <f t="shared" si="14"/>
        <v/>
      </c>
      <c r="AF179" s="4" t="str">
        <f t="shared" si="15"/>
        <v/>
      </c>
      <c r="AG179" s="8">
        <f t="shared" si="16"/>
        <v>0</v>
      </c>
      <c r="AI179" s="8">
        <f t="shared" si="17"/>
        <v>0</v>
      </c>
    </row>
    <row r="180" spans="1:35" ht="15" customHeight="1" x14ac:dyDescent="0.25">
      <c r="A180" s="10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3"/>
      <c r="P180" s="3"/>
      <c r="Q180" s="8"/>
      <c r="R180" s="8"/>
      <c r="S180" s="8"/>
      <c r="T180" s="8"/>
      <c r="U180" s="8"/>
      <c r="V180" s="8"/>
      <c r="W180" t="str">
        <f>IF($C180="","",SUMPRODUCT(($C$2:C180=C180)+($D$2:D180=C180)))</f>
        <v/>
      </c>
      <c r="X180" t="str">
        <f>IF($D180="","",SUMPRODUCT(($C$2:C180=D180)+($D$2:D180=D180)))</f>
        <v/>
      </c>
      <c r="Y180" t="str">
        <f t="shared" si="12"/>
        <v/>
      </c>
      <c r="Z180" t="str">
        <f t="shared" si="13"/>
        <v/>
      </c>
      <c r="AA180" s="4" t="str">
        <f>IF($C180="","",IF(COUNTIF($C$1:C179,$C180)+COUNTIF($D$1:D179,$C180)=0,1,0))</f>
        <v/>
      </c>
      <c r="AB180" s="4" t="str">
        <f>IF($D180="","",IF(COUNTIF($C$1:C180,$D180)+COUNTIF($D$1:D179,$D180)=0,1,0))</f>
        <v/>
      </c>
      <c r="AC180" s="4" t="str">
        <f>IF(AA180=1,SUM($AA$2:AA180)-AA180+SUM($AB$2:AB180)-AB180+1,"")</f>
        <v/>
      </c>
      <c r="AD180" s="4" t="str">
        <f>IF(AB180=1,SUM($AA$2:AA180)+SUM($AB$2:AB180)-AB180+1,"")</f>
        <v/>
      </c>
      <c r="AE180" s="4" t="str">
        <f t="shared" si="14"/>
        <v/>
      </c>
      <c r="AF180" s="4" t="str">
        <f t="shared" si="15"/>
        <v/>
      </c>
      <c r="AG180" s="8">
        <f t="shared" si="16"/>
        <v>0</v>
      </c>
      <c r="AI180" s="8">
        <f t="shared" si="17"/>
        <v>0</v>
      </c>
    </row>
    <row r="181" spans="1:35" ht="15" customHeight="1" x14ac:dyDescent="0.25">
      <c r="A181" s="10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3"/>
      <c r="P181" s="3"/>
      <c r="Q181" s="8"/>
      <c r="R181" s="8"/>
      <c r="S181" s="8"/>
      <c r="T181" s="8"/>
      <c r="U181" s="8"/>
      <c r="V181" s="8"/>
      <c r="W181" t="str">
        <f>IF($C181="","",SUMPRODUCT(($C$2:C181=C181)+($D$2:D181=C181)))</f>
        <v/>
      </c>
      <c r="X181" t="str">
        <f>IF($D181="","",SUMPRODUCT(($C$2:C181=D181)+($D$2:D181=D181)))</f>
        <v/>
      </c>
      <c r="Y181" t="str">
        <f t="shared" si="12"/>
        <v/>
      </c>
      <c r="Z181" t="str">
        <f t="shared" si="13"/>
        <v/>
      </c>
      <c r="AA181" s="4" t="str">
        <f>IF($C181="","",IF(COUNTIF($C$1:C180,$C181)+COUNTIF($D$1:D180,$C181)=0,1,0))</f>
        <v/>
      </c>
      <c r="AB181" s="4" t="str">
        <f>IF($D181="","",IF(COUNTIF($C$1:C181,$D181)+COUNTIF($D$1:D180,$D181)=0,1,0))</f>
        <v/>
      </c>
      <c r="AC181" s="4" t="str">
        <f>IF(AA181=1,SUM($AA$2:AA181)-AA181+SUM($AB$2:AB181)-AB181+1,"")</f>
        <v/>
      </c>
      <c r="AD181" s="4" t="str">
        <f>IF(AB181=1,SUM($AA$2:AA181)+SUM($AB$2:AB181)-AB181+1,"")</f>
        <v/>
      </c>
      <c r="AE181" s="4" t="str">
        <f t="shared" si="14"/>
        <v/>
      </c>
      <c r="AF181" s="4" t="str">
        <f t="shared" si="15"/>
        <v/>
      </c>
      <c r="AG181" s="8">
        <f t="shared" si="16"/>
        <v>0</v>
      </c>
      <c r="AI181" s="8">
        <f t="shared" si="17"/>
        <v>0</v>
      </c>
    </row>
    <row r="182" spans="1:35" ht="15" customHeight="1" x14ac:dyDescent="0.25">
      <c r="A182" s="10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3"/>
      <c r="P182" s="3"/>
      <c r="Q182" s="8"/>
      <c r="R182" s="8"/>
      <c r="S182" s="8"/>
      <c r="T182" s="8"/>
      <c r="U182" s="8"/>
      <c r="V182" s="8"/>
      <c r="W182" t="str">
        <f>IF($C182="","",SUMPRODUCT(($C$2:C182=C182)+($D$2:D182=C182)))</f>
        <v/>
      </c>
      <c r="X182" t="str">
        <f>IF($D182="","",SUMPRODUCT(($C$2:C182=D182)+($D$2:D182=D182)))</f>
        <v/>
      </c>
      <c r="Y182" t="str">
        <f t="shared" si="12"/>
        <v/>
      </c>
      <c r="Z182" t="str">
        <f t="shared" si="13"/>
        <v/>
      </c>
      <c r="AA182" s="4" t="str">
        <f>IF($C182="","",IF(COUNTIF($C$1:C181,$C182)+COUNTIF($D$1:D181,$C182)=0,1,0))</f>
        <v/>
      </c>
      <c r="AB182" s="4" t="str">
        <f>IF($D182="","",IF(COUNTIF($C$1:C182,$D182)+COUNTIF($D$1:D181,$D182)=0,1,0))</f>
        <v/>
      </c>
      <c r="AC182" s="4" t="str">
        <f>IF(AA182=1,SUM($AA$2:AA182)-AA182+SUM($AB$2:AB182)-AB182+1,"")</f>
        <v/>
      </c>
      <c r="AD182" s="4" t="str">
        <f>IF(AB182=1,SUM($AA$2:AA182)+SUM($AB$2:AB182)-AB182+1,"")</f>
        <v/>
      </c>
      <c r="AE182" s="4" t="str">
        <f t="shared" si="14"/>
        <v/>
      </c>
      <c r="AF182" s="4" t="str">
        <f t="shared" si="15"/>
        <v/>
      </c>
      <c r="AG182" s="8">
        <f t="shared" si="16"/>
        <v>0</v>
      </c>
      <c r="AI182" s="8">
        <f t="shared" si="17"/>
        <v>0</v>
      </c>
    </row>
    <row r="183" spans="1:35" ht="15" customHeight="1" x14ac:dyDescent="0.25">
      <c r="A183" s="10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3"/>
      <c r="P183" s="3"/>
      <c r="Q183" s="8"/>
      <c r="R183" s="8"/>
      <c r="S183" s="8"/>
      <c r="T183" s="8"/>
      <c r="U183" s="8"/>
      <c r="V183" s="8"/>
      <c r="W183" t="str">
        <f>IF($C183="","",SUMPRODUCT(($C$2:C183=C183)+($D$2:D183=C183)))</f>
        <v/>
      </c>
      <c r="X183" t="str">
        <f>IF($D183="","",SUMPRODUCT(($C$2:C183=D183)+($D$2:D183=D183)))</f>
        <v/>
      </c>
      <c r="Y183" t="str">
        <f t="shared" si="12"/>
        <v/>
      </c>
      <c r="Z183" t="str">
        <f t="shared" si="13"/>
        <v/>
      </c>
      <c r="AA183" s="4" t="str">
        <f>IF($C183="","",IF(COUNTIF($C$1:C182,$C183)+COUNTIF($D$1:D182,$C183)=0,1,0))</f>
        <v/>
      </c>
      <c r="AB183" s="4" t="str">
        <f>IF($D183="","",IF(COUNTIF($C$1:C183,$D183)+COUNTIF($D$1:D182,$D183)=0,1,0))</f>
        <v/>
      </c>
      <c r="AC183" s="4" t="str">
        <f>IF(AA183=1,SUM($AA$2:AA183)-AA183+SUM($AB$2:AB183)-AB183+1,"")</f>
        <v/>
      </c>
      <c r="AD183" s="4" t="str">
        <f>IF(AB183=1,SUM($AA$2:AA183)+SUM($AB$2:AB183)-AB183+1,"")</f>
        <v/>
      </c>
      <c r="AE183" s="4" t="str">
        <f t="shared" si="14"/>
        <v/>
      </c>
      <c r="AF183" s="4" t="str">
        <f t="shared" si="15"/>
        <v/>
      </c>
      <c r="AG183" s="8">
        <f t="shared" si="16"/>
        <v>0</v>
      </c>
      <c r="AI183" s="8">
        <f t="shared" si="17"/>
        <v>0</v>
      </c>
    </row>
    <row r="184" spans="1:35" ht="15" customHeight="1" x14ac:dyDescent="0.25">
      <c r="A184" s="10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3"/>
      <c r="P184" s="3"/>
      <c r="Q184" s="8"/>
      <c r="R184" s="8"/>
      <c r="S184" s="8"/>
      <c r="T184" s="8"/>
      <c r="U184" s="8"/>
      <c r="V184" s="8"/>
      <c r="W184" t="str">
        <f>IF($C184="","",SUMPRODUCT(($C$2:C184=C184)+($D$2:D184=C184)))</f>
        <v/>
      </c>
      <c r="X184" t="str">
        <f>IF($D184="","",SUMPRODUCT(($C$2:C184=D184)+($D$2:D184=D184)))</f>
        <v/>
      </c>
      <c r="Y184" t="str">
        <f t="shared" si="12"/>
        <v/>
      </c>
      <c r="Z184" t="str">
        <f t="shared" si="13"/>
        <v/>
      </c>
      <c r="AA184" s="4" t="str">
        <f>IF($C184="","",IF(COUNTIF($C$1:C183,$C184)+COUNTIF($D$1:D183,$C184)=0,1,0))</f>
        <v/>
      </c>
      <c r="AB184" s="4" t="str">
        <f>IF($D184="","",IF(COUNTIF($C$1:C184,$D184)+COUNTIF($D$1:D183,$D184)=0,1,0))</f>
        <v/>
      </c>
      <c r="AC184" s="4" t="str">
        <f>IF(AA184=1,SUM($AA$2:AA184)-AA184+SUM($AB$2:AB184)-AB184+1,"")</f>
        <v/>
      </c>
      <c r="AD184" s="4" t="str">
        <f>IF(AB184=1,SUM($AA$2:AA184)+SUM($AB$2:AB184)-AB184+1,"")</f>
        <v/>
      </c>
      <c r="AE184" s="4" t="str">
        <f t="shared" si="14"/>
        <v/>
      </c>
      <c r="AF184" s="4" t="str">
        <f t="shared" si="15"/>
        <v/>
      </c>
      <c r="AG184" s="8">
        <f t="shared" si="16"/>
        <v>0</v>
      </c>
      <c r="AI184" s="8">
        <f t="shared" si="17"/>
        <v>0</v>
      </c>
    </row>
    <row r="185" spans="1:35" ht="15" customHeight="1" x14ac:dyDescent="0.25">
      <c r="A185" s="10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3"/>
      <c r="P185" s="3"/>
      <c r="Q185" s="8"/>
      <c r="R185" s="8"/>
      <c r="S185" s="8"/>
      <c r="T185" s="8"/>
      <c r="U185" s="8"/>
      <c r="V185" s="8"/>
      <c r="W185" t="str">
        <f>IF($C185="","",SUMPRODUCT(($C$2:C185=C185)+($D$2:D185=C185)))</f>
        <v/>
      </c>
      <c r="X185" t="str">
        <f>IF($D185="","",SUMPRODUCT(($C$2:C185=D185)+($D$2:D185=D185)))</f>
        <v/>
      </c>
      <c r="Y185" t="str">
        <f t="shared" si="12"/>
        <v/>
      </c>
      <c r="Z185" t="str">
        <f t="shared" si="13"/>
        <v/>
      </c>
      <c r="AA185" s="4" t="str">
        <f>IF($C185="","",IF(COUNTIF($C$1:C184,$C185)+COUNTIF($D$1:D184,$C185)=0,1,0))</f>
        <v/>
      </c>
      <c r="AB185" s="4" t="str">
        <f>IF($D185="","",IF(COUNTIF($C$1:C185,$D185)+COUNTIF($D$1:D184,$D185)=0,1,0))</f>
        <v/>
      </c>
      <c r="AC185" s="4" t="str">
        <f>IF(AA185=1,SUM($AA$2:AA185)-AA185+SUM($AB$2:AB185)-AB185+1,"")</f>
        <v/>
      </c>
      <c r="AD185" s="4" t="str">
        <f>IF(AB185=1,SUM($AA$2:AA185)+SUM($AB$2:AB185)-AB185+1,"")</f>
        <v/>
      </c>
      <c r="AE185" s="4" t="str">
        <f t="shared" si="14"/>
        <v/>
      </c>
      <c r="AF185" s="4" t="str">
        <f t="shared" si="15"/>
        <v/>
      </c>
      <c r="AG185" s="8">
        <f t="shared" si="16"/>
        <v>0</v>
      </c>
      <c r="AI185" s="8">
        <f t="shared" si="17"/>
        <v>0</v>
      </c>
    </row>
    <row r="186" spans="1:35" ht="15" customHeight="1" x14ac:dyDescent="0.25">
      <c r="A186" s="10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3"/>
      <c r="P186" s="3"/>
      <c r="Q186" s="8"/>
      <c r="R186" s="8"/>
      <c r="S186" s="8"/>
      <c r="T186" s="8"/>
      <c r="U186" s="8"/>
      <c r="V186" s="8"/>
      <c r="W186" t="str">
        <f>IF($C186="","",SUMPRODUCT(($C$2:C186=C186)+($D$2:D186=C186)))</f>
        <v/>
      </c>
      <c r="X186" t="str">
        <f>IF($D186="","",SUMPRODUCT(($C$2:C186=D186)+($D$2:D186=D186)))</f>
        <v/>
      </c>
      <c r="Y186" t="str">
        <f t="shared" si="12"/>
        <v/>
      </c>
      <c r="Z186" t="str">
        <f t="shared" si="13"/>
        <v/>
      </c>
      <c r="AA186" s="4" t="str">
        <f>IF($C186="","",IF(COUNTIF($C$1:C185,$C186)+COUNTIF($D$1:D185,$C186)=0,1,0))</f>
        <v/>
      </c>
      <c r="AB186" s="4" t="str">
        <f>IF($D186="","",IF(COUNTIF($C$1:C186,$D186)+COUNTIF($D$1:D185,$D186)=0,1,0))</f>
        <v/>
      </c>
      <c r="AC186" s="4" t="str">
        <f>IF(AA186=1,SUM($AA$2:AA186)-AA186+SUM($AB$2:AB186)-AB186+1,"")</f>
        <v/>
      </c>
      <c r="AD186" s="4" t="str">
        <f>IF(AB186=1,SUM($AA$2:AA186)+SUM($AB$2:AB186)-AB186+1,"")</f>
        <v/>
      </c>
      <c r="AE186" s="4" t="str">
        <f t="shared" si="14"/>
        <v/>
      </c>
      <c r="AF186" s="4" t="str">
        <f t="shared" si="15"/>
        <v/>
      </c>
      <c r="AG186" s="8">
        <f t="shared" si="16"/>
        <v>0</v>
      </c>
      <c r="AI186" s="8">
        <f t="shared" si="17"/>
        <v>0</v>
      </c>
    </row>
    <row r="187" spans="1:35" ht="15" customHeight="1" x14ac:dyDescent="0.25">
      <c r="A187" s="10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3"/>
      <c r="P187" s="3"/>
      <c r="Q187" s="8"/>
      <c r="R187" s="8"/>
      <c r="S187" s="8"/>
      <c r="T187" s="8"/>
      <c r="U187" s="8"/>
      <c r="V187" s="8"/>
      <c r="W187" t="str">
        <f>IF($C187="","",SUMPRODUCT(($C$2:C187=C187)+($D$2:D187=C187)))</f>
        <v/>
      </c>
      <c r="X187" t="str">
        <f>IF($D187="","",SUMPRODUCT(($C$2:C187=D187)+($D$2:D187=D187)))</f>
        <v/>
      </c>
      <c r="Y187" t="str">
        <f t="shared" si="12"/>
        <v/>
      </c>
      <c r="Z187" t="str">
        <f t="shared" si="13"/>
        <v/>
      </c>
      <c r="AA187" s="4" t="str">
        <f>IF($C187="","",IF(COUNTIF($C$1:C186,$C187)+COUNTIF($D$1:D186,$C187)=0,1,0))</f>
        <v/>
      </c>
      <c r="AB187" s="4" t="str">
        <f>IF($D187="","",IF(COUNTIF($C$1:C187,$D187)+COUNTIF($D$1:D186,$D187)=0,1,0))</f>
        <v/>
      </c>
      <c r="AC187" s="4" t="str">
        <f>IF(AA187=1,SUM($AA$2:AA187)-AA187+SUM($AB$2:AB187)-AB187+1,"")</f>
        <v/>
      </c>
      <c r="AD187" s="4" t="str">
        <f>IF(AB187=1,SUM($AA$2:AA187)+SUM($AB$2:AB187)-AB187+1,"")</f>
        <v/>
      </c>
      <c r="AE187" s="4" t="str">
        <f t="shared" si="14"/>
        <v/>
      </c>
      <c r="AF187" s="4" t="str">
        <f t="shared" si="15"/>
        <v/>
      </c>
      <c r="AG187" s="8">
        <f t="shared" si="16"/>
        <v>0</v>
      </c>
      <c r="AI187" s="8">
        <f t="shared" si="17"/>
        <v>0</v>
      </c>
    </row>
    <row r="188" spans="1:35" ht="15" customHeight="1" x14ac:dyDescent="0.25">
      <c r="A188" s="10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3"/>
      <c r="P188" s="3"/>
      <c r="Q188" s="8"/>
      <c r="R188" s="8"/>
      <c r="S188" s="8"/>
      <c r="T188" s="8"/>
      <c r="U188" s="8"/>
      <c r="V188" s="8"/>
      <c r="W188" t="str">
        <f>IF($C188="","",SUMPRODUCT(($C$2:C188=C188)+($D$2:D188=C188)))</f>
        <v/>
      </c>
      <c r="X188" t="str">
        <f>IF($D188="","",SUMPRODUCT(($C$2:C188=D188)+($D$2:D188=D188)))</f>
        <v/>
      </c>
      <c r="Y188" t="str">
        <f t="shared" si="12"/>
        <v/>
      </c>
      <c r="Z188" t="str">
        <f t="shared" si="13"/>
        <v/>
      </c>
      <c r="AA188" s="4" t="str">
        <f>IF($C188="","",IF(COUNTIF($C$1:C187,$C188)+COUNTIF($D$1:D187,$C188)=0,1,0))</f>
        <v/>
      </c>
      <c r="AB188" s="4" t="str">
        <f>IF($D188="","",IF(COUNTIF($C$1:C188,$D188)+COUNTIF($D$1:D187,$D188)=0,1,0))</f>
        <v/>
      </c>
      <c r="AC188" s="4" t="str">
        <f>IF(AA188=1,SUM($AA$2:AA188)-AA188+SUM($AB$2:AB188)-AB188+1,"")</f>
        <v/>
      </c>
      <c r="AD188" s="4" t="str">
        <f>IF(AB188=1,SUM($AA$2:AA188)+SUM($AB$2:AB188)-AB188+1,"")</f>
        <v/>
      </c>
      <c r="AE188" s="4" t="str">
        <f t="shared" si="14"/>
        <v/>
      </c>
      <c r="AF188" s="4" t="str">
        <f t="shared" si="15"/>
        <v/>
      </c>
      <c r="AG188" s="8">
        <f t="shared" si="16"/>
        <v>0</v>
      </c>
      <c r="AI188" s="8">
        <f t="shared" si="17"/>
        <v>0</v>
      </c>
    </row>
    <row r="189" spans="1:35" ht="15" customHeight="1" x14ac:dyDescent="0.25">
      <c r="A189" s="10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3"/>
      <c r="P189" s="3"/>
      <c r="Q189" s="8"/>
      <c r="R189" s="8"/>
      <c r="S189" s="8"/>
      <c r="T189" s="8"/>
      <c r="U189" s="8"/>
      <c r="V189" s="8"/>
      <c r="W189" t="str">
        <f>IF($C189="","",SUMPRODUCT(($C$2:C189=C189)+($D$2:D189=C189)))</f>
        <v/>
      </c>
      <c r="X189" t="str">
        <f>IF($D189="","",SUMPRODUCT(($C$2:C189=D189)+($D$2:D189=D189)))</f>
        <v/>
      </c>
      <c r="Y189" t="str">
        <f t="shared" si="12"/>
        <v/>
      </c>
      <c r="Z189" t="str">
        <f t="shared" si="13"/>
        <v/>
      </c>
      <c r="AA189" s="4" t="str">
        <f>IF($C189="","",IF(COUNTIF($C$1:C188,$C189)+COUNTIF($D$1:D188,$C189)=0,1,0))</f>
        <v/>
      </c>
      <c r="AB189" s="4" t="str">
        <f>IF($D189="","",IF(COUNTIF($C$1:C189,$D189)+COUNTIF($D$1:D188,$D189)=0,1,0))</f>
        <v/>
      </c>
      <c r="AC189" s="4" t="str">
        <f>IF(AA189=1,SUM($AA$2:AA189)-AA189+SUM($AB$2:AB189)-AB189+1,"")</f>
        <v/>
      </c>
      <c r="AD189" s="4" t="str">
        <f>IF(AB189=1,SUM($AA$2:AA189)+SUM($AB$2:AB189)-AB189+1,"")</f>
        <v/>
      </c>
      <c r="AE189" s="4" t="str">
        <f t="shared" si="14"/>
        <v/>
      </c>
      <c r="AF189" s="4" t="str">
        <f t="shared" si="15"/>
        <v/>
      </c>
      <c r="AG189" s="8">
        <f t="shared" si="16"/>
        <v>0</v>
      </c>
      <c r="AI189" s="8">
        <f t="shared" si="17"/>
        <v>0</v>
      </c>
    </row>
    <row r="190" spans="1:35" ht="15" customHeight="1" x14ac:dyDescent="0.25">
      <c r="A190" s="10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3"/>
      <c r="P190" s="3"/>
      <c r="Q190" s="8"/>
      <c r="R190" s="8"/>
      <c r="S190" s="8"/>
      <c r="T190" s="8"/>
      <c r="U190" s="8"/>
      <c r="V190" s="8"/>
      <c r="W190" t="str">
        <f>IF($C190="","",SUMPRODUCT(($C$2:C190=C190)+($D$2:D190=C190)))</f>
        <v/>
      </c>
      <c r="X190" t="str">
        <f>IF($D190="","",SUMPRODUCT(($C$2:C190=D190)+($D$2:D190=D190)))</f>
        <v/>
      </c>
      <c r="Y190" t="str">
        <f t="shared" si="12"/>
        <v/>
      </c>
      <c r="Z190" t="str">
        <f t="shared" si="13"/>
        <v/>
      </c>
      <c r="AA190" s="4" t="str">
        <f>IF($C190="","",IF(COUNTIF($C$1:C189,$C190)+COUNTIF($D$1:D189,$C190)=0,1,0))</f>
        <v/>
      </c>
      <c r="AB190" s="4" t="str">
        <f>IF($D190="","",IF(COUNTIF($C$1:C190,$D190)+COUNTIF($D$1:D189,$D190)=0,1,0))</f>
        <v/>
      </c>
      <c r="AC190" s="4" t="str">
        <f>IF(AA190=1,SUM($AA$2:AA190)-AA190+SUM($AB$2:AB190)-AB190+1,"")</f>
        <v/>
      </c>
      <c r="AD190" s="4" t="str">
        <f>IF(AB190=1,SUM($AA$2:AA190)+SUM($AB$2:AB190)-AB190+1,"")</f>
        <v/>
      </c>
      <c r="AE190" s="4" t="str">
        <f t="shared" si="14"/>
        <v/>
      </c>
      <c r="AF190" s="4" t="str">
        <f t="shared" si="15"/>
        <v/>
      </c>
      <c r="AG190" s="8">
        <f t="shared" si="16"/>
        <v>0</v>
      </c>
      <c r="AI190" s="8">
        <f t="shared" si="17"/>
        <v>0</v>
      </c>
    </row>
    <row r="191" spans="1:35" ht="15" customHeight="1" x14ac:dyDescent="0.25">
      <c r="A191" s="10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3"/>
      <c r="P191" s="3"/>
      <c r="Q191" s="8"/>
      <c r="R191" s="8"/>
      <c r="S191" s="8"/>
      <c r="T191" s="8"/>
      <c r="U191" s="8"/>
      <c r="V191" s="8"/>
      <c r="W191" t="str">
        <f>IF($C191="","",SUMPRODUCT(($C$2:C191=C191)+($D$2:D191=C191)))</f>
        <v/>
      </c>
      <c r="X191" t="str">
        <f>IF($D191="","",SUMPRODUCT(($C$2:C191=D191)+($D$2:D191=D191)))</f>
        <v/>
      </c>
      <c r="Y191" t="str">
        <f t="shared" si="12"/>
        <v/>
      </c>
      <c r="Z191" t="str">
        <f t="shared" si="13"/>
        <v/>
      </c>
      <c r="AA191" s="4" t="str">
        <f>IF($C191="","",IF(COUNTIF($C$1:C190,$C191)+COUNTIF($D$1:D190,$C191)=0,1,0))</f>
        <v/>
      </c>
      <c r="AB191" s="4" t="str">
        <f>IF($D191="","",IF(COUNTIF($C$1:C191,$D191)+COUNTIF($D$1:D190,$D191)=0,1,0))</f>
        <v/>
      </c>
      <c r="AC191" s="4" t="str">
        <f>IF(AA191=1,SUM($AA$2:AA191)-AA191+SUM($AB$2:AB191)-AB191+1,"")</f>
        <v/>
      </c>
      <c r="AD191" s="4" t="str">
        <f>IF(AB191=1,SUM($AA$2:AA191)+SUM($AB$2:AB191)-AB191+1,"")</f>
        <v/>
      </c>
      <c r="AE191" s="4" t="str">
        <f t="shared" si="14"/>
        <v/>
      </c>
      <c r="AF191" s="4" t="str">
        <f t="shared" si="15"/>
        <v/>
      </c>
      <c r="AG191" s="8">
        <f t="shared" si="16"/>
        <v>0</v>
      </c>
      <c r="AI191" s="8">
        <f t="shared" si="17"/>
        <v>0</v>
      </c>
    </row>
    <row r="192" spans="1:35" ht="15" customHeight="1" x14ac:dyDescent="0.25">
      <c r="A192" s="10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3"/>
      <c r="P192" s="3"/>
      <c r="Q192" s="8"/>
      <c r="R192" s="8"/>
      <c r="S192" s="8"/>
      <c r="T192" s="8"/>
      <c r="U192" s="8"/>
      <c r="V192" s="8"/>
      <c r="W192" t="str">
        <f>IF($C192="","",SUMPRODUCT(($C$2:C192=C192)+($D$2:D192=C192)))</f>
        <v/>
      </c>
      <c r="X192" t="str">
        <f>IF($D192="","",SUMPRODUCT(($C$2:C192=D192)+($D$2:D192=D192)))</f>
        <v/>
      </c>
      <c r="Y192" t="str">
        <f t="shared" si="12"/>
        <v/>
      </c>
      <c r="Z192" t="str">
        <f t="shared" si="13"/>
        <v/>
      </c>
      <c r="AA192" s="4" t="str">
        <f>IF($C192="","",IF(COUNTIF($C$1:C191,$C192)+COUNTIF($D$1:D191,$C192)=0,1,0))</f>
        <v/>
      </c>
      <c r="AB192" s="4" t="str">
        <f>IF($D192="","",IF(COUNTIF($C$1:C192,$D192)+COUNTIF($D$1:D191,$D192)=0,1,0))</f>
        <v/>
      </c>
      <c r="AC192" s="4" t="str">
        <f>IF(AA192=1,SUM($AA$2:AA192)-AA192+SUM($AB$2:AB192)-AB192+1,"")</f>
        <v/>
      </c>
      <c r="AD192" s="4" t="str">
        <f>IF(AB192=1,SUM($AA$2:AA192)+SUM($AB$2:AB192)-AB192+1,"")</f>
        <v/>
      </c>
      <c r="AE192" s="4" t="str">
        <f t="shared" si="14"/>
        <v/>
      </c>
      <c r="AF192" s="4" t="str">
        <f t="shared" si="15"/>
        <v/>
      </c>
      <c r="AG192" s="8">
        <f t="shared" si="16"/>
        <v>0</v>
      </c>
      <c r="AI192" s="8">
        <f t="shared" si="17"/>
        <v>0</v>
      </c>
    </row>
    <row r="193" spans="1:35" ht="15" customHeight="1" x14ac:dyDescent="0.25">
      <c r="A193" s="10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3"/>
      <c r="P193" s="3"/>
      <c r="Q193" s="8"/>
      <c r="R193" s="8"/>
      <c r="S193" s="8"/>
      <c r="T193" s="8"/>
      <c r="U193" s="8"/>
      <c r="V193" s="8"/>
      <c r="W193" t="str">
        <f>IF($C193="","",SUMPRODUCT(($C$2:C193=C193)+($D$2:D193=C193)))</f>
        <v/>
      </c>
      <c r="X193" t="str">
        <f>IF($D193="","",SUMPRODUCT(($C$2:C193=D193)+($D$2:D193=D193)))</f>
        <v/>
      </c>
      <c r="Y193" t="str">
        <f t="shared" si="12"/>
        <v/>
      </c>
      <c r="Z193" t="str">
        <f t="shared" si="13"/>
        <v/>
      </c>
      <c r="AA193" s="4" t="str">
        <f>IF($C193="","",IF(COUNTIF($C$1:C192,$C193)+COUNTIF($D$1:D192,$C193)=0,1,0))</f>
        <v/>
      </c>
      <c r="AB193" s="4" t="str">
        <f>IF($D193="","",IF(COUNTIF($C$1:C193,$D193)+COUNTIF($D$1:D192,$D193)=0,1,0))</f>
        <v/>
      </c>
      <c r="AC193" s="4" t="str">
        <f>IF(AA193=1,SUM($AA$2:AA193)-AA193+SUM($AB$2:AB193)-AB193+1,"")</f>
        <v/>
      </c>
      <c r="AD193" s="4" t="str">
        <f>IF(AB193=1,SUM($AA$2:AA193)+SUM($AB$2:AB193)-AB193+1,"")</f>
        <v/>
      </c>
      <c r="AE193" s="4" t="str">
        <f t="shared" si="14"/>
        <v/>
      </c>
      <c r="AF193" s="4" t="str">
        <f t="shared" si="15"/>
        <v/>
      </c>
      <c r="AG193" s="8">
        <f t="shared" si="16"/>
        <v>0</v>
      </c>
      <c r="AI193" s="8">
        <f t="shared" si="17"/>
        <v>0</v>
      </c>
    </row>
    <row r="194" spans="1:35" ht="15" customHeight="1" x14ac:dyDescent="0.25">
      <c r="A194" s="10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3"/>
      <c r="P194" s="3"/>
      <c r="Q194" s="8"/>
      <c r="R194" s="8"/>
      <c r="S194" s="8"/>
      <c r="T194" s="8"/>
      <c r="U194" s="8"/>
      <c r="V194" s="8"/>
      <c r="W194" t="str">
        <f>IF($C194="","",SUMPRODUCT(($C$2:C194=C194)+($D$2:D194=C194)))</f>
        <v/>
      </c>
      <c r="X194" t="str">
        <f>IF($D194="","",SUMPRODUCT(($C$2:C194=D194)+($D$2:D194=D194)))</f>
        <v/>
      </c>
      <c r="Y194" t="str">
        <f t="shared" ref="Y194:Y257" si="18">IF($C194="","",C194&amp;"|"&amp;W194)</f>
        <v/>
      </c>
      <c r="Z194" t="str">
        <f t="shared" ref="Z194:Z257" si="19">IF($D194="","",D194&amp;"|"&amp;X194)</f>
        <v/>
      </c>
      <c r="AA194" s="4" t="str">
        <f>IF($C194="","",IF(COUNTIF($C$1:C193,$C194)+COUNTIF($D$1:D193,$C194)=0,1,0))</f>
        <v/>
      </c>
      <c r="AB194" s="4" t="str">
        <f>IF($D194="","",IF(COUNTIF($C$1:C194,$D194)+COUNTIF($D$1:D193,$D194)=0,1,0))</f>
        <v/>
      </c>
      <c r="AC194" s="4" t="str">
        <f>IF(AA194=1,SUM($AA$2:AA194)-AA194+SUM($AB$2:AB194)-AB194+1,"")</f>
        <v/>
      </c>
      <c r="AD194" s="4" t="str">
        <f>IF(AB194=1,SUM($AA$2:AA194)+SUM($AB$2:AB194)-AB194+1,"")</f>
        <v/>
      </c>
      <c r="AE194" s="4" t="str">
        <f t="shared" ref="AE194:AE257" si="20">IF(AC194="","","TEAM|"&amp;AC194)</f>
        <v/>
      </c>
      <c r="AF194" s="4" t="str">
        <f t="shared" ref="AF194:AF257" si="21">IF(AD194="","","TEAM|"&amp;AD194)</f>
        <v/>
      </c>
      <c r="AG194" s="8">
        <f t="shared" ref="AG194:AG257" si="22">IF(AH194="",0,LEN(AH194)-LEN(SUBSTITUTE(AH194,"/",""))+1)</f>
        <v>0</v>
      </c>
      <c r="AI194" s="8">
        <f t="shared" ref="AI194:AI257" si="23">IF(AJ194="",0,LEN(AJ194)-LEN(SUBSTITUTE(AJ194,"/",""))+1)</f>
        <v>0</v>
      </c>
    </row>
    <row r="195" spans="1:35" ht="15" customHeight="1" x14ac:dyDescent="0.25">
      <c r="A195" s="10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3"/>
      <c r="P195" s="3"/>
      <c r="Q195" s="8"/>
      <c r="R195" s="8"/>
      <c r="S195" s="8"/>
      <c r="T195" s="8"/>
      <c r="U195" s="8"/>
      <c r="V195" s="8"/>
      <c r="W195" t="str">
        <f>IF($C195="","",SUMPRODUCT(($C$2:C195=C195)+($D$2:D195=C195)))</f>
        <v/>
      </c>
      <c r="X195" t="str">
        <f>IF($D195="","",SUMPRODUCT(($C$2:C195=D195)+($D$2:D195=D195)))</f>
        <v/>
      </c>
      <c r="Y195" t="str">
        <f t="shared" si="18"/>
        <v/>
      </c>
      <c r="Z195" t="str">
        <f t="shared" si="19"/>
        <v/>
      </c>
      <c r="AA195" s="4" t="str">
        <f>IF($C195="","",IF(COUNTIF($C$1:C194,$C195)+COUNTIF($D$1:D194,$C195)=0,1,0))</f>
        <v/>
      </c>
      <c r="AB195" s="4" t="str">
        <f>IF($D195="","",IF(COUNTIF($C$1:C195,$D195)+COUNTIF($D$1:D194,$D195)=0,1,0))</f>
        <v/>
      </c>
      <c r="AC195" s="4" t="str">
        <f>IF(AA195=1,SUM($AA$2:AA195)-AA195+SUM($AB$2:AB195)-AB195+1,"")</f>
        <v/>
      </c>
      <c r="AD195" s="4" t="str">
        <f>IF(AB195=1,SUM($AA$2:AA195)+SUM($AB$2:AB195)-AB195+1,"")</f>
        <v/>
      </c>
      <c r="AE195" s="4" t="str">
        <f t="shared" si="20"/>
        <v/>
      </c>
      <c r="AF195" s="4" t="str">
        <f t="shared" si="21"/>
        <v/>
      </c>
      <c r="AG195" s="8">
        <f t="shared" si="22"/>
        <v>0</v>
      </c>
      <c r="AI195" s="8">
        <f t="shared" si="23"/>
        <v>0</v>
      </c>
    </row>
    <row r="196" spans="1:35" ht="15" customHeight="1" x14ac:dyDescent="0.25">
      <c r="A196" s="10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3"/>
      <c r="P196" s="3"/>
      <c r="Q196" s="8"/>
      <c r="R196" s="8"/>
      <c r="S196" s="8"/>
      <c r="T196" s="8"/>
      <c r="U196" s="8"/>
      <c r="V196" s="8"/>
      <c r="W196" t="str">
        <f>IF($C196="","",SUMPRODUCT(($C$2:C196=C196)+($D$2:D196=C196)))</f>
        <v/>
      </c>
      <c r="X196" t="str">
        <f>IF($D196="","",SUMPRODUCT(($C$2:C196=D196)+($D$2:D196=D196)))</f>
        <v/>
      </c>
      <c r="Y196" t="str">
        <f t="shared" si="18"/>
        <v/>
      </c>
      <c r="Z196" t="str">
        <f t="shared" si="19"/>
        <v/>
      </c>
      <c r="AA196" s="4" t="str">
        <f>IF($C196="","",IF(COUNTIF($C$1:C195,$C196)+COUNTIF($D$1:D195,$C196)=0,1,0))</f>
        <v/>
      </c>
      <c r="AB196" s="4" t="str">
        <f>IF($D196="","",IF(COUNTIF($C$1:C196,$D196)+COUNTIF($D$1:D195,$D196)=0,1,0))</f>
        <v/>
      </c>
      <c r="AC196" s="4" t="str">
        <f>IF(AA196=1,SUM($AA$2:AA196)-AA196+SUM($AB$2:AB196)-AB196+1,"")</f>
        <v/>
      </c>
      <c r="AD196" s="4" t="str">
        <f>IF(AB196=1,SUM($AA$2:AA196)+SUM($AB$2:AB196)-AB196+1,"")</f>
        <v/>
      </c>
      <c r="AE196" s="4" t="str">
        <f t="shared" si="20"/>
        <v/>
      </c>
      <c r="AF196" s="4" t="str">
        <f t="shared" si="21"/>
        <v/>
      </c>
      <c r="AG196" s="8">
        <f t="shared" si="22"/>
        <v>0</v>
      </c>
      <c r="AI196" s="8">
        <f t="shared" si="23"/>
        <v>0</v>
      </c>
    </row>
    <row r="197" spans="1:35" ht="15" customHeight="1" x14ac:dyDescent="0.25">
      <c r="A197" s="10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3"/>
      <c r="P197" s="3"/>
      <c r="Q197" s="8"/>
      <c r="R197" s="8"/>
      <c r="S197" s="8"/>
      <c r="T197" s="8"/>
      <c r="U197" s="8"/>
      <c r="V197" s="8"/>
      <c r="W197" t="str">
        <f>IF($C197="","",SUMPRODUCT(($C$2:C197=C197)+($D$2:D197=C197)))</f>
        <v/>
      </c>
      <c r="X197" t="str">
        <f>IF($D197="","",SUMPRODUCT(($C$2:C197=D197)+($D$2:D197=D197)))</f>
        <v/>
      </c>
      <c r="Y197" t="str">
        <f t="shared" si="18"/>
        <v/>
      </c>
      <c r="Z197" t="str">
        <f t="shared" si="19"/>
        <v/>
      </c>
      <c r="AA197" s="4" t="str">
        <f>IF($C197="","",IF(COUNTIF($C$1:C196,$C197)+COUNTIF($D$1:D196,$C197)=0,1,0))</f>
        <v/>
      </c>
      <c r="AB197" s="4" t="str">
        <f>IF($D197="","",IF(COUNTIF($C$1:C197,$D197)+COUNTIF($D$1:D196,$D197)=0,1,0))</f>
        <v/>
      </c>
      <c r="AC197" s="4" t="str">
        <f>IF(AA197=1,SUM($AA$2:AA197)-AA197+SUM($AB$2:AB197)-AB197+1,"")</f>
        <v/>
      </c>
      <c r="AD197" s="4" t="str">
        <f>IF(AB197=1,SUM($AA$2:AA197)+SUM($AB$2:AB197)-AB197+1,"")</f>
        <v/>
      </c>
      <c r="AE197" s="4" t="str">
        <f t="shared" si="20"/>
        <v/>
      </c>
      <c r="AF197" s="4" t="str">
        <f t="shared" si="21"/>
        <v/>
      </c>
      <c r="AG197" s="8">
        <f t="shared" si="22"/>
        <v>0</v>
      </c>
      <c r="AI197" s="8">
        <f t="shared" si="23"/>
        <v>0</v>
      </c>
    </row>
    <row r="198" spans="1:35" ht="15" customHeight="1" x14ac:dyDescent="0.25">
      <c r="A198" s="10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3"/>
      <c r="P198" s="3"/>
      <c r="Q198" s="8"/>
      <c r="R198" s="8"/>
      <c r="S198" s="8"/>
      <c r="T198" s="8"/>
      <c r="U198" s="8"/>
      <c r="V198" s="8"/>
      <c r="W198" t="str">
        <f>IF($C198="","",SUMPRODUCT(($C$2:C198=C198)+($D$2:D198=C198)))</f>
        <v/>
      </c>
      <c r="X198" t="str">
        <f>IF($D198="","",SUMPRODUCT(($C$2:C198=D198)+($D$2:D198=D198)))</f>
        <v/>
      </c>
      <c r="Y198" t="str">
        <f t="shared" si="18"/>
        <v/>
      </c>
      <c r="Z198" t="str">
        <f t="shared" si="19"/>
        <v/>
      </c>
      <c r="AA198" s="4" t="str">
        <f>IF($C198="","",IF(COUNTIF($C$1:C197,$C198)+COUNTIF($D$1:D197,$C198)=0,1,0))</f>
        <v/>
      </c>
      <c r="AB198" s="4" t="str">
        <f>IF($D198="","",IF(COUNTIF($C$1:C198,$D198)+COUNTIF($D$1:D197,$D198)=0,1,0))</f>
        <v/>
      </c>
      <c r="AC198" s="4" t="str">
        <f>IF(AA198=1,SUM($AA$2:AA198)-AA198+SUM($AB$2:AB198)-AB198+1,"")</f>
        <v/>
      </c>
      <c r="AD198" s="4" t="str">
        <f>IF(AB198=1,SUM($AA$2:AA198)+SUM($AB$2:AB198)-AB198+1,"")</f>
        <v/>
      </c>
      <c r="AE198" s="4" t="str">
        <f t="shared" si="20"/>
        <v/>
      </c>
      <c r="AF198" s="4" t="str">
        <f t="shared" si="21"/>
        <v/>
      </c>
      <c r="AG198" s="8">
        <f t="shared" si="22"/>
        <v>0</v>
      </c>
      <c r="AI198" s="8">
        <f t="shared" si="23"/>
        <v>0</v>
      </c>
    </row>
    <row r="199" spans="1:35" ht="15" customHeight="1" x14ac:dyDescent="0.25">
      <c r="A199" s="10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3"/>
      <c r="P199" s="3"/>
      <c r="Q199" s="8"/>
      <c r="R199" s="8"/>
      <c r="S199" s="8"/>
      <c r="T199" s="8"/>
      <c r="U199" s="8"/>
      <c r="V199" s="8"/>
      <c r="W199" t="str">
        <f>IF($C199="","",SUMPRODUCT(($C$2:C199=C199)+($D$2:D199=C199)))</f>
        <v/>
      </c>
      <c r="X199" t="str">
        <f>IF($D199="","",SUMPRODUCT(($C$2:C199=D199)+($D$2:D199=D199)))</f>
        <v/>
      </c>
      <c r="Y199" t="str">
        <f t="shared" si="18"/>
        <v/>
      </c>
      <c r="Z199" t="str">
        <f t="shared" si="19"/>
        <v/>
      </c>
      <c r="AA199" s="4" t="str">
        <f>IF($C199="","",IF(COUNTIF($C$1:C198,$C199)+COUNTIF($D$1:D198,$C199)=0,1,0))</f>
        <v/>
      </c>
      <c r="AB199" s="4" t="str">
        <f>IF($D199="","",IF(COUNTIF($C$1:C199,$D199)+COUNTIF($D$1:D198,$D199)=0,1,0))</f>
        <v/>
      </c>
      <c r="AC199" s="4" t="str">
        <f>IF(AA199=1,SUM($AA$2:AA199)-AA199+SUM($AB$2:AB199)-AB199+1,"")</f>
        <v/>
      </c>
      <c r="AD199" s="4" t="str">
        <f>IF(AB199=1,SUM($AA$2:AA199)+SUM($AB$2:AB199)-AB199+1,"")</f>
        <v/>
      </c>
      <c r="AE199" s="4" t="str">
        <f t="shared" si="20"/>
        <v/>
      </c>
      <c r="AF199" s="4" t="str">
        <f t="shared" si="21"/>
        <v/>
      </c>
      <c r="AG199" s="8">
        <f t="shared" si="22"/>
        <v>0</v>
      </c>
      <c r="AI199" s="8">
        <f t="shared" si="23"/>
        <v>0</v>
      </c>
    </row>
    <row r="200" spans="1:35" ht="15" customHeight="1" x14ac:dyDescent="0.25">
      <c r="A200" s="10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3"/>
      <c r="P200" s="3"/>
      <c r="Q200" s="8"/>
      <c r="R200" s="8"/>
      <c r="S200" s="8"/>
      <c r="T200" s="8"/>
      <c r="U200" s="8"/>
      <c r="V200" s="8"/>
      <c r="W200" t="str">
        <f>IF($C200="","",SUMPRODUCT(($C$2:C200=C200)+($D$2:D200=C200)))</f>
        <v/>
      </c>
      <c r="X200" t="str">
        <f>IF($D200="","",SUMPRODUCT(($C$2:C200=D200)+($D$2:D200=D200)))</f>
        <v/>
      </c>
      <c r="Y200" t="str">
        <f t="shared" si="18"/>
        <v/>
      </c>
      <c r="Z200" t="str">
        <f t="shared" si="19"/>
        <v/>
      </c>
      <c r="AA200" s="4" t="str">
        <f>IF($C200="","",IF(COUNTIF($C$1:C199,$C200)+COUNTIF($D$1:D199,$C200)=0,1,0))</f>
        <v/>
      </c>
      <c r="AB200" s="4" t="str">
        <f>IF($D200="","",IF(COUNTIF($C$1:C200,$D200)+COUNTIF($D$1:D199,$D200)=0,1,0))</f>
        <v/>
      </c>
      <c r="AC200" s="4" t="str">
        <f>IF(AA200=1,SUM($AA$2:AA200)-AA200+SUM($AB$2:AB200)-AB200+1,"")</f>
        <v/>
      </c>
      <c r="AD200" s="4" t="str">
        <f>IF(AB200=1,SUM($AA$2:AA200)+SUM($AB$2:AB200)-AB200+1,"")</f>
        <v/>
      </c>
      <c r="AE200" s="4" t="str">
        <f t="shared" si="20"/>
        <v/>
      </c>
      <c r="AF200" s="4" t="str">
        <f t="shared" si="21"/>
        <v/>
      </c>
      <c r="AG200" s="8">
        <f t="shared" si="22"/>
        <v>0</v>
      </c>
      <c r="AI200" s="8">
        <f t="shared" si="23"/>
        <v>0</v>
      </c>
    </row>
    <row r="201" spans="1:35" ht="15" customHeight="1" x14ac:dyDescent="0.25">
      <c r="A201" s="10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3"/>
      <c r="P201" s="3"/>
      <c r="Q201" s="8"/>
      <c r="R201" s="8"/>
      <c r="S201" s="8"/>
      <c r="T201" s="8"/>
      <c r="U201" s="8"/>
      <c r="V201" s="8"/>
      <c r="W201" t="str">
        <f>IF($C201="","",SUMPRODUCT(($C$2:C201=C201)+($D$2:D201=C201)))</f>
        <v/>
      </c>
      <c r="X201" t="str">
        <f>IF($D201="","",SUMPRODUCT(($C$2:C201=D201)+($D$2:D201=D201)))</f>
        <v/>
      </c>
      <c r="Y201" t="str">
        <f t="shared" si="18"/>
        <v/>
      </c>
      <c r="Z201" t="str">
        <f t="shared" si="19"/>
        <v/>
      </c>
      <c r="AA201" s="4" t="str">
        <f>IF($C201="","",IF(COUNTIF($C$1:C200,$C201)+COUNTIF($D$1:D200,$C201)=0,1,0))</f>
        <v/>
      </c>
      <c r="AB201" s="4" t="str">
        <f>IF($D201="","",IF(COUNTIF($C$1:C201,$D201)+COUNTIF($D$1:D200,$D201)=0,1,0))</f>
        <v/>
      </c>
      <c r="AC201" s="4" t="str">
        <f>IF(AA201=1,SUM($AA$2:AA201)-AA201+SUM($AB$2:AB201)-AB201+1,"")</f>
        <v/>
      </c>
      <c r="AD201" s="4" t="str">
        <f>IF(AB201=1,SUM($AA$2:AA201)+SUM($AB$2:AB201)-AB201+1,"")</f>
        <v/>
      </c>
      <c r="AE201" s="4" t="str">
        <f t="shared" si="20"/>
        <v/>
      </c>
      <c r="AF201" s="4" t="str">
        <f t="shared" si="21"/>
        <v/>
      </c>
      <c r="AG201" s="8">
        <f t="shared" si="22"/>
        <v>0</v>
      </c>
      <c r="AI201" s="8">
        <f t="shared" si="23"/>
        <v>0</v>
      </c>
    </row>
    <row r="202" spans="1:35" ht="15" customHeight="1" x14ac:dyDescent="0.25">
      <c r="A202" s="10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3"/>
      <c r="P202" s="3"/>
      <c r="Q202" s="8"/>
      <c r="R202" s="8"/>
      <c r="S202" s="8"/>
      <c r="T202" s="8"/>
      <c r="U202" s="8"/>
      <c r="V202" s="8"/>
      <c r="W202" t="str">
        <f>IF($C202="","",SUMPRODUCT(($C$2:C202=C202)+($D$2:D202=C202)))</f>
        <v/>
      </c>
      <c r="X202" t="str">
        <f>IF($D202="","",SUMPRODUCT(($C$2:C202=D202)+($D$2:D202=D202)))</f>
        <v/>
      </c>
      <c r="Y202" t="str">
        <f t="shared" si="18"/>
        <v/>
      </c>
      <c r="Z202" t="str">
        <f t="shared" si="19"/>
        <v/>
      </c>
      <c r="AA202" s="4" t="str">
        <f>IF($C202="","",IF(COUNTIF($C$1:C201,$C202)+COUNTIF($D$1:D201,$C202)=0,1,0))</f>
        <v/>
      </c>
      <c r="AB202" s="4" t="str">
        <f>IF($D202="","",IF(COUNTIF($C$1:C202,$D202)+COUNTIF($D$1:D201,$D202)=0,1,0))</f>
        <v/>
      </c>
      <c r="AC202" s="4" t="str">
        <f>IF(AA202=1,SUM($AA$2:AA202)-AA202+SUM($AB$2:AB202)-AB202+1,"")</f>
        <v/>
      </c>
      <c r="AD202" s="4" t="str">
        <f>IF(AB202=1,SUM($AA$2:AA202)+SUM($AB$2:AB202)-AB202+1,"")</f>
        <v/>
      </c>
      <c r="AE202" s="4" t="str">
        <f t="shared" si="20"/>
        <v/>
      </c>
      <c r="AF202" s="4" t="str">
        <f t="shared" si="21"/>
        <v/>
      </c>
      <c r="AG202" s="8">
        <f t="shared" si="22"/>
        <v>0</v>
      </c>
      <c r="AI202" s="8">
        <f t="shared" si="23"/>
        <v>0</v>
      </c>
    </row>
    <row r="203" spans="1:35" ht="15" customHeight="1" x14ac:dyDescent="0.25">
      <c r="A203" s="10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3"/>
      <c r="P203" s="3"/>
      <c r="Q203" s="8"/>
      <c r="R203" s="8"/>
      <c r="S203" s="8"/>
      <c r="T203" s="8"/>
      <c r="U203" s="8"/>
      <c r="V203" s="8"/>
      <c r="W203" t="str">
        <f>IF($C203="","",SUMPRODUCT(($C$2:C203=C203)+($D$2:D203=C203)))</f>
        <v/>
      </c>
      <c r="X203" t="str">
        <f>IF($D203="","",SUMPRODUCT(($C$2:C203=D203)+($D$2:D203=D203)))</f>
        <v/>
      </c>
      <c r="Y203" t="str">
        <f t="shared" si="18"/>
        <v/>
      </c>
      <c r="Z203" t="str">
        <f t="shared" si="19"/>
        <v/>
      </c>
      <c r="AA203" s="4" t="str">
        <f>IF($C203="","",IF(COUNTIF($C$1:C202,$C203)+COUNTIF($D$1:D202,$C203)=0,1,0))</f>
        <v/>
      </c>
      <c r="AB203" s="4" t="str">
        <f>IF($D203="","",IF(COUNTIF($C$1:C203,$D203)+COUNTIF($D$1:D202,$D203)=0,1,0))</f>
        <v/>
      </c>
      <c r="AC203" s="4" t="str">
        <f>IF(AA203=1,SUM($AA$2:AA203)-AA203+SUM($AB$2:AB203)-AB203+1,"")</f>
        <v/>
      </c>
      <c r="AD203" s="4" t="str">
        <f>IF(AB203=1,SUM($AA$2:AA203)+SUM($AB$2:AB203)-AB203+1,"")</f>
        <v/>
      </c>
      <c r="AE203" s="4" t="str">
        <f t="shared" si="20"/>
        <v/>
      </c>
      <c r="AF203" s="4" t="str">
        <f t="shared" si="21"/>
        <v/>
      </c>
      <c r="AG203" s="8">
        <f t="shared" si="22"/>
        <v>0</v>
      </c>
      <c r="AI203" s="8">
        <f t="shared" si="23"/>
        <v>0</v>
      </c>
    </row>
    <row r="204" spans="1:35" ht="15" customHeight="1" x14ac:dyDescent="0.25">
      <c r="A204" s="10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3"/>
      <c r="P204" s="3"/>
      <c r="Q204" s="8"/>
      <c r="R204" s="8"/>
      <c r="S204" s="8"/>
      <c r="T204" s="8"/>
      <c r="U204" s="8"/>
      <c r="V204" s="8"/>
      <c r="W204" t="str">
        <f>IF($C204="","",SUMPRODUCT(($C$2:C204=C204)+($D$2:D204=C204)))</f>
        <v/>
      </c>
      <c r="X204" t="str">
        <f>IF($D204="","",SUMPRODUCT(($C$2:C204=D204)+($D$2:D204=D204)))</f>
        <v/>
      </c>
      <c r="Y204" t="str">
        <f t="shared" si="18"/>
        <v/>
      </c>
      <c r="Z204" t="str">
        <f t="shared" si="19"/>
        <v/>
      </c>
      <c r="AA204" s="4" t="str">
        <f>IF($C204="","",IF(COUNTIF($C$1:C203,$C204)+COUNTIF($D$1:D203,$C204)=0,1,0))</f>
        <v/>
      </c>
      <c r="AB204" s="4" t="str">
        <f>IF($D204="","",IF(COUNTIF($C$1:C204,$D204)+COUNTIF($D$1:D203,$D204)=0,1,0))</f>
        <v/>
      </c>
      <c r="AC204" s="4" t="str">
        <f>IF(AA204=1,SUM($AA$2:AA204)-AA204+SUM($AB$2:AB204)-AB204+1,"")</f>
        <v/>
      </c>
      <c r="AD204" s="4" t="str">
        <f>IF(AB204=1,SUM($AA$2:AA204)+SUM($AB$2:AB204)-AB204+1,"")</f>
        <v/>
      </c>
      <c r="AE204" s="4" t="str">
        <f t="shared" si="20"/>
        <v/>
      </c>
      <c r="AF204" s="4" t="str">
        <f t="shared" si="21"/>
        <v/>
      </c>
      <c r="AG204" s="8">
        <f t="shared" si="22"/>
        <v>0</v>
      </c>
      <c r="AI204" s="8">
        <f t="shared" si="23"/>
        <v>0</v>
      </c>
    </row>
    <row r="205" spans="1:35" ht="15" customHeight="1" x14ac:dyDescent="0.25">
      <c r="A205" s="10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3"/>
      <c r="P205" s="3"/>
      <c r="Q205" s="8"/>
      <c r="R205" s="8"/>
      <c r="S205" s="8"/>
      <c r="T205" s="8"/>
      <c r="U205" s="8"/>
      <c r="V205" s="8"/>
      <c r="W205" t="str">
        <f>IF($C205="","",SUMPRODUCT(($C$2:C205=C205)+($D$2:D205=C205)))</f>
        <v/>
      </c>
      <c r="X205" t="str">
        <f>IF($D205="","",SUMPRODUCT(($C$2:C205=D205)+($D$2:D205=D205)))</f>
        <v/>
      </c>
      <c r="Y205" t="str">
        <f t="shared" si="18"/>
        <v/>
      </c>
      <c r="Z205" t="str">
        <f t="shared" si="19"/>
        <v/>
      </c>
      <c r="AA205" s="4" t="str">
        <f>IF($C205="","",IF(COUNTIF($C$1:C204,$C205)+COUNTIF($D$1:D204,$C205)=0,1,0))</f>
        <v/>
      </c>
      <c r="AB205" s="4" t="str">
        <f>IF($D205="","",IF(COUNTIF($C$1:C205,$D205)+COUNTIF($D$1:D204,$D205)=0,1,0))</f>
        <v/>
      </c>
      <c r="AC205" s="4" t="str">
        <f>IF(AA205=1,SUM($AA$2:AA205)-AA205+SUM($AB$2:AB205)-AB205+1,"")</f>
        <v/>
      </c>
      <c r="AD205" s="4" t="str">
        <f>IF(AB205=1,SUM($AA$2:AA205)+SUM($AB$2:AB205)-AB205+1,"")</f>
        <v/>
      </c>
      <c r="AE205" s="4" t="str">
        <f t="shared" si="20"/>
        <v/>
      </c>
      <c r="AF205" s="4" t="str">
        <f t="shared" si="21"/>
        <v/>
      </c>
      <c r="AG205" s="8">
        <f t="shared" si="22"/>
        <v>0</v>
      </c>
      <c r="AI205" s="8">
        <f t="shared" si="23"/>
        <v>0</v>
      </c>
    </row>
    <row r="206" spans="1:35" ht="15" customHeight="1" x14ac:dyDescent="0.25">
      <c r="A206" s="10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3"/>
      <c r="P206" s="3"/>
      <c r="Q206" s="8"/>
      <c r="R206" s="8"/>
      <c r="S206" s="8"/>
      <c r="T206" s="8"/>
      <c r="U206" s="8"/>
      <c r="V206" s="8"/>
      <c r="W206" t="str">
        <f>IF($C206="","",SUMPRODUCT(($C$2:C206=C206)+($D$2:D206=C206)))</f>
        <v/>
      </c>
      <c r="X206" t="str">
        <f>IF($D206="","",SUMPRODUCT(($C$2:C206=D206)+($D$2:D206=D206)))</f>
        <v/>
      </c>
      <c r="Y206" t="str">
        <f t="shared" si="18"/>
        <v/>
      </c>
      <c r="Z206" t="str">
        <f t="shared" si="19"/>
        <v/>
      </c>
      <c r="AA206" s="4" t="str">
        <f>IF($C206="","",IF(COUNTIF($C$1:C205,$C206)+COUNTIF($D$1:D205,$C206)=0,1,0))</f>
        <v/>
      </c>
      <c r="AB206" s="4" t="str">
        <f>IF($D206="","",IF(COUNTIF($C$1:C206,$D206)+COUNTIF($D$1:D205,$D206)=0,1,0))</f>
        <v/>
      </c>
      <c r="AC206" s="4" t="str">
        <f>IF(AA206=1,SUM($AA$2:AA206)-AA206+SUM($AB$2:AB206)-AB206+1,"")</f>
        <v/>
      </c>
      <c r="AD206" s="4" t="str">
        <f>IF(AB206=1,SUM($AA$2:AA206)+SUM($AB$2:AB206)-AB206+1,"")</f>
        <v/>
      </c>
      <c r="AE206" s="4" t="str">
        <f t="shared" si="20"/>
        <v/>
      </c>
      <c r="AF206" s="4" t="str">
        <f t="shared" si="21"/>
        <v/>
      </c>
      <c r="AG206" s="8">
        <f t="shared" si="22"/>
        <v>0</v>
      </c>
      <c r="AI206" s="8">
        <f t="shared" si="23"/>
        <v>0</v>
      </c>
    </row>
    <row r="207" spans="1:35" ht="15" customHeight="1" x14ac:dyDescent="0.25">
      <c r="A207" s="10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3"/>
      <c r="P207" s="3"/>
      <c r="Q207" s="8"/>
      <c r="R207" s="8"/>
      <c r="S207" s="8"/>
      <c r="T207" s="8"/>
      <c r="U207" s="8"/>
      <c r="V207" s="8"/>
      <c r="W207" t="str">
        <f>IF($C207="","",SUMPRODUCT(($C$2:C207=C207)+($D$2:D207=C207)))</f>
        <v/>
      </c>
      <c r="X207" t="str">
        <f>IF($D207="","",SUMPRODUCT(($C$2:C207=D207)+($D$2:D207=D207)))</f>
        <v/>
      </c>
      <c r="Y207" t="str">
        <f t="shared" si="18"/>
        <v/>
      </c>
      <c r="Z207" t="str">
        <f t="shared" si="19"/>
        <v/>
      </c>
      <c r="AA207" s="4" t="str">
        <f>IF($C207="","",IF(COUNTIF($C$1:C206,$C207)+COUNTIF($D$1:D206,$C207)=0,1,0))</f>
        <v/>
      </c>
      <c r="AB207" s="4" t="str">
        <f>IF($D207="","",IF(COUNTIF($C$1:C207,$D207)+COUNTIF($D$1:D206,$D207)=0,1,0))</f>
        <v/>
      </c>
      <c r="AC207" s="4" t="str">
        <f>IF(AA207=1,SUM($AA$2:AA207)-AA207+SUM($AB$2:AB207)-AB207+1,"")</f>
        <v/>
      </c>
      <c r="AD207" s="4" t="str">
        <f>IF(AB207=1,SUM($AA$2:AA207)+SUM($AB$2:AB207)-AB207+1,"")</f>
        <v/>
      </c>
      <c r="AE207" s="4" t="str">
        <f t="shared" si="20"/>
        <v/>
      </c>
      <c r="AF207" s="4" t="str">
        <f t="shared" si="21"/>
        <v/>
      </c>
      <c r="AG207" s="8">
        <f t="shared" si="22"/>
        <v>0</v>
      </c>
      <c r="AI207" s="8">
        <f t="shared" si="23"/>
        <v>0</v>
      </c>
    </row>
    <row r="208" spans="1:35" ht="15" customHeight="1" x14ac:dyDescent="0.25">
      <c r="A208" s="10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3"/>
      <c r="P208" s="3"/>
      <c r="Q208" s="8"/>
      <c r="R208" s="8"/>
      <c r="S208" s="8"/>
      <c r="T208" s="8"/>
      <c r="U208" s="8"/>
      <c r="V208" s="8"/>
      <c r="W208" t="str">
        <f>IF($C208="","",SUMPRODUCT(($C$2:C208=C208)+($D$2:D208=C208)))</f>
        <v/>
      </c>
      <c r="X208" t="str">
        <f>IF($D208="","",SUMPRODUCT(($C$2:C208=D208)+($D$2:D208=D208)))</f>
        <v/>
      </c>
      <c r="Y208" t="str">
        <f t="shared" si="18"/>
        <v/>
      </c>
      <c r="Z208" t="str">
        <f t="shared" si="19"/>
        <v/>
      </c>
      <c r="AA208" s="4" t="str">
        <f>IF($C208="","",IF(COUNTIF($C$1:C207,$C208)+COUNTIF($D$1:D207,$C208)=0,1,0))</f>
        <v/>
      </c>
      <c r="AB208" s="4" t="str">
        <f>IF($D208="","",IF(COUNTIF($C$1:C208,$D208)+COUNTIF($D$1:D207,$D208)=0,1,0))</f>
        <v/>
      </c>
      <c r="AC208" s="4" t="str">
        <f>IF(AA208=1,SUM($AA$2:AA208)-AA208+SUM($AB$2:AB208)-AB208+1,"")</f>
        <v/>
      </c>
      <c r="AD208" s="4" t="str">
        <f>IF(AB208=1,SUM($AA$2:AA208)+SUM($AB$2:AB208)-AB208+1,"")</f>
        <v/>
      </c>
      <c r="AE208" s="4" t="str">
        <f t="shared" si="20"/>
        <v/>
      </c>
      <c r="AF208" s="4" t="str">
        <f t="shared" si="21"/>
        <v/>
      </c>
      <c r="AG208" s="8">
        <f t="shared" si="22"/>
        <v>0</v>
      </c>
      <c r="AI208" s="8">
        <f t="shared" si="23"/>
        <v>0</v>
      </c>
    </row>
    <row r="209" spans="1:35" ht="15" customHeight="1" x14ac:dyDescent="0.25">
      <c r="A209" s="10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3"/>
      <c r="P209" s="3"/>
      <c r="Q209" s="8"/>
      <c r="R209" s="8"/>
      <c r="S209" s="8"/>
      <c r="T209" s="8"/>
      <c r="U209" s="8"/>
      <c r="V209" s="8"/>
      <c r="W209" t="str">
        <f>IF($C209="","",SUMPRODUCT(($C$2:C209=C209)+($D$2:D209=C209)))</f>
        <v/>
      </c>
      <c r="X209" t="str">
        <f>IF($D209="","",SUMPRODUCT(($C$2:C209=D209)+($D$2:D209=D209)))</f>
        <v/>
      </c>
      <c r="Y209" t="str">
        <f t="shared" si="18"/>
        <v/>
      </c>
      <c r="Z209" t="str">
        <f t="shared" si="19"/>
        <v/>
      </c>
      <c r="AA209" s="4" t="str">
        <f>IF($C209="","",IF(COUNTIF($C$1:C208,$C209)+COUNTIF($D$1:D208,$C209)=0,1,0))</f>
        <v/>
      </c>
      <c r="AB209" s="4" t="str">
        <f>IF($D209="","",IF(COUNTIF($C$1:C209,$D209)+COUNTIF($D$1:D208,$D209)=0,1,0))</f>
        <v/>
      </c>
      <c r="AC209" s="4" t="str">
        <f>IF(AA209=1,SUM($AA$2:AA209)-AA209+SUM($AB$2:AB209)-AB209+1,"")</f>
        <v/>
      </c>
      <c r="AD209" s="4" t="str">
        <f>IF(AB209=1,SUM($AA$2:AA209)+SUM($AB$2:AB209)-AB209+1,"")</f>
        <v/>
      </c>
      <c r="AE209" s="4" t="str">
        <f t="shared" si="20"/>
        <v/>
      </c>
      <c r="AF209" s="4" t="str">
        <f t="shared" si="21"/>
        <v/>
      </c>
      <c r="AG209" s="8">
        <f t="shared" si="22"/>
        <v>0</v>
      </c>
      <c r="AI209" s="8">
        <f t="shared" si="23"/>
        <v>0</v>
      </c>
    </row>
    <row r="210" spans="1:35" ht="15" customHeight="1" x14ac:dyDescent="0.25">
      <c r="A210" s="10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3"/>
      <c r="P210" s="3"/>
      <c r="Q210" s="8"/>
      <c r="R210" s="8"/>
      <c r="S210" s="8"/>
      <c r="T210" s="8"/>
      <c r="U210" s="8"/>
      <c r="V210" s="8"/>
      <c r="W210" t="str">
        <f>IF($C210="","",SUMPRODUCT(($C$2:C210=C210)+($D$2:D210=C210)))</f>
        <v/>
      </c>
      <c r="X210" t="str">
        <f>IF($D210="","",SUMPRODUCT(($C$2:C210=D210)+($D$2:D210=D210)))</f>
        <v/>
      </c>
      <c r="Y210" t="str">
        <f t="shared" si="18"/>
        <v/>
      </c>
      <c r="Z210" t="str">
        <f t="shared" si="19"/>
        <v/>
      </c>
      <c r="AA210" s="4" t="str">
        <f>IF($C210="","",IF(COUNTIF($C$1:C209,$C210)+COUNTIF($D$1:D209,$C210)=0,1,0))</f>
        <v/>
      </c>
      <c r="AB210" s="4" t="str">
        <f>IF($D210="","",IF(COUNTIF($C$1:C210,$D210)+COUNTIF($D$1:D209,$D210)=0,1,0))</f>
        <v/>
      </c>
      <c r="AC210" s="4" t="str">
        <f>IF(AA210=1,SUM($AA$2:AA210)-AA210+SUM($AB$2:AB210)-AB210+1,"")</f>
        <v/>
      </c>
      <c r="AD210" s="4" t="str">
        <f>IF(AB210=1,SUM($AA$2:AA210)+SUM($AB$2:AB210)-AB210+1,"")</f>
        <v/>
      </c>
      <c r="AE210" s="4" t="str">
        <f t="shared" si="20"/>
        <v/>
      </c>
      <c r="AF210" s="4" t="str">
        <f t="shared" si="21"/>
        <v/>
      </c>
      <c r="AG210" s="8">
        <f t="shared" si="22"/>
        <v>0</v>
      </c>
      <c r="AI210" s="8">
        <f t="shared" si="23"/>
        <v>0</v>
      </c>
    </row>
    <row r="211" spans="1:35" ht="15" customHeight="1" x14ac:dyDescent="0.25">
      <c r="A211" s="10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3"/>
      <c r="P211" s="3"/>
      <c r="Q211" s="8"/>
      <c r="R211" s="8"/>
      <c r="S211" s="8"/>
      <c r="T211" s="8"/>
      <c r="U211" s="8"/>
      <c r="V211" s="8"/>
      <c r="W211" t="str">
        <f>IF($C211="","",SUMPRODUCT(($C$2:C211=C211)+($D$2:D211=C211)))</f>
        <v/>
      </c>
      <c r="X211" t="str">
        <f>IF($D211="","",SUMPRODUCT(($C$2:C211=D211)+($D$2:D211=D211)))</f>
        <v/>
      </c>
      <c r="Y211" t="str">
        <f t="shared" si="18"/>
        <v/>
      </c>
      <c r="Z211" t="str">
        <f t="shared" si="19"/>
        <v/>
      </c>
      <c r="AA211" s="4" t="str">
        <f>IF($C211="","",IF(COUNTIF($C$1:C210,$C211)+COUNTIF($D$1:D210,$C211)=0,1,0))</f>
        <v/>
      </c>
      <c r="AB211" s="4" t="str">
        <f>IF($D211="","",IF(COUNTIF($C$1:C211,$D211)+COUNTIF($D$1:D210,$D211)=0,1,0))</f>
        <v/>
      </c>
      <c r="AC211" s="4" t="str">
        <f>IF(AA211=1,SUM($AA$2:AA211)-AA211+SUM($AB$2:AB211)-AB211+1,"")</f>
        <v/>
      </c>
      <c r="AD211" s="4" t="str">
        <f>IF(AB211=1,SUM($AA$2:AA211)+SUM($AB$2:AB211)-AB211+1,"")</f>
        <v/>
      </c>
      <c r="AE211" s="4" t="str">
        <f t="shared" si="20"/>
        <v/>
      </c>
      <c r="AF211" s="4" t="str">
        <f t="shared" si="21"/>
        <v/>
      </c>
      <c r="AG211" s="8">
        <f t="shared" si="22"/>
        <v>0</v>
      </c>
      <c r="AI211" s="8">
        <f t="shared" si="23"/>
        <v>0</v>
      </c>
    </row>
    <row r="212" spans="1:35" ht="15" customHeight="1" x14ac:dyDescent="0.25">
      <c r="A212" s="10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3"/>
      <c r="P212" s="3"/>
      <c r="Q212" s="8"/>
      <c r="R212" s="8"/>
      <c r="S212" s="8"/>
      <c r="T212" s="8"/>
      <c r="U212" s="8"/>
      <c r="V212" s="8"/>
      <c r="W212" t="str">
        <f>IF($C212="","",SUMPRODUCT(($C$2:C212=C212)+($D$2:D212=C212)))</f>
        <v/>
      </c>
      <c r="X212" t="str">
        <f>IF($D212="","",SUMPRODUCT(($C$2:C212=D212)+($D$2:D212=D212)))</f>
        <v/>
      </c>
      <c r="Y212" t="str">
        <f t="shared" si="18"/>
        <v/>
      </c>
      <c r="Z212" t="str">
        <f t="shared" si="19"/>
        <v/>
      </c>
      <c r="AA212" s="4" t="str">
        <f>IF($C212="","",IF(COUNTIF($C$1:C211,$C212)+COUNTIF($D$1:D211,$C212)=0,1,0))</f>
        <v/>
      </c>
      <c r="AB212" s="4" t="str">
        <f>IF($D212="","",IF(COUNTIF($C$1:C212,$D212)+COUNTIF($D$1:D211,$D212)=0,1,0))</f>
        <v/>
      </c>
      <c r="AC212" s="4" t="str">
        <f>IF(AA212=1,SUM($AA$2:AA212)-AA212+SUM($AB$2:AB212)-AB212+1,"")</f>
        <v/>
      </c>
      <c r="AD212" s="4" t="str">
        <f>IF(AB212=1,SUM($AA$2:AA212)+SUM($AB$2:AB212)-AB212+1,"")</f>
        <v/>
      </c>
      <c r="AE212" s="4" t="str">
        <f t="shared" si="20"/>
        <v/>
      </c>
      <c r="AF212" s="4" t="str">
        <f t="shared" si="21"/>
        <v/>
      </c>
      <c r="AG212" s="8">
        <f t="shared" si="22"/>
        <v>0</v>
      </c>
      <c r="AI212" s="8">
        <f t="shared" si="23"/>
        <v>0</v>
      </c>
    </row>
    <row r="213" spans="1:35" ht="15" customHeight="1" x14ac:dyDescent="0.25">
      <c r="A213" s="10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3"/>
      <c r="P213" s="3"/>
      <c r="Q213" s="8"/>
      <c r="R213" s="8"/>
      <c r="S213" s="8"/>
      <c r="T213" s="8"/>
      <c r="U213" s="8"/>
      <c r="V213" s="8"/>
      <c r="W213" t="str">
        <f>IF($C213="","",SUMPRODUCT(($C$2:C213=C213)+($D$2:D213=C213)))</f>
        <v/>
      </c>
      <c r="X213" t="str">
        <f>IF($D213="","",SUMPRODUCT(($C$2:C213=D213)+($D$2:D213=D213)))</f>
        <v/>
      </c>
      <c r="Y213" t="str">
        <f t="shared" si="18"/>
        <v/>
      </c>
      <c r="Z213" t="str">
        <f t="shared" si="19"/>
        <v/>
      </c>
      <c r="AA213" s="4" t="str">
        <f>IF($C213="","",IF(COUNTIF($C$1:C212,$C213)+COUNTIF($D$1:D212,$C213)=0,1,0))</f>
        <v/>
      </c>
      <c r="AB213" s="4" t="str">
        <f>IF($D213="","",IF(COUNTIF($C$1:C213,$D213)+COUNTIF($D$1:D212,$D213)=0,1,0))</f>
        <v/>
      </c>
      <c r="AC213" s="4" t="str">
        <f>IF(AA213=1,SUM($AA$2:AA213)-AA213+SUM($AB$2:AB213)-AB213+1,"")</f>
        <v/>
      </c>
      <c r="AD213" s="4" t="str">
        <f>IF(AB213=1,SUM($AA$2:AA213)+SUM($AB$2:AB213)-AB213+1,"")</f>
        <v/>
      </c>
      <c r="AE213" s="4" t="str">
        <f t="shared" si="20"/>
        <v/>
      </c>
      <c r="AF213" s="4" t="str">
        <f t="shared" si="21"/>
        <v/>
      </c>
      <c r="AG213" s="8">
        <f t="shared" si="22"/>
        <v>0</v>
      </c>
      <c r="AI213" s="8">
        <f t="shared" si="23"/>
        <v>0</v>
      </c>
    </row>
    <row r="214" spans="1:35" ht="15" customHeight="1" x14ac:dyDescent="0.25">
      <c r="A214" s="10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3"/>
      <c r="P214" s="3"/>
      <c r="Q214" s="8"/>
      <c r="R214" s="8"/>
      <c r="S214" s="8"/>
      <c r="T214" s="8"/>
      <c r="U214" s="8"/>
      <c r="V214" s="8"/>
      <c r="W214" t="str">
        <f>IF($C214="","",SUMPRODUCT(($C$2:C214=C214)+($D$2:D214=C214)))</f>
        <v/>
      </c>
      <c r="X214" t="str">
        <f>IF($D214="","",SUMPRODUCT(($C$2:C214=D214)+($D$2:D214=D214)))</f>
        <v/>
      </c>
      <c r="Y214" t="str">
        <f t="shared" si="18"/>
        <v/>
      </c>
      <c r="Z214" t="str">
        <f t="shared" si="19"/>
        <v/>
      </c>
      <c r="AA214" s="4" t="str">
        <f>IF($C214="","",IF(COUNTIF($C$1:C213,$C214)+COUNTIF($D$1:D213,$C214)=0,1,0))</f>
        <v/>
      </c>
      <c r="AB214" s="4" t="str">
        <f>IF($D214="","",IF(COUNTIF($C$1:C214,$D214)+COUNTIF($D$1:D213,$D214)=0,1,0))</f>
        <v/>
      </c>
      <c r="AC214" s="4" t="str">
        <f>IF(AA214=1,SUM($AA$2:AA214)-AA214+SUM($AB$2:AB214)-AB214+1,"")</f>
        <v/>
      </c>
      <c r="AD214" s="4" t="str">
        <f>IF(AB214=1,SUM($AA$2:AA214)+SUM($AB$2:AB214)-AB214+1,"")</f>
        <v/>
      </c>
      <c r="AE214" s="4" t="str">
        <f t="shared" si="20"/>
        <v/>
      </c>
      <c r="AF214" s="4" t="str">
        <f t="shared" si="21"/>
        <v/>
      </c>
      <c r="AG214" s="8">
        <f t="shared" si="22"/>
        <v>0</v>
      </c>
      <c r="AI214" s="8">
        <f t="shared" si="23"/>
        <v>0</v>
      </c>
    </row>
    <row r="215" spans="1:35" ht="15" customHeight="1" x14ac:dyDescent="0.25">
      <c r="A215" s="10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3"/>
      <c r="P215" s="3"/>
      <c r="Q215" s="8"/>
      <c r="R215" s="8"/>
      <c r="S215" s="8"/>
      <c r="T215" s="8"/>
      <c r="U215" s="8"/>
      <c r="V215" s="8"/>
      <c r="W215" t="str">
        <f>IF($C215="","",SUMPRODUCT(($C$2:C215=C215)+($D$2:D215=C215)))</f>
        <v/>
      </c>
      <c r="X215" t="str">
        <f>IF($D215="","",SUMPRODUCT(($C$2:C215=D215)+($D$2:D215=D215)))</f>
        <v/>
      </c>
      <c r="Y215" t="str">
        <f t="shared" si="18"/>
        <v/>
      </c>
      <c r="Z215" t="str">
        <f t="shared" si="19"/>
        <v/>
      </c>
      <c r="AA215" s="4" t="str">
        <f>IF($C215="","",IF(COUNTIF($C$1:C214,$C215)+COUNTIF($D$1:D214,$C215)=0,1,0))</f>
        <v/>
      </c>
      <c r="AB215" s="4" t="str">
        <f>IF($D215="","",IF(COUNTIF($C$1:C215,$D215)+COUNTIF($D$1:D214,$D215)=0,1,0))</f>
        <v/>
      </c>
      <c r="AC215" s="4" t="str">
        <f>IF(AA215=1,SUM($AA$2:AA215)-AA215+SUM($AB$2:AB215)-AB215+1,"")</f>
        <v/>
      </c>
      <c r="AD215" s="4" t="str">
        <f>IF(AB215=1,SUM($AA$2:AA215)+SUM($AB$2:AB215)-AB215+1,"")</f>
        <v/>
      </c>
      <c r="AE215" s="4" t="str">
        <f t="shared" si="20"/>
        <v/>
      </c>
      <c r="AF215" s="4" t="str">
        <f t="shared" si="21"/>
        <v/>
      </c>
      <c r="AG215" s="8">
        <f t="shared" si="22"/>
        <v>0</v>
      </c>
      <c r="AI215" s="8">
        <f t="shared" si="23"/>
        <v>0</v>
      </c>
    </row>
    <row r="216" spans="1:35" ht="15" customHeight="1" x14ac:dyDescent="0.25">
      <c r="A216" s="10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3"/>
      <c r="P216" s="3"/>
      <c r="Q216" s="8"/>
      <c r="R216" s="8"/>
      <c r="S216" s="8"/>
      <c r="T216" s="8"/>
      <c r="U216" s="8"/>
      <c r="V216" s="8"/>
      <c r="W216" t="str">
        <f>IF($C216="","",SUMPRODUCT(($C$2:C216=C216)+($D$2:D216=C216)))</f>
        <v/>
      </c>
      <c r="X216" t="str">
        <f>IF($D216="","",SUMPRODUCT(($C$2:C216=D216)+($D$2:D216=D216)))</f>
        <v/>
      </c>
      <c r="Y216" t="str">
        <f t="shared" si="18"/>
        <v/>
      </c>
      <c r="Z216" t="str">
        <f t="shared" si="19"/>
        <v/>
      </c>
      <c r="AA216" s="4" t="str">
        <f>IF($C216="","",IF(COUNTIF($C$1:C215,$C216)+COUNTIF($D$1:D215,$C216)=0,1,0))</f>
        <v/>
      </c>
      <c r="AB216" s="4" t="str">
        <f>IF($D216="","",IF(COUNTIF($C$1:C216,$D216)+COUNTIF($D$1:D215,$D216)=0,1,0))</f>
        <v/>
      </c>
      <c r="AC216" s="4" t="str">
        <f>IF(AA216=1,SUM($AA$2:AA216)-AA216+SUM($AB$2:AB216)-AB216+1,"")</f>
        <v/>
      </c>
      <c r="AD216" s="4" t="str">
        <f>IF(AB216=1,SUM($AA$2:AA216)+SUM($AB$2:AB216)-AB216+1,"")</f>
        <v/>
      </c>
      <c r="AE216" s="4" t="str">
        <f t="shared" si="20"/>
        <v/>
      </c>
      <c r="AF216" s="4" t="str">
        <f t="shared" si="21"/>
        <v/>
      </c>
      <c r="AG216" s="8">
        <f t="shared" si="22"/>
        <v>0</v>
      </c>
      <c r="AI216" s="8">
        <f t="shared" si="23"/>
        <v>0</v>
      </c>
    </row>
    <row r="217" spans="1:35" ht="15" customHeight="1" x14ac:dyDescent="0.25">
      <c r="A217" s="10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3"/>
      <c r="P217" s="3"/>
      <c r="Q217" s="8"/>
      <c r="R217" s="8"/>
      <c r="S217" s="8"/>
      <c r="T217" s="8"/>
      <c r="U217" s="8"/>
      <c r="V217" s="8"/>
      <c r="W217" t="str">
        <f>IF($C217="","",SUMPRODUCT(($C$2:C217=C217)+($D$2:D217=C217)))</f>
        <v/>
      </c>
      <c r="X217" t="str">
        <f>IF($D217="","",SUMPRODUCT(($C$2:C217=D217)+($D$2:D217=D217)))</f>
        <v/>
      </c>
      <c r="Y217" t="str">
        <f t="shared" si="18"/>
        <v/>
      </c>
      <c r="Z217" t="str">
        <f t="shared" si="19"/>
        <v/>
      </c>
      <c r="AA217" s="4" t="str">
        <f>IF($C217="","",IF(COUNTIF($C$1:C216,$C217)+COUNTIF($D$1:D216,$C217)=0,1,0))</f>
        <v/>
      </c>
      <c r="AB217" s="4" t="str">
        <f>IF($D217="","",IF(COUNTIF($C$1:C217,$D217)+COUNTIF($D$1:D216,$D217)=0,1,0))</f>
        <v/>
      </c>
      <c r="AC217" s="4" t="str">
        <f>IF(AA217=1,SUM($AA$2:AA217)-AA217+SUM($AB$2:AB217)-AB217+1,"")</f>
        <v/>
      </c>
      <c r="AD217" s="4" t="str">
        <f>IF(AB217=1,SUM($AA$2:AA217)+SUM($AB$2:AB217)-AB217+1,"")</f>
        <v/>
      </c>
      <c r="AE217" s="4" t="str">
        <f t="shared" si="20"/>
        <v/>
      </c>
      <c r="AF217" s="4" t="str">
        <f t="shared" si="21"/>
        <v/>
      </c>
      <c r="AG217" s="8">
        <f t="shared" si="22"/>
        <v>0</v>
      </c>
      <c r="AI217" s="8">
        <f t="shared" si="23"/>
        <v>0</v>
      </c>
    </row>
    <row r="218" spans="1:35" ht="15" customHeight="1" x14ac:dyDescent="0.25">
      <c r="A218" s="10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3"/>
      <c r="P218" s="3"/>
      <c r="Q218" s="8"/>
      <c r="R218" s="8"/>
      <c r="S218" s="8"/>
      <c r="T218" s="8"/>
      <c r="U218" s="8"/>
      <c r="V218" s="8"/>
      <c r="W218" t="str">
        <f>IF($C218="","",SUMPRODUCT(($C$2:C218=C218)+($D$2:D218=C218)))</f>
        <v/>
      </c>
      <c r="X218" t="str">
        <f>IF($D218="","",SUMPRODUCT(($C$2:C218=D218)+($D$2:D218=D218)))</f>
        <v/>
      </c>
      <c r="Y218" t="str">
        <f t="shared" si="18"/>
        <v/>
      </c>
      <c r="Z218" t="str">
        <f t="shared" si="19"/>
        <v/>
      </c>
      <c r="AA218" s="4" t="str">
        <f>IF($C218="","",IF(COUNTIF($C$1:C217,$C218)+COUNTIF($D$1:D217,$C218)=0,1,0))</f>
        <v/>
      </c>
      <c r="AB218" s="4" t="str">
        <f>IF($D218="","",IF(COUNTIF($C$1:C218,$D218)+COUNTIF($D$1:D217,$D218)=0,1,0))</f>
        <v/>
      </c>
      <c r="AC218" s="4" t="str">
        <f>IF(AA218=1,SUM($AA$2:AA218)-AA218+SUM($AB$2:AB218)-AB218+1,"")</f>
        <v/>
      </c>
      <c r="AD218" s="4" t="str">
        <f>IF(AB218=1,SUM($AA$2:AA218)+SUM($AB$2:AB218)-AB218+1,"")</f>
        <v/>
      </c>
      <c r="AE218" s="4" t="str">
        <f t="shared" si="20"/>
        <v/>
      </c>
      <c r="AF218" s="4" t="str">
        <f t="shared" si="21"/>
        <v/>
      </c>
      <c r="AG218" s="8">
        <f t="shared" si="22"/>
        <v>0</v>
      </c>
      <c r="AI218" s="8">
        <f t="shared" si="23"/>
        <v>0</v>
      </c>
    </row>
    <row r="219" spans="1:35" ht="15" customHeight="1" x14ac:dyDescent="0.25">
      <c r="A219" s="10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3"/>
      <c r="P219" s="3"/>
      <c r="Q219" s="8"/>
      <c r="R219" s="8"/>
      <c r="S219" s="8"/>
      <c r="T219" s="8"/>
      <c r="U219" s="8"/>
      <c r="V219" s="8"/>
      <c r="W219" t="str">
        <f>IF($C219="","",SUMPRODUCT(($C$2:C219=C219)+($D$2:D219=C219)))</f>
        <v/>
      </c>
      <c r="X219" t="str">
        <f>IF($D219="","",SUMPRODUCT(($C$2:C219=D219)+($D$2:D219=D219)))</f>
        <v/>
      </c>
      <c r="Y219" t="str">
        <f t="shared" si="18"/>
        <v/>
      </c>
      <c r="Z219" t="str">
        <f t="shared" si="19"/>
        <v/>
      </c>
      <c r="AA219" s="4" t="str">
        <f>IF($C219="","",IF(COUNTIF($C$1:C218,$C219)+COUNTIF($D$1:D218,$C219)=0,1,0))</f>
        <v/>
      </c>
      <c r="AB219" s="4" t="str">
        <f>IF($D219="","",IF(COUNTIF($C$1:C219,$D219)+COUNTIF($D$1:D218,$D219)=0,1,0))</f>
        <v/>
      </c>
      <c r="AC219" s="4" t="str">
        <f>IF(AA219=1,SUM($AA$2:AA219)-AA219+SUM($AB$2:AB219)-AB219+1,"")</f>
        <v/>
      </c>
      <c r="AD219" s="4" t="str">
        <f>IF(AB219=1,SUM($AA$2:AA219)+SUM($AB$2:AB219)-AB219+1,"")</f>
        <v/>
      </c>
      <c r="AE219" s="4" t="str">
        <f t="shared" si="20"/>
        <v/>
      </c>
      <c r="AF219" s="4" t="str">
        <f t="shared" si="21"/>
        <v/>
      </c>
      <c r="AG219" s="8">
        <f t="shared" si="22"/>
        <v>0</v>
      </c>
      <c r="AI219" s="8">
        <f t="shared" si="23"/>
        <v>0</v>
      </c>
    </row>
    <row r="220" spans="1:35" ht="15" customHeight="1" x14ac:dyDescent="0.25">
      <c r="A220" s="10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3"/>
      <c r="P220" s="3"/>
      <c r="Q220" s="8"/>
      <c r="R220" s="8"/>
      <c r="S220" s="8"/>
      <c r="T220" s="8"/>
      <c r="U220" s="8"/>
      <c r="V220" s="8"/>
      <c r="W220" t="str">
        <f>IF($C220="","",SUMPRODUCT(($C$2:C220=C220)+($D$2:D220=C220)))</f>
        <v/>
      </c>
      <c r="X220" t="str">
        <f>IF($D220="","",SUMPRODUCT(($C$2:C220=D220)+($D$2:D220=D220)))</f>
        <v/>
      </c>
      <c r="Y220" t="str">
        <f t="shared" si="18"/>
        <v/>
      </c>
      <c r="Z220" t="str">
        <f t="shared" si="19"/>
        <v/>
      </c>
      <c r="AA220" s="4" t="str">
        <f>IF($C220="","",IF(COUNTIF($C$1:C219,$C220)+COUNTIF($D$1:D219,$C220)=0,1,0))</f>
        <v/>
      </c>
      <c r="AB220" s="4" t="str">
        <f>IF($D220="","",IF(COUNTIF($C$1:C220,$D220)+COUNTIF($D$1:D219,$D220)=0,1,0))</f>
        <v/>
      </c>
      <c r="AC220" s="4" t="str">
        <f>IF(AA220=1,SUM($AA$2:AA220)-AA220+SUM($AB$2:AB220)-AB220+1,"")</f>
        <v/>
      </c>
      <c r="AD220" s="4" t="str">
        <f>IF(AB220=1,SUM($AA$2:AA220)+SUM($AB$2:AB220)-AB220+1,"")</f>
        <v/>
      </c>
      <c r="AE220" s="4" t="str">
        <f t="shared" si="20"/>
        <v/>
      </c>
      <c r="AF220" s="4" t="str">
        <f t="shared" si="21"/>
        <v/>
      </c>
      <c r="AG220" s="8">
        <f t="shared" si="22"/>
        <v>0</v>
      </c>
      <c r="AI220" s="8">
        <f t="shared" si="23"/>
        <v>0</v>
      </c>
    </row>
    <row r="221" spans="1:35" ht="15" customHeight="1" x14ac:dyDescent="0.25">
      <c r="A221" s="10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3"/>
      <c r="P221" s="3"/>
      <c r="Q221" s="8"/>
      <c r="R221" s="8"/>
      <c r="S221" s="8"/>
      <c r="T221" s="8"/>
      <c r="U221" s="8"/>
      <c r="V221" s="8"/>
      <c r="W221" t="str">
        <f>IF($C221="","",SUMPRODUCT(($C$2:C221=C221)+($D$2:D221=C221)))</f>
        <v/>
      </c>
      <c r="X221" t="str">
        <f>IF($D221="","",SUMPRODUCT(($C$2:C221=D221)+($D$2:D221=D221)))</f>
        <v/>
      </c>
      <c r="Y221" t="str">
        <f t="shared" si="18"/>
        <v/>
      </c>
      <c r="Z221" t="str">
        <f t="shared" si="19"/>
        <v/>
      </c>
      <c r="AA221" s="4" t="str">
        <f>IF($C221="","",IF(COUNTIF($C$1:C220,$C221)+COUNTIF($D$1:D220,$C221)=0,1,0))</f>
        <v/>
      </c>
      <c r="AB221" s="4" t="str">
        <f>IF($D221="","",IF(COUNTIF($C$1:C221,$D221)+COUNTIF($D$1:D220,$D221)=0,1,0))</f>
        <v/>
      </c>
      <c r="AC221" s="4" t="str">
        <f>IF(AA221=1,SUM($AA$2:AA221)-AA221+SUM($AB$2:AB221)-AB221+1,"")</f>
        <v/>
      </c>
      <c r="AD221" s="4" t="str">
        <f>IF(AB221=1,SUM($AA$2:AA221)+SUM($AB$2:AB221)-AB221+1,"")</f>
        <v/>
      </c>
      <c r="AE221" s="4" t="str">
        <f t="shared" si="20"/>
        <v/>
      </c>
      <c r="AF221" s="4" t="str">
        <f t="shared" si="21"/>
        <v/>
      </c>
      <c r="AG221" s="8">
        <f t="shared" si="22"/>
        <v>0</v>
      </c>
      <c r="AI221" s="8">
        <f t="shared" si="23"/>
        <v>0</v>
      </c>
    </row>
    <row r="222" spans="1:35" ht="15" customHeight="1" x14ac:dyDescent="0.25">
      <c r="A222" s="10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3"/>
      <c r="P222" s="3"/>
      <c r="Q222" s="8"/>
      <c r="R222" s="8"/>
      <c r="S222" s="8"/>
      <c r="T222" s="8"/>
      <c r="U222" s="8"/>
      <c r="V222" s="8"/>
      <c r="W222" t="str">
        <f>IF($C222="","",SUMPRODUCT(($C$2:C222=C222)+($D$2:D222=C222)))</f>
        <v/>
      </c>
      <c r="X222" t="str">
        <f>IF($D222="","",SUMPRODUCT(($C$2:C222=D222)+($D$2:D222=D222)))</f>
        <v/>
      </c>
      <c r="Y222" t="str">
        <f t="shared" si="18"/>
        <v/>
      </c>
      <c r="Z222" t="str">
        <f t="shared" si="19"/>
        <v/>
      </c>
      <c r="AA222" s="4" t="str">
        <f>IF($C222="","",IF(COUNTIF($C$1:C221,$C222)+COUNTIF($D$1:D221,$C222)=0,1,0))</f>
        <v/>
      </c>
      <c r="AB222" s="4" t="str">
        <f>IF($D222="","",IF(COUNTIF($C$1:C222,$D222)+COUNTIF($D$1:D221,$D222)=0,1,0))</f>
        <v/>
      </c>
      <c r="AC222" s="4" t="str">
        <f>IF(AA222=1,SUM($AA$2:AA222)-AA222+SUM($AB$2:AB222)-AB222+1,"")</f>
        <v/>
      </c>
      <c r="AD222" s="4" t="str">
        <f>IF(AB222=1,SUM($AA$2:AA222)+SUM($AB$2:AB222)-AB222+1,"")</f>
        <v/>
      </c>
      <c r="AE222" s="4" t="str">
        <f t="shared" si="20"/>
        <v/>
      </c>
      <c r="AF222" s="4" t="str">
        <f t="shared" si="21"/>
        <v/>
      </c>
      <c r="AG222" s="8">
        <f t="shared" si="22"/>
        <v>0</v>
      </c>
      <c r="AI222" s="8">
        <f t="shared" si="23"/>
        <v>0</v>
      </c>
    </row>
    <row r="223" spans="1:35" ht="15" customHeight="1" x14ac:dyDescent="0.25">
      <c r="A223" s="10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3"/>
      <c r="P223" s="3"/>
      <c r="Q223" s="8"/>
      <c r="R223" s="8"/>
      <c r="S223" s="8"/>
      <c r="T223" s="8"/>
      <c r="U223" s="8"/>
      <c r="V223" s="8"/>
      <c r="W223" t="str">
        <f>IF($C223="","",SUMPRODUCT(($C$2:C223=C223)+($D$2:D223=C223)))</f>
        <v/>
      </c>
      <c r="X223" t="str">
        <f>IF($D223="","",SUMPRODUCT(($C$2:C223=D223)+($D$2:D223=D223)))</f>
        <v/>
      </c>
      <c r="Y223" t="str">
        <f t="shared" si="18"/>
        <v/>
      </c>
      <c r="Z223" t="str">
        <f t="shared" si="19"/>
        <v/>
      </c>
      <c r="AA223" s="4" t="str">
        <f>IF($C223="","",IF(COUNTIF($C$1:C222,$C223)+COUNTIF($D$1:D222,$C223)=0,1,0))</f>
        <v/>
      </c>
      <c r="AB223" s="4" t="str">
        <f>IF($D223="","",IF(COUNTIF($C$1:C223,$D223)+COUNTIF($D$1:D222,$D223)=0,1,0))</f>
        <v/>
      </c>
      <c r="AC223" s="4" t="str">
        <f>IF(AA223=1,SUM($AA$2:AA223)-AA223+SUM($AB$2:AB223)-AB223+1,"")</f>
        <v/>
      </c>
      <c r="AD223" s="4" t="str">
        <f>IF(AB223=1,SUM($AA$2:AA223)+SUM($AB$2:AB223)-AB223+1,"")</f>
        <v/>
      </c>
      <c r="AE223" s="4" t="str">
        <f t="shared" si="20"/>
        <v/>
      </c>
      <c r="AF223" s="4" t="str">
        <f t="shared" si="21"/>
        <v/>
      </c>
      <c r="AG223" s="8">
        <f t="shared" si="22"/>
        <v>0</v>
      </c>
      <c r="AI223" s="8">
        <f t="shared" si="23"/>
        <v>0</v>
      </c>
    </row>
    <row r="224" spans="1:35" ht="15" customHeight="1" x14ac:dyDescent="0.25">
      <c r="A224" s="10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3"/>
      <c r="P224" s="3"/>
      <c r="Q224" s="8"/>
      <c r="R224" s="8"/>
      <c r="S224" s="8"/>
      <c r="T224" s="8"/>
      <c r="U224" s="8"/>
      <c r="V224" s="8"/>
      <c r="W224" t="str">
        <f>IF($C224="","",SUMPRODUCT(($C$2:C224=C224)+($D$2:D224=C224)))</f>
        <v/>
      </c>
      <c r="X224" t="str">
        <f>IF($D224="","",SUMPRODUCT(($C$2:C224=D224)+($D$2:D224=D224)))</f>
        <v/>
      </c>
      <c r="Y224" t="str">
        <f t="shared" si="18"/>
        <v/>
      </c>
      <c r="Z224" t="str">
        <f t="shared" si="19"/>
        <v/>
      </c>
      <c r="AA224" s="4" t="str">
        <f>IF($C224="","",IF(COUNTIF($C$1:C223,$C224)+COUNTIF($D$1:D223,$C224)=0,1,0))</f>
        <v/>
      </c>
      <c r="AB224" s="4" t="str">
        <f>IF($D224="","",IF(COUNTIF($C$1:C224,$D224)+COUNTIF($D$1:D223,$D224)=0,1,0))</f>
        <v/>
      </c>
      <c r="AC224" s="4" t="str">
        <f>IF(AA224=1,SUM($AA$2:AA224)-AA224+SUM($AB$2:AB224)-AB224+1,"")</f>
        <v/>
      </c>
      <c r="AD224" s="4" t="str">
        <f>IF(AB224=1,SUM($AA$2:AA224)+SUM($AB$2:AB224)-AB224+1,"")</f>
        <v/>
      </c>
      <c r="AE224" s="4" t="str">
        <f t="shared" si="20"/>
        <v/>
      </c>
      <c r="AF224" s="4" t="str">
        <f t="shared" si="21"/>
        <v/>
      </c>
      <c r="AG224" s="8">
        <f t="shared" si="22"/>
        <v>0</v>
      </c>
      <c r="AI224" s="8">
        <f t="shared" si="23"/>
        <v>0</v>
      </c>
    </row>
    <row r="225" spans="1:35" ht="15" customHeight="1" x14ac:dyDescent="0.25">
      <c r="A225" s="10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3"/>
      <c r="P225" s="3"/>
      <c r="Q225" s="8"/>
      <c r="R225" s="8"/>
      <c r="S225" s="8"/>
      <c r="T225" s="8"/>
      <c r="U225" s="8"/>
      <c r="V225" s="8"/>
      <c r="W225" t="str">
        <f>IF($C225="","",SUMPRODUCT(($C$2:C225=C225)+($D$2:D225=C225)))</f>
        <v/>
      </c>
      <c r="X225" t="str">
        <f>IF($D225="","",SUMPRODUCT(($C$2:C225=D225)+($D$2:D225=D225)))</f>
        <v/>
      </c>
      <c r="Y225" t="str">
        <f t="shared" si="18"/>
        <v/>
      </c>
      <c r="Z225" t="str">
        <f t="shared" si="19"/>
        <v/>
      </c>
      <c r="AA225" s="4" t="str">
        <f>IF($C225="","",IF(COUNTIF($C$1:C224,$C225)+COUNTIF($D$1:D224,$C225)=0,1,0))</f>
        <v/>
      </c>
      <c r="AB225" s="4" t="str">
        <f>IF($D225="","",IF(COUNTIF($C$1:C225,$D225)+COUNTIF($D$1:D224,$D225)=0,1,0))</f>
        <v/>
      </c>
      <c r="AC225" s="4" t="str">
        <f>IF(AA225=1,SUM($AA$2:AA225)-AA225+SUM($AB$2:AB225)-AB225+1,"")</f>
        <v/>
      </c>
      <c r="AD225" s="4" t="str">
        <f>IF(AB225=1,SUM($AA$2:AA225)+SUM($AB$2:AB225)-AB225+1,"")</f>
        <v/>
      </c>
      <c r="AE225" s="4" t="str">
        <f t="shared" si="20"/>
        <v/>
      </c>
      <c r="AF225" s="4" t="str">
        <f t="shared" si="21"/>
        <v/>
      </c>
      <c r="AG225" s="8">
        <f t="shared" si="22"/>
        <v>0</v>
      </c>
      <c r="AI225" s="8">
        <f t="shared" si="23"/>
        <v>0</v>
      </c>
    </row>
    <row r="226" spans="1:35" ht="15" customHeight="1" x14ac:dyDescent="0.25">
      <c r="A226" s="10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3"/>
      <c r="P226" s="3"/>
      <c r="Q226" s="8"/>
      <c r="R226" s="8"/>
      <c r="S226" s="8"/>
      <c r="T226" s="8"/>
      <c r="U226" s="8"/>
      <c r="V226" s="8"/>
      <c r="W226" t="str">
        <f>IF($C226="","",SUMPRODUCT(($C$2:C226=C226)+($D$2:D226=C226)))</f>
        <v/>
      </c>
      <c r="X226" t="str">
        <f>IF($D226="","",SUMPRODUCT(($C$2:C226=D226)+($D$2:D226=D226)))</f>
        <v/>
      </c>
      <c r="Y226" t="str">
        <f t="shared" si="18"/>
        <v/>
      </c>
      <c r="Z226" t="str">
        <f t="shared" si="19"/>
        <v/>
      </c>
      <c r="AA226" s="4" t="str">
        <f>IF($C226="","",IF(COUNTIF($C$1:C225,$C226)+COUNTIF($D$1:D225,$C226)=0,1,0))</f>
        <v/>
      </c>
      <c r="AB226" s="4" t="str">
        <f>IF($D226="","",IF(COUNTIF($C$1:C226,$D226)+COUNTIF($D$1:D225,$D226)=0,1,0))</f>
        <v/>
      </c>
      <c r="AC226" s="4" t="str">
        <f>IF(AA226=1,SUM($AA$2:AA226)-AA226+SUM($AB$2:AB226)-AB226+1,"")</f>
        <v/>
      </c>
      <c r="AD226" s="4" t="str">
        <f>IF(AB226=1,SUM($AA$2:AA226)+SUM($AB$2:AB226)-AB226+1,"")</f>
        <v/>
      </c>
      <c r="AE226" s="4" t="str">
        <f t="shared" si="20"/>
        <v/>
      </c>
      <c r="AF226" s="4" t="str">
        <f t="shared" si="21"/>
        <v/>
      </c>
      <c r="AG226" s="8">
        <f t="shared" si="22"/>
        <v>0</v>
      </c>
      <c r="AI226" s="8">
        <f t="shared" si="23"/>
        <v>0</v>
      </c>
    </row>
    <row r="227" spans="1:35" ht="15" customHeight="1" x14ac:dyDescent="0.25">
      <c r="A227" s="10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3"/>
      <c r="P227" s="3"/>
      <c r="Q227" s="8"/>
      <c r="R227" s="8"/>
      <c r="S227" s="8"/>
      <c r="T227" s="8"/>
      <c r="U227" s="8"/>
      <c r="V227" s="8"/>
      <c r="W227" t="str">
        <f>IF($C227="","",SUMPRODUCT(($C$2:C227=C227)+($D$2:D227=C227)))</f>
        <v/>
      </c>
      <c r="X227" t="str">
        <f>IF($D227="","",SUMPRODUCT(($C$2:C227=D227)+($D$2:D227=D227)))</f>
        <v/>
      </c>
      <c r="Y227" t="str">
        <f t="shared" si="18"/>
        <v/>
      </c>
      <c r="Z227" t="str">
        <f t="shared" si="19"/>
        <v/>
      </c>
      <c r="AA227" s="4" t="str">
        <f>IF($C227="","",IF(COUNTIF($C$1:C226,$C227)+COUNTIF($D$1:D226,$C227)=0,1,0))</f>
        <v/>
      </c>
      <c r="AB227" s="4" t="str">
        <f>IF($D227="","",IF(COUNTIF($C$1:C227,$D227)+COUNTIF($D$1:D226,$D227)=0,1,0))</f>
        <v/>
      </c>
      <c r="AC227" s="4" t="str">
        <f>IF(AA227=1,SUM($AA$2:AA227)-AA227+SUM($AB$2:AB227)-AB227+1,"")</f>
        <v/>
      </c>
      <c r="AD227" s="4" t="str">
        <f>IF(AB227=1,SUM($AA$2:AA227)+SUM($AB$2:AB227)-AB227+1,"")</f>
        <v/>
      </c>
      <c r="AE227" s="4" t="str">
        <f t="shared" si="20"/>
        <v/>
      </c>
      <c r="AF227" s="4" t="str">
        <f t="shared" si="21"/>
        <v/>
      </c>
      <c r="AG227" s="8">
        <f t="shared" si="22"/>
        <v>0</v>
      </c>
      <c r="AI227" s="8">
        <f t="shared" si="23"/>
        <v>0</v>
      </c>
    </row>
    <row r="228" spans="1:35" ht="15" customHeight="1" x14ac:dyDescent="0.25">
      <c r="A228" s="10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3"/>
      <c r="P228" s="3"/>
      <c r="Q228" s="8"/>
      <c r="R228" s="8"/>
      <c r="S228" s="8"/>
      <c r="T228" s="8"/>
      <c r="U228" s="8"/>
      <c r="V228" s="8"/>
      <c r="W228" t="str">
        <f>IF($C228="","",SUMPRODUCT(($C$2:C228=C228)+($D$2:D228=C228)))</f>
        <v/>
      </c>
      <c r="X228" t="str">
        <f>IF($D228="","",SUMPRODUCT(($C$2:C228=D228)+($D$2:D228=D228)))</f>
        <v/>
      </c>
      <c r="Y228" t="str">
        <f t="shared" si="18"/>
        <v/>
      </c>
      <c r="Z228" t="str">
        <f t="shared" si="19"/>
        <v/>
      </c>
      <c r="AA228" s="4" t="str">
        <f>IF($C228="","",IF(COUNTIF($C$1:C227,$C228)+COUNTIF($D$1:D227,$C228)=0,1,0))</f>
        <v/>
      </c>
      <c r="AB228" s="4" t="str">
        <f>IF($D228="","",IF(COUNTIF($C$1:C228,$D228)+COUNTIF($D$1:D227,$D228)=0,1,0))</f>
        <v/>
      </c>
      <c r="AC228" s="4" t="str">
        <f>IF(AA228=1,SUM($AA$2:AA228)-AA228+SUM($AB$2:AB228)-AB228+1,"")</f>
        <v/>
      </c>
      <c r="AD228" s="4" t="str">
        <f>IF(AB228=1,SUM($AA$2:AA228)+SUM($AB$2:AB228)-AB228+1,"")</f>
        <v/>
      </c>
      <c r="AE228" s="4" t="str">
        <f t="shared" si="20"/>
        <v/>
      </c>
      <c r="AF228" s="4" t="str">
        <f t="shared" si="21"/>
        <v/>
      </c>
      <c r="AG228" s="8">
        <f t="shared" si="22"/>
        <v>0</v>
      </c>
      <c r="AI228" s="8">
        <f t="shared" si="23"/>
        <v>0</v>
      </c>
    </row>
    <row r="229" spans="1:35" ht="15" customHeight="1" x14ac:dyDescent="0.25">
      <c r="A229" s="10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3"/>
      <c r="P229" s="3"/>
      <c r="Q229" s="8"/>
      <c r="R229" s="8"/>
      <c r="S229" s="8"/>
      <c r="T229" s="8"/>
      <c r="U229" s="8"/>
      <c r="V229" s="8"/>
      <c r="W229" t="str">
        <f>IF($C229="","",SUMPRODUCT(($C$2:C229=C229)+($D$2:D229=C229)))</f>
        <v/>
      </c>
      <c r="X229" t="str">
        <f>IF($D229="","",SUMPRODUCT(($C$2:C229=D229)+($D$2:D229=D229)))</f>
        <v/>
      </c>
      <c r="Y229" t="str">
        <f t="shared" si="18"/>
        <v/>
      </c>
      <c r="Z229" t="str">
        <f t="shared" si="19"/>
        <v/>
      </c>
      <c r="AA229" s="4" t="str">
        <f>IF($C229="","",IF(COUNTIF($C$1:C228,$C229)+COUNTIF($D$1:D228,$C229)=0,1,0))</f>
        <v/>
      </c>
      <c r="AB229" s="4" t="str">
        <f>IF($D229="","",IF(COUNTIF($C$1:C229,$D229)+COUNTIF($D$1:D228,$D229)=0,1,0))</f>
        <v/>
      </c>
      <c r="AC229" s="4" t="str">
        <f>IF(AA229=1,SUM($AA$2:AA229)-AA229+SUM($AB$2:AB229)-AB229+1,"")</f>
        <v/>
      </c>
      <c r="AD229" s="4" t="str">
        <f>IF(AB229=1,SUM($AA$2:AA229)+SUM($AB$2:AB229)-AB229+1,"")</f>
        <v/>
      </c>
      <c r="AE229" s="4" t="str">
        <f t="shared" si="20"/>
        <v/>
      </c>
      <c r="AF229" s="4" t="str">
        <f t="shared" si="21"/>
        <v/>
      </c>
      <c r="AG229" s="8">
        <f t="shared" si="22"/>
        <v>0</v>
      </c>
      <c r="AI229" s="8">
        <f t="shared" si="23"/>
        <v>0</v>
      </c>
    </row>
    <row r="230" spans="1:35" ht="15" customHeight="1" x14ac:dyDescent="0.25">
      <c r="A230" s="10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3"/>
      <c r="P230" s="3"/>
      <c r="Q230" s="8"/>
      <c r="R230" s="8"/>
      <c r="S230" s="8"/>
      <c r="T230" s="8"/>
      <c r="U230" s="8"/>
      <c r="V230" s="8"/>
      <c r="W230" t="str">
        <f>IF($C230="","",SUMPRODUCT(($C$2:C230=C230)+($D$2:D230=C230)))</f>
        <v/>
      </c>
      <c r="X230" t="str">
        <f>IF($D230="","",SUMPRODUCT(($C$2:C230=D230)+($D$2:D230=D230)))</f>
        <v/>
      </c>
      <c r="Y230" t="str">
        <f t="shared" si="18"/>
        <v/>
      </c>
      <c r="Z230" t="str">
        <f t="shared" si="19"/>
        <v/>
      </c>
      <c r="AA230" s="4" t="str">
        <f>IF($C230="","",IF(COUNTIF($C$1:C229,$C230)+COUNTIF($D$1:D229,$C230)=0,1,0))</f>
        <v/>
      </c>
      <c r="AB230" s="4" t="str">
        <f>IF($D230="","",IF(COUNTIF($C$1:C230,$D230)+COUNTIF($D$1:D229,$D230)=0,1,0))</f>
        <v/>
      </c>
      <c r="AC230" s="4" t="str">
        <f>IF(AA230=1,SUM($AA$2:AA230)-AA230+SUM($AB$2:AB230)-AB230+1,"")</f>
        <v/>
      </c>
      <c r="AD230" s="4" t="str">
        <f>IF(AB230=1,SUM($AA$2:AA230)+SUM($AB$2:AB230)-AB230+1,"")</f>
        <v/>
      </c>
      <c r="AE230" s="4" t="str">
        <f t="shared" si="20"/>
        <v/>
      </c>
      <c r="AF230" s="4" t="str">
        <f t="shared" si="21"/>
        <v/>
      </c>
      <c r="AG230" s="8">
        <f t="shared" si="22"/>
        <v>0</v>
      </c>
      <c r="AI230" s="8">
        <f t="shared" si="23"/>
        <v>0</v>
      </c>
    </row>
    <row r="231" spans="1:35" ht="15" customHeight="1" x14ac:dyDescent="0.25">
      <c r="A231" s="10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3"/>
      <c r="P231" s="3"/>
      <c r="Q231" s="8"/>
      <c r="R231" s="8"/>
      <c r="S231" s="8"/>
      <c r="T231" s="8"/>
      <c r="U231" s="8"/>
      <c r="V231" s="8"/>
      <c r="W231" t="str">
        <f>IF($C231="","",SUMPRODUCT(($C$2:C231=C231)+($D$2:D231=C231)))</f>
        <v/>
      </c>
      <c r="X231" t="str">
        <f>IF($D231="","",SUMPRODUCT(($C$2:C231=D231)+($D$2:D231=D231)))</f>
        <v/>
      </c>
      <c r="Y231" t="str">
        <f t="shared" si="18"/>
        <v/>
      </c>
      <c r="Z231" t="str">
        <f t="shared" si="19"/>
        <v/>
      </c>
      <c r="AA231" s="4" t="str">
        <f>IF($C231="","",IF(COUNTIF($C$1:C230,$C231)+COUNTIF($D$1:D230,$C231)=0,1,0))</f>
        <v/>
      </c>
      <c r="AB231" s="4" t="str">
        <f>IF($D231="","",IF(COUNTIF($C$1:C231,$D231)+COUNTIF($D$1:D230,$D231)=0,1,0))</f>
        <v/>
      </c>
      <c r="AC231" s="4" t="str">
        <f>IF(AA231=1,SUM($AA$2:AA231)-AA231+SUM($AB$2:AB231)-AB231+1,"")</f>
        <v/>
      </c>
      <c r="AD231" s="4" t="str">
        <f>IF(AB231=1,SUM($AA$2:AA231)+SUM($AB$2:AB231)-AB231+1,"")</f>
        <v/>
      </c>
      <c r="AE231" s="4" t="str">
        <f t="shared" si="20"/>
        <v/>
      </c>
      <c r="AF231" s="4" t="str">
        <f t="shared" si="21"/>
        <v/>
      </c>
      <c r="AG231" s="8">
        <f t="shared" si="22"/>
        <v>0</v>
      </c>
      <c r="AI231" s="8">
        <f t="shared" si="23"/>
        <v>0</v>
      </c>
    </row>
    <row r="232" spans="1:35" ht="15" customHeight="1" x14ac:dyDescent="0.25">
      <c r="A232" s="10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3"/>
      <c r="P232" s="3"/>
      <c r="Q232" s="8"/>
      <c r="R232" s="8"/>
      <c r="S232" s="8"/>
      <c r="T232" s="8"/>
      <c r="U232" s="8"/>
      <c r="V232" s="8"/>
      <c r="W232" t="str">
        <f>IF($C232="","",SUMPRODUCT(($C$2:C232=C232)+($D$2:D232=C232)))</f>
        <v/>
      </c>
      <c r="X232" t="str">
        <f>IF($D232="","",SUMPRODUCT(($C$2:C232=D232)+($D$2:D232=D232)))</f>
        <v/>
      </c>
      <c r="Y232" t="str">
        <f t="shared" si="18"/>
        <v/>
      </c>
      <c r="Z232" t="str">
        <f t="shared" si="19"/>
        <v/>
      </c>
      <c r="AA232" s="4" t="str">
        <f>IF($C232="","",IF(COUNTIF($C$1:C231,$C232)+COUNTIF($D$1:D231,$C232)=0,1,0))</f>
        <v/>
      </c>
      <c r="AB232" s="4" t="str">
        <f>IF($D232="","",IF(COUNTIF($C$1:C232,$D232)+COUNTIF($D$1:D231,$D232)=0,1,0))</f>
        <v/>
      </c>
      <c r="AC232" s="4" t="str">
        <f>IF(AA232=1,SUM($AA$2:AA232)-AA232+SUM($AB$2:AB232)-AB232+1,"")</f>
        <v/>
      </c>
      <c r="AD232" s="4" t="str">
        <f>IF(AB232=1,SUM($AA$2:AA232)+SUM($AB$2:AB232)-AB232+1,"")</f>
        <v/>
      </c>
      <c r="AE232" s="4" t="str">
        <f t="shared" si="20"/>
        <v/>
      </c>
      <c r="AF232" s="4" t="str">
        <f t="shared" si="21"/>
        <v/>
      </c>
      <c r="AG232" s="8">
        <f t="shared" si="22"/>
        <v>0</v>
      </c>
      <c r="AI232" s="8">
        <f t="shared" si="23"/>
        <v>0</v>
      </c>
    </row>
    <row r="233" spans="1:35" ht="15" customHeight="1" x14ac:dyDescent="0.25">
      <c r="A233" s="10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3"/>
      <c r="P233" s="3"/>
      <c r="Q233" s="8"/>
      <c r="R233" s="8"/>
      <c r="S233" s="8"/>
      <c r="T233" s="8"/>
      <c r="U233" s="8"/>
      <c r="V233" s="8"/>
      <c r="W233" t="str">
        <f>IF($C233="","",SUMPRODUCT(($C$2:C233=C233)+($D$2:D233=C233)))</f>
        <v/>
      </c>
      <c r="X233" t="str">
        <f>IF($D233="","",SUMPRODUCT(($C$2:C233=D233)+($D$2:D233=D233)))</f>
        <v/>
      </c>
      <c r="Y233" t="str">
        <f t="shared" si="18"/>
        <v/>
      </c>
      <c r="Z233" t="str">
        <f t="shared" si="19"/>
        <v/>
      </c>
      <c r="AA233" s="4" t="str">
        <f>IF($C233="","",IF(COUNTIF($C$1:C232,$C233)+COUNTIF($D$1:D232,$C233)=0,1,0))</f>
        <v/>
      </c>
      <c r="AB233" s="4" t="str">
        <f>IF($D233="","",IF(COUNTIF($C$1:C233,$D233)+COUNTIF($D$1:D232,$D233)=0,1,0))</f>
        <v/>
      </c>
      <c r="AC233" s="4" t="str">
        <f>IF(AA233=1,SUM($AA$2:AA233)-AA233+SUM($AB$2:AB233)-AB233+1,"")</f>
        <v/>
      </c>
      <c r="AD233" s="4" t="str">
        <f>IF(AB233=1,SUM($AA$2:AA233)+SUM($AB$2:AB233)-AB233+1,"")</f>
        <v/>
      </c>
      <c r="AE233" s="4" t="str">
        <f t="shared" si="20"/>
        <v/>
      </c>
      <c r="AF233" s="4" t="str">
        <f t="shared" si="21"/>
        <v/>
      </c>
      <c r="AG233" s="8">
        <f t="shared" si="22"/>
        <v>0</v>
      </c>
      <c r="AI233" s="8">
        <f t="shared" si="23"/>
        <v>0</v>
      </c>
    </row>
    <row r="234" spans="1:35" ht="15" customHeight="1" x14ac:dyDescent="0.25">
      <c r="A234" s="10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3"/>
      <c r="P234" s="3"/>
      <c r="Q234" s="8"/>
      <c r="R234" s="8"/>
      <c r="S234" s="8"/>
      <c r="T234" s="8"/>
      <c r="U234" s="8"/>
      <c r="V234" s="8"/>
      <c r="W234" t="str">
        <f>IF($C234="","",SUMPRODUCT(($C$2:C234=C234)+($D$2:D234=C234)))</f>
        <v/>
      </c>
      <c r="X234" t="str">
        <f>IF($D234="","",SUMPRODUCT(($C$2:C234=D234)+($D$2:D234=D234)))</f>
        <v/>
      </c>
      <c r="Y234" t="str">
        <f t="shared" si="18"/>
        <v/>
      </c>
      <c r="Z234" t="str">
        <f t="shared" si="19"/>
        <v/>
      </c>
      <c r="AA234" s="4" t="str">
        <f>IF($C234="","",IF(COUNTIF($C$1:C233,$C234)+COUNTIF($D$1:D233,$C234)=0,1,0))</f>
        <v/>
      </c>
      <c r="AB234" s="4" t="str">
        <f>IF($D234="","",IF(COUNTIF($C$1:C234,$D234)+COUNTIF($D$1:D233,$D234)=0,1,0))</f>
        <v/>
      </c>
      <c r="AC234" s="4" t="str">
        <f>IF(AA234=1,SUM($AA$2:AA234)-AA234+SUM($AB$2:AB234)-AB234+1,"")</f>
        <v/>
      </c>
      <c r="AD234" s="4" t="str">
        <f>IF(AB234=1,SUM($AA$2:AA234)+SUM($AB$2:AB234)-AB234+1,"")</f>
        <v/>
      </c>
      <c r="AE234" s="4" t="str">
        <f t="shared" si="20"/>
        <v/>
      </c>
      <c r="AF234" s="4" t="str">
        <f t="shared" si="21"/>
        <v/>
      </c>
      <c r="AG234" s="8">
        <f t="shared" si="22"/>
        <v>0</v>
      </c>
      <c r="AI234" s="8">
        <f t="shared" si="23"/>
        <v>0</v>
      </c>
    </row>
    <row r="235" spans="1:35" ht="15" customHeight="1" x14ac:dyDescent="0.25">
      <c r="A235" s="10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3"/>
      <c r="P235" s="3"/>
      <c r="Q235" s="8"/>
      <c r="R235" s="8"/>
      <c r="S235" s="8"/>
      <c r="T235" s="8"/>
      <c r="U235" s="8"/>
      <c r="V235" s="8"/>
      <c r="W235" t="str">
        <f>IF($C235="","",SUMPRODUCT(($C$2:C235=C235)+($D$2:D235=C235)))</f>
        <v/>
      </c>
      <c r="X235" t="str">
        <f>IF($D235="","",SUMPRODUCT(($C$2:C235=D235)+($D$2:D235=D235)))</f>
        <v/>
      </c>
      <c r="Y235" t="str">
        <f t="shared" si="18"/>
        <v/>
      </c>
      <c r="Z235" t="str">
        <f t="shared" si="19"/>
        <v/>
      </c>
      <c r="AA235" s="4" t="str">
        <f>IF($C235="","",IF(COUNTIF($C$1:C234,$C235)+COUNTIF($D$1:D234,$C235)=0,1,0))</f>
        <v/>
      </c>
      <c r="AB235" s="4" t="str">
        <f>IF($D235="","",IF(COUNTIF($C$1:C235,$D235)+COUNTIF($D$1:D234,$D235)=0,1,0))</f>
        <v/>
      </c>
      <c r="AC235" s="4" t="str">
        <f>IF(AA235=1,SUM($AA$2:AA235)-AA235+SUM($AB$2:AB235)-AB235+1,"")</f>
        <v/>
      </c>
      <c r="AD235" s="4" t="str">
        <f>IF(AB235=1,SUM($AA$2:AA235)+SUM($AB$2:AB235)-AB235+1,"")</f>
        <v/>
      </c>
      <c r="AE235" s="4" t="str">
        <f t="shared" si="20"/>
        <v/>
      </c>
      <c r="AF235" s="4" t="str">
        <f t="shared" si="21"/>
        <v/>
      </c>
      <c r="AG235" s="8">
        <f t="shared" si="22"/>
        <v>0</v>
      </c>
      <c r="AI235" s="8">
        <f t="shared" si="23"/>
        <v>0</v>
      </c>
    </row>
    <row r="236" spans="1:35" ht="15" customHeight="1" x14ac:dyDescent="0.25">
      <c r="A236" s="10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3"/>
      <c r="P236" s="3"/>
      <c r="Q236" s="8"/>
      <c r="R236" s="8"/>
      <c r="S236" s="8"/>
      <c r="T236" s="8"/>
      <c r="U236" s="8"/>
      <c r="V236" s="8"/>
      <c r="W236" t="str">
        <f>IF($C236="","",SUMPRODUCT(($C$2:C236=C236)+($D$2:D236=C236)))</f>
        <v/>
      </c>
      <c r="X236" t="str">
        <f>IF($D236="","",SUMPRODUCT(($C$2:C236=D236)+($D$2:D236=D236)))</f>
        <v/>
      </c>
      <c r="Y236" t="str">
        <f t="shared" si="18"/>
        <v/>
      </c>
      <c r="Z236" t="str">
        <f t="shared" si="19"/>
        <v/>
      </c>
      <c r="AA236" s="4" t="str">
        <f>IF($C236="","",IF(COUNTIF($C$1:C235,$C236)+COUNTIF($D$1:D235,$C236)=0,1,0))</f>
        <v/>
      </c>
      <c r="AB236" s="4" t="str">
        <f>IF($D236="","",IF(COUNTIF($C$1:C236,$D236)+COUNTIF($D$1:D235,$D236)=0,1,0))</f>
        <v/>
      </c>
      <c r="AC236" s="4" t="str">
        <f>IF(AA236=1,SUM($AA$2:AA236)-AA236+SUM($AB$2:AB236)-AB236+1,"")</f>
        <v/>
      </c>
      <c r="AD236" s="4" t="str">
        <f>IF(AB236=1,SUM($AA$2:AA236)+SUM($AB$2:AB236)-AB236+1,"")</f>
        <v/>
      </c>
      <c r="AE236" s="4" t="str">
        <f t="shared" si="20"/>
        <v/>
      </c>
      <c r="AF236" s="4" t="str">
        <f t="shared" si="21"/>
        <v/>
      </c>
      <c r="AG236" s="8">
        <f t="shared" si="22"/>
        <v>0</v>
      </c>
      <c r="AI236" s="8">
        <f t="shared" si="23"/>
        <v>0</v>
      </c>
    </row>
    <row r="237" spans="1:35" ht="15" customHeight="1" x14ac:dyDescent="0.25">
      <c r="A237" s="10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3"/>
      <c r="P237" s="3"/>
      <c r="Q237" s="8"/>
      <c r="R237" s="8"/>
      <c r="S237" s="8"/>
      <c r="T237" s="8"/>
      <c r="U237" s="8"/>
      <c r="V237" s="8"/>
      <c r="W237" t="str">
        <f>IF($C237="","",SUMPRODUCT(($C$2:C237=C237)+($D$2:D237=C237)))</f>
        <v/>
      </c>
      <c r="X237" t="str">
        <f>IF($D237="","",SUMPRODUCT(($C$2:C237=D237)+($D$2:D237=D237)))</f>
        <v/>
      </c>
      <c r="Y237" t="str">
        <f t="shared" si="18"/>
        <v/>
      </c>
      <c r="Z237" t="str">
        <f t="shared" si="19"/>
        <v/>
      </c>
      <c r="AA237" s="4" t="str">
        <f>IF($C237="","",IF(COUNTIF($C$1:C236,$C237)+COUNTIF($D$1:D236,$C237)=0,1,0))</f>
        <v/>
      </c>
      <c r="AB237" s="4" t="str">
        <f>IF($D237="","",IF(COUNTIF($C$1:C237,$D237)+COUNTIF($D$1:D236,$D237)=0,1,0))</f>
        <v/>
      </c>
      <c r="AC237" s="4" t="str">
        <f>IF(AA237=1,SUM($AA$2:AA237)-AA237+SUM($AB$2:AB237)-AB237+1,"")</f>
        <v/>
      </c>
      <c r="AD237" s="4" t="str">
        <f>IF(AB237=1,SUM($AA$2:AA237)+SUM($AB$2:AB237)-AB237+1,"")</f>
        <v/>
      </c>
      <c r="AE237" s="4" t="str">
        <f t="shared" si="20"/>
        <v/>
      </c>
      <c r="AF237" s="4" t="str">
        <f t="shared" si="21"/>
        <v/>
      </c>
      <c r="AG237" s="8">
        <f t="shared" si="22"/>
        <v>0</v>
      </c>
      <c r="AI237" s="8">
        <f t="shared" si="23"/>
        <v>0</v>
      </c>
    </row>
    <row r="238" spans="1:35" ht="15" customHeight="1" x14ac:dyDescent="0.25">
      <c r="A238" s="10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3"/>
      <c r="P238" s="3"/>
      <c r="Q238" s="8"/>
      <c r="R238" s="8"/>
      <c r="S238" s="8"/>
      <c r="T238" s="8"/>
      <c r="U238" s="8"/>
      <c r="V238" s="8"/>
      <c r="W238" t="str">
        <f>IF($C238="","",SUMPRODUCT(($C$2:C238=C238)+($D$2:D238=C238)))</f>
        <v/>
      </c>
      <c r="X238" t="str">
        <f>IF($D238="","",SUMPRODUCT(($C$2:C238=D238)+($D$2:D238=D238)))</f>
        <v/>
      </c>
      <c r="Y238" t="str">
        <f t="shared" si="18"/>
        <v/>
      </c>
      <c r="Z238" t="str">
        <f t="shared" si="19"/>
        <v/>
      </c>
      <c r="AA238" s="4" t="str">
        <f>IF($C238="","",IF(COUNTIF($C$1:C237,$C238)+COUNTIF($D$1:D237,$C238)=0,1,0))</f>
        <v/>
      </c>
      <c r="AB238" s="4" t="str">
        <f>IF($D238="","",IF(COUNTIF($C$1:C238,$D238)+COUNTIF($D$1:D237,$D238)=0,1,0))</f>
        <v/>
      </c>
      <c r="AC238" s="4" t="str">
        <f>IF(AA238=1,SUM($AA$2:AA238)-AA238+SUM($AB$2:AB238)-AB238+1,"")</f>
        <v/>
      </c>
      <c r="AD238" s="4" t="str">
        <f>IF(AB238=1,SUM($AA$2:AA238)+SUM($AB$2:AB238)-AB238+1,"")</f>
        <v/>
      </c>
      <c r="AE238" s="4" t="str">
        <f t="shared" si="20"/>
        <v/>
      </c>
      <c r="AF238" s="4" t="str">
        <f t="shared" si="21"/>
        <v/>
      </c>
      <c r="AG238" s="8">
        <f t="shared" si="22"/>
        <v>0</v>
      </c>
      <c r="AI238" s="8">
        <f t="shared" si="23"/>
        <v>0</v>
      </c>
    </row>
    <row r="239" spans="1:35" ht="15" customHeight="1" x14ac:dyDescent="0.25">
      <c r="A239" s="10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3"/>
      <c r="P239" s="3"/>
      <c r="Q239" s="8"/>
      <c r="R239" s="8"/>
      <c r="S239" s="8"/>
      <c r="T239" s="8"/>
      <c r="U239" s="8"/>
      <c r="V239" s="8"/>
      <c r="W239" t="str">
        <f>IF($C239="","",SUMPRODUCT(($C$2:C239=C239)+($D$2:D239=C239)))</f>
        <v/>
      </c>
      <c r="X239" t="str">
        <f>IF($D239="","",SUMPRODUCT(($C$2:C239=D239)+($D$2:D239=D239)))</f>
        <v/>
      </c>
      <c r="Y239" t="str">
        <f t="shared" si="18"/>
        <v/>
      </c>
      <c r="Z239" t="str">
        <f t="shared" si="19"/>
        <v/>
      </c>
      <c r="AA239" s="4" t="str">
        <f>IF($C239="","",IF(COUNTIF($C$1:C238,$C239)+COUNTIF($D$1:D238,$C239)=0,1,0))</f>
        <v/>
      </c>
      <c r="AB239" s="4" t="str">
        <f>IF($D239="","",IF(COUNTIF($C$1:C239,$D239)+COUNTIF($D$1:D238,$D239)=0,1,0))</f>
        <v/>
      </c>
      <c r="AC239" s="4" t="str">
        <f>IF(AA239=1,SUM($AA$2:AA239)-AA239+SUM($AB$2:AB239)-AB239+1,"")</f>
        <v/>
      </c>
      <c r="AD239" s="4" t="str">
        <f>IF(AB239=1,SUM($AA$2:AA239)+SUM($AB$2:AB239)-AB239+1,"")</f>
        <v/>
      </c>
      <c r="AE239" s="4" t="str">
        <f t="shared" si="20"/>
        <v/>
      </c>
      <c r="AF239" s="4" t="str">
        <f t="shared" si="21"/>
        <v/>
      </c>
      <c r="AG239" s="8">
        <f t="shared" si="22"/>
        <v>0</v>
      </c>
      <c r="AI239" s="8">
        <f t="shared" si="23"/>
        <v>0</v>
      </c>
    </row>
    <row r="240" spans="1:35" ht="15" customHeight="1" x14ac:dyDescent="0.25">
      <c r="A240" s="10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3"/>
      <c r="P240" s="3"/>
      <c r="Q240" s="8"/>
      <c r="R240" s="8"/>
      <c r="S240" s="8"/>
      <c r="T240" s="8"/>
      <c r="U240" s="8"/>
      <c r="V240" s="8"/>
      <c r="W240" t="str">
        <f>IF($C240="","",SUMPRODUCT(($C$2:C240=C240)+($D$2:D240=C240)))</f>
        <v/>
      </c>
      <c r="X240" t="str">
        <f>IF($D240="","",SUMPRODUCT(($C$2:C240=D240)+($D$2:D240=D240)))</f>
        <v/>
      </c>
      <c r="Y240" t="str">
        <f t="shared" si="18"/>
        <v/>
      </c>
      <c r="Z240" t="str">
        <f t="shared" si="19"/>
        <v/>
      </c>
      <c r="AA240" s="4" t="str">
        <f>IF($C240="","",IF(COUNTIF($C$1:C239,$C240)+COUNTIF($D$1:D239,$C240)=0,1,0))</f>
        <v/>
      </c>
      <c r="AB240" s="4" t="str">
        <f>IF($D240="","",IF(COUNTIF($C$1:C240,$D240)+COUNTIF($D$1:D239,$D240)=0,1,0))</f>
        <v/>
      </c>
      <c r="AC240" s="4" t="str">
        <f>IF(AA240=1,SUM($AA$2:AA240)-AA240+SUM($AB$2:AB240)-AB240+1,"")</f>
        <v/>
      </c>
      <c r="AD240" s="4" t="str">
        <f>IF(AB240=1,SUM($AA$2:AA240)+SUM($AB$2:AB240)-AB240+1,"")</f>
        <v/>
      </c>
      <c r="AE240" s="4" t="str">
        <f t="shared" si="20"/>
        <v/>
      </c>
      <c r="AF240" s="4" t="str">
        <f t="shared" si="21"/>
        <v/>
      </c>
      <c r="AG240" s="8">
        <f t="shared" si="22"/>
        <v>0</v>
      </c>
      <c r="AI240" s="8">
        <f t="shared" si="23"/>
        <v>0</v>
      </c>
    </row>
    <row r="241" spans="1:35" ht="15" customHeight="1" x14ac:dyDescent="0.25">
      <c r="A241" s="10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3"/>
      <c r="P241" s="3"/>
      <c r="Q241" s="8"/>
      <c r="R241" s="8"/>
      <c r="S241" s="8"/>
      <c r="T241" s="8"/>
      <c r="U241" s="8"/>
      <c r="V241" s="8"/>
      <c r="W241" t="str">
        <f>IF($C241="","",SUMPRODUCT(($C$2:C241=C241)+($D$2:D241=C241)))</f>
        <v/>
      </c>
      <c r="X241" t="str">
        <f>IF($D241="","",SUMPRODUCT(($C$2:C241=D241)+($D$2:D241=D241)))</f>
        <v/>
      </c>
      <c r="Y241" t="str">
        <f t="shared" si="18"/>
        <v/>
      </c>
      <c r="Z241" t="str">
        <f t="shared" si="19"/>
        <v/>
      </c>
      <c r="AA241" s="4" t="str">
        <f>IF($C241="","",IF(COUNTIF($C$1:C240,$C241)+COUNTIF($D$1:D240,$C241)=0,1,0))</f>
        <v/>
      </c>
      <c r="AB241" s="4" t="str">
        <f>IF($D241="","",IF(COUNTIF($C$1:C241,$D241)+COUNTIF($D$1:D240,$D241)=0,1,0))</f>
        <v/>
      </c>
      <c r="AC241" s="4" t="str">
        <f>IF(AA241=1,SUM($AA$2:AA241)-AA241+SUM($AB$2:AB241)-AB241+1,"")</f>
        <v/>
      </c>
      <c r="AD241" s="4" t="str">
        <f>IF(AB241=1,SUM($AA$2:AA241)+SUM($AB$2:AB241)-AB241+1,"")</f>
        <v/>
      </c>
      <c r="AE241" s="4" t="str">
        <f t="shared" si="20"/>
        <v/>
      </c>
      <c r="AF241" s="4" t="str">
        <f t="shared" si="21"/>
        <v/>
      </c>
      <c r="AG241" s="8">
        <f t="shared" si="22"/>
        <v>0</v>
      </c>
      <c r="AI241" s="8">
        <f t="shared" si="23"/>
        <v>0</v>
      </c>
    </row>
    <row r="242" spans="1:35" ht="15" customHeight="1" x14ac:dyDescent="0.25">
      <c r="A242" s="10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3"/>
      <c r="P242" s="3"/>
      <c r="Q242" s="8"/>
      <c r="R242" s="8"/>
      <c r="S242" s="8"/>
      <c r="T242" s="8"/>
      <c r="U242" s="8"/>
      <c r="V242" s="8"/>
      <c r="W242" t="str">
        <f>IF($C242="","",SUMPRODUCT(($C$2:C242=C242)+($D$2:D242=C242)))</f>
        <v/>
      </c>
      <c r="X242" t="str">
        <f>IF($D242="","",SUMPRODUCT(($C$2:C242=D242)+($D$2:D242=D242)))</f>
        <v/>
      </c>
      <c r="Y242" t="str">
        <f t="shared" si="18"/>
        <v/>
      </c>
      <c r="Z242" t="str">
        <f t="shared" si="19"/>
        <v/>
      </c>
      <c r="AA242" s="4" t="str">
        <f>IF($C242="","",IF(COUNTIF($C$1:C241,$C242)+COUNTIF($D$1:D241,$C242)=0,1,0))</f>
        <v/>
      </c>
      <c r="AB242" s="4" t="str">
        <f>IF($D242="","",IF(COUNTIF($C$1:C242,$D242)+COUNTIF($D$1:D241,$D242)=0,1,0))</f>
        <v/>
      </c>
      <c r="AC242" s="4" t="str">
        <f>IF(AA242=1,SUM($AA$2:AA242)-AA242+SUM($AB$2:AB242)-AB242+1,"")</f>
        <v/>
      </c>
      <c r="AD242" s="4" t="str">
        <f>IF(AB242=1,SUM($AA$2:AA242)+SUM($AB$2:AB242)-AB242+1,"")</f>
        <v/>
      </c>
      <c r="AE242" s="4" t="str">
        <f t="shared" si="20"/>
        <v/>
      </c>
      <c r="AF242" s="4" t="str">
        <f t="shared" si="21"/>
        <v/>
      </c>
      <c r="AG242" s="8">
        <f t="shared" si="22"/>
        <v>0</v>
      </c>
      <c r="AI242" s="8">
        <f t="shared" si="23"/>
        <v>0</v>
      </c>
    </row>
    <row r="243" spans="1:35" ht="15" customHeight="1" x14ac:dyDescent="0.25">
      <c r="A243" s="10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3"/>
      <c r="P243" s="3"/>
      <c r="Q243" s="8"/>
      <c r="R243" s="8"/>
      <c r="S243" s="8"/>
      <c r="T243" s="8"/>
      <c r="U243" s="8"/>
      <c r="V243" s="8"/>
      <c r="W243" t="str">
        <f>IF($C243="","",SUMPRODUCT(($C$2:C243=C243)+($D$2:D243=C243)))</f>
        <v/>
      </c>
      <c r="X243" t="str">
        <f>IF($D243="","",SUMPRODUCT(($C$2:C243=D243)+($D$2:D243=D243)))</f>
        <v/>
      </c>
      <c r="Y243" t="str">
        <f t="shared" si="18"/>
        <v/>
      </c>
      <c r="Z243" t="str">
        <f t="shared" si="19"/>
        <v/>
      </c>
      <c r="AA243" s="4" t="str">
        <f>IF($C243="","",IF(COUNTIF($C$1:C242,$C243)+COUNTIF($D$1:D242,$C243)=0,1,0))</f>
        <v/>
      </c>
      <c r="AB243" s="4" t="str">
        <f>IF($D243="","",IF(COUNTIF($C$1:C243,$D243)+COUNTIF($D$1:D242,$D243)=0,1,0))</f>
        <v/>
      </c>
      <c r="AC243" s="4" t="str">
        <f>IF(AA243=1,SUM($AA$2:AA243)-AA243+SUM($AB$2:AB243)-AB243+1,"")</f>
        <v/>
      </c>
      <c r="AD243" s="4" t="str">
        <f>IF(AB243=1,SUM($AA$2:AA243)+SUM($AB$2:AB243)-AB243+1,"")</f>
        <v/>
      </c>
      <c r="AE243" s="4" t="str">
        <f t="shared" si="20"/>
        <v/>
      </c>
      <c r="AF243" s="4" t="str">
        <f t="shared" si="21"/>
        <v/>
      </c>
      <c r="AG243" s="8">
        <f t="shared" si="22"/>
        <v>0</v>
      </c>
      <c r="AI243" s="8">
        <f t="shared" si="23"/>
        <v>0</v>
      </c>
    </row>
    <row r="244" spans="1:35" ht="15" customHeight="1" x14ac:dyDescent="0.25">
      <c r="A244" s="10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3"/>
      <c r="P244" s="3"/>
      <c r="Q244" s="8"/>
      <c r="R244" s="8"/>
      <c r="S244" s="8"/>
      <c r="T244" s="8"/>
      <c r="U244" s="8"/>
      <c r="V244" s="8"/>
      <c r="W244" t="str">
        <f>IF($C244="","",SUMPRODUCT(($C$2:C244=C244)+($D$2:D244=C244)))</f>
        <v/>
      </c>
      <c r="X244" t="str">
        <f>IF($D244="","",SUMPRODUCT(($C$2:C244=D244)+($D$2:D244=D244)))</f>
        <v/>
      </c>
      <c r="Y244" t="str">
        <f t="shared" si="18"/>
        <v/>
      </c>
      <c r="Z244" t="str">
        <f t="shared" si="19"/>
        <v/>
      </c>
      <c r="AA244" s="4" t="str">
        <f>IF($C244="","",IF(COUNTIF($C$1:C243,$C244)+COUNTIF($D$1:D243,$C244)=0,1,0))</f>
        <v/>
      </c>
      <c r="AB244" s="4" t="str">
        <f>IF($D244="","",IF(COUNTIF($C$1:C244,$D244)+COUNTIF($D$1:D243,$D244)=0,1,0))</f>
        <v/>
      </c>
      <c r="AC244" s="4" t="str">
        <f>IF(AA244=1,SUM($AA$2:AA244)-AA244+SUM($AB$2:AB244)-AB244+1,"")</f>
        <v/>
      </c>
      <c r="AD244" s="4" t="str">
        <f>IF(AB244=1,SUM($AA$2:AA244)+SUM($AB$2:AB244)-AB244+1,"")</f>
        <v/>
      </c>
      <c r="AE244" s="4" t="str">
        <f t="shared" si="20"/>
        <v/>
      </c>
      <c r="AF244" s="4" t="str">
        <f t="shared" si="21"/>
        <v/>
      </c>
      <c r="AG244" s="8">
        <f t="shared" si="22"/>
        <v>0</v>
      </c>
      <c r="AI244" s="8">
        <f t="shared" si="23"/>
        <v>0</v>
      </c>
    </row>
    <row r="245" spans="1:35" ht="15" customHeight="1" x14ac:dyDescent="0.25">
      <c r="A245" s="10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3"/>
      <c r="P245" s="3"/>
      <c r="Q245" s="8"/>
      <c r="R245" s="8"/>
      <c r="S245" s="8"/>
      <c r="T245" s="8"/>
      <c r="U245" s="8"/>
      <c r="V245" s="8"/>
      <c r="W245" t="str">
        <f>IF($C245="","",SUMPRODUCT(($C$2:C245=C245)+($D$2:D245=C245)))</f>
        <v/>
      </c>
      <c r="X245" t="str">
        <f>IF($D245="","",SUMPRODUCT(($C$2:C245=D245)+($D$2:D245=D245)))</f>
        <v/>
      </c>
      <c r="Y245" t="str">
        <f t="shared" si="18"/>
        <v/>
      </c>
      <c r="Z245" t="str">
        <f t="shared" si="19"/>
        <v/>
      </c>
      <c r="AA245" s="4" t="str">
        <f>IF($C245="","",IF(COUNTIF($C$1:C244,$C245)+COUNTIF($D$1:D244,$C245)=0,1,0))</f>
        <v/>
      </c>
      <c r="AB245" s="4" t="str">
        <f>IF($D245="","",IF(COUNTIF($C$1:C245,$D245)+COUNTIF($D$1:D244,$D245)=0,1,0))</f>
        <v/>
      </c>
      <c r="AC245" s="4" t="str">
        <f>IF(AA245=1,SUM($AA$2:AA245)-AA245+SUM($AB$2:AB245)-AB245+1,"")</f>
        <v/>
      </c>
      <c r="AD245" s="4" t="str">
        <f>IF(AB245=1,SUM($AA$2:AA245)+SUM($AB$2:AB245)-AB245+1,"")</f>
        <v/>
      </c>
      <c r="AE245" s="4" t="str">
        <f t="shared" si="20"/>
        <v/>
      </c>
      <c r="AF245" s="4" t="str">
        <f t="shared" si="21"/>
        <v/>
      </c>
      <c r="AG245" s="8">
        <f t="shared" si="22"/>
        <v>0</v>
      </c>
      <c r="AI245" s="8">
        <f t="shared" si="23"/>
        <v>0</v>
      </c>
    </row>
    <row r="246" spans="1:35" ht="15" customHeight="1" x14ac:dyDescent="0.25">
      <c r="A246" s="10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3"/>
      <c r="P246" s="3"/>
      <c r="Q246" s="8"/>
      <c r="R246" s="8"/>
      <c r="S246" s="8"/>
      <c r="T246" s="8"/>
      <c r="U246" s="8"/>
      <c r="V246" s="8"/>
      <c r="W246" t="str">
        <f>IF($C246="","",SUMPRODUCT(($C$2:C246=C246)+($D$2:D246=C246)))</f>
        <v/>
      </c>
      <c r="X246" t="str">
        <f>IF($D246="","",SUMPRODUCT(($C$2:C246=D246)+($D$2:D246=D246)))</f>
        <v/>
      </c>
      <c r="Y246" t="str">
        <f t="shared" si="18"/>
        <v/>
      </c>
      <c r="Z246" t="str">
        <f t="shared" si="19"/>
        <v/>
      </c>
      <c r="AA246" s="4" t="str">
        <f>IF($C246="","",IF(COUNTIF($C$1:C245,$C246)+COUNTIF($D$1:D245,$C246)=0,1,0))</f>
        <v/>
      </c>
      <c r="AB246" s="4" t="str">
        <f>IF($D246="","",IF(COUNTIF($C$1:C246,$D246)+COUNTIF($D$1:D245,$D246)=0,1,0))</f>
        <v/>
      </c>
      <c r="AC246" s="4" t="str">
        <f>IF(AA246=1,SUM($AA$2:AA246)-AA246+SUM($AB$2:AB246)-AB246+1,"")</f>
        <v/>
      </c>
      <c r="AD246" s="4" t="str">
        <f>IF(AB246=1,SUM($AA$2:AA246)+SUM($AB$2:AB246)-AB246+1,"")</f>
        <v/>
      </c>
      <c r="AE246" s="4" t="str">
        <f t="shared" si="20"/>
        <v/>
      </c>
      <c r="AF246" s="4" t="str">
        <f t="shared" si="21"/>
        <v/>
      </c>
      <c r="AG246" s="8">
        <f t="shared" si="22"/>
        <v>0</v>
      </c>
      <c r="AI246" s="8">
        <f t="shared" si="23"/>
        <v>0</v>
      </c>
    </row>
    <row r="247" spans="1:35" ht="15" customHeight="1" x14ac:dyDescent="0.25">
      <c r="A247" s="10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3"/>
      <c r="P247" s="3"/>
      <c r="Q247" s="8"/>
      <c r="R247" s="8"/>
      <c r="S247" s="8"/>
      <c r="T247" s="8"/>
      <c r="U247" s="8"/>
      <c r="V247" s="8"/>
      <c r="W247" t="str">
        <f>IF($C247="","",SUMPRODUCT(($C$2:C247=C247)+($D$2:D247=C247)))</f>
        <v/>
      </c>
      <c r="X247" t="str">
        <f>IF($D247="","",SUMPRODUCT(($C$2:C247=D247)+($D$2:D247=D247)))</f>
        <v/>
      </c>
      <c r="Y247" t="str">
        <f t="shared" si="18"/>
        <v/>
      </c>
      <c r="Z247" t="str">
        <f t="shared" si="19"/>
        <v/>
      </c>
      <c r="AA247" s="4" t="str">
        <f>IF($C247="","",IF(COUNTIF($C$1:C246,$C247)+COUNTIF($D$1:D246,$C247)=0,1,0))</f>
        <v/>
      </c>
      <c r="AB247" s="4" t="str">
        <f>IF($D247="","",IF(COUNTIF($C$1:C247,$D247)+COUNTIF($D$1:D246,$D247)=0,1,0))</f>
        <v/>
      </c>
      <c r="AC247" s="4" t="str">
        <f>IF(AA247=1,SUM($AA$2:AA247)-AA247+SUM($AB$2:AB247)-AB247+1,"")</f>
        <v/>
      </c>
      <c r="AD247" s="4" t="str">
        <f>IF(AB247=1,SUM($AA$2:AA247)+SUM($AB$2:AB247)-AB247+1,"")</f>
        <v/>
      </c>
      <c r="AE247" s="4" t="str">
        <f t="shared" si="20"/>
        <v/>
      </c>
      <c r="AF247" s="4" t="str">
        <f t="shared" si="21"/>
        <v/>
      </c>
      <c r="AG247" s="8">
        <f t="shared" si="22"/>
        <v>0</v>
      </c>
      <c r="AI247" s="8">
        <f t="shared" si="23"/>
        <v>0</v>
      </c>
    </row>
    <row r="248" spans="1:35" ht="15" customHeight="1" x14ac:dyDescent="0.25">
      <c r="A248" s="10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3"/>
      <c r="P248" s="3"/>
      <c r="Q248" s="8"/>
      <c r="R248" s="8"/>
      <c r="S248" s="8"/>
      <c r="T248" s="8"/>
      <c r="U248" s="8"/>
      <c r="V248" s="8"/>
      <c r="W248" t="str">
        <f>IF($C248="","",SUMPRODUCT(($C$2:C248=C248)+($D$2:D248=C248)))</f>
        <v/>
      </c>
      <c r="X248" t="str">
        <f>IF($D248="","",SUMPRODUCT(($C$2:C248=D248)+($D$2:D248=D248)))</f>
        <v/>
      </c>
      <c r="Y248" t="str">
        <f t="shared" si="18"/>
        <v/>
      </c>
      <c r="Z248" t="str">
        <f t="shared" si="19"/>
        <v/>
      </c>
      <c r="AA248" s="4" t="str">
        <f>IF($C248="","",IF(COUNTIF($C$1:C247,$C248)+COUNTIF($D$1:D247,$C248)=0,1,0))</f>
        <v/>
      </c>
      <c r="AB248" s="4" t="str">
        <f>IF($D248="","",IF(COUNTIF($C$1:C248,$D248)+COUNTIF($D$1:D247,$D248)=0,1,0))</f>
        <v/>
      </c>
      <c r="AC248" s="4" t="str">
        <f>IF(AA248=1,SUM($AA$2:AA248)-AA248+SUM($AB$2:AB248)-AB248+1,"")</f>
        <v/>
      </c>
      <c r="AD248" s="4" t="str">
        <f>IF(AB248=1,SUM($AA$2:AA248)+SUM($AB$2:AB248)-AB248+1,"")</f>
        <v/>
      </c>
      <c r="AE248" s="4" t="str">
        <f t="shared" si="20"/>
        <v/>
      </c>
      <c r="AF248" s="4" t="str">
        <f t="shared" si="21"/>
        <v/>
      </c>
      <c r="AG248" s="8">
        <f t="shared" si="22"/>
        <v>0</v>
      </c>
      <c r="AI248" s="8">
        <f t="shared" si="23"/>
        <v>0</v>
      </c>
    </row>
    <row r="249" spans="1:35" ht="15" customHeight="1" x14ac:dyDescent="0.25">
      <c r="A249" s="10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3"/>
      <c r="P249" s="3"/>
      <c r="Q249" s="8"/>
      <c r="R249" s="8"/>
      <c r="S249" s="8"/>
      <c r="T249" s="8"/>
      <c r="U249" s="8"/>
      <c r="V249" s="8"/>
      <c r="W249" t="str">
        <f>IF($C249="","",SUMPRODUCT(($C$2:C249=C249)+($D$2:D249=C249)))</f>
        <v/>
      </c>
      <c r="X249" t="str">
        <f>IF($D249="","",SUMPRODUCT(($C$2:C249=D249)+($D$2:D249=D249)))</f>
        <v/>
      </c>
      <c r="Y249" t="str">
        <f t="shared" si="18"/>
        <v/>
      </c>
      <c r="Z249" t="str">
        <f t="shared" si="19"/>
        <v/>
      </c>
      <c r="AA249" s="4" t="str">
        <f>IF($C249="","",IF(COUNTIF($C$1:C248,$C249)+COUNTIF($D$1:D248,$C249)=0,1,0))</f>
        <v/>
      </c>
      <c r="AB249" s="4" t="str">
        <f>IF($D249="","",IF(COUNTIF($C$1:C249,$D249)+COUNTIF($D$1:D248,$D249)=0,1,0))</f>
        <v/>
      </c>
      <c r="AC249" s="4" t="str">
        <f>IF(AA249=1,SUM($AA$2:AA249)-AA249+SUM($AB$2:AB249)-AB249+1,"")</f>
        <v/>
      </c>
      <c r="AD249" s="4" t="str">
        <f>IF(AB249=1,SUM($AA$2:AA249)+SUM($AB$2:AB249)-AB249+1,"")</f>
        <v/>
      </c>
      <c r="AE249" s="4" t="str">
        <f t="shared" si="20"/>
        <v/>
      </c>
      <c r="AF249" s="4" t="str">
        <f t="shared" si="21"/>
        <v/>
      </c>
      <c r="AG249" s="8">
        <f t="shared" si="22"/>
        <v>0</v>
      </c>
      <c r="AI249" s="8">
        <f t="shared" si="23"/>
        <v>0</v>
      </c>
    </row>
    <row r="250" spans="1:35" ht="15" customHeight="1" x14ac:dyDescent="0.25">
      <c r="A250" s="10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3"/>
      <c r="P250" s="3"/>
      <c r="Q250" s="8"/>
      <c r="R250" s="8"/>
      <c r="S250" s="8"/>
      <c r="T250" s="8"/>
      <c r="U250" s="8"/>
      <c r="V250" s="8"/>
      <c r="W250" t="str">
        <f>IF($C250="","",SUMPRODUCT(($C$2:C250=C250)+($D$2:D250=C250)))</f>
        <v/>
      </c>
      <c r="X250" t="str">
        <f>IF($D250="","",SUMPRODUCT(($C$2:C250=D250)+($D$2:D250=D250)))</f>
        <v/>
      </c>
      <c r="Y250" t="str">
        <f t="shared" si="18"/>
        <v/>
      </c>
      <c r="Z250" t="str">
        <f t="shared" si="19"/>
        <v/>
      </c>
      <c r="AA250" s="4" t="str">
        <f>IF($C250="","",IF(COUNTIF($C$1:C249,$C250)+COUNTIF($D$1:D249,$C250)=0,1,0))</f>
        <v/>
      </c>
      <c r="AB250" s="4" t="str">
        <f>IF($D250="","",IF(COUNTIF($C$1:C250,$D250)+COUNTIF($D$1:D249,$D250)=0,1,0))</f>
        <v/>
      </c>
      <c r="AC250" s="4" t="str">
        <f>IF(AA250=1,SUM($AA$2:AA250)-AA250+SUM($AB$2:AB250)-AB250+1,"")</f>
        <v/>
      </c>
      <c r="AD250" s="4" t="str">
        <f>IF(AB250=1,SUM($AA$2:AA250)+SUM($AB$2:AB250)-AB250+1,"")</f>
        <v/>
      </c>
      <c r="AE250" s="4" t="str">
        <f t="shared" si="20"/>
        <v/>
      </c>
      <c r="AF250" s="4" t="str">
        <f t="shared" si="21"/>
        <v/>
      </c>
      <c r="AG250" s="8">
        <f t="shared" si="22"/>
        <v>0</v>
      </c>
      <c r="AI250" s="8">
        <f t="shared" si="23"/>
        <v>0</v>
      </c>
    </row>
    <row r="251" spans="1:35" ht="15" customHeight="1" x14ac:dyDescent="0.25">
      <c r="A251" s="10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3"/>
      <c r="P251" s="3"/>
      <c r="Q251" s="8"/>
      <c r="R251" s="8"/>
      <c r="S251" s="8"/>
      <c r="T251" s="8"/>
      <c r="U251" s="8"/>
      <c r="V251" s="8"/>
      <c r="W251" t="str">
        <f>IF($C251="","",SUMPRODUCT(($C$2:C251=C251)+($D$2:D251=C251)))</f>
        <v/>
      </c>
      <c r="X251" t="str">
        <f>IF($D251="","",SUMPRODUCT(($C$2:C251=D251)+($D$2:D251=D251)))</f>
        <v/>
      </c>
      <c r="Y251" t="str">
        <f t="shared" si="18"/>
        <v/>
      </c>
      <c r="Z251" t="str">
        <f t="shared" si="19"/>
        <v/>
      </c>
      <c r="AA251" s="4" t="str">
        <f>IF($C251="","",IF(COUNTIF($C$1:C250,$C251)+COUNTIF($D$1:D250,$C251)=0,1,0))</f>
        <v/>
      </c>
      <c r="AB251" s="4" t="str">
        <f>IF($D251="","",IF(COUNTIF($C$1:C251,$D251)+COUNTIF($D$1:D250,$D251)=0,1,0))</f>
        <v/>
      </c>
      <c r="AC251" s="4" t="str">
        <f>IF(AA251=1,SUM($AA$2:AA251)-AA251+SUM($AB$2:AB251)-AB251+1,"")</f>
        <v/>
      </c>
      <c r="AD251" s="4" t="str">
        <f>IF(AB251=1,SUM($AA$2:AA251)+SUM($AB$2:AB251)-AB251+1,"")</f>
        <v/>
      </c>
      <c r="AE251" s="4" t="str">
        <f t="shared" si="20"/>
        <v/>
      </c>
      <c r="AF251" s="4" t="str">
        <f t="shared" si="21"/>
        <v/>
      </c>
      <c r="AG251" s="8">
        <f t="shared" si="22"/>
        <v>0</v>
      </c>
      <c r="AI251" s="8">
        <f t="shared" si="23"/>
        <v>0</v>
      </c>
    </row>
    <row r="252" spans="1:35" ht="15" customHeight="1" x14ac:dyDescent="0.25">
      <c r="A252" s="10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3"/>
      <c r="P252" s="3"/>
      <c r="Q252" s="8"/>
      <c r="R252" s="8"/>
      <c r="S252" s="8"/>
      <c r="T252" s="8"/>
      <c r="U252" s="8"/>
      <c r="V252" s="8"/>
      <c r="W252" t="str">
        <f>IF($C252="","",SUMPRODUCT(($C$2:C252=C252)+($D$2:D252=C252)))</f>
        <v/>
      </c>
      <c r="X252" t="str">
        <f>IF($D252="","",SUMPRODUCT(($C$2:C252=D252)+($D$2:D252=D252)))</f>
        <v/>
      </c>
      <c r="Y252" t="str">
        <f t="shared" si="18"/>
        <v/>
      </c>
      <c r="Z252" t="str">
        <f t="shared" si="19"/>
        <v/>
      </c>
      <c r="AA252" s="4" t="str">
        <f>IF($C252="","",IF(COUNTIF($C$1:C251,$C252)+COUNTIF($D$1:D251,$C252)=0,1,0))</f>
        <v/>
      </c>
      <c r="AB252" s="4" t="str">
        <f>IF($D252="","",IF(COUNTIF($C$1:C252,$D252)+COUNTIF($D$1:D251,$D252)=0,1,0))</f>
        <v/>
      </c>
      <c r="AC252" s="4" t="str">
        <f>IF(AA252=1,SUM($AA$2:AA252)-AA252+SUM($AB$2:AB252)-AB252+1,"")</f>
        <v/>
      </c>
      <c r="AD252" s="4" t="str">
        <f>IF(AB252=1,SUM($AA$2:AA252)+SUM($AB$2:AB252)-AB252+1,"")</f>
        <v/>
      </c>
      <c r="AE252" s="4" t="str">
        <f t="shared" si="20"/>
        <v/>
      </c>
      <c r="AF252" s="4" t="str">
        <f t="shared" si="21"/>
        <v/>
      </c>
      <c r="AG252" s="8">
        <f t="shared" si="22"/>
        <v>0</v>
      </c>
      <c r="AI252" s="8">
        <f t="shared" si="23"/>
        <v>0</v>
      </c>
    </row>
    <row r="253" spans="1:35" ht="15" customHeight="1" x14ac:dyDescent="0.25">
      <c r="A253" s="10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3"/>
      <c r="P253" s="3"/>
      <c r="Q253" s="8"/>
      <c r="R253" s="8"/>
      <c r="S253" s="8"/>
      <c r="T253" s="8"/>
      <c r="U253" s="8"/>
      <c r="V253" s="8"/>
      <c r="W253" t="str">
        <f>IF($C253="","",SUMPRODUCT(($C$2:C253=C253)+($D$2:D253=C253)))</f>
        <v/>
      </c>
      <c r="X253" t="str">
        <f>IF($D253="","",SUMPRODUCT(($C$2:C253=D253)+($D$2:D253=D253)))</f>
        <v/>
      </c>
      <c r="Y253" t="str">
        <f t="shared" si="18"/>
        <v/>
      </c>
      <c r="Z253" t="str">
        <f t="shared" si="19"/>
        <v/>
      </c>
      <c r="AA253" s="4" t="str">
        <f>IF($C253="","",IF(COUNTIF($C$1:C252,$C253)+COUNTIF($D$1:D252,$C253)=0,1,0))</f>
        <v/>
      </c>
      <c r="AB253" s="4" t="str">
        <f>IF($D253="","",IF(COUNTIF($C$1:C253,$D253)+COUNTIF($D$1:D252,$D253)=0,1,0))</f>
        <v/>
      </c>
      <c r="AC253" s="4" t="str">
        <f>IF(AA253=1,SUM($AA$2:AA253)-AA253+SUM($AB$2:AB253)-AB253+1,"")</f>
        <v/>
      </c>
      <c r="AD253" s="4" t="str">
        <f>IF(AB253=1,SUM($AA$2:AA253)+SUM($AB$2:AB253)-AB253+1,"")</f>
        <v/>
      </c>
      <c r="AE253" s="4" t="str">
        <f t="shared" si="20"/>
        <v/>
      </c>
      <c r="AF253" s="4" t="str">
        <f t="shared" si="21"/>
        <v/>
      </c>
      <c r="AG253" s="8">
        <f t="shared" si="22"/>
        <v>0</v>
      </c>
      <c r="AI253" s="8">
        <f t="shared" si="23"/>
        <v>0</v>
      </c>
    </row>
    <row r="254" spans="1:35" ht="15" customHeight="1" x14ac:dyDescent="0.25">
      <c r="A254" s="10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3"/>
      <c r="P254" s="3"/>
      <c r="Q254" s="8"/>
      <c r="R254" s="8"/>
      <c r="S254" s="8"/>
      <c r="T254" s="8"/>
      <c r="U254" s="8"/>
      <c r="V254" s="8"/>
      <c r="W254" t="str">
        <f>IF($C254="","",SUMPRODUCT(($C$2:C254=C254)+($D$2:D254=C254)))</f>
        <v/>
      </c>
      <c r="X254" t="str">
        <f>IF($D254="","",SUMPRODUCT(($C$2:C254=D254)+($D$2:D254=D254)))</f>
        <v/>
      </c>
      <c r="Y254" t="str">
        <f t="shared" si="18"/>
        <v/>
      </c>
      <c r="Z254" t="str">
        <f t="shared" si="19"/>
        <v/>
      </c>
      <c r="AA254" s="4" t="str">
        <f>IF($C254="","",IF(COUNTIF($C$1:C253,$C254)+COUNTIF($D$1:D253,$C254)=0,1,0))</f>
        <v/>
      </c>
      <c r="AB254" s="4" t="str">
        <f>IF($D254="","",IF(COUNTIF($C$1:C254,$D254)+COUNTIF($D$1:D253,$D254)=0,1,0))</f>
        <v/>
      </c>
      <c r="AC254" s="4" t="str">
        <f>IF(AA254=1,SUM($AA$2:AA254)-AA254+SUM($AB$2:AB254)-AB254+1,"")</f>
        <v/>
      </c>
      <c r="AD254" s="4" t="str">
        <f>IF(AB254=1,SUM($AA$2:AA254)+SUM($AB$2:AB254)-AB254+1,"")</f>
        <v/>
      </c>
      <c r="AE254" s="4" t="str">
        <f t="shared" si="20"/>
        <v/>
      </c>
      <c r="AF254" s="4" t="str">
        <f t="shared" si="21"/>
        <v/>
      </c>
      <c r="AG254" s="8">
        <f t="shared" si="22"/>
        <v>0</v>
      </c>
      <c r="AI254" s="8">
        <f t="shared" si="23"/>
        <v>0</v>
      </c>
    </row>
    <row r="255" spans="1:35" ht="15" customHeight="1" x14ac:dyDescent="0.25">
      <c r="A255" s="10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3"/>
      <c r="P255" s="3"/>
      <c r="Q255" s="8"/>
      <c r="R255" s="8"/>
      <c r="S255" s="8"/>
      <c r="T255" s="8"/>
      <c r="U255" s="8"/>
      <c r="V255" s="8"/>
      <c r="W255" t="str">
        <f>IF($C255="","",SUMPRODUCT(($C$2:C255=C255)+($D$2:D255=C255)))</f>
        <v/>
      </c>
      <c r="X255" t="str">
        <f>IF($D255="","",SUMPRODUCT(($C$2:C255=D255)+($D$2:D255=D255)))</f>
        <v/>
      </c>
      <c r="Y255" t="str">
        <f t="shared" si="18"/>
        <v/>
      </c>
      <c r="Z255" t="str">
        <f t="shared" si="19"/>
        <v/>
      </c>
      <c r="AA255" s="4" t="str">
        <f>IF($C255="","",IF(COUNTIF($C$1:C254,$C255)+COUNTIF($D$1:D254,$C255)=0,1,0))</f>
        <v/>
      </c>
      <c r="AB255" s="4" t="str">
        <f>IF($D255="","",IF(COUNTIF($C$1:C255,$D255)+COUNTIF($D$1:D254,$D255)=0,1,0))</f>
        <v/>
      </c>
      <c r="AC255" s="4" t="str">
        <f>IF(AA255=1,SUM($AA$2:AA255)-AA255+SUM($AB$2:AB255)-AB255+1,"")</f>
        <v/>
      </c>
      <c r="AD255" s="4" t="str">
        <f>IF(AB255=1,SUM($AA$2:AA255)+SUM($AB$2:AB255)-AB255+1,"")</f>
        <v/>
      </c>
      <c r="AE255" s="4" t="str">
        <f t="shared" si="20"/>
        <v/>
      </c>
      <c r="AF255" s="4" t="str">
        <f t="shared" si="21"/>
        <v/>
      </c>
      <c r="AG255" s="8">
        <f t="shared" si="22"/>
        <v>0</v>
      </c>
      <c r="AI255" s="8">
        <f t="shared" si="23"/>
        <v>0</v>
      </c>
    </row>
    <row r="256" spans="1:35" ht="15" customHeight="1" x14ac:dyDescent="0.25">
      <c r="A256" s="10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3"/>
      <c r="P256" s="3"/>
      <c r="Q256" s="8"/>
      <c r="R256" s="8"/>
      <c r="S256" s="8"/>
      <c r="T256" s="8"/>
      <c r="U256" s="8"/>
      <c r="V256" s="8"/>
      <c r="W256" t="str">
        <f>IF($C256="","",SUMPRODUCT(($C$2:C256=C256)+($D$2:D256=C256)))</f>
        <v/>
      </c>
      <c r="X256" t="str">
        <f>IF($D256="","",SUMPRODUCT(($C$2:C256=D256)+($D$2:D256=D256)))</f>
        <v/>
      </c>
      <c r="Y256" t="str">
        <f t="shared" si="18"/>
        <v/>
      </c>
      <c r="Z256" t="str">
        <f t="shared" si="19"/>
        <v/>
      </c>
      <c r="AA256" s="4" t="str">
        <f>IF($C256="","",IF(COUNTIF($C$1:C255,$C256)+COUNTIF($D$1:D255,$C256)=0,1,0))</f>
        <v/>
      </c>
      <c r="AB256" s="4" t="str">
        <f>IF($D256="","",IF(COUNTIF($C$1:C256,$D256)+COUNTIF($D$1:D255,$D256)=0,1,0))</f>
        <v/>
      </c>
      <c r="AC256" s="4" t="str">
        <f>IF(AA256=1,SUM($AA$2:AA256)-AA256+SUM($AB$2:AB256)-AB256+1,"")</f>
        <v/>
      </c>
      <c r="AD256" s="4" t="str">
        <f>IF(AB256=1,SUM($AA$2:AA256)+SUM($AB$2:AB256)-AB256+1,"")</f>
        <v/>
      </c>
      <c r="AE256" s="4" t="str">
        <f t="shared" si="20"/>
        <v/>
      </c>
      <c r="AF256" s="4" t="str">
        <f t="shared" si="21"/>
        <v/>
      </c>
      <c r="AG256" s="8">
        <f t="shared" si="22"/>
        <v>0</v>
      </c>
      <c r="AI256" s="8">
        <f t="shared" si="23"/>
        <v>0</v>
      </c>
    </row>
    <row r="257" spans="1:35" ht="15" customHeight="1" x14ac:dyDescent="0.25">
      <c r="A257" s="10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3"/>
      <c r="P257" s="3"/>
      <c r="Q257" s="8"/>
      <c r="R257" s="8"/>
      <c r="S257" s="8"/>
      <c r="T257" s="8"/>
      <c r="U257" s="8"/>
      <c r="V257" s="8"/>
      <c r="W257" t="str">
        <f>IF($C257="","",SUMPRODUCT(($C$2:C257=C257)+($D$2:D257=C257)))</f>
        <v/>
      </c>
      <c r="X257" t="str">
        <f>IF($D257="","",SUMPRODUCT(($C$2:C257=D257)+($D$2:D257=D257)))</f>
        <v/>
      </c>
      <c r="Y257" t="str">
        <f t="shared" si="18"/>
        <v/>
      </c>
      <c r="Z257" t="str">
        <f t="shared" si="19"/>
        <v/>
      </c>
      <c r="AA257" s="4" t="str">
        <f>IF($C257="","",IF(COUNTIF($C$1:C256,$C257)+COUNTIF($D$1:D256,$C257)=0,1,0))</f>
        <v/>
      </c>
      <c r="AB257" s="4" t="str">
        <f>IF($D257="","",IF(COUNTIF($C$1:C257,$D257)+COUNTIF($D$1:D256,$D257)=0,1,0))</f>
        <v/>
      </c>
      <c r="AC257" s="4" t="str">
        <f>IF(AA257=1,SUM($AA$2:AA257)-AA257+SUM($AB$2:AB257)-AB257+1,"")</f>
        <v/>
      </c>
      <c r="AD257" s="4" t="str">
        <f>IF(AB257=1,SUM($AA$2:AA257)+SUM($AB$2:AB257)-AB257+1,"")</f>
        <v/>
      </c>
      <c r="AE257" s="4" t="str">
        <f t="shared" si="20"/>
        <v/>
      </c>
      <c r="AF257" s="4" t="str">
        <f t="shared" si="21"/>
        <v/>
      </c>
      <c r="AG257" s="8">
        <f t="shared" si="22"/>
        <v>0</v>
      </c>
      <c r="AI257" s="8">
        <f t="shared" si="23"/>
        <v>0</v>
      </c>
    </row>
    <row r="258" spans="1:35" ht="15" customHeight="1" x14ac:dyDescent="0.25">
      <c r="A258" s="10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3"/>
      <c r="P258" s="3"/>
      <c r="Q258" s="8"/>
      <c r="R258" s="8"/>
      <c r="S258" s="8"/>
      <c r="T258" s="8"/>
      <c r="U258" s="8"/>
      <c r="V258" s="8"/>
      <c r="W258" t="str">
        <f>IF($C258="","",SUMPRODUCT(($C$2:C258=C258)+($D$2:D258=C258)))</f>
        <v/>
      </c>
      <c r="X258" t="str">
        <f>IF($D258="","",SUMPRODUCT(($C$2:C258=D258)+($D$2:D258=D258)))</f>
        <v/>
      </c>
      <c r="Y258" t="str">
        <f t="shared" ref="Y258:Y321" si="24">IF($C258="","",C258&amp;"|"&amp;W258)</f>
        <v/>
      </c>
      <c r="Z258" t="str">
        <f t="shared" ref="Z258:Z321" si="25">IF($D258="","",D258&amp;"|"&amp;X258)</f>
        <v/>
      </c>
      <c r="AA258" s="4" t="str">
        <f>IF($C258="","",IF(COUNTIF($C$1:C257,$C258)+COUNTIF($D$1:D257,$C258)=0,1,0))</f>
        <v/>
      </c>
      <c r="AB258" s="4" t="str">
        <f>IF($D258="","",IF(COUNTIF($C$1:C258,$D258)+COUNTIF($D$1:D257,$D258)=0,1,0))</f>
        <v/>
      </c>
      <c r="AC258" s="4" t="str">
        <f>IF(AA258=1,SUM($AA$2:AA258)-AA258+SUM($AB$2:AB258)-AB258+1,"")</f>
        <v/>
      </c>
      <c r="AD258" s="4" t="str">
        <f>IF(AB258=1,SUM($AA$2:AA258)+SUM($AB$2:AB258)-AB258+1,"")</f>
        <v/>
      </c>
      <c r="AE258" s="4" t="str">
        <f t="shared" ref="AE258:AE321" si="26">IF(AC258="","","TEAM|"&amp;AC258)</f>
        <v/>
      </c>
      <c r="AF258" s="4" t="str">
        <f t="shared" ref="AF258:AF321" si="27">IF(AD258="","","TEAM|"&amp;AD258)</f>
        <v/>
      </c>
      <c r="AG258" s="8">
        <f t="shared" ref="AG258:AG321" si="28">IF(AH258="",0,LEN(AH258)-LEN(SUBSTITUTE(AH258,"/",""))+1)</f>
        <v>0</v>
      </c>
      <c r="AI258" s="8">
        <f t="shared" ref="AI258:AI321" si="29">IF(AJ258="",0,LEN(AJ258)-LEN(SUBSTITUTE(AJ258,"/",""))+1)</f>
        <v>0</v>
      </c>
    </row>
    <row r="259" spans="1:35" ht="15" customHeight="1" x14ac:dyDescent="0.25">
      <c r="A259" s="10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3"/>
      <c r="P259" s="3"/>
      <c r="Q259" s="8"/>
      <c r="R259" s="8"/>
      <c r="S259" s="8"/>
      <c r="T259" s="8"/>
      <c r="U259" s="8"/>
      <c r="V259" s="8"/>
      <c r="W259" t="str">
        <f>IF($C259="","",SUMPRODUCT(($C$2:C259=C259)+($D$2:D259=C259)))</f>
        <v/>
      </c>
      <c r="X259" t="str">
        <f>IF($D259="","",SUMPRODUCT(($C$2:C259=D259)+($D$2:D259=D259)))</f>
        <v/>
      </c>
      <c r="Y259" t="str">
        <f t="shared" si="24"/>
        <v/>
      </c>
      <c r="Z259" t="str">
        <f t="shared" si="25"/>
        <v/>
      </c>
      <c r="AA259" s="4" t="str">
        <f>IF($C259="","",IF(COUNTIF($C$1:C258,$C259)+COUNTIF($D$1:D258,$C259)=0,1,0))</f>
        <v/>
      </c>
      <c r="AB259" s="4" t="str">
        <f>IF($D259="","",IF(COUNTIF($C$1:C259,$D259)+COUNTIF($D$1:D258,$D259)=0,1,0))</f>
        <v/>
      </c>
      <c r="AC259" s="4" t="str">
        <f>IF(AA259=1,SUM($AA$2:AA259)-AA259+SUM($AB$2:AB259)-AB259+1,"")</f>
        <v/>
      </c>
      <c r="AD259" s="4" t="str">
        <f>IF(AB259=1,SUM($AA$2:AA259)+SUM($AB$2:AB259)-AB259+1,"")</f>
        <v/>
      </c>
      <c r="AE259" s="4" t="str">
        <f t="shared" si="26"/>
        <v/>
      </c>
      <c r="AF259" s="4" t="str">
        <f t="shared" si="27"/>
        <v/>
      </c>
      <c r="AG259" s="8">
        <f t="shared" si="28"/>
        <v>0</v>
      </c>
      <c r="AI259" s="8">
        <f t="shared" si="29"/>
        <v>0</v>
      </c>
    </row>
    <row r="260" spans="1:35" ht="15" customHeight="1" x14ac:dyDescent="0.25">
      <c r="A260" s="10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3"/>
      <c r="P260" s="3"/>
      <c r="Q260" s="8"/>
      <c r="R260" s="8"/>
      <c r="S260" s="8"/>
      <c r="T260" s="8"/>
      <c r="U260" s="8"/>
      <c r="V260" s="8"/>
      <c r="W260" t="str">
        <f>IF($C260="","",SUMPRODUCT(($C$2:C260=C260)+($D$2:D260=C260)))</f>
        <v/>
      </c>
      <c r="X260" t="str">
        <f>IF($D260="","",SUMPRODUCT(($C$2:C260=D260)+($D$2:D260=D260)))</f>
        <v/>
      </c>
      <c r="Y260" t="str">
        <f t="shared" si="24"/>
        <v/>
      </c>
      <c r="Z260" t="str">
        <f t="shared" si="25"/>
        <v/>
      </c>
      <c r="AA260" s="4" t="str">
        <f>IF($C260="","",IF(COUNTIF($C$1:C259,$C260)+COUNTIF($D$1:D259,$C260)=0,1,0))</f>
        <v/>
      </c>
      <c r="AB260" s="4" t="str">
        <f>IF($D260="","",IF(COUNTIF($C$1:C260,$D260)+COUNTIF($D$1:D259,$D260)=0,1,0))</f>
        <v/>
      </c>
      <c r="AC260" s="4" t="str">
        <f>IF(AA260=1,SUM($AA$2:AA260)-AA260+SUM($AB$2:AB260)-AB260+1,"")</f>
        <v/>
      </c>
      <c r="AD260" s="4" t="str">
        <f>IF(AB260=1,SUM($AA$2:AA260)+SUM($AB$2:AB260)-AB260+1,"")</f>
        <v/>
      </c>
      <c r="AE260" s="4" t="str">
        <f t="shared" si="26"/>
        <v/>
      </c>
      <c r="AF260" s="4" t="str">
        <f t="shared" si="27"/>
        <v/>
      </c>
      <c r="AG260" s="8">
        <f t="shared" si="28"/>
        <v>0</v>
      </c>
      <c r="AI260" s="8">
        <f t="shared" si="29"/>
        <v>0</v>
      </c>
    </row>
    <row r="261" spans="1:35" ht="15" customHeight="1" x14ac:dyDescent="0.25">
      <c r="A261" s="10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3"/>
      <c r="P261" s="3"/>
      <c r="Q261" s="8"/>
      <c r="R261" s="8"/>
      <c r="S261" s="8"/>
      <c r="T261" s="8"/>
      <c r="U261" s="8"/>
      <c r="V261" s="8"/>
      <c r="W261" t="str">
        <f>IF($C261="","",SUMPRODUCT(($C$2:C261=C261)+($D$2:D261=C261)))</f>
        <v/>
      </c>
      <c r="X261" t="str">
        <f>IF($D261="","",SUMPRODUCT(($C$2:C261=D261)+($D$2:D261=D261)))</f>
        <v/>
      </c>
      <c r="Y261" t="str">
        <f t="shared" si="24"/>
        <v/>
      </c>
      <c r="Z261" t="str">
        <f t="shared" si="25"/>
        <v/>
      </c>
      <c r="AA261" s="4" t="str">
        <f>IF($C261="","",IF(COUNTIF($C$1:C260,$C261)+COUNTIF($D$1:D260,$C261)=0,1,0))</f>
        <v/>
      </c>
      <c r="AB261" s="4" t="str">
        <f>IF($D261="","",IF(COUNTIF($C$1:C261,$D261)+COUNTIF($D$1:D260,$D261)=0,1,0))</f>
        <v/>
      </c>
      <c r="AC261" s="4" t="str">
        <f>IF(AA261=1,SUM($AA$2:AA261)-AA261+SUM($AB$2:AB261)-AB261+1,"")</f>
        <v/>
      </c>
      <c r="AD261" s="4" t="str">
        <f>IF(AB261=1,SUM($AA$2:AA261)+SUM($AB$2:AB261)-AB261+1,"")</f>
        <v/>
      </c>
      <c r="AE261" s="4" t="str">
        <f t="shared" si="26"/>
        <v/>
      </c>
      <c r="AF261" s="4" t="str">
        <f t="shared" si="27"/>
        <v/>
      </c>
      <c r="AG261" s="8">
        <f t="shared" si="28"/>
        <v>0</v>
      </c>
      <c r="AI261" s="8">
        <f t="shared" si="29"/>
        <v>0</v>
      </c>
    </row>
    <row r="262" spans="1:35" ht="15" customHeight="1" x14ac:dyDescent="0.25">
      <c r="A262" s="10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3"/>
      <c r="P262" s="3"/>
      <c r="Q262" s="8"/>
      <c r="R262" s="8"/>
      <c r="S262" s="8"/>
      <c r="T262" s="8"/>
      <c r="U262" s="8"/>
      <c r="V262" s="8"/>
      <c r="W262" t="str">
        <f>IF($C262="","",SUMPRODUCT(($C$2:C262=C262)+($D$2:D262=C262)))</f>
        <v/>
      </c>
      <c r="X262" t="str">
        <f>IF($D262="","",SUMPRODUCT(($C$2:C262=D262)+($D$2:D262=D262)))</f>
        <v/>
      </c>
      <c r="Y262" t="str">
        <f t="shared" si="24"/>
        <v/>
      </c>
      <c r="Z262" t="str">
        <f t="shared" si="25"/>
        <v/>
      </c>
      <c r="AA262" s="4" t="str">
        <f>IF($C262="","",IF(COUNTIF($C$1:C261,$C262)+COUNTIF($D$1:D261,$C262)=0,1,0))</f>
        <v/>
      </c>
      <c r="AB262" s="4" t="str">
        <f>IF($D262="","",IF(COUNTIF($C$1:C262,$D262)+COUNTIF($D$1:D261,$D262)=0,1,0))</f>
        <v/>
      </c>
      <c r="AC262" s="4" t="str">
        <f>IF(AA262=1,SUM($AA$2:AA262)-AA262+SUM($AB$2:AB262)-AB262+1,"")</f>
        <v/>
      </c>
      <c r="AD262" s="4" t="str">
        <f>IF(AB262=1,SUM($AA$2:AA262)+SUM($AB$2:AB262)-AB262+1,"")</f>
        <v/>
      </c>
      <c r="AE262" s="4" t="str">
        <f t="shared" si="26"/>
        <v/>
      </c>
      <c r="AF262" s="4" t="str">
        <f t="shared" si="27"/>
        <v/>
      </c>
      <c r="AG262" s="8">
        <f t="shared" si="28"/>
        <v>0</v>
      </c>
      <c r="AI262" s="8">
        <f t="shared" si="29"/>
        <v>0</v>
      </c>
    </row>
    <row r="263" spans="1:35" ht="15" customHeight="1" x14ac:dyDescent="0.25">
      <c r="A263" s="10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3"/>
      <c r="P263" s="3"/>
      <c r="Q263" s="8"/>
      <c r="R263" s="8"/>
      <c r="S263" s="8"/>
      <c r="T263" s="8"/>
      <c r="U263" s="8"/>
      <c r="V263" s="8"/>
      <c r="W263" t="str">
        <f>IF($C263="","",SUMPRODUCT(($C$2:C263=C263)+($D$2:D263=C263)))</f>
        <v/>
      </c>
      <c r="X263" t="str">
        <f>IF($D263="","",SUMPRODUCT(($C$2:C263=D263)+($D$2:D263=D263)))</f>
        <v/>
      </c>
      <c r="Y263" t="str">
        <f t="shared" si="24"/>
        <v/>
      </c>
      <c r="Z263" t="str">
        <f t="shared" si="25"/>
        <v/>
      </c>
      <c r="AA263" s="4" t="str">
        <f>IF($C263="","",IF(COUNTIF($C$1:C262,$C263)+COUNTIF($D$1:D262,$C263)=0,1,0))</f>
        <v/>
      </c>
      <c r="AB263" s="4" t="str">
        <f>IF($D263="","",IF(COUNTIF($C$1:C263,$D263)+COUNTIF($D$1:D262,$D263)=0,1,0))</f>
        <v/>
      </c>
      <c r="AC263" s="4" t="str">
        <f>IF(AA263=1,SUM($AA$2:AA263)-AA263+SUM($AB$2:AB263)-AB263+1,"")</f>
        <v/>
      </c>
      <c r="AD263" s="4" t="str">
        <f>IF(AB263=1,SUM($AA$2:AA263)+SUM($AB$2:AB263)-AB263+1,"")</f>
        <v/>
      </c>
      <c r="AE263" s="4" t="str">
        <f t="shared" si="26"/>
        <v/>
      </c>
      <c r="AF263" s="4" t="str">
        <f t="shared" si="27"/>
        <v/>
      </c>
      <c r="AG263" s="8">
        <f t="shared" si="28"/>
        <v>0</v>
      </c>
      <c r="AI263" s="8">
        <f t="shared" si="29"/>
        <v>0</v>
      </c>
    </row>
    <row r="264" spans="1:35" ht="15" customHeight="1" x14ac:dyDescent="0.25">
      <c r="A264" s="10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3"/>
      <c r="P264" s="3"/>
      <c r="Q264" s="8"/>
      <c r="R264" s="8"/>
      <c r="S264" s="8"/>
      <c r="T264" s="8"/>
      <c r="U264" s="8"/>
      <c r="V264" s="8"/>
      <c r="W264" t="str">
        <f>IF($C264="","",SUMPRODUCT(($C$2:C264=C264)+($D$2:D264=C264)))</f>
        <v/>
      </c>
      <c r="X264" t="str">
        <f>IF($D264="","",SUMPRODUCT(($C$2:C264=D264)+($D$2:D264=D264)))</f>
        <v/>
      </c>
      <c r="Y264" t="str">
        <f t="shared" si="24"/>
        <v/>
      </c>
      <c r="Z264" t="str">
        <f t="shared" si="25"/>
        <v/>
      </c>
      <c r="AA264" s="4" t="str">
        <f>IF($C264="","",IF(COUNTIF($C$1:C263,$C264)+COUNTIF($D$1:D263,$C264)=0,1,0))</f>
        <v/>
      </c>
      <c r="AB264" s="4" t="str">
        <f>IF($D264="","",IF(COUNTIF($C$1:C264,$D264)+COUNTIF($D$1:D263,$D264)=0,1,0))</f>
        <v/>
      </c>
      <c r="AC264" s="4" t="str">
        <f>IF(AA264=1,SUM($AA$2:AA264)-AA264+SUM($AB$2:AB264)-AB264+1,"")</f>
        <v/>
      </c>
      <c r="AD264" s="4" t="str">
        <f>IF(AB264=1,SUM($AA$2:AA264)+SUM($AB$2:AB264)-AB264+1,"")</f>
        <v/>
      </c>
      <c r="AE264" s="4" t="str">
        <f t="shared" si="26"/>
        <v/>
      </c>
      <c r="AF264" s="4" t="str">
        <f t="shared" si="27"/>
        <v/>
      </c>
      <c r="AG264" s="8">
        <f t="shared" si="28"/>
        <v>0</v>
      </c>
      <c r="AI264" s="8">
        <f t="shared" si="29"/>
        <v>0</v>
      </c>
    </row>
    <row r="265" spans="1:35" ht="15" customHeight="1" x14ac:dyDescent="0.25">
      <c r="A265" s="10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3"/>
      <c r="P265" s="3"/>
      <c r="Q265" s="8"/>
      <c r="R265" s="8"/>
      <c r="S265" s="8"/>
      <c r="T265" s="8"/>
      <c r="U265" s="8"/>
      <c r="V265" s="8"/>
      <c r="W265" t="str">
        <f>IF($C265="","",SUMPRODUCT(($C$2:C265=C265)+($D$2:D265=C265)))</f>
        <v/>
      </c>
      <c r="X265" t="str">
        <f>IF($D265="","",SUMPRODUCT(($C$2:C265=D265)+($D$2:D265=D265)))</f>
        <v/>
      </c>
      <c r="Y265" t="str">
        <f t="shared" si="24"/>
        <v/>
      </c>
      <c r="Z265" t="str">
        <f t="shared" si="25"/>
        <v/>
      </c>
      <c r="AA265" s="4" t="str">
        <f>IF($C265="","",IF(COUNTIF($C$1:C264,$C265)+COUNTIF($D$1:D264,$C265)=0,1,0))</f>
        <v/>
      </c>
      <c r="AB265" s="4" t="str">
        <f>IF($D265="","",IF(COUNTIF($C$1:C265,$D265)+COUNTIF($D$1:D264,$D265)=0,1,0))</f>
        <v/>
      </c>
      <c r="AC265" s="4" t="str">
        <f>IF(AA265=1,SUM($AA$2:AA265)-AA265+SUM($AB$2:AB265)-AB265+1,"")</f>
        <v/>
      </c>
      <c r="AD265" s="4" t="str">
        <f>IF(AB265=1,SUM($AA$2:AA265)+SUM($AB$2:AB265)-AB265+1,"")</f>
        <v/>
      </c>
      <c r="AE265" s="4" t="str">
        <f t="shared" si="26"/>
        <v/>
      </c>
      <c r="AF265" s="4" t="str">
        <f t="shared" si="27"/>
        <v/>
      </c>
      <c r="AG265" s="8">
        <f t="shared" si="28"/>
        <v>0</v>
      </c>
      <c r="AI265" s="8">
        <f t="shared" si="29"/>
        <v>0</v>
      </c>
    </row>
    <row r="266" spans="1:35" ht="15" customHeight="1" x14ac:dyDescent="0.25">
      <c r="A266" s="10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3"/>
      <c r="P266" s="3"/>
      <c r="Q266" s="8"/>
      <c r="R266" s="8"/>
      <c r="S266" s="8"/>
      <c r="T266" s="8"/>
      <c r="U266" s="8"/>
      <c r="V266" s="8"/>
      <c r="W266" t="str">
        <f>IF($C266="","",SUMPRODUCT(($C$2:C266=C266)+($D$2:D266=C266)))</f>
        <v/>
      </c>
      <c r="X266" t="str">
        <f>IF($D266="","",SUMPRODUCT(($C$2:C266=D266)+($D$2:D266=D266)))</f>
        <v/>
      </c>
      <c r="Y266" t="str">
        <f t="shared" si="24"/>
        <v/>
      </c>
      <c r="Z266" t="str">
        <f t="shared" si="25"/>
        <v/>
      </c>
      <c r="AA266" s="4" t="str">
        <f>IF($C266="","",IF(COUNTIF($C$1:C265,$C266)+COUNTIF($D$1:D265,$C266)=0,1,0))</f>
        <v/>
      </c>
      <c r="AB266" s="4" t="str">
        <f>IF($D266="","",IF(COUNTIF($C$1:C266,$D266)+COUNTIF($D$1:D265,$D266)=0,1,0))</f>
        <v/>
      </c>
      <c r="AC266" s="4" t="str">
        <f>IF(AA266=1,SUM($AA$2:AA266)-AA266+SUM($AB$2:AB266)-AB266+1,"")</f>
        <v/>
      </c>
      <c r="AD266" s="4" t="str">
        <f>IF(AB266=1,SUM($AA$2:AA266)+SUM($AB$2:AB266)-AB266+1,"")</f>
        <v/>
      </c>
      <c r="AE266" s="4" t="str">
        <f t="shared" si="26"/>
        <v/>
      </c>
      <c r="AF266" s="4" t="str">
        <f t="shared" si="27"/>
        <v/>
      </c>
      <c r="AG266" s="8">
        <f t="shared" si="28"/>
        <v>0</v>
      </c>
      <c r="AI266" s="8">
        <f t="shared" si="29"/>
        <v>0</v>
      </c>
    </row>
    <row r="267" spans="1:35" ht="15" customHeight="1" x14ac:dyDescent="0.25">
      <c r="A267" s="10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3"/>
      <c r="P267" s="3"/>
      <c r="Q267" s="8"/>
      <c r="R267" s="8"/>
      <c r="S267" s="8"/>
      <c r="T267" s="8"/>
      <c r="U267" s="8"/>
      <c r="V267" s="8"/>
      <c r="W267" t="str">
        <f>IF($C267="","",SUMPRODUCT(($C$2:C267=C267)+($D$2:D267=C267)))</f>
        <v/>
      </c>
      <c r="X267" t="str">
        <f>IF($D267="","",SUMPRODUCT(($C$2:C267=D267)+($D$2:D267=D267)))</f>
        <v/>
      </c>
      <c r="Y267" t="str">
        <f t="shared" si="24"/>
        <v/>
      </c>
      <c r="Z267" t="str">
        <f t="shared" si="25"/>
        <v/>
      </c>
      <c r="AA267" s="4" t="str">
        <f>IF($C267="","",IF(COUNTIF($C$1:C266,$C267)+COUNTIF($D$1:D266,$C267)=0,1,0))</f>
        <v/>
      </c>
      <c r="AB267" s="4" t="str">
        <f>IF($D267="","",IF(COUNTIF($C$1:C267,$D267)+COUNTIF($D$1:D266,$D267)=0,1,0))</f>
        <v/>
      </c>
      <c r="AC267" s="4" t="str">
        <f>IF(AA267=1,SUM($AA$2:AA267)-AA267+SUM($AB$2:AB267)-AB267+1,"")</f>
        <v/>
      </c>
      <c r="AD267" s="4" t="str">
        <f>IF(AB267=1,SUM($AA$2:AA267)+SUM($AB$2:AB267)-AB267+1,"")</f>
        <v/>
      </c>
      <c r="AE267" s="4" t="str">
        <f t="shared" si="26"/>
        <v/>
      </c>
      <c r="AF267" s="4" t="str">
        <f t="shared" si="27"/>
        <v/>
      </c>
      <c r="AG267" s="8">
        <f t="shared" si="28"/>
        <v>0</v>
      </c>
      <c r="AI267" s="8">
        <f t="shared" si="29"/>
        <v>0</v>
      </c>
    </row>
    <row r="268" spans="1:35" ht="15" customHeight="1" x14ac:dyDescent="0.25">
      <c r="A268" s="10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3"/>
      <c r="P268" s="3"/>
      <c r="Q268" s="8"/>
      <c r="R268" s="8"/>
      <c r="S268" s="8"/>
      <c r="T268" s="8"/>
      <c r="U268" s="8"/>
      <c r="V268" s="8"/>
      <c r="W268" t="str">
        <f>IF($C268="","",SUMPRODUCT(($C$2:C268=C268)+($D$2:D268=C268)))</f>
        <v/>
      </c>
      <c r="X268" t="str">
        <f>IF($D268="","",SUMPRODUCT(($C$2:C268=D268)+($D$2:D268=D268)))</f>
        <v/>
      </c>
      <c r="Y268" t="str">
        <f t="shared" si="24"/>
        <v/>
      </c>
      <c r="Z268" t="str">
        <f t="shared" si="25"/>
        <v/>
      </c>
      <c r="AA268" s="4" t="str">
        <f>IF($C268="","",IF(COUNTIF($C$1:C267,$C268)+COUNTIF($D$1:D267,$C268)=0,1,0))</f>
        <v/>
      </c>
      <c r="AB268" s="4" t="str">
        <f>IF($D268="","",IF(COUNTIF($C$1:C268,$D268)+COUNTIF($D$1:D267,$D268)=0,1,0))</f>
        <v/>
      </c>
      <c r="AC268" s="4" t="str">
        <f>IF(AA268=1,SUM($AA$2:AA268)-AA268+SUM($AB$2:AB268)-AB268+1,"")</f>
        <v/>
      </c>
      <c r="AD268" s="4" t="str">
        <f>IF(AB268=1,SUM($AA$2:AA268)+SUM($AB$2:AB268)-AB268+1,"")</f>
        <v/>
      </c>
      <c r="AE268" s="4" t="str">
        <f t="shared" si="26"/>
        <v/>
      </c>
      <c r="AF268" s="4" t="str">
        <f t="shared" si="27"/>
        <v/>
      </c>
      <c r="AG268" s="8">
        <f t="shared" si="28"/>
        <v>0</v>
      </c>
      <c r="AI268" s="8">
        <f t="shared" si="29"/>
        <v>0</v>
      </c>
    </row>
    <row r="269" spans="1:35" ht="15" customHeight="1" x14ac:dyDescent="0.25">
      <c r="A269" s="10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3"/>
      <c r="P269" s="3"/>
      <c r="Q269" s="8"/>
      <c r="R269" s="8"/>
      <c r="S269" s="8"/>
      <c r="T269" s="8"/>
      <c r="U269" s="8"/>
      <c r="V269" s="8"/>
      <c r="W269" t="str">
        <f>IF($C269="","",SUMPRODUCT(($C$2:C269=C269)+($D$2:D269=C269)))</f>
        <v/>
      </c>
      <c r="X269" t="str">
        <f>IF($D269="","",SUMPRODUCT(($C$2:C269=D269)+($D$2:D269=D269)))</f>
        <v/>
      </c>
      <c r="Y269" t="str">
        <f t="shared" si="24"/>
        <v/>
      </c>
      <c r="Z269" t="str">
        <f t="shared" si="25"/>
        <v/>
      </c>
      <c r="AA269" s="4" t="str">
        <f>IF($C269="","",IF(COUNTIF($C$1:C268,$C269)+COUNTIF($D$1:D268,$C269)=0,1,0))</f>
        <v/>
      </c>
      <c r="AB269" s="4" t="str">
        <f>IF($D269="","",IF(COUNTIF($C$1:C269,$D269)+COUNTIF($D$1:D268,$D269)=0,1,0))</f>
        <v/>
      </c>
      <c r="AC269" s="4" t="str">
        <f>IF(AA269=1,SUM($AA$2:AA269)-AA269+SUM($AB$2:AB269)-AB269+1,"")</f>
        <v/>
      </c>
      <c r="AD269" s="4" t="str">
        <f>IF(AB269=1,SUM($AA$2:AA269)+SUM($AB$2:AB269)-AB269+1,"")</f>
        <v/>
      </c>
      <c r="AE269" s="4" t="str">
        <f t="shared" si="26"/>
        <v/>
      </c>
      <c r="AF269" s="4" t="str">
        <f t="shared" si="27"/>
        <v/>
      </c>
      <c r="AG269" s="8">
        <f t="shared" si="28"/>
        <v>0</v>
      </c>
      <c r="AI269" s="8">
        <f t="shared" si="29"/>
        <v>0</v>
      </c>
    </row>
    <row r="270" spans="1:35" ht="15" customHeight="1" x14ac:dyDescent="0.25">
      <c r="A270" s="10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3"/>
      <c r="P270" s="3"/>
      <c r="Q270" s="8"/>
      <c r="R270" s="8"/>
      <c r="S270" s="8"/>
      <c r="T270" s="8"/>
      <c r="U270" s="8"/>
      <c r="V270" s="8"/>
      <c r="W270" t="str">
        <f>IF($C270="","",SUMPRODUCT(($C$2:C270=C270)+($D$2:D270=C270)))</f>
        <v/>
      </c>
      <c r="X270" t="str">
        <f>IF($D270="","",SUMPRODUCT(($C$2:C270=D270)+($D$2:D270=D270)))</f>
        <v/>
      </c>
      <c r="Y270" t="str">
        <f t="shared" si="24"/>
        <v/>
      </c>
      <c r="Z270" t="str">
        <f t="shared" si="25"/>
        <v/>
      </c>
      <c r="AA270" s="4" t="str">
        <f>IF($C270="","",IF(COUNTIF($C$1:C269,$C270)+COUNTIF($D$1:D269,$C270)=0,1,0))</f>
        <v/>
      </c>
      <c r="AB270" s="4" t="str">
        <f>IF($D270="","",IF(COUNTIF($C$1:C270,$D270)+COUNTIF($D$1:D269,$D270)=0,1,0))</f>
        <v/>
      </c>
      <c r="AC270" s="4" t="str">
        <f>IF(AA270=1,SUM($AA$2:AA270)-AA270+SUM($AB$2:AB270)-AB270+1,"")</f>
        <v/>
      </c>
      <c r="AD270" s="4" t="str">
        <f>IF(AB270=1,SUM($AA$2:AA270)+SUM($AB$2:AB270)-AB270+1,"")</f>
        <v/>
      </c>
      <c r="AE270" s="4" t="str">
        <f t="shared" si="26"/>
        <v/>
      </c>
      <c r="AF270" s="4" t="str">
        <f t="shared" si="27"/>
        <v/>
      </c>
      <c r="AG270" s="8">
        <f t="shared" si="28"/>
        <v>0</v>
      </c>
      <c r="AI270" s="8">
        <f t="shared" si="29"/>
        <v>0</v>
      </c>
    </row>
    <row r="271" spans="1:35" ht="15" customHeight="1" x14ac:dyDescent="0.25">
      <c r="A271" s="10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3"/>
      <c r="P271" s="3"/>
      <c r="Q271" s="8"/>
      <c r="R271" s="8"/>
      <c r="S271" s="8"/>
      <c r="T271" s="8"/>
      <c r="U271" s="8"/>
      <c r="V271" s="8"/>
      <c r="W271" t="str">
        <f>IF($C271="","",SUMPRODUCT(($C$2:C271=C271)+($D$2:D271=C271)))</f>
        <v/>
      </c>
      <c r="X271" t="str">
        <f>IF($D271="","",SUMPRODUCT(($C$2:C271=D271)+($D$2:D271=D271)))</f>
        <v/>
      </c>
      <c r="Y271" t="str">
        <f t="shared" si="24"/>
        <v/>
      </c>
      <c r="Z271" t="str">
        <f t="shared" si="25"/>
        <v/>
      </c>
      <c r="AA271" s="4" t="str">
        <f>IF($C271="","",IF(COUNTIF($C$1:C270,$C271)+COUNTIF($D$1:D270,$C271)=0,1,0))</f>
        <v/>
      </c>
      <c r="AB271" s="4" t="str">
        <f>IF($D271="","",IF(COUNTIF($C$1:C271,$D271)+COUNTIF($D$1:D270,$D271)=0,1,0))</f>
        <v/>
      </c>
      <c r="AC271" s="4" t="str">
        <f>IF(AA271=1,SUM($AA$2:AA271)-AA271+SUM($AB$2:AB271)-AB271+1,"")</f>
        <v/>
      </c>
      <c r="AD271" s="4" t="str">
        <f>IF(AB271=1,SUM($AA$2:AA271)+SUM($AB$2:AB271)-AB271+1,"")</f>
        <v/>
      </c>
      <c r="AE271" s="4" t="str">
        <f t="shared" si="26"/>
        <v/>
      </c>
      <c r="AF271" s="4" t="str">
        <f t="shared" si="27"/>
        <v/>
      </c>
      <c r="AG271" s="8">
        <f t="shared" si="28"/>
        <v>0</v>
      </c>
      <c r="AI271" s="8">
        <f t="shared" si="29"/>
        <v>0</v>
      </c>
    </row>
    <row r="272" spans="1:35" ht="15" customHeight="1" x14ac:dyDescent="0.25">
      <c r="A272" s="10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3"/>
      <c r="P272" s="3"/>
      <c r="Q272" s="8"/>
      <c r="R272" s="8"/>
      <c r="S272" s="8"/>
      <c r="T272" s="8"/>
      <c r="U272" s="8"/>
      <c r="V272" s="8"/>
      <c r="W272" t="str">
        <f>IF($C272="","",SUMPRODUCT(($C$2:C272=C272)+($D$2:D272=C272)))</f>
        <v/>
      </c>
      <c r="X272" t="str">
        <f>IF($D272="","",SUMPRODUCT(($C$2:C272=D272)+($D$2:D272=D272)))</f>
        <v/>
      </c>
      <c r="Y272" t="str">
        <f t="shared" si="24"/>
        <v/>
      </c>
      <c r="Z272" t="str">
        <f t="shared" si="25"/>
        <v/>
      </c>
      <c r="AA272" s="4" t="str">
        <f>IF($C272="","",IF(COUNTIF($C$1:C271,$C272)+COUNTIF($D$1:D271,$C272)=0,1,0))</f>
        <v/>
      </c>
      <c r="AB272" s="4" t="str">
        <f>IF($D272="","",IF(COUNTIF($C$1:C272,$D272)+COUNTIF($D$1:D271,$D272)=0,1,0))</f>
        <v/>
      </c>
      <c r="AC272" s="4" t="str">
        <f>IF(AA272=1,SUM($AA$2:AA272)-AA272+SUM($AB$2:AB272)-AB272+1,"")</f>
        <v/>
      </c>
      <c r="AD272" s="4" t="str">
        <f>IF(AB272=1,SUM($AA$2:AA272)+SUM($AB$2:AB272)-AB272+1,"")</f>
        <v/>
      </c>
      <c r="AE272" s="4" t="str">
        <f t="shared" si="26"/>
        <v/>
      </c>
      <c r="AF272" s="4" t="str">
        <f t="shared" si="27"/>
        <v/>
      </c>
      <c r="AG272" s="8">
        <f t="shared" si="28"/>
        <v>0</v>
      </c>
      <c r="AI272" s="8">
        <f t="shared" si="29"/>
        <v>0</v>
      </c>
    </row>
    <row r="273" spans="1:35" ht="15" customHeight="1" x14ac:dyDescent="0.25">
      <c r="A273" s="10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3"/>
      <c r="P273" s="3"/>
      <c r="Q273" s="8"/>
      <c r="R273" s="8"/>
      <c r="S273" s="8"/>
      <c r="T273" s="8"/>
      <c r="U273" s="8"/>
      <c r="V273" s="8"/>
      <c r="W273" t="str">
        <f>IF($C273="","",SUMPRODUCT(($C$2:C273=C273)+($D$2:D273=C273)))</f>
        <v/>
      </c>
      <c r="X273" t="str">
        <f>IF($D273="","",SUMPRODUCT(($C$2:C273=D273)+($D$2:D273=D273)))</f>
        <v/>
      </c>
      <c r="Y273" t="str">
        <f t="shared" si="24"/>
        <v/>
      </c>
      <c r="Z273" t="str">
        <f t="shared" si="25"/>
        <v/>
      </c>
      <c r="AA273" s="4" t="str">
        <f>IF($C273="","",IF(COUNTIF($C$1:C272,$C273)+COUNTIF($D$1:D272,$C273)=0,1,0))</f>
        <v/>
      </c>
      <c r="AB273" s="4" t="str">
        <f>IF($D273="","",IF(COUNTIF($C$1:C273,$D273)+COUNTIF($D$1:D272,$D273)=0,1,0))</f>
        <v/>
      </c>
      <c r="AC273" s="4" t="str">
        <f>IF(AA273=1,SUM($AA$2:AA273)-AA273+SUM($AB$2:AB273)-AB273+1,"")</f>
        <v/>
      </c>
      <c r="AD273" s="4" t="str">
        <f>IF(AB273=1,SUM($AA$2:AA273)+SUM($AB$2:AB273)-AB273+1,"")</f>
        <v/>
      </c>
      <c r="AE273" s="4" t="str">
        <f t="shared" si="26"/>
        <v/>
      </c>
      <c r="AF273" s="4" t="str">
        <f t="shared" si="27"/>
        <v/>
      </c>
      <c r="AG273" s="8">
        <f t="shared" si="28"/>
        <v>0</v>
      </c>
      <c r="AI273" s="8">
        <f t="shared" si="29"/>
        <v>0</v>
      </c>
    </row>
    <row r="274" spans="1:35" ht="15" customHeight="1" x14ac:dyDescent="0.25">
      <c r="A274" s="10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3"/>
      <c r="P274" s="3"/>
      <c r="Q274" s="8"/>
      <c r="R274" s="8"/>
      <c r="S274" s="8"/>
      <c r="T274" s="8"/>
      <c r="U274" s="8"/>
      <c r="V274" s="8"/>
      <c r="W274" t="str">
        <f>IF($C274="","",SUMPRODUCT(($C$2:C274=C274)+($D$2:D274=C274)))</f>
        <v/>
      </c>
      <c r="X274" t="str">
        <f>IF($D274="","",SUMPRODUCT(($C$2:C274=D274)+($D$2:D274=D274)))</f>
        <v/>
      </c>
      <c r="Y274" t="str">
        <f t="shared" si="24"/>
        <v/>
      </c>
      <c r="Z274" t="str">
        <f t="shared" si="25"/>
        <v/>
      </c>
      <c r="AA274" s="4" t="str">
        <f>IF($C274="","",IF(COUNTIF($C$1:C273,$C274)+COUNTIF($D$1:D273,$C274)=0,1,0))</f>
        <v/>
      </c>
      <c r="AB274" s="4" t="str">
        <f>IF($D274="","",IF(COUNTIF($C$1:C274,$D274)+COUNTIF($D$1:D273,$D274)=0,1,0))</f>
        <v/>
      </c>
      <c r="AC274" s="4" t="str">
        <f>IF(AA274=1,SUM($AA$2:AA274)-AA274+SUM($AB$2:AB274)-AB274+1,"")</f>
        <v/>
      </c>
      <c r="AD274" s="4" t="str">
        <f>IF(AB274=1,SUM($AA$2:AA274)+SUM($AB$2:AB274)-AB274+1,"")</f>
        <v/>
      </c>
      <c r="AE274" s="4" t="str">
        <f t="shared" si="26"/>
        <v/>
      </c>
      <c r="AF274" s="4" t="str">
        <f t="shared" si="27"/>
        <v/>
      </c>
      <c r="AG274" s="8">
        <f t="shared" si="28"/>
        <v>0</v>
      </c>
      <c r="AI274" s="8">
        <f t="shared" si="29"/>
        <v>0</v>
      </c>
    </row>
    <row r="275" spans="1:35" ht="15" customHeight="1" x14ac:dyDescent="0.25">
      <c r="A275" s="10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3"/>
      <c r="P275" s="3"/>
      <c r="Q275" s="8"/>
      <c r="R275" s="8"/>
      <c r="S275" s="8"/>
      <c r="T275" s="8"/>
      <c r="U275" s="8"/>
      <c r="V275" s="8"/>
      <c r="W275" t="str">
        <f>IF($C275="","",SUMPRODUCT(($C$2:C275=C275)+($D$2:D275=C275)))</f>
        <v/>
      </c>
      <c r="X275" t="str">
        <f>IF($D275="","",SUMPRODUCT(($C$2:C275=D275)+($D$2:D275=D275)))</f>
        <v/>
      </c>
      <c r="Y275" t="str">
        <f t="shared" si="24"/>
        <v/>
      </c>
      <c r="Z275" t="str">
        <f t="shared" si="25"/>
        <v/>
      </c>
      <c r="AA275" s="4" t="str">
        <f>IF($C275="","",IF(COUNTIF($C$1:C274,$C275)+COUNTIF($D$1:D274,$C275)=0,1,0))</f>
        <v/>
      </c>
      <c r="AB275" s="4" t="str">
        <f>IF($D275="","",IF(COUNTIF($C$1:C275,$D275)+COUNTIF($D$1:D274,$D275)=0,1,0))</f>
        <v/>
      </c>
      <c r="AC275" s="4" t="str">
        <f>IF(AA275=1,SUM($AA$2:AA275)-AA275+SUM($AB$2:AB275)-AB275+1,"")</f>
        <v/>
      </c>
      <c r="AD275" s="4" t="str">
        <f>IF(AB275=1,SUM($AA$2:AA275)+SUM($AB$2:AB275)-AB275+1,"")</f>
        <v/>
      </c>
      <c r="AE275" s="4" t="str">
        <f t="shared" si="26"/>
        <v/>
      </c>
      <c r="AF275" s="4" t="str">
        <f t="shared" si="27"/>
        <v/>
      </c>
      <c r="AG275" s="8">
        <f t="shared" si="28"/>
        <v>0</v>
      </c>
      <c r="AI275" s="8">
        <f t="shared" si="29"/>
        <v>0</v>
      </c>
    </row>
    <row r="276" spans="1:35" ht="15" customHeight="1" x14ac:dyDescent="0.25">
      <c r="A276" s="10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3"/>
      <c r="P276" s="3"/>
      <c r="Q276" s="8"/>
      <c r="R276" s="8"/>
      <c r="S276" s="8"/>
      <c r="T276" s="8"/>
      <c r="U276" s="8"/>
      <c r="V276" s="8"/>
      <c r="W276" t="str">
        <f>IF($C276="","",SUMPRODUCT(($C$2:C276=C276)+($D$2:D276=C276)))</f>
        <v/>
      </c>
      <c r="X276" t="str">
        <f>IF($D276="","",SUMPRODUCT(($C$2:C276=D276)+($D$2:D276=D276)))</f>
        <v/>
      </c>
      <c r="Y276" t="str">
        <f t="shared" si="24"/>
        <v/>
      </c>
      <c r="Z276" t="str">
        <f t="shared" si="25"/>
        <v/>
      </c>
      <c r="AA276" s="4" t="str">
        <f>IF($C276="","",IF(COUNTIF($C$1:C275,$C276)+COUNTIF($D$1:D275,$C276)=0,1,0))</f>
        <v/>
      </c>
      <c r="AB276" s="4" t="str">
        <f>IF($D276="","",IF(COUNTIF($C$1:C276,$D276)+COUNTIF($D$1:D275,$D276)=0,1,0))</f>
        <v/>
      </c>
      <c r="AC276" s="4" t="str">
        <f>IF(AA276=1,SUM($AA$2:AA276)-AA276+SUM($AB$2:AB276)-AB276+1,"")</f>
        <v/>
      </c>
      <c r="AD276" s="4" t="str">
        <f>IF(AB276=1,SUM($AA$2:AA276)+SUM($AB$2:AB276)-AB276+1,"")</f>
        <v/>
      </c>
      <c r="AE276" s="4" t="str">
        <f t="shared" si="26"/>
        <v/>
      </c>
      <c r="AF276" s="4" t="str">
        <f t="shared" si="27"/>
        <v/>
      </c>
      <c r="AG276" s="8">
        <f t="shared" si="28"/>
        <v>0</v>
      </c>
      <c r="AI276" s="8">
        <f t="shared" si="29"/>
        <v>0</v>
      </c>
    </row>
    <row r="277" spans="1:35" ht="15" customHeight="1" x14ac:dyDescent="0.25">
      <c r="A277" s="10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3"/>
      <c r="P277" s="3"/>
      <c r="Q277" s="8"/>
      <c r="R277" s="8"/>
      <c r="S277" s="8"/>
      <c r="T277" s="8"/>
      <c r="U277" s="8"/>
      <c r="V277" s="8"/>
      <c r="W277" t="str">
        <f>IF($C277="","",SUMPRODUCT(($C$2:C277=C277)+($D$2:D277=C277)))</f>
        <v/>
      </c>
      <c r="X277" t="str">
        <f>IF($D277="","",SUMPRODUCT(($C$2:C277=D277)+($D$2:D277=D277)))</f>
        <v/>
      </c>
      <c r="Y277" t="str">
        <f t="shared" si="24"/>
        <v/>
      </c>
      <c r="Z277" t="str">
        <f t="shared" si="25"/>
        <v/>
      </c>
      <c r="AA277" s="4" t="str">
        <f>IF($C277="","",IF(COUNTIF($C$1:C276,$C277)+COUNTIF($D$1:D276,$C277)=0,1,0))</f>
        <v/>
      </c>
      <c r="AB277" s="4" t="str">
        <f>IF($D277="","",IF(COUNTIF($C$1:C277,$D277)+COUNTIF($D$1:D276,$D277)=0,1,0))</f>
        <v/>
      </c>
      <c r="AC277" s="4" t="str">
        <f>IF(AA277=1,SUM($AA$2:AA277)-AA277+SUM($AB$2:AB277)-AB277+1,"")</f>
        <v/>
      </c>
      <c r="AD277" s="4" t="str">
        <f>IF(AB277=1,SUM($AA$2:AA277)+SUM($AB$2:AB277)-AB277+1,"")</f>
        <v/>
      </c>
      <c r="AE277" s="4" t="str">
        <f t="shared" si="26"/>
        <v/>
      </c>
      <c r="AF277" s="4" t="str">
        <f t="shared" si="27"/>
        <v/>
      </c>
      <c r="AG277" s="8">
        <f t="shared" si="28"/>
        <v>0</v>
      </c>
      <c r="AI277" s="8">
        <f t="shared" si="29"/>
        <v>0</v>
      </c>
    </row>
    <row r="278" spans="1:35" ht="15" customHeight="1" x14ac:dyDescent="0.25">
      <c r="A278" s="10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3"/>
      <c r="P278" s="3"/>
      <c r="Q278" s="8"/>
      <c r="R278" s="8"/>
      <c r="S278" s="8"/>
      <c r="T278" s="8"/>
      <c r="U278" s="8"/>
      <c r="V278" s="8"/>
      <c r="W278" t="str">
        <f>IF($C278="","",SUMPRODUCT(($C$2:C278=C278)+($D$2:D278=C278)))</f>
        <v/>
      </c>
      <c r="X278" t="str">
        <f>IF($D278="","",SUMPRODUCT(($C$2:C278=D278)+($D$2:D278=D278)))</f>
        <v/>
      </c>
      <c r="Y278" t="str">
        <f t="shared" si="24"/>
        <v/>
      </c>
      <c r="Z278" t="str">
        <f t="shared" si="25"/>
        <v/>
      </c>
      <c r="AA278" s="4" t="str">
        <f>IF($C278="","",IF(COUNTIF($C$1:C277,$C278)+COUNTIF($D$1:D277,$C278)=0,1,0))</f>
        <v/>
      </c>
      <c r="AB278" s="4" t="str">
        <f>IF($D278="","",IF(COUNTIF($C$1:C278,$D278)+COUNTIF($D$1:D277,$D278)=0,1,0))</f>
        <v/>
      </c>
      <c r="AC278" s="4" t="str">
        <f>IF(AA278=1,SUM($AA$2:AA278)-AA278+SUM($AB$2:AB278)-AB278+1,"")</f>
        <v/>
      </c>
      <c r="AD278" s="4" t="str">
        <f>IF(AB278=1,SUM($AA$2:AA278)+SUM($AB$2:AB278)-AB278+1,"")</f>
        <v/>
      </c>
      <c r="AE278" s="4" t="str">
        <f t="shared" si="26"/>
        <v/>
      </c>
      <c r="AF278" s="4" t="str">
        <f t="shared" si="27"/>
        <v/>
      </c>
      <c r="AG278" s="8">
        <f t="shared" si="28"/>
        <v>0</v>
      </c>
      <c r="AI278" s="8">
        <f t="shared" si="29"/>
        <v>0</v>
      </c>
    </row>
    <row r="279" spans="1:35" ht="15" customHeight="1" x14ac:dyDescent="0.25">
      <c r="A279" s="10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3"/>
      <c r="P279" s="3"/>
      <c r="Q279" s="8"/>
      <c r="R279" s="8"/>
      <c r="S279" s="8"/>
      <c r="T279" s="8"/>
      <c r="U279" s="8"/>
      <c r="V279" s="8"/>
      <c r="W279" t="str">
        <f>IF($C279="","",SUMPRODUCT(($C$2:C279=C279)+($D$2:D279=C279)))</f>
        <v/>
      </c>
      <c r="X279" t="str">
        <f>IF($D279="","",SUMPRODUCT(($C$2:C279=D279)+($D$2:D279=D279)))</f>
        <v/>
      </c>
      <c r="Y279" t="str">
        <f t="shared" si="24"/>
        <v/>
      </c>
      <c r="Z279" t="str">
        <f t="shared" si="25"/>
        <v/>
      </c>
      <c r="AA279" s="4" t="str">
        <f>IF($C279="","",IF(COUNTIF($C$1:C278,$C279)+COUNTIF($D$1:D278,$C279)=0,1,0))</f>
        <v/>
      </c>
      <c r="AB279" s="4" t="str">
        <f>IF($D279="","",IF(COUNTIF($C$1:C279,$D279)+COUNTIF($D$1:D278,$D279)=0,1,0))</f>
        <v/>
      </c>
      <c r="AC279" s="4" t="str">
        <f>IF(AA279=1,SUM($AA$2:AA279)-AA279+SUM($AB$2:AB279)-AB279+1,"")</f>
        <v/>
      </c>
      <c r="AD279" s="4" t="str">
        <f>IF(AB279=1,SUM($AA$2:AA279)+SUM($AB$2:AB279)-AB279+1,"")</f>
        <v/>
      </c>
      <c r="AE279" s="4" t="str">
        <f t="shared" si="26"/>
        <v/>
      </c>
      <c r="AF279" s="4" t="str">
        <f t="shared" si="27"/>
        <v/>
      </c>
      <c r="AG279" s="8">
        <f t="shared" si="28"/>
        <v>0</v>
      </c>
      <c r="AI279" s="8">
        <f t="shared" si="29"/>
        <v>0</v>
      </c>
    </row>
    <row r="280" spans="1:35" ht="15" customHeight="1" x14ac:dyDescent="0.25">
      <c r="A280" s="10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3"/>
      <c r="P280" s="3"/>
      <c r="Q280" s="8"/>
      <c r="R280" s="8"/>
      <c r="S280" s="8"/>
      <c r="T280" s="8"/>
      <c r="U280" s="8"/>
      <c r="V280" s="8"/>
      <c r="W280" t="str">
        <f>IF($C280="","",SUMPRODUCT(($C$2:C280=C280)+($D$2:D280=C280)))</f>
        <v/>
      </c>
      <c r="X280" t="str">
        <f>IF($D280="","",SUMPRODUCT(($C$2:C280=D280)+($D$2:D280=D280)))</f>
        <v/>
      </c>
      <c r="Y280" t="str">
        <f t="shared" si="24"/>
        <v/>
      </c>
      <c r="Z280" t="str">
        <f t="shared" si="25"/>
        <v/>
      </c>
      <c r="AA280" s="4" t="str">
        <f>IF($C280="","",IF(COUNTIF($C$1:C279,$C280)+COUNTIF($D$1:D279,$C280)=0,1,0))</f>
        <v/>
      </c>
      <c r="AB280" s="4" t="str">
        <f>IF($D280="","",IF(COUNTIF($C$1:C280,$D280)+COUNTIF($D$1:D279,$D280)=0,1,0))</f>
        <v/>
      </c>
      <c r="AC280" s="4" t="str">
        <f>IF(AA280=1,SUM($AA$2:AA280)-AA280+SUM($AB$2:AB280)-AB280+1,"")</f>
        <v/>
      </c>
      <c r="AD280" s="4" t="str">
        <f>IF(AB280=1,SUM($AA$2:AA280)+SUM($AB$2:AB280)-AB280+1,"")</f>
        <v/>
      </c>
      <c r="AE280" s="4" t="str">
        <f t="shared" si="26"/>
        <v/>
      </c>
      <c r="AF280" s="4" t="str">
        <f t="shared" si="27"/>
        <v/>
      </c>
      <c r="AG280" s="8">
        <f t="shared" si="28"/>
        <v>0</v>
      </c>
      <c r="AI280" s="8">
        <f t="shared" si="29"/>
        <v>0</v>
      </c>
    </row>
    <row r="281" spans="1:35" ht="15" customHeight="1" x14ac:dyDescent="0.25">
      <c r="A281" s="10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3"/>
      <c r="P281" s="3"/>
      <c r="Q281" s="8"/>
      <c r="R281" s="8"/>
      <c r="S281" s="8"/>
      <c r="T281" s="8"/>
      <c r="U281" s="8"/>
      <c r="V281" s="8"/>
      <c r="W281" t="str">
        <f>IF($C281="","",SUMPRODUCT(($C$2:C281=C281)+($D$2:D281=C281)))</f>
        <v/>
      </c>
      <c r="X281" t="str">
        <f>IF($D281="","",SUMPRODUCT(($C$2:C281=D281)+($D$2:D281=D281)))</f>
        <v/>
      </c>
      <c r="Y281" t="str">
        <f t="shared" si="24"/>
        <v/>
      </c>
      <c r="Z281" t="str">
        <f t="shared" si="25"/>
        <v/>
      </c>
      <c r="AA281" s="4" t="str">
        <f>IF($C281="","",IF(COUNTIF($C$1:C280,$C281)+COUNTIF($D$1:D280,$C281)=0,1,0))</f>
        <v/>
      </c>
      <c r="AB281" s="4" t="str">
        <f>IF($D281="","",IF(COUNTIF($C$1:C281,$D281)+COUNTIF($D$1:D280,$D281)=0,1,0))</f>
        <v/>
      </c>
      <c r="AC281" s="4" t="str">
        <f>IF(AA281=1,SUM($AA$2:AA281)-AA281+SUM($AB$2:AB281)-AB281+1,"")</f>
        <v/>
      </c>
      <c r="AD281" s="4" t="str">
        <f>IF(AB281=1,SUM($AA$2:AA281)+SUM($AB$2:AB281)-AB281+1,"")</f>
        <v/>
      </c>
      <c r="AE281" s="4" t="str">
        <f t="shared" si="26"/>
        <v/>
      </c>
      <c r="AF281" s="4" t="str">
        <f t="shared" si="27"/>
        <v/>
      </c>
      <c r="AG281" s="8">
        <f t="shared" si="28"/>
        <v>0</v>
      </c>
      <c r="AI281" s="8">
        <f t="shared" si="29"/>
        <v>0</v>
      </c>
    </row>
    <row r="282" spans="1:35" ht="15" customHeight="1" x14ac:dyDescent="0.25">
      <c r="A282" s="10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3"/>
      <c r="P282" s="3"/>
      <c r="Q282" s="8"/>
      <c r="R282" s="8"/>
      <c r="S282" s="8"/>
      <c r="T282" s="8"/>
      <c r="U282" s="8"/>
      <c r="V282" s="8"/>
      <c r="W282" t="str">
        <f>IF($C282="","",SUMPRODUCT(($C$2:C282=C282)+($D$2:D282=C282)))</f>
        <v/>
      </c>
      <c r="X282" t="str">
        <f>IF($D282="","",SUMPRODUCT(($C$2:C282=D282)+($D$2:D282=D282)))</f>
        <v/>
      </c>
      <c r="Y282" t="str">
        <f t="shared" si="24"/>
        <v/>
      </c>
      <c r="Z282" t="str">
        <f t="shared" si="25"/>
        <v/>
      </c>
      <c r="AA282" s="4" t="str">
        <f>IF($C282="","",IF(COUNTIF($C$1:C281,$C282)+COUNTIF($D$1:D281,$C282)=0,1,0))</f>
        <v/>
      </c>
      <c r="AB282" s="4" t="str">
        <f>IF($D282="","",IF(COUNTIF($C$1:C282,$D282)+COUNTIF($D$1:D281,$D282)=0,1,0))</f>
        <v/>
      </c>
      <c r="AC282" s="4" t="str">
        <f>IF(AA282=1,SUM($AA$2:AA282)-AA282+SUM($AB$2:AB282)-AB282+1,"")</f>
        <v/>
      </c>
      <c r="AD282" s="4" t="str">
        <f>IF(AB282=1,SUM($AA$2:AA282)+SUM($AB$2:AB282)-AB282+1,"")</f>
        <v/>
      </c>
      <c r="AE282" s="4" t="str">
        <f t="shared" si="26"/>
        <v/>
      </c>
      <c r="AF282" s="4" t="str">
        <f t="shared" si="27"/>
        <v/>
      </c>
      <c r="AG282" s="8">
        <f t="shared" si="28"/>
        <v>0</v>
      </c>
      <c r="AI282" s="8">
        <f t="shared" si="29"/>
        <v>0</v>
      </c>
    </row>
    <row r="283" spans="1:35" ht="15" customHeight="1" x14ac:dyDescent="0.25">
      <c r="A283" s="10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3"/>
      <c r="P283" s="3"/>
      <c r="Q283" s="8"/>
      <c r="R283" s="8"/>
      <c r="S283" s="8"/>
      <c r="T283" s="8"/>
      <c r="U283" s="8"/>
      <c r="V283" s="8"/>
      <c r="W283" t="str">
        <f>IF($C283="","",SUMPRODUCT(($C$2:C283=C283)+($D$2:D283=C283)))</f>
        <v/>
      </c>
      <c r="X283" t="str">
        <f>IF($D283="","",SUMPRODUCT(($C$2:C283=D283)+($D$2:D283=D283)))</f>
        <v/>
      </c>
      <c r="Y283" t="str">
        <f t="shared" si="24"/>
        <v/>
      </c>
      <c r="Z283" t="str">
        <f t="shared" si="25"/>
        <v/>
      </c>
      <c r="AA283" s="4" t="str">
        <f>IF($C283="","",IF(COUNTIF($C$1:C282,$C283)+COUNTIF($D$1:D282,$C283)=0,1,0))</f>
        <v/>
      </c>
      <c r="AB283" s="4" t="str">
        <f>IF($D283="","",IF(COUNTIF($C$1:C283,$D283)+COUNTIF($D$1:D282,$D283)=0,1,0))</f>
        <v/>
      </c>
      <c r="AC283" s="4" t="str">
        <f>IF(AA283=1,SUM($AA$2:AA283)-AA283+SUM($AB$2:AB283)-AB283+1,"")</f>
        <v/>
      </c>
      <c r="AD283" s="4" t="str">
        <f>IF(AB283=1,SUM($AA$2:AA283)+SUM($AB$2:AB283)-AB283+1,"")</f>
        <v/>
      </c>
      <c r="AE283" s="4" t="str">
        <f t="shared" si="26"/>
        <v/>
      </c>
      <c r="AF283" s="4" t="str">
        <f t="shared" si="27"/>
        <v/>
      </c>
      <c r="AG283" s="8">
        <f t="shared" si="28"/>
        <v>0</v>
      </c>
      <c r="AI283" s="8">
        <f t="shared" si="29"/>
        <v>0</v>
      </c>
    </row>
    <row r="284" spans="1:35" ht="15" customHeight="1" x14ac:dyDescent="0.25">
      <c r="A284" s="10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3"/>
      <c r="P284" s="3"/>
      <c r="Q284" s="8"/>
      <c r="R284" s="8"/>
      <c r="S284" s="8"/>
      <c r="T284" s="8"/>
      <c r="U284" s="8"/>
      <c r="V284" s="8"/>
      <c r="W284" t="str">
        <f>IF($C284="","",SUMPRODUCT(($C$2:C284=C284)+($D$2:D284=C284)))</f>
        <v/>
      </c>
      <c r="X284" t="str">
        <f>IF($D284="","",SUMPRODUCT(($C$2:C284=D284)+($D$2:D284=D284)))</f>
        <v/>
      </c>
      <c r="Y284" t="str">
        <f t="shared" si="24"/>
        <v/>
      </c>
      <c r="Z284" t="str">
        <f t="shared" si="25"/>
        <v/>
      </c>
      <c r="AA284" s="4" t="str">
        <f>IF($C284="","",IF(COUNTIF($C$1:C283,$C284)+COUNTIF($D$1:D283,$C284)=0,1,0))</f>
        <v/>
      </c>
      <c r="AB284" s="4" t="str">
        <f>IF($D284="","",IF(COUNTIF($C$1:C284,$D284)+COUNTIF($D$1:D283,$D284)=0,1,0))</f>
        <v/>
      </c>
      <c r="AC284" s="4" t="str">
        <f>IF(AA284=1,SUM($AA$2:AA284)-AA284+SUM($AB$2:AB284)-AB284+1,"")</f>
        <v/>
      </c>
      <c r="AD284" s="4" t="str">
        <f>IF(AB284=1,SUM($AA$2:AA284)+SUM($AB$2:AB284)-AB284+1,"")</f>
        <v/>
      </c>
      <c r="AE284" s="4" t="str">
        <f t="shared" si="26"/>
        <v/>
      </c>
      <c r="AF284" s="4" t="str">
        <f t="shared" si="27"/>
        <v/>
      </c>
      <c r="AG284" s="8">
        <f t="shared" si="28"/>
        <v>0</v>
      </c>
      <c r="AI284" s="8">
        <f t="shared" si="29"/>
        <v>0</v>
      </c>
    </row>
    <row r="285" spans="1:35" ht="15" customHeight="1" x14ac:dyDescent="0.25">
      <c r="A285" s="10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3"/>
      <c r="P285" s="3"/>
      <c r="Q285" s="8"/>
      <c r="R285" s="8"/>
      <c r="S285" s="8"/>
      <c r="T285" s="8"/>
      <c r="U285" s="8"/>
      <c r="V285" s="8"/>
      <c r="W285" t="str">
        <f>IF($C285="","",SUMPRODUCT(($C$2:C285=C285)+($D$2:D285=C285)))</f>
        <v/>
      </c>
      <c r="X285" t="str">
        <f>IF($D285="","",SUMPRODUCT(($C$2:C285=D285)+($D$2:D285=D285)))</f>
        <v/>
      </c>
      <c r="Y285" t="str">
        <f t="shared" si="24"/>
        <v/>
      </c>
      <c r="Z285" t="str">
        <f t="shared" si="25"/>
        <v/>
      </c>
      <c r="AA285" s="4" t="str">
        <f>IF($C285="","",IF(COUNTIF($C$1:C284,$C285)+COUNTIF($D$1:D284,$C285)=0,1,0))</f>
        <v/>
      </c>
      <c r="AB285" s="4" t="str">
        <f>IF($D285="","",IF(COUNTIF($C$1:C285,$D285)+COUNTIF($D$1:D284,$D285)=0,1,0))</f>
        <v/>
      </c>
      <c r="AC285" s="4" t="str">
        <f>IF(AA285=1,SUM($AA$2:AA285)-AA285+SUM($AB$2:AB285)-AB285+1,"")</f>
        <v/>
      </c>
      <c r="AD285" s="4" t="str">
        <f>IF(AB285=1,SUM($AA$2:AA285)+SUM($AB$2:AB285)-AB285+1,"")</f>
        <v/>
      </c>
      <c r="AE285" s="4" t="str">
        <f t="shared" si="26"/>
        <v/>
      </c>
      <c r="AF285" s="4" t="str">
        <f t="shared" si="27"/>
        <v/>
      </c>
      <c r="AG285" s="8">
        <f t="shared" si="28"/>
        <v>0</v>
      </c>
      <c r="AI285" s="8">
        <f t="shared" si="29"/>
        <v>0</v>
      </c>
    </row>
    <row r="286" spans="1:35" ht="15" customHeight="1" x14ac:dyDescent="0.25">
      <c r="A286" s="10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3"/>
      <c r="P286" s="3"/>
      <c r="Q286" s="8"/>
      <c r="R286" s="8"/>
      <c r="S286" s="8"/>
      <c r="T286" s="8"/>
      <c r="U286" s="8"/>
      <c r="V286" s="8"/>
      <c r="W286" t="str">
        <f>IF($C286="","",SUMPRODUCT(($C$2:C286=C286)+($D$2:D286=C286)))</f>
        <v/>
      </c>
      <c r="X286" t="str">
        <f>IF($D286="","",SUMPRODUCT(($C$2:C286=D286)+($D$2:D286=D286)))</f>
        <v/>
      </c>
      <c r="Y286" t="str">
        <f t="shared" si="24"/>
        <v/>
      </c>
      <c r="Z286" t="str">
        <f t="shared" si="25"/>
        <v/>
      </c>
      <c r="AA286" s="4" t="str">
        <f>IF($C286="","",IF(COUNTIF($C$1:C285,$C286)+COUNTIF($D$1:D285,$C286)=0,1,0))</f>
        <v/>
      </c>
      <c r="AB286" s="4" t="str">
        <f>IF($D286="","",IF(COUNTIF($C$1:C286,$D286)+COUNTIF($D$1:D285,$D286)=0,1,0))</f>
        <v/>
      </c>
      <c r="AC286" s="4" t="str">
        <f>IF(AA286=1,SUM($AA$2:AA286)-AA286+SUM($AB$2:AB286)-AB286+1,"")</f>
        <v/>
      </c>
      <c r="AD286" s="4" t="str">
        <f>IF(AB286=1,SUM($AA$2:AA286)+SUM($AB$2:AB286)-AB286+1,"")</f>
        <v/>
      </c>
      <c r="AE286" s="4" t="str">
        <f t="shared" si="26"/>
        <v/>
      </c>
      <c r="AF286" s="4" t="str">
        <f t="shared" si="27"/>
        <v/>
      </c>
      <c r="AG286" s="8">
        <f t="shared" si="28"/>
        <v>0</v>
      </c>
      <c r="AI286" s="8">
        <f t="shared" si="29"/>
        <v>0</v>
      </c>
    </row>
    <row r="287" spans="1:35" ht="15" customHeight="1" x14ac:dyDescent="0.25">
      <c r="A287" s="10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3"/>
      <c r="P287" s="3"/>
      <c r="Q287" s="8"/>
      <c r="R287" s="8"/>
      <c r="S287" s="8"/>
      <c r="T287" s="8"/>
      <c r="U287" s="8"/>
      <c r="V287" s="8"/>
      <c r="W287" t="str">
        <f>IF($C287="","",SUMPRODUCT(($C$2:C287=C287)+($D$2:D287=C287)))</f>
        <v/>
      </c>
      <c r="X287" t="str">
        <f>IF($D287="","",SUMPRODUCT(($C$2:C287=D287)+($D$2:D287=D287)))</f>
        <v/>
      </c>
      <c r="Y287" t="str">
        <f t="shared" si="24"/>
        <v/>
      </c>
      <c r="Z287" t="str">
        <f t="shared" si="25"/>
        <v/>
      </c>
      <c r="AA287" s="4" t="str">
        <f>IF($C287="","",IF(COUNTIF($C$1:C286,$C287)+COUNTIF($D$1:D286,$C287)=0,1,0))</f>
        <v/>
      </c>
      <c r="AB287" s="4" t="str">
        <f>IF($D287="","",IF(COUNTIF($C$1:C287,$D287)+COUNTIF($D$1:D286,$D287)=0,1,0))</f>
        <v/>
      </c>
      <c r="AC287" s="4" t="str">
        <f>IF(AA287=1,SUM($AA$2:AA287)-AA287+SUM($AB$2:AB287)-AB287+1,"")</f>
        <v/>
      </c>
      <c r="AD287" s="4" t="str">
        <f>IF(AB287=1,SUM($AA$2:AA287)+SUM($AB$2:AB287)-AB287+1,"")</f>
        <v/>
      </c>
      <c r="AE287" s="4" t="str">
        <f t="shared" si="26"/>
        <v/>
      </c>
      <c r="AF287" s="4" t="str">
        <f t="shared" si="27"/>
        <v/>
      </c>
      <c r="AG287" s="8">
        <f t="shared" si="28"/>
        <v>0</v>
      </c>
      <c r="AI287" s="8">
        <f t="shared" si="29"/>
        <v>0</v>
      </c>
    </row>
    <row r="288" spans="1:35" ht="15" customHeight="1" x14ac:dyDescent="0.25">
      <c r="A288" s="10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3"/>
      <c r="P288" s="3"/>
      <c r="Q288" s="8"/>
      <c r="R288" s="8"/>
      <c r="S288" s="8"/>
      <c r="T288" s="8"/>
      <c r="U288" s="8"/>
      <c r="V288" s="8"/>
      <c r="W288" t="str">
        <f>IF($C288="","",SUMPRODUCT(($C$2:C288=C288)+($D$2:D288=C288)))</f>
        <v/>
      </c>
      <c r="X288" t="str">
        <f>IF($D288="","",SUMPRODUCT(($C$2:C288=D288)+($D$2:D288=D288)))</f>
        <v/>
      </c>
      <c r="Y288" t="str">
        <f t="shared" si="24"/>
        <v/>
      </c>
      <c r="Z288" t="str">
        <f t="shared" si="25"/>
        <v/>
      </c>
      <c r="AA288" s="4" t="str">
        <f>IF($C288="","",IF(COUNTIF($C$1:C287,$C288)+COUNTIF($D$1:D287,$C288)=0,1,0))</f>
        <v/>
      </c>
      <c r="AB288" s="4" t="str">
        <f>IF($D288="","",IF(COUNTIF($C$1:C288,$D288)+COUNTIF($D$1:D287,$D288)=0,1,0))</f>
        <v/>
      </c>
      <c r="AC288" s="4" t="str">
        <f>IF(AA288=1,SUM($AA$2:AA288)-AA288+SUM($AB$2:AB288)-AB288+1,"")</f>
        <v/>
      </c>
      <c r="AD288" s="4" t="str">
        <f>IF(AB288=1,SUM($AA$2:AA288)+SUM($AB$2:AB288)-AB288+1,"")</f>
        <v/>
      </c>
      <c r="AE288" s="4" t="str">
        <f t="shared" si="26"/>
        <v/>
      </c>
      <c r="AF288" s="4" t="str">
        <f t="shared" si="27"/>
        <v/>
      </c>
      <c r="AG288" s="8">
        <f t="shared" si="28"/>
        <v>0</v>
      </c>
      <c r="AI288" s="8">
        <f t="shared" si="29"/>
        <v>0</v>
      </c>
    </row>
    <row r="289" spans="1:35" ht="15" customHeight="1" x14ac:dyDescent="0.25">
      <c r="A289" s="10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3"/>
      <c r="P289" s="3"/>
      <c r="Q289" s="8"/>
      <c r="R289" s="8"/>
      <c r="S289" s="8"/>
      <c r="T289" s="8"/>
      <c r="U289" s="8"/>
      <c r="V289" s="8"/>
      <c r="W289" t="str">
        <f>IF($C289="","",SUMPRODUCT(($C$2:C289=C289)+($D$2:D289=C289)))</f>
        <v/>
      </c>
      <c r="X289" t="str">
        <f>IF($D289="","",SUMPRODUCT(($C$2:C289=D289)+($D$2:D289=D289)))</f>
        <v/>
      </c>
      <c r="Y289" t="str">
        <f t="shared" si="24"/>
        <v/>
      </c>
      <c r="Z289" t="str">
        <f t="shared" si="25"/>
        <v/>
      </c>
      <c r="AA289" s="4" t="str">
        <f>IF($C289="","",IF(COUNTIF($C$1:C288,$C289)+COUNTIF($D$1:D288,$C289)=0,1,0))</f>
        <v/>
      </c>
      <c r="AB289" s="4" t="str">
        <f>IF($D289="","",IF(COUNTIF($C$1:C289,$D289)+COUNTIF($D$1:D288,$D289)=0,1,0))</f>
        <v/>
      </c>
      <c r="AC289" s="4" t="str">
        <f>IF(AA289=1,SUM($AA$2:AA289)-AA289+SUM($AB$2:AB289)-AB289+1,"")</f>
        <v/>
      </c>
      <c r="AD289" s="4" t="str">
        <f>IF(AB289=1,SUM($AA$2:AA289)+SUM($AB$2:AB289)-AB289+1,"")</f>
        <v/>
      </c>
      <c r="AE289" s="4" t="str">
        <f t="shared" si="26"/>
        <v/>
      </c>
      <c r="AF289" s="4" t="str">
        <f t="shared" si="27"/>
        <v/>
      </c>
      <c r="AG289" s="8">
        <f t="shared" si="28"/>
        <v>0</v>
      </c>
      <c r="AI289" s="8">
        <f t="shared" si="29"/>
        <v>0</v>
      </c>
    </row>
    <row r="290" spans="1:35" ht="15" customHeight="1" x14ac:dyDescent="0.25">
      <c r="A290" s="10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3"/>
      <c r="P290" s="3"/>
      <c r="Q290" s="8"/>
      <c r="R290" s="8"/>
      <c r="S290" s="8"/>
      <c r="T290" s="8"/>
      <c r="U290" s="8"/>
      <c r="V290" s="8"/>
      <c r="W290" t="str">
        <f>IF($C290="","",SUMPRODUCT(($C$2:C290=C290)+($D$2:D290=C290)))</f>
        <v/>
      </c>
      <c r="X290" t="str">
        <f>IF($D290="","",SUMPRODUCT(($C$2:C290=D290)+($D$2:D290=D290)))</f>
        <v/>
      </c>
      <c r="Y290" t="str">
        <f t="shared" si="24"/>
        <v/>
      </c>
      <c r="Z290" t="str">
        <f t="shared" si="25"/>
        <v/>
      </c>
      <c r="AA290" s="4" t="str">
        <f>IF($C290="","",IF(COUNTIF($C$1:C289,$C290)+COUNTIF($D$1:D289,$C290)=0,1,0))</f>
        <v/>
      </c>
      <c r="AB290" s="4" t="str">
        <f>IF($D290="","",IF(COUNTIF($C$1:C290,$D290)+COUNTIF($D$1:D289,$D290)=0,1,0))</f>
        <v/>
      </c>
      <c r="AC290" s="4" t="str">
        <f>IF(AA290=1,SUM($AA$2:AA290)-AA290+SUM($AB$2:AB290)-AB290+1,"")</f>
        <v/>
      </c>
      <c r="AD290" s="4" t="str">
        <f>IF(AB290=1,SUM($AA$2:AA290)+SUM($AB$2:AB290)-AB290+1,"")</f>
        <v/>
      </c>
      <c r="AE290" s="4" t="str">
        <f t="shared" si="26"/>
        <v/>
      </c>
      <c r="AF290" s="4" t="str">
        <f t="shared" si="27"/>
        <v/>
      </c>
      <c r="AG290" s="8">
        <f t="shared" si="28"/>
        <v>0</v>
      </c>
      <c r="AI290" s="8">
        <f t="shared" si="29"/>
        <v>0</v>
      </c>
    </row>
    <row r="291" spans="1:35" ht="15" customHeight="1" x14ac:dyDescent="0.25">
      <c r="A291" s="10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3"/>
      <c r="P291" s="3"/>
      <c r="Q291" s="8"/>
      <c r="R291" s="8"/>
      <c r="S291" s="8"/>
      <c r="T291" s="8"/>
      <c r="U291" s="8"/>
      <c r="V291" s="8"/>
      <c r="W291" t="str">
        <f>IF($C291="","",SUMPRODUCT(($C$2:C291=C291)+($D$2:D291=C291)))</f>
        <v/>
      </c>
      <c r="X291" t="str">
        <f>IF($D291="","",SUMPRODUCT(($C$2:C291=D291)+($D$2:D291=D291)))</f>
        <v/>
      </c>
      <c r="Y291" t="str">
        <f t="shared" si="24"/>
        <v/>
      </c>
      <c r="Z291" t="str">
        <f t="shared" si="25"/>
        <v/>
      </c>
      <c r="AA291" s="4" t="str">
        <f>IF($C291="","",IF(COUNTIF($C$1:C290,$C291)+COUNTIF($D$1:D290,$C291)=0,1,0))</f>
        <v/>
      </c>
      <c r="AB291" s="4" t="str">
        <f>IF($D291="","",IF(COUNTIF($C$1:C291,$D291)+COUNTIF($D$1:D290,$D291)=0,1,0))</f>
        <v/>
      </c>
      <c r="AC291" s="4" t="str">
        <f>IF(AA291=1,SUM($AA$2:AA291)-AA291+SUM($AB$2:AB291)-AB291+1,"")</f>
        <v/>
      </c>
      <c r="AD291" s="4" t="str">
        <f>IF(AB291=1,SUM($AA$2:AA291)+SUM($AB$2:AB291)-AB291+1,"")</f>
        <v/>
      </c>
      <c r="AE291" s="4" t="str">
        <f t="shared" si="26"/>
        <v/>
      </c>
      <c r="AF291" s="4" t="str">
        <f t="shared" si="27"/>
        <v/>
      </c>
      <c r="AG291" s="8">
        <f t="shared" si="28"/>
        <v>0</v>
      </c>
      <c r="AI291" s="8">
        <f t="shared" si="29"/>
        <v>0</v>
      </c>
    </row>
    <row r="292" spans="1:35" ht="15" customHeight="1" x14ac:dyDescent="0.25">
      <c r="A292" s="10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3"/>
      <c r="P292" s="3"/>
      <c r="Q292" s="8"/>
      <c r="R292" s="8"/>
      <c r="S292" s="8"/>
      <c r="T292" s="8"/>
      <c r="U292" s="8"/>
      <c r="V292" s="8"/>
      <c r="W292" t="str">
        <f>IF($C292="","",SUMPRODUCT(($C$2:C292=C292)+($D$2:D292=C292)))</f>
        <v/>
      </c>
      <c r="X292" t="str">
        <f>IF($D292="","",SUMPRODUCT(($C$2:C292=D292)+($D$2:D292=D292)))</f>
        <v/>
      </c>
      <c r="Y292" t="str">
        <f t="shared" si="24"/>
        <v/>
      </c>
      <c r="Z292" t="str">
        <f t="shared" si="25"/>
        <v/>
      </c>
      <c r="AA292" s="4" t="str">
        <f>IF($C292="","",IF(COUNTIF($C$1:C291,$C292)+COUNTIF($D$1:D291,$C292)=0,1,0))</f>
        <v/>
      </c>
      <c r="AB292" s="4" t="str">
        <f>IF($D292="","",IF(COUNTIF($C$1:C292,$D292)+COUNTIF($D$1:D291,$D292)=0,1,0))</f>
        <v/>
      </c>
      <c r="AC292" s="4" t="str">
        <f>IF(AA292=1,SUM($AA$2:AA292)-AA292+SUM($AB$2:AB292)-AB292+1,"")</f>
        <v/>
      </c>
      <c r="AD292" s="4" t="str">
        <f>IF(AB292=1,SUM($AA$2:AA292)+SUM($AB$2:AB292)-AB292+1,"")</f>
        <v/>
      </c>
      <c r="AE292" s="4" t="str">
        <f t="shared" si="26"/>
        <v/>
      </c>
      <c r="AF292" s="4" t="str">
        <f t="shared" si="27"/>
        <v/>
      </c>
      <c r="AG292" s="8">
        <f t="shared" si="28"/>
        <v>0</v>
      </c>
      <c r="AI292" s="8">
        <f t="shared" si="29"/>
        <v>0</v>
      </c>
    </row>
    <row r="293" spans="1:35" ht="15" customHeight="1" x14ac:dyDescent="0.25">
      <c r="A293" s="10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3"/>
      <c r="P293" s="3"/>
      <c r="Q293" s="8"/>
      <c r="R293" s="8"/>
      <c r="S293" s="8"/>
      <c r="T293" s="8"/>
      <c r="U293" s="8"/>
      <c r="V293" s="8"/>
      <c r="W293" t="str">
        <f>IF($C293="","",SUMPRODUCT(($C$2:C293=C293)+($D$2:D293=C293)))</f>
        <v/>
      </c>
      <c r="X293" t="str">
        <f>IF($D293="","",SUMPRODUCT(($C$2:C293=D293)+($D$2:D293=D293)))</f>
        <v/>
      </c>
      <c r="Y293" t="str">
        <f t="shared" si="24"/>
        <v/>
      </c>
      <c r="Z293" t="str">
        <f t="shared" si="25"/>
        <v/>
      </c>
      <c r="AA293" s="4" t="str">
        <f>IF($C293="","",IF(COUNTIF($C$1:C292,$C293)+COUNTIF($D$1:D292,$C293)=0,1,0))</f>
        <v/>
      </c>
      <c r="AB293" s="4" t="str">
        <f>IF($D293="","",IF(COUNTIF($C$1:C293,$D293)+COUNTIF($D$1:D292,$D293)=0,1,0))</f>
        <v/>
      </c>
      <c r="AC293" s="4" t="str">
        <f>IF(AA293=1,SUM($AA$2:AA293)-AA293+SUM($AB$2:AB293)-AB293+1,"")</f>
        <v/>
      </c>
      <c r="AD293" s="4" t="str">
        <f>IF(AB293=1,SUM($AA$2:AA293)+SUM($AB$2:AB293)-AB293+1,"")</f>
        <v/>
      </c>
      <c r="AE293" s="4" t="str">
        <f t="shared" si="26"/>
        <v/>
      </c>
      <c r="AF293" s="4" t="str">
        <f t="shared" si="27"/>
        <v/>
      </c>
      <c r="AG293" s="8">
        <f t="shared" si="28"/>
        <v>0</v>
      </c>
      <c r="AI293" s="8">
        <f t="shared" si="29"/>
        <v>0</v>
      </c>
    </row>
    <row r="294" spans="1:35" ht="15" customHeight="1" x14ac:dyDescent="0.25">
      <c r="A294" s="10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3"/>
      <c r="P294" s="3"/>
      <c r="Q294" s="8"/>
      <c r="R294" s="8"/>
      <c r="S294" s="8"/>
      <c r="T294" s="8"/>
      <c r="U294" s="8"/>
      <c r="V294" s="8"/>
      <c r="W294" t="str">
        <f>IF($C294="","",SUMPRODUCT(($C$2:C294=C294)+($D$2:D294=C294)))</f>
        <v/>
      </c>
      <c r="X294" t="str">
        <f>IF($D294="","",SUMPRODUCT(($C$2:C294=D294)+($D$2:D294=D294)))</f>
        <v/>
      </c>
      <c r="Y294" t="str">
        <f t="shared" si="24"/>
        <v/>
      </c>
      <c r="Z294" t="str">
        <f t="shared" si="25"/>
        <v/>
      </c>
      <c r="AA294" s="4" t="str">
        <f>IF($C294="","",IF(COUNTIF($C$1:C293,$C294)+COUNTIF($D$1:D293,$C294)=0,1,0))</f>
        <v/>
      </c>
      <c r="AB294" s="4" t="str">
        <f>IF($D294="","",IF(COUNTIF($C$1:C294,$D294)+COUNTIF($D$1:D293,$D294)=0,1,0))</f>
        <v/>
      </c>
      <c r="AC294" s="4" t="str">
        <f>IF(AA294=1,SUM($AA$2:AA294)-AA294+SUM($AB$2:AB294)-AB294+1,"")</f>
        <v/>
      </c>
      <c r="AD294" s="4" t="str">
        <f>IF(AB294=1,SUM($AA$2:AA294)+SUM($AB$2:AB294)-AB294+1,"")</f>
        <v/>
      </c>
      <c r="AE294" s="4" t="str">
        <f t="shared" si="26"/>
        <v/>
      </c>
      <c r="AF294" s="4" t="str">
        <f t="shared" si="27"/>
        <v/>
      </c>
      <c r="AG294" s="8">
        <f t="shared" si="28"/>
        <v>0</v>
      </c>
      <c r="AI294" s="8">
        <f t="shared" si="29"/>
        <v>0</v>
      </c>
    </row>
    <row r="295" spans="1:35" ht="15" customHeight="1" x14ac:dyDescent="0.25">
      <c r="A295" s="10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3"/>
      <c r="P295" s="3"/>
      <c r="Q295" s="8"/>
      <c r="R295" s="8"/>
      <c r="S295" s="8"/>
      <c r="T295" s="8"/>
      <c r="U295" s="8"/>
      <c r="V295" s="8"/>
      <c r="W295" t="str">
        <f>IF($C295="","",SUMPRODUCT(($C$2:C295=C295)+($D$2:D295=C295)))</f>
        <v/>
      </c>
      <c r="X295" t="str">
        <f>IF($D295="","",SUMPRODUCT(($C$2:C295=D295)+($D$2:D295=D295)))</f>
        <v/>
      </c>
      <c r="Y295" t="str">
        <f t="shared" si="24"/>
        <v/>
      </c>
      <c r="Z295" t="str">
        <f t="shared" si="25"/>
        <v/>
      </c>
      <c r="AA295" s="4" t="str">
        <f>IF($C295="","",IF(COUNTIF($C$1:C294,$C295)+COUNTIF($D$1:D294,$C295)=0,1,0))</f>
        <v/>
      </c>
      <c r="AB295" s="4" t="str">
        <f>IF($D295="","",IF(COUNTIF($C$1:C295,$D295)+COUNTIF($D$1:D294,$D295)=0,1,0))</f>
        <v/>
      </c>
      <c r="AC295" s="4" t="str">
        <f>IF(AA295=1,SUM($AA$2:AA295)-AA295+SUM($AB$2:AB295)-AB295+1,"")</f>
        <v/>
      </c>
      <c r="AD295" s="4" t="str">
        <f>IF(AB295=1,SUM($AA$2:AA295)+SUM($AB$2:AB295)-AB295+1,"")</f>
        <v/>
      </c>
      <c r="AE295" s="4" t="str">
        <f t="shared" si="26"/>
        <v/>
      </c>
      <c r="AF295" s="4" t="str">
        <f t="shared" si="27"/>
        <v/>
      </c>
      <c r="AG295" s="8">
        <f t="shared" si="28"/>
        <v>0</v>
      </c>
      <c r="AI295" s="8">
        <f t="shared" si="29"/>
        <v>0</v>
      </c>
    </row>
    <row r="296" spans="1:35" ht="15" customHeight="1" x14ac:dyDescent="0.25">
      <c r="A296" s="10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3"/>
      <c r="P296" s="3"/>
      <c r="Q296" s="8"/>
      <c r="R296" s="8"/>
      <c r="S296" s="8"/>
      <c r="T296" s="8"/>
      <c r="U296" s="8"/>
      <c r="V296" s="8"/>
      <c r="W296" t="str">
        <f>IF($C296="","",SUMPRODUCT(($C$2:C296=C296)+($D$2:D296=C296)))</f>
        <v/>
      </c>
      <c r="X296" t="str">
        <f>IF($D296="","",SUMPRODUCT(($C$2:C296=D296)+($D$2:D296=D296)))</f>
        <v/>
      </c>
      <c r="Y296" t="str">
        <f t="shared" si="24"/>
        <v/>
      </c>
      <c r="Z296" t="str">
        <f t="shared" si="25"/>
        <v/>
      </c>
      <c r="AA296" s="4" t="str">
        <f>IF($C296="","",IF(COUNTIF($C$1:C295,$C296)+COUNTIF($D$1:D295,$C296)=0,1,0))</f>
        <v/>
      </c>
      <c r="AB296" s="4" t="str">
        <f>IF($D296="","",IF(COUNTIF($C$1:C296,$D296)+COUNTIF($D$1:D295,$D296)=0,1,0))</f>
        <v/>
      </c>
      <c r="AC296" s="4" t="str">
        <f>IF(AA296=1,SUM($AA$2:AA296)-AA296+SUM($AB$2:AB296)-AB296+1,"")</f>
        <v/>
      </c>
      <c r="AD296" s="4" t="str">
        <f>IF(AB296=1,SUM($AA$2:AA296)+SUM($AB$2:AB296)-AB296+1,"")</f>
        <v/>
      </c>
      <c r="AE296" s="4" t="str">
        <f t="shared" si="26"/>
        <v/>
      </c>
      <c r="AF296" s="4" t="str">
        <f t="shared" si="27"/>
        <v/>
      </c>
      <c r="AG296" s="8">
        <f t="shared" si="28"/>
        <v>0</v>
      </c>
      <c r="AI296" s="8">
        <f t="shared" si="29"/>
        <v>0</v>
      </c>
    </row>
    <row r="297" spans="1:35" ht="15" customHeight="1" x14ac:dyDescent="0.25">
      <c r="A297" s="10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3"/>
      <c r="P297" s="3"/>
      <c r="Q297" s="8"/>
      <c r="R297" s="8"/>
      <c r="S297" s="8"/>
      <c r="T297" s="8"/>
      <c r="U297" s="8"/>
      <c r="V297" s="8"/>
      <c r="W297" t="str">
        <f>IF($C297="","",SUMPRODUCT(($C$2:C297=C297)+($D$2:D297=C297)))</f>
        <v/>
      </c>
      <c r="X297" t="str">
        <f>IF($D297="","",SUMPRODUCT(($C$2:C297=D297)+($D$2:D297=D297)))</f>
        <v/>
      </c>
      <c r="Y297" t="str">
        <f t="shared" si="24"/>
        <v/>
      </c>
      <c r="Z297" t="str">
        <f t="shared" si="25"/>
        <v/>
      </c>
      <c r="AA297" s="4" t="str">
        <f>IF($C297="","",IF(COUNTIF($C$1:C296,$C297)+COUNTIF($D$1:D296,$C297)=0,1,0))</f>
        <v/>
      </c>
      <c r="AB297" s="4" t="str">
        <f>IF($D297="","",IF(COUNTIF($C$1:C297,$D297)+COUNTIF($D$1:D296,$D297)=0,1,0))</f>
        <v/>
      </c>
      <c r="AC297" s="4" t="str">
        <f>IF(AA297=1,SUM($AA$2:AA297)-AA297+SUM($AB$2:AB297)-AB297+1,"")</f>
        <v/>
      </c>
      <c r="AD297" s="4" t="str">
        <f>IF(AB297=1,SUM($AA$2:AA297)+SUM($AB$2:AB297)-AB297+1,"")</f>
        <v/>
      </c>
      <c r="AE297" s="4" t="str">
        <f t="shared" si="26"/>
        <v/>
      </c>
      <c r="AF297" s="4" t="str">
        <f t="shared" si="27"/>
        <v/>
      </c>
      <c r="AG297" s="8">
        <f t="shared" si="28"/>
        <v>0</v>
      </c>
      <c r="AI297" s="8">
        <f t="shared" si="29"/>
        <v>0</v>
      </c>
    </row>
    <row r="298" spans="1:35" ht="15" customHeight="1" x14ac:dyDescent="0.25">
      <c r="A298" s="10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3"/>
      <c r="P298" s="3"/>
      <c r="Q298" s="8"/>
      <c r="R298" s="8"/>
      <c r="S298" s="8"/>
      <c r="T298" s="8"/>
      <c r="U298" s="8"/>
      <c r="V298" s="8"/>
      <c r="W298" t="str">
        <f>IF($C298="","",SUMPRODUCT(($C$2:C298=C298)+($D$2:D298=C298)))</f>
        <v/>
      </c>
      <c r="X298" t="str">
        <f>IF($D298="","",SUMPRODUCT(($C$2:C298=D298)+($D$2:D298=D298)))</f>
        <v/>
      </c>
      <c r="Y298" t="str">
        <f t="shared" si="24"/>
        <v/>
      </c>
      <c r="Z298" t="str">
        <f t="shared" si="25"/>
        <v/>
      </c>
      <c r="AA298" s="4" t="str">
        <f>IF($C298="","",IF(COUNTIF($C$1:C297,$C298)+COUNTIF($D$1:D297,$C298)=0,1,0))</f>
        <v/>
      </c>
      <c r="AB298" s="4" t="str">
        <f>IF($D298="","",IF(COUNTIF($C$1:C298,$D298)+COUNTIF($D$1:D297,$D298)=0,1,0))</f>
        <v/>
      </c>
      <c r="AC298" s="4" t="str">
        <f>IF(AA298=1,SUM($AA$2:AA298)-AA298+SUM($AB$2:AB298)-AB298+1,"")</f>
        <v/>
      </c>
      <c r="AD298" s="4" t="str">
        <f>IF(AB298=1,SUM($AA$2:AA298)+SUM($AB$2:AB298)-AB298+1,"")</f>
        <v/>
      </c>
      <c r="AE298" s="4" t="str">
        <f t="shared" si="26"/>
        <v/>
      </c>
      <c r="AF298" s="4" t="str">
        <f t="shared" si="27"/>
        <v/>
      </c>
      <c r="AG298" s="8">
        <f t="shared" si="28"/>
        <v>0</v>
      </c>
      <c r="AI298" s="8">
        <f t="shared" si="29"/>
        <v>0</v>
      </c>
    </row>
    <row r="299" spans="1:35" ht="15" customHeight="1" x14ac:dyDescent="0.25">
      <c r="A299" s="10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3"/>
      <c r="P299" s="3"/>
      <c r="Q299" s="8"/>
      <c r="R299" s="8"/>
      <c r="S299" s="8"/>
      <c r="T299" s="8"/>
      <c r="U299" s="8"/>
      <c r="V299" s="8"/>
      <c r="W299" t="str">
        <f>IF($C299="","",SUMPRODUCT(($C$2:C299=C299)+($D$2:D299=C299)))</f>
        <v/>
      </c>
      <c r="X299" t="str">
        <f>IF($D299="","",SUMPRODUCT(($C$2:C299=D299)+($D$2:D299=D299)))</f>
        <v/>
      </c>
      <c r="Y299" t="str">
        <f t="shared" si="24"/>
        <v/>
      </c>
      <c r="Z299" t="str">
        <f t="shared" si="25"/>
        <v/>
      </c>
      <c r="AA299" s="4" t="str">
        <f>IF($C299="","",IF(COUNTIF($C$1:C298,$C299)+COUNTIF($D$1:D298,$C299)=0,1,0))</f>
        <v/>
      </c>
      <c r="AB299" s="4" t="str">
        <f>IF($D299="","",IF(COUNTIF($C$1:C299,$D299)+COUNTIF($D$1:D298,$D299)=0,1,0))</f>
        <v/>
      </c>
      <c r="AC299" s="4" t="str">
        <f>IF(AA299=1,SUM($AA$2:AA299)-AA299+SUM($AB$2:AB299)-AB299+1,"")</f>
        <v/>
      </c>
      <c r="AD299" s="4" t="str">
        <f>IF(AB299=1,SUM($AA$2:AA299)+SUM($AB$2:AB299)-AB299+1,"")</f>
        <v/>
      </c>
      <c r="AE299" s="4" t="str">
        <f t="shared" si="26"/>
        <v/>
      </c>
      <c r="AF299" s="4" t="str">
        <f t="shared" si="27"/>
        <v/>
      </c>
      <c r="AG299" s="8">
        <f t="shared" si="28"/>
        <v>0</v>
      </c>
      <c r="AI299" s="8">
        <f t="shared" si="29"/>
        <v>0</v>
      </c>
    </row>
    <row r="300" spans="1:35" ht="15" customHeight="1" x14ac:dyDescent="0.25">
      <c r="A300" s="10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3"/>
      <c r="P300" s="3"/>
      <c r="Q300" s="8"/>
      <c r="R300" s="8"/>
      <c r="S300" s="8"/>
      <c r="T300" s="8"/>
      <c r="U300" s="8"/>
      <c r="V300" s="8"/>
      <c r="W300" t="str">
        <f>IF($C300="","",SUMPRODUCT(($C$2:C300=C300)+($D$2:D300=C300)))</f>
        <v/>
      </c>
      <c r="X300" t="str">
        <f>IF($D300="","",SUMPRODUCT(($C$2:C300=D300)+($D$2:D300=D300)))</f>
        <v/>
      </c>
      <c r="Y300" t="str">
        <f t="shared" si="24"/>
        <v/>
      </c>
      <c r="Z300" t="str">
        <f t="shared" si="25"/>
        <v/>
      </c>
      <c r="AA300" s="4" t="str">
        <f>IF($C300="","",IF(COUNTIF($C$1:C299,$C300)+COUNTIF($D$1:D299,$C300)=0,1,0))</f>
        <v/>
      </c>
      <c r="AB300" s="4" t="str">
        <f>IF($D300="","",IF(COUNTIF($C$1:C300,$D300)+COUNTIF($D$1:D299,$D300)=0,1,0))</f>
        <v/>
      </c>
      <c r="AC300" s="4" t="str">
        <f>IF(AA300=1,SUM($AA$2:AA300)-AA300+SUM($AB$2:AB300)-AB300+1,"")</f>
        <v/>
      </c>
      <c r="AD300" s="4" t="str">
        <f>IF(AB300=1,SUM($AA$2:AA300)+SUM($AB$2:AB300)-AB300+1,"")</f>
        <v/>
      </c>
      <c r="AE300" s="4" t="str">
        <f t="shared" si="26"/>
        <v/>
      </c>
      <c r="AF300" s="4" t="str">
        <f t="shared" si="27"/>
        <v/>
      </c>
      <c r="AG300" s="8">
        <f t="shared" si="28"/>
        <v>0</v>
      </c>
      <c r="AI300" s="8">
        <f t="shared" si="29"/>
        <v>0</v>
      </c>
    </row>
    <row r="301" spans="1:35" ht="15" customHeight="1" x14ac:dyDescent="0.25">
      <c r="A301" s="10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3"/>
      <c r="P301" s="3"/>
      <c r="Q301" s="8"/>
      <c r="R301" s="8"/>
      <c r="S301" s="8"/>
      <c r="T301" s="8"/>
      <c r="U301" s="8"/>
      <c r="V301" s="8"/>
      <c r="W301" t="str">
        <f>IF($C301="","",SUMPRODUCT(($C$2:C301=C301)+($D$2:D301=C301)))</f>
        <v/>
      </c>
      <c r="X301" t="str">
        <f>IF($D301="","",SUMPRODUCT(($C$2:C301=D301)+($D$2:D301=D301)))</f>
        <v/>
      </c>
      <c r="Y301" t="str">
        <f t="shared" si="24"/>
        <v/>
      </c>
      <c r="Z301" t="str">
        <f t="shared" si="25"/>
        <v/>
      </c>
      <c r="AA301" s="4" t="str">
        <f>IF($C301="","",IF(COUNTIF($C$1:C300,$C301)+COUNTIF($D$1:D300,$C301)=0,1,0))</f>
        <v/>
      </c>
      <c r="AB301" s="4" t="str">
        <f>IF($D301="","",IF(COUNTIF($C$1:C301,$D301)+COUNTIF($D$1:D300,$D301)=0,1,0))</f>
        <v/>
      </c>
      <c r="AC301" s="4" t="str">
        <f>IF(AA301=1,SUM($AA$2:AA301)-AA301+SUM($AB$2:AB301)-AB301+1,"")</f>
        <v/>
      </c>
      <c r="AD301" s="4" t="str">
        <f>IF(AB301=1,SUM($AA$2:AA301)+SUM($AB$2:AB301)-AB301+1,"")</f>
        <v/>
      </c>
      <c r="AE301" s="4" t="str">
        <f t="shared" si="26"/>
        <v/>
      </c>
      <c r="AF301" s="4" t="str">
        <f t="shared" si="27"/>
        <v/>
      </c>
      <c r="AG301" s="8">
        <f t="shared" si="28"/>
        <v>0</v>
      </c>
      <c r="AI301" s="8">
        <f t="shared" si="29"/>
        <v>0</v>
      </c>
    </row>
    <row r="302" spans="1:35" ht="15" customHeight="1" x14ac:dyDescent="0.25">
      <c r="A302" s="10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3"/>
      <c r="P302" s="3"/>
      <c r="Q302" s="8"/>
      <c r="R302" s="8"/>
      <c r="S302" s="8"/>
      <c r="T302" s="8"/>
      <c r="U302" s="8"/>
      <c r="V302" s="8"/>
      <c r="W302" t="str">
        <f>IF($C302="","",SUMPRODUCT(($C$2:C302=C302)+($D$2:D302=C302)))</f>
        <v/>
      </c>
      <c r="X302" t="str">
        <f>IF($D302="","",SUMPRODUCT(($C$2:C302=D302)+($D$2:D302=D302)))</f>
        <v/>
      </c>
      <c r="Y302" t="str">
        <f t="shared" si="24"/>
        <v/>
      </c>
      <c r="Z302" t="str">
        <f t="shared" si="25"/>
        <v/>
      </c>
      <c r="AA302" s="4" t="str">
        <f>IF($C302="","",IF(COUNTIF($C$1:C301,$C302)+COUNTIF($D$1:D301,$C302)=0,1,0))</f>
        <v/>
      </c>
      <c r="AB302" s="4" t="str">
        <f>IF($D302="","",IF(COUNTIF($C$1:C302,$D302)+COUNTIF($D$1:D301,$D302)=0,1,0))</f>
        <v/>
      </c>
      <c r="AC302" s="4" t="str">
        <f>IF(AA302=1,SUM($AA$2:AA302)-AA302+SUM($AB$2:AB302)-AB302+1,"")</f>
        <v/>
      </c>
      <c r="AD302" s="4" t="str">
        <f>IF(AB302=1,SUM($AA$2:AA302)+SUM($AB$2:AB302)-AB302+1,"")</f>
        <v/>
      </c>
      <c r="AE302" s="4" t="str">
        <f t="shared" si="26"/>
        <v/>
      </c>
      <c r="AF302" s="4" t="str">
        <f t="shared" si="27"/>
        <v/>
      </c>
      <c r="AG302" s="8">
        <f t="shared" si="28"/>
        <v>0</v>
      </c>
      <c r="AI302" s="8">
        <f t="shared" si="29"/>
        <v>0</v>
      </c>
    </row>
    <row r="303" spans="1:35" ht="15" customHeight="1" x14ac:dyDescent="0.25">
      <c r="A303" s="10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3"/>
      <c r="P303" s="3"/>
      <c r="Q303" s="8"/>
      <c r="R303" s="8"/>
      <c r="S303" s="8"/>
      <c r="T303" s="8"/>
      <c r="U303" s="8"/>
      <c r="V303" s="8"/>
      <c r="W303" t="str">
        <f>IF($C303="","",SUMPRODUCT(($C$2:C303=C303)+($D$2:D303=C303)))</f>
        <v/>
      </c>
      <c r="X303" t="str">
        <f>IF($D303="","",SUMPRODUCT(($C$2:C303=D303)+($D$2:D303=D303)))</f>
        <v/>
      </c>
      <c r="Y303" t="str">
        <f t="shared" si="24"/>
        <v/>
      </c>
      <c r="Z303" t="str">
        <f t="shared" si="25"/>
        <v/>
      </c>
      <c r="AA303" s="4" t="str">
        <f>IF($C303="","",IF(COUNTIF($C$1:C302,$C303)+COUNTIF($D$1:D302,$C303)=0,1,0))</f>
        <v/>
      </c>
      <c r="AB303" s="4" t="str">
        <f>IF($D303="","",IF(COUNTIF($C$1:C303,$D303)+COUNTIF($D$1:D302,$D303)=0,1,0))</f>
        <v/>
      </c>
      <c r="AC303" s="4" t="str">
        <f>IF(AA303=1,SUM($AA$2:AA303)-AA303+SUM($AB$2:AB303)-AB303+1,"")</f>
        <v/>
      </c>
      <c r="AD303" s="4" t="str">
        <f>IF(AB303=1,SUM($AA$2:AA303)+SUM($AB$2:AB303)-AB303+1,"")</f>
        <v/>
      </c>
      <c r="AE303" s="4" t="str">
        <f t="shared" si="26"/>
        <v/>
      </c>
      <c r="AF303" s="4" t="str">
        <f t="shared" si="27"/>
        <v/>
      </c>
      <c r="AG303" s="8">
        <f t="shared" si="28"/>
        <v>0</v>
      </c>
      <c r="AI303" s="8">
        <f t="shared" si="29"/>
        <v>0</v>
      </c>
    </row>
    <row r="304" spans="1:35" ht="15" customHeight="1" x14ac:dyDescent="0.25">
      <c r="A304" s="10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3"/>
      <c r="P304" s="3"/>
      <c r="Q304" s="8"/>
      <c r="R304" s="8"/>
      <c r="S304" s="8"/>
      <c r="T304" s="8"/>
      <c r="U304" s="8"/>
      <c r="V304" s="8"/>
      <c r="W304" t="str">
        <f>IF($C304="","",SUMPRODUCT(($C$2:C304=C304)+($D$2:D304=C304)))</f>
        <v/>
      </c>
      <c r="X304" t="str">
        <f>IF($D304="","",SUMPRODUCT(($C$2:C304=D304)+($D$2:D304=D304)))</f>
        <v/>
      </c>
      <c r="Y304" t="str">
        <f t="shared" si="24"/>
        <v/>
      </c>
      <c r="Z304" t="str">
        <f t="shared" si="25"/>
        <v/>
      </c>
      <c r="AA304" s="4" t="str">
        <f>IF($C304="","",IF(COUNTIF($C$1:C303,$C304)+COUNTIF($D$1:D303,$C304)=0,1,0))</f>
        <v/>
      </c>
      <c r="AB304" s="4" t="str">
        <f>IF($D304="","",IF(COUNTIF($C$1:C304,$D304)+COUNTIF($D$1:D303,$D304)=0,1,0))</f>
        <v/>
      </c>
      <c r="AC304" s="4" t="str">
        <f>IF(AA304=1,SUM($AA$2:AA304)-AA304+SUM($AB$2:AB304)-AB304+1,"")</f>
        <v/>
      </c>
      <c r="AD304" s="4" t="str">
        <f>IF(AB304=1,SUM($AA$2:AA304)+SUM($AB$2:AB304)-AB304+1,"")</f>
        <v/>
      </c>
      <c r="AE304" s="4" t="str">
        <f t="shared" si="26"/>
        <v/>
      </c>
      <c r="AF304" s="4" t="str">
        <f t="shared" si="27"/>
        <v/>
      </c>
      <c r="AG304" s="8">
        <f t="shared" si="28"/>
        <v>0</v>
      </c>
      <c r="AI304" s="8">
        <f t="shared" si="29"/>
        <v>0</v>
      </c>
    </row>
    <row r="305" spans="1:35" ht="15" customHeight="1" x14ac:dyDescent="0.25">
      <c r="A305" s="10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3"/>
      <c r="P305" s="3"/>
      <c r="Q305" s="8"/>
      <c r="R305" s="8"/>
      <c r="S305" s="8"/>
      <c r="T305" s="8"/>
      <c r="U305" s="8"/>
      <c r="V305" s="8"/>
      <c r="W305" t="str">
        <f>IF($C305="","",SUMPRODUCT(($C$2:C305=C305)+($D$2:D305=C305)))</f>
        <v/>
      </c>
      <c r="X305" t="str">
        <f>IF($D305="","",SUMPRODUCT(($C$2:C305=D305)+($D$2:D305=D305)))</f>
        <v/>
      </c>
      <c r="Y305" t="str">
        <f t="shared" si="24"/>
        <v/>
      </c>
      <c r="Z305" t="str">
        <f t="shared" si="25"/>
        <v/>
      </c>
      <c r="AA305" s="4" t="str">
        <f>IF($C305="","",IF(COUNTIF($C$1:C304,$C305)+COUNTIF($D$1:D304,$C305)=0,1,0))</f>
        <v/>
      </c>
      <c r="AB305" s="4" t="str">
        <f>IF($D305="","",IF(COUNTIF($C$1:C305,$D305)+COUNTIF($D$1:D304,$D305)=0,1,0))</f>
        <v/>
      </c>
      <c r="AC305" s="4" t="str">
        <f>IF(AA305=1,SUM($AA$2:AA305)-AA305+SUM($AB$2:AB305)-AB305+1,"")</f>
        <v/>
      </c>
      <c r="AD305" s="4" t="str">
        <f>IF(AB305=1,SUM($AA$2:AA305)+SUM($AB$2:AB305)-AB305+1,"")</f>
        <v/>
      </c>
      <c r="AE305" s="4" t="str">
        <f t="shared" si="26"/>
        <v/>
      </c>
      <c r="AF305" s="4" t="str">
        <f t="shared" si="27"/>
        <v/>
      </c>
      <c r="AG305" s="8">
        <f t="shared" si="28"/>
        <v>0</v>
      </c>
      <c r="AI305" s="8">
        <f t="shared" si="29"/>
        <v>0</v>
      </c>
    </row>
    <row r="306" spans="1:35" ht="15" customHeight="1" x14ac:dyDescent="0.25">
      <c r="A306" s="10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3"/>
      <c r="P306" s="3"/>
      <c r="Q306" s="8"/>
      <c r="R306" s="8"/>
      <c r="S306" s="8"/>
      <c r="T306" s="8"/>
      <c r="U306" s="8"/>
      <c r="V306" s="8"/>
      <c r="W306" t="str">
        <f>IF($C306="","",SUMPRODUCT(($C$2:C306=C306)+($D$2:D306=C306)))</f>
        <v/>
      </c>
      <c r="X306" t="str">
        <f>IF($D306="","",SUMPRODUCT(($C$2:C306=D306)+($D$2:D306=D306)))</f>
        <v/>
      </c>
      <c r="Y306" t="str">
        <f t="shared" si="24"/>
        <v/>
      </c>
      <c r="Z306" t="str">
        <f t="shared" si="25"/>
        <v/>
      </c>
      <c r="AA306" s="4" t="str">
        <f>IF($C306="","",IF(COUNTIF($C$1:C305,$C306)+COUNTIF($D$1:D305,$C306)=0,1,0))</f>
        <v/>
      </c>
      <c r="AB306" s="4" t="str">
        <f>IF($D306="","",IF(COUNTIF($C$1:C306,$D306)+COUNTIF($D$1:D305,$D306)=0,1,0))</f>
        <v/>
      </c>
      <c r="AC306" s="4" t="str">
        <f>IF(AA306=1,SUM($AA$2:AA306)-AA306+SUM($AB$2:AB306)-AB306+1,"")</f>
        <v/>
      </c>
      <c r="AD306" s="4" t="str">
        <f>IF(AB306=1,SUM($AA$2:AA306)+SUM($AB$2:AB306)-AB306+1,"")</f>
        <v/>
      </c>
      <c r="AE306" s="4" t="str">
        <f t="shared" si="26"/>
        <v/>
      </c>
      <c r="AF306" s="4" t="str">
        <f t="shared" si="27"/>
        <v/>
      </c>
      <c r="AG306" s="8">
        <f t="shared" si="28"/>
        <v>0</v>
      </c>
      <c r="AI306" s="8">
        <f t="shared" si="29"/>
        <v>0</v>
      </c>
    </row>
    <row r="307" spans="1:35" ht="15" customHeight="1" x14ac:dyDescent="0.25">
      <c r="A307" s="10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3"/>
      <c r="P307" s="3"/>
      <c r="Q307" s="8"/>
      <c r="R307" s="8"/>
      <c r="S307" s="8"/>
      <c r="T307" s="8"/>
      <c r="U307" s="8"/>
      <c r="V307" s="8"/>
      <c r="W307" t="str">
        <f>IF($C307="","",SUMPRODUCT(($C$2:C307=C307)+($D$2:D307=C307)))</f>
        <v/>
      </c>
      <c r="X307" t="str">
        <f>IF($D307="","",SUMPRODUCT(($C$2:C307=D307)+($D$2:D307=D307)))</f>
        <v/>
      </c>
      <c r="Y307" t="str">
        <f t="shared" si="24"/>
        <v/>
      </c>
      <c r="Z307" t="str">
        <f t="shared" si="25"/>
        <v/>
      </c>
      <c r="AA307" s="4" t="str">
        <f>IF($C307="","",IF(COUNTIF($C$1:C306,$C307)+COUNTIF($D$1:D306,$C307)=0,1,0))</f>
        <v/>
      </c>
      <c r="AB307" s="4" t="str">
        <f>IF($D307="","",IF(COUNTIF($C$1:C307,$D307)+COUNTIF($D$1:D306,$D307)=0,1,0))</f>
        <v/>
      </c>
      <c r="AC307" s="4" t="str">
        <f>IF(AA307=1,SUM($AA$2:AA307)-AA307+SUM($AB$2:AB307)-AB307+1,"")</f>
        <v/>
      </c>
      <c r="AD307" s="4" t="str">
        <f>IF(AB307=1,SUM($AA$2:AA307)+SUM($AB$2:AB307)-AB307+1,"")</f>
        <v/>
      </c>
      <c r="AE307" s="4" t="str">
        <f t="shared" si="26"/>
        <v/>
      </c>
      <c r="AF307" s="4" t="str">
        <f t="shared" si="27"/>
        <v/>
      </c>
      <c r="AG307" s="8">
        <f t="shared" si="28"/>
        <v>0</v>
      </c>
      <c r="AI307" s="8">
        <f t="shared" si="29"/>
        <v>0</v>
      </c>
    </row>
    <row r="308" spans="1:35" ht="15" customHeight="1" x14ac:dyDescent="0.25">
      <c r="A308" s="10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3"/>
      <c r="P308" s="3"/>
      <c r="Q308" s="8"/>
      <c r="R308" s="8"/>
      <c r="S308" s="8"/>
      <c r="T308" s="8"/>
      <c r="U308" s="8"/>
      <c r="V308" s="8"/>
      <c r="W308" t="str">
        <f>IF($C308="","",SUMPRODUCT(($C$2:C308=C308)+($D$2:D308=C308)))</f>
        <v/>
      </c>
      <c r="X308" t="str">
        <f>IF($D308="","",SUMPRODUCT(($C$2:C308=D308)+($D$2:D308=D308)))</f>
        <v/>
      </c>
      <c r="Y308" t="str">
        <f t="shared" si="24"/>
        <v/>
      </c>
      <c r="Z308" t="str">
        <f t="shared" si="25"/>
        <v/>
      </c>
      <c r="AA308" s="4" t="str">
        <f>IF($C308="","",IF(COUNTIF($C$1:C307,$C308)+COUNTIF($D$1:D307,$C308)=0,1,0))</f>
        <v/>
      </c>
      <c r="AB308" s="4" t="str">
        <f>IF($D308="","",IF(COUNTIF($C$1:C308,$D308)+COUNTIF($D$1:D307,$D308)=0,1,0))</f>
        <v/>
      </c>
      <c r="AC308" s="4" t="str">
        <f>IF(AA308=1,SUM($AA$2:AA308)-AA308+SUM($AB$2:AB308)-AB308+1,"")</f>
        <v/>
      </c>
      <c r="AD308" s="4" t="str">
        <f>IF(AB308=1,SUM($AA$2:AA308)+SUM($AB$2:AB308)-AB308+1,"")</f>
        <v/>
      </c>
      <c r="AE308" s="4" t="str">
        <f t="shared" si="26"/>
        <v/>
      </c>
      <c r="AF308" s="4" t="str">
        <f t="shared" si="27"/>
        <v/>
      </c>
      <c r="AG308" s="8">
        <f t="shared" si="28"/>
        <v>0</v>
      </c>
      <c r="AI308" s="8">
        <f t="shared" si="29"/>
        <v>0</v>
      </c>
    </row>
    <row r="309" spans="1:35" ht="15" customHeight="1" x14ac:dyDescent="0.25">
      <c r="A309" s="10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3"/>
      <c r="P309" s="3"/>
      <c r="Q309" s="8"/>
      <c r="R309" s="8"/>
      <c r="S309" s="8"/>
      <c r="T309" s="8"/>
      <c r="U309" s="8"/>
      <c r="V309" s="8"/>
      <c r="W309" t="str">
        <f>IF($C309="","",SUMPRODUCT(($C$2:C309=C309)+($D$2:D309=C309)))</f>
        <v/>
      </c>
      <c r="X309" t="str">
        <f>IF($D309="","",SUMPRODUCT(($C$2:C309=D309)+($D$2:D309=D309)))</f>
        <v/>
      </c>
      <c r="Y309" t="str">
        <f t="shared" si="24"/>
        <v/>
      </c>
      <c r="Z309" t="str">
        <f t="shared" si="25"/>
        <v/>
      </c>
      <c r="AA309" s="4" t="str">
        <f>IF($C309="","",IF(COUNTIF($C$1:C308,$C309)+COUNTIF($D$1:D308,$C309)=0,1,0))</f>
        <v/>
      </c>
      <c r="AB309" s="4" t="str">
        <f>IF($D309="","",IF(COUNTIF($C$1:C309,$D309)+COUNTIF($D$1:D308,$D309)=0,1,0))</f>
        <v/>
      </c>
      <c r="AC309" s="4" t="str">
        <f>IF(AA309=1,SUM($AA$2:AA309)-AA309+SUM($AB$2:AB309)-AB309+1,"")</f>
        <v/>
      </c>
      <c r="AD309" s="4" t="str">
        <f>IF(AB309=1,SUM($AA$2:AA309)+SUM($AB$2:AB309)-AB309+1,"")</f>
        <v/>
      </c>
      <c r="AE309" s="4" t="str">
        <f t="shared" si="26"/>
        <v/>
      </c>
      <c r="AF309" s="4" t="str">
        <f t="shared" si="27"/>
        <v/>
      </c>
      <c r="AG309" s="8">
        <f t="shared" si="28"/>
        <v>0</v>
      </c>
      <c r="AI309" s="8">
        <f t="shared" si="29"/>
        <v>0</v>
      </c>
    </row>
    <row r="310" spans="1:35" ht="15" customHeight="1" x14ac:dyDescent="0.25">
      <c r="A310" s="10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3"/>
      <c r="P310" s="3"/>
      <c r="Q310" s="8"/>
      <c r="R310" s="8"/>
      <c r="S310" s="8"/>
      <c r="T310" s="8"/>
      <c r="U310" s="8"/>
      <c r="V310" s="8"/>
      <c r="W310" t="str">
        <f>IF($C310="","",SUMPRODUCT(($C$2:C310=C310)+($D$2:D310=C310)))</f>
        <v/>
      </c>
      <c r="X310" t="str">
        <f>IF($D310="","",SUMPRODUCT(($C$2:C310=D310)+($D$2:D310=D310)))</f>
        <v/>
      </c>
      <c r="Y310" t="str">
        <f t="shared" si="24"/>
        <v/>
      </c>
      <c r="Z310" t="str">
        <f t="shared" si="25"/>
        <v/>
      </c>
      <c r="AA310" s="4" t="str">
        <f>IF($C310="","",IF(COUNTIF($C$1:C309,$C310)+COUNTIF($D$1:D309,$C310)=0,1,0))</f>
        <v/>
      </c>
      <c r="AB310" s="4" t="str">
        <f>IF($D310="","",IF(COUNTIF($C$1:C310,$D310)+COUNTIF($D$1:D309,$D310)=0,1,0))</f>
        <v/>
      </c>
      <c r="AC310" s="4" t="str">
        <f>IF(AA310=1,SUM($AA$2:AA310)-AA310+SUM($AB$2:AB310)-AB310+1,"")</f>
        <v/>
      </c>
      <c r="AD310" s="4" t="str">
        <f>IF(AB310=1,SUM($AA$2:AA310)+SUM($AB$2:AB310)-AB310+1,"")</f>
        <v/>
      </c>
      <c r="AE310" s="4" t="str">
        <f t="shared" si="26"/>
        <v/>
      </c>
      <c r="AF310" s="4" t="str">
        <f t="shared" si="27"/>
        <v/>
      </c>
      <c r="AG310" s="8">
        <f t="shared" si="28"/>
        <v>0</v>
      </c>
      <c r="AI310" s="8">
        <f t="shared" si="29"/>
        <v>0</v>
      </c>
    </row>
    <row r="311" spans="1:35" ht="15" customHeight="1" x14ac:dyDescent="0.25">
      <c r="A311" s="10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3"/>
      <c r="P311" s="3"/>
      <c r="Q311" s="8"/>
      <c r="R311" s="8"/>
      <c r="S311" s="8"/>
      <c r="T311" s="8"/>
      <c r="U311" s="8"/>
      <c r="V311" s="8"/>
      <c r="W311" t="str">
        <f>IF($C311="","",SUMPRODUCT(($C$2:C311=C311)+($D$2:D311=C311)))</f>
        <v/>
      </c>
      <c r="X311" t="str">
        <f>IF($D311="","",SUMPRODUCT(($C$2:C311=D311)+($D$2:D311=D311)))</f>
        <v/>
      </c>
      <c r="Y311" t="str">
        <f t="shared" si="24"/>
        <v/>
      </c>
      <c r="Z311" t="str">
        <f t="shared" si="25"/>
        <v/>
      </c>
      <c r="AA311" s="4" t="str">
        <f>IF($C311="","",IF(COUNTIF($C$1:C310,$C311)+COUNTIF($D$1:D310,$C311)=0,1,0))</f>
        <v/>
      </c>
      <c r="AB311" s="4" t="str">
        <f>IF($D311="","",IF(COUNTIF($C$1:C311,$D311)+COUNTIF($D$1:D310,$D311)=0,1,0))</f>
        <v/>
      </c>
      <c r="AC311" s="4" t="str">
        <f>IF(AA311=1,SUM($AA$2:AA311)-AA311+SUM($AB$2:AB311)-AB311+1,"")</f>
        <v/>
      </c>
      <c r="AD311" s="4" t="str">
        <f>IF(AB311=1,SUM($AA$2:AA311)+SUM($AB$2:AB311)-AB311+1,"")</f>
        <v/>
      </c>
      <c r="AE311" s="4" t="str">
        <f t="shared" si="26"/>
        <v/>
      </c>
      <c r="AF311" s="4" t="str">
        <f t="shared" si="27"/>
        <v/>
      </c>
      <c r="AG311" s="8">
        <f t="shared" si="28"/>
        <v>0</v>
      </c>
      <c r="AI311" s="8">
        <f t="shared" si="29"/>
        <v>0</v>
      </c>
    </row>
    <row r="312" spans="1:35" ht="15" customHeight="1" x14ac:dyDescent="0.25">
      <c r="A312" s="10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3"/>
      <c r="P312" s="3"/>
      <c r="Q312" s="8"/>
      <c r="R312" s="8"/>
      <c r="S312" s="8"/>
      <c r="T312" s="8"/>
      <c r="U312" s="8"/>
      <c r="V312" s="8"/>
      <c r="W312" t="str">
        <f>IF($C312="","",SUMPRODUCT(($C$2:C312=C312)+($D$2:D312=C312)))</f>
        <v/>
      </c>
      <c r="X312" t="str">
        <f>IF($D312="","",SUMPRODUCT(($C$2:C312=D312)+($D$2:D312=D312)))</f>
        <v/>
      </c>
      <c r="Y312" t="str">
        <f t="shared" si="24"/>
        <v/>
      </c>
      <c r="Z312" t="str">
        <f t="shared" si="25"/>
        <v/>
      </c>
      <c r="AA312" s="4" t="str">
        <f>IF($C312="","",IF(COUNTIF($C$1:C311,$C312)+COUNTIF($D$1:D311,$C312)=0,1,0))</f>
        <v/>
      </c>
      <c r="AB312" s="4" t="str">
        <f>IF($D312="","",IF(COUNTIF($C$1:C312,$D312)+COUNTIF($D$1:D311,$D312)=0,1,0))</f>
        <v/>
      </c>
      <c r="AC312" s="4" t="str">
        <f>IF(AA312=1,SUM($AA$2:AA312)-AA312+SUM($AB$2:AB312)-AB312+1,"")</f>
        <v/>
      </c>
      <c r="AD312" s="4" t="str">
        <f>IF(AB312=1,SUM($AA$2:AA312)+SUM($AB$2:AB312)-AB312+1,"")</f>
        <v/>
      </c>
      <c r="AE312" s="4" t="str">
        <f t="shared" si="26"/>
        <v/>
      </c>
      <c r="AF312" s="4" t="str">
        <f t="shared" si="27"/>
        <v/>
      </c>
      <c r="AG312" s="8">
        <f t="shared" si="28"/>
        <v>0</v>
      </c>
      <c r="AI312" s="8">
        <f t="shared" si="29"/>
        <v>0</v>
      </c>
    </row>
    <row r="313" spans="1:35" ht="15" customHeight="1" x14ac:dyDescent="0.25">
      <c r="A313" s="10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3"/>
      <c r="P313" s="3"/>
      <c r="Q313" s="8"/>
      <c r="R313" s="8"/>
      <c r="S313" s="8"/>
      <c r="T313" s="8"/>
      <c r="U313" s="8"/>
      <c r="V313" s="8"/>
      <c r="W313" t="str">
        <f>IF($C313="","",SUMPRODUCT(($C$2:C313=C313)+($D$2:D313=C313)))</f>
        <v/>
      </c>
      <c r="X313" t="str">
        <f>IF($D313="","",SUMPRODUCT(($C$2:C313=D313)+($D$2:D313=D313)))</f>
        <v/>
      </c>
      <c r="Y313" t="str">
        <f t="shared" si="24"/>
        <v/>
      </c>
      <c r="Z313" t="str">
        <f t="shared" si="25"/>
        <v/>
      </c>
      <c r="AA313" s="4" t="str">
        <f>IF($C313="","",IF(COUNTIF($C$1:C312,$C313)+COUNTIF($D$1:D312,$C313)=0,1,0))</f>
        <v/>
      </c>
      <c r="AB313" s="4" t="str">
        <f>IF($D313="","",IF(COUNTIF($C$1:C313,$D313)+COUNTIF($D$1:D312,$D313)=0,1,0))</f>
        <v/>
      </c>
      <c r="AC313" s="4" t="str">
        <f>IF(AA313=1,SUM($AA$2:AA313)-AA313+SUM($AB$2:AB313)-AB313+1,"")</f>
        <v/>
      </c>
      <c r="AD313" s="4" t="str">
        <f>IF(AB313=1,SUM($AA$2:AA313)+SUM($AB$2:AB313)-AB313+1,"")</f>
        <v/>
      </c>
      <c r="AE313" s="4" t="str">
        <f t="shared" si="26"/>
        <v/>
      </c>
      <c r="AF313" s="4" t="str">
        <f t="shared" si="27"/>
        <v/>
      </c>
      <c r="AG313" s="8">
        <f t="shared" si="28"/>
        <v>0</v>
      </c>
      <c r="AI313" s="8">
        <f t="shared" si="29"/>
        <v>0</v>
      </c>
    </row>
    <row r="314" spans="1:35" ht="15" customHeight="1" x14ac:dyDescent="0.25">
      <c r="A314" s="10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3"/>
      <c r="P314" s="3"/>
      <c r="Q314" s="8"/>
      <c r="R314" s="8"/>
      <c r="S314" s="8"/>
      <c r="T314" s="8"/>
      <c r="U314" s="8"/>
      <c r="V314" s="8"/>
      <c r="W314" t="str">
        <f>IF($C314="","",SUMPRODUCT(($C$2:C314=C314)+($D$2:D314=C314)))</f>
        <v/>
      </c>
      <c r="X314" t="str">
        <f>IF($D314="","",SUMPRODUCT(($C$2:C314=D314)+($D$2:D314=D314)))</f>
        <v/>
      </c>
      <c r="Y314" t="str">
        <f t="shared" si="24"/>
        <v/>
      </c>
      <c r="Z314" t="str">
        <f t="shared" si="25"/>
        <v/>
      </c>
      <c r="AA314" s="4" t="str">
        <f>IF($C314="","",IF(COUNTIF($C$1:C313,$C314)+COUNTIF($D$1:D313,$C314)=0,1,0))</f>
        <v/>
      </c>
      <c r="AB314" s="4" t="str">
        <f>IF($D314="","",IF(COUNTIF($C$1:C314,$D314)+COUNTIF($D$1:D313,$D314)=0,1,0))</f>
        <v/>
      </c>
      <c r="AC314" s="4" t="str">
        <f>IF(AA314=1,SUM($AA$2:AA314)-AA314+SUM($AB$2:AB314)-AB314+1,"")</f>
        <v/>
      </c>
      <c r="AD314" s="4" t="str">
        <f>IF(AB314=1,SUM($AA$2:AA314)+SUM($AB$2:AB314)-AB314+1,"")</f>
        <v/>
      </c>
      <c r="AE314" s="4" t="str">
        <f t="shared" si="26"/>
        <v/>
      </c>
      <c r="AF314" s="4" t="str">
        <f t="shared" si="27"/>
        <v/>
      </c>
      <c r="AG314" s="8">
        <f t="shared" si="28"/>
        <v>0</v>
      </c>
      <c r="AI314" s="8">
        <f t="shared" si="29"/>
        <v>0</v>
      </c>
    </row>
    <row r="315" spans="1:35" ht="15" customHeight="1" x14ac:dyDescent="0.25">
      <c r="A315" s="10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3"/>
      <c r="P315" s="3"/>
      <c r="Q315" s="8"/>
      <c r="R315" s="8"/>
      <c r="S315" s="8"/>
      <c r="T315" s="8"/>
      <c r="U315" s="8"/>
      <c r="V315" s="8"/>
      <c r="W315" t="str">
        <f>IF($C315="","",SUMPRODUCT(($C$2:C315=C315)+($D$2:D315=C315)))</f>
        <v/>
      </c>
      <c r="X315" t="str">
        <f>IF($D315="","",SUMPRODUCT(($C$2:C315=D315)+($D$2:D315=D315)))</f>
        <v/>
      </c>
      <c r="Y315" t="str">
        <f t="shared" si="24"/>
        <v/>
      </c>
      <c r="Z315" t="str">
        <f t="shared" si="25"/>
        <v/>
      </c>
      <c r="AA315" s="4" t="str">
        <f>IF($C315="","",IF(COUNTIF($C$1:C314,$C315)+COUNTIF($D$1:D314,$C315)=0,1,0))</f>
        <v/>
      </c>
      <c r="AB315" s="4" t="str">
        <f>IF($D315="","",IF(COUNTIF($C$1:C315,$D315)+COUNTIF($D$1:D314,$D315)=0,1,0))</f>
        <v/>
      </c>
      <c r="AC315" s="4" t="str">
        <f>IF(AA315=1,SUM($AA$2:AA315)-AA315+SUM($AB$2:AB315)-AB315+1,"")</f>
        <v/>
      </c>
      <c r="AD315" s="4" t="str">
        <f>IF(AB315=1,SUM($AA$2:AA315)+SUM($AB$2:AB315)-AB315+1,"")</f>
        <v/>
      </c>
      <c r="AE315" s="4" t="str">
        <f t="shared" si="26"/>
        <v/>
      </c>
      <c r="AF315" s="4" t="str">
        <f t="shared" si="27"/>
        <v/>
      </c>
      <c r="AG315" s="8">
        <f t="shared" si="28"/>
        <v>0</v>
      </c>
      <c r="AI315" s="8">
        <f t="shared" si="29"/>
        <v>0</v>
      </c>
    </row>
    <row r="316" spans="1:35" ht="15" customHeight="1" x14ac:dyDescent="0.25">
      <c r="A316" s="10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3"/>
      <c r="P316" s="3"/>
      <c r="Q316" s="8"/>
      <c r="R316" s="8"/>
      <c r="S316" s="8"/>
      <c r="T316" s="8"/>
      <c r="U316" s="8"/>
      <c r="V316" s="8"/>
      <c r="W316" t="str">
        <f>IF($C316="","",SUMPRODUCT(($C$2:C316=C316)+($D$2:D316=C316)))</f>
        <v/>
      </c>
      <c r="X316" t="str">
        <f>IF($D316="","",SUMPRODUCT(($C$2:C316=D316)+($D$2:D316=D316)))</f>
        <v/>
      </c>
      <c r="Y316" t="str">
        <f t="shared" si="24"/>
        <v/>
      </c>
      <c r="Z316" t="str">
        <f t="shared" si="25"/>
        <v/>
      </c>
      <c r="AA316" s="4" t="str">
        <f>IF($C316="","",IF(COUNTIF($C$1:C315,$C316)+COUNTIF($D$1:D315,$C316)=0,1,0))</f>
        <v/>
      </c>
      <c r="AB316" s="4" t="str">
        <f>IF($D316="","",IF(COUNTIF($C$1:C316,$D316)+COUNTIF($D$1:D315,$D316)=0,1,0))</f>
        <v/>
      </c>
      <c r="AC316" s="4" t="str">
        <f>IF(AA316=1,SUM($AA$2:AA316)-AA316+SUM($AB$2:AB316)-AB316+1,"")</f>
        <v/>
      </c>
      <c r="AD316" s="4" t="str">
        <f>IF(AB316=1,SUM($AA$2:AA316)+SUM($AB$2:AB316)-AB316+1,"")</f>
        <v/>
      </c>
      <c r="AE316" s="4" t="str">
        <f t="shared" si="26"/>
        <v/>
      </c>
      <c r="AF316" s="4" t="str">
        <f t="shared" si="27"/>
        <v/>
      </c>
      <c r="AG316" s="8">
        <f t="shared" si="28"/>
        <v>0</v>
      </c>
      <c r="AI316" s="8">
        <f t="shared" si="29"/>
        <v>0</v>
      </c>
    </row>
    <row r="317" spans="1:35" ht="15" customHeight="1" x14ac:dyDescent="0.25">
      <c r="A317" s="10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3"/>
      <c r="P317" s="3"/>
      <c r="Q317" s="8"/>
      <c r="R317" s="8"/>
      <c r="S317" s="8"/>
      <c r="T317" s="8"/>
      <c r="U317" s="8"/>
      <c r="V317" s="8"/>
      <c r="W317" t="str">
        <f>IF($C317="","",SUMPRODUCT(($C$2:C317=C317)+($D$2:D317=C317)))</f>
        <v/>
      </c>
      <c r="X317" t="str">
        <f>IF($D317="","",SUMPRODUCT(($C$2:C317=D317)+($D$2:D317=D317)))</f>
        <v/>
      </c>
      <c r="Y317" t="str">
        <f t="shared" si="24"/>
        <v/>
      </c>
      <c r="Z317" t="str">
        <f t="shared" si="25"/>
        <v/>
      </c>
      <c r="AA317" s="4" t="str">
        <f>IF($C317="","",IF(COUNTIF($C$1:C316,$C317)+COUNTIF($D$1:D316,$C317)=0,1,0))</f>
        <v/>
      </c>
      <c r="AB317" s="4" t="str">
        <f>IF($D317="","",IF(COUNTIF($C$1:C317,$D317)+COUNTIF($D$1:D316,$D317)=0,1,0))</f>
        <v/>
      </c>
      <c r="AC317" s="4" t="str">
        <f>IF(AA317=1,SUM($AA$2:AA317)-AA317+SUM($AB$2:AB317)-AB317+1,"")</f>
        <v/>
      </c>
      <c r="AD317" s="4" t="str">
        <f>IF(AB317=1,SUM($AA$2:AA317)+SUM($AB$2:AB317)-AB317+1,"")</f>
        <v/>
      </c>
      <c r="AE317" s="4" t="str">
        <f t="shared" si="26"/>
        <v/>
      </c>
      <c r="AF317" s="4" t="str">
        <f t="shared" si="27"/>
        <v/>
      </c>
      <c r="AG317" s="8">
        <f t="shared" si="28"/>
        <v>0</v>
      </c>
      <c r="AI317" s="8">
        <f t="shared" si="29"/>
        <v>0</v>
      </c>
    </row>
    <row r="318" spans="1:35" ht="15" customHeight="1" x14ac:dyDescent="0.25">
      <c r="A318" s="10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3"/>
      <c r="P318" s="3"/>
      <c r="Q318" s="8"/>
      <c r="R318" s="8"/>
      <c r="S318" s="8"/>
      <c r="T318" s="8"/>
      <c r="U318" s="8"/>
      <c r="V318" s="8"/>
      <c r="W318" t="str">
        <f>IF($C318="","",SUMPRODUCT(($C$2:C318=C318)+($D$2:D318=C318)))</f>
        <v/>
      </c>
      <c r="X318" t="str">
        <f>IF($D318="","",SUMPRODUCT(($C$2:C318=D318)+($D$2:D318=D318)))</f>
        <v/>
      </c>
      <c r="Y318" t="str">
        <f t="shared" si="24"/>
        <v/>
      </c>
      <c r="Z318" t="str">
        <f t="shared" si="25"/>
        <v/>
      </c>
      <c r="AA318" s="4" t="str">
        <f>IF($C318="","",IF(COUNTIF($C$1:C317,$C318)+COUNTIF($D$1:D317,$C318)=0,1,0))</f>
        <v/>
      </c>
      <c r="AB318" s="4" t="str">
        <f>IF($D318="","",IF(COUNTIF($C$1:C318,$D318)+COUNTIF($D$1:D317,$D318)=0,1,0))</f>
        <v/>
      </c>
      <c r="AC318" s="4" t="str">
        <f>IF(AA318=1,SUM($AA$2:AA318)-AA318+SUM($AB$2:AB318)-AB318+1,"")</f>
        <v/>
      </c>
      <c r="AD318" s="4" t="str">
        <f>IF(AB318=1,SUM($AA$2:AA318)+SUM($AB$2:AB318)-AB318+1,"")</f>
        <v/>
      </c>
      <c r="AE318" s="4" t="str">
        <f t="shared" si="26"/>
        <v/>
      </c>
      <c r="AF318" s="4" t="str">
        <f t="shared" si="27"/>
        <v/>
      </c>
      <c r="AG318" s="8">
        <f t="shared" si="28"/>
        <v>0</v>
      </c>
      <c r="AI318" s="8">
        <f t="shared" si="29"/>
        <v>0</v>
      </c>
    </row>
    <row r="319" spans="1:35" ht="15" customHeight="1" x14ac:dyDescent="0.25">
      <c r="A319" s="10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3"/>
      <c r="P319" s="3"/>
      <c r="Q319" s="8"/>
      <c r="R319" s="8"/>
      <c r="S319" s="8"/>
      <c r="T319" s="8"/>
      <c r="U319" s="8"/>
      <c r="V319" s="8"/>
      <c r="W319" t="str">
        <f>IF($C319="","",SUMPRODUCT(($C$2:C319=C319)+($D$2:D319=C319)))</f>
        <v/>
      </c>
      <c r="X319" t="str">
        <f>IF($D319="","",SUMPRODUCT(($C$2:C319=D319)+($D$2:D319=D319)))</f>
        <v/>
      </c>
      <c r="Y319" t="str">
        <f t="shared" si="24"/>
        <v/>
      </c>
      <c r="Z319" t="str">
        <f t="shared" si="25"/>
        <v/>
      </c>
      <c r="AA319" s="4" t="str">
        <f>IF($C319="","",IF(COUNTIF($C$1:C318,$C319)+COUNTIF($D$1:D318,$C319)=0,1,0))</f>
        <v/>
      </c>
      <c r="AB319" s="4" t="str">
        <f>IF($D319="","",IF(COUNTIF($C$1:C319,$D319)+COUNTIF($D$1:D318,$D319)=0,1,0))</f>
        <v/>
      </c>
      <c r="AC319" s="4" t="str">
        <f>IF(AA319=1,SUM($AA$2:AA319)-AA319+SUM($AB$2:AB319)-AB319+1,"")</f>
        <v/>
      </c>
      <c r="AD319" s="4" t="str">
        <f>IF(AB319=1,SUM($AA$2:AA319)+SUM($AB$2:AB319)-AB319+1,"")</f>
        <v/>
      </c>
      <c r="AE319" s="4" t="str">
        <f t="shared" si="26"/>
        <v/>
      </c>
      <c r="AF319" s="4" t="str">
        <f t="shared" si="27"/>
        <v/>
      </c>
      <c r="AG319" s="8">
        <f t="shared" si="28"/>
        <v>0</v>
      </c>
      <c r="AI319" s="8">
        <f t="shared" si="29"/>
        <v>0</v>
      </c>
    </row>
    <row r="320" spans="1:35" ht="15" customHeight="1" x14ac:dyDescent="0.25">
      <c r="A320" s="10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3"/>
      <c r="P320" s="3"/>
      <c r="Q320" s="8"/>
      <c r="R320" s="8"/>
      <c r="S320" s="8"/>
      <c r="T320" s="8"/>
      <c r="U320" s="8"/>
      <c r="V320" s="8"/>
      <c r="W320" t="str">
        <f>IF($C320="","",SUMPRODUCT(($C$2:C320=C320)+($D$2:D320=C320)))</f>
        <v/>
      </c>
      <c r="X320" t="str">
        <f>IF($D320="","",SUMPRODUCT(($C$2:C320=D320)+($D$2:D320=D320)))</f>
        <v/>
      </c>
      <c r="Y320" t="str">
        <f t="shared" si="24"/>
        <v/>
      </c>
      <c r="Z320" t="str">
        <f t="shared" si="25"/>
        <v/>
      </c>
      <c r="AA320" s="4" t="str">
        <f>IF($C320="","",IF(COUNTIF($C$1:C319,$C320)+COUNTIF($D$1:D319,$C320)=0,1,0))</f>
        <v/>
      </c>
      <c r="AB320" s="4" t="str">
        <f>IF($D320="","",IF(COUNTIF($C$1:C320,$D320)+COUNTIF($D$1:D319,$D320)=0,1,0))</f>
        <v/>
      </c>
      <c r="AC320" s="4" t="str">
        <f>IF(AA320=1,SUM($AA$2:AA320)-AA320+SUM($AB$2:AB320)-AB320+1,"")</f>
        <v/>
      </c>
      <c r="AD320" s="4" t="str">
        <f>IF(AB320=1,SUM($AA$2:AA320)+SUM($AB$2:AB320)-AB320+1,"")</f>
        <v/>
      </c>
      <c r="AE320" s="4" t="str">
        <f t="shared" si="26"/>
        <v/>
      </c>
      <c r="AF320" s="4" t="str">
        <f t="shared" si="27"/>
        <v/>
      </c>
      <c r="AG320" s="8">
        <f t="shared" si="28"/>
        <v>0</v>
      </c>
      <c r="AI320" s="8">
        <f t="shared" si="29"/>
        <v>0</v>
      </c>
    </row>
    <row r="321" spans="1:35" ht="15" customHeight="1" x14ac:dyDescent="0.25">
      <c r="A321" s="10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3"/>
      <c r="P321" s="3"/>
      <c r="Q321" s="8"/>
      <c r="R321" s="8"/>
      <c r="S321" s="8"/>
      <c r="T321" s="8"/>
      <c r="U321" s="8"/>
      <c r="V321" s="8"/>
      <c r="W321" t="str">
        <f>IF($C321="","",SUMPRODUCT(($C$2:C321=C321)+($D$2:D321=C321)))</f>
        <v/>
      </c>
      <c r="X321" t="str">
        <f>IF($D321="","",SUMPRODUCT(($C$2:C321=D321)+($D$2:D321=D321)))</f>
        <v/>
      </c>
      <c r="Y321" t="str">
        <f t="shared" si="24"/>
        <v/>
      </c>
      <c r="Z321" t="str">
        <f t="shared" si="25"/>
        <v/>
      </c>
      <c r="AA321" s="4" t="str">
        <f>IF($C321="","",IF(COUNTIF($C$1:C320,$C321)+COUNTIF($D$1:D320,$C321)=0,1,0))</f>
        <v/>
      </c>
      <c r="AB321" s="4" t="str">
        <f>IF($D321="","",IF(COUNTIF($C$1:C321,$D321)+COUNTIF($D$1:D320,$D321)=0,1,0))</f>
        <v/>
      </c>
      <c r="AC321" s="4" t="str">
        <f>IF(AA321=1,SUM($AA$2:AA321)-AA321+SUM($AB$2:AB321)-AB321+1,"")</f>
        <v/>
      </c>
      <c r="AD321" s="4" t="str">
        <f>IF(AB321=1,SUM($AA$2:AA321)+SUM($AB$2:AB321)-AB321+1,"")</f>
        <v/>
      </c>
      <c r="AE321" s="4" t="str">
        <f t="shared" si="26"/>
        <v/>
      </c>
      <c r="AF321" s="4" t="str">
        <f t="shared" si="27"/>
        <v/>
      </c>
      <c r="AG321" s="8">
        <f t="shared" si="28"/>
        <v>0</v>
      </c>
      <c r="AI321" s="8">
        <f t="shared" si="29"/>
        <v>0</v>
      </c>
    </row>
    <row r="322" spans="1:35" ht="15" customHeight="1" x14ac:dyDescent="0.25">
      <c r="A322" s="10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3"/>
      <c r="P322" s="3"/>
      <c r="Q322" s="8"/>
      <c r="R322" s="8"/>
      <c r="S322" s="8"/>
      <c r="T322" s="8"/>
      <c r="U322" s="8"/>
      <c r="V322" s="8"/>
      <c r="W322" t="str">
        <f>IF($C322="","",SUMPRODUCT(($C$2:C322=C322)+($D$2:D322=C322)))</f>
        <v/>
      </c>
      <c r="X322" t="str">
        <f>IF($D322="","",SUMPRODUCT(($C$2:C322=D322)+($D$2:D322=D322)))</f>
        <v/>
      </c>
      <c r="Y322" t="str">
        <f t="shared" ref="Y322:Y385" si="30">IF($C322="","",C322&amp;"|"&amp;W322)</f>
        <v/>
      </c>
      <c r="Z322" t="str">
        <f t="shared" ref="Z322:Z385" si="31">IF($D322="","",D322&amp;"|"&amp;X322)</f>
        <v/>
      </c>
      <c r="AA322" s="4" t="str">
        <f>IF($C322="","",IF(COUNTIF($C$1:C321,$C322)+COUNTIF($D$1:D321,$C322)=0,1,0))</f>
        <v/>
      </c>
      <c r="AB322" s="4" t="str">
        <f>IF($D322="","",IF(COUNTIF($C$1:C322,$D322)+COUNTIF($D$1:D321,$D322)=0,1,0))</f>
        <v/>
      </c>
      <c r="AC322" s="4" t="str">
        <f>IF(AA322=1,SUM($AA$2:AA322)-AA322+SUM($AB$2:AB322)-AB322+1,"")</f>
        <v/>
      </c>
      <c r="AD322" s="4" t="str">
        <f>IF(AB322=1,SUM($AA$2:AA322)+SUM($AB$2:AB322)-AB322+1,"")</f>
        <v/>
      </c>
      <c r="AE322" s="4" t="str">
        <f t="shared" ref="AE322:AE385" si="32">IF(AC322="","","TEAM|"&amp;AC322)</f>
        <v/>
      </c>
      <c r="AF322" s="4" t="str">
        <f t="shared" ref="AF322:AF385" si="33">IF(AD322="","","TEAM|"&amp;AD322)</f>
        <v/>
      </c>
      <c r="AG322" s="8">
        <f t="shared" ref="AG322:AG385" si="34">IF(AH322="",0,LEN(AH322)-LEN(SUBSTITUTE(AH322,"/",""))+1)</f>
        <v>0</v>
      </c>
      <c r="AI322" s="8">
        <f t="shared" ref="AI322:AI385" si="35">IF(AJ322="",0,LEN(AJ322)-LEN(SUBSTITUTE(AJ322,"/",""))+1)</f>
        <v>0</v>
      </c>
    </row>
    <row r="323" spans="1:35" ht="15" customHeight="1" x14ac:dyDescent="0.25">
      <c r="A323" s="10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3"/>
      <c r="P323" s="3"/>
      <c r="Q323" s="8"/>
      <c r="R323" s="8"/>
      <c r="S323" s="8"/>
      <c r="T323" s="8"/>
      <c r="U323" s="8"/>
      <c r="V323" s="8"/>
      <c r="W323" t="str">
        <f>IF($C323="","",SUMPRODUCT(($C$2:C323=C323)+($D$2:D323=C323)))</f>
        <v/>
      </c>
      <c r="X323" t="str">
        <f>IF($D323="","",SUMPRODUCT(($C$2:C323=D323)+($D$2:D323=D323)))</f>
        <v/>
      </c>
      <c r="Y323" t="str">
        <f t="shared" si="30"/>
        <v/>
      </c>
      <c r="Z323" t="str">
        <f t="shared" si="31"/>
        <v/>
      </c>
      <c r="AA323" s="4" t="str">
        <f>IF($C323="","",IF(COUNTIF($C$1:C322,$C323)+COUNTIF($D$1:D322,$C323)=0,1,0))</f>
        <v/>
      </c>
      <c r="AB323" s="4" t="str">
        <f>IF($D323="","",IF(COUNTIF($C$1:C323,$D323)+COUNTIF($D$1:D322,$D323)=0,1,0))</f>
        <v/>
      </c>
      <c r="AC323" s="4" t="str">
        <f>IF(AA323=1,SUM($AA$2:AA323)-AA323+SUM($AB$2:AB323)-AB323+1,"")</f>
        <v/>
      </c>
      <c r="AD323" s="4" t="str">
        <f>IF(AB323=1,SUM($AA$2:AA323)+SUM($AB$2:AB323)-AB323+1,"")</f>
        <v/>
      </c>
      <c r="AE323" s="4" t="str">
        <f t="shared" si="32"/>
        <v/>
      </c>
      <c r="AF323" s="4" t="str">
        <f t="shared" si="33"/>
        <v/>
      </c>
      <c r="AG323" s="8">
        <f t="shared" si="34"/>
        <v>0</v>
      </c>
      <c r="AI323" s="8">
        <f t="shared" si="35"/>
        <v>0</v>
      </c>
    </row>
    <row r="324" spans="1:35" ht="15" customHeight="1" x14ac:dyDescent="0.25">
      <c r="A324" s="10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3"/>
      <c r="P324" s="3"/>
      <c r="Q324" s="8"/>
      <c r="R324" s="8"/>
      <c r="S324" s="8"/>
      <c r="T324" s="8"/>
      <c r="U324" s="8"/>
      <c r="V324" s="8"/>
      <c r="W324" t="str">
        <f>IF($C324="","",SUMPRODUCT(($C$2:C324=C324)+($D$2:D324=C324)))</f>
        <v/>
      </c>
      <c r="X324" t="str">
        <f>IF($D324="","",SUMPRODUCT(($C$2:C324=D324)+($D$2:D324=D324)))</f>
        <v/>
      </c>
      <c r="Y324" t="str">
        <f t="shared" si="30"/>
        <v/>
      </c>
      <c r="Z324" t="str">
        <f t="shared" si="31"/>
        <v/>
      </c>
      <c r="AA324" s="4" t="str">
        <f>IF($C324="","",IF(COUNTIF($C$1:C323,$C324)+COUNTIF($D$1:D323,$C324)=0,1,0))</f>
        <v/>
      </c>
      <c r="AB324" s="4" t="str">
        <f>IF($D324="","",IF(COUNTIF($C$1:C324,$D324)+COUNTIF($D$1:D323,$D324)=0,1,0))</f>
        <v/>
      </c>
      <c r="AC324" s="4" t="str">
        <f>IF(AA324=1,SUM($AA$2:AA324)-AA324+SUM($AB$2:AB324)-AB324+1,"")</f>
        <v/>
      </c>
      <c r="AD324" s="4" t="str">
        <f>IF(AB324=1,SUM($AA$2:AA324)+SUM($AB$2:AB324)-AB324+1,"")</f>
        <v/>
      </c>
      <c r="AE324" s="4" t="str">
        <f t="shared" si="32"/>
        <v/>
      </c>
      <c r="AF324" s="4" t="str">
        <f t="shared" si="33"/>
        <v/>
      </c>
      <c r="AG324" s="8">
        <f t="shared" si="34"/>
        <v>0</v>
      </c>
      <c r="AI324" s="8">
        <f t="shared" si="35"/>
        <v>0</v>
      </c>
    </row>
    <row r="325" spans="1:35" ht="15" customHeight="1" x14ac:dyDescent="0.25">
      <c r="A325" s="10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3"/>
      <c r="P325" s="3"/>
      <c r="Q325" s="8"/>
      <c r="R325" s="8"/>
      <c r="S325" s="8"/>
      <c r="T325" s="8"/>
      <c r="U325" s="8"/>
      <c r="V325" s="8"/>
      <c r="W325" t="str">
        <f>IF($C325="","",SUMPRODUCT(($C$2:C325=C325)+($D$2:D325=C325)))</f>
        <v/>
      </c>
      <c r="X325" t="str">
        <f>IF($D325="","",SUMPRODUCT(($C$2:C325=D325)+($D$2:D325=D325)))</f>
        <v/>
      </c>
      <c r="Y325" t="str">
        <f t="shared" si="30"/>
        <v/>
      </c>
      <c r="Z325" t="str">
        <f t="shared" si="31"/>
        <v/>
      </c>
      <c r="AA325" s="4" t="str">
        <f>IF($C325="","",IF(COUNTIF($C$1:C324,$C325)+COUNTIF($D$1:D324,$C325)=0,1,0))</f>
        <v/>
      </c>
      <c r="AB325" s="4" t="str">
        <f>IF($D325="","",IF(COUNTIF($C$1:C325,$D325)+COUNTIF($D$1:D324,$D325)=0,1,0))</f>
        <v/>
      </c>
      <c r="AC325" s="4" t="str">
        <f>IF(AA325=1,SUM($AA$2:AA325)-AA325+SUM($AB$2:AB325)-AB325+1,"")</f>
        <v/>
      </c>
      <c r="AD325" s="4" t="str">
        <f>IF(AB325=1,SUM($AA$2:AA325)+SUM($AB$2:AB325)-AB325+1,"")</f>
        <v/>
      </c>
      <c r="AE325" s="4" t="str">
        <f t="shared" si="32"/>
        <v/>
      </c>
      <c r="AF325" s="4" t="str">
        <f t="shared" si="33"/>
        <v/>
      </c>
      <c r="AG325" s="8">
        <f t="shared" si="34"/>
        <v>0</v>
      </c>
      <c r="AI325" s="8">
        <f t="shared" si="35"/>
        <v>0</v>
      </c>
    </row>
    <row r="326" spans="1:35" ht="15" customHeight="1" x14ac:dyDescent="0.25">
      <c r="A326" s="10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3"/>
      <c r="P326" s="3"/>
      <c r="Q326" s="8"/>
      <c r="R326" s="8"/>
      <c r="S326" s="8"/>
      <c r="T326" s="8"/>
      <c r="U326" s="8"/>
      <c r="V326" s="8"/>
      <c r="W326" t="str">
        <f>IF($C326="","",SUMPRODUCT(($C$2:C326=C326)+($D$2:D326=C326)))</f>
        <v/>
      </c>
      <c r="X326" t="str">
        <f>IF($D326="","",SUMPRODUCT(($C$2:C326=D326)+($D$2:D326=D326)))</f>
        <v/>
      </c>
      <c r="Y326" t="str">
        <f t="shared" si="30"/>
        <v/>
      </c>
      <c r="Z326" t="str">
        <f t="shared" si="31"/>
        <v/>
      </c>
      <c r="AA326" s="4" t="str">
        <f>IF($C326="","",IF(COUNTIF($C$1:C325,$C326)+COUNTIF($D$1:D325,$C326)=0,1,0))</f>
        <v/>
      </c>
      <c r="AB326" s="4" t="str">
        <f>IF($D326="","",IF(COUNTIF($C$1:C326,$D326)+COUNTIF($D$1:D325,$D326)=0,1,0))</f>
        <v/>
      </c>
      <c r="AC326" s="4" t="str">
        <f>IF(AA326=1,SUM($AA$2:AA326)-AA326+SUM($AB$2:AB326)-AB326+1,"")</f>
        <v/>
      </c>
      <c r="AD326" s="4" t="str">
        <f>IF(AB326=1,SUM($AA$2:AA326)+SUM($AB$2:AB326)-AB326+1,"")</f>
        <v/>
      </c>
      <c r="AE326" s="4" t="str">
        <f t="shared" si="32"/>
        <v/>
      </c>
      <c r="AF326" s="4" t="str">
        <f t="shared" si="33"/>
        <v/>
      </c>
      <c r="AG326" s="8">
        <f t="shared" si="34"/>
        <v>0</v>
      </c>
      <c r="AI326" s="8">
        <f t="shared" si="35"/>
        <v>0</v>
      </c>
    </row>
    <row r="327" spans="1:35" ht="15" customHeight="1" x14ac:dyDescent="0.25">
      <c r="A327" s="10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3"/>
      <c r="P327" s="3"/>
      <c r="Q327" s="8"/>
      <c r="R327" s="8"/>
      <c r="S327" s="8"/>
      <c r="T327" s="8"/>
      <c r="U327" s="8"/>
      <c r="V327" s="8"/>
      <c r="W327" t="str">
        <f>IF($C327="","",SUMPRODUCT(($C$2:C327=C327)+($D$2:D327=C327)))</f>
        <v/>
      </c>
      <c r="X327" t="str">
        <f>IF($D327="","",SUMPRODUCT(($C$2:C327=D327)+($D$2:D327=D327)))</f>
        <v/>
      </c>
      <c r="Y327" t="str">
        <f t="shared" si="30"/>
        <v/>
      </c>
      <c r="Z327" t="str">
        <f t="shared" si="31"/>
        <v/>
      </c>
      <c r="AA327" s="4" t="str">
        <f>IF($C327="","",IF(COUNTIF($C$1:C326,$C327)+COUNTIF($D$1:D326,$C327)=0,1,0))</f>
        <v/>
      </c>
      <c r="AB327" s="4" t="str">
        <f>IF($D327="","",IF(COUNTIF($C$1:C327,$D327)+COUNTIF($D$1:D326,$D327)=0,1,0))</f>
        <v/>
      </c>
      <c r="AC327" s="4" t="str">
        <f>IF(AA327=1,SUM($AA$2:AA327)-AA327+SUM($AB$2:AB327)-AB327+1,"")</f>
        <v/>
      </c>
      <c r="AD327" s="4" t="str">
        <f>IF(AB327=1,SUM($AA$2:AA327)+SUM($AB$2:AB327)-AB327+1,"")</f>
        <v/>
      </c>
      <c r="AE327" s="4" t="str">
        <f t="shared" si="32"/>
        <v/>
      </c>
      <c r="AF327" s="4" t="str">
        <f t="shared" si="33"/>
        <v/>
      </c>
      <c r="AG327" s="8">
        <f t="shared" si="34"/>
        <v>0</v>
      </c>
      <c r="AI327" s="8">
        <f t="shared" si="35"/>
        <v>0</v>
      </c>
    </row>
    <row r="328" spans="1:35" ht="15" customHeight="1" x14ac:dyDescent="0.25">
      <c r="A328" s="10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3"/>
      <c r="P328" s="3"/>
      <c r="Q328" s="8"/>
      <c r="R328" s="8"/>
      <c r="S328" s="8"/>
      <c r="T328" s="8"/>
      <c r="U328" s="8"/>
      <c r="V328" s="8"/>
      <c r="W328" t="str">
        <f>IF($C328="","",SUMPRODUCT(($C$2:C328=C328)+($D$2:D328=C328)))</f>
        <v/>
      </c>
      <c r="X328" t="str">
        <f>IF($D328="","",SUMPRODUCT(($C$2:C328=D328)+($D$2:D328=D328)))</f>
        <v/>
      </c>
      <c r="Y328" t="str">
        <f t="shared" si="30"/>
        <v/>
      </c>
      <c r="Z328" t="str">
        <f t="shared" si="31"/>
        <v/>
      </c>
      <c r="AA328" s="4" t="str">
        <f>IF($C328="","",IF(COUNTIF($C$1:C327,$C328)+COUNTIF($D$1:D327,$C328)=0,1,0))</f>
        <v/>
      </c>
      <c r="AB328" s="4" t="str">
        <f>IF($D328="","",IF(COUNTIF($C$1:C328,$D328)+COUNTIF($D$1:D327,$D328)=0,1,0))</f>
        <v/>
      </c>
      <c r="AC328" s="4" t="str">
        <f>IF(AA328=1,SUM($AA$2:AA328)-AA328+SUM($AB$2:AB328)-AB328+1,"")</f>
        <v/>
      </c>
      <c r="AD328" s="4" t="str">
        <f>IF(AB328=1,SUM($AA$2:AA328)+SUM($AB$2:AB328)-AB328+1,"")</f>
        <v/>
      </c>
      <c r="AE328" s="4" t="str">
        <f t="shared" si="32"/>
        <v/>
      </c>
      <c r="AF328" s="4" t="str">
        <f t="shared" si="33"/>
        <v/>
      </c>
      <c r="AG328" s="8">
        <f t="shared" si="34"/>
        <v>0</v>
      </c>
      <c r="AI328" s="8">
        <f t="shared" si="35"/>
        <v>0</v>
      </c>
    </row>
    <row r="329" spans="1:35" ht="15" customHeight="1" x14ac:dyDescent="0.25">
      <c r="A329" s="10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3"/>
      <c r="P329" s="3"/>
      <c r="Q329" s="8"/>
      <c r="R329" s="8"/>
      <c r="S329" s="8"/>
      <c r="T329" s="8"/>
      <c r="U329" s="8"/>
      <c r="V329" s="8"/>
      <c r="W329" t="str">
        <f>IF($C329="","",SUMPRODUCT(($C$2:C329=C329)+($D$2:D329=C329)))</f>
        <v/>
      </c>
      <c r="X329" t="str">
        <f>IF($D329="","",SUMPRODUCT(($C$2:C329=D329)+($D$2:D329=D329)))</f>
        <v/>
      </c>
      <c r="Y329" t="str">
        <f t="shared" si="30"/>
        <v/>
      </c>
      <c r="Z329" t="str">
        <f t="shared" si="31"/>
        <v/>
      </c>
      <c r="AA329" s="4" t="str">
        <f>IF($C329="","",IF(COUNTIF($C$1:C328,$C329)+COUNTIF($D$1:D328,$C329)=0,1,0))</f>
        <v/>
      </c>
      <c r="AB329" s="4" t="str">
        <f>IF($D329="","",IF(COUNTIF($C$1:C329,$D329)+COUNTIF($D$1:D328,$D329)=0,1,0))</f>
        <v/>
      </c>
      <c r="AC329" s="4" t="str">
        <f>IF(AA329=1,SUM($AA$2:AA329)-AA329+SUM($AB$2:AB329)-AB329+1,"")</f>
        <v/>
      </c>
      <c r="AD329" s="4" t="str">
        <f>IF(AB329=1,SUM($AA$2:AA329)+SUM($AB$2:AB329)-AB329+1,"")</f>
        <v/>
      </c>
      <c r="AE329" s="4" t="str">
        <f t="shared" si="32"/>
        <v/>
      </c>
      <c r="AF329" s="4" t="str">
        <f t="shared" si="33"/>
        <v/>
      </c>
      <c r="AG329" s="8">
        <f t="shared" si="34"/>
        <v>0</v>
      </c>
      <c r="AI329" s="8">
        <f t="shared" si="35"/>
        <v>0</v>
      </c>
    </row>
    <row r="330" spans="1:35" ht="15" customHeight="1" x14ac:dyDescent="0.25">
      <c r="A330" s="10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3"/>
      <c r="P330" s="3"/>
      <c r="Q330" s="8"/>
      <c r="R330" s="8"/>
      <c r="S330" s="8"/>
      <c r="T330" s="8"/>
      <c r="U330" s="8"/>
      <c r="V330" s="8"/>
      <c r="W330" t="str">
        <f>IF($C330="","",SUMPRODUCT(($C$2:C330=C330)+($D$2:D330=C330)))</f>
        <v/>
      </c>
      <c r="X330" t="str">
        <f>IF($D330="","",SUMPRODUCT(($C$2:C330=D330)+($D$2:D330=D330)))</f>
        <v/>
      </c>
      <c r="Y330" t="str">
        <f t="shared" si="30"/>
        <v/>
      </c>
      <c r="Z330" t="str">
        <f t="shared" si="31"/>
        <v/>
      </c>
      <c r="AA330" s="4" t="str">
        <f>IF($C330="","",IF(COUNTIF($C$1:C329,$C330)+COUNTIF($D$1:D329,$C330)=0,1,0))</f>
        <v/>
      </c>
      <c r="AB330" s="4" t="str">
        <f>IF($D330="","",IF(COUNTIF($C$1:C330,$D330)+COUNTIF($D$1:D329,$D330)=0,1,0))</f>
        <v/>
      </c>
      <c r="AC330" s="4" t="str">
        <f>IF(AA330=1,SUM($AA$2:AA330)-AA330+SUM($AB$2:AB330)-AB330+1,"")</f>
        <v/>
      </c>
      <c r="AD330" s="4" t="str">
        <f>IF(AB330=1,SUM($AA$2:AA330)+SUM($AB$2:AB330)-AB330+1,"")</f>
        <v/>
      </c>
      <c r="AE330" s="4" t="str">
        <f t="shared" si="32"/>
        <v/>
      </c>
      <c r="AF330" s="4" t="str">
        <f t="shared" si="33"/>
        <v/>
      </c>
      <c r="AG330" s="8">
        <f t="shared" si="34"/>
        <v>0</v>
      </c>
      <c r="AI330" s="8">
        <f t="shared" si="35"/>
        <v>0</v>
      </c>
    </row>
    <row r="331" spans="1:35" ht="15" customHeight="1" x14ac:dyDescent="0.25">
      <c r="A331" s="10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3"/>
      <c r="P331" s="3"/>
      <c r="Q331" s="8"/>
      <c r="R331" s="8"/>
      <c r="S331" s="8"/>
      <c r="T331" s="8"/>
      <c r="U331" s="8"/>
      <c r="V331" s="8"/>
      <c r="W331" t="str">
        <f>IF($C331="","",SUMPRODUCT(($C$2:C331=C331)+($D$2:D331=C331)))</f>
        <v/>
      </c>
      <c r="X331" t="str">
        <f>IF($D331="","",SUMPRODUCT(($C$2:C331=D331)+($D$2:D331=D331)))</f>
        <v/>
      </c>
      <c r="Y331" t="str">
        <f t="shared" si="30"/>
        <v/>
      </c>
      <c r="Z331" t="str">
        <f t="shared" si="31"/>
        <v/>
      </c>
      <c r="AA331" s="4" t="str">
        <f>IF($C331="","",IF(COUNTIF($C$1:C330,$C331)+COUNTIF($D$1:D330,$C331)=0,1,0))</f>
        <v/>
      </c>
      <c r="AB331" s="4" t="str">
        <f>IF($D331="","",IF(COUNTIF($C$1:C331,$D331)+COUNTIF($D$1:D330,$D331)=0,1,0))</f>
        <v/>
      </c>
      <c r="AC331" s="4" t="str">
        <f>IF(AA331=1,SUM($AA$2:AA331)-AA331+SUM($AB$2:AB331)-AB331+1,"")</f>
        <v/>
      </c>
      <c r="AD331" s="4" t="str">
        <f>IF(AB331=1,SUM($AA$2:AA331)+SUM($AB$2:AB331)-AB331+1,"")</f>
        <v/>
      </c>
      <c r="AE331" s="4" t="str">
        <f t="shared" si="32"/>
        <v/>
      </c>
      <c r="AF331" s="4" t="str">
        <f t="shared" si="33"/>
        <v/>
      </c>
      <c r="AG331" s="8">
        <f t="shared" si="34"/>
        <v>0</v>
      </c>
      <c r="AI331" s="8">
        <f t="shared" si="35"/>
        <v>0</v>
      </c>
    </row>
    <row r="332" spans="1:35" ht="15" customHeight="1" x14ac:dyDescent="0.25">
      <c r="A332" s="10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3"/>
      <c r="P332" s="3"/>
      <c r="Q332" s="8"/>
      <c r="R332" s="8"/>
      <c r="S332" s="8"/>
      <c r="T332" s="8"/>
      <c r="U332" s="8"/>
      <c r="V332" s="8"/>
      <c r="W332" t="str">
        <f>IF($C332="","",SUMPRODUCT(($C$2:C332=C332)+($D$2:D332=C332)))</f>
        <v/>
      </c>
      <c r="X332" t="str">
        <f>IF($D332="","",SUMPRODUCT(($C$2:C332=D332)+($D$2:D332=D332)))</f>
        <v/>
      </c>
      <c r="Y332" t="str">
        <f t="shared" si="30"/>
        <v/>
      </c>
      <c r="Z332" t="str">
        <f t="shared" si="31"/>
        <v/>
      </c>
      <c r="AA332" s="4" t="str">
        <f>IF($C332="","",IF(COUNTIF($C$1:C331,$C332)+COUNTIF($D$1:D331,$C332)=0,1,0))</f>
        <v/>
      </c>
      <c r="AB332" s="4" t="str">
        <f>IF($D332="","",IF(COUNTIF($C$1:C332,$D332)+COUNTIF($D$1:D331,$D332)=0,1,0))</f>
        <v/>
      </c>
      <c r="AC332" s="4" t="str">
        <f>IF(AA332=1,SUM($AA$2:AA332)-AA332+SUM($AB$2:AB332)-AB332+1,"")</f>
        <v/>
      </c>
      <c r="AD332" s="4" t="str">
        <f>IF(AB332=1,SUM($AA$2:AA332)+SUM($AB$2:AB332)-AB332+1,"")</f>
        <v/>
      </c>
      <c r="AE332" s="4" t="str">
        <f t="shared" si="32"/>
        <v/>
      </c>
      <c r="AF332" s="4" t="str">
        <f t="shared" si="33"/>
        <v/>
      </c>
      <c r="AG332" s="8">
        <f t="shared" si="34"/>
        <v>0</v>
      </c>
      <c r="AI332" s="8">
        <f t="shared" si="35"/>
        <v>0</v>
      </c>
    </row>
    <row r="333" spans="1:35" ht="15" customHeight="1" x14ac:dyDescent="0.25">
      <c r="A333" s="10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3"/>
      <c r="P333" s="3"/>
      <c r="Q333" s="8"/>
      <c r="R333" s="8"/>
      <c r="S333" s="8"/>
      <c r="T333" s="8"/>
      <c r="U333" s="8"/>
      <c r="V333" s="8"/>
      <c r="W333" t="str">
        <f>IF($C333="","",SUMPRODUCT(($C$2:C333=C333)+($D$2:D333=C333)))</f>
        <v/>
      </c>
      <c r="X333" t="str">
        <f>IF($D333="","",SUMPRODUCT(($C$2:C333=D333)+($D$2:D333=D333)))</f>
        <v/>
      </c>
      <c r="Y333" t="str">
        <f t="shared" si="30"/>
        <v/>
      </c>
      <c r="Z333" t="str">
        <f t="shared" si="31"/>
        <v/>
      </c>
      <c r="AA333" s="4" t="str">
        <f>IF($C333="","",IF(COUNTIF($C$1:C332,$C333)+COUNTIF($D$1:D332,$C333)=0,1,0))</f>
        <v/>
      </c>
      <c r="AB333" s="4" t="str">
        <f>IF($D333="","",IF(COUNTIF($C$1:C333,$D333)+COUNTIF($D$1:D332,$D333)=0,1,0))</f>
        <v/>
      </c>
      <c r="AC333" s="4" t="str">
        <f>IF(AA333=1,SUM($AA$2:AA333)-AA333+SUM($AB$2:AB333)-AB333+1,"")</f>
        <v/>
      </c>
      <c r="AD333" s="4" t="str">
        <f>IF(AB333=1,SUM($AA$2:AA333)+SUM($AB$2:AB333)-AB333+1,"")</f>
        <v/>
      </c>
      <c r="AE333" s="4" t="str">
        <f t="shared" si="32"/>
        <v/>
      </c>
      <c r="AF333" s="4" t="str">
        <f t="shared" si="33"/>
        <v/>
      </c>
      <c r="AG333" s="8">
        <f t="shared" si="34"/>
        <v>0</v>
      </c>
      <c r="AI333" s="8">
        <f t="shared" si="35"/>
        <v>0</v>
      </c>
    </row>
    <row r="334" spans="1:35" ht="15" customHeight="1" x14ac:dyDescent="0.25">
      <c r="A334" s="10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3"/>
      <c r="P334" s="3"/>
      <c r="Q334" s="8"/>
      <c r="R334" s="8"/>
      <c r="S334" s="8"/>
      <c r="T334" s="8"/>
      <c r="U334" s="8"/>
      <c r="V334" s="8"/>
      <c r="W334" t="str">
        <f>IF($C334="","",SUMPRODUCT(($C$2:C334=C334)+($D$2:D334=C334)))</f>
        <v/>
      </c>
      <c r="X334" t="str">
        <f>IF($D334="","",SUMPRODUCT(($C$2:C334=D334)+($D$2:D334=D334)))</f>
        <v/>
      </c>
      <c r="Y334" t="str">
        <f t="shared" si="30"/>
        <v/>
      </c>
      <c r="Z334" t="str">
        <f t="shared" si="31"/>
        <v/>
      </c>
      <c r="AA334" s="4" t="str">
        <f>IF($C334="","",IF(COUNTIF($C$1:C333,$C334)+COUNTIF($D$1:D333,$C334)=0,1,0))</f>
        <v/>
      </c>
      <c r="AB334" s="4" t="str">
        <f>IF($D334="","",IF(COUNTIF($C$1:C334,$D334)+COUNTIF($D$1:D333,$D334)=0,1,0))</f>
        <v/>
      </c>
      <c r="AC334" s="4" t="str">
        <f>IF(AA334=1,SUM($AA$2:AA334)-AA334+SUM($AB$2:AB334)-AB334+1,"")</f>
        <v/>
      </c>
      <c r="AD334" s="4" t="str">
        <f>IF(AB334=1,SUM($AA$2:AA334)+SUM($AB$2:AB334)-AB334+1,"")</f>
        <v/>
      </c>
      <c r="AE334" s="4" t="str">
        <f t="shared" si="32"/>
        <v/>
      </c>
      <c r="AF334" s="4" t="str">
        <f t="shared" si="33"/>
        <v/>
      </c>
      <c r="AG334" s="8">
        <f t="shared" si="34"/>
        <v>0</v>
      </c>
      <c r="AI334" s="8">
        <f t="shared" si="35"/>
        <v>0</v>
      </c>
    </row>
    <row r="335" spans="1:35" ht="15" customHeight="1" x14ac:dyDescent="0.25">
      <c r="A335" s="10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3"/>
      <c r="P335" s="3"/>
      <c r="Q335" s="8"/>
      <c r="R335" s="8"/>
      <c r="S335" s="8"/>
      <c r="T335" s="8"/>
      <c r="U335" s="8"/>
      <c r="V335" s="8"/>
      <c r="W335" t="str">
        <f>IF($C335="","",SUMPRODUCT(($C$2:C335=C335)+($D$2:D335=C335)))</f>
        <v/>
      </c>
      <c r="X335" t="str">
        <f>IF($D335="","",SUMPRODUCT(($C$2:C335=D335)+($D$2:D335=D335)))</f>
        <v/>
      </c>
      <c r="Y335" t="str">
        <f t="shared" si="30"/>
        <v/>
      </c>
      <c r="Z335" t="str">
        <f t="shared" si="31"/>
        <v/>
      </c>
      <c r="AA335" s="4" t="str">
        <f>IF($C335="","",IF(COUNTIF($C$1:C334,$C335)+COUNTIF($D$1:D334,$C335)=0,1,0))</f>
        <v/>
      </c>
      <c r="AB335" s="4" t="str">
        <f>IF($D335="","",IF(COUNTIF($C$1:C335,$D335)+COUNTIF($D$1:D334,$D335)=0,1,0))</f>
        <v/>
      </c>
      <c r="AC335" s="4" t="str">
        <f>IF(AA335=1,SUM($AA$2:AA335)-AA335+SUM($AB$2:AB335)-AB335+1,"")</f>
        <v/>
      </c>
      <c r="AD335" s="4" t="str">
        <f>IF(AB335=1,SUM($AA$2:AA335)+SUM($AB$2:AB335)-AB335+1,"")</f>
        <v/>
      </c>
      <c r="AE335" s="4" t="str">
        <f t="shared" si="32"/>
        <v/>
      </c>
      <c r="AF335" s="4" t="str">
        <f t="shared" si="33"/>
        <v/>
      </c>
      <c r="AG335" s="8">
        <f t="shared" si="34"/>
        <v>0</v>
      </c>
      <c r="AI335" s="8">
        <f t="shared" si="35"/>
        <v>0</v>
      </c>
    </row>
    <row r="336" spans="1:35" ht="15" customHeight="1" x14ac:dyDescent="0.25">
      <c r="A336" s="10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3"/>
      <c r="P336" s="3"/>
      <c r="Q336" s="8"/>
      <c r="R336" s="8"/>
      <c r="S336" s="8"/>
      <c r="T336" s="8"/>
      <c r="U336" s="8"/>
      <c r="V336" s="8"/>
      <c r="W336" t="str">
        <f>IF($C336="","",SUMPRODUCT(($C$2:C336=C336)+($D$2:D336=C336)))</f>
        <v/>
      </c>
      <c r="X336" t="str">
        <f>IF($D336="","",SUMPRODUCT(($C$2:C336=D336)+($D$2:D336=D336)))</f>
        <v/>
      </c>
      <c r="Y336" t="str">
        <f t="shared" si="30"/>
        <v/>
      </c>
      <c r="Z336" t="str">
        <f t="shared" si="31"/>
        <v/>
      </c>
      <c r="AA336" s="4" t="str">
        <f>IF($C336="","",IF(COUNTIF($C$1:C335,$C336)+COUNTIF($D$1:D335,$C336)=0,1,0))</f>
        <v/>
      </c>
      <c r="AB336" s="4" t="str">
        <f>IF($D336="","",IF(COUNTIF($C$1:C336,$D336)+COUNTIF($D$1:D335,$D336)=0,1,0))</f>
        <v/>
      </c>
      <c r="AC336" s="4" t="str">
        <f>IF(AA336=1,SUM($AA$2:AA336)-AA336+SUM($AB$2:AB336)-AB336+1,"")</f>
        <v/>
      </c>
      <c r="AD336" s="4" t="str">
        <f>IF(AB336=1,SUM($AA$2:AA336)+SUM($AB$2:AB336)-AB336+1,"")</f>
        <v/>
      </c>
      <c r="AE336" s="4" t="str">
        <f t="shared" si="32"/>
        <v/>
      </c>
      <c r="AF336" s="4" t="str">
        <f t="shared" si="33"/>
        <v/>
      </c>
      <c r="AG336" s="8">
        <f t="shared" si="34"/>
        <v>0</v>
      </c>
      <c r="AI336" s="8">
        <f t="shared" si="35"/>
        <v>0</v>
      </c>
    </row>
    <row r="337" spans="1:35" ht="15" customHeight="1" x14ac:dyDescent="0.25">
      <c r="A337" s="10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3"/>
      <c r="P337" s="3"/>
      <c r="Q337" s="8"/>
      <c r="R337" s="8"/>
      <c r="S337" s="8"/>
      <c r="T337" s="8"/>
      <c r="U337" s="8"/>
      <c r="V337" s="8"/>
      <c r="W337" t="str">
        <f>IF($C337="","",SUMPRODUCT(($C$2:C337=C337)+($D$2:D337=C337)))</f>
        <v/>
      </c>
      <c r="X337" t="str">
        <f>IF($D337="","",SUMPRODUCT(($C$2:C337=D337)+($D$2:D337=D337)))</f>
        <v/>
      </c>
      <c r="Y337" t="str">
        <f t="shared" si="30"/>
        <v/>
      </c>
      <c r="Z337" t="str">
        <f t="shared" si="31"/>
        <v/>
      </c>
      <c r="AA337" s="4" t="str">
        <f>IF($C337="","",IF(COUNTIF($C$1:C336,$C337)+COUNTIF($D$1:D336,$C337)=0,1,0))</f>
        <v/>
      </c>
      <c r="AB337" s="4" t="str">
        <f>IF($D337="","",IF(COUNTIF($C$1:C337,$D337)+COUNTIF($D$1:D336,$D337)=0,1,0))</f>
        <v/>
      </c>
      <c r="AC337" s="4" t="str">
        <f>IF(AA337=1,SUM($AA$2:AA337)-AA337+SUM($AB$2:AB337)-AB337+1,"")</f>
        <v/>
      </c>
      <c r="AD337" s="4" t="str">
        <f>IF(AB337=1,SUM($AA$2:AA337)+SUM($AB$2:AB337)-AB337+1,"")</f>
        <v/>
      </c>
      <c r="AE337" s="4" t="str">
        <f t="shared" si="32"/>
        <v/>
      </c>
      <c r="AF337" s="4" t="str">
        <f t="shared" si="33"/>
        <v/>
      </c>
      <c r="AG337" s="8">
        <f t="shared" si="34"/>
        <v>0</v>
      </c>
      <c r="AI337" s="8">
        <f t="shared" si="35"/>
        <v>0</v>
      </c>
    </row>
    <row r="338" spans="1:35" ht="15" customHeight="1" x14ac:dyDescent="0.25">
      <c r="A338" s="10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3"/>
      <c r="P338" s="3"/>
      <c r="Q338" s="8"/>
      <c r="R338" s="8"/>
      <c r="S338" s="8"/>
      <c r="T338" s="8"/>
      <c r="U338" s="8"/>
      <c r="V338" s="8"/>
      <c r="W338" t="str">
        <f>IF($C338="","",SUMPRODUCT(($C$2:C338=C338)+($D$2:D338=C338)))</f>
        <v/>
      </c>
      <c r="X338" t="str">
        <f>IF($D338="","",SUMPRODUCT(($C$2:C338=D338)+($D$2:D338=D338)))</f>
        <v/>
      </c>
      <c r="Y338" t="str">
        <f t="shared" si="30"/>
        <v/>
      </c>
      <c r="Z338" t="str">
        <f t="shared" si="31"/>
        <v/>
      </c>
      <c r="AA338" s="4" t="str">
        <f>IF($C338="","",IF(COUNTIF($C$1:C337,$C338)+COUNTIF($D$1:D337,$C338)=0,1,0))</f>
        <v/>
      </c>
      <c r="AB338" s="4" t="str">
        <f>IF($D338="","",IF(COUNTIF($C$1:C338,$D338)+COUNTIF($D$1:D337,$D338)=0,1,0))</f>
        <v/>
      </c>
      <c r="AC338" s="4" t="str">
        <f>IF(AA338=1,SUM($AA$2:AA338)-AA338+SUM($AB$2:AB338)-AB338+1,"")</f>
        <v/>
      </c>
      <c r="AD338" s="4" t="str">
        <f>IF(AB338=1,SUM($AA$2:AA338)+SUM($AB$2:AB338)-AB338+1,"")</f>
        <v/>
      </c>
      <c r="AE338" s="4" t="str">
        <f t="shared" si="32"/>
        <v/>
      </c>
      <c r="AF338" s="4" t="str">
        <f t="shared" si="33"/>
        <v/>
      </c>
      <c r="AG338" s="8">
        <f t="shared" si="34"/>
        <v>0</v>
      </c>
      <c r="AI338" s="8">
        <f t="shared" si="35"/>
        <v>0</v>
      </c>
    </row>
    <row r="339" spans="1:35" ht="15" customHeight="1" x14ac:dyDescent="0.25">
      <c r="A339" s="10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3"/>
      <c r="P339" s="3"/>
      <c r="Q339" s="8"/>
      <c r="R339" s="8"/>
      <c r="S339" s="8"/>
      <c r="T339" s="8"/>
      <c r="U339" s="8"/>
      <c r="V339" s="8"/>
      <c r="W339" t="str">
        <f>IF($C339="","",SUMPRODUCT(($C$2:C339=C339)+($D$2:D339=C339)))</f>
        <v/>
      </c>
      <c r="X339" t="str">
        <f>IF($D339="","",SUMPRODUCT(($C$2:C339=D339)+($D$2:D339=D339)))</f>
        <v/>
      </c>
      <c r="Y339" t="str">
        <f t="shared" si="30"/>
        <v/>
      </c>
      <c r="Z339" t="str">
        <f t="shared" si="31"/>
        <v/>
      </c>
      <c r="AA339" s="4" t="str">
        <f>IF($C339="","",IF(COUNTIF($C$1:C338,$C339)+COUNTIF($D$1:D338,$C339)=0,1,0))</f>
        <v/>
      </c>
      <c r="AB339" s="4" t="str">
        <f>IF($D339="","",IF(COUNTIF($C$1:C339,$D339)+COUNTIF($D$1:D338,$D339)=0,1,0))</f>
        <v/>
      </c>
      <c r="AC339" s="4" t="str">
        <f>IF(AA339=1,SUM($AA$2:AA339)-AA339+SUM($AB$2:AB339)-AB339+1,"")</f>
        <v/>
      </c>
      <c r="AD339" s="4" t="str">
        <f>IF(AB339=1,SUM($AA$2:AA339)+SUM($AB$2:AB339)-AB339+1,"")</f>
        <v/>
      </c>
      <c r="AE339" s="4" t="str">
        <f t="shared" si="32"/>
        <v/>
      </c>
      <c r="AF339" s="4" t="str">
        <f t="shared" si="33"/>
        <v/>
      </c>
      <c r="AG339" s="8">
        <f t="shared" si="34"/>
        <v>0</v>
      </c>
      <c r="AI339" s="8">
        <f t="shared" si="35"/>
        <v>0</v>
      </c>
    </row>
    <row r="340" spans="1:35" ht="15" customHeight="1" x14ac:dyDescent="0.25">
      <c r="A340" s="10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3"/>
      <c r="P340" s="3"/>
      <c r="Q340" s="8"/>
      <c r="R340" s="8"/>
      <c r="S340" s="8"/>
      <c r="T340" s="8"/>
      <c r="U340" s="8"/>
      <c r="V340" s="8"/>
      <c r="W340" t="str">
        <f>IF($C340="","",SUMPRODUCT(($C$2:C340=C340)+($D$2:D340=C340)))</f>
        <v/>
      </c>
      <c r="X340" t="str">
        <f>IF($D340="","",SUMPRODUCT(($C$2:C340=D340)+($D$2:D340=D340)))</f>
        <v/>
      </c>
      <c r="Y340" t="str">
        <f t="shared" si="30"/>
        <v/>
      </c>
      <c r="Z340" t="str">
        <f t="shared" si="31"/>
        <v/>
      </c>
      <c r="AA340" s="4" t="str">
        <f>IF($C340="","",IF(COUNTIF($C$1:C339,$C340)+COUNTIF($D$1:D339,$C340)=0,1,0))</f>
        <v/>
      </c>
      <c r="AB340" s="4" t="str">
        <f>IF($D340="","",IF(COUNTIF($C$1:C340,$D340)+COUNTIF($D$1:D339,$D340)=0,1,0))</f>
        <v/>
      </c>
      <c r="AC340" s="4" t="str">
        <f>IF(AA340=1,SUM($AA$2:AA340)-AA340+SUM($AB$2:AB340)-AB340+1,"")</f>
        <v/>
      </c>
      <c r="AD340" s="4" t="str">
        <f>IF(AB340=1,SUM($AA$2:AA340)+SUM($AB$2:AB340)-AB340+1,"")</f>
        <v/>
      </c>
      <c r="AE340" s="4" t="str">
        <f t="shared" si="32"/>
        <v/>
      </c>
      <c r="AF340" s="4" t="str">
        <f t="shared" si="33"/>
        <v/>
      </c>
      <c r="AG340" s="8">
        <f t="shared" si="34"/>
        <v>0</v>
      </c>
      <c r="AI340" s="8">
        <f t="shared" si="35"/>
        <v>0</v>
      </c>
    </row>
    <row r="341" spans="1:35" ht="15" customHeight="1" x14ac:dyDescent="0.25">
      <c r="A341" s="10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3"/>
      <c r="P341" s="3"/>
      <c r="Q341" s="8"/>
      <c r="R341" s="8"/>
      <c r="S341" s="8"/>
      <c r="T341" s="8"/>
      <c r="U341" s="8"/>
      <c r="V341" s="8"/>
      <c r="W341" t="str">
        <f>IF($C341="","",SUMPRODUCT(($C$2:C341=C341)+($D$2:D341=C341)))</f>
        <v/>
      </c>
      <c r="X341" t="str">
        <f>IF($D341="","",SUMPRODUCT(($C$2:C341=D341)+($D$2:D341=D341)))</f>
        <v/>
      </c>
      <c r="Y341" t="str">
        <f t="shared" si="30"/>
        <v/>
      </c>
      <c r="Z341" t="str">
        <f t="shared" si="31"/>
        <v/>
      </c>
      <c r="AA341" s="4" t="str">
        <f>IF($C341="","",IF(COUNTIF($C$1:C340,$C341)+COUNTIF($D$1:D340,$C341)=0,1,0))</f>
        <v/>
      </c>
      <c r="AB341" s="4" t="str">
        <f>IF($D341="","",IF(COUNTIF($C$1:C341,$D341)+COUNTIF($D$1:D340,$D341)=0,1,0))</f>
        <v/>
      </c>
      <c r="AC341" s="4" t="str">
        <f>IF(AA341=1,SUM($AA$2:AA341)-AA341+SUM($AB$2:AB341)-AB341+1,"")</f>
        <v/>
      </c>
      <c r="AD341" s="4" t="str">
        <f>IF(AB341=1,SUM($AA$2:AA341)+SUM($AB$2:AB341)-AB341+1,"")</f>
        <v/>
      </c>
      <c r="AE341" s="4" t="str">
        <f t="shared" si="32"/>
        <v/>
      </c>
      <c r="AF341" s="4" t="str">
        <f t="shared" si="33"/>
        <v/>
      </c>
      <c r="AG341" s="8">
        <f t="shared" si="34"/>
        <v>0</v>
      </c>
      <c r="AI341" s="8">
        <f t="shared" si="35"/>
        <v>0</v>
      </c>
    </row>
    <row r="342" spans="1:35" ht="15" customHeight="1" x14ac:dyDescent="0.25">
      <c r="A342" s="10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3"/>
      <c r="P342" s="3"/>
      <c r="Q342" s="8"/>
      <c r="R342" s="8"/>
      <c r="S342" s="8"/>
      <c r="T342" s="8"/>
      <c r="U342" s="8"/>
      <c r="V342" s="8"/>
      <c r="W342" t="str">
        <f>IF($C342="","",SUMPRODUCT(($C$2:C342=C342)+($D$2:D342=C342)))</f>
        <v/>
      </c>
      <c r="X342" t="str">
        <f>IF($D342="","",SUMPRODUCT(($C$2:C342=D342)+($D$2:D342=D342)))</f>
        <v/>
      </c>
      <c r="Y342" t="str">
        <f t="shared" si="30"/>
        <v/>
      </c>
      <c r="Z342" t="str">
        <f t="shared" si="31"/>
        <v/>
      </c>
      <c r="AA342" s="4" t="str">
        <f>IF($C342="","",IF(COUNTIF($C$1:C341,$C342)+COUNTIF($D$1:D341,$C342)=0,1,0))</f>
        <v/>
      </c>
      <c r="AB342" s="4" t="str">
        <f>IF($D342="","",IF(COUNTIF($C$1:C342,$D342)+COUNTIF($D$1:D341,$D342)=0,1,0))</f>
        <v/>
      </c>
      <c r="AC342" s="4" t="str">
        <f>IF(AA342=1,SUM($AA$2:AA342)-AA342+SUM($AB$2:AB342)-AB342+1,"")</f>
        <v/>
      </c>
      <c r="AD342" s="4" t="str">
        <f>IF(AB342=1,SUM($AA$2:AA342)+SUM($AB$2:AB342)-AB342+1,"")</f>
        <v/>
      </c>
      <c r="AE342" s="4" t="str">
        <f t="shared" si="32"/>
        <v/>
      </c>
      <c r="AF342" s="4" t="str">
        <f t="shared" si="33"/>
        <v/>
      </c>
      <c r="AG342" s="8">
        <f t="shared" si="34"/>
        <v>0</v>
      </c>
      <c r="AI342" s="8">
        <f t="shared" si="35"/>
        <v>0</v>
      </c>
    </row>
    <row r="343" spans="1:35" ht="15" customHeight="1" x14ac:dyDescent="0.25">
      <c r="A343" s="10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3"/>
      <c r="P343" s="3"/>
      <c r="Q343" s="8"/>
      <c r="R343" s="8"/>
      <c r="S343" s="8"/>
      <c r="T343" s="8"/>
      <c r="U343" s="8"/>
      <c r="V343" s="8"/>
      <c r="W343" t="str">
        <f>IF($C343="","",SUMPRODUCT(($C$2:C343=C343)+($D$2:D343=C343)))</f>
        <v/>
      </c>
      <c r="X343" t="str">
        <f>IF($D343="","",SUMPRODUCT(($C$2:C343=D343)+($D$2:D343=D343)))</f>
        <v/>
      </c>
      <c r="Y343" t="str">
        <f t="shared" si="30"/>
        <v/>
      </c>
      <c r="Z343" t="str">
        <f t="shared" si="31"/>
        <v/>
      </c>
      <c r="AA343" s="4" t="str">
        <f>IF($C343="","",IF(COUNTIF($C$1:C342,$C343)+COUNTIF($D$1:D342,$C343)=0,1,0))</f>
        <v/>
      </c>
      <c r="AB343" s="4" t="str">
        <f>IF($D343="","",IF(COUNTIF($C$1:C343,$D343)+COUNTIF($D$1:D342,$D343)=0,1,0))</f>
        <v/>
      </c>
      <c r="AC343" s="4" t="str">
        <f>IF(AA343=1,SUM($AA$2:AA343)-AA343+SUM($AB$2:AB343)-AB343+1,"")</f>
        <v/>
      </c>
      <c r="AD343" s="4" t="str">
        <f>IF(AB343=1,SUM($AA$2:AA343)+SUM($AB$2:AB343)-AB343+1,"")</f>
        <v/>
      </c>
      <c r="AE343" s="4" t="str">
        <f t="shared" si="32"/>
        <v/>
      </c>
      <c r="AF343" s="4" t="str">
        <f t="shared" si="33"/>
        <v/>
      </c>
      <c r="AG343" s="8">
        <f t="shared" si="34"/>
        <v>0</v>
      </c>
      <c r="AI343" s="8">
        <f t="shared" si="35"/>
        <v>0</v>
      </c>
    </row>
    <row r="344" spans="1:35" ht="15" customHeight="1" x14ac:dyDescent="0.25">
      <c r="A344" s="10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3"/>
      <c r="P344" s="3"/>
      <c r="Q344" s="8"/>
      <c r="R344" s="8"/>
      <c r="S344" s="8"/>
      <c r="T344" s="8"/>
      <c r="U344" s="8"/>
      <c r="V344" s="8"/>
      <c r="W344" t="str">
        <f>IF($C344="","",SUMPRODUCT(($C$2:C344=C344)+($D$2:D344=C344)))</f>
        <v/>
      </c>
      <c r="X344" t="str">
        <f>IF($D344="","",SUMPRODUCT(($C$2:C344=D344)+($D$2:D344=D344)))</f>
        <v/>
      </c>
      <c r="Y344" t="str">
        <f t="shared" si="30"/>
        <v/>
      </c>
      <c r="Z344" t="str">
        <f t="shared" si="31"/>
        <v/>
      </c>
      <c r="AA344" s="4" t="str">
        <f>IF($C344="","",IF(COUNTIF($C$1:C343,$C344)+COUNTIF($D$1:D343,$C344)=0,1,0))</f>
        <v/>
      </c>
      <c r="AB344" s="4" t="str">
        <f>IF($D344="","",IF(COUNTIF($C$1:C344,$D344)+COUNTIF($D$1:D343,$D344)=0,1,0))</f>
        <v/>
      </c>
      <c r="AC344" s="4" t="str">
        <f>IF(AA344=1,SUM($AA$2:AA344)-AA344+SUM($AB$2:AB344)-AB344+1,"")</f>
        <v/>
      </c>
      <c r="AD344" s="4" t="str">
        <f>IF(AB344=1,SUM($AA$2:AA344)+SUM($AB$2:AB344)-AB344+1,"")</f>
        <v/>
      </c>
      <c r="AE344" s="4" t="str">
        <f t="shared" si="32"/>
        <v/>
      </c>
      <c r="AF344" s="4" t="str">
        <f t="shared" si="33"/>
        <v/>
      </c>
      <c r="AG344" s="8">
        <f t="shared" si="34"/>
        <v>0</v>
      </c>
      <c r="AI344" s="8">
        <f t="shared" si="35"/>
        <v>0</v>
      </c>
    </row>
    <row r="345" spans="1:35" ht="15" customHeight="1" x14ac:dyDescent="0.25">
      <c r="A345" s="10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3"/>
      <c r="P345" s="3"/>
      <c r="Q345" s="8"/>
      <c r="R345" s="8"/>
      <c r="S345" s="8"/>
      <c r="T345" s="8"/>
      <c r="U345" s="8"/>
      <c r="V345" s="8"/>
      <c r="W345" t="str">
        <f>IF($C345="","",SUMPRODUCT(($C$2:C345=C345)+($D$2:D345=C345)))</f>
        <v/>
      </c>
      <c r="X345" t="str">
        <f>IF($D345="","",SUMPRODUCT(($C$2:C345=D345)+($D$2:D345=D345)))</f>
        <v/>
      </c>
      <c r="Y345" t="str">
        <f t="shared" si="30"/>
        <v/>
      </c>
      <c r="Z345" t="str">
        <f t="shared" si="31"/>
        <v/>
      </c>
      <c r="AA345" s="4" t="str">
        <f>IF($C345="","",IF(COUNTIF($C$1:C344,$C345)+COUNTIF($D$1:D344,$C345)=0,1,0))</f>
        <v/>
      </c>
      <c r="AB345" s="4" t="str">
        <f>IF($D345="","",IF(COUNTIF($C$1:C345,$D345)+COUNTIF($D$1:D344,$D345)=0,1,0))</f>
        <v/>
      </c>
      <c r="AC345" s="4" t="str">
        <f>IF(AA345=1,SUM($AA$2:AA345)-AA345+SUM($AB$2:AB345)-AB345+1,"")</f>
        <v/>
      </c>
      <c r="AD345" s="4" t="str">
        <f>IF(AB345=1,SUM($AA$2:AA345)+SUM($AB$2:AB345)-AB345+1,"")</f>
        <v/>
      </c>
      <c r="AE345" s="4" t="str">
        <f t="shared" si="32"/>
        <v/>
      </c>
      <c r="AF345" s="4" t="str">
        <f t="shared" si="33"/>
        <v/>
      </c>
      <c r="AG345" s="8">
        <f t="shared" si="34"/>
        <v>0</v>
      </c>
      <c r="AI345" s="8">
        <f t="shared" si="35"/>
        <v>0</v>
      </c>
    </row>
    <row r="346" spans="1:35" ht="15" customHeight="1" x14ac:dyDescent="0.25">
      <c r="A346" s="10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3"/>
      <c r="P346" s="3"/>
      <c r="Q346" s="8"/>
      <c r="R346" s="8"/>
      <c r="S346" s="8"/>
      <c r="T346" s="8"/>
      <c r="U346" s="8"/>
      <c r="V346" s="8"/>
      <c r="W346" t="str">
        <f>IF($C346="","",SUMPRODUCT(($C$2:C346=C346)+($D$2:D346=C346)))</f>
        <v/>
      </c>
      <c r="X346" t="str">
        <f>IF($D346="","",SUMPRODUCT(($C$2:C346=D346)+($D$2:D346=D346)))</f>
        <v/>
      </c>
      <c r="Y346" t="str">
        <f t="shared" si="30"/>
        <v/>
      </c>
      <c r="Z346" t="str">
        <f t="shared" si="31"/>
        <v/>
      </c>
      <c r="AA346" s="4" t="str">
        <f>IF($C346="","",IF(COUNTIF($C$1:C345,$C346)+COUNTIF($D$1:D345,$C346)=0,1,0))</f>
        <v/>
      </c>
      <c r="AB346" s="4" t="str">
        <f>IF($D346="","",IF(COUNTIF($C$1:C346,$D346)+COUNTIF($D$1:D345,$D346)=0,1,0))</f>
        <v/>
      </c>
      <c r="AC346" s="4" t="str">
        <f>IF(AA346=1,SUM($AA$2:AA346)-AA346+SUM($AB$2:AB346)-AB346+1,"")</f>
        <v/>
      </c>
      <c r="AD346" s="4" t="str">
        <f>IF(AB346=1,SUM($AA$2:AA346)+SUM($AB$2:AB346)-AB346+1,"")</f>
        <v/>
      </c>
      <c r="AE346" s="4" t="str">
        <f t="shared" si="32"/>
        <v/>
      </c>
      <c r="AF346" s="4" t="str">
        <f t="shared" si="33"/>
        <v/>
      </c>
      <c r="AG346" s="8">
        <f t="shared" si="34"/>
        <v>0</v>
      </c>
      <c r="AI346" s="8">
        <f t="shared" si="35"/>
        <v>0</v>
      </c>
    </row>
    <row r="347" spans="1:35" ht="15" customHeight="1" x14ac:dyDescent="0.25">
      <c r="A347" s="10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3"/>
      <c r="P347" s="3"/>
      <c r="Q347" s="8"/>
      <c r="R347" s="8"/>
      <c r="S347" s="8"/>
      <c r="T347" s="8"/>
      <c r="U347" s="8"/>
      <c r="V347" s="8"/>
      <c r="W347" t="str">
        <f>IF($C347="","",SUMPRODUCT(($C$2:C347=C347)+($D$2:D347=C347)))</f>
        <v/>
      </c>
      <c r="X347" t="str">
        <f>IF($D347="","",SUMPRODUCT(($C$2:C347=D347)+($D$2:D347=D347)))</f>
        <v/>
      </c>
      <c r="Y347" t="str">
        <f t="shared" si="30"/>
        <v/>
      </c>
      <c r="Z347" t="str">
        <f t="shared" si="31"/>
        <v/>
      </c>
      <c r="AA347" s="4" t="str">
        <f>IF($C347="","",IF(COUNTIF($C$1:C346,$C347)+COUNTIF($D$1:D346,$C347)=0,1,0))</f>
        <v/>
      </c>
      <c r="AB347" s="4" t="str">
        <f>IF($D347="","",IF(COUNTIF($C$1:C347,$D347)+COUNTIF($D$1:D346,$D347)=0,1,0))</f>
        <v/>
      </c>
      <c r="AC347" s="4" t="str">
        <f>IF(AA347=1,SUM($AA$2:AA347)-AA347+SUM($AB$2:AB347)-AB347+1,"")</f>
        <v/>
      </c>
      <c r="AD347" s="4" t="str">
        <f>IF(AB347=1,SUM($AA$2:AA347)+SUM($AB$2:AB347)-AB347+1,"")</f>
        <v/>
      </c>
      <c r="AE347" s="4" t="str">
        <f t="shared" si="32"/>
        <v/>
      </c>
      <c r="AF347" s="4" t="str">
        <f t="shared" si="33"/>
        <v/>
      </c>
      <c r="AG347" s="8">
        <f t="shared" si="34"/>
        <v>0</v>
      </c>
      <c r="AI347" s="8">
        <f t="shared" si="35"/>
        <v>0</v>
      </c>
    </row>
    <row r="348" spans="1:35" ht="15" customHeight="1" x14ac:dyDescent="0.25">
      <c r="A348" s="10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3"/>
      <c r="P348" s="3"/>
      <c r="Q348" s="8"/>
      <c r="R348" s="8"/>
      <c r="S348" s="8"/>
      <c r="T348" s="8"/>
      <c r="U348" s="8"/>
      <c r="V348" s="8"/>
      <c r="W348" t="str">
        <f>IF($C348="","",SUMPRODUCT(($C$2:C348=C348)+($D$2:D348=C348)))</f>
        <v/>
      </c>
      <c r="X348" t="str">
        <f>IF($D348="","",SUMPRODUCT(($C$2:C348=D348)+($D$2:D348=D348)))</f>
        <v/>
      </c>
      <c r="Y348" t="str">
        <f t="shared" si="30"/>
        <v/>
      </c>
      <c r="Z348" t="str">
        <f t="shared" si="31"/>
        <v/>
      </c>
      <c r="AA348" s="4" t="str">
        <f>IF($C348="","",IF(COUNTIF($C$1:C347,$C348)+COUNTIF($D$1:D347,$C348)=0,1,0))</f>
        <v/>
      </c>
      <c r="AB348" s="4" t="str">
        <f>IF($D348="","",IF(COUNTIF($C$1:C348,$D348)+COUNTIF($D$1:D347,$D348)=0,1,0))</f>
        <v/>
      </c>
      <c r="AC348" s="4" t="str">
        <f>IF(AA348=1,SUM($AA$2:AA348)-AA348+SUM($AB$2:AB348)-AB348+1,"")</f>
        <v/>
      </c>
      <c r="AD348" s="4" t="str">
        <f>IF(AB348=1,SUM($AA$2:AA348)+SUM($AB$2:AB348)-AB348+1,"")</f>
        <v/>
      </c>
      <c r="AE348" s="4" t="str">
        <f t="shared" si="32"/>
        <v/>
      </c>
      <c r="AF348" s="4" t="str">
        <f t="shared" si="33"/>
        <v/>
      </c>
      <c r="AG348" s="8">
        <f t="shared" si="34"/>
        <v>0</v>
      </c>
      <c r="AI348" s="8">
        <f t="shared" si="35"/>
        <v>0</v>
      </c>
    </row>
    <row r="349" spans="1:35" ht="15" customHeight="1" x14ac:dyDescent="0.25">
      <c r="A349" s="10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3"/>
      <c r="P349" s="3"/>
      <c r="Q349" s="8"/>
      <c r="R349" s="8"/>
      <c r="S349" s="8"/>
      <c r="T349" s="8"/>
      <c r="U349" s="8"/>
      <c r="V349" s="8"/>
      <c r="W349" t="str">
        <f>IF($C349="","",SUMPRODUCT(($C$2:C349=C349)+($D$2:D349=C349)))</f>
        <v/>
      </c>
      <c r="X349" t="str">
        <f>IF($D349="","",SUMPRODUCT(($C$2:C349=D349)+($D$2:D349=D349)))</f>
        <v/>
      </c>
      <c r="Y349" t="str">
        <f t="shared" si="30"/>
        <v/>
      </c>
      <c r="Z349" t="str">
        <f t="shared" si="31"/>
        <v/>
      </c>
      <c r="AA349" s="4" t="str">
        <f>IF($C349="","",IF(COUNTIF($C$1:C348,$C349)+COUNTIF($D$1:D348,$C349)=0,1,0))</f>
        <v/>
      </c>
      <c r="AB349" s="4" t="str">
        <f>IF($D349="","",IF(COUNTIF($C$1:C349,$D349)+COUNTIF($D$1:D348,$D349)=0,1,0))</f>
        <v/>
      </c>
      <c r="AC349" s="4" t="str">
        <f>IF(AA349=1,SUM($AA$2:AA349)-AA349+SUM($AB$2:AB349)-AB349+1,"")</f>
        <v/>
      </c>
      <c r="AD349" s="4" t="str">
        <f>IF(AB349=1,SUM($AA$2:AA349)+SUM($AB$2:AB349)-AB349+1,"")</f>
        <v/>
      </c>
      <c r="AE349" s="4" t="str">
        <f t="shared" si="32"/>
        <v/>
      </c>
      <c r="AF349" s="4" t="str">
        <f t="shared" si="33"/>
        <v/>
      </c>
      <c r="AG349" s="8">
        <f t="shared" si="34"/>
        <v>0</v>
      </c>
      <c r="AI349" s="8">
        <f t="shared" si="35"/>
        <v>0</v>
      </c>
    </row>
    <row r="350" spans="1:35" ht="15" customHeight="1" x14ac:dyDescent="0.25">
      <c r="A350" s="10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3"/>
      <c r="P350" s="3"/>
      <c r="Q350" s="8"/>
      <c r="R350" s="8"/>
      <c r="S350" s="8"/>
      <c r="T350" s="8"/>
      <c r="U350" s="8"/>
      <c r="V350" s="8"/>
      <c r="W350" t="str">
        <f>IF($C350="","",SUMPRODUCT(($C$2:C350=C350)+($D$2:D350=C350)))</f>
        <v/>
      </c>
      <c r="X350" t="str">
        <f>IF($D350="","",SUMPRODUCT(($C$2:C350=D350)+($D$2:D350=D350)))</f>
        <v/>
      </c>
      <c r="Y350" t="str">
        <f t="shared" si="30"/>
        <v/>
      </c>
      <c r="Z350" t="str">
        <f t="shared" si="31"/>
        <v/>
      </c>
      <c r="AA350" s="4" t="str">
        <f>IF($C350="","",IF(COUNTIF($C$1:C349,$C350)+COUNTIF($D$1:D349,$C350)=0,1,0))</f>
        <v/>
      </c>
      <c r="AB350" s="4" t="str">
        <f>IF($D350="","",IF(COUNTIF($C$1:C350,$D350)+COUNTIF($D$1:D349,$D350)=0,1,0))</f>
        <v/>
      </c>
      <c r="AC350" s="4" t="str">
        <f>IF(AA350=1,SUM($AA$2:AA350)-AA350+SUM($AB$2:AB350)-AB350+1,"")</f>
        <v/>
      </c>
      <c r="AD350" s="4" t="str">
        <f>IF(AB350=1,SUM($AA$2:AA350)+SUM($AB$2:AB350)-AB350+1,"")</f>
        <v/>
      </c>
      <c r="AE350" s="4" t="str">
        <f t="shared" si="32"/>
        <v/>
      </c>
      <c r="AF350" s="4" t="str">
        <f t="shared" si="33"/>
        <v/>
      </c>
      <c r="AG350" s="8">
        <f t="shared" si="34"/>
        <v>0</v>
      </c>
      <c r="AI350" s="8">
        <f t="shared" si="35"/>
        <v>0</v>
      </c>
    </row>
    <row r="351" spans="1:35" ht="15" customHeight="1" x14ac:dyDescent="0.25">
      <c r="A351" s="10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3"/>
      <c r="P351" s="3"/>
      <c r="Q351" s="8"/>
      <c r="R351" s="8"/>
      <c r="S351" s="8"/>
      <c r="T351" s="8"/>
      <c r="U351" s="8"/>
      <c r="V351" s="8"/>
      <c r="W351" t="str">
        <f>IF($C351="","",SUMPRODUCT(($C$2:C351=C351)+($D$2:D351=C351)))</f>
        <v/>
      </c>
      <c r="X351" t="str">
        <f>IF($D351="","",SUMPRODUCT(($C$2:C351=D351)+($D$2:D351=D351)))</f>
        <v/>
      </c>
      <c r="Y351" t="str">
        <f t="shared" si="30"/>
        <v/>
      </c>
      <c r="Z351" t="str">
        <f t="shared" si="31"/>
        <v/>
      </c>
      <c r="AA351" s="4" t="str">
        <f>IF($C351="","",IF(COUNTIF($C$1:C350,$C351)+COUNTIF($D$1:D350,$C351)=0,1,0))</f>
        <v/>
      </c>
      <c r="AB351" s="4" t="str">
        <f>IF($D351="","",IF(COUNTIF($C$1:C351,$D351)+COUNTIF($D$1:D350,$D351)=0,1,0))</f>
        <v/>
      </c>
      <c r="AC351" s="4" t="str">
        <f>IF(AA351=1,SUM($AA$2:AA351)-AA351+SUM($AB$2:AB351)-AB351+1,"")</f>
        <v/>
      </c>
      <c r="AD351" s="4" t="str">
        <f>IF(AB351=1,SUM($AA$2:AA351)+SUM($AB$2:AB351)-AB351+1,"")</f>
        <v/>
      </c>
      <c r="AE351" s="4" t="str">
        <f t="shared" si="32"/>
        <v/>
      </c>
      <c r="AF351" s="4" t="str">
        <f t="shared" si="33"/>
        <v/>
      </c>
      <c r="AG351" s="8">
        <f t="shared" si="34"/>
        <v>0</v>
      </c>
      <c r="AI351" s="8">
        <f t="shared" si="35"/>
        <v>0</v>
      </c>
    </row>
    <row r="352" spans="1:35" ht="15" customHeight="1" x14ac:dyDescent="0.25">
      <c r="A352" s="10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3"/>
      <c r="P352" s="3"/>
      <c r="Q352" s="8"/>
      <c r="R352" s="8"/>
      <c r="S352" s="8"/>
      <c r="T352" s="8"/>
      <c r="U352" s="8"/>
      <c r="V352" s="8"/>
      <c r="W352" t="str">
        <f>IF($C352="","",SUMPRODUCT(($C$2:C352=C352)+($D$2:D352=C352)))</f>
        <v/>
      </c>
      <c r="X352" t="str">
        <f>IF($D352="","",SUMPRODUCT(($C$2:C352=D352)+($D$2:D352=D352)))</f>
        <v/>
      </c>
      <c r="Y352" t="str">
        <f t="shared" si="30"/>
        <v/>
      </c>
      <c r="Z352" t="str">
        <f t="shared" si="31"/>
        <v/>
      </c>
      <c r="AA352" s="4" t="str">
        <f>IF($C352="","",IF(COUNTIF($C$1:C351,$C352)+COUNTIF($D$1:D351,$C352)=0,1,0))</f>
        <v/>
      </c>
      <c r="AB352" s="4" t="str">
        <f>IF($D352="","",IF(COUNTIF($C$1:C352,$D352)+COUNTIF($D$1:D351,$D352)=0,1,0))</f>
        <v/>
      </c>
      <c r="AC352" s="4" t="str">
        <f>IF(AA352=1,SUM($AA$2:AA352)-AA352+SUM($AB$2:AB352)-AB352+1,"")</f>
        <v/>
      </c>
      <c r="AD352" s="4" t="str">
        <f>IF(AB352=1,SUM($AA$2:AA352)+SUM($AB$2:AB352)-AB352+1,"")</f>
        <v/>
      </c>
      <c r="AE352" s="4" t="str">
        <f t="shared" si="32"/>
        <v/>
      </c>
      <c r="AF352" s="4" t="str">
        <f t="shared" si="33"/>
        <v/>
      </c>
      <c r="AG352" s="8">
        <f t="shared" si="34"/>
        <v>0</v>
      </c>
      <c r="AI352" s="8">
        <f t="shared" si="35"/>
        <v>0</v>
      </c>
    </row>
    <row r="353" spans="1:35" ht="15" customHeight="1" x14ac:dyDescent="0.25">
      <c r="A353" s="10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3"/>
      <c r="P353" s="3"/>
      <c r="Q353" s="8"/>
      <c r="R353" s="8"/>
      <c r="S353" s="8"/>
      <c r="T353" s="8"/>
      <c r="U353" s="8"/>
      <c r="V353" s="8"/>
      <c r="W353" t="str">
        <f>IF($C353="","",SUMPRODUCT(($C$2:C353=C353)+($D$2:D353=C353)))</f>
        <v/>
      </c>
      <c r="X353" t="str">
        <f>IF($D353="","",SUMPRODUCT(($C$2:C353=D353)+($D$2:D353=D353)))</f>
        <v/>
      </c>
      <c r="Y353" t="str">
        <f t="shared" si="30"/>
        <v/>
      </c>
      <c r="Z353" t="str">
        <f t="shared" si="31"/>
        <v/>
      </c>
      <c r="AA353" s="4" t="str">
        <f>IF($C353="","",IF(COUNTIF($C$1:C352,$C353)+COUNTIF($D$1:D352,$C353)=0,1,0))</f>
        <v/>
      </c>
      <c r="AB353" s="4" t="str">
        <f>IF($D353="","",IF(COUNTIF($C$1:C353,$D353)+COUNTIF($D$1:D352,$D353)=0,1,0))</f>
        <v/>
      </c>
      <c r="AC353" s="4" t="str">
        <f>IF(AA353=1,SUM($AA$2:AA353)-AA353+SUM($AB$2:AB353)-AB353+1,"")</f>
        <v/>
      </c>
      <c r="AD353" s="4" t="str">
        <f>IF(AB353=1,SUM($AA$2:AA353)+SUM($AB$2:AB353)-AB353+1,"")</f>
        <v/>
      </c>
      <c r="AE353" s="4" t="str">
        <f t="shared" si="32"/>
        <v/>
      </c>
      <c r="AF353" s="4" t="str">
        <f t="shared" si="33"/>
        <v/>
      </c>
      <c r="AG353" s="8">
        <f t="shared" si="34"/>
        <v>0</v>
      </c>
      <c r="AI353" s="8">
        <f t="shared" si="35"/>
        <v>0</v>
      </c>
    </row>
    <row r="354" spans="1:35" ht="15" customHeight="1" x14ac:dyDescent="0.25">
      <c r="A354" s="10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3"/>
      <c r="P354" s="3"/>
      <c r="Q354" s="8"/>
      <c r="R354" s="8"/>
      <c r="S354" s="8"/>
      <c r="T354" s="8"/>
      <c r="U354" s="8"/>
      <c r="V354" s="8"/>
      <c r="W354" t="str">
        <f>IF($C354="","",SUMPRODUCT(($C$2:C354=C354)+($D$2:D354=C354)))</f>
        <v/>
      </c>
      <c r="X354" t="str">
        <f>IF($D354="","",SUMPRODUCT(($C$2:C354=D354)+($D$2:D354=D354)))</f>
        <v/>
      </c>
      <c r="Y354" t="str">
        <f t="shared" si="30"/>
        <v/>
      </c>
      <c r="Z354" t="str">
        <f t="shared" si="31"/>
        <v/>
      </c>
      <c r="AA354" s="4" t="str">
        <f>IF($C354="","",IF(COUNTIF($C$1:C353,$C354)+COUNTIF($D$1:D353,$C354)=0,1,0))</f>
        <v/>
      </c>
      <c r="AB354" s="4" t="str">
        <f>IF($D354="","",IF(COUNTIF($C$1:C354,$D354)+COUNTIF($D$1:D353,$D354)=0,1,0))</f>
        <v/>
      </c>
      <c r="AC354" s="4" t="str">
        <f>IF(AA354=1,SUM($AA$2:AA354)-AA354+SUM($AB$2:AB354)-AB354+1,"")</f>
        <v/>
      </c>
      <c r="AD354" s="4" t="str">
        <f>IF(AB354=1,SUM($AA$2:AA354)+SUM($AB$2:AB354)-AB354+1,"")</f>
        <v/>
      </c>
      <c r="AE354" s="4" t="str">
        <f t="shared" si="32"/>
        <v/>
      </c>
      <c r="AF354" s="4" t="str">
        <f t="shared" si="33"/>
        <v/>
      </c>
      <c r="AG354" s="8">
        <f t="shared" si="34"/>
        <v>0</v>
      </c>
      <c r="AI354" s="8">
        <f t="shared" si="35"/>
        <v>0</v>
      </c>
    </row>
    <row r="355" spans="1:35" ht="15" customHeight="1" x14ac:dyDescent="0.25">
      <c r="A355" s="10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3"/>
      <c r="P355" s="3"/>
      <c r="Q355" s="8"/>
      <c r="R355" s="8"/>
      <c r="S355" s="8"/>
      <c r="T355" s="8"/>
      <c r="U355" s="8"/>
      <c r="V355" s="8"/>
      <c r="W355" t="str">
        <f>IF($C355="","",SUMPRODUCT(($C$2:C355=C355)+($D$2:D355=C355)))</f>
        <v/>
      </c>
      <c r="X355" t="str">
        <f>IF($D355="","",SUMPRODUCT(($C$2:C355=D355)+($D$2:D355=D355)))</f>
        <v/>
      </c>
      <c r="Y355" t="str">
        <f t="shared" si="30"/>
        <v/>
      </c>
      <c r="Z355" t="str">
        <f t="shared" si="31"/>
        <v/>
      </c>
      <c r="AA355" s="4" t="str">
        <f>IF($C355="","",IF(COUNTIF($C$1:C354,$C355)+COUNTIF($D$1:D354,$C355)=0,1,0))</f>
        <v/>
      </c>
      <c r="AB355" s="4" t="str">
        <f>IF($D355="","",IF(COUNTIF($C$1:C355,$D355)+COUNTIF($D$1:D354,$D355)=0,1,0))</f>
        <v/>
      </c>
      <c r="AC355" s="4" t="str">
        <f>IF(AA355=1,SUM($AA$2:AA355)-AA355+SUM($AB$2:AB355)-AB355+1,"")</f>
        <v/>
      </c>
      <c r="AD355" s="4" t="str">
        <f>IF(AB355=1,SUM($AA$2:AA355)+SUM($AB$2:AB355)-AB355+1,"")</f>
        <v/>
      </c>
      <c r="AE355" s="4" t="str">
        <f t="shared" si="32"/>
        <v/>
      </c>
      <c r="AF355" s="4" t="str">
        <f t="shared" si="33"/>
        <v/>
      </c>
      <c r="AG355" s="8">
        <f t="shared" si="34"/>
        <v>0</v>
      </c>
      <c r="AI355" s="8">
        <f t="shared" si="35"/>
        <v>0</v>
      </c>
    </row>
    <row r="356" spans="1:35" ht="15" customHeight="1" x14ac:dyDescent="0.25">
      <c r="A356" s="10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3"/>
      <c r="P356" s="3"/>
      <c r="Q356" s="8"/>
      <c r="R356" s="8"/>
      <c r="S356" s="8"/>
      <c r="T356" s="8"/>
      <c r="U356" s="8"/>
      <c r="V356" s="8"/>
      <c r="W356" t="str">
        <f>IF($C356="","",SUMPRODUCT(($C$2:C356=C356)+($D$2:D356=C356)))</f>
        <v/>
      </c>
      <c r="X356" t="str">
        <f>IF($D356="","",SUMPRODUCT(($C$2:C356=D356)+($D$2:D356=D356)))</f>
        <v/>
      </c>
      <c r="Y356" t="str">
        <f t="shared" si="30"/>
        <v/>
      </c>
      <c r="Z356" t="str">
        <f t="shared" si="31"/>
        <v/>
      </c>
      <c r="AA356" s="4" t="str">
        <f>IF($C356="","",IF(COUNTIF($C$1:C355,$C356)+COUNTIF($D$1:D355,$C356)=0,1,0))</f>
        <v/>
      </c>
      <c r="AB356" s="4" t="str">
        <f>IF($D356="","",IF(COUNTIF($C$1:C356,$D356)+COUNTIF($D$1:D355,$D356)=0,1,0))</f>
        <v/>
      </c>
      <c r="AC356" s="4" t="str">
        <f>IF(AA356=1,SUM($AA$2:AA356)-AA356+SUM($AB$2:AB356)-AB356+1,"")</f>
        <v/>
      </c>
      <c r="AD356" s="4" t="str">
        <f>IF(AB356=1,SUM($AA$2:AA356)+SUM($AB$2:AB356)-AB356+1,"")</f>
        <v/>
      </c>
      <c r="AE356" s="4" t="str">
        <f t="shared" si="32"/>
        <v/>
      </c>
      <c r="AF356" s="4" t="str">
        <f t="shared" si="33"/>
        <v/>
      </c>
      <c r="AG356" s="8">
        <f t="shared" si="34"/>
        <v>0</v>
      </c>
      <c r="AI356" s="8">
        <f t="shared" si="35"/>
        <v>0</v>
      </c>
    </row>
    <row r="357" spans="1:35" ht="15" customHeight="1" x14ac:dyDescent="0.25">
      <c r="A357" s="10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3"/>
      <c r="P357" s="3"/>
      <c r="Q357" s="8"/>
      <c r="R357" s="8"/>
      <c r="S357" s="8"/>
      <c r="T357" s="8"/>
      <c r="U357" s="8"/>
      <c r="V357" s="8"/>
      <c r="W357" t="str">
        <f>IF($C357="","",SUMPRODUCT(($C$2:C357=C357)+($D$2:D357=C357)))</f>
        <v/>
      </c>
      <c r="X357" t="str">
        <f>IF($D357="","",SUMPRODUCT(($C$2:C357=D357)+($D$2:D357=D357)))</f>
        <v/>
      </c>
      <c r="Y357" t="str">
        <f t="shared" si="30"/>
        <v/>
      </c>
      <c r="Z357" t="str">
        <f t="shared" si="31"/>
        <v/>
      </c>
      <c r="AA357" s="4" t="str">
        <f>IF($C357="","",IF(COUNTIF($C$1:C356,$C357)+COUNTIF($D$1:D356,$C357)=0,1,0))</f>
        <v/>
      </c>
      <c r="AB357" s="4" t="str">
        <f>IF($D357="","",IF(COUNTIF($C$1:C357,$D357)+COUNTIF($D$1:D356,$D357)=0,1,0))</f>
        <v/>
      </c>
      <c r="AC357" s="4" t="str">
        <f>IF(AA357=1,SUM($AA$2:AA357)-AA357+SUM($AB$2:AB357)-AB357+1,"")</f>
        <v/>
      </c>
      <c r="AD357" s="4" t="str">
        <f>IF(AB357=1,SUM($AA$2:AA357)+SUM($AB$2:AB357)-AB357+1,"")</f>
        <v/>
      </c>
      <c r="AE357" s="4" t="str">
        <f t="shared" si="32"/>
        <v/>
      </c>
      <c r="AF357" s="4" t="str">
        <f t="shared" si="33"/>
        <v/>
      </c>
      <c r="AG357" s="8">
        <f t="shared" si="34"/>
        <v>0</v>
      </c>
      <c r="AI357" s="8">
        <f t="shared" si="35"/>
        <v>0</v>
      </c>
    </row>
    <row r="358" spans="1:35" ht="15" customHeight="1" x14ac:dyDescent="0.25">
      <c r="A358" s="10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3"/>
      <c r="P358" s="3"/>
      <c r="Q358" s="8"/>
      <c r="R358" s="8"/>
      <c r="S358" s="8"/>
      <c r="T358" s="8"/>
      <c r="U358" s="8"/>
      <c r="V358" s="8"/>
      <c r="W358" t="str">
        <f>IF($C358="","",SUMPRODUCT(($C$2:C358=C358)+($D$2:D358=C358)))</f>
        <v/>
      </c>
      <c r="X358" t="str">
        <f>IF($D358="","",SUMPRODUCT(($C$2:C358=D358)+($D$2:D358=D358)))</f>
        <v/>
      </c>
      <c r="Y358" t="str">
        <f t="shared" si="30"/>
        <v/>
      </c>
      <c r="Z358" t="str">
        <f t="shared" si="31"/>
        <v/>
      </c>
      <c r="AA358" s="4" t="str">
        <f>IF($C358="","",IF(COUNTIF($C$1:C357,$C358)+COUNTIF($D$1:D357,$C358)=0,1,0))</f>
        <v/>
      </c>
      <c r="AB358" s="4" t="str">
        <f>IF($D358="","",IF(COUNTIF($C$1:C358,$D358)+COUNTIF($D$1:D357,$D358)=0,1,0))</f>
        <v/>
      </c>
      <c r="AC358" s="4" t="str">
        <f>IF(AA358=1,SUM($AA$2:AA358)-AA358+SUM($AB$2:AB358)-AB358+1,"")</f>
        <v/>
      </c>
      <c r="AD358" s="4" t="str">
        <f>IF(AB358=1,SUM($AA$2:AA358)+SUM($AB$2:AB358)-AB358+1,"")</f>
        <v/>
      </c>
      <c r="AE358" s="4" t="str">
        <f t="shared" si="32"/>
        <v/>
      </c>
      <c r="AF358" s="4" t="str">
        <f t="shared" si="33"/>
        <v/>
      </c>
      <c r="AG358" s="8">
        <f t="shared" si="34"/>
        <v>0</v>
      </c>
      <c r="AI358" s="8">
        <f t="shared" si="35"/>
        <v>0</v>
      </c>
    </row>
    <row r="359" spans="1:35" ht="15" customHeight="1" x14ac:dyDescent="0.25">
      <c r="A359" s="10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3"/>
      <c r="P359" s="3"/>
      <c r="Q359" s="8"/>
      <c r="R359" s="8"/>
      <c r="S359" s="8"/>
      <c r="T359" s="8"/>
      <c r="U359" s="8"/>
      <c r="V359" s="8"/>
      <c r="W359" t="str">
        <f>IF($C359="","",SUMPRODUCT(($C$2:C359=C359)+($D$2:D359=C359)))</f>
        <v/>
      </c>
      <c r="X359" t="str">
        <f>IF($D359="","",SUMPRODUCT(($C$2:C359=D359)+($D$2:D359=D359)))</f>
        <v/>
      </c>
      <c r="Y359" t="str">
        <f t="shared" si="30"/>
        <v/>
      </c>
      <c r="Z359" t="str">
        <f t="shared" si="31"/>
        <v/>
      </c>
      <c r="AA359" s="4" t="str">
        <f>IF($C359="","",IF(COUNTIF($C$1:C358,$C359)+COUNTIF($D$1:D358,$C359)=0,1,0))</f>
        <v/>
      </c>
      <c r="AB359" s="4" t="str">
        <f>IF($D359="","",IF(COUNTIF($C$1:C359,$D359)+COUNTIF($D$1:D358,$D359)=0,1,0))</f>
        <v/>
      </c>
      <c r="AC359" s="4" t="str">
        <f>IF(AA359=1,SUM($AA$2:AA359)-AA359+SUM($AB$2:AB359)-AB359+1,"")</f>
        <v/>
      </c>
      <c r="AD359" s="4" t="str">
        <f>IF(AB359=1,SUM($AA$2:AA359)+SUM($AB$2:AB359)-AB359+1,"")</f>
        <v/>
      </c>
      <c r="AE359" s="4" t="str">
        <f t="shared" si="32"/>
        <v/>
      </c>
      <c r="AF359" s="4" t="str">
        <f t="shared" si="33"/>
        <v/>
      </c>
      <c r="AG359" s="8">
        <f t="shared" si="34"/>
        <v>0</v>
      </c>
      <c r="AI359" s="8">
        <f t="shared" si="35"/>
        <v>0</v>
      </c>
    </row>
    <row r="360" spans="1:35" ht="15" customHeight="1" x14ac:dyDescent="0.25">
      <c r="A360" s="10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3"/>
      <c r="P360" s="3"/>
      <c r="Q360" s="8"/>
      <c r="R360" s="8"/>
      <c r="S360" s="8"/>
      <c r="T360" s="8"/>
      <c r="U360" s="8"/>
      <c r="V360" s="8"/>
      <c r="W360" t="str">
        <f>IF($C360="","",SUMPRODUCT(($C$2:C360=C360)+($D$2:D360=C360)))</f>
        <v/>
      </c>
      <c r="X360" t="str">
        <f>IF($D360="","",SUMPRODUCT(($C$2:C360=D360)+($D$2:D360=D360)))</f>
        <v/>
      </c>
      <c r="Y360" t="str">
        <f t="shared" si="30"/>
        <v/>
      </c>
      <c r="Z360" t="str">
        <f t="shared" si="31"/>
        <v/>
      </c>
      <c r="AA360" s="4" t="str">
        <f>IF($C360="","",IF(COUNTIF($C$1:C359,$C360)+COUNTIF($D$1:D359,$C360)=0,1,0))</f>
        <v/>
      </c>
      <c r="AB360" s="4" t="str">
        <f>IF($D360="","",IF(COUNTIF($C$1:C360,$D360)+COUNTIF($D$1:D359,$D360)=0,1,0))</f>
        <v/>
      </c>
      <c r="AC360" s="4" t="str">
        <f>IF(AA360=1,SUM($AA$2:AA360)-AA360+SUM($AB$2:AB360)-AB360+1,"")</f>
        <v/>
      </c>
      <c r="AD360" s="4" t="str">
        <f>IF(AB360=1,SUM($AA$2:AA360)+SUM($AB$2:AB360)-AB360+1,"")</f>
        <v/>
      </c>
      <c r="AE360" s="4" t="str">
        <f t="shared" si="32"/>
        <v/>
      </c>
      <c r="AF360" s="4" t="str">
        <f t="shared" si="33"/>
        <v/>
      </c>
      <c r="AG360" s="8">
        <f t="shared" si="34"/>
        <v>0</v>
      </c>
      <c r="AI360" s="8">
        <f t="shared" si="35"/>
        <v>0</v>
      </c>
    </row>
    <row r="361" spans="1:35" ht="15" customHeight="1" x14ac:dyDescent="0.25">
      <c r="A361" s="10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3"/>
      <c r="P361" s="3"/>
      <c r="Q361" s="8"/>
      <c r="R361" s="8"/>
      <c r="S361" s="8"/>
      <c r="T361" s="8"/>
      <c r="U361" s="8"/>
      <c r="V361" s="8"/>
      <c r="W361" t="str">
        <f>IF($C361="","",SUMPRODUCT(($C$2:C361=C361)+($D$2:D361=C361)))</f>
        <v/>
      </c>
      <c r="X361" t="str">
        <f>IF($D361="","",SUMPRODUCT(($C$2:C361=D361)+($D$2:D361=D361)))</f>
        <v/>
      </c>
      <c r="Y361" t="str">
        <f t="shared" si="30"/>
        <v/>
      </c>
      <c r="Z361" t="str">
        <f t="shared" si="31"/>
        <v/>
      </c>
      <c r="AA361" s="4" t="str">
        <f>IF($C361="","",IF(COUNTIF($C$1:C360,$C361)+COUNTIF($D$1:D360,$C361)=0,1,0))</f>
        <v/>
      </c>
      <c r="AB361" s="4" t="str">
        <f>IF($D361="","",IF(COUNTIF($C$1:C361,$D361)+COUNTIF($D$1:D360,$D361)=0,1,0))</f>
        <v/>
      </c>
      <c r="AC361" s="4" t="str">
        <f>IF(AA361=1,SUM($AA$2:AA361)-AA361+SUM($AB$2:AB361)-AB361+1,"")</f>
        <v/>
      </c>
      <c r="AD361" s="4" t="str">
        <f>IF(AB361=1,SUM($AA$2:AA361)+SUM($AB$2:AB361)-AB361+1,"")</f>
        <v/>
      </c>
      <c r="AE361" s="4" t="str">
        <f t="shared" si="32"/>
        <v/>
      </c>
      <c r="AF361" s="4" t="str">
        <f t="shared" si="33"/>
        <v/>
      </c>
      <c r="AG361" s="8">
        <f t="shared" si="34"/>
        <v>0</v>
      </c>
      <c r="AI361" s="8">
        <f t="shared" si="35"/>
        <v>0</v>
      </c>
    </row>
    <row r="362" spans="1:35" ht="15" customHeight="1" x14ac:dyDescent="0.25">
      <c r="A362" s="10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3"/>
      <c r="P362" s="3"/>
      <c r="Q362" s="8"/>
      <c r="R362" s="8"/>
      <c r="S362" s="8"/>
      <c r="T362" s="8"/>
      <c r="U362" s="8"/>
      <c r="V362" s="8"/>
      <c r="W362" t="str">
        <f>IF($C362="","",SUMPRODUCT(($C$2:C362=C362)+($D$2:D362=C362)))</f>
        <v/>
      </c>
      <c r="X362" t="str">
        <f>IF($D362="","",SUMPRODUCT(($C$2:C362=D362)+($D$2:D362=D362)))</f>
        <v/>
      </c>
      <c r="Y362" t="str">
        <f t="shared" si="30"/>
        <v/>
      </c>
      <c r="Z362" t="str">
        <f t="shared" si="31"/>
        <v/>
      </c>
      <c r="AA362" s="4" t="str">
        <f>IF($C362="","",IF(COUNTIF($C$1:C361,$C362)+COUNTIF($D$1:D361,$C362)=0,1,0))</f>
        <v/>
      </c>
      <c r="AB362" s="4" t="str">
        <f>IF($D362="","",IF(COUNTIF($C$1:C362,$D362)+COUNTIF($D$1:D361,$D362)=0,1,0))</f>
        <v/>
      </c>
      <c r="AC362" s="4" t="str">
        <f>IF(AA362=1,SUM($AA$2:AA362)-AA362+SUM($AB$2:AB362)-AB362+1,"")</f>
        <v/>
      </c>
      <c r="AD362" s="4" t="str">
        <f>IF(AB362=1,SUM($AA$2:AA362)+SUM($AB$2:AB362)-AB362+1,"")</f>
        <v/>
      </c>
      <c r="AE362" s="4" t="str">
        <f t="shared" si="32"/>
        <v/>
      </c>
      <c r="AF362" s="4" t="str">
        <f t="shared" si="33"/>
        <v/>
      </c>
      <c r="AG362" s="8">
        <f t="shared" si="34"/>
        <v>0</v>
      </c>
      <c r="AI362" s="8">
        <f t="shared" si="35"/>
        <v>0</v>
      </c>
    </row>
    <row r="363" spans="1:35" ht="15" customHeight="1" x14ac:dyDescent="0.25">
      <c r="A363" s="10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3"/>
      <c r="P363" s="3"/>
      <c r="Q363" s="8"/>
      <c r="R363" s="8"/>
      <c r="S363" s="8"/>
      <c r="T363" s="8"/>
      <c r="U363" s="8"/>
      <c r="V363" s="8"/>
      <c r="W363" t="str">
        <f>IF($C363="","",SUMPRODUCT(($C$2:C363=C363)+($D$2:D363=C363)))</f>
        <v/>
      </c>
      <c r="X363" t="str">
        <f>IF($D363="","",SUMPRODUCT(($C$2:C363=D363)+($D$2:D363=D363)))</f>
        <v/>
      </c>
      <c r="Y363" t="str">
        <f t="shared" si="30"/>
        <v/>
      </c>
      <c r="Z363" t="str">
        <f t="shared" si="31"/>
        <v/>
      </c>
      <c r="AA363" s="4" t="str">
        <f>IF($C363="","",IF(COUNTIF($C$1:C362,$C363)+COUNTIF($D$1:D362,$C363)=0,1,0))</f>
        <v/>
      </c>
      <c r="AB363" s="4" t="str">
        <f>IF($D363="","",IF(COUNTIF($C$1:C363,$D363)+COUNTIF($D$1:D362,$D363)=0,1,0))</f>
        <v/>
      </c>
      <c r="AC363" s="4" t="str">
        <f>IF(AA363=1,SUM($AA$2:AA363)-AA363+SUM($AB$2:AB363)-AB363+1,"")</f>
        <v/>
      </c>
      <c r="AD363" s="4" t="str">
        <f>IF(AB363=1,SUM($AA$2:AA363)+SUM($AB$2:AB363)-AB363+1,"")</f>
        <v/>
      </c>
      <c r="AE363" s="4" t="str">
        <f t="shared" si="32"/>
        <v/>
      </c>
      <c r="AF363" s="4" t="str">
        <f t="shared" si="33"/>
        <v/>
      </c>
      <c r="AG363" s="8">
        <f t="shared" si="34"/>
        <v>0</v>
      </c>
      <c r="AI363" s="8">
        <f t="shared" si="35"/>
        <v>0</v>
      </c>
    </row>
    <row r="364" spans="1:35" ht="15" customHeight="1" x14ac:dyDescent="0.25">
      <c r="A364" s="10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3"/>
      <c r="P364" s="3"/>
      <c r="Q364" s="8"/>
      <c r="R364" s="8"/>
      <c r="S364" s="8"/>
      <c r="T364" s="8"/>
      <c r="U364" s="8"/>
      <c r="V364" s="8"/>
      <c r="W364" t="str">
        <f>IF($C364="","",SUMPRODUCT(($C$2:C364=C364)+($D$2:D364=C364)))</f>
        <v/>
      </c>
      <c r="X364" t="str">
        <f>IF($D364="","",SUMPRODUCT(($C$2:C364=D364)+($D$2:D364=D364)))</f>
        <v/>
      </c>
      <c r="Y364" t="str">
        <f t="shared" si="30"/>
        <v/>
      </c>
      <c r="Z364" t="str">
        <f t="shared" si="31"/>
        <v/>
      </c>
      <c r="AA364" s="4" t="str">
        <f>IF($C364="","",IF(COUNTIF($C$1:C363,$C364)+COUNTIF($D$1:D363,$C364)=0,1,0))</f>
        <v/>
      </c>
      <c r="AB364" s="4" t="str">
        <f>IF($D364="","",IF(COUNTIF($C$1:C364,$D364)+COUNTIF($D$1:D363,$D364)=0,1,0))</f>
        <v/>
      </c>
      <c r="AC364" s="4" t="str">
        <f>IF(AA364=1,SUM($AA$2:AA364)-AA364+SUM($AB$2:AB364)-AB364+1,"")</f>
        <v/>
      </c>
      <c r="AD364" s="4" t="str">
        <f>IF(AB364=1,SUM($AA$2:AA364)+SUM($AB$2:AB364)-AB364+1,"")</f>
        <v/>
      </c>
      <c r="AE364" s="4" t="str">
        <f t="shared" si="32"/>
        <v/>
      </c>
      <c r="AF364" s="4" t="str">
        <f t="shared" si="33"/>
        <v/>
      </c>
      <c r="AG364" s="8">
        <f t="shared" si="34"/>
        <v>0</v>
      </c>
      <c r="AI364" s="8">
        <f t="shared" si="35"/>
        <v>0</v>
      </c>
    </row>
    <row r="365" spans="1:35" ht="15" customHeight="1" x14ac:dyDescent="0.25">
      <c r="A365" s="10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3"/>
      <c r="P365" s="3"/>
      <c r="Q365" s="8"/>
      <c r="R365" s="8"/>
      <c r="S365" s="8"/>
      <c r="T365" s="8"/>
      <c r="U365" s="8"/>
      <c r="V365" s="8"/>
      <c r="W365" t="str">
        <f>IF($C365="","",SUMPRODUCT(($C$2:C365=C365)+($D$2:D365=C365)))</f>
        <v/>
      </c>
      <c r="X365" t="str">
        <f>IF($D365="","",SUMPRODUCT(($C$2:C365=D365)+($D$2:D365=D365)))</f>
        <v/>
      </c>
      <c r="Y365" t="str">
        <f t="shared" si="30"/>
        <v/>
      </c>
      <c r="Z365" t="str">
        <f t="shared" si="31"/>
        <v/>
      </c>
      <c r="AA365" s="4" t="str">
        <f>IF($C365="","",IF(COUNTIF($C$1:C364,$C365)+COUNTIF($D$1:D364,$C365)=0,1,0))</f>
        <v/>
      </c>
      <c r="AB365" s="4" t="str">
        <f>IF($D365="","",IF(COUNTIF($C$1:C365,$D365)+COUNTIF($D$1:D364,$D365)=0,1,0))</f>
        <v/>
      </c>
      <c r="AC365" s="4" t="str">
        <f>IF(AA365=1,SUM($AA$2:AA365)-AA365+SUM($AB$2:AB365)-AB365+1,"")</f>
        <v/>
      </c>
      <c r="AD365" s="4" t="str">
        <f>IF(AB365=1,SUM($AA$2:AA365)+SUM($AB$2:AB365)-AB365+1,"")</f>
        <v/>
      </c>
      <c r="AE365" s="4" t="str">
        <f t="shared" si="32"/>
        <v/>
      </c>
      <c r="AF365" s="4" t="str">
        <f t="shared" si="33"/>
        <v/>
      </c>
      <c r="AG365" s="8">
        <f t="shared" si="34"/>
        <v>0</v>
      </c>
      <c r="AI365" s="8">
        <f t="shared" si="35"/>
        <v>0</v>
      </c>
    </row>
    <row r="366" spans="1:35" ht="15" customHeight="1" x14ac:dyDescent="0.25">
      <c r="A366" s="10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3"/>
      <c r="P366" s="3"/>
      <c r="Q366" s="8"/>
      <c r="R366" s="8"/>
      <c r="S366" s="8"/>
      <c r="T366" s="8"/>
      <c r="U366" s="8"/>
      <c r="V366" s="8"/>
      <c r="W366" t="str">
        <f>IF($C366="","",SUMPRODUCT(($C$2:C366=C366)+($D$2:D366=C366)))</f>
        <v/>
      </c>
      <c r="X366" t="str">
        <f>IF($D366="","",SUMPRODUCT(($C$2:C366=D366)+($D$2:D366=D366)))</f>
        <v/>
      </c>
      <c r="Y366" t="str">
        <f t="shared" si="30"/>
        <v/>
      </c>
      <c r="Z366" t="str">
        <f t="shared" si="31"/>
        <v/>
      </c>
      <c r="AA366" s="4" t="str">
        <f>IF($C366="","",IF(COUNTIF($C$1:C365,$C366)+COUNTIF($D$1:D365,$C366)=0,1,0))</f>
        <v/>
      </c>
      <c r="AB366" s="4" t="str">
        <f>IF($D366="","",IF(COUNTIF($C$1:C366,$D366)+COUNTIF($D$1:D365,$D366)=0,1,0))</f>
        <v/>
      </c>
      <c r="AC366" s="4" t="str">
        <f>IF(AA366=1,SUM($AA$2:AA366)-AA366+SUM($AB$2:AB366)-AB366+1,"")</f>
        <v/>
      </c>
      <c r="AD366" s="4" t="str">
        <f>IF(AB366=1,SUM($AA$2:AA366)+SUM($AB$2:AB366)-AB366+1,"")</f>
        <v/>
      </c>
      <c r="AE366" s="4" t="str">
        <f t="shared" si="32"/>
        <v/>
      </c>
      <c r="AF366" s="4" t="str">
        <f t="shared" si="33"/>
        <v/>
      </c>
      <c r="AG366" s="8">
        <f t="shared" si="34"/>
        <v>0</v>
      </c>
      <c r="AI366" s="8">
        <f t="shared" si="35"/>
        <v>0</v>
      </c>
    </row>
    <row r="367" spans="1:35" ht="15" customHeight="1" x14ac:dyDescent="0.25">
      <c r="A367" s="10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3"/>
      <c r="P367" s="3"/>
      <c r="Q367" s="8"/>
      <c r="R367" s="8"/>
      <c r="S367" s="8"/>
      <c r="T367" s="8"/>
      <c r="U367" s="8"/>
      <c r="V367" s="8"/>
      <c r="W367" t="str">
        <f>IF($C367="","",SUMPRODUCT(($C$2:C367=C367)+($D$2:D367=C367)))</f>
        <v/>
      </c>
      <c r="X367" t="str">
        <f>IF($D367="","",SUMPRODUCT(($C$2:C367=D367)+($D$2:D367=D367)))</f>
        <v/>
      </c>
      <c r="Y367" t="str">
        <f t="shared" si="30"/>
        <v/>
      </c>
      <c r="Z367" t="str">
        <f t="shared" si="31"/>
        <v/>
      </c>
      <c r="AA367" s="4" t="str">
        <f>IF($C367="","",IF(COUNTIF($C$1:C366,$C367)+COUNTIF($D$1:D366,$C367)=0,1,0))</f>
        <v/>
      </c>
      <c r="AB367" s="4" t="str">
        <f>IF($D367="","",IF(COUNTIF($C$1:C367,$D367)+COUNTIF($D$1:D366,$D367)=0,1,0))</f>
        <v/>
      </c>
      <c r="AC367" s="4" t="str">
        <f>IF(AA367=1,SUM($AA$2:AA367)-AA367+SUM($AB$2:AB367)-AB367+1,"")</f>
        <v/>
      </c>
      <c r="AD367" s="4" t="str">
        <f>IF(AB367=1,SUM($AA$2:AA367)+SUM($AB$2:AB367)-AB367+1,"")</f>
        <v/>
      </c>
      <c r="AE367" s="4" t="str">
        <f t="shared" si="32"/>
        <v/>
      </c>
      <c r="AF367" s="4" t="str">
        <f t="shared" si="33"/>
        <v/>
      </c>
      <c r="AG367" s="8">
        <f t="shared" si="34"/>
        <v>0</v>
      </c>
      <c r="AI367" s="8">
        <f t="shared" si="35"/>
        <v>0</v>
      </c>
    </row>
    <row r="368" spans="1:35" ht="15" customHeight="1" x14ac:dyDescent="0.25">
      <c r="A368" s="10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3"/>
      <c r="P368" s="3"/>
      <c r="Q368" s="8"/>
      <c r="R368" s="8"/>
      <c r="S368" s="8"/>
      <c r="T368" s="8"/>
      <c r="U368" s="8"/>
      <c r="V368" s="8"/>
      <c r="W368" t="str">
        <f>IF($C368="","",SUMPRODUCT(($C$2:C368=C368)+($D$2:D368=C368)))</f>
        <v/>
      </c>
      <c r="X368" t="str">
        <f>IF($D368="","",SUMPRODUCT(($C$2:C368=D368)+($D$2:D368=D368)))</f>
        <v/>
      </c>
      <c r="Y368" t="str">
        <f t="shared" si="30"/>
        <v/>
      </c>
      <c r="Z368" t="str">
        <f t="shared" si="31"/>
        <v/>
      </c>
      <c r="AA368" s="4" t="str">
        <f>IF($C368="","",IF(COUNTIF($C$1:C367,$C368)+COUNTIF($D$1:D367,$C368)=0,1,0))</f>
        <v/>
      </c>
      <c r="AB368" s="4" t="str">
        <f>IF($D368="","",IF(COUNTIF($C$1:C368,$D368)+COUNTIF($D$1:D367,$D368)=0,1,0))</f>
        <v/>
      </c>
      <c r="AC368" s="4" t="str">
        <f>IF(AA368=1,SUM($AA$2:AA368)-AA368+SUM($AB$2:AB368)-AB368+1,"")</f>
        <v/>
      </c>
      <c r="AD368" s="4" t="str">
        <f>IF(AB368=1,SUM($AA$2:AA368)+SUM($AB$2:AB368)-AB368+1,"")</f>
        <v/>
      </c>
      <c r="AE368" s="4" t="str">
        <f t="shared" si="32"/>
        <v/>
      </c>
      <c r="AF368" s="4" t="str">
        <f t="shared" si="33"/>
        <v/>
      </c>
      <c r="AG368" s="8">
        <f t="shared" si="34"/>
        <v>0</v>
      </c>
      <c r="AI368" s="8">
        <f t="shared" si="35"/>
        <v>0</v>
      </c>
    </row>
    <row r="369" spans="1:35" ht="15" customHeight="1" x14ac:dyDescent="0.25">
      <c r="A369" s="10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3"/>
      <c r="P369" s="3"/>
      <c r="Q369" s="8"/>
      <c r="R369" s="8"/>
      <c r="S369" s="8"/>
      <c r="T369" s="8"/>
      <c r="U369" s="8"/>
      <c r="V369" s="8"/>
      <c r="W369" t="str">
        <f>IF($C369="","",SUMPRODUCT(($C$2:C369=C369)+($D$2:D369=C369)))</f>
        <v/>
      </c>
      <c r="X369" t="str">
        <f>IF($D369="","",SUMPRODUCT(($C$2:C369=D369)+($D$2:D369=D369)))</f>
        <v/>
      </c>
      <c r="Y369" t="str">
        <f t="shared" si="30"/>
        <v/>
      </c>
      <c r="Z369" t="str">
        <f t="shared" si="31"/>
        <v/>
      </c>
      <c r="AA369" s="4" t="str">
        <f>IF($C369="","",IF(COUNTIF($C$1:C368,$C369)+COUNTIF($D$1:D368,$C369)=0,1,0))</f>
        <v/>
      </c>
      <c r="AB369" s="4" t="str">
        <f>IF($D369="","",IF(COUNTIF($C$1:C369,$D369)+COUNTIF($D$1:D368,$D369)=0,1,0))</f>
        <v/>
      </c>
      <c r="AC369" s="4" t="str">
        <f>IF(AA369=1,SUM($AA$2:AA369)-AA369+SUM($AB$2:AB369)-AB369+1,"")</f>
        <v/>
      </c>
      <c r="AD369" s="4" t="str">
        <f>IF(AB369=1,SUM($AA$2:AA369)+SUM($AB$2:AB369)-AB369+1,"")</f>
        <v/>
      </c>
      <c r="AE369" s="4" t="str">
        <f t="shared" si="32"/>
        <v/>
      </c>
      <c r="AF369" s="4" t="str">
        <f t="shared" si="33"/>
        <v/>
      </c>
      <c r="AG369" s="8">
        <f t="shared" si="34"/>
        <v>0</v>
      </c>
      <c r="AI369" s="8">
        <f t="shared" si="35"/>
        <v>0</v>
      </c>
    </row>
    <row r="370" spans="1:35" ht="15" customHeight="1" x14ac:dyDescent="0.25">
      <c r="A370" s="10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3"/>
      <c r="P370" s="3"/>
      <c r="Q370" s="8"/>
      <c r="R370" s="8"/>
      <c r="S370" s="8"/>
      <c r="T370" s="8"/>
      <c r="U370" s="8"/>
      <c r="V370" s="8"/>
      <c r="W370" t="str">
        <f>IF($C370="","",SUMPRODUCT(($C$2:C370=C370)+($D$2:D370=C370)))</f>
        <v/>
      </c>
      <c r="X370" t="str">
        <f>IF($D370="","",SUMPRODUCT(($C$2:C370=D370)+($D$2:D370=D370)))</f>
        <v/>
      </c>
      <c r="Y370" t="str">
        <f t="shared" si="30"/>
        <v/>
      </c>
      <c r="Z370" t="str">
        <f t="shared" si="31"/>
        <v/>
      </c>
      <c r="AA370" s="4" t="str">
        <f>IF($C370="","",IF(COUNTIF($C$1:C369,$C370)+COUNTIF($D$1:D369,$C370)=0,1,0))</f>
        <v/>
      </c>
      <c r="AB370" s="4" t="str">
        <f>IF($D370="","",IF(COUNTIF($C$1:C370,$D370)+COUNTIF($D$1:D369,$D370)=0,1,0))</f>
        <v/>
      </c>
      <c r="AC370" s="4" t="str">
        <f>IF(AA370=1,SUM($AA$2:AA370)-AA370+SUM($AB$2:AB370)-AB370+1,"")</f>
        <v/>
      </c>
      <c r="AD370" s="4" t="str">
        <f>IF(AB370=1,SUM($AA$2:AA370)+SUM($AB$2:AB370)-AB370+1,"")</f>
        <v/>
      </c>
      <c r="AE370" s="4" t="str">
        <f t="shared" si="32"/>
        <v/>
      </c>
      <c r="AF370" s="4" t="str">
        <f t="shared" si="33"/>
        <v/>
      </c>
      <c r="AG370" s="8">
        <f t="shared" si="34"/>
        <v>0</v>
      </c>
      <c r="AI370" s="8">
        <f t="shared" si="35"/>
        <v>0</v>
      </c>
    </row>
    <row r="371" spans="1:35" ht="15" customHeight="1" x14ac:dyDescent="0.25">
      <c r="A371" s="10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3"/>
      <c r="P371" s="3"/>
      <c r="Q371" s="8"/>
      <c r="R371" s="8"/>
      <c r="S371" s="8"/>
      <c r="T371" s="8"/>
      <c r="U371" s="8"/>
      <c r="V371" s="8"/>
      <c r="W371" t="str">
        <f>IF($C371="","",SUMPRODUCT(($C$2:C371=C371)+($D$2:D371=C371)))</f>
        <v/>
      </c>
      <c r="X371" t="str">
        <f>IF($D371="","",SUMPRODUCT(($C$2:C371=D371)+($D$2:D371=D371)))</f>
        <v/>
      </c>
      <c r="Y371" t="str">
        <f t="shared" si="30"/>
        <v/>
      </c>
      <c r="Z371" t="str">
        <f t="shared" si="31"/>
        <v/>
      </c>
      <c r="AA371" s="4" t="str">
        <f>IF($C371="","",IF(COUNTIF($C$1:C370,$C371)+COUNTIF($D$1:D370,$C371)=0,1,0))</f>
        <v/>
      </c>
      <c r="AB371" s="4" t="str">
        <f>IF($D371="","",IF(COUNTIF($C$1:C371,$D371)+COUNTIF($D$1:D370,$D371)=0,1,0))</f>
        <v/>
      </c>
      <c r="AC371" s="4" t="str">
        <f>IF(AA371=1,SUM($AA$2:AA371)-AA371+SUM($AB$2:AB371)-AB371+1,"")</f>
        <v/>
      </c>
      <c r="AD371" s="4" t="str">
        <f>IF(AB371=1,SUM($AA$2:AA371)+SUM($AB$2:AB371)-AB371+1,"")</f>
        <v/>
      </c>
      <c r="AE371" s="4" t="str">
        <f t="shared" si="32"/>
        <v/>
      </c>
      <c r="AF371" s="4" t="str">
        <f t="shared" si="33"/>
        <v/>
      </c>
      <c r="AG371" s="8">
        <f t="shared" si="34"/>
        <v>0</v>
      </c>
      <c r="AI371" s="8">
        <f t="shared" si="35"/>
        <v>0</v>
      </c>
    </row>
    <row r="372" spans="1:35" ht="15" customHeight="1" x14ac:dyDescent="0.25">
      <c r="A372" s="10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3"/>
      <c r="P372" s="3"/>
      <c r="Q372" s="8"/>
      <c r="R372" s="8"/>
      <c r="S372" s="8"/>
      <c r="T372" s="8"/>
      <c r="U372" s="8"/>
      <c r="V372" s="8"/>
      <c r="W372" t="str">
        <f>IF($C372="","",SUMPRODUCT(($C$2:C372=C372)+($D$2:D372=C372)))</f>
        <v/>
      </c>
      <c r="X372" t="str">
        <f>IF($D372="","",SUMPRODUCT(($C$2:C372=D372)+($D$2:D372=D372)))</f>
        <v/>
      </c>
      <c r="Y372" t="str">
        <f t="shared" si="30"/>
        <v/>
      </c>
      <c r="Z372" t="str">
        <f t="shared" si="31"/>
        <v/>
      </c>
      <c r="AA372" s="4" t="str">
        <f>IF($C372="","",IF(COUNTIF($C$1:C371,$C372)+COUNTIF($D$1:D371,$C372)=0,1,0))</f>
        <v/>
      </c>
      <c r="AB372" s="4" t="str">
        <f>IF($D372="","",IF(COUNTIF($C$1:C372,$D372)+COUNTIF($D$1:D371,$D372)=0,1,0))</f>
        <v/>
      </c>
      <c r="AC372" s="4" t="str">
        <f>IF(AA372=1,SUM($AA$2:AA372)-AA372+SUM($AB$2:AB372)-AB372+1,"")</f>
        <v/>
      </c>
      <c r="AD372" s="4" t="str">
        <f>IF(AB372=1,SUM($AA$2:AA372)+SUM($AB$2:AB372)-AB372+1,"")</f>
        <v/>
      </c>
      <c r="AE372" s="4" t="str">
        <f t="shared" si="32"/>
        <v/>
      </c>
      <c r="AF372" s="4" t="str">
        <f t="shared" si="33"/>
        <v/>
      </c>
      <c r="AG372" s="8">
        <f t="shared" si="34"/>
        <v>0</v>
      </c>
      <c r="AI372" s="8">
        <f t="shared" si="35"/>
        <v>0</v>
      </c>
    </row>
    <row r="373" spans="1:35" ht="15" customHeight="1" x14ac:dyDescent="0.25">
      <c r="A373" s="10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3"/>
      <c r="P373" s="3"/>
      <c r="Q373" s="8"/>
      <c r="R373" s="8"/>
      <c r="S373" s="8"/>
      <c r="T373" s="8"/>
      <c r="U373" s="8"/>
      <c r="V373" s="8"/>
      <c r="W373" t="str">
        <f>IF($C373="","",SUMPRODUCT(($C$2:C373=C373)+($D$2:D373=C373)))</f>
        <v/>
      </c>
      <c r="X373" t="str">
        <f>IF($D373="","",SUMPRODUCT(($C$2:C373=D373)+($D$2:D373=D373)))</f>
        <v/>
      </c>
      <c r="Y373" t="str">
        <f t="shared" si="30"/>
        <v/>
      </c>
      <c r="Z373" t="str">
        <f t="shared" si="31"/>
        <v/>
      </c>
      <c r="AA373" s="4" t="str">
        <f>IF($C373="","",IF(COUNTIF($C$1:C372,$C373)+COUNTIF($D$1:D372,$C373)=0,1,0))</f>
        <v/>
      </c>
      <c r="AB373" s="4" t="str">
        <f>IF($D373="","",IF(COUNTIF($C$1:C373,$D373)+COUNTIF($D$1:D372,$D373)=0,1,0))</f>
        <v/>
      </c>
      <c r="AC373" s="4" t="str">
        <f>IF(AA373=1,SUM($AA$2:AA373)-AA373+SUM($AB$2:AB373)-AB373+1,"")</f>
        <v/>
      </c>
      <c r="AD373" s="4" t="str">
        <f>IF(AB373=1,SUM($AA$2:AA373)+SUM($AB$2:AB373)-AB373+1,"")</f>
        <v/>
      </c>
      <c r="AE373" s="4" t="str">
        <f t="shared" si="32"/>
        <v/>
      </c>
      <c r="AF373" s="4" t="str">
        <f t="shared" si="33"/>
        <v/>
      </c>
      <c r="AG373" s="8">
        <f t="shared" si="34"/>
        <v>0</v>
      </c>
      <c r="AI373" s="8">
        <f t="shared" si="35"/>
        <v>0</v>
      </c>
    </row>
    <row r="374" spans="1:35" ht="15" customHeight="1" x14ac:dyDescent="0.25">
      <c r="A374" s="10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3"/>
      <c r="P374" s="3"/>
      <c r="Q374" s="8"/>
      <c r="R374" s="8"/>
      <c r="S374" s="8"/>
      <c r="T374" s="8"/>
      <c r="U374" s="8"/>
      <c r="V374" s="8"/>
      <c r="W374" t="str">
        <f>IF($C374="","",SUMPRODUCT(($C$2:C374=C374)+($D$2:D374=C374)))</f>
        <v/>
      </c>
      <c r="X374" t="str">
        <f>IF($D374="","",SUMPRODUCT(($C$2:C374=D374)+($D$2:D374=D374)))</f>
        <v/>
      </c>
      <c r="Y374" t="str">
        <f t="shared" si="30"/>
        <v/>
      </c>
      <c r="Z374" t="str">
        <f t="shared" si="31"/>
        <v/>
      </c>
      <c r="AA374" s="4" t="str">
        <f>IF($C374="","",IF(COUNTIF($C$1:C373,$C374)+COUNTIF($D$1:D373,$C374)=0,1,0))</f>
        <v/>
      </c>
      <c r="AB374" s="4" t="str">
        <f>IF($D374="","",IF(COUNTIF($C$1:C374,$D374)+COUNTIF($D$1:D373,$D374)=0,1,0))</f>
        <v/>
      </c>
      <c r="AC374" s="4" t="str">
        <f>IF(AA374=1,SUM($AA$2:AA374)-AA374+SUM($AB$2:AB374)-AB374+1,"")</f>
        <v/>
      </c>
      <c r="AD374" s="4" t="str">
        <f>IF(AB374=1,SUM($AA$2:AA374)+SUM($AB$2:AB374)-AB374+1,"")</f>
        <v/>
      </c>
      <c r="AE374" s="4" t="str">
        <f t="shared" si="32"/>
        <v/>
      </c>
      <c r="AF374" s="4" t="str">
        <f t="shared" si="33"/>
        <v/>
      </c>
      <c r="AG374" s="8">
        <f t="shared" si="34"/>
        <v>0</v>
      </c>
      <c r="AI374" s="8">
        <f t="shared" si="35"/>
        <v>0</v>
      </c>
    </row>
    <row r="375" spans="1:35" ht="15" customHeight="1" x14ac:dyDescent="0.25">
      <c r="A375" s="10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3"/>
      <c r="P375" s="3"/>
      <c r="Q375" s="8"/>
      <c r="R375" s="8"/>
      <c r="S375" s="8"/>
      <c r="T375" s="8"/>
      <c r="U375" s="8"/>
      <c r="V375" s="8"/>
      <c r="W375" t="str">
        <f>IF($C375="","",SUMPRODUCT(($C$2:C375=C375)+($D$2:D375=C375)))</f>
        <v/>
      </c>
      <c r="X375" t="str">
        <f>IF($D375="","",SUMPRODUCT(($C$2:C375=D375)+($D$2:D375=D375)))</f>
        <v/>
      </c>
      <c r="Y375" t="str">
        <f t="shared" si="30"/>
        <v/>
      </c>
      <c r="Z375" t="str">
        <f t="shared" si="31"/>
        <v/>
      </c>
      <c r="AA375" s="4" t="str">
        <f>IF($C375="","",IF(COUNTIF($C$1:C374,$C375)+COUNTIF($D$1:D374,$C375)=0,1,0))</f>
        <v/>
      </c>
      <c r="AB375" s="4" t="str">
        <f>IF($D375="","",IF(COUNTIF($C$1:C375,$D375)+COUNTIF($D$1:D374,$D375)=0,1,0))</f>
        <v/>
      </c>
      <c r="AC375" s="4" t="str">
        <f>IF(AA375=1,SUM($AA$2:AA375)-AA375+SUM($AB$2:AB375)-AB375+1,"")</f>
        <v/>
      </c>
      <c r="AD375" s="4" t="str">
        <f>IF(AB375=1,SUM($AA$2:AA375)+SUM($AB$2:AB375)-AB375+1,"")</f>
        <v/>
      </c>
      <c r="AE375" s="4" t="str">
        <f t="shared" si="32"/>
        <v/>
      </c>
      <c r="AF375" s="4" t="str">
        <f t="shared" si="33"/>
        <v/>
      </c>
      <c r="AG375" s="8">
        <f t="shared" si="34"/>
        <v>0</v>
      </c>
      <c r="AI375" s="8">
        <f t="shared" si="35"/>
        <v>0</v>
      </c>
    </row>
    <row r="376" spans="1:35" ht="15" customHeight="1" x14ac:dyDescent="0.25">
      <c r="A376" s="10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3"/>
      <c r="P376" s="3"/>
      <c r="Q376" s="8"/>
      <c r="R376" s="8"/>
      <c r="S376" s="8"/>
      <c r="T376" s="8"/>
      <c r="U376" s="8"/>
      <c r="V376" s="8"/>
      <c r="W376" t="str">
        <f>IF($C376="","",SUMPRODUCT(($C$2:C376=C376)+($D$2:D376=C376)))</f>
        <v/>
      </c>
      <c r="X376" t="str">
        <f>IF($D376="","",SUMPRODUCT(($C$2:C376=D376)+($D$2:D376=D376)))</f>
        <v/>
      </c>
      <c r="Y376" t="str">
        <f t="shared" si="30"/>
        <v/>
      </c>
      <c r="Z376" t="str">
        <f t="shared" si="31"/>
        <v/>
      </c>
      <c r="AA376" s="4" t="str">
        <f>IF($C376="","",IF(COUNTIF($C$1:C375,$C376)+COUNTIF($D$1:D375,$C376)=0,1,0))</f>
        <v/>
      </c>
      <c r="AB376" s="4" t="str">
        <f>IF($D376="","",IF(COUNTIF($C$1:C376,$D376)+COUNTIF($D$1:D375,$D376)=0,1,0))</f>
        <v/>
      </c>
      <c r="AC376" s="4" t="str">
        <f>IF(AA376=1,SUM($AA$2:AA376)-AA376+SUM($AB$2:AB376)-AB376+1,"")</f>
        <v/>
      </c>
      <c r="AD376" s="4" t="str">
        <f>IF(AB376=1,SUM($AA$2:AA376)+SUM($AB$2:AB376)-AB376+1,"")</f>
        <v/>
      </c>
      <c r="AE376" s="4" t="str">
        <f t="shared" si="32"/>
        <v/>
      </c>
      <c r="AF376" s="4" t="str">
        <f t="shared" si="33"/>
        <v/>
      </c>
      <c r="AG376" s="8">
        <f t="shared" si="34"/>
        <v>0</v>
      </c>
      <c r="AI376" s="8">
        <f t="shared" si="35"/>
        <v>0</v>
      </c>
    </row>
    <row r="377" spans="1:35" ht="15" customHeight="1" x14ac:dyDescent="0.25">
      <c r="A377" s="10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3"/>
      <c r="P377" s="3"/>
      <c r="Q377" s="8"/>
      <c r="R377" s="8"/>
      <c r="S377" s="8"/>
      <c r="T377" s="8"/>
      <c r="U377" s="8"/>
      <c r="V377" s="8"/>
      <c r="W377" t="str">
        <f>IF($C377="","",SUMPRODUCT(($C$2:C377=C377)+($D$2:D377=C377)))</f>
        <v/>
      </c>
      <c r="X377" t="str">
        <f>IF($D377="","",SUMPRODUCT(($C$2:C377=D377)+($D$2:D377=D377)))</f>
        <v/>
      </c>
      <c r="Y377" t="str">
        <f t="shared" si="30"/>
        <v/>
      </c>
      <c r="Z377" t="str">
        <f t="shared" si="31"/>
        <v/>
      </c>
      <c r="AA377" s="4" t="str">
        <f>IF($C377="","",IF(COUNTIF($C$1:C376,$C377)+COUNTIF($D$1:D376,$C377)=0,1,0))</f>
        <v/>
      </c>
      <c r="AB377" s="4" t="str">
        <f>IF($D377="","",IF(COUNTIF($C$1:C377,$D377)+COUNTIF($D$1:D376,$D377)=0,1,0))</f>
        <v/>
      </c>
      <c r="AC377" s="4" t="str">
        <f>IF(AA377=1,SUM($AA$2:AA377)-AA377+SUM($AB$2:AB377)-AB377+1,"")</f>
        <v/>
      </c>
      <c r="AD377" s="4" t="str">
        <f>IF(AB377=1,SUM($AA$2:AA377)+SUM($AB$2:AB377)-AB377+1,"")</f>
        <v/>
      </c>
      <c r="AE377" s="4" t="str">
        <f t="shared" si="32"/>
        <v/>
      </c>
      <c r="AF377" s="4" t="str">
        <f t="shared" si="33"/>
        <v/>
      </c>
      <c r="AG377" s="8">
        <f t="shared" si="34"/>
        <v>0</v>
      </c>
      <c r="AI377" s="8">
        <f t="shared" si="35"/>
        <v>0</v>
      </c>
    </row>
    <row r="378" spans="1:35" ht="15" customHeight="1" x14ac:dyDescent="0.25">
      <c r="A378" s="10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3"/>
      <c r="P378" s="3"/>
      <c r="Q378" s="8"/>
      <c r="R378" s="8"/>
      <c r="S378" s="8"/>
      <c r="T378" s="8"/>
      <c r="U378" s="8"/>
      <c r="V378" s="8"/>
      <c r="W378" t="str">
        <f>IF($C378="","",SUMPRODUCT(($C$2:C378=C378)+($D$2:D378=C378)))</f>
        <v/>
      </c>
      <c r="X378" t="str">
        <f>IF($D378="","",SUMPRODUCT(($C$2:C378=D378)+($D$2:D378=D378)))</f>
        <v/>
      </c>
      <c r="Y378" t="str">
        <f t="shared" si="30"/>
        <v/>
      </c>
      <c r="Z378" t="str">
        <f t="shared" si="31"/>
        <v/>
      </c>
      <c r="AA378" s="4" t="str">
        <f>IF($C378="","",IF(COUNTIF($C$1:C377,$C378)+COUNTIF($D$1:D377,$C378)=0,1,0))</f>
        <v/>
      </c>
      <c r="AB378" s="4" t="str">
        <f>IF($D378="","",IF(COUNTIF($C$1:C378,$D378)+COUNTIF($D$1:D377,$D378)=0,1,0))</f>
        <v/>
      </c>
      <c r="AC378" s="4" t="str">
        <f>IF(AA378=1,SUM($AA$2:AA378)-AA378+SUM($AB$2:AB378)-AB378+1,"")</f>
        <v/>
      </c>
      <c r="AD378" s="4" t="str">
        <f>IF(AB378=1,SUM($AA$2:AA378)+SUM($AB$2:AB378)-AB378+1,"")</f>
        <v/>
      </c>
      <c r="AE378" s="4" t="str">
        <f t="shared" si="32"/>
        <v/>
      </c>
      <c r="AF378" s="4" t="str">
        <f t="shared" si="33"/>
        <v/>
      </c>
      <c r="AG378" s="8">
        <f t="shared" si="34"/>
        <v>0</v>
      </c>
      <c r="AI378" s="8">
        <f t="shared" si="35"/>
        <v>0</v>
      </c>
    </row>
    <row r="379" spans="1:35" ht="15" customHeight="1" x14ac:dyDescent="0.25">
      <c r="A379" s="10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3"/>
      <c r="P379" s="3"/>
      <c r="Q379" s="8"/>
      <c r="R379" s="8"/>
      <c r="S379" s="8"/>
      <c r="T379" s="8"/>
      <c r="U379" s="8"/>
      <c r="V379" s="8"/>
      <c r="W379" t="str">
        <f>IF($C379="","",SUMPRODUCT(($C$2:C379=C379)+($D$2:D379=C379)))</f>
        <v/>
      </c>
      <c r="X379" t="str">
        <f>IF($D379="","",SUMPRODUCT(($C$2:C379=D379)+($D$2:D379=D379)))</f>
        <v/>
      </c>
      <c r="Y379" t="str">
        <f t="shared" si="30"/>
        <v/>
      </c>
      <c r="Z379" t="str">
        <f t="shared" si="31"/>
        <v/>
      </c>
      <c r="AA379" s="4" t="str">
        <f>IF($C379="","",IF(COUNTIF($C$1:C378,$C379)+COUNTIF($D$1:D378,$C379)=0,1,0))</f>
        <v/>
      </c>
      <c r="AB379" s="4" t="str">
        <f>IF($D379="","",IF(COUNTIF($C$1:C379,$D379)+COUNTIF($D$1:D378,$D379)=0,1,0))</f>
        <v/>
      </c>
      <c r="AC379" s="4" t="str">
        <f>IF(AA379=1,SUM($AA$2:AA379)-AA379+SUM($AB$2:AB379)-AB379+1,"")</f>
        <v/>
      </c>
      <c r="AD379" s="4" t="str">
        <f>IF(AB379=1,SUM($AA$2:AA379)+SUM($AB$2:AB379)-AB379+1,"")</f>
        <v/>
      </c>
      <c r="AE379" s="4" t="str">
        <f t="shared" si="32"/>
        <v/>
      </c>
      <c r="AF379" s="4" t="str">
        <f t="shared" si="33"/>
        <v/>
      </c>
      <c r="AG379" s="8">
        <f t="shared" si="34"/>
        <v>0</v>
      </c>
      <c r="AI379" s="8">
        <f t="shared" si="35"/>
        <v>0</v>
      </c>
    </row>
    <row r="380" spans="1:35" ht="15" customHeight="1" x14ac:dyDescent="0.25">
      <c r="A380" s="10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3"/>
      <c r="P380" s="3"/>
      <c r="Q380" s="8"/>
      <c r="R380" s="8"/>
      <c r="S380" s="8"/>
      <c r="T380" s="8"/>
      <c r="U380" s="8"/>
      <c r="V380" s="8"/>
      <c r="W380" t="str">
        <f>IF($C380="","",SUMPRODUCT(($C$2:C380=C380)+($D$2:D380=C380)))</f>
        <v/>
      </c>
      <c r="X380" t="str">
        <f>IF($D380="","",SUMPRODUCT(($C$2:C380=D380)+($D$2:D380=D380)))</f>
        <v/>
      </c>
      <c r="Y380" t="str">
        <f t="shared" si="30"/>
        <v/>
      </c>
      <c r="Z380" t="str">
        <f t="shared" si="31"/>
        <v/>
      </c>
      <c r="AA380" s="4" t="str">
        <f>IF($C380="","",IF(COUNTIF($C$1:C379,$C380)+COUNTIF($D$1:D379,$C380)=0,1,0))</f>
        <v/>
      </c>
      <c r="AB380" s="4" t="str">
        <f>IF($D380="","",IF(COUNTIF($C$1:C380,$D380)+COUNTIF($D$1:D379,$D380)=0,1,0))</f>
        <v/>
      </c>
      <c r="AC380" s="4" t="str">
        <f>IF(AA380=1,SUM($AA$2:AA380)-AA380+SUM($AB$2:AB380)-AB380+1,"")</f>
        <v/>
      </c>
      <c r="AD380" s="4" t="str">
        <f>IF(AB380=1,SUM($AA$2:AA380)+SUM($AB$2:AB380)-AB380+1,"")</f>
        <v/>
      </c>
      <c r="AE380" s="4" t="str">
        <f t="shared" si="32"/>
        <v/>
      </c>
      <c r="AF380" s="4" t="str">
        <f t="shared" si="33"/>
        <v/>
      </c>
      <c r="AG380" s="8">
        <f t="shared" si="34"/>
        <v>0</v>
      </c>
      <c r="AI380" s="8">
        <f t="shared" si="35"/>
        <v>0</v>
      </c>
    </row>
    <row r="381" spans="1:35" ht="15" customHeight="1" x14ac:dyDescent="0.25">
      <c r="A381" s="10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3"/>
      <c r="P381" s="3"/>
      <c r="Q381" s="8"/>
      <c r="R381" s="8"/>
      <c r="S381" s="8"/>
      <c r="T381" s="8"/>
      <c r="U381" s="8"/>
      <c r="V381" s="8"/>
      <c r="W381" t="str">
        <f>IF($C381="","",SUMPRODUCT(($C$2:C381=C381)+($D$2:D381=C381)))</f>
        <v/>
      </c>
      <c r="X381" t="str">
        <f>IF($D381="","",SUMPRODUCT(($C$2:C381=D381)+($D$2:D381=D381)))</f>
        <v/>
      </c>
      <c r="Y381" t="str">
        <f t="shared" si="30"/>
        <v/>
      </c>
      <c r="Z381" t="str">
        <f t="shared" si="31"/>
        <v/>
      </c>
      <c r="AA381" s="4" t="str">
        <f>IF($C381="","",IF(COUNTIF($C$1:C380,$C381)+COUNTIF($D$1:D380,$C381)=0,1,0))</f>
        <v/>
      </c>
      <c r="AB381" s="4" t="str">
        <f>IF($D381="","",IF(COUNTIF($C$1:C381,$D381)+COUNTIF($D$1:D380,$D381)=0,1,0))</f>
        <v/>
      </c>
      <c r="AC381" s="4" t="str">
        <f>IF(AA381=1,SUM($AA$2:AA381)-AA381+SUM($AB$2:AB381)-AB381+1,"")</f>
        <v/>
      </c>
      <c r="AD381" s="4" t="str">
        <f>IF(AB381=1,SUM($AA$2:AA381)+SUM($AB$2:AB381)-AB381+1,"")</f>
        <v/>
      </c>
      <c r="AE381" s="4" t="str">
        <f t="shared" si="32"/>
        <v/>
      </c>
      <c r="AF381" s="4" t="str">
        <f t="shared" si="33"/>
        <v/>
      </c>
      <c r="AG381" s="8">
        <f t="shared" si="34"/>
        <v>0</v>
      </c>
      <c r="AI381" s="8">
        <f t="shared" si="35"/>
        <v>0</v>
      </c>
    </row>
    <row r="382" spans="1:35" ht="15" customHeight="1" x14ac:dyDescent="0.25">
      <c r="A382" s="10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3"/>
      <c r="P382" s="3"/>
      <c r="Q382" s="8"/>
      <c r="R382" s="8"/>
      <c r="S382" s="8"/>
      <c r="T382" s="8"/>
      <c r="U382" s="8"/>
      <c r="V382" s="8"/>
      <c r="W382" t="str">
        <f>IF($C382="","",SUMPRODUCT(($C$2:C382=C382)+($D$2:D382=C382)))</f>
        <v/>
      </c>
      <c r="X382" t="str">
        <f>IF($D382="","",SUMPRODUCT(($C$2:C382=D382)+($D$2:D382=D382)))</f>
        <v/>
      </c>
      <c r="Y382" t="str">
        <f t="shared" si="30"/>
        <v/>
      </c>
      <c r="Z382" t="str">
        <f t="shared" si="31"/>
        <v/>
      </c>
      <c r="AA382" s="4" t="str">
        <f>IF($C382="","",IF(COUNTIF($C$1:C381,$C382)+COUNTIF($D$1:D381,$C382)=0,1,0))</f>
        <v/>
      </c>
      <c r="AB382" s="4" t="str">
        <f>IF($D382="","",IF(COUNTIF($C$1:C382,$D382)+COUNTIF($D$1:D381,$D382)=0,1,0))</f>
        <v/>
      </c>
      <c r="AC382" s="4" t="str">
        <f>IF(AA382=1,SUM($AA$2:AA382)-AA382+SUM($AB$2:AB382)-AB382+1,"")</f>
        <v/>
      </c>
      <c r="AD382" s="4" t="str">
        <f>IF(AB382=1,SUM($AA$2:AA382)+SUM($AB$2:AB382)-AB382+1,"")</f>
        <v/>
      </c>
      <c r="AE382" s="4" t="str">
        <f t="shared" si="32"/>
        <v/>
      </c>
      <c r="AF382" s="4" t="str">
        <f t="shared" si="33"/>
        <v/>
      </c>
      <c r="AG382" s="8">
        <f t="shared" si="34"/>
        <v>0</v>
      </c>
      <c r="AI382" s="8">
        <f t="shared" si="35"/>
        <v>0</v>
      </c>
    </row>
    <row r="383" spans="1:35" ht="15" customHeight="1" x14ac:dyDescent="0.25">
      <c r="A383" s="10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3"/>
      <c r="P383" s="3"/>
      <c r="Q383" s="8"/>
      <c r="R383" s="8"/>
      <c r="S383" s="8"/>
      <c r="T383" s="8"/>
      <c r="U383" s="8"/>
      <c r="V383" s="8"/>
      <c r="W383" t="str">
        <f>IF($C383="","",SUMPRODUCT(($C$2:C383=C383)+($D$2:D383=C383)))</f>
        <v/>
      </c>
      <c r="X383" t="str">
        <f>IF($D383="","",SUMPRODUCT(($C$2:C383=D383)+($D$2:D383=D383)))</f>
        <v/>
      </c>
      <c r="Y383" t="str">
        <f t="shared" si="30"/>
        <v/>
      </c>
      <c r="Z383" t="str">
        <f t="shared" si="31"/>
        <v/>
      </c>
      <c r="AA383" s="4" t="str">
        <f>IF($C383="","",IF(COUNTIF($C$1:C382,$C383)+COUNTIF($D$1:D382,$C383)=0,1,0))</f>
        <v/>
      </c>
      <c r="AB383" s="4" t="str">
        <f>IF($D383="","",IF(COUNTIF($C$1:C383,$D383)+COUNTIF($D$1:D382,$D383)=0,1,0))</f>
        <v/>
      </c>
      <c r="AC383" s="4" t="str">
        <f>IF(AA383=1,SUM($AA$2:AA383)-AA383+SUM($AB$2:AB383)-AB383+1,"")</f>
        <v/>
      </c>
      <c r="AD383" s="4" t="str">
        <f>IF(AB383=1,SUM($AA$2:AA383)+SUM($AB$2:AB383)-AB383+1,"")</f>
        <v/>
      </c>
      <c r="AE383" s="4" t="str">
        <f t="shared" si="32"/>
        <v/>
      </c>
      <c r="AF383" s="4" t="str">
        <f t="shared" si="33"/>
        <v/>
      </c>
      <c r="AG383" s="8">
        <f t="shared" si="34"/>
        <v>0</v>
      </c>
      <c r="AI383" s="8">
        <f t="shared" si="35"/>
        <v>0</v>
      </c>
    </row>
    <row r="384" spans="1:35" ht="15" customHeight="1" x14ac:dyDescent="0.25">
      <c r="A384" s="10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3"/>
      <c r="P384" s="3"/>
      <c r="Q384" s="8"/>
      <c r="R384" s="8"/>
      <c r="S384" s="8"/>
      <c r="T384" s="8"/>
      <c r="U384" s="8"/>
      <c r="V384" s="8"/>
      <c r="W384" t="str">
        <f>IF($C384="","",SUMPRODUCT(($C$2:C384=C384)+($D$2:D384=C384)))</f>
        <v/>
      </c>
      <c r="X384" t="str">
        <f>IF($D384="","",SUMPRODUCT(($C$2:C384=D384)+($D$2:D384=D384)))</f>
        <v/>
      </c>
      <c r="Y384" t="str">
        <f t="shared" si="30"/>
        <v/>
      </c>
      <c r="Z384" t="str">
        <f t="shared" si="31"/>
        <v/>
      </c>
      <c r="AA384" s="4" t="str">
        <f>IF($C384="","",IF(COUNTIF($C$1:C383,$C384)+COUNTIF($D$1:D383,$C384)=0,1,0))</f>
        <v/>
      </c>
      <c r="AB384" s="4" t="str">
        <f>IF($D384="","",IF(COUNTIF($C$1:C384,$D384)+COUNTIF($D$1:D383,$D384)=0,1,0))</f>
        <v/>
      </c>
      <c r="AC384" s="4" t="str">
        <f>IF(AA384=1,SUM($AA$2:AA384)-AA384+SUM($AB$2:AB384)-AB384+1,"")</f>
        <v/>
      </c>
      <c r="AD384" s="4" t="str">
        <f>IF(AB384=1,SUM($AA$2:AA384)+SUM($AB$2:AB384)-AB384+1,"")</f>
        <v/>
      </c>
      <c r="AE384" s="4" t="str">
        <f t="shared" si="32"/>
        <v/>
      </c>
      <c r="AF384" s="4" t="str">
        <f t="shared" si="33"/>
        <v/>
      </c>
      <c r="AG384" s="8">
        <f t="shared" si="34"/>
        <v>0</v>
      </c>
      <c r="AI384" s="8">
        <f t="shared" si="35"/>
        <v>0</v>
      </c>
    </row>
    <row r="385" spans="1:35" ht="15" customHeight="1" x14ac:dyDescent="0.25">
      <c r="A385" s="10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3"/>
      <c r="P385" s="3"/>
      <c r="Q385" s="8"/>
      <c r="R385" s="8"/>
      <c r="S385" s="8"/>
      <c r="T385" s="8"/>
      <c r="U385" s="8"/>
      <c r="V385" s="8"/>
      <c r="W385" t="str">
        <f>IF($C385="","",SUMPRODUCT(($C$2:C385=C385)+($D$2:D385=C385)))</f>
        <v/>
      </c>
      <c r="X385" t="str">
        <f>IF($D385="","",SUMPRODUCT(($C$2:C385=D385)+($D$2:D385=D385)))</f>
        <v/>
      </c>
      <c r="Y385" t="str">
        <f t="shared" si="30"/>
        <v/>
      </c>
      <c r="Z385" t="str">
        <f t="shared" si="31"/>
        <v/>
      </c>
      <c r="AA385" s="4" t="str">
        <f>IF($C385="","",IF(COUNTIF($C$1:C384,$C385)+COUNTIF($D$1:D384,$C385)=0,1,0))</f>
        <v/>
      </c>
      <c r="AB385" s="4" t="str">
        <f>IF($D385="","",IF(COUNTIF($C$1:C385,$D385)+COUNTIF($D$1:D384,$D385)=0,1,0))</f>
        <v/>
      </c>
      <c r="AC385" s="4" t="str">
        <f>IF(AA385=1,SUM($AA$2:AA385)-AA385+SUM($AB$2:AB385)-AB385+1,"")</f>
        <v/>
      </c>
      <c r="AD385" s="4" t="str">
        <f>IF(AB385=1,SUM($AA$2:AA385)+SUM($AB$2:AB385)-AB385+1,"")</f>
        <v/>
      </c>
      <c r="AE385" s="4" t="str">
        <f t="shared" si="32"/>
        <v/>
      </c>
      <c r="AF385" s="4" t="str">
        <f t="shared" si="33"/>
        <v/>
      </c>
      <c r="AG385" s="8">
        <f t="shared" si="34"/>
        <v>0</v>
      </c>
      <c r="AI385" s="8">
        <f t="shared" si="35"/>
        <v>0</v>
      </c>
    </row>
    <row r="386" spans="1:35" ht="15" customHeight="1" x14ac:dyDescent="0.25">
      <c r="A386" s="10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3"/>
      <c r="P386" s="3"/>
      <c r="Q386" s="8"/>
      <c r="R386" s="8"/>
      <c r="S386" s="8"/>
      <c r="T386" s="8"/>
      <c r="U386" s="8"/>
      <c r="V386" s="8"/>
      <c r="W386" t="str">
        <f>IF($C386="","",SUMPRODUCT(($C$2:C386=C386)+($D$2:D386=C386)))</f>
        <v/>
      </c>
      <c r="X386" t="str">
        <f>IF($D386="","",SUMPRODUCT(($C$2:C386=D386)+($D$2:D386=D386)))</f>
        <v/>
      </c>
      <c r="Y386" t="str">
        <f t="shared" ref="Y386:Y449" si="36">IF($C386="","",C386&amp;"|"&amp;W386)</f>
        <v/>
      </c>
      <c r="Z386" t="str">
        <f t="shared" ref="Z386:Z449" si="37">IF($D386="","",D386&amp;"|"&amp;X386)</f>
        <v/>
      </c>
      <c r="AA386" s="4" t="str">
        <f>IF($C386="","",IF(COUNTIF($C$1:C385,$C386)+COUNTIF($D$1:D385,$C386)=0,1,0))</f>
        <v/>
      </c>
      <c r="AB386" s="4" t="str">
        <f>IF($D386="","",IF(COUNTIF($C$1:C386,$D386)+COUNTIF($D$1:D385,$D386)=0,1,0))</f>
        <v/>
      </c>
      <c r="AC386" s="4" t="str">
        <f>IF(AA386=1,SUM($AA$2:AA386)-AA386+SUM($AB$2:AB386)-AB386+1,"")</f>
        <v/>
      </c>
      <c r="AD386" s="4" t="str">
        <f>IF(AB386=1,SUM($AA$2:AA386)+SUM($AB$2:AB386)-AB386+1,"")</f>
        <v/>
      </c>
      <c r="AE386" s="4" t="str">
        <f t="shared" ref="AE386:AE449" si="38">IF(AC386="","","TEAM|"&amp;AC386)</f>
        <v/>
      </c>
      <c r="AF386" s="4" t="str">
        <f t="shared" ref="AF386:AF449" si="39">IF(AD386="","","TEAM|"&amp;AD386)</f>
        <v/>
      </c>
      <c r="AG386" s="8">
        <f t="shared" ref="AG386:AG449" si="40">IF(AH386="",0,LEN(AH386)-LEN(SUBSTITUTE(AH386,"/",""))+1)</f>
        <v>0</v>
      </c>
      <c r="AI386" s="8">
        <f t="shared" ref="AI386:AI449" si="41">IF(AJ386="",0,LEN(AJ386)-LEN(SUBSTITUTE(AJ386,"/",""))+1)</f>
        <v>0</v>
      </c>
    </row>
    <row r="387" spans="1:35" ht="15" customHeight="1" x14ac:dyDescent="0.25">
      <c r="A387" s="10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3"/>
      <c r="P387" s="3"/>
      <c r="Q387" s="8"/>
      <c r="R387" s="8"/>
      <c r="S387" s="8"/>
      <c r="T387" s="8"/>
      <c r="U387" s="8"/>
      <c r="V387" s="8"/>
      <c r="W387" t="str">
        <f>IF($C387="","",SUMPRODUCT(($C$2:C387=C387)+($D$2:D387=C387)))</f>
        <v/>
      </c>
      <c r="X387" t="str">
        <f>IF($D387="","",SUMPRODUCT(($C$2:C387=D387)+($D$2:D387=D387)))</f>
        <v/>
      </c>
      <c r="Y387" t="str">
        <f t="shared" si="36"/>
        <v/>
      </c>
      <c r="Z387" t="str">
        <f t="shared" si="37"/>
        <v/>
      </c>
      <c r="AA387" s="4" t="str">
        <f>IF($C387="","",IF(COUNTIF($C$1:C386,$C387)+COUNTIF($D$1:D386,$C387)=0,1,0))</f>
        <v/>
      </c>
      <c r="AB387" s="4" t="str">
        <f>IF($D387="","",IF(COUNTIF($C$1:C387,$D387)+COUNTIF($D$1:D386,$D387)=0,1,0))</f>
        <v/>
      </c>
      <c r="AC387" s="4" t="str">
        <f>IF(AA387=1,SUM($AA$2:AA387)-AA387+SUM($AB$2:AB387)-AB387+1,"")</f>
        <v/>
      </c>
      <c r="AD387" s="4" t="str">
        <f>IF(AB387=1,SUM($AA$2:AA387)+SUM($AB$2:AB387)-AB387+1,"")</f>
        <v/>
      </c>
      <c r="AE387" s="4" t="str">
        <f t="shared" si="38"/>
        <v/>
      </c>
      <c r="AF387" s="4" t="str">
        <f t="shared" si="39"/>
        <v/>
      </c>
      <c r="AG387" s="8">
        <f t="shared" si="40"/>
        <v>0</v>
      </c>
      <c r="AI387" s="8">
        <f t="shared" si="41"/>
        <v>0</v>
      </c>
    </row>
    <row r="388" spans="1:35" ht="15" customHeight="1" x14ac:dyDescent="0.25">
      <c r="A388" s="10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3"/>
      <c r="P388" s="3"/>
      <c r="Q388" s="8"/>
      <c r="R388" s="8"/>
      <c r="S388" s="8"/>
      <c r="T388" s="8"/>
      <c r="U388" s="8"/>
      <c r="V388" s="8"/>
      <c r="W388" t="str">
        <f>IF($C388="","",SUMPRODUCT(($C$2:C388=C388)+($D$2:D388=C388)))</f>
        <v/>
      </c>
      <c r="X388" t="str">
        <f>IF($D388="","",SUMPRODUCT(($C$2:C388=D388)+($D$2:D388=D388)))</f>
        <v/>
      </c>
      <c r="Y388" t="str">
        <f t="shared" si="36"/>
        <v/>
      </c>
      <c r="Z388" t="str">
        <f t="shared" si="37"/>
        <v/>
      </c>
      <c r="AA388" s="4" t="str">
        <f>IF($C388="","",IF(COUNTIF($C$1:C387,$C388)+COUNTIF($D$1:D387,$C388)=0,1,0))</f>
        <v/>
      </c>
      <c r="AB388" s="4" t="str">
        <f>IF($D388="","",IF(COUNTIF($C$1:C388,$D388)+COUNTIF($D$1:D387,$D388)=0,1,0))</f>
        <v/>
      </c>
      <c r="AC388" s="4" t="str">
        <f>IF(AA388=1,SUM($AA$2:AA388)-AA388+SUM($AB$2:AB388)-AB388+1,"")</f>
        <v/>
      </c>
      <c r="AD388" s="4" t="str">
        <f>IF(AB388=1,SUM($AA$2:AA388)+SUM($AB$2:AB388)-AB388+1,"")</f>
        <v/>
      </c>
      <c r="AE388" s="4" t="str">
        <f t="shared" si="38"/>
        <v/>
      </c>
      <c r="AF388" s="4" t="str">
        <f t="shared" si="39"/>
        <v/>
      </c>
      <c r="AG388" s="8">
        <f t="shared" si="40"/>
        <v>0</v>
      </c>
      <c r="AI388" s="8">
        <f t="shared" si="41"/>
        <v>0</v>
      </c>
    </row>
    <row r="389" spans="1:35" ht="15" customHeight="1" x14ac:dyDescent="0.25">
      <c r="A389" s="10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3"/>
      <c r="P389" s="3"/>
      <c r="Q389" s="8"/>
      <c r="R389" s="8"/>
      <c r="S389" s="8"/>
      <c r="T389" s="8"/>
      <c r="U389" s="8"/>
      <c r="V389" s="8"/>
      <c r="W389" t="str">
        <f>IF($C389="","",SUMPRODUCT(($C$2:C389=C389)+($D$2:D389=C389)))</f>
        <v/>
      </c>
      <c r="X389" t="str">
        <f>IF($D389="","",SUMPRODUCT(($C$2:C389=D389)+($D$2:D389=D389)))</f>
        <v/>
      </c>
      <c r="Y389" t="str">
        <f t="shared" si="36"/>
        <v/>
      </c>
      <c r="Z389" t="str">
        <f t="shared" si="37"/>
        <v/>
      </c>
      <c r="AA389" s="4" t="str">
        <f>IF($C389="","",IF(COUNTIF($C$1:C388,$C389)+COUNTIF($D$1:D388,$C389)=0,1,0))</f>
        <v/>
      </c>
      <c r="AB389" s="4" t="str">
        <f>IF($D389="","",IF(COUNTIF($C$1:C389,$D389)+COUNTIF($D$1:D388,$D389)=0,1,0))</f>
        <v/>
      </c>
      <c r="AC389" s="4" t="str">
        <f>IF(AA389=1,SUM($AA$2:AA389)-AA389+SUM($AB$2:AB389)-AB389+1,"")</f>
        <v/>
      </c>
      <c r="AD389" s="4" t="str">
        <f>IF(AB389=1,SUM($AA$2:AA389)+SUM($AB$2:AB389)-AB389+1,"")</f>
        <v/>
      </c>
      <c r="AE389" s="4" t="str">
        <f t="shared" si="38"/>
        <v/>
      </c>
      <c r="AF389" s="4" t="str">
        <f t="shared" si="39"/>
        <v/>
      </c>
      <c r="AG389" s="8">
        <f t="shared" si="40"/>
        <v>0</v>
      </c>
      <c r="AI389" s="8">
        <f t="shared" si="41"/>
        <v>0</v>
      </c>
    </row>
    <row r="390" spans="1:35" ht="15" customHeight="1" x14ac:dyDescent="0.25">
      <c r="A390" s="10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3"/>
      <c r="P390" s="3"/>
      <c r="Q390" s="8"/>
      <c r="R390" s="8"/>
      <c r="S390" s="8"/>
      <c r="T390" s="8"/>
      <c r="U390" s="8"/>
      <c r="V390" s="8"/>
      <c r="W390" t="str">
        <f>IF($C390="","",SUMPRODUCT(($C$2:C390=C390)+($D$2:D390=C390)))</f>
        <v/>
      </c>
      <c r="X390" t="str">
        <f>IF($D390="","",SUMPRODUCT(($C$2:C390=D390)+($D$2:D390=D390)))</f>
        <v/>
      </c>
      <c r="Y390" t="str">
        <f t="shared" si="36"/>
        <v/>
      </c>
      <c r="Z390" t="str">
        <f t="shared" si="37"/>
        <v/>
      </c>
      <c r="AA390" s="4" t="str">
        <f>IF($C390="","",IF(COUNTIF($C$1:C389,$C390)+COUNTIF($D$1:D389,$C390)=0,1,0))</f>
        <v/>
      </c>
      <c r="AB390" s="4" t="str">
        <f>IF($D390="","",IF(COUNTIF($C$1:C390,$D390)+COUNTIF($D$1:D389,$D390)=0,1,0))</f>
        <v/>
      </c>
      <c r="AC390" s="4" t="str">
        <f>IF(AA390=1,SUM($AA$2:AA390)-AA390+SUM($AB$2:AB390)-AB390+1,"")</f>
        <v/>
      </c>
      <c r="AD390" s="4" t="str">
        <f>IF(AB390=1,SUM($AA$2:AA390)+SUM($AB$2:AB390)-AB390+1,"")</f>
        <v/>
      </c>
      <c r="AE390" s="4" t="str">
        <f t="shared" si="38"/>
        <v/>
      </c>
      <c r="AF390" s="4" t="str">
        <f t="shared" si="39"/>
        <v/>
      </c>
      <c r="AG390" s="8">
        <f t="shared" si="40"/>
        <v>0</v>
      </c>
      <c r="AI390" s="8">
        <f t="shared" si="41"/>
        <v>0</v>
      </c>
    </row>
    <row r="391" spans="1:35" ht="15" customHeight="1" x14ac:dyDescent="0.25">
      <c r="A391" s="10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3"/>
      <c r="P391" s="3"/>
      <c r="Q391" s="8"/>
      <c r="R391" s="8"/>
      <c r="S391" s="8"/>
      <c r="T391" s="8"/>
      <c r="U391" s="8"/>
      <c r="V391" s="8"/>
      <c r="W391" t="str">
        <f>IF($C391="","",SUMPRODUCT(($C$2:C391=C391)+($D$2:D391=C391)))</f>
        <v/>
      </c>
      <c r="X391" t="str">
        <f>IF($D391="","",SUMPRODUCT(($C$2:C391=D391)+($D$2:D391=D391)))</f>
        <v/>
      </c>
      <c r="Y391" t="str">
        <f t="shared" si="36"/>
        <v/>
      </c>
      <c r="Z391" t="str">
        <f t="shared" si="37"/>
        <v/>
      </c>
      <c r="AA391" s="4" t="str">
        <f>IF($C391="","",IF(COUNTIF($C$1:C390,$C391)+COUNTIF($D$1:D390,$C391)=0,1,0))</f>
        <v/>
      </c>
      <c r="AB391" s="4" t="str">
        <f>IF($D391="","",IF(COUNTIF($C$1:C391,$D391)+COUNTIF($D$1:D390,$D391)=0,1,0))</f>
        <v/>
      </c>
      <c r="AC391" s="4" t="str">
        <f>IF(AA391=1,SUM($AA$2:AA391)-AA391+SUM($AB$2:AB391)-AB391+1,"")</f>
        <v/>
      </c>
      <c r="AD391" s="4" t="str">
        <f>IF(AB391=1,SUM($AA$2:AA391)+SUM($AB$2:AB391)-AB391+1,"")</f>
        <v/>
      </c>
      <c r="AE391" s="4" t="str">
        <f t="shared" si="38"/>
        <v/>
      </c>
      <c r="AF391" s="4" t="str">
        <f t="shared" si="39"/>
        <v/>
      </c>
      <c r="AG391" s="8">
        <f t="shared" si="40"/>
        <v>0</v>
      </c>
      <c r="AI391" s="8">
        <f t="shared" si="41"/>
        <v>0</v>
      </c>
    </row>
    <row r="392" spans="1:35" ht="15" customHeight="1" x14ac:dyDescent="0.25">
      <c r="A392" s="10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3"/>
      <c r="P392" s="3"/>
      <c r="Q392" s="8"/>
      <c r="R392" s="8"/>
      <c r="S392" s="8"/>
      <c r="T392" s="8"/>
      <c r="U392" s="8"/>
      <c r="V392" s="8"/>
      <c r="W392" t="str">
        <f>IF($C392="","",SUMPRODUCT(($C$2:C392=C392)+($D$2:D392=C392)))</f>
        <v/>
      </c>
      <c r="X392" t="str">
        <f>IF($D392="","",SUMPRODUCT(($C$2:C392=D392)+($D$2:D392=D392)))</f>
        <v/>
      </c>
      <c r="Y392" t="str">
        <f t="shared" si="36"/>
        <v/>
      </c>
      <c r="Z392" t="str">
        <f t="shared" si="37"/>
        <v/>
      </c>
      <c r="AA392" s="4" t="str">
        <f>IF($C392="","",IF(COUNTIF($C$1:C391,$C392)+COUNTIF($D$1:D391,$C392)=0,1,0))</f>
        <v/>
      </c>
      <c r="AB392" s="4" t="str">
        <f>IF($D392="","",IF(COUNTIF($C$1:C392,$D392)+COUNTIF($D$1:D391,$D392)=0,1,0))</f>
        <v/>
      </c>
      <c r="AC392" s="4" t="str">
        <f>IF(AA392=1,SUM($AA$2:AA392)-AA392+SUM($AB$2:AB392)-AB392+1,"")</f>
        <v/>
      </c>
      <c r="AD392" s="4" t="str">
        <f>IF(AB392=1,SUM($AA$2:AA392)+SUM($AB$2:AB392)-AB392+1,"")</f>
        <v/>
      </c>
      <c r="AE392" s="4" t="str">
        <f t="shared" si="38"/>
        <v/>
      </c>
      <c r="AF392" s="4" t="str">
        <f t="shared" si="39"/>
        <v/>
      </c>
      <c r="AG392" s="8">
        <f t="shared" si="40"/>
        <v>0</v>
      </c>
      <c r="AI392" s="8">
        <f t="shared" si="41"/>
        <v>0</v>
      </c>
    </row>
    <row r="393" spans="1:35" ht="15" customHeight="1" x14ac:dyDescent="0.25">
      <c r="A393" s="10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3"/>
      <c r="P393" s="3"/>
      <c r="Q393" s="8"/>
      <c r="R393" s="8"/>
      <c r="S393" s="8"/>
      <c r="T393" s="8"/>
      <c r="U393" s="8"/>
      <c r="V393" s="8"/>
      <c r="W393" t="str">
        <f>IF($C393="","",SUMPRODUCT(($C$2:C393=C393)+($D$2:D393=C393)))</f>
        <v/>
      </c>
      <c r="X393" t="str">
        <f>IF($D393="","",SUMPRODUCT(($C$2:C393=D393)+($D$2:D393=D393)))</f>
        <v/>
      </c>
      <c r="Y393" t="str">
        <f t="shared" si="36"/>
        <v/>
      </c>
      <c r="Z393" t="str">
        <f t="shared" si="37"/>
        <v/>
      </c>
      <c r="AA393" s="4" t="str">
        <f>IF($C393="","",IF(COUNTIF($C$1:C392,$C393)+COUNTIF($D$1:D392,$C393)=0,1,0))</f>
        <v/>
      </c>
      <c r="AB393" s="4" t="str">
        <f>IF($D393="","",IF(COUNTIF($C$1:C393,$D393)+COUNTIF($D$1:D392,$D393)=0,1,0))</f>
        <v/>
      </c>
      <c r="AC393" s="4" t="str">
        <f>IF(AA393=1,SUM($AA$2:AA393)-AA393+SUM($AB$2:AB393)-AB393+1,"")</f>
        <v/>
      </c>
      <c r="AD393" s="4" t="str">
        <f>IF(AB393=1,SUM($AA$2:AA393)+SUM($AB$2:AB393)-AB393+1,"")</f>
        <v/>
      </c>
      <c r="AE393" s="4" t="str">
        <f t="shared" si="38"/>
        <v/>
      </c>
      <c r="AF393" s="4" t="str">
        <f t="shared" si="39"/>
        <v/>
      </c>
      <c r="AG393" s="8">
        <f t="shared" si="40"/>
        <v>0</v>
      </c>
      <c r="AI393" s="8">
        <f t="shared" si="41"/>
        <v>0</v>
      </c>
    </row>
    <row r="394" spans="1:35" ht="15" customHeight="1" x14ac:dyDescent="0.25">
      <c r="A394" s="10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3"/>
      <c r="P394" s="3"/>
      <c r="Q394" s="8"/>
      <c r="R394" s="8"/>
      <c r="S394" s="8"/>
      <c r="T394" s="8"/>
      <c r="U394" s="8"/>
      <c r="V394" s="8"/>
      <c r="W394" t="str">
        <f>IF($C394="","",SUMPRODUCT(($C$2:C394=C394)+($D$2:D394=C394)))</f>
        <v/>
      </c>
      <c r="X394" t="str">
        <f>IF($D394="","",SUMPRODUCT(($C$2:C394=D394)+($D$2:D394=D394)))</f>
        <v/>
      </c>
      <c r="Y394" t="str">
        <f t="shared" si="36"/>
        <v/>
      </c>
      <c r="Z394" t="str">
        <f t="shared" si="37"/>
        <v/>
      </c>
      <c r="AA394" s="4" t="str">
        <f>IF($C394="","",IF(COUNTIF($C$1:C393,$C394)+COUNTIF($D$1:D393,$C394)=0,1,0))</f>
        <v/>
      </c>
      <c r="AB394" s="4" t="str">
        <f>IF($D394="","",IF(COUNTIF($C$1:C394,$D394)+COUNTIF($D$1:D393,$D394)=0,1,0))</f>
        <v/>
      </c>
      <c r="AC394" s="4" t="str">
        <f>IF(AA394=1,SUM($AA$2:AA394)-AA394+SUM($AB$2:AB394)-AB394+1,"")</f>
        <v/>
      </c>
      <c r="AD394" s="4" t="str">
        <f>IF(AB394=1,SUM($AA$2:AA394)+SUM($AB$2:AB394)-AB394+1,"")</f>
        <v/>
      </c>
      <c r="AE394" s="4" t="str">
        <f t="shared" si="38"/>
        <v/>
      </c>
      <c r="AF394" s="4" t="str">
        <f t="shared" si="39"/>
        <v/>
      </c>
      <c r="AG394" s="8">
        <f t="shared" si="40"/>
        <v>0</v>
      </c>
      <c r="AI394" s="8">
        <f t="shared" si="41"/>
        <v>0</v>
      </c>
    </row>
    <row r="395" spans="1:35" ht="15" customHeight="1" x14ac:dyDescent="0.25">
      <c r="A395" s="10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3"/>
      <c r="P395" s="3"/>
      <c r="Q395" s="8"/>
      <c r="R395" s="8"/>
      <c r="S395" s="8"/>
      <c r="T395" s="8"/>
      <c r="U395" s="8"/>
      <c r="V395" s="8"/>
      <c r="W395" t="str">
        <f>IF($C395="","",SUMPRODUCT(($C$2:C395=C395)+($D$2:D395=C395)))</f>
        <v/>
      </c>
      <c r="X395" t="str">
        <f>IF($D395="","",SUMPRODUCT(($C$2:C395=D395)+($D$2:D395=D395)))</f>
        <v/>
      </c>
      <c r="Y395" t="str">
        <f t="shared" si="36"/>
        <v/>
      </c>
      <c r="Z395" t="str">
        <f t="shared" si="37"/>
        <v/>
      </c>
      <c r="AA395" s="4" t="str">
        <f>IF($C395="","",IF(COUNTIF($C$1:C394,$C395)+COUNTIF($D$1:D394,$C395)=0,1,0))</f>
        <v/>
      </c>
      <c r="AB395" s="4" t="str">
        <f>IF($D395="","",IF(COUNTIF($C$1:C395,$D395)+COUNTIF($D$1:D394,$D395)=0,1,0))</f>
        <v/>
      </c>
      <c r="AC395" s="4" t="str">
        <f>IF(AA395=1,SUM($AA$2:AA395)-AA395+SUM($AB$2:AB395)-AB395+1,"")</f>
        <v/>
      </c>
      <c r="AD395" s="4" t="str">
        <f>IF(AB395=1,SUM($AA$2:AA395)+SUM($AB$2:AB395)-AB395+1,"")</f>
        <v/>
      </c>
      <c r="AE395" s="4" t="str">
        <f t="shared" si="38"/>
        <v/>
      </c>
      <c r="AF395" s="4" t="str">
        <f t="shared" si="39"/>
        <v/>
      </c>
      <c r="AG395" s="8">
        <f t="shared" si="40"/>
        <v>0</v>
      </c>
      <c r="AI395" s="8">
        <f t="shared" si="41"/>
        <v>0</v>
      </c>
    </row>
    <row r="396" spans="1:35" ht="15" customHeight="1" x14ac:dyDescent="0.25">
      <c r="A396" s="10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3"/>
      <c r="P396" s="3"/>
      <c r="Q396" s="8"/>
      <c r="R396" s="8"/>
      <c r="S396" s="8"/>
      <c r="T396" s="8"/>
      <c r="U396" s="8"/>
      <c r="V396" s="8"/>
      <c r="W396" t="str">
        <f>IF($C396="","",SUMPRODUCT(($C$2:C396=C396)+($D$2:D396=C396)))</f>
        <v/>
      </c>
      <c r="X396" t="str">
        <f>IF($D396="","",SUMPRODUCT(($C$2:C396=D396)+($D$2:D396=D396)))</f>
        <v/>
      </c>
      <c r="Y396" t="str">
        <f t="shared" si="36"/>
        <v/>
      </c>
      <c r="Z396" t="str">
        <f t="shared" si="37"/>
        <v/>
      </c>
      <c r="AA396" s="4" t="str">
        <f>IF($C396="","",IF(COUNTIF($C$1:C395,$C396)+COUNTIF($D$1:D395,$C396)=0,1,0))</f>
        <v/>
      </c>
      <c r="AB396" s="4" t="str">
        <f>IF($D396="","",IF(COUNTIF($C$1:C396,$D396)+COUNTIF($D$1:D395,$D396)=0,1,0))</f>
        <v/>
      </c>
      <c r="AC396" s="4" t="str">
        <f>IF(AA396=1,SUM($AA$2:AA396)-AA396+SUM($AB$2:AB396)-AB396+1,"")</f>
        <v/>
      </c>
      <c r="AD396" s="4" t="str">
        <f>IF(AB396=1,SUM($AA$2:AA396)+SUM($AB$2:AB396)-AB396+1,"")</f>
        <v/>
      </c>
      <c r="AE396" s="4" t="str">
        <f t="shared" si="38"/>
        <v/>
      </c>
      <c r="AF396" s="4" t="str">
        <f t="shared" si="39"/>
        <v/>
      </c>
      <c r="AG396" s="8">
        <f t="shared" si="40"/>
        <v>0</v>
      </c>
      <c r="AI396" s="8">
        <f t="shared" si="41"/>
        <v>0</v>
      </c>
    </row>
    <row r="397" spans="1:35" ht="15" customHeight="1" x14ac:dyDescent="0.25">
      <c r="A397" s="10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3"/>
      <c r="P397" s="3"/>
      <c r="Q397" s="8"/>
      <c r="R397" s="8"/>
      <c r="S397" s="8"/>
      <c r="T397" s="8"/>
      <c r="U397" s="8"/>
      <c r="V397" s="8"/>
      <c r="W397" t="str">
        <f>IF($C397="","",SUMPRODUCT(($C$2:C397=C397)+($D$2:D397=C397)))</f>
        <v/>
      </c>
      <c r="X397" t="str">
        <f>IF($D397="","",SUMPRODUCT(($C$2:C397=D397)+($D$2:D397=D397)))</f>
        <v/>
      </c>
      <c r="Y397" t="str">
        <f t="shared" si="36"/>
        <v/>
      </c>
      <c r="Z397" t="str">
        <f t="shared" si="37"/>
        <v/>
      </c>
      <c r="AA397" s="4" t="str">
        <f>IF($C397="","",IF(COUNTIF($C$1:C396,$C397)+COUNTIF($D$1:D396,$C397)=0,1,0))</f>
        <v/>
      </c>
      <c r="AB397" s="4" t="str">
        <f>IF($D397="","",IF(COUNTIF($C$1:C397,$D397)+COUNTIF($D$1:D396,$D397)=0,1,0))</f>
        <v/>
      </c>
      <c r="AC397" s="4" t="str">
        <f>IF(AA397=1,SUM($AA$2:AA397)-AA397+SUM($AB$2:AB397)-AB397+1,"")</f>
        <v/>
      </c>
      <c r="AD397" s="4" t="str">
        <f>IF(AB397=1,SUM($AA$2:AA397)+SUM($AB$2:AB397)-AB397+1,"")</f>
        <v/>
      </c>
      <c r="AE397" s="4" t="str">
        <f t="shared" si="38"/>
        <v/>
      </c>
      <c r="AF397" s="4" t="str">
        <f t="shared" si="39"/>
        <v/>
      </c>
      <c r="AG397" s="8">
        <f t="shared" si="40"/>
        <v>0</v>
      </c>
      <c r="AI397" s="8">
        <f t="shared" si="41"/>
        <v>0</v>
      </c>
    </row>
    <row r="398" spans="1:35" ht="15" customHeight="1" x14ac:dyDescent="0.25">
      <c r="A398" s="10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3"/>
      <c r="P398" s="3"/>
      <c r="Q398" s="8"/>
      <c r="R398" s="8"/>
      <c r="S398" s="8"/>
      <c r="T398" s="8"/>
      <c r="U398" s="8"/>
      <c r="V398" s="8"/>
      <c r="W398" t="str">
        <f>IF($C398="","",SUMPRODUCT(($C$2:C398=C398)+($D$2:D398=C398)))</f>
        <v/>
      </c>
      <c r="X398" t="str">
        <f>IF($D398="","",SUMPRODUCT(($C$2:C398=D398)+($D$2:D398=D398)))</f>
        <v/>
      </c>
      <c r="Y398" t="str">
        <f t="shared" si="36"/>
        <v/>
      </c>
      <c r="Z398" t="str">
        <f t="shared" si="37"/>
        <v/>
      </c>
      <c r="AA398" s="4" t="str">
        <f>IF($C398="","",IF(COUNTIF($C$1:C397,$C398)+COUNTIF($D$1:D397,$C398)=0,1,0))</f>
        <v/>
      </c>
      <c r="AB398" s="4" t="str">
        <f>IF($D398="","",IF(COUNTIF($C$1:C398,$D398)+COUNTIF($D$1:D397,$D398)=0,1,0))</f>
        <v/>
      </c>
      <c r="AC398" s="4" t="str">
        <f>IF(AA398=1,SUM($AA$2:AA398)-AA398+SUM($AB$2:AB398)-AB398+1,"")</f>
        <v/>
      </c>
      <c r="AD398" s="4" t="str">
        <f>IF(AB398=1,SUM($AA$2:AA398)+SUM($AB$2:AB398)-AB398+1,"")</f>
        <v/>
      </c>
      <c r="AE398" s="4" t="str">
        <f t="shared" si="38"/>
        <v/>
      </c>
      <c r="AF398" s="4" t="str">
        <f t="shared" si="39"/>
        <v/>
      </c>
      <c r="AG398" s="8">
        <f t="shared" si="40"/>
        <v>0</v>
      </c>
      <c r="AI398" s="8">
        <f t="shared" si="41"/>
        <v>0</v>
      </c>
    </row>
    <row r="399" spans="1:35" ht="15" customHeight="1" x14ac:dyDescent="0.25">
      <c r="A399" s="10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3"/>
      <c r="P399" s="3"/>
      <c r="Q399" s="8"/>
      <c r="R399" s="8"/>
      <c r="S399" s="8"/>
      <c r="T399" s="8"/>
      <c r="U399" s="8"/>
      <c r="V399" s="8"/>
      <c r="W399" t="str">
        <f>IF($C399="","",SUMPRODUCT(($C$2:C399=C399)+($D$2:D399=C399)))</f>
        <v/>
      </c>
      <c r="X399" t="str">
        <f>IF($D399="","",SUMPRODUCT(($C$2:C399=D399)+($D$2:D399=D399)))</f>
        <v/>
      </c>
      <c r="Y399" t="str">
        <f t="shared" si="36"/>
        <v/>
      </c>
      <c r="Z399" t="str">
        <f t="shared" si="37"/>
        <v/>
      </c>
      <c r="AA399" s="4" t="str">
        <f>IF($C399="","",IF(COUNTIF($C$1:C398,$C399)+COUNTIF($D$1:D398,$C399)=0,1,0))</f>
        <v/>
      </c>
      <c r="AB399" s="4" t="str">
        <f>IF($D399="","",IF(COUNTIF($C$1:C399,$D399)+COUNTIF($D$1:D398,$D399)=0,1,0))</f>
        <v/>
      </c>
      <c r="AC399" s="4" t="str">
        <f>IF(AA399=1,SUM($AA$2:AA399)-AA399+SUM($AB$2:AB399)-AB399+1,"")</f>
        <v/>
      </c>
      <c r="AD399" s="4" t="str">
        <f>IF(AB399=1,SUM($AA$2:AA399)+SUM($AB$2:AB399)-AB399+1,"")</f>
        <v/>
      </c>
      <c r="AE399" s="4" t="str">
        <f t="shared" si="38"/>
        <v/>
      </c>
      <c r="AF399" s="4" t="str">
        <f t="shared" si="39"/>
        <v/>
      </c>
      <c r="AG399" s="8">
        <f t="shared" si="40"/>
        <v>0</v>
      </c>
      <c r="AI399" s="8">
        <f t="shared" si="41"/>
        <v>0</v>
      </c>
    </row>
    <row r="400" spans="1:35" ht="15" customHeight="1" x14ac:dyDescent="0.25">
      <c r="A400" s="10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3"/>
      <c r="P400" s="3"/>
      <c r="Q400" s="8"/>
      <c r="R400" s="8"/>
      <c r="S400" s="8"/>
      <c r="T400" s="8"/>
      <c r="U400" s="8"/>
      <c r="V400" s="8"/>
      <c r="W400" t="str">
        <f>IF($C400="","",SUMPRODUCT(($C$2:C400=C400)+($D$2:D400=C400)))</f>
        <v/>
      </c>
      <c r="X400" t="str">
        <f>IF($D400="","",SUMPRODUCT(($C$2:C400=D400)+($D$2:D400=D400)))</f>
        <v/>
      </c>
      <c r="Y400" t="str">
        <f t="shared" si="36"/>
        <v/>
      </c>
      <c r="Z400" t="str">
        <f t="shared" si="37"/>
        <v/>
      </c>
      <c r="AA400" s="4" t="str">
        <f>IF($C400="","",IF(COUNTIF($C$1:C399,$C400)+COUNTIF($D$1:D399,$C400)=0,1,0))</f>
        <v/>
      </c>
      <c r="AB400" s="4" t="str">
        <f>IF($D400="","",IF(COUNTIF($C$1:C400,$D400)+COUNTIF($D$1:D399,$D400)=0,1,0))</f>
        <v/>
      </c>
      <c r="AC400" s="4" t="str">
        <f>IF(AA400=1,SUM($AA$2:AA400)-AA400+SUM($AB$2:AB400)-AB400+1,"")</f>
        <v/>
      </c>
      <c r="AD400" s="4" t="str">
        <f>IF(AB400=1,SUM($AA$2:AA400)+SUM($AB$2:AB400)-AB400+1,"")</f>
        <v/>
      </c>
      <c r="AE400" s="4" t="str">
        <f t="shared" si="38"/>
        <v/>
      </c>
      <c r="AF400" s="4" t="str">
        <f t="shared" si="39"/>
        <v/>
      </c>
      <c r="AG400" s="8">
        <f t="shared" si="40"/>
        <v>0</v>
      </c>
      <c r="AI400" s="8">
        <f t="shared" si="41"/>
        <v>0</v>
      </c>
    </row>
    <row r="401" spans="1:35" ht="15" customHeight="1" x14ac:dyDescent="0.25">
      <c r="A401" s="10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3"/>
      <c r="P401" s="3"/>
      <c r="Q401" s="8"/>
      <c r="R401" s="8"/>
      <c r="S401" s="8"/>
      <c r="T401" s="8"/>
      <c r="U401" s="8"/>
      <c r="V401" s="8"/>
      <c r="W401" t="str">
        <f>IF($C401="","",SUMPRODUCT(($C$2:C401=C401)+($D$2:D401=C401)))</f>
        <v/>
      </c>
      <c r="X401" t="str">
        <f>IF($D401="","",SUMPRODUCT(($C$2:C401=D401)+($D$2:D401=D401)))</f>
        <v/>
      </c>
      <c r="Y401" t="str">
        <f t="shared" si="36"/>
        <v/>
      </c>
      <c r="Z401" t="str">
        <f t="shared" si="37"/>
        <v/>
      </c>
      <c r="AA401" s="4" t="str">
        <f>IF($C401="","",IF(COUNTIF($C$1:C400,$C401)+COUNTIF($D$1:D400,$C401)=0,1,0))</f>
        <v/>
      </c>
      <c r="AB401" s="4" t="str">
        <f>IF($D401="","",IF(COUNTIF($C$1:C401,$D401)+COUNTIF($D$1:D400,$D401)=0,1,0))</f>
        <v/>
      </c>
      <c r="AC401" s="4" t="str">
        <f>IF(AA401=1,SUM($AA$2:AA401)-AA401+SUM($AB$2:AB401)-AB401+1,"")</f>
        <v/>
      </c>
      <c r="AD401" s="4" t="str">
        <f>IF(AB401=1,SUM($AA$2:AA401)+SUM($AB$2:AB401)-AB401+1,"")</f>
        <v/>
      </c>
      <c r="AE401" s="4" t="str">
        <f t="shared" si="38"/>
        <v/>
      </c>
      <c r="AF401" s="4" t="str">
        <f t="shared" si="39"/>
        <v/>
      </c>
      <c r="AG401" s="8">
        <f t="shared" si="40"/>
        <v>0</v>
      </c>
      <c r="AI401" s="8">
        <f t="shared" si="41"/>
        <v>0</v>
      </c>
    </row>
    <row r="402" spans="1:35" ht="15" customHeight="1" x14ac:dyDescent="0.25">
      <c r="A402" s="10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3"/>
      <c r="P402" s="3"/>
      <c r="Q402" s="8"/>
      <c r="R402" s="8"/>
      <c r="S402" s="8"/>
      <c r="T402" s="8"/>
      <c r="U402" s="8"/>
      <c r="V402" s="8"/>
      <c r="W402" s="4" t="str">
        <f>IF($C402="","",SUMPRODUCT(($C$2:C402=C402)+($D$2:D402=C402)))</f>
        <v/>
      </c>
      <c r="X402" s="4" t="str">
        <f>IF($D402="","",SUMPRODUCT(($C$2:C402=D402)+($D$2:D402=D402)))</f>
        <v/>
      </c>
      <c r="Y402" s="4" t="str">
        <f t="shared" si="36"/>
        <v/>
      </c>
      <c r="Z402" s="4" t="str">
        <f t="shared" si="37"/>
        <v/>
      </c>
      <c r="AA402" s="4" t="str">
        <f>IF($C402="","",IF(COUNTIF($C$1:C401,$C402)+COUNTIF($D$1:D401,$C402)=0,1,0))</f>
        <v/>
      </c>
      <c r="AB402" s="4" t="str">
        <f>IF($D402="","",IF(COUNTIF($C$1:C402,$D402)+COUNTIF($D$1:D401,$D402)=0,1,0))</f>
        <v/>
      </c>
      <c r="AC402" s="4" t="str">
        <f>IF(AA402=1,SUM($AA$2:AA402)-AA402+SUM($AB$2:AB402)-AB402+1,"")</f>
        <v/>
      </c>
      <c r="AD402" s="4" t="str">
        <f>IF(AB402=1,SUM($AA$2:AA402)+SUM($AB$2:AB402)-AB402+1,"")</f>
        <v/>
      </c>
      <c r="AE402" s="4" t="str">
        <f t="shared" si="38"/>
        <v/>
      </c>
      <c r="AF402" s="4" t="str">
        <f t="shared" si="39"/>
        <v/>
      </c>
      <c r="AG402" s="8">
        <f t="shared" si="40"/>
        <v>0</v>
      </c>
      <c r="AI402" s="8">
        <f t="shared" si="41"/>
        <v>0</v>
      </c>
    </row>
    <row r="403" spans="1:35" ht="15" customHeight="1" x14ac:dyDescent="0.25">
      <c r="A403" s="10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3"/>
      <c r="P403" s="3"/>
      <c r="Q403" s="8"/>
      <c r="R403" s="8"/>
      <c r="S403" s="8"/>
      <c r="T403" s="8"/>
      <c r="U403" s="8"/>
      <c r="V403" s="8"/>
      <c r="W403" s="4" t="str">
        <f>IF($C403="","",SUMPRODUCT(($C$2:C403=C403)+($D$2:D403=C403)))</f>
        <v/>
      </c>
      <c r="X403" s="4" t="str">
        <f>IF($D403="","",SUMPRODUCT(($C$2:C403=D403)+($D$2:D403=D403)))</f>
        <v/>
      </c>
      <c r="Y403" s="4" t="str">
        <f t="shared" si="36"/>
        <v/>
      </c>
      <c r="Z403" s="4" t="str">
        <f t="shared" si="37"/>
        <v/>
      </c>
      <c r="AA403" s="4" t="str">
        <f>IF($C403="","",IF(COUNTIF($C$1:C402,$C403)+COUNTIF($D$1:D402,$C403)=0,1,0))</f>
        <v/>
      </c>
      <c r="AB403" s="4" t="str">
        <f>IF($D403="","",IF(COUNTIF($C$1:C403,$D403)+COUNTIF($D$1:D402,$D403)=0,1,0))</f>
        <v/>
      </c>
      <c r="AC403" s="4" t="str">
        <f>IF(AA403=1,SUM($AA$2:AA403)-AA403+SUM($AB$2:AB403)-AB403+1,"")</f>
        <v/>
      </c>
      <c r="AD403" s="4" t="str">
        <f>IF(AB403=1,SUM($AA$2:AA403)+SUM($AB$2:AB403)-AB403+1,"")</f>
        <v/>
      </c>
      <c r="AE403" s="4" t="str">
        <f t="shared" si="38"/>
        <v/>
      </c>
      <c r="AF403" s="4" t="str">
        <f t="shared" si="39"/>
        <v/>
      </c>
      <c r="AG403" s="8">
        <f t="shared" si="40"/>
        <v>0</v>
      </c>
      <c r="AI403" s="8">
        <f t="shared" si="41"/>
        <v>0</v>
      </c>
    </row>
    <row r="404" spans="1:35" ht="15" customHeight="1" x14ac:dyDescent="0.25">
      <c r="A404" s="10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3"/>
      <c r="P404" s="3"/>
      <c r="Q404" s="8"/>
      <c r="R404" s="8"/>
      <c r="S404" s="8"/>
      <c r="T404" s="8"/>
      <c r="U404" s="8"/>
      <c r="V404" s="8"/>
      <c r="W404" s="4" t="str">
        <f>IF($C404="","",SUMPRODUCT(($C$2:C404=C404)+($D$2:D404=C404)))</f>
        <v/>
      </c>
      <c r="X404" s="4" t="str">
        <f>IF($D404="","",SUMPRODUCT(($C$2:C404=D404)+($D$2:D404=D404)))</f>
        <v/>
      </c>
      <c r="Y404" s="4" t="str">
        <f t="shared" si="36"/>
        <v/>
      </c>
      <c r="Z404" s="4" t="str">
        <f t="shared" si="37"/>
        <v/>
      </c>
      <c r="AA404" s="4" t="str">
        <f>IF($C404="","",IF(COUNTIF($C$1:C403,$C404)+COUNTIF($D$1:D403,$C404)=0,1,0))</f>
        <v/>
      </c>
      <c r="AB404" s="4" t="str">
        <f>IF($D404="","",IF(COUNTIF($C$1:C404,$D404)+COUNTIF($D$1:D403,$D404)=0,1,0))</f>
        <v/>
      </c>
      <c r="AC404" s="4" t="str">
        <f>IF(AA404=1,SUM($AA$2:AA404)-AA404+SUM($AB$2:AB404)-AB404+1,"")</f>
        <v/>
      </c>
      <c r="AD404" s="4" t="str">
        <f>IF(AB404=1,SUM($AA$2:AA404)+SUM($AB$2:AB404)-AB404+1,"")</f>
        <v/>
      </c>
      <c r="AE404" s="4" t="str">
        <f t="shared" si="38"/>
        <v/>
      </c>
      <c r="AF404" s="4" t="str">
        <f t="shared" si="39"/>
        <v/>
      </c>
      <c r="AG404" s="8">
        <f t="shared" si="40"/>
        <v>0</v>
      </c>
      <c r="AI404" s="8">
        <f t="shared" si="41"/>
        <v>0</v>
      </c>
    </row>
    <row r="405" spans="1:35" ht="15" customHeight="1" x14ac:dyDescent="0.25">
      <c r="A405" s="10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3"/>
      <c r="P405" s="3"/>
      <c r="Q405" s="8"/>
      <c r="R405" s="8"/>
      <c r="S405" s="8"/>
      <c r="T405" s="8"/>
      <c r="U405" s="8"/>
      <c r="V405" s="8"/>
      <c r="W405" s="4" t="str">
        <f>IF($C405="","",SUMPRODUCT(($C$2:C405=C405)+($D$2:D405=C405)))</f>
        <v/>
      </c>
      <c r="X405" s="4" t="str">
        <f>IF($D405="","",SUMPRODUCT(($C$2:C405=D405)+($D$2:D405=D405)))</f>
        <v/>
      </c>
      <c r="Y405" s="4" t="str">
        <f t="shared" si="36"/>
        <v/>
      </c>
      <c r="Z405" s="4" t="str">
        <f t="shared" si="37"/>
        <v/>
      </c>
      <c r="AA405" s="4" t="str">
        <f>IF($C405="","",IF(COUNTIF($C$1:C404,$C405)+COUNTIF($D$1:D404,$C405)=0,1,0))</f>
        <v/>
      </c>
      <c r="AB405" s="4" t="str">
        <f>IF($D405="","",IF(COUNTIF($C$1:C405,$D405)+COUNTIF($D$1:D404,$D405)=0,1,0))</f>
        <v/>
      </c>
      <c r="AC405" s="4" t="str">
        <f>IF(AA405=1,SUM($AA$2:AA405)-AA405+SUM($AB$2:AB405)-AB405+1,"")</f>
        <v/>
      </c>
      <c r="AD405" s="4" t="str">
        <f>IF(AB405=1,SUM($AA$2:AA405)+SUM($AB$2:AB405)-AB405+1,"")</f>
        <v/>
      </c>
      <c r="AE405" s="4" t="str">
        <f t="shared" si="38"/>
        <v/>
      </c>
      <c r="AF405" s="4" t="str">
        <f t="shared" si="39"/>
        <v/>
      </c>
      <c r="AG405" s="8">
        <f t="shared" si="40"/>
        <v>0</v>
      </c>
      <c r="AI405" s="8">
        <f t="shared" si="41"/>
        <v>0</v>
      </c>
    </row>
    <row r="406" spans="1:35" ht="15" customHeight="1" x14ac:dyDescent="0.25">
      <c r="A406" s="10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3"/>
      <c r="P406" s="3"/>
      <c r="Q406" s="8"/>
      <c r="R406" s="8"/>
      <c r="S406" s="8"/>
      <c r="T406" s="8"/>
      <c r="U406" s="8"/>
      <c r="V406" s="8"/>
      <c r="W406" s="4" t="str">
        <f>IF($C406="","",SUMPRODUCT(($C$2:C406=C406)+($D$2:D406=C406)))</f>
        <v/>
      </c>
      <c r="X406" s="4" t="str">
        <f>IF($D406="","",SUMPRODUCT(($C$2:C406=D406)+($D$2:D406=D406)))</f>
        <v/>
      </c>
      <c r="Y406" s="4" t="str">
        <f t="shared" si="36"/>
        <v/>
      </c>
      <c r="Z406" s="4" t="str">
        <f t="shared" si="37"/>
        <v/>
      </c>
      <c r="AA406" s="4" t="str">
        <f>IF($C406="","",IF(COUNTIF($C$1:C405,$C406)+COUNTIF($D$1:D405,$C406)=0,1,0))</f>
        <v/>
      </c>
      <c r="AB406" s="4" t="str">
        <f>IF($D406="","",IF(COUNTIF($C$1:C406,$D406)+COUNTIF($D$1:D405,$D406)=0,1,0))</f>
        <v/>
      </c>
      <c r="AC406" s="4" t="str">
        <f>IF(AA406=1,SUM($AA$2:AA406)-AA406+SUM($AB$2:AB406)-AB406+1,"")</f>
        <v/>
      </c>
      <c r="AD406" s="4" t="str">
        <f>IF(AB406=1,SUM($AA$2:AA406)+SUM($AB$2:AB406)-AB406+1,"")</f>
        <v/>
      </c>
      <c r="AE406" s="4" t="str">
        <f t="shared" si="38"/>
        <v/>
      </c>
      <c r="AF406" s="4" t="str">
        <f t="shared" si="39"/>
        <v/>
      </c>
      <c r="AG406" s="8">
        <f t="shared" si="40"/>
        <v>0</v>
      </c>
      <c r="AI406" s="8">
        <f t="shared" si="41"/>
        <v>0</v>
      </c>
    </row>
    <row r="407" spans="1:35" ht="15" customHeight="1" x14ac:dyDescent="0.25">
      <c r="A407" s="10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3"/>
      <c r="P407" s="3"/>
      <c r="Q407" s="8"/>
      <c r="R407" s="8"/>
      <c r="S407" s="8"/>
      <c r="T407" s="8"/>
      <c r="U407" s="8"/>
      <c r="V407" s="8"/>
      <c r="W407" s="4" t="str">
        <f>IF($C407="","",SUMPRODUCT(($C$2:C407=C407)+($D$2:D407=C407)))</f>
        <v/>
      </c>
      <c r="X407" s="4" t="str">
        <f>IF($D407="","",SUMPRODUCT(($C$2:C407=D407)+($D$2:D407=D407)))</f>
        <v/>
      </c>
      <c r="Y407" s="4" t="str">
        <f t="shared" si="36"/>
        <v/>
      </c>
      <c r="Z407" s="4" t="str">
        <f t="shared" si="37"/>
        <v/>
      </c>
      <c r="AA407" s="4" t="str">
        <f>IF($C407="","",IF(COUNTIF($C$1:C406,$C407)+COUNTIF($D$1:D406,$C407)=0,1,0))</f>
        <v/>
      </c>
      <c r="AB407" s="4" t="str">
        <f>IF($D407="","",IF(COUNTIF($C$1:C407,$D407)+COUNTIF($D$1:D406,$D407)=0,1,0))</f>
        <v/>
      </c>
      <c r="AC407" s="4" t="str">
        <f>IF(AA407=1,SUM($AA$2:AA407)-AA407+SUM($AB$2:AB407)-AB407+1,"")</f>
        <v/>
      </c>
      <c r="AD407" s="4" t="str">
        <f>IF(AB407=1,SUM($AA$2:AA407)+SUM($AB$2:AB407)-AB407+1,"")</f>
        <v/>
      </c>
      <c r="AE407" s="4" t="str">
        <f t="shared" si="38"/>
        <v/>
      </c>
      <c r="AF407" s="4" t="str">
        <f t="shared" si="39"/>
        <v/>
      </c>
      <c r="AG407" s="8">
        <f t="shared" si="40"/>
        <v>0</v>
      </c>
      <c r="AI407" s="8">
        <f t="shared" si="41"/>
        <v>0</v>
      </c>
    </row>
    <row r="408" spans="1:35" ht="15" customHeight="1" x14ac:dyDescent="0.25">
      <c r="A408" s="10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3"/>
      <c r="P408" s="3"/>
      <c r="Q408" s="8"/>
      <c r="R408" s="8"/>
      <c r="S408" s="8"/>
      <c r="T408" s="8"/>
      <c r="U408" s="8"/>
      <c r="V408" s="8"/>
      <c r="W408" s="4" t="str">
        <f>IF($C408="","",SUMPRODUCT(($C$2:C408=C408)+($D$2:D408=C408)))</f>
        <v/>
      </c>
      <c r="X408" s="4" t="str">
        <f>IF($D408="","",SUMPRODUCT(($C$2:C408=D408)+($D$2:D408=D408)))</f>
        <v/>
      </c>
      <c r="Y408" s="4" t="str">
        <f t="shared" si="36"/>
        <v/>
      </c>
      <c r="Z408" s="4" t="str">
        <f t="shared" si="37"/>
        <v/>
      </c>
      <c r="AA408" s="4" t="str">
        <f>IF($C408="","",IF(COUNTIF($C$1:C407,$C408)+COUNTIF($D$1:D407,$C408)=0,1,0))</f>
        <v/>
      </c>
      <c r="AB408" s="4" t="str">
        <f>IF($D408="","",IF(COUNTIF($C$1:C408,$D408)+COUNTIF($D$1:D407,$D408)=0,1,0))</f>
        <v/>
      </c>
      <c r="AC408" s="4" t="str">
        <f>IF(AA408=1,SUM($AA$2:AA408)-AA408+SUM($AB$2:AB408)-AB408+1,"")</f>
        <v/>
      </c>
      <c r="AD408" s="4" t="str">
        <f>IF(AB408=1,SUM($AA$2:AA408)+SUM($AB$2:AB408)-AB408+1,"")</f>
        <v/>
      </c>
      <c r="AE408" s="4" t="str">
        <f t="shared" si="38"/>
        <v/>
      </c>
      <c r="AF408" s="4" t="str">
        <f t="shared" si="39"/>
        <v/>
      </c>
      <c r="AG408" s="8">
        <f t="shared" si="40"/>
        <v>0</v>
      </c>
      <c r="AI408" s="8">
        <f t="shared" si="41"/>
        <v>0</v>
      </c>
    </row>
    <row r="409" spans="1:35" ht="15" customHeight="1" x14ac:dyDescent="0.25">
      <c r="A409" s="10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3"/>
      <c r="P409" s="3"/>
      <c r="Q409" s="8"/>
      <c r="R409" s="8"/>
      <c r="S409" s="8"/>
      <c r="T409" s="8"/>
      <c r="U409" s="8"/>
      <c r="V409" s="8"/>
      <c r="W409" s="4" t="str">
        <f>IF($C409="","",SUMPRODUCT(($C$2:C409=C409)+($D$2:D409=C409)))</f>
        <v/>
      </c>
      <c r="X409" s="4" t="str">
        <f>IF($D409="","",SUMPRODUCT(($C$2:C409=D409)+($D$2:D409=D409)))</f>
        <v/>
      </c>
      <c r="Y409" s="4" t="str">
        <f t="shared" si="36"/>
        <v/>
      </c>
      <c r="Z409" s="4" t="str">
        <f t="shared" si="37"/>
        <v/>
      </c>
      <c r="AA409" s="4" t="str">
        <f>IF($C409="","",IF(COUNTIF($C$1:C408,$C409)+COUNTIF($D$1:D408,$C409)=0,1,0))</f>
        <v/>
      </c>
      <c r="AB409" s="4" t="str">
        <f>IF($D409="","",IF(COUNTIF($C$1:C409,$D409)+COUNTIF($D$1:D408,$D409)=0,1,0))</f>
        <v/>
      </c>
      <c r="AC409" s="4" t="str">
        <f>IF(AA409=1,SUM($AA$2:AA409)-AA409+SUM($AB$2:AB409)-AB409+1,"")</f>
        <v/>
      </c>
      <c r="AD409" s="4" t="str">
        <f>IF(AB409=1,SUM($AA$2:AA409)+SUM($AB$2:AB409)-AB409+1,"")</f>
        <v/>
      </c>
      <c r="AE409" s="4" t="str">
        <f t="shared" si="38"/>
        <v/>
      </c>
      <c r="AF409" s="4" t="str">
        <f t="shared" si="39"/>
        <v/>
      </c>
      <c r="AG409" s="8">
        <f t="shared" si="40"/>
        <v>0</v>
      </c>
      <c r="AI409" s="8">
        <f t="shared" si="41"/>
        <v>0</v>
      </c>
    </row>
    <row r="410" spans="1:35" ht="15" customHeight="1" x14ac:dyDescent="0.25">
      <c r="A410" s="10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3"/>
      <c r="P410" s="3"/>
      <c r="Q410" s="8"/>
      <c r="R410" s="8"/>
      <c r="S410" s="8"/>
      <c r="T410" s="8"/>
      <c r="U410" s="8"/>
      <c r="V410" s="8"/>
      <c r="W410" s="4" t="str">
        <f>IF($C410="","",SUMPRODUCT(($C$2:C410=C410)+($D$2:D410=C410)))</f>
        <v/>
      </c>
      <c r="X410" s="4" t="str">
        <f>IF($D410="","",SUMPRODUCT(($C$2:C410=D410)+($D$2:D410=D410)))</f>
        <v/>
      </c>
      <c r="Y410" s="4" t="str">
        <f t="shared" si="36"/>
        <v/>
      </c>
      <c r="Z410" s="4" t="str">
        <f t="shared" si="37"/>
        <v/>
      </c>
      <c r="AA410" s="4" t="str">
        <f>IF($C410="","",IF(COUNTIF($C$1:C409,$C410)+COUNTIF($D$1:D409,$C410)=0,1,0))</f>
        <v/>
      </c>
      <c r="AB410" s="4" t="str">
        <f>IF($D410="","",IF(COUNTIF($C$1:C410,$D410)+COUNTIF($D$1:D409,$D410)=0,1,0))</f>
        <v/>
      </c>
      <c r="AC410" s="4" t="str">
        <f>IF(AA410=1,SUM($AA$2:AA410)-AA410+SUM($AB$2:AB410)-AB410+1,"")</f>
        <v/>
      </c>
      <c r="AD410" s="4" t="str">
        <f>IF(AB410=1,SUM($AA$2:AA410)+SUM($AB$2:AB410)-AB410+1,"")</f>
        <v/>
      </c>
      <c r="AE410" s="4" t="str">
        <f t="shared" si="38"/>
        <v/>
      </c>
      <c r="AF410" s="4" t="str">
        <f t="shared" si="39"/>
        <v/>
      </c>
      <c r="AG410" s="8">
        <f t="shared" si="40"/>
        <v>0</v>
      </c>
      <c r="AI410" s="8">
        <f t="shared" si="41"/>
        <v>0</v>
      </c>
    </row>
    <row r="411" spans="1:35" ht="15" customHeight="1" x14ac:dyDescent="0.25">
      <c r="A411" s="10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3"/>
      <c r="P411" s="3"/>
      <c r="Q411" s="8"/>
      <c r="R411" s="8"/>
      <c r="S411" s="8"/>
      <c r="T411" s="8"/>
      <c r="U411" s="8"/>
      <c r="V411" s="8"/>
      <c r="W411" s="4" t="str">
        <f>IF($C411="","",SUMPRODUCT(($C$2:C411=C411)+($D$2:D411=C411)))</f>
        <v/>
      </c>
      <c r="X411" s="4" t="str">
        <f>IF($D411="","",SUMPRODUCT(($C$2:C411=D411)+($D$2:D411=D411)))</f>
        <v/>
      </c>
      <c r="Y411" s="4" t="str">
        <f t="shared" si="36"/>
        <v/>
      </c>
      <c r="Z411" s="4" t="str">
        <f t="shared" si="37"/>
        <v/>
      </c>
      <c r="AA411" s="4" t="str">
        <f>IF($C411="","",IF(COUNTIF($C$1:C410,$C411)+COUNTIF($D$1:D410,$C411)=0,1,0))</f>
        <v/>
      </c>
      <c r="AB411" s="4" t="str">
        <f>IF($D411="","",IF(COUNTIF($C$1:C411,$D411)+COUNTIF($D$1:D410,$D411)=0,1,0))</f>
        <v/>
      </c>
      <c r="AC411" s="4" t="str">
        <f>IF(AA411=1,SUM($AA$2:AA411)-AA411+SUM($AB$2:AB411)-AB411+1,"")</f>
        <v/>
      </c>
      <c r="AD411" s="4" t="str">
        <f>IF(AB411=1,SUM($AA$2:AA411)+SUM($AB$2:AB411)-AB411+1,"")</f>
        <v/>
      </c>
      <c r="AE411" s="4" t="str">
        <f t="shared" si="38"/>
        <v/>
      </c>
      <c r="AF411" s="4" t="str">
        <f t="shared" si="39"/>
        <v/>
      </c>
      <c r="AG411" s="8">
        <f t="shared" si="40"/>
        <v>0</v>
      </c>
      <c r="AI411" s="8">
        <f t="shared" si="41"/>
        <v>0</v>
      </c>
    </row>
    <row r="412" spans="1:35" ht="15" customHeight="1" x14ac:dyDescent="0.25">
      <c r="A412" s="10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3"/>
      <c r="P412" s="3"/>
      <c r="Q412" s="8"/>
      <c r="R412" s="8"/>
      <c r="S412" s="8"/>
      <c r="T412" s="8"/>
      <c r="U412" s="8"/>
      <c r="V412" s="8"/>
      <c r="W412" s="4" t="str">
        <f>IF($C412="","",SUMPRODUCT(($C$2:C412=C412)+($D$2:D412=C412)))</f>
        <v/>
      </c>
      <c r="X412" s="4" t="str">
        <f>IF($D412="","",SUMPRODUCT(($C$2:C412=D412)+($D$2:D412=D412)))</f>
        <v/>
      </c>
      <c r="Y412" s="4" t="str">
        <f t="shared" si="36"/>
        <v/>
      </c>
      <c r="Z412" s="4" t="str">
        <f t="shared" si="37"/>
        <v/>
      </c>
      <c r="AA412" s="4" t="str">
        <f>IF($C412="","",IF(COUNTIF($C$1:C411,$C412)+COUNTIF($D$1:D411,$C412)=0,1,0))</f>
        <v/>
      </c>
      <c r="AB412" s="4" t="str">
        <f>IF($D412="","",IF(COUNTIF($C$1:C412,$D412)+COUNTIF($D$1:D411,$D412)=0,1,0))</f>
        <v/>
      </c>
      <c r="AC412" s="4" t="str">
        <f>IF(AA412=1,SUM($AA$2:AA412)-AA412+SUM($AB$2:AB412)-AB412+1,"")</f>
        <v/>
      </c>
      <c r="AD412" s="4" t="str">
        <f>IF(AB412=1,SUM($AA$2:AA412)+SUM($AB$2:AB412)-AB412+1,"")</f>
        <v/>
      </c>
      <c r="AE412" s="4" t="str">
        <f t="shared" si="38"/>
        <v/>
      </c>
      <c r="AF412" s="4" t="str">
        <f t="shared" si="39"/>
        <v/>
      </c>
      <c r="AG412" s="8">
        <f t="shared" si="40"/>
        <v>0</v>
      </c>
      <c r="AI412" s="8">
        <f t="shared" si="41"/>
        <v>0</v>
      </c>
    </row>
    <row r="413" spans="1:35" ht="15" customHeight="1" x14ac:dyDescent="0.25">
      <c r="A413" s="10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3"/>
      <c r="P413" s="3"/>
      <c r="Q413" s="8"/>
      <c r="R413" s="8"/>
      <c r="S413" s="8"/>
      <c r="T413" s="8"/>
      <c r="U413" s="8"/>
      <c r="V413" s="8"/>
      <c r="W413" s="4" t="str">
        <f>IF($C413="","",SUMPRODUCT(($C$2:C413=C413)+($D$2:D413=C413)))</f>
        <v/>
      </c>
      <c r="X413" s="4" t="str">
        <f>IF($D413="","",SUMPRODUCT(($C$2:C413=D413)+($D$2:D413=D413)))</f>
        <v/>
      </c>
      <c r="Y413" s="4" t="str">
        <f t="shared" si="36"/>
        <v/>
      </c>
      <c r="Z413" s="4" t="str">
        <f t="shared" si="37"/>
        <v/>
      </c>
      <c r="AA413" s="4" t="str">
        <f>IF($C413="","",IF(COUNTIF($C$1:C412,$C413)+COUNTIF($D$1:D412,$C413)=0,1,0))</f>
        <v/>
      </c>
      <c r="AB413" s="4" t="str">
        <f>IF($D413="","",IF(COUNTIF($C$1:C413,$D413)+COUNTIF($D$1:D412,$D413)=0,1,0))</f>
        <v/>
      </c>
      <c r="AC413" s="4" t="str">
        <f>IF(AA413=1,SUM($AA$2:AA413)-AA413+SUM($AB$2:AB413)-AB413+1,"")</f>
        <v/>
      </c>
      <c r="AD413" s="4" t="str">
        <f>IF(AB413=1,SUM($AA$2:AA413)+SUM($AB$2:AB413)-AB413+1,"")</f>
        <v/>
      </c>
      <c r="AE413" s="4" t="str">
        <f t="shared" si="38"/>
        <v/>
      </c>
      <c r="AF413" s="4" t="str">
        <f t="shared" si="39"/>
        <v/>
      </c>
      <c r="AG413" s="8">
        <f t="shared" si="40"/>
        <v>0</v>
      </c>
      <c r="AI413" s="8">
        <f t="shared" si="41"/>
        <v>0</v>
      </c>
    </row>
    <row r="414" spans="1:35" ht="15" customHeight="1" x14ac:dyDescent="0.25">
      <c r="A414" s="10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3"/>
      <c r="P414" s="3"/>
      <c r="Q414" s="8"/>
      <c r="R414" s="8"/>
      <c r="S414" s="8"/>
      <c r="T414" s="8"/>
      <c r="U414" s="8"/>
      <c r="V414" s="8"/>
      <c r="W414" s="4" t="str">
        <f>IF($C414="","",SUMPRODUCT(($C$2:C414=C414)+($D$2:D414=C414)))</f>
        <v/>
      </c>
      <c r="X414" s="4" t="str">
        <f>IF($D414="","",SUMPRODUCT(($C$2:C414=D414)+($D$2:D414=D414)))</f>
        <v/>
      </c>
      <c r="Y414" s="4" t="str">
        <f t="shared" si="36"/>
        <v/>
      </c>
      <c r="Z414" s="4" t="str">
        <f t="shared" si="37"/>
        <v/>
      </c>
      <c r="AA414" s="4" t="str">
        <f>IF($C414="","",IF(COUNTIF($C$1:C413,$C414)+COUNTIF($D$1:D413,$C414)=0,1,0))</f>
        <v/>
      </c>
      <c r="AB414" s="4" t="str">
        <f>IF($D414="","",IF(COUNTIF($C$1:C414,$D414)+COUNTIF($D$1:D413,$D414)=0,1,0))</f>
        <v/>
      </c>
      <c r="AC414" s="4" t="str">
        <f>IF(AA414=1,SUM($AA$2:AA414)-AA414+SUM($AB$2:AB414)-AB414+1,"")</f>
        <v/>
      </c>
      <c r="AD414" s="4" t="str">
        <f>IF(AB414=1,SUM($AA$2:AA414)+SUM($AB$2:AB414)-AB414+1,"")</f>
        <v/>
      </c>
      <c r="AE414" s="4" t="str">
        <f t="shared" si="38"/>
        <v/>
      </c>
      <c r="AF414" s="4" t="str">
        <f t="shared" si="39"/>
        <v/>
      </c>
      <c r="AG414" s="8">
        <f t="shared" si="40"/>
        <v>0</v>
      </c>
      <c r="AI414" s="8">
        <f t="shared" si="41"/>
        <v>0</v>
      </c>
    </row>
    <row r="415" spans="1:35" ht="15" customHeight="1" x14ac:dyDescent="0.25">
      <c r="A415" s="10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3"/>
      <c r="P415" s="3"/>
      <c r="Q415" s="8"/>
      <c r="R415" s="8"/>
      <c r="S415" s="8"/>
      <c r="T415" s="8"/>
      <c r="U415" s="8"/>
      <c r="V415" s="8"/>
      <c r="W415" s="4" t="str">
        <f>IF($C415="","",SUMPRODUCT(($C$2:C415=C415)+($D$2:D415=C415)))</f>
        <v/>
      </c>
      <c r="X415" s="4" t="str">
        <f>IF($D415="","",SUMPRODUCT(($C$2:C415=D415)+($D$2:D415=D415)))</f>
        <v/>
      </c>
      <c r="Y415" s="4" t="str">
        <f t="shared" si="36"/>
        <v/>
      </c>
      <c r="Z415" s="4" t="str">
        <f t="shared" si="37"/>
        <v/>
      </c>
      <c r="AA415" s="4" t="str">
        <f>IF($C415="","",IF(COUNTIF($C$1:C414,$C415)+COUNTIF($D$1:D414,$C415)=0,1,0))</f>
        <v/>
      </c>
      <c r="AB415" s="4" t="str">
        <f>IF($D415="","",IF(COUNTIF($C$1:C415,$D415)+COUNTIF($D$1:D414,$D415)=0,1,0))</f>
        <v/>
      </c>
      <c r="AC415" s="4" t="str">
        <f>IF(AA415=1,SUM($AA$2:AA415)-AA415+SUM($AB$2:AB415)-AB415+1,"")</f>
        <v/>
      </c>
      <c r="AD415" s="4" t="str">
        <f>IF(AB415=1,SUM($AA$2:AA415)+SUM($AB$2:AB415)-AB415+1,"")</f>
        <v/>
      </c>
      <c r="AE415" s="4" t="str">
        <f t="shared" si="38"/>
        <v/>
      </c>
      <c r="AF415" s="4" t="str">
        <f t="shared" si="39"/>
        <v/>
      </c>
      <c r="AG415" s="8">
        <f t="shared" si="40"/>
        <v>0</v>
      </c>
      <c r="AI415" s="8">
        <f t="shared" si="41"/>
        <v>0</v>
      </c>
    </row>
    <row r="416" spans="1:35" ht="15" customHeight="1" x14ac:dyDescent="0.25">
      <c r="A416" s="10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3"/>
      <c r="P416" s="3"/>
      <c r="Q416" s="8"/>
      <c r="R416" s="8"/>
      <c r="S416" s="8"/>
      <c r="T416" s="8"/>
      <c r="U416" s="8"/>
      <c r="V416" s="8"/>
      <c r="W416" s="4" t="str">
        <f>IF($C416="","",SUMPRODUCT(($C$2:C416=C416)+($D$2:D416=C416)))</f>
        <v/>
      </c>
      <c r="X416" s="4" t="str">
        <f>IF($D416="","",SUMPRODUCT(($C$2:C416=D416)+($D$2:D416=D416)))</f>
        <v/>
      </c>
      <c r="Y416" s="4" t="str">
        <f t="shared" si="36"/>
        <v/>
      </c>
      <c r="Z416" s="4" t="str">
        <f t="shared" si="37"/>
        <v/>
      </c>
      <c r="AA416" s="4" t="str">
        <f>IF($C416="","",IF(COUNTIF($C$1:C415,$C416)+COUNTIF($D$1:D415,$C416)=0,1,0))</f>
        <v/>
      </c>
      <c r="AB416" s="4" t="str">
        <f>IF($D416="","",IF(COUNTIF($C$1:C416,$D416)+COUNTIF($D$1:D415,$D416)=0,1,0))</f>
        <v/>
      </c>
      <c r="AC416" s="4" t="str">
        <f>IF(AA416=1,SUM($AA$2:AA416)-AA416+SUM($AB$2:AB416)-AB416+1,"")</f>
        <v/>
      </c>
      <c r="AD416" s="4" t="str">
        <f>IF(AB416=1,SUM($AA$2:AA416)+SUM($AB$2:AB416)-AB416+1,"")</f>
        <v/>
      </c>
      <c r="AE416" s="4" t="str">
        <f t="shared" si="38"/>
        <v/>
      </c>
      <c r="AF416" s="4" t="str">
        <f t="shared" si="39"/>
        <v/>
      </c>
      <c r="AG416" s="8">
        <f t="shared" si="40"/>
        <v>0</v>
      </c>
      <c r="AI416" s="8">
        <f t="shared" si="41"/>
        <v>0</v>
      </c>
    </row>
    <row r="417" spans="1:35" ht="15" customHeight="1" x14ac:dyDescent="0.25">
      <c r="A417" s="10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3"/>
      <c r="P417" s="3"/>
      <c r="Q417" s="8"/>
      <c r="R417" s="8"/>
      <c r="S417" s="8"/>
      <c r="T417" s="8"/>
      <c r="U417" s="8"/>
      <c r="V417" s="8"/>
      <c r="W417" s="4" t="str">
        <f>IF($C417="","",SUMPRODUCT(($C$2:C417=C417)+($D$2:D417=C417)))</f>
        <v/>
      </c>
      <c r="X417" s="4" t="str">
        <f>IF($D417="","",SUMPRODUCT(($C$2:C417=D417)+($D$2:D417=D417)))</f>
        <v/>
      </c>
      <c r="Y417" s="4" t="str">
        <f t="shared" si="36"/>
        <v/>
      </c>
      <c r="Z417" s="4" t="str">
        <f t="shared" si="37"/>
        <v/>
      </c>
      <c r="AA417" s="4" t="str">
        <f>IF($C417="","",IF(COUNTIF($C$1:C416,$C417)+COUNTIF($D$1:D416,$C417)=0,1,0))</f>
        <v/>
      </c>
      <c r="AB417" s="4" t="str">
        <f>IF($D417="","",IF(COUNTIF($C$1:C417,$D417)+COUNTIF($D$1:D416,$D417)=0,1,0))</f>
        <v/>
      </c>
      <c r="AC417" s="4" t="str">
        <f>IF(AA417=1,SUM($AA$2:AA417)-AA417+SUM($AB$2:AB417)-AB417+1,"")</f>
        <v/>
      </c>
      <c r="AD417" s="4" t="str">
        <f>IF(AB417=1,SUM($AA$2:AA417)+SUM($AB$2:AB417)-AB417+1,"")</f>
        <v/>
      </c>
      <c r="AE417" s="4" t="str">
        <f t="shared" si="38"/>
        <v/>
      </c>
      <c r="AF417" s="4" t="str">
        <f t="shared" si="39"/>
        <v/>
      </c>
      <c r="AG417" s="8">
        <f t="shared" si="40"/>
        <v>0</v>
      </c>
      <c r="AI417" s="8">
        <f t="shared" si="41"/>
        <v>0</v>
      </c>
    </row>
    <row r="418" spans="1:35" ht="15" customHeight="1" x14ac:dyDescent="0.25">
      <c r="A418" s="10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3"/>
      <c r="P418" s="3"/>
      <c r="Q418" s="8"/>
      <c r="R418" s="8"/>
      <c r="S418" s="8"/>
      <c r="T418" s="8"/>
      <c r="U418" s="8"/>
      <c r="V418" s="8"/>
      <c r="W418" s="4" t="str">
        <f>IF($C418="","",SUMPRODUCT(($C$2:C418=C418)+($D$2:D418=C418)))</f>
        <v/>
      </c>
      <c r="X418" s="4" t="str">
        <f>IF($D418="","",SUMPRODUCT(($C$2:C418=D418)+($D$2:D418=D418)))</f>
        <v/>
      </c>
      <c r="Y418" s="4" t="str">
        <f t="shared" si="36"/>
        <v/>
      </c>
      <c r="Z418" s="4" t="str">
        <f t="shared" si="37"/>
        <v/>
      </c>
      <c r="AA418" s="4" t="str">
        <f>IF($C418="","",IF(COUNTIF($C$1:C417,$C418)+COUNTIF($D$1:D417,$C418)=0,1,0))</f>
        <v/>
      </c>
      <c r="AB418" s="4" t="str">
        <f>IF($D418="","",IF(COUNTIF($C$1:C418,$D418)+COUNTIF($D$1:D417,$D418)=0,1,0))</f>
        <v/>
      </c>
      <c r="AC418" s="4" t="str">
        <f>IF(AA418=1,SUM($AA$2:AA418)-AA418+SUM($AB$2:AB418)-AB418+1,"")</f>
        <v/>
      </c>
      <c r="AD418" s="4" t="str">
        <f>IF(AB418=1,SUM($AA$2:AA418)+SUM($AB$2:AB418)-AB418+1,"")</f>
        <v/>
      </c>
      <c r="AE418" s="4" t="str">
        <f t="shared" si="38"/>
        <v/>
      </c>
      <c r="AF418" s="4" t="str">
        <f t="shared" si="39"/>
        <v/>
      </c>
      <c r="AG418" s="8">
        <f t="shared" si="40"/>
        <v>0</v>
      </c>
      <c r="AI418" s="8">
        <f t="shared" si="41"/>
        <v>0</v>
      </c>
    </row>
    <row r="419" spans="1:35" ht="15" customHeight="1" x14ac:dyDescent="0.25">
      <c r="A419" s="10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3"/>
      <c r="P419" s="3"/>
      <c r="Q419" s="8"/>
      <c r="R419" s="8"/>
      <c r="S419" s="8"/>
      <c r="T419" s="8"/>
      <c r="U419" s="8"/>
      <c r="V419" s="8"/>
      <c r="W419" s="4" t="str">
        <f>IF($C419="","",SUMPRODUCT(($C$2:C419=C419)+($D$2:D419=C419)))</f>
        <v/>
      </c>
      <c r="X419" s="4" t="str">
        <f>IF($D419="","",SUMPRODUCT(($C$2:C419=D419)+($D$2:D419=D419)))</f>
        <v/>
      </c>
      <c r="Y419" s="4" t="str">
        <f t="shared" si="36"/>
        <v/>
      </c>
      <c r="Z419" s="4" t="str">
        <f t="shared" si="37"/>
        <v/>
      </c>
      <c r="AA419" s="4" t="str">
        <f>IF($C419="","",IF(COUNTIF($C$1:C418,$C419)+COUNTIF($D$1:D418,$C419)=0,1,0))</f>
        <v/>
      </c>
      <c r="AB419" s="4" t="str">
        <f>IF($D419="","",IF(COUNTIF($C$1:C419,$D419)+COUNTIF($D$1:D418,$D419)=0,1,0))</f>
        <v/>
      </c>
      <c r="AC419" s="4" t="str">
        <f>IF(AA419=1,SUM($AA$2:AA419)-AA419+SUM($AB$2:AB419)-AB419+1,"")</f>
        <v/>
      </c>
      <c r="AD419" s="4" t="str">
        <f>IF(AB419=1,SUM($AA$2:AA419)+SUM($AB$2:AB419)-AB419+1,"")</f>
        <v/>
      </c>
      <c r="AE419" s="4" t="str">
        <f t="shared" si="38"/>
        <v/>
      </c>
      <c r="AF419" s="4" t="str">
        <f t="shared" si="39"/>
        <v/>
      </c>
      <c r="AG419" s="8">
        <f t="shared" si="40"/>
        <v>0</v>
      </c>
      <c r="AI419" s="8">
        <f t="shared" si="41"/>
        <v>0</v>
      </c>
    </row>
    <row r="420" spans="1:35" ht="15" customHeight="1" x14ac:dyDescent="0.25">
      <c r="A420" s="10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3"/>
      <c r="P420" s="3"/>
      <c r="Q420" s="8"/>
      <c r="R420" s="8"/>
      <c r="S420" s="8"/>
      <c r="T420" s="8"/>
      <c r="U420" s="8"/>
      <c r="V420" s="8"/>
      <c r="W420" s="4" t="str">
        <f>IF($C420="","",SUMPRODUCT(($C$2:C420=C420)+($D$2:D420=C420)))</f>
        <v/>
      </c>
      <c r="X420" s="4" t="str">
        <f>IF($D420="","",SUMPRODUCT(($C$2:C420=D420)+($D$2:D420=D420)))</f>
        <v/>
      </c>
      <c r="Y420" s="4" t="str">
        <f t="shared" si="36"/>
        <v/>
      </c>
      <c r="Z420" s="4" t="str">
        <f t="shared" si="37"/>
        <v/>
      </c>
      <c r="AA420" s="4" t="str">
        <f>IF($C420="","",IF(COUNTIF($C$1:C419,$C420)+COUNTIF($D$1:D419,$C420)=0,1,0))</f>
        <v/>
      </c>
      <c r="AB420" s="4" t="str">
        <f>IF($D420="","",IF(COUNTIF($C$1:C420,$D420)+COUNTIF($D$1:D419,$D420)=0,1,0))</f>
        <v/>
      </c>
      <c r="AC420" s="4" t="str">
        <f>IF(AA420=1,SUM($AA$2:AA420)-AA420+SUM($AB$2:AB420)-AB420+1,"")</f>
        <v/>
      </c>
      <c r="AD420" s="4" t="str">
        <f>IF(AB420=1,SUM($AA$2:AA420)+SUM($AB$2:AB420)-AB420+1,"")</f>
        <v/>
      </c>
      <c r="AE420" s="4" t="str">
        <f t="shared" si="38"/>
        <v/>
      </c>
      <c r="AF420" s="4" t="str">
        <f t="shared" si="39"/>
        <v/>
      </c>
      <c r="AG420" s="8">
        <f t="shared" si="40"/>
        <v>0</v>
      </c>
      <c r="AI420" s="8">
        <f t="shared" si="41"/>
        <v>0</v>
      </c>
    </row>
    <row r="421" spans="1:35" ht="15" customHeight="1" x14ac:dyDescent="0.25">
      <c r="A421" s="10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3"/>
      <c r="P421" s="3"/>
      <c r="Q421" s="8"/>
      <c r="R421" s="8"/>
      <c r="S421" s="8"/>
      <c r="T421" s="8"/>
      <c r="U421" s="8"/>
      <c r="V421" s="8"/>
      <c r="W421" s="4" t="str">
        <f>IF($C421="","",SUMPRODUCT(($C$2:C421=C421)+($D$2:D421=C421)))</f>
        <v/>
      </c>
      <c r="X421" s="4" t="str">
        <f>IF($D421="","",SUMPRODUCT(($C$2:C421=D421)+($D$2:D421=D421)))</f>
        <v/>
      </c>
      <c r="Y421" s="4" t="str">
        <f t="shared" si="36"/>
        <v/>
      </c>
      <c r="Z421" s="4" t="str">
        <f t="shared" si="37"/>
        <v/>
      </c>
      <c r="AA421" s="4" t="str">
        <f>IF($C421="","",IF(COUNTIF($C$1:C420,$C421)+COUNTIF($D$1:D420,$C421)=0,1,0))</f>
        <v/>
      </c>
      <c r="AB421" s="4" t="str">
        <f>IF($D421="","",IF(COUNTIF($C$1:C421,$D421)+COUNTIF($D$1:D420,$D421)=0,1,0))</f>
        <v/>
      </c>
      <c r="AC421" s="4" t="str">
        <f>IF(AA421=1,SUM($AA$2:AA421)-AA421+SUM($AB$2:AB421)-AB421+1,"")</f>
        <v/>
      </c>
      <c r="AD421" s="4" t="str">
        <f>IF(AB421=1,SUM($AA$2:AA421)+SUM($AB$2:AB421)-AB421+1,"")</f>
        <v/>
      </c>
      <c r="AE421" s="4" t="str">
        <f t="shared" si="38"/>
        <v/>
      </c>
      <c r="AF421" s="4" t="str">
        <f t="shared" si="39"/>
        <v/>
      </c>
      <c r="AG421" s="8">
        <f t="shared" si="40"/>
        <v>0</v>
      </c>
      <c r="AI421" s="8">
        <f t="shared" si="41"/>
        <v>0</v>
      </c>
    </row>
    <row r="422" spans="1:35" ht="15" customHeight="1" x14ac:dyDescent="0.25">
      <c r="A422" s="10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3"/>
      <c r="P422" s="3"/>
      <c r="Q422" s="8"/>
      <c r="R422" s="8"/>
      <c r="S422" s="8"/>
      <c r="T422" s="8"/>
      <c r="U422" s="8"/>
      <c r="V422" s="8"/>
      <c r="W422" s="4" t="str">
        <f>IF($C422="","",SUMPRODUCT(($C$2:C422=C422)+($D$2:D422=C422)))</f>
        <v/>
      </c>
      <c r="X422" s="4" t="str">
        <f>IF($D422="","",SUMPRODUCT(($C$2:C422=D422)+($D$2:D422=D422)))</f>
        <v/>
      </c>
      <c r="Y422" s="4" t="str">
        <f t="shared" si="36"/>
        <v/>
      </c>
      <c r="Z422" s="4" t="str">
        <f t="shared" si="37"/>
        <v/>
      </c>
      <c r="AA422" s="4" t="str">
        <f>IF($C422="","",IF(COUNTIF($C$1:C421,$C422)+COUNTIF($D$1:D421,$C422)=0,1,0))</f>
        <v/>
      </c>
      <c r="AB422" s="4" t="str">
        <f>IF($D422="","",IF(COUNTIF($C$1:C422,$D422)+COUNTIF($D$1:D421,$D422)=0,1,0))</f>
        <v/>
      </c>
      <c r="AC422" s="4" t="str">
        <f>IF(AA422=1,SUM($AA$2:AA422)-AA422+SUM($AB$2:AB422)-AB422+1,"")</f>
        <v/>
      </c>
      <c r="AD422" s="4" t="str">
        <f>IF(AB422=1,SUM($AA$2:AA422)+SUM($AB$2:AB422)-AB422+1,"")</f>
        <v/>
      </c>
      <c r="AE422" s="4" t="str">
        <f t="shared" si="38"/>
        <v/>
      </c>
      <c r="AF422" s="4" t="str">
        <f t="shared" si="39"/>
        <v/>
      </c>
      <c r="AG422" s="8">
        <f t="shared" si="40"/>
        <v>0</v>
      </c>
      <c r="AI422" s="8">
        <f t="shared" si="41"/>
        <v>0</v>
      </c>
    </row>
    <row r="423" spans="1:35" ht="15" customHeight="1" x14ac:dyDescent="0.25">
      <c r="A423" s="10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3"/>
      <c r="P423" s="3"/>
      <c r="Q423" s="8"/>
      <c r="R423" s="8"/>
      <c r="S423" s="8"/>
      <c r="T423" s="8"/>
      <c r="U423" s="8"/>
      <c r="V423" s="8"/>
      <c r="W423" s="4" t="str">
        <f>IF($C423="","",SUMPRODUCT(($C$2:C423=C423)+($D$2:D423=C423)))</f>
        <v/>
      </c>
      <c r="X423" s="4" t="str">
        <f>IF($D423="","",SUMPRODUCT(($C$2:C423=D423)+($D$2:D423=D423)))</f>
        <v/>
      </c>
      <c r="Y423" s="4" t="str">
        <f t="shared" si="36"/>
        <v/>
      </c>
      <c r="Z423" s="4" t="str">
        <f t="shared" si="37"/>
        <v/>
      </c>
      <c r="AA423" s="4" t="str">
        <f>IF($C423="","",IF(COUNTIF($C$1:C422,$C423)+COUNTIF($D$1:D422,$C423)=0,1,0))</f>
        <v/>
      </c>
      <c r="AB423" s="4" t="str">
        <f>IF($D423="","",IF(COUNTIF($C$1:C423,$D423)+COUNTIF($D$1:D422,$D423)=0,1,0))</f>
        <v/>
      </c>
      <c r="AC423" s="4" t="str">
        <f>IF(AA423=1,SUM($AA$2:AA423)-AA423+SUM($AB$2:AB423)-AB423+1,"")</f>
        <v/>
      </c>
      <c r="AD423" s="4" t="str">
        <f>IF(AB423=1,SUM($AA$2:AA423)+SUM($AB$2:AB423)-AB423+1,"")</f>
        <v/>
      </c>
      <c r="AE423" s="4" t="str">
        <f t="shared" si="38"/>
        <v/>
      </c>
      <c r="AF423" s="4" t="str">
        <f t="shared" si="39"/>
        <v/>
      </c>
      <c r="AG423" s="8">
        <f t="shared" si="40"/>
        <v>0</v>
      </c>
      <c r="AI423" s="8">
        <f t="shared" si="41"/>
        <v>0</v>
      </c>
    </row>
    <row r="424" spans="1:35" ht="15" customHeight="1" x14ac:dyDescent="0.25">
      <c r="A424" s="10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3"/>
      <c r="P424" s="3"/>
      <c r="Q424" s="8"/>
      <c r="R424" s="8"/>
      <c r="S424" s="8"/>
      <c r="T424" s="8"/>
      <c r="U424" s="8"/>
      <c r="V424" s="8"/>
      <c r="W424" s="4" t="str">
        <f>IF($C424="","",SUMPRODUCT(($C$2:C424=C424)+($D$2:D424=C424)))</f>
        <v/>
      </c>
      <c r="X424" s="4" t="str">
        <f>IF($D424="","",SUMPRODUCT(($C$2:C424=D424)+($D$2:D424=D424)))</f>
        <v/>
      </c>
      <c r="Y424" s="4" t="str">
        <f t="shared" si="36"/>
        <v/>
      </c>
      <c r="Z424" s="4" t="str">
        <f t="shared" si="37"/>
        <v/>
      </c>
      <c r="AA424" s="4" t="str">
        <f>IF($C424="","",IF(COUNTIF($C$1:C423,$C424)+COUNTIF($D$1:D423,$C424)=0,1,0))</f>
        <v/>
      </c>
      <c r="AB424" s="4" t="str">
        <f>IF($D424="","",IF(COUNTIF($C$1:C424,$D424)+COUNTIF($D$1:D423,$D424)=0,1,0))</f>
        <v/>
      </c>
      <c r="AC424" s="4" t="str">
        <f>IF(AA424=1,SUM($AA$2:AA424)-AA424+SUM($AB$2:AB424)-AB424+1,"")</f>
        <v/>
      </c>
      <c r="AD424" s="4" t="str">
        <f>IF(AB424=1,SUM($AA$2:AA424)+SUM($AB$2:AB424)-AB424+1,"")</f>
        <v/>
      </c>
      <c r="AE424" s="4" t="str">
        <f t="shared" si="38"/>
        <v/>
      </c>
      <c r="AF424" s="4" t="str">
        <f t="shared" si="39"/>
        <v/>
      </c>
      <c r="AG424" s="8">
        <f t="shared" si="40"/>
        <v>0</v>
      </c>
      <c r="AI424" s="8">
        <f t="shared" si="41"/>
        <v>0</v>
      </c>
    </row>
    <row r="425" spans="1:35" ht="15" customHeight="1" x14ac:dyDescent="0.25">
      <c r="A425" s="10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3"/>
      <c r="P425" s="3"/>
      <c r="Q425" s="8"/>
      <c r="R425" s="8"/>
      <c r="S425" s="8"/>
      <c r="T425" s="8"/>
      <c r="U425" s="8"/>
      <c r="V425" s="8"/>
      <c r="W425" s="4" t="str">
        <f>IF($C425="","",SUMPRODUCT(($C$2:C425=C425)+($D$2:D425=C425)))</f>
        <v/>
      </c>
      <c r="X425" s="4" t="str">
        <f>IF($D425="","",SUMPRODUCT(($C$2:C425=D425)+($D$2:D425=D425)))</f>
        <v/>
      </c>
      <c r="Y425" s="4" t="str">
        <f t="shared" si="36"/>
        <v/>
      </c>
      <c r="Z425" s="4" t="str">
        <f t="shared" si="37"/>
        <v/>
      </c>
      <c r="AA425" s="4" t="str">
        <f>IF($C425="","",IF(COUNTIF($C$1:C424,$C425)+COUNTIF($D$1:D424,$C425)=0,1,0))</f>
        <v/>
      </c>
      <c r="AB425" s="4" t="str">
        <f>IF($D425="","",IF(COUNTIF($C$1:C425,$D425)+COUNTIF($D$1:D424,$D425)=0,1,0))</f>
        <v/>
      </c>
      <c r="AC425" s="4" t="str">
        <f>IF(AA425=1,SUM($AA$2:AA425)-AA425+SUM($AB$2:AB425)-AB425+1,"")</f>
        <v/>
      </c>
      <c r="AD425" s="4" t="str">
        <f>IF(AB425=1,SUM($AA$2:AA425)+SUM($AB$2:AB425)-AB425+1,"")</f>
        <v/>
      </c>
      <c r="AE425" s="4" t="str">
        <f t="shared" si="38"/>
        <v/>
      </c>
      <c r="AF425" s="4" t="str">
        <f t="shared" si="39"/>
        <v/>
      </c>
      <c r="AG425" s="8">
        <f t="shared" si="40"/>
        <v>0</v>
      </c>
      <c r="AI425" s="8">
        <f t="shared" si="41"/>
        <v>0</v>
      </c>
    </row>
    <row r="426" spans="1:35" ht="15" customHeight="1" x14ac:dyDescent="0.25">
      <c r="A426" s="10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3"/>
      <c r="P426" s="3"/>
      <c r="Q426" s="8"/>
      <c r="R426" s="8"/>
      <c r="S426" s="8"/>
      <c r="T426" s="8"/>
      <c r="U426" s="8"/>
      <c r="V426" s="8"/>
      <c r="W426" s="4" t="str">
        <f>IF($C426="","",SUMPRODUCT(($C$2:C426=C426)+($D$2:D426=C426)))</f>
        <v/>
      </c>
      <c r="X426" s="4" t="str">
        <f>IF($D426="","",SUMPRODUCT(($C$2:C426=D426)+($D$2:D426=D426)))</f>
        <v/>
      </c>
      <c r="Y426" s="4" t="str">
        <f t="shared" si="36"/>
        <v/>
      </c>
      <c r="Z426" s="4" t="str">
        <f t="shared" si="37"/>
        <v/>
      </c>
      <c r="AA426" s="4" t="str">
        <f>IF($C426="","",IF(COUNTIF($C$1:C425,$C426)+COUNTIF($D$1:D425,$C426)=0,1,0))</f>
        <v/>
      </c>
      <c r="AB426" s="4" t="str">
        <f>IF($D426="","",IF(COUNTIF($C$1:C426,$D426)+COUNTIF($D$1:D425,$D426)=0,1,0))</f>
        <v/>
      </c>
      <c r="AC426" s="4" t="str">
        <f>IF(AA426=1,SUM($AA$2:AA426)-AA426+SUM($AB$2:AB426)-AB426+1,"")</f>
        <v/>
      </c>
      <c r="AD426" s="4" t="str">
        <f>IF(AB426=1,SUM($AA$2:AA426)+SUM($AB$2:AB426)-AB426+1,"")</f>
        <v/>
      </c>
      <c r="AE426" s="4" t="str">
        <f t="shared" si="38"/>
        <v/>
      </c>
      <c r="AF426" s="4" t="str">
        <f t="shared" si="39"/>
        <v/>
      </c>
      <c r="AG426" s="8">
        <f t="shared" si="40"/>
        <v>0</v>
      </c>
      <c r="AI426" s="8">
        <f t="shared" si="41"/>
        <v>0</v>
      </c>
    </row>
    <row r="427" spans="1:35" ht="15" customHeight="1" x14ac:dyDescent="0.25">
      <c r="A427" s="10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3"/>
      <c r="P427" s="3"/>
      <c r="Q427" s="8"/>
      <c r="R427" s="8"/>
      <c r="S427" s="8"/>
      <c r="T427" s="8"/>
      <c r="U427" s="8"/>
      <c r="V427" s="8"/>
      <c r="W427" s="4" t="str">
        <f>IF($C427="","",SUMPRODUCT(($C$2:C427=C427)+($D$2:D427=C427)))</f>
        <v/>
      </c>
      <c r="X427" s="4" t="str">
        <f>IF($D427="","",SUMPRODUCT(($C$2:C427=D427)+($D$2:D427=D427)))</f>
        <v/>
      </c>
      <c r="Y427" s="4" t="str">
        <f t="shared" si="36"/>
        <v/>
      </c>
      <c r="Z427" s="4" t="str">
        <f t="shared" si="37"/>
        <v/>
      </c>
      <c r="AA427" s="4" t="str">
        <f>IF($C427="","",IF(COUNTIF($C$1:C426,$C427)+COUNTIF($D$1:D426,$C427)=0,1,0))</f>
        <v/>
      </c>
      <c r="AB427" s="4" t="str">
        <f>IF($D427="","",IF(COUNTIF($C$1:C427,$D427)+COUNTIF($D$1:D426,$D427)=0,1,0))</f>
        <v/>
      </c>
      <c r="AC427" s="4" t="str">
        <f>IF(AA427=1,SUM($AA$2:AA427)-AA427+SUM($AB$2:AB427)-AB427+1,"")</f>
        <v/>
      </c>
      <c r="AD427" s="4" t="str">
        <f>IF(AB427=1,SUM($AA$2:AA427)+SUM($AB$2:AB427)-AB427+1,"")</f>
        <v/>
      </c>
      <c r="AE427" s="4" t="str">
        <f t="shared" si="38"/>
        <v/>
      </c>
      <c r="AF427" s="4" t="str">
        <f t="shared" si="39"/>
        <v/>
      </c>
      <c r="AG427" s="8">
        <f t="shared" si="40"/>
        <v>0</v>
      </c>
      <c r="AI427" s="8">
        <f t="shared" si="41"/>
        <v>0</v>
      </c>
    </row>
    <row r="428" spans="1:35" ht="15" customHeight="1" x14ac:dyDescent="0.25">
      <c r="A428" s="10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3"/>
      <c r="P428" s="3"/>
      <c r="Q428" s="8"/>
      <c r="R428" s="8"/>
      <c r="S428" s="8"/>
      <c r="T428" s="8"/>
      <c r="U428" s="8"/>
      <c r="V428" s="8"/>
      <c r="W428" s="4" t="str">
        <f>IF($C428="","",SUMPRODUCT(($C$2:C428=C428)+($D$2:D428=C428)))</f>
        <v/>
      </c>
      <c r="X428" s="4" t="str">
        <f>IF($D428="","",SUMPRODUCT(($C$2:C428=D428)+($D$2:D428=D428)))</f>
        <v/>
      </c>
      <c r="Y428" s="4" t="str">
        <f t="shared" si="36"/>
        <v/>
      </c>
      <c r="Z428" s="4" t="str">
        <f t="shared" si="37"/>
        <v/>
      </c>
      <c r="AA428" s="4" t="str">
        <f>IF($C428="","",IF(COUNTIF($C$1:C427,$C428)+COUNTIF($D$1:D427,$C428)=0,1,0))</f>
        <v/>
      </c>
      <c r="AB428" s="4" t="str">
        <f>IF($D428="","",IF(COUNTIF($C$1:C428,$D428)+COUNTIF($D$1:D427,$D428)=0,1,0))</f>
        <v/>
      </c>
      <c r="AC428" s="4" t="str">
        <f>IF(AA428=1,SUM($AA$2:AA428)-AA428+SUM($AB$2:AB428)-AB428+1,"")</f>
        <v/>
      </c>
      <c r="AD428" s="4" t="str">
        <f>IF(AB428=1,SUM($AA$2:AA428)+SUM($AB$2:AB428)-AB428+1,"")</f>
        <v/>
      </c>
      <c r="AE428" s="4" t="str">
        <f t="shared" si="38"/>
        <v/>
      </c>
      <c r="AF428" s="4" t="str">
        <f t="shared" si="39"/>
        <v/>
      </c>
      <c r="AG428" s="8">
        <f t="shared" si="40"/>
        <v>0</v>
      </c>
      <c r="AI428" s="8">
        <f t="shared" si="41"/>
        <v>0</v>
      </c>
    </row>
    <row r="429" spans="1:35" ht="15" customHeight="1" x14ac:dyDescent="0.25">
      <c r="A429" s="10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3"/>
      <c r="P429" s="3"/>
      <c r="Q429" s="8"/>
      <c r="R429" s="8"/>
      <c r="S429" s="8"/>
      <c r="T429" s="8"/>
      <c r="U429" s="8"/>
      <c r="V429" s="8"/>
      <c r="W429" s="4" t="str">
        <f>IF($C429="","",SUMPRODUCT(($C$2:C429=C429)+($D$2:D429=C429)))</f>
        <v/>
      </c>
      <c r="X429" s="4" t="str">
        <f>IF($D429="","",SUMPRODUCT(($C$2:C429=D429)+($D$2:D429=D429)))</f>
        <v/>
      </c>
      <c r="Y429" s="4" t="str">
        <f t="shared" si="36"/>
        <v/>
      </c>
      <c r="Z429" s="4" t="str">
        <f t="shared" si="37"/>
        <v/>
      </c>
      <c r="AA429" s="4" t="str">
        <f>IF($C429="","",IF(COUNTIF($C$1:C428,$C429)+COUNTIF($D$1:D428,$C429)=0,1,0))</f>
        <v/>
      </c>
      <c r="AB429" s="4" t="str">
        <f>IF($D429="","",IF(COUNTIF($C$1:C429,$D429)+COUNTIF($D$1:D428,$D429)=0,1,0))</f>
        <v/>
      </c>
      <c r="AC429" s="4" t="str">
        <f>IF(AA429=1,SUM($AA$2:AA429)-AA429+SUM($AB$2:AB429)-AB429+1,"")</f>
        <v/>
      </c>
      <c r="AD429" s="4" t="str">
        <f>IF(AB429=1,SUM($AA$2:AA429)+SUM($AB$2:AB429)-AB429+1,"")</f>
        <v/>
      </c>
      <c r="AE429" s="4" t="str">
        <f t="shared" si="38"/>
        <v/>
      </c>
      <c r="AF429" s="4" t="str">
        <f t="shared" si="39"/>
        <v/>
      </c>
      <c r="AG429" s="8">
        <f t="shared" si="40"/>
        <v>0</v>
      </c>
      <c r="AI429" s="8">
        <f t="shared" si="41"/>
        <v>0</v>
      </c>
    </row>
    <row r="430" spans="1:35" ht="15" customHeight="1" x14ac:dyDescent="0.25">
      <c r="A430" s="10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3"/>
      <c r="P430" s="3"/>
      <c r="Q430" s="8"/>
      <c r="R430" s="8"/>
      <c r="S430" s="8"/>
      <c r="T430" s="8"/>
      <c r="U430" s="8"/>
      <c r="V430" s="8"/>
      <c r="W430" s="4" t="str">
        <f>IF($C430="","",SUMPRODUCT(($C$2:C430=C430)+($D$2:D430=C430)))</f>
        <v/>
      </c>
      <c r="X430" s="4" t="str">
        <f>IF($D430="","",SUMPRODUCT(($C$2:C430=D430)+($D$2:D430=D430)))</f>
        <v/>
      </c>
      <c r="Y430" s="4" t="str">
        <f t="shared" si="36"/>
        <v/>
      </c>
      <c r="Z430" s="4" t="str">
        <f t="shared" si="37"/>
        <v/>
      </c>
      <c r="AA430" s="4" t="str">
        <f>IF($C430="","",IF(COUNTIF($C$1:C429,$C430)+COUNTIF($D$1:D429,$C430)=0,1,0))</f>
        <v/>
      </c>
      <c r="AB430" s="4" t="str">
        <f>IF($D430="","",IF(COUNTIF($C$1:C430,$D430)+COUNTIF($D$1:D429,$D430)=0,1,0))</f>
        <v/>
      </c>
      <c r="AC430" s="4" t="str">
        <f>IF(AA430=1,SUM($AA$2:AA430)-AA430+SUM($AB$2:AB430)-AB430+1,"")</f>
        <v/>
      </c>
      <c r="AD430" s="4" t="str">
        <f>IF(AB430=1,SUM($AA$2:AA430)+SUM($AB$2:AB430)-AB430+1,"")</f>
        <v/>
      </c>
      <c r="AE430" s="4" t="str">
        <f t="shared" si="38"/>
        <v/>
      </c>
      <c r="AF430" s="4" t="str">
        <f t="shared" si="39"/>
        <v/>
      </c>
      <c r="AG430" s="8">
        <f t="shared" si="40"/>
        <v>0</v>
      </c>
      <c r="AI430" s="8">
        <f t="shared" si="41"/>
        <v>0</v>
      </c>
    </row>
    <row r="431" spans="1:35" ht="15" customHeight="1" x14ac:dyDescent="0.25">
      <c r="A431" s="10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3"/>
      <c r="P431" s="3"/>
      <c r="Q431" s="8"/>
      <c r="R431" s="8"/>
      <c r="S431" s="8"/>
      <c r="T431" s="8"/>
      <c r="U431" s="8"/>
      <c r="V431" s="8"/>
      <c r="W431" s="4" t="str">
        <f>IF($C431="","",SUMPRODUCT(($C$2:C431=C431)+($D$2:D431=C431)))</f>
        <v/>
      </c>
      <c r="X431" s="4" t="str">
        <f>IF($D431="","",SUMPRODUCT(($C$2:C431=D431)+($D$2:D431=D431)))</f>
        <v/>
      </c>
      <c r="Y431" s="4" t="str">
        <f t="shared" si="36"/>
        <v/>
      </c>
      <c r="Z431" s="4" t="str">
        <f t="shared" si="37"/>
        <v/>
      </c>
      <c r="AA431" s="4" t="str">
        <f>IF($C431="","",IF(COUNTIF($C$1:C430,$C431)+COUNTIF($D$1:D430,$C431)=0,1,0))</f>
        <v/>
      </c>
      <c r="AB431" s="4" t="str">
        <f>IF($D431="","",IF(COUNTIF($C$1:C431,$D431)+COUNTIF($D$1:D430,$D431)=0,1,0))</f>
        <v/>
      </c>
      <c r="AC431" s="4" t="str">
        <f>IF(AA431=1,SUM($AA$2:AA431)-AA431+SUM($AB$2:AB431)-AB431+1,"")</f>
        <v/>
      </c>
      <c r="AD431" s="4" t="str">
        <f>IF(AB431=1,SUM($AA$2:AA431)+SUM($AB$2:AB431)-AB431+1,"")</f>
        <v/>
      </c>
      <c r="AE431" s="4" t="str">
        <f t="shared" si="38"/>
        <v/>
      </c>
      <c r="AF431" s="4" t="str">
        <f t="shared" si="39"/>
        <v/>
      </c>
      <c r="AG431" s="8">
        <f t="shared" si="40"/>
        <v>0</v>
      </c>
      <c r="AI431" s="8">
        <f t="shared" si="41"/>
        <v>0</v>
      </c>
    </row>
    <row r="432" spans="1:35" ht="15" customHeight="1" x14ac:dyDescent="0.25">
      <c r="A432" s="10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3"/>
      <c r="P432" s="3"/>
      <c r="Q432" s="8"/>
      <c r="R432" s="8"/>
      <c r="S432" s="8"/>
      <c r="T432" s="8"/>
      <c r="U432" s="8"/>
      <c r="V432" s="8"/>
      <c r="W432" s="4" t="str">
        <f>IF($C432="","",SUMPRODUCT(($C$2:C432=C432)+($D$2:D432=C432)))</f>
        <v/>
      </c>
      <c r="X432" s="4" t="str">
        <f>IF($D432="","",SUMPRODUCT(($C$2:C432=D432)+($D$2:D432=D432)))</f>
        <v/>
      </c>
      <c r="Y432" s="4" t="str">
        <f t="shared" si="36"/>
        <v/>
      </c>
      <c r="Z432" s="4" t="str">
        <f t="shared" si="37"/>
        <v/>
      </c>
      <c r="AA432" s="4" t="str">
        <f>IF($C432="","",IF(COUNTIF($C$1:C431,$C432)+COUNTIF($D$1:D431,$C432)=0,1,0))</f>
        <v/>
      </c>
      <c r="AB432" s="4" t="str">
        <f>IF($D432="","",IF(COUNTIF($C$1:C432,$D432)+COUNTIF($D$1:D431,$D432)=0,1,0))</f>
        <v/>
      </c>
      <c r="AC432" s="4" t="str">
        <f>IF(AA432=1,SUM($AA$2:AA432)-AA432+SUM($AB$2:AB432)-AB432+1,"")</f>
        <v/>
      </c>
      <c r="AD432" s="4" t="str">
        <f>IF(AB432=1,SUM($AA$2:AA432)+SUM($AB$2:AB432)-AB432+1,"")</f>
        <v/>
      </c>
      <c r="AE432" s="4" t="str">
        <f t="shared" si="38"/>
        <v/>
      </c>
      <c r="AF432" s="4" t="str">
        <f t="shared" si="39"/>
        <v/>
      </c>
      <c r="AG432" s="8">
        <f t="shared" si="40"/>
        <v>0</v>
      </c>
      <c r="AI432" s="8">
        <f t="shared" si="41"/>
        <v>0</v>
      </c>
    </row>
    <row r="433" spans="1:35" ht="15" customHeight="1" x14ac:dyDescent="0.25">
      <c r="A433" s="10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3"/>
      <c r="P433" s="3"/>
      <c r="Q433" s="8"/>
      <c r="R433" s="8"/>
      <c r="S433" s="8"/>
      <c r="T433" s="8"/>
      <c r="U433" s="8"/>
      <c r="V433" s="8"/>
      <c r="W433" s="4" t="str">
        <f>IF($C433="","",SUMPRODUCT(($C$2:C433=C433)+($D$2:D433=C433)))</f>
        <v/>
      </c>
      <c r="X433" s="4" t="str">
        <f>IF($D433="","",SUMPRODUCT(($C$2:C433=D433)+($D$2:D433=D433)))</f>
        <v/>
      </c>
      <c r="Y433" s="4" t="str">
        <f t="shared" si="36"/>
        <v/>
      </c>
      <c r="Z433" s="4" t="str">
        <f t="shared" si="37"/>
        <v/>
      </c>
      <c r="AA433" s="4" t="str">
        <f>IF($C433="","",IF(COUNTIF($C$1:C432,$C433)+COUNTIF($D$1:D432,$C433)=0,1,0))</f>
        <v/>
      </c>
      <c r="AB433" s="4" t="str">
        <f>IF($D433="","",IF(COUNTIF($C$1:C433,$D433)+COUNTIF($D$1:D432,$D433)=0,1,0))</f>
        <v/>
      </c>
      <c r="AC433" s="4" t="str">
        <f>IF(AA433=1,SUM($AA$2:AA433)-AA433+SUM($AB$2:AB433)-AB433+1,"")</f>
        <v/>
      </c>
      <c r="AD433" s="4" t="str">
        <f>IF(AB433=1,SUM($AA$2:AA433)+SUM($AB$2:AB433)-AB433+1,"")</f>
        <v/>
      </c>
      <c r="AE433" s="4" t="str">
        <f t="shared" si="38"/>
        <v/>
      </c>
      <c r="AF433" s="4" t="str">
        <f t="shared" si="39"/>
        <v/>
      </c>
      <c r="AG433" s="8">
        <f t="shared" si="40"/>
        <v>0</v>
      </c>
      <c r="AI433" s="8">
        <f t="shared" si="41"/>
        <v>0</v>
      </c>
    </row>
    <row r="434" spans="1:35" ht="15" customHeight="1" x14ac:dyDescent="0.25">
      <c r="A434" s="10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3"/>
      <c r="P434" s="3"/>
      <c r="Q434" s="8"/>
      <c r="R434" s="8"/>
      <c r="S434" s="8"/>
      <c r="T434" s="8"/>
      <c r="U434" s="8"/>
      <c r="V434" s="8"/>
      <c r="W434" s="4" t="str">
        <f>IF($C434="","",SUMPRODUCT(($C$2:C434=C434)+($D$2:D434=C434)))</f>
        <v/>
      </c>
      <c r="X434" s="4" t="str">
        <f>IF($D434="","",SUMPRODUCT(($C$2:C434=D434)+($D$2:D434=D434)))</f>
        <v/>
      </c>
      <c r="Y434" s="4" t="str">
        <f t="shared" si="36"/>
        <v/>
      </c>
      <c r="Z434" s="4" t="str">
        <f t="shared" si="37"/>
        <v/>
      </c>
      <c r="AA434" s="4" t="str">
        <f>IF($C434="","",IF(COUNTIF($C$1:C433,$C434)+COUNTIF($D$1:D433,$C434)=0,1,0))</f>
        <v/>
      </c>
      <c r="AB434" s="4" t="str">
        <f>IF($D434="","",IF(COUNTIF($C$1:C434,$D434)+COUNTIF($D$1:D433,$D434)=0,1,0))</f>
        <v/>
      </c>
      <c r="AC434" s="4" t="str">
        <f>IF(AA434=1,SUM($AA$2:AA434)-AA434+SUM($AB$2:AB434)-AB434+1,"")</f>
        <v/>
      </c>
      <c r="AD434" s="4" t="str">
        <f>IF(AB434=1,SUM($AA$2:AA434)+SUM($AB$2:AB434)-AB434+1,"")</f>
        <v/>
      </c>
      <c r="AE434" s="4" t="str">
        <f t="shared" si="38"/>
        <v/>
      </c>
      <c r="AF434" s="4" t="str">
        <f t="shared" si="39"/>
        <v/>
      </c>
      <c r="AG434" s="8">
        <f t="shared" si="40"/>
        <v>0</v>
      </c>
      <c r="AI434" s="8">
        <f t="shared" si="41"/>
        <v>0</v>
      </c>
    </row>
    <row r="435" spans="1:35" ht="15" customHeight="1" x14ac:dyDescent="0.25">
      <c r="A435" s="10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3"/>
      <c r="P435" s="3"/>
      <c r="Q435" s="8"/>
      <c r="R435" s="8"/>
      <c r="S435" s="8"/>
      <c r="T435" s="8"/>
      <c r="U435" s="8"/>
      <c r="V435" s="8"/>
      <c r="W435" s="4" t="str">
        <f>IF($C435="","",SUMPRODUCT(($C$2:C435=C435)+($D$2:D435=C435)))</f>
        <v/>
      </c>
      <c r="X435" s="4" t="str">
        <f>IF($D435="","",SUMPRODUCT(($C$2:C435=D435)+($D$2:D435=D435)))</f>
        <v/>
      </c>
      <c r="Y435" s="4" t="str">
        <f t="shared" si="36"/>
        <v/>
      </c>
      <c r="Z435" s="4" t="str">
        <f t="shared" si="37"/>
        <v/>
      </c>
      <c r="AA435" s="4" t="str">
        <f>IF($C435="","",IF(COUNTIF($C$1:C434,$C435)+COUNTIF($D$1:D434,$C435)=0,1,0))</f>
        <v/>
      </c>
      <c r="AB435" s="4" t="str">
        <f>IF($D435="","",IF(COUNTIF($C$1:C435,$D435)+COUNTIF($D$1:D434,$D435)=0,1,0))</f>
        <v/>
      </c>
      <c r="AC435" s="4" t="str">
        <f>IF(AA435=1,SUM($AA$2:AA435)-AA435+SUM($AB$2:AB435)-AB435+1,"")</f>
        <v/>
      </c>
      <c r="AD435" s="4" t="str">
        <f>IF(AB435=1,SUM($AA$2:AA435)+SUM($AB$2:AB435)-AB435+1,"")</f>
        <v/>
      </c>
      <c r="AE435" s="4" t="str">
        <f t="shared" si="38"/>
        <v/>
      </c>
      <c r="AF435" s="4" t="str">
        <f t="shared" si="39"/>
        <v/>
      </c>
      <c r="AG435" s="8">
        <f t="shared" si="40"/>
        <v>0</v>
      </c>
      <c r="AI435" s="8">
        <f t="shared" si="41"/>
        <v>0</v>
      </c>
    </row>
    <row r="436" spans="1:35" ht="15" customHeight="1" x14ac:dyDescent="0.25">
      <c r="A436" s="10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3"/>
      <c r="P436" s="3"/>
      <c r="Q436" s="8"/>
      <c r="R436" s="8"/>
      <c r="S436" s="8"/>
      <c r="T436" s="8"/>
      <c r="U436" s="8"/>
      <c r="V436" s="8"/>
      <c r="W436" s="4" t="str">
        <f>IF($C436="","",SUMPRODUCT(($C$2:C436=C436)+($D$2:D436=C436)))</f>
        <v/>
      </c>
      <c r="X436" s="4" t="str">
        <f>IF($D436="","",SUMPRODUCT(($C$2:C436=D436)+($D$2:D436=D436)))</f>
        <v/>
      </c>
      <c r="Y436" s="4" t="str">
        <f t="shared" si="36"/>
        <v/>
      </c>
      <c r="Z436" s="4" t="str">
        <f t="shared" si="37"/>
        <v/>
      </c>
      <c r="AA436" s="4" t="str">
        <f>IF($C436="","",IF(COUNTIF($C$1:C435,$C436)+COUNTIF($D$1:D435,$C436)=0,1,0))</f>
        <v/>
      </c>
      <c r="AB436" s="4" t="str">
        <f>IF($D436="","",IF(COUNTIF($C$1:C436,$D436)+COUNTIF($D$1:D435,$D436)=0,1,0))</f>
        <v/>
      </c>
      <c r="AC436" s="4" t="str">
        <f>IF(AA436=1,SUM($AA$2:AA436)-AA436+SUM($AB$2:AB436)-AB436+1,"")</f>
        <v/>
      </c>
      <c r="AD436" s="4" t="str">
        <f>IF(AB436=1,SUM($AA$2:AA436)+SUM($AB$2:AB436)-AB436+1,"")</f>
        <v/>
      </c>
      <c r="AE436" s="4" t="str">
        <f t="shared" si="38"/>
        <v/>
      </c>
      <c r="AF436" s="4" t="str">
        <f t="shared" si="39"/>
        <v/>
      </c>
      <c r="AG436" s="8">
        <f t="shared" si="40"/>
        <v>0</v>
      </c>
      <c r="AI436" s="8">
        <f t="shared" si="41"/>
        <v>0</v>
      </c>
    </row>
    <row r="437" spans="1:35" ht="15" customHeight="1" x14ac:dyDescent="0.25">
      <c r="A437" s="10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3"/>
      <c r="P437" s="3"/>
      <c r="Q437" s="8"/>
      <c r="R437" s="8"/>
      <c r="S437" s="8"/>
      <c r="T437" s="8"/>
      <c r="U437" s="8"/>
      <c r="V437" s="8"/>
      <c r="W437" s="4" t="str">
        <f>IF($C437="","",SUMPRODUCT(($C$2:C437=C437)+($D$2:D437=C437)))</f>
        <v/>
      </c>
      <c r="X437" s="4" t="str">
        <f>IF($D437="","",SUMPRODUCT(($C$2:C437=D437)+($D$2:D437=D437)))</f>
        <v/>
      </c>
      <c r="Y437" s="4" t="str">
        <f t="shared" si="36"/>
        <v/>
      </c>
      <c r="Z437" s="4" t="str">
        <f t="shared" si="37"/>
        <v/>
      </c>
      <c r="AA437" s="4" t="str">
        <f>IF($C437="","",IF(COUNTIF($C$1:C436,$C437)+COUNTIF($D$1:D436,$C437)=0,1,0))</f>
        <v/>
      </c>
      <c r="AB437" s="4" t="str">
        <f>IF($D437="","",IF(COUNTIF($C$1:C437,$D437)+COUNTIF($D$1:D436,$D437)=0,1,0))</f>
        <v/>
      </c>
      <c r="AC437" s="4" t="str">
        <f>IF(AA437=1,SUM($AA$2:AA437)-AA437+SUM($AB$2:AB437)-AB437+1,"")</f>
        <v/>
      </c>
      <c r="AD437" s="4" t="str">
        <f>IF(AB437=1,SUM($AA$2:AA437)+SUM($AB$2:AB437)-AB437+1,"")</f>
        <v/>
      </c>
      <c r="AE437" s="4" t="str">
        <f t="shared" si="38"/>
        <v/>
      </c>
      <c r="AF437" s="4" t="str">
        <f t="shared" si="39"/>
        <v/>
      </c>
      <c r="AG437" s="8">
        <f t="shared" si="40"/>
        <v>0</v>
      </c>
      <c r="AI437" s="8">
        <f t="shared" si="41"/>
        <v>0</v>
      </c>
    </row>
    <row r="438" spans="1:35" ht="15" customHeight="1" x14ac:dyDescent="0.25">
      <c r="A438" s="10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3"/>
      <c r="P438" s="3"/>
      <c r="Q438" s="8"/>
      <c r="R438" s="8"/>
      <c r="S438" s="8"/>
      <c r="T438" s="8"/>
      <c r="U438" s="8"/>
      <c r="V438" s="8"/>
      <c r="W438" s="4" t="str">
        <f>IF($C438="","",SUMPRODUCT(($C$2:C438=C438)+($D$2:D438=C438)))</f>
        <v/>
      </c>
      <c r="X438" s="4" t="str">
        <f>IF($D438="","",SUMPRODUCT(($C$2:C438=D438)+($D$2:D438=D438)))</f>
        <v/>
      </c>
      <c r="Y438" s="4" t="str">
        <f t="shared" si="36"/>
        <v/>
      </c>
      <c r="Z438" s="4" t="str">
        <f t="shared" si="37"/>
        <v/>
      </c>
      <c r="AA438" s="4" t="str">
        <f>IF($C438="","",IF(COUNTIF($C$1:C437,$C438)+COUNTIF($D$1:D437,$C438)=0,1,0))</f>
        <v/>
      </c>
      <c r="AB438" s="4" t="str">
        <f>IF($D438="","",IF(COUNTIF($C$1:C438,$D438)+COUNTIF($D$1:D437,$D438)=0,1,0))</f>
        <v/>
      </c>
      <c r="AC438" s="4" t="str">
        <f>IF(AA438=1,SUM($AA$2:AA438)-AA438+SUM($AB$2:AB438)-AB438+1,"")</f>
        <v/>
      </c>
      <c r="AD438" s="4" t="str">
        <f>IF(AB438=1,SUM($AA$2:AA438)+SUM($AB$2:AB438)-AB438+1,"")</f>
        <v/>
      </c>
      <c r="AE438" s="4" t="str">
        <f t="shared" si="38"/>
        <v/>
      </c>
      <c r="AF438" s="4" t="str">
        <f t="shared" si="39"/>
        <v/>
      </c>
      <c r="AG438" s="8">
        <f t="shared" si="40"/>
        <v>0</v>
      </c>
      <c r="AI438" s="8">
        <f t="shared" si="41"/>
        <v>0</v>
      </c>
    </row>
    <row r="439" spans="1:35" ht="15" customHeight="1" x14ac:dyDescent="0.25">
      <c r="A439" s="10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3"/>
      <c r="P439" s="3"/>
      <c r="Q439" s="8"/>
      <c r="R439" s="8"/>
      <c r="S439" s="8"/>
      <c r="T439" s="8"/>
      <c r="U439" s="8"/>
      <c r="V439" s="8"/>
      <c r="W439" s="4" t="str">
        <f>IF($C439="","",SUMPRODUCT(($C$2:C439=C439)+($D$2:D439=C439)))</f>
        <v/>
      </c>
      <c r="X439" s="4" t="str">
        <f>IF($D439="","",SUMPRODUCT(($C$2:C439=D439)+($D$2:D439=D439)))</f>
        <v/>
      </c>
      <c r="Y439" s="4" t="str">
        <f t="shared" si="36"/>
        <v/>
      </c>
      <c r="Z439" s="4" t="str">
        <f t="shared" si="37"/>
        <v/>
      </c>
      <c r="AA439" s="4" t="str">
        <f>IF($C439="","",IF(COUNTIF($C$1:C438,$C439)+COUNTIF($D$1:D438,$C439)=0,1,0))</f>
        <v/>
      </c>
      <c r="AB439" s="4" t="str">
        <f>IF($D439="","",IF(COUNTIF($C$1:C439,$D439)+COUNTIF($D$1:D438,$D439)=0,1,0))</f>
        <v/>
      </c>
      <c r="AC439" s="4" t="str">
        <f>IF(AA439=1,SUM($AA$2:AA439)-AA439+SUM($AB$2:AB439)-AB439+1,"")</f>
        <v/>
      </c>
      <c r="AD439" s="4" t="str">
        <f>IF(AB439=1,SUM($AA$2:AA439)+SUM($AB$2:AB439)-AB439+1,"")</f>
        <v/>
      </c>
      <c r="AE439" s="4" t="str">
        <f t="shared" si="38"/>
        <v/>
      </c>
      <c r="AF439" s="4" t="str">
        <f t="shared" si="39"/>
        <v/>
      </c>
      <c r="AG439" s="8">
        <f t="shared" si="40"/>
        <v>0</v>
      </c>
      <c r="AI439" s="8">
        <f t="shared" si="41"/>
        <v>0</v>
      </c>
    </row>
    <row r="440" spans="1:35" ht="15" customHeight="1" x14ac:dyDescent="0.25">
      <c r="A440" s="10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3"/>
      <c r="P440" s="3"/>
      <c r="Q440" s="8"/>
      <c r="R440" s="8"/>
      <c r="S440" s="8"/>
      <c r="T440" s="8"/>
      <c r="U440" s="8"/>
      <c r="V440" s="8"/>
      <c r="W440" s="4" t="str">
        <f>IF($C440="","",SUMPRODUCT(($C$2:C440=C440)+($D$2:D440=C440)))</f>
        <v/>
      </c>
      <c r="X440" s="4" t="str">
        <f>IF($D440="","",SUMPRODUCT(($C$2:C440=D440)+($D$2:D440=D440)))</f>
        <v/>
      </c>
      <c r="Y440" s="4" t="str">
        <f t="shared" si="36"/>
        <v/>
      </c>
      <c r="Z440" s="4" t="str">
        <f t="shared" si="37"/>
        <v/>
      </c>
      <c r="AA440" s="4" t="str">
        <f>IF($C440="","",IF(COUNTIF($C$1:C439,$C440)+COUNTIF($D$1:D439,$C440)=0,1,0))</f>
        <v/>
      </c>
      <c r="AB440" s="4" t="str">
        <f>IF($D440="","",IF(COUNTIF($C$1:C440,$D440)+COUNTIF($D$1:D439,$D440)=0,1,0))</f>
        <v/>
      </c>
      <c r="AC440" s="4" t="str">
        <f>IF(AA440=1,SUM($AA$2:AA440)-AA440+SUM($AB$2:AB440)-AB440+1,"")</f>
        <v/>
      </c>
      <c r="AD440" s="4" t="str">
        <f>IF(AB440=1,SUM($AA$2:AA440)+SUM($AB$2:AB440)-AB440+1,"")</f>
        <v/>
      </c>
      <c r="AE440" s="4" t="str">
        <f t="shared" si="38"/>
        <v/>
      </c>
      <c r="AF440" s="4" t="str">
        <f t="shared" si="39"/>
        <v/>
      </c>
      <c r="AG440" s="8">
        <f t="shared" si="40"/>
        <v>0</v>
      </c>
      <c r="AI440" s="8">
        <f t="shared" si="41"/>
        <v>0</v>
      </c>
    </row>
    <row r="441" spans="1:35" ht="15" customHeight="1" x14ac:dyDescent="0.25">
      <c r="A441" s="10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3"/>
      <c r="P441" s="3"/>
      <c r="Q441" s="8"/>
      <c r="R441" s="8"/>
      <c r="S441" s="8"/>
      <c r="T441" s="8"/>
      <c r="U441" s="8"/>
      <c r="V441" s="8"/>
      <c r="W441" s="4" t="str">
        <f>IF($C441="","",SUMPRODUCT(($C$2:C441=C441)+($D$2:D441=C441)))</f>
        <v/>
      </c>
      <c r="X441" s="4" t="str">
        <f>IF($D441="","",SUMPRODUCT(($C$2:C441=D441)+($D$2:D441=D441)))</f>
        <v/>
      </c>
      <c r="Y441" s="4" t="str">
        <f t="shared" si="36"/>
        <v/>
      </c>
      <c r="Z441" s="4" t="str">
        <f t="shared" si="37"/>
        <v/>
      </c>
      <c r="AA441" s="4" t="str">
        <f>IF($C441="","",IF(COUNTIF($C$1:C440,$C441)+COUNTIF($D$1:D440,$C441)=0,1,0))</f>
        <v/>
      </c>
      <c r="AB441" s="4" t="str">
        <f>IF($D441="","",IF(COUNTIF($C$1:C441,$D441)+COUNTIF($D$1:D440,$D441)=0,1,0))</f>
        <v/>
      </c>
      <c r="AC441" s="4" t="str">
        <f>IF(AA441=1,SUM($AA$2:AA441)-AA441+SUM($AB$2:AB441)-AB441+1,"")</f>
        <v/>
      </c>
      <c r="AD441" s="4" t="str">
        <f>IF(AB441=1,SUM($AA$2:AA441)+SUM($AB$2:AB441)-AB441+1,"")</f>
        <v/>
      </c>
      <c r="AE441" s="4" t="str">
        <f t="shared" si="38"/>
        <v/>
      </c>
      <c r="AF441" s="4" t="str">
        <f t="shared" si="39"/>
        <v/>
      </c>
      <c r="AG441" s="8">
        <f t="shared" si="40"/>
        <v>0</v>
      </c>
      <c r="AI441" s="8">
        <f t="shared" si="41"/>
        <v>0</v>
      </c>
    </row>
    <row r="442" spans="1:35" ht="15" customHeight="1" x14ac:dyDescent="0.25">
      <c r="A442" s="10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3"/>
      <c r="P442" s="3"/>
      <c r="Q442" s="8"/>
      <c r="R442" s="8"/>
      <c r="S442" s="8"/>
      <c r="T442" s="8"/>
      <c r="U442" s="8"/>
      <c r="V442" s="8"/>
      <c r="W442" s="4" t="str">
        <f>IF($C442="","",SUMPRODUCT(($C$2:C442=C442)+($D$2:D442=C442)))</f>
        <v/>
      </c>
      <c r="X442" s="4" t="str">
        <f>IF($D442="","",SUMPRODUCT(($C$2:C442=D442)+($D$2:D442=D442)))</f>
        <v/>
      </c>
      <c r="Y442" s="4" t="str">
        <f t="shared" si="36"/>
        <v/>
      </c>
      <c r="Z442" s="4" t="str">
        <f t="shared" si="37"/>
        <v/>
      </c>
      <c r="AA442" s="4" t="str">
        <f>IF($C442="","",IF(COUNTIF($C$1:C441,$C442)+COUNTIF($D$1:D441,$C442)=0,1,0))</f>
        <v/>
      </c>
      <c r="AB442" s="4" t="str">
        <f>IF($D442="","",IF(COUNTIF($C$1:C442,$D442)+COUNTIF($D$1:D441,$D442)=0,1,0))</f>
        <v/>
      </c>
      <c r="AC442" s="4" t="str">
        <f>IF(AA442=1,SUM($AA$2:AA442)-AA442+SUM($AB$2:AB442)-AB442+1,"")</f>
        <v/>
      </c>
      <c r="AD442" s="4" t="str">
        <f>IF(AB442=1,SUM($AA$2:AA442)+SUM($AB$2:AB442)-AB442+1,"")</f>
        <v/>
      </c>
      <c r="AE442" s="4" t="str">
        <f t="shared" si="38"/>
        <v/>
      </c>
      <c r="AF442" s="4" t="str">
        <f t="shared" si="39"/>
        <v/>
      </c>
      <c r="AG442" s="8">
        <f t="shared" si="40"/>
        <v>0</v>
      </c>
      <c r="AI442" s="8">
        <f t="shared" si="41"/>
        <v>0</v>
      </c>
    </row>
    <row r="443" spans="1:35" ht="15" customHeight="1" x14ac:dyDescent="0.25">
      <c r="A443" s="10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3"/>
      <c r="P443" s="3"/>
      <c r="Q443" s="8"/>
      <c r="R443" s="8"/>
      <c r="S443" s="8"/>
      <c r="T443" s="8"/>
      <c r="U443" s="8"/>
      <c r="V443" s="8"/>
      <c r="W443" s="4" t="str">
        <f>IF($C443="","",SUMPRODUCT(($C$2:C443=C443)+($D$2:D443=C443)))</f>
        <v/>
      </c>
      <c r="X443" s="4" t="str">
        <f>IF($D443="","",SUMPRODUCT(($C$2:C443=D443)+($D$2:D443=D443)))</f>
        <v/>
      </c>
      <c r="Y443" s="4" t="str">
        <f t="shared" si="36"/>
        <v/>
      </c>
      <c r="Z443" s="4" t="str">
        <f t="shared" si="37"/>
        <v/>
      </c>
      <c r="AA443" s="4" t="str">
        <f>IF($C443="","",IF(COUNTIF($C$1:C442,$C443)+COUNTIF($D$1:D442,$C443)=0,1,0))</f>
        <v/>
      </c>
      <c r="AB443" s="4" t="str">
        <f>IF($D443="","",IF(COUNTIF($C$1:C443,$D443)+COUNTIF($D$1:D442,$D443)=0,1,0))</f>
        <v/>
      </c>
      <c r="AC443" s="4" t="str">
        <f>IF(AA443=1,SUM($AA$2:AA443)-AA443+SUM($AB$2:AB443)-AB443+1,"")</f>
        <v/>
      </c>
      <c r="AD443" s="4" t="str">
        <f>IF(AB443=1,SUM($AA$2:AA443)+SUM($AB$2:AB443)-AB443+1,"")</f>
        <v/>
      </c>
      <c r="AE443" s="4" t="str">
        <f t="shared" si="38"/>
        <v/>
      </c>
      <c r="AF443" s="4" t="str">
        <f t="shared" si="39"/>
        <v/>
      </c>
      <c r="AG443" s="8">
        <f t="shared" si="40"/>
        <v>0</v>
      </c>
      <c r="AI443" s="8">
        <f t="shared" si="41"/>
        <v>0</v>
      </c>
    </row>
    <row r="444" spans="1:35" ht="15" customHeight="1" x14ac:dyDescent="0.25">
      <c r="A444" s="10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3"/>
      <c r="P444" s="3"/>
      <c r="Q444" s="8"/>
      <c r="R444" s="8"/>
      <c r="S444" s="8"/>
      <c r="T444" s="8"/>
      <c r="U444" s="8"/>
      <c r="V444" s="8"/>
      <c r="W444" s="4" t="str">
        <f>IF($C444="","",SUMPRODUCT(($C$2:C444=C444)+($D$2:D444=C444)))</f>
        <v/>
      </c>
      <c r="X444" s="4" t="str">
        <f>IF($D444="","",SUMPRODUCT(($C$2:C444=D444)+($D$2:D444=D444)))</f>
        <v/>
      </c>
      <c r="Y444" s="4" t="str">
        <f t="shared" si="36"/>
        <v/>
      </c>
      <c r="Z444" s="4" t="str">
        <f t="shared" si="37"/>
        <v/>
      </c>
      <c r="AA444" s="4" t="str">
        <f>IF($C444="","",IF(COUNTIF($C$1:C443,$C444)+COUNTIF($D$1:D443,$C444)=0,1,0))</f>
        <v/>
      </c>
      <c r="AB444" s="4" t="str">
        <f>IF($D444="","",IF(COUNTIF($C$1:C444,$D444)+COUNTIF($D$1:D443,$D444)=0,1,0))</f>
        <v/>
      </c>
      <c r="AC444" s="4" t="str">
        <f>IF(AA444=1,SUM($AA$2:AA444)-AA444+SUM($AB$2:AB444)-AB444+1,"")</f>
        <v/>
      </c>
      <c r="AD444" s="4" t="str">
        <f>IF(AB444=1,SUM($AA$2:AA444)+SUM($AB$2:AB444)-AB444+1,"")</f>
        <v/>
      </c>
      <c r="AE444" s="4" t="str">
        <f t="shared" si="38"/>
        <v/>
      </c>
      <c r="AF444" s="4" t="str">
        <f t="shared" si="39"/>
        <v/>
      </c>
      <c r="AG444" s="8">
        <f t="shared" si="40"/>
        <v>0</v>
      </c>
      <c r="AI444" s="8">
        <f t="shared" si="41"/>
        <v>0</v>
      </c>
    </row>
    <row r="445" spans="1:35" ht="15" customHeight="1" x14ac:dyDescent="0.25">
      <c r="A445" s="10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3"/>
      <c r="P445" s="3"/>
      <c r="Q445" s="8"/>
      <c r="R445" s="8"/>
      <c r="S445" s="8"/>
      <c r="T445" s="8"/>
      <c r="U445" s="8"/>
      <c r="V445" s="8"/>
      <c r="W445" s="4" t="str">
        <f>IF($C445="","",SUMPRODUCT(($C$2:C445=C445)+($D$2:D445=C445)))</f>
        <v/>
      </c>
      <c r="X445" s="4" t="str">
        <f>IF($D445="","",SUMPRODUCT(($C$2:C445=D445)+($D$2:D445=D445)))</f>
        <v/>
      </c>
      <c r="Y445" s="4" t="str">
        <f t="shared" si="36"/>
        <v/>
      </c>
      <c r="Z445" s="4" t="str">
        <f t="shared" si="37"/>
        <v/>
      </c>
      <c r="AA445" s="4" t="str">
        <f>IF($C445="","",IF(COUNTIF($C$1:C444,$C445)+COUNTIF($D$1:D444,$C445)=0,1,0))</f>
        <v/>
      </c>
      <c r="AB445" s="4" t="str">
        <f>IF($D445="","",IF(COUNTIF($C$1:C445,$D445)+COUNTIF($D$1:D444,$D445)=0,1,0))</f>
        <v/>
      </c>
      <c r="AC445" s="4" t="str">
        <f>IF(AA445=1,SUM($AA$2:AA445)-AA445+SUM($AB$2:AB445)-AB445+1,"")</f>
        <v/>
      </c>
      <c r="AD445" s="4" t="str">
        <f>IF(AB445=1,SUM($AA$2:AA445)+SUM($AB$2:AB445)-AB445+1,"")</f>
        <v/>
      </c>
      <c r="AE445" s="4" t="str">
        <f t="shared" si="38"/>
        <v/>
      </c>
      <c r="AF445" s="4" t="str">
        <f t="shared" si="39"/>
        <v/>
      </c>
      <c r="AG445" s="8">
        <f t="shared" si="40"/>
        <v>0</v>
      </c>
      <c r="AI445" s="8">
        <f t="shared" si="41"/>
        <v>0</v>
      </c>
    </row>
    <row r="446" spans="1:35" ht="15" customHeight="1" x14ac:dyDescent="0.25">
      <c r="A446" s="10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3"/>
      <c r="P446" s="3"/>
      <c r="Q446" s="8"/>
      <c r="R446" s="8"/>
      <c r="S446" s="8"/>
      <c r="T446" s="8"/>
      <c r="U446" s="8"/>
      <c r="V446" s="8"/>
      <c r="W446" s="4" t="str">
        <f>IF($C446="","",SUMPRODUCT(($C$2:C446=C446)+($D$2:D446=C446)))</f>
        <v/>
      </c>
      <c r="X446" s="4" t="str">
        <f>IF($D446="","",SUMPRODUCT(($C$2:C446=D446)+($D$2:D446=D446)))</f>
        <v/>
      </c>
      <c r="Y446" s="4" t="str">
        <f t="shared" si="36"/>
        <v/>
      </c>
      <c r="Z446" s="4" t="str">
        <f t="shared" si="37"/>
        <v/>
      </c>
      <c r="AA446" s="4" t="str">
        <f>IF($C446="","",IF(COUNTIF($C$1:C445,$C446)+COUNTIF($D$1:D445,$C446)=0,1,0))</f>
        <v/>
      </c>
      <c r="AB446" s="4" t="str">
        <f>IF($D446="","",IF(COUNTIF($C$1:C446,$D446)+COUNTIF($D$1:D445,$D446)=0,1,0))</f>
        <v/>
      </c>
      <c r="AC446" s="4" t="str">
        <f>IF(AA446=1,SUM($AA$2:AA446)-AA446+SUM($AB$2:AB446)-AB446+1,"")</f>
        <v/>
      </c>
      <c r="AD446" s="4" t="str">
        <f>IF(AB446=1,SUM($AA$2:AA446)+SUM($AB$2:AB446)-AB446+1,"")</f>
        <v/>
      </c>
      <c r="AE446" s="4" t="str">
        <f t="shared" si="38"/>
        <v/>
      </c>
      <c r="AF446" s="4" t="str">
        <f t="shared" si="39"/>
        <v/>
      </c>
      <c r="AG446" s="8">
        <f t="shared" si="40"/>
        <v>0</v>
      </c>
      <c r="AI446" s="8">
        <f t="shared" si="41"/>
        <v>0</v>
      </c>
    </row>
    <row r="447" spans="1:35" ht="15" customHeight="1" x14ac:dyDescent="0.25">
      <c r="A447" s="10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3"/>
      <c r="P447" s="3"/>
      <c r="Q447" s="8"/>
      <c r="R447" s="8"/>
      <c r="S447" s="8"/>
      <c r="T447" s="8"/>
      <c r="U447" s="8"/>
      <c r="V447" s="8"/>
      <c r="W447" s="4" t="str">
        <f>IF($C447="","",SUMPRODUCT(($C$2:C447=C447)+($D$2:D447=C447)))</f>
        <v/>
      </c>
      <c r="X447" s="4" t="str">
        <f>IF($D447="","",SUMPRODUCT(($C$2:C447=D447)+($D$2:D447=D447)))</f>
        <v/>
      </c>
      <c r="Y447" s="4" t="str">
        <f t="shared" si="36"/>
        <v/>
      </c>
      <c r="Z447" s="4" t="str">
        <f t="shared" si="37"/>
        <v/>
      </c>
      <c r="AA447" s="4" t="str">
        <f>IF($C447="","",IF(COUNTIF($C$1:C446,$C447)+COUNTIF($D$1:D446,$C447)=0,1,0))</f>
        <v/>
      </c>
      <c r="AB447" s="4" t="str">
        <f>IF($D447="","",IF(COUNTIF($C$1:C447,$D447)+COUNTIF($D$1:D446,$D447)=0,1,0))</f>
        <v/>
      </c>
      <c r="AC447" s="4" t="str">
        <f>IF(AA447=1,SUM($AA$2:AA447)-AA447+SUM($AB$2:AB447)-AB447+1,"")</f>
        <v/>
      </c>
      <c r="AD447" s="4" t="str">
        <f>IF(AB447=1,SUM($AA$2:AA447)+SUM($AB$2:AB447)-AB447+1,"")</f>
        <v/>
      </c>
      <c r="AE447" s="4" t="str">
        <f t="shared" si="38"/>
        <v/>
      </c>
      <c r="AF447" s="4" t="str">
        <f t="shared" si="39"/>
        <v/>
      </c>
      <c r="AG447" s="8">
        <f t="shared" si="40"/>
        <v>0</v>
      </c>
      <c r="AI447" s="8">
        <f t="shared" si="41"/>
        <v>0</v>
      </c>
    </row>
    <row r="448" spans="1:35" ht="15" customHeight="1" x14ac:dyDescent="0.25">
      <c r="A448" s="10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3"/>
      <c r="P448" s="3"/>
      <c r="Q448" s="8"/>
      <c r="R448" s="8"/>
      <c r="S448" s="8"/>
      <c r="T448" s="8"/>
      <c r="U448" s="8"/>
      <c r="V448" s="8"/>
      <c r="W448" s="4" t="str">
        <f>IF($C448="","",SUMPRODUCT(($C$2:C448=C448)+($D$2:D448=C448)))</f>
        <v/>
      </c>
      <c r="X448" s="4" t="str">
        <f>IF($D448="","",SUMPRODUCT(($C$2:C448=D448)+($D$2:D448=D448)))</f>
        <v/>
      </c>
      <c r="Y448" s="4" t="str">
        <f t="shared" si="36"/>
        <v/>
      </c>
      <c r="Z448" s="4" t="str">
        <f t="shared" si="37"/>
        <v/>
      </c>
      <c r="AA448" s="4" t="str">
        <f>IF($C448="","",IF(COUNTIF($C$1:C447,$C448)+COUNTIF($D$1:D447,$C448)=0,1,0))</f>
        <v/>
      </c>
      <c r="AB448" s="4" t="str">
        <f>IF($D448="","",IF(COUNTIF($C$1:C448,$D448)+COUNTIF($D$1:D447,$D448)=0,1,0))</f>
        <v/>
      </c>
      <c r="AC448" s="4" t="str">
        <f>IF(AA448=1,SUM($AA$2:AA448)-AA448+SUM($AB$2:AB448)-AB448+1,"")</f>
        <v/>
      </c>
      <c r="AD448" s="4" t="str">
        <f>IF(AB448=1,SUM($AA$2:AA448)+SUM($AB$2:AB448)-AB448+1,"")</f>
        <v/>
      </c>
      <c r="AE448" s="4" t="str">
        <f t="shared" si="38"/>
        <v/>
      </c>
      <c r="AF448" s="4" t="str">
        <f t="shared" si="39"/>
        <v/>
      </c>
      <c r="AG448" s="8">
        <f t="shared" si="40"/>
        <v>0</v>
      </c>
      <c r="AI448" s="8">
        <f t="shared" si="41"/>
        <v>0</v>
      </c>
    </row>
    <row r="449" spans="1:35" ht="15" customHeight="1" x14ac:dyDescent="0.25">
      <c r="A449" s="10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3"/>
      <c r="P449" s="3"/>
      <c r="Q449" s="8"/>
      <c r="R449" s="8"/>
      <c r="S449" s="8"/>
      <c r="T449" s="8"/>
      <c r="U449" s="8"/>
      <c r="V449" s="8"/>
      <c r="W449" s="4" t="str">
        <f>IF($C449="","",SUMPRODUCT(($C$2:C449=C449)+($D$2:D449=C449)))</f>
        <v/>
      </c>
      <c r="X449" s="4" t="str">
        <f>IF($D449="","",SUMPRODUCT(($C$2:C449=D449)+($D$2:D449=D449)))</f>
        <v/>
      </c>
      <c r="Y449" s="4" t="str">
        <f t="shared" si="36"/>
        <v/>
      </c>
      <c r="Z449" s="4" t="str">
        <f t="shared" si="37"/>
        <v/>
      </c>
      <c r="AA449" s="4" t="str">
        <f>IF($C449="","",IF(COUNTIF($C$1:C448,$C449)+COUNTIF($D$1:D448,$C449)=0,1,0))</f>
        <v/>
      </c>
      <c r="AB449" s="4" t="str">
        <f>IF($D449="","",IF(COUNTIF($C$1:C449,$D449)+COUNTIF($D$1:D448,$D449)=0,1,0))</f>
        <v/>
      </c>
      <c r="AC449" s="4" t="str">
        <f>IF(AA449=1,SUM($AA$2:AA449)-AA449+SUM($AB$2:AB449)-AB449+1,"")</f>
        <v/>
      </c>
      <c r="AD449" s="4" t="str">
        <f>IF(AB449=1,SUM($AA$2:AA449)+SUM($AB$2:AB449)-AB449+1,"")</f>
        <v/>
      </c>
      <c r="AE449" s="4" t="str">
        <f t="shared" si="38"/>
        <v/>
      </c>
      <c r="AF449" s="4" t="str">
        <f t="shared" si="39"/>
        <v/>
      </c>
      <c r="AG449" s="8">
        <f t="shared" si="40"/>
        <v>0</v>
      </c>
      <c r="AI449" s="8">
        <f t="shared" si="41"/>
        <v>0</v>
      </c>
    </row>
    <row r="450" spans="1:35" ht="15" customHeight="1" x14ac:dyDescent="0.25">
      <c r="A450" s="10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3"/>
      <c r="P450" s="3"/>
      <c r="Q450" s="8"/>
      <c r="R450" s="8"/>
      <c r="S450" s="8"/>
      <c r="T450" s="8"/>
      <c r="U450" s="8"/>
      <c r="V450" s="8"/>
      <c r="W450" s="4" t="str">
        <f>IF($C450="","",SUMPRODUCT(($C$2:C450=C450)+($D$2:D450=C450)))</f>
        <v/>
      </c>
      <c r="X450" s="4" t="str">
        <f>IF($D450="","",SUMPRODUCT(($C$2:C450=D450)+($D$2:D450=D450)))</f>
        <v/>
      </c>
      <c r="Y450" s="4" t="str">
        <f t="shared" ref="Y450:Y513" si="42">IF($C450="","",C450&amp;"|"&amp;W450)</f>
        <v/>
      </c>
      <c r="Z450" s="4" t="str">
        <f t="shared" ref="Z450:Z513" si="43">IF($D450="","",D450&amp;"|"&amp;X450)</f>
        <v/>
      </c>
      <c r="AA450" s="4" t="str">
        <f>IF($C450="","",IF(COUNTIF($C$1:C449,$C450)+COUNTIF($D$1:D449,$C450)=0,1,0))</f>
        <v/>
      </c>
      <c r="AB450" s="4" t="str">
        <f>IF($D450="","",IF(COUNTIF($C$1:C450,$D450)+COUNTIF($D$1:D449,$D450)=0,1,0))</f>
        <v/>
      </c>
      <c r="AC450" s="4" t="str">
        <f>IF(AA450=1,SUM($AA$2:AA450)-AA450+SUM($AB$2:AB450)-AB450+1,"")</f>
        <v/>
      </c>
      <c r="AD450" s="4" t="str">
        <f>IF(AB450=1,SUM($AA$2:AA450)+SUM($AB$2:AB450)-AB450+1,"")</f>
        <v/>
      </c>
      <c r="AE450" s="4" t="str">
        <f t="shared" ref="AE450:AE513" si="44">IF(AC450="","","TEAM|"&amp;AC450)</f>
        <v/>
      </c>
      <c r="AF450" s="4" t="str">
        <f t="shared" ref="AF450:AF513" si="45">IF(AD450="","","TEAM|"&amp;AD450)</f>
        <v/>
      </c>
      <c r="AG450" s="8">
        <f t="shared" ref="AG450:AG513" si="46">IF(AH450="",0,LEN(AH450)-LEN(SUBSTITUTE(AH450,"/",""))+1)</f>
        <v>0</v>
      </c>
      <c r="AI450" s="8">
        <f t="shared" ref="AI450:AI513" si="47">IF(AJ450="",0,LEN(AJ450)-LEN(SUBSTITUTE(AJ450,"/",""))+1)</f>
        <v>0</v>
      </c>
    </row>
    <row r="451" spans="1:35" ht="15" customHeight="1" x14ac:dyDescent="0.25">
      <c r="A451" s="10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3"/>
      <c r="P451" s="3"/>
      <c r="Q451" s="8"/>
      <c r="R451" s="8"/>
      <c r="S451" s="8"/>
      <c r="T451" s="8"/>
      <c r="U451" s="8"/>
      <c r="V451" s="8"/>
      <c r="W451" s="4" t="str">
        <f>IF($C451="","",SUMPRODUCT(($C$2:C451=C451)+($D$2:D451=C451)))</f>
        <v/>
      </c>
      <c r="X451" s="4" t="str">
        <f>IF($D451="","",SUMPRODUCT(($C$2:C451=D451)+($D$2:D451=D451)))</f>
        <v/>
      </c>
      <c r="Y451" s="4" t="str">
        <f t="shared" si="42"/>
        <v/>
      </c>
      <c r="Z451" s="4" t="str">
        <f t="shared" si="43"/>
        <v/>
      </c>
      <c r="AA451" s="4" t="str">
        <f>IF($C451="","",IF(COUNTIF($C$1:C450,$C451)+COUNTIF($D$1:D450,$C451)=0,1,0))</f>
        <v/>
      </c>
      <c r="AB451" s="4" t="str">
        <f>IF($D451="","",IF(COUNTIF($C$1:C451,$D451)+COUNTIF($D$1:D450,$D451)=0,1,0))</f>
        <v/>
      </c>
      <c r="AC451" s="4" t="str">
        <f>IF(AA451=1,SUM($AA$2:AA451)-AA451+SUM($AB$2:AB451)-AB451+1,"")</f>
        <v/>
      </c>
      <c r="AD451" s="4" t="str">
        <f>IF(AB451=1,SUM($AA$2:AA451)+SUM($AB$2:AB451)-AB451+1,"")</f>
        <v/>
      </c>
      <c r="AE451" s="4" t="str">
        <f t="shared" si="44"/>
        <v/>
      </c>
      <c r="AF451" s="4" t="str">
        <f t="shared" si="45"/>
        <v/>
      </c>
      <c r="AG451" s="8">
        <f t="shared" si="46"/>
        <v>0</v>
      </c>
      <c r="AI451" s="8">
        <f t="shared" si="47"/>
        <v>0</v>
      </c>
    </row>
    <row r="452" spans="1:35" ht="15" customHeight="1" x14ac:dyDescent="0.25">
      <c r="A452" s="10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3"/>
      <c r="P452" s="3"/>
      <c r="Q452" s="8"/>
      <c r="R452" s="8"/>
      <c r="S452" s="8"/>
      <c r="T452" s="8"/>
      <c r="U452" s="8"/>
      <c r="V452" s="8"/>
      <c r="W452" s="4" t="str">
        <f>IF($C452="","",SUMPRODUCT(($C$2:C452=C452)+($D$2:D452=C452)))</f>
        <v/>
      </c>
      <c r="X452" s="4" t="str">
        <f>IF($D452="","",SUMPRODUCT(($C$2:C452=D452)+($D$2:D452=D452)))</f>
        <v/>
      </c>
      <c r="Y452" s="4" t="str">
        <f t="shared" si="42"/>
        <v/>
      </c>
      <c r="Z452" s="4" t="str">
        <f t="shared" si="43"/>
        <v/>
      </c>
      <c r="AA452" s="4" t="str">
        <f>IF($C452="","",IF(COUNTIF($C$1:C451,$C452)+COUNTIF($D$1:D451,$C452)=0,1,0))</f>
        <v/>
      </c>
      <c r="AB452" s="4" t="str">
        <f>IF($D452="","",IF(COUNTIF($C$1:C452,$D452)+COUNTIF($D$1:D451,$D452)=0,1,0))</f>
        <v/>
      </c>
      <c r="AC452" s="4" t="str">
        <f>IF(AA452=1,SUM($AA$2:AA452)-AA452+SUM($AB$2:AB452)-AB452+1,"")</f>
        <v/>
      </c>
      <c r="AD452" s="4" t="str">
        <f>IF(AB452=1,SUM($AA$2:AA452)+SUM($AB$2:AB452)-AB452+1,"")</f>
        <v/>
      </c>
      <c r="AE452" s="4" t="str">
        <f t="shared" si="44"/>
        <v/>
      </c>
      <c r="AF452" s="4" t="str">
        <f t="shared" si="45"/>
        <v/>
      </c>
      <c r="AG452" s="8">
        <f t="shared" si="46"/>
        <v>0</v>
      </c>
      <c r="AI452" s="8">
        <f t="shared" si="47"/>
        <v>0</v>
      </c>
    </row>
    <row r="453" spans="1:35" ht="15" customHeight="1" x14ac:dyDescent="0.25">
      <c r="A453" s="10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3"/>
      <c r="P453" s="3"/>
      <c r="Q453" s="8"/>
      <c r="R453" s="8"/>
      <c r="S453" s="8"/>
      <c r="T453" s="8"/>
      <c r="U453" s="8"/>
      <c r="V453" s="8"/>
      <c r="W453" s="4" t="str">
        <f>IF($C453="","",SUMPRODUCT(($C$2:C453=C453)+($D$2:D453=C453)))</f>
        <v/>
      </c>
      <c r="X453" s="4" t="str">
        <f>IF($D453="","",SUMPRODUCT(($C$2:C453=D453)+($D$2:D453=D453)))</f>
        <v/>
      </c>
      <c r="Y453" s="4" t="str">
        <f t="shared" si="42"/>
        <v/>
      </c>
      <c r="Z453" s="4" t="str">
        <f t="shared" si="43"/>
        <v/>
      </c>
      <c r="AA453" s="4" t="str">
        <f>IF($C453="","",IF(COUNTIF($C$1:C452,$C453)+COUNTIF($D$1:D452,$C453)=0,1,0))</f>
        <v/>
      </c>
      <c r="AB453" s="4" t="str">
        <f>IF($D453="","",IF(COUNTIF($C$1:C453,$D453)+COUNTIF($D$1:D452,$D453)=0,1,0))</f>
        <v/>
      </c>
      <c r="AC453" s="4" t="str">
        <f>IF(AA453=1,SUM($AA$2:AA453)-AA453+SUM($AB$2:AB453)-AB453+1,"")</f>
        <v/>
      </c>
      <c r="AD453" s="4" t="str">
        <f>IF(AB453=1,SUM($AA$2:AA453)+SUM($AB$2:AB453)-AB453+1,"")</f>
        <v/>
      </c>
      <c r="AE453" s="4" t="str">
        <f t="shared" si="44"/>
        <v/>
      </c>
      <c r="AF453" s="4" t="str">
        <f t="shared" si="45"/>
        <v/>
      </c>
      <c r="AG453" s="8">
        <f t="shared" si="46"/>
        <v>0</v>
      </c>
      <c r="AI453" s="8">
        <f t="shared" si="47"/>
        <v>0</v>
      </c>
    </row>
    <row r="454" spans="1:35" ht="15" customHeight="1" x14ac:dyDescent="0.25">
      <c r="A454" s="10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3"/>
      <c r="P454" s="3"/>
      <c r="Q454" s="8"/>
      <c r="R454" s="8"/>
      <c r="S454" s="8"/>
      <c r="T454" s="8"/>
      <c r="U454" s="8"/>
      <c r="V454" s="8"/>
      <c r="W454" s="4" t="str">
        <f>IF($C454="","",SUMPRODUCT(($C$2:C454=C454)+($D$2:D454=C454)))</f>
        <v/>
      </c>
      <c r="X454" s="4" t="str">
        <f>IF($D454="","",SUMPRODUCT(($C$2:C454=D454)+($D$2:D454=D454)))</f>
        <v/>
      </c>
      <c r="Y454" s="4" t="str">
        <f t="shared" si="42"/>
        <v/>
      </c>
      <c r="Z454" s="4" t="str">
        <f t="shared" si="43"/>
        <v/>
      </c>
      <c r="AA454" s="4" t="str">
        <f>IF($C454="","",IF(COUNTIF($C$1:C453,$C454)+COUNTIF($D$1:D453,$C454)=0,1,0))</f>
        <v/>
      </c>
      <c r="AB454" s="4" t="str">
        <f>IF($D454="","",IF(COUNTIF($C$1:C454,$D454)+COUNTIF($D$1:D453,$D454)=0,1,0))</f>
        <v/>
      </c>
      <c r="AC454" s="4" t="str">
        <f>IF(AA454=1,SUM($AA$2:AA454)-AA454+SUM($AB$2:AB454)-AB454+1,"")</f>
        <v/>
      </c>
      <c r="AD454" s="4" t="str">
        <f>IF(AB454=1,SUM($AA$2:AA454)+SUM($AB$2:AB454)-AB454+1,"")</f>
        <v/>
      </c>
      <c r="AE454" s="4" t="str">
        <f t="shared" si="44"/>
        <v/>
      </c>
      <c r="AF454" s="4" t="str">
        <f t="shared" si="45"/>
        <v/>
      </c>
      <c r="AG454" s="8">
        <f t="shared" si="46"/>
        <v>0</v>
      </c>
      <c r="AI454" s="8">
        <f t="shared" si="47"/>
        <v>0</v>
      </c>
    </row>
    <row r="455" spans="1:35" ht="15" customHeight="1" x14ac:dyDescent="0.25">
      <c r="A455" s="10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3"/>
      <c r="P455" s="3"/>
      <c r="Q455" s="8"/>
      <c r="R455" s="8"/>
      <c r="S455" s="8"/>
      <c r="T455" s="8"/>
      <c r="U455" s="8"/>
      <c r="V455" s="8"/>
      <c r="W455" s="4" t="str">
        <f>IF($C455="","",SUMPRODUCT(($C$2:C455=C455)+($D$2:D455=C455)))</f>
        <v/>
      </c>
      <c r="X455" s="4" t="str">
        <f>IF($D455="","",SUMPRODUCT(($C$2:C455=D455)+($D$2:D455=D455)))</f>
        <v/>
      </c>
      <c r="Y455" s="4" t="str">
        <f t="shared" si="42"/>
        <v/>
      </c>
      <c r="Z455" s="4" t="str">
        <f t="shared" si="43"/>
        <v/>
      </c>
      <c r="AA455" s="4" t="str">
        <f>IF($C455="","",IF(COUNTIF($C$1:C454,$C455)+COUNTIF($D$1:D454,$C455)=0,1,0))</f>
        <v/>
      </c>
      <c r="AB455" s="4" t="str">
        <f>IF($D455="","",IF(COUNTIF($C$1:C455,$D455)+COUNTIF($D$1:D454,$D455)=0,1,0))</f>
        <v/>
      </c>
      <c r="AC455" s="4" t="str">
        <f>IF(AA455=1,SUM($AA$2:AA455)-AA455+SUM($AB$2:AB455)-AB455+1,"")</f>
        <v/>
      </c>
      <c r="AD455" s="4" t="str">
        <f>IF(AB455=1,SUM($AA$2:AA455)+SUM($AB$2:AB455)-AB455+1,"")</f>
        <v/>
      </c>
      <c r="AE455" s="4" t="str">
        <f t="shared" si="44"/>
        <v/>
      </c>
      <c r="AF455" s="4" t="str">
        <f t="shared" si="45"/>
        <v/>
      </c>
      <c r="AG455" s="8">
        <f t="shared" si="46"/>
        <v>0</v>
      </c>
      <c r="AI455" s="8">
        <f t="shared" si="47"/>
        <v>0</v>
      </c>
    </row>
    <row r="456" spans="1:35" ht="15" customHeight="1" x14ac:dyDescent="0.25">
      <c r="A456" s="10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3"/>
      <c r="P456" s="3"/>
      <c r="Q456" s="8"/>
      <c r="R456" s="8"/>
      <c r="S456" s="8"/>
      <c r="T456" s="8"/>
      <c r="U456" s="8"/>
      <c r="V456" s="8"/>
      <c r="W456" s="4" t="str">
        <f>IF($C456="","",SUMPRODUCT(($C$2:C456=C456)+($D$2:D456=C456)))</f>
        <v/>
      </c>
      <c r="X456" s="4" t="str">
        <f>IF($D456="","",SUMPRODUCT(($C$2:C456=D456)+($D$2:D456=D456)))</f>
        <v/>
      </c>
      <c r="Y456" s="4" t="str">
        <f t="shared" si="42"/>
        <v/>
      </c>
      <c r="Z456" s="4" t="str">
        <f t="shared" si="43"/>
        <v/>
      </c>
      <c r="AA456" s="4" t="str">
        <f>IF($C456="","",IF(COUNTIF($C$1:C455,$C456)+COUNTIF($D$1:D455,$C456)=0,1,0))</f>
        <v/>
      </c>
      <c r="AB456" s="4" t="str">
        <f>IF($D456="","",IF(COUNTIF($C$1:C456,$D456)+COUNTIF($D$1:D455,$D456)=0,1,0))</f>
        <v/>
      </c>
      <c r="AC456" s="4" t="str">
        <f>IF(AA456=1,SUM($AA$2:AA456)-AA456+SUM($AB$2:AB456)-AB456+1,"")</f>
        <v/>
      </c>
      <c r="AD456" s="4" t="str">
        <f>IF(AB456=1,SUM($AA$2:AA456)+SUM($AB$2:AB456)-AB456+1,"")</f>
        <v/>
      </c>
      <c r="AE456" s="4" t="str">
        <f t="shared" si="44"/>
        <v/>
      </c>
      <c r="AF456" s="4" t="str">
        <f t="shared" si="45"/>
        <v/>
      </c>
      <c r="AG456" s="8">
        <f t="shared" si="46"/>
        <v>0</v>
      </c>
      <c r="AI456" s="8">
        <f t="shared" si="47"/>
        <v>0</v>
      </c>
    </row>
    <row r="457" spans="1:35" ht="15" customHeight="1" x14ac:dyDescent="0.25">
      <c r="A457" s="10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3"/>
      <c r="P457" s="3"/>
      <c r="Q457" s="8"/>
      <c r="R457" s="8"/>
      <c r="S457" s="8"/>
      <c r="T457" s="8"/>
      <c r="U457" s="8"/>
      <c r="V457" s="8"/>
      <c r="W457" s="4" t="str">
        <f>IF($C457="","",SUMPRODUCT(($C$2:C457=C457)+($D$2:D457=C457)))</f>
        <v/>
      </c>
      <c r="X457" s="4" t="str">
        <f>IF($D457="","",SUMPRODUCT(($C$2:C457=D457)+($D$2:D457=D457)))</f>
        <v/>
      </c>
      <c r="Y457" s="4" t="str">
        <f t="shared" si="42"/>
        <v/>
      </c>
      <c r="Z457" s="4" t="str">
        <f t="shared" si="43"/>
        <v/>
      </c>
      <c r="AA457" s="4" t="str">
        <f>IF($C457="","",IF(COUNTIF($C$1:C456,$C457)+COUNTIF($D$1:D456,$C457)=0,1,0))</f>
        <v/>
      </c>
      <c r="AB457" s="4" t="str">
        <f>IF($D457="","",IF(COUNTIF($C$1:C457,$D457)+COUNTIF($D$1:D456,$D457)=0,1,0))</f>
        <v/>
      </c>
      <c r="AC457" s="4" t="str">
        <f>IF(AA457=1,SUM($AA$2:AA457)-AA457+SUM($AB$2:AB457)-AB457+1,"")</f>
        <v/>
      </c>
      <c r="AD457" s="4" t="str">
        <f>IF(AB457=1,SUM($AA$2:AA457)+SUM($AB$2:AB457)-AB457+1,"")</f>
        <v/>
      </c>
      <c r="AE457" s="4" t="str">
        <f t="shared" si="44"/>
        <v/>
      </c>
      <c r="AF457" s="4" t="str">
        <f t="shared" si="45"/>
        <v/>
      </c>
      <c r="AG457" s="8">
        <f t="shared" si="46"/>
        <v>0</v>
      </c>
      <c r="AI457" s="8">
        <f t="shared" si="47"/>
        <v>0</v>
      </c>
    </row>
    <row r="458" spans="1:35" ht="15" customHeight="1" x14ac:dyDescent="0.25">
      <c r="A458" s="10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3"/>
      <c r="P458" s="3"/>
      <c r="Q458" s="8"/>
      <c r="R458" s="8"/>
      <c r="S458" s="8"/>
      <c r="T458" s="8"/>
      <c r="U458" s="8"/>
      <c r="V458" s="8"/>
      <c r="W458" s="4" t="str">
        <f>IF($C458="","",SUMPRODUCT(($C$2:C458=C458)+($D$2:D458=C458)))</f>
        <v/>
      </c>
      <c r="X458" s="4" t="str">
        <f>IF($D458="","",SUMPRODUCT(($C$2:C458=D458)+($D$2:D458=D458)))</f>
        <v/>
      </c>
      <c r="Y458" s="4" t="str">
        <f t="shared" si="42"/>
        <v/>
      </c>
      <c r="Z458" s="4" t="str">
        <f t="shared" si="43"/>
        <v/>
      </c>
      <c r="AA458" s="4" t="str">
        <f>IF($C458="","",IF(COUNTIF($C$1:C457,$C458)+COUNTIF($D$1:D457,$C458)=0,1,0))</f>
        <v/>
      </c>
      <c r="AB458" s="4" t="str">
        <f>IF($D458="","",IF(COUNTIF($C$1:C458,$D458)+COUNTIF($D$1:D457,$D458)=0,1,0))</f>
        <v/>
      </c>
      <c r="AC458" s="4" t="str">
        <f>IF(AA458=1,SUM($AA$2:AA458)-AA458+SUM($AB$2:AB458)-AB458+1,"")</f>
        <v/>
      </c>
      <c r="AD458" s="4" t="str">
        <f>IF(AB458=1,SUM($AA$2:AA458)+SUM($AB$2:AB458)-AB458+1,"")</f>
        <v/>
      </c>
      <c r="AE458" s="4" t="str">
        <f t="shared" si="44"/>
        <v/>
      </c>
      <c r="AF458" s="4" t="str">
        <f t="shared" si="45"/>
        <v/>
      </c>
      <c r="AG458" s="8">
        <f t="shared" si="46"/>
        <v>0</v>
      </c>
      <c r="AI458" s="8">
        <f t="shared" si="47"/>
        <v>0</v>
      </c>
    </row>
    <row r="459" spans="1:35" ht="15" customHeight="1" x14ac:dyDescent="0.25">
      <c r="A459" s="10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3"/>
      <c r="P459" s="3"/>
      <c r="Q459" s="8"/>
      <c r="R459" s="8"/>
      <c r="S459" s="8"/>
      <c r="T459" s="8"/>
      <c r="U459" s="8"/>
      <c r="V459" s="8"/>
      <c r="W459" s="4" t="str">
        <f>IF($C459="","",SUMPRODUCT(($C$2:C459=C459)+($D$2:D459=C459)))</f>
        <v/>
      </c>
      <c r="X459" s="4" t="str">
        <f>IF($D459="","",SUMPRODUCT(($C$2:C459=D459)+($D$2:D459=D459)))</f>
        <v/>
      </c>
      <c r="Y459" s="4" t="str">
        <f t="shared" si="42"/>
        <v/>
      </c>
      <c r="Z459" s="4" t="str">
        <f t="shared" si="43"/>
        <v/>
      </c>
      <c r="AA459" s="4" t="str">
        <f>IF($C459="","",IF(COUNTIF($C$1:C458,$C459)+COUNTIF($D$1:D458,$C459)=0,1,0))</f>
        <v/>
      </c>
      <c r="AB459" s="4" t="str">
        <f>IF($D459="","",IF(COUNTIF($C$1:C459,$D459)+COUNTIF($D$1:D458,$D459)=0,1,0))</f>
        <v/>
      </c>
      <c r="AC459" s="4" t="str">
        <f>IF(AA459=1,SUM($AA$2:AA459)-AA459+SUM($AB$2:AB459)-AB459+1,"")</f>
        <v/>
      </c>
      <c r="AD459" s="4" t="str">
        <f>IF(AB459=1,SUM($AA$2:AA459)+SUM($AB$2:AB459)-AB459+1,"")</f>
        <v/>
      </c>
      <c r="AE459" s="4" t="str">
        <f t="shared" si="44"/>
        <v/>
      </c>
      <c r="AF459" s="4" t="str">
        <f t="shared" si="45"/>
        <v/>
      </c>
      <c r="AG459" s="8">
        <f t="shared" si="46"/>
        <v>0</v>
      </c>
      <c r="AI459" s="8">
        <f t="shared" si="47"/>
        <v>0</v>
      </c>
    </row>
    <row r="460" spans="1:35" ht="15" customHeight="1" x14ac:dyDescent="0.25">
      <c r="A460" s="10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3"/>
      <c r="P460" s="3"/>
      <c r="Q460" s="8"/>
      <c r="R460" s="8"/>
      <c r="S460" s="8"/>
      <c r="T460" s="8"/>
      <c r="U460" s="8"/>
      <c r="V460" s="8"/>
      <c r="W460" s="4" t="str">
        <f>IF($C460="","",SUMPRODUCT(($C$2:C460=C460)+($D$2:D460=C460)))</f>
        <v/>
      </c>
      <c r="X460" s="4" t="str">
        <f>IF($D460="","",SUMPRODUCT(($C$2:C460=D460)+($D$2:D460=D460)))</f>
        <v/>
      </c>
      <c r="Y460" s="4" t="str">
        <f t="shared" si="42"/>
        <v/>
      </c>
      <c r="Z460" s="4" t="str">
        <f t="shared" si="43"/>
        <v/>
      </c>
      <c r="AA460" s="4" t="str">
        <f>IF($C460="","",IF(COUNTIF($C$1:C459,$C460)+COUNTIF($D$1:D459,$C460)=0,1,0))</f>
        <v/>
      </c>
      <c r="AB460" s="4" t="str">
        <f>IF($D460="","",IF(COUNTIF($C$1:C460,$D460)+COUNTIF($D$1:D459,$D460)=0,1,0))</f>
        <v/>
      </c>
      <c r="AC460" s="4" t="str">
        <f>IF(AA460=1,SUM($AA$2:AA460)-AA460+SUM($AB$2:AB460)-AB460+1,"")</f>
        <v/>
      </c>
      <c r="AD460" s="4" t="str">
        <f>IF(AB460=1,SUM($AA$2:AA460)+SUM($AB$2:AB460)-AB460+1,"")</f>
        <v/>
      </c>
      <c r="AE460" s="4" t="str">
        <f t="shared" si="44"/>
        <v/>
      </c>
      <c r="AF460" s="4" t="str">
        <f t="shared" si="45"/>
        <v/>
      </c>
      <c r="AG460" s="8">
        <f t="shared" si="46"/>
        <v>0</v>
      </c>
      <c r="AI460" s="8">
        <f t="shared" si="47"/>
        <v>0</v>
      </c>
    </row>
    <row r="461" spans="1:35" ht="15" customHeight="1" x14ac:dyDescent="0.25">
      <c r="A461" s="10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3"/>
      <c r="P461" s="3"/>
      <c r="Q461" s="8"/>
      <c r="R461" s="8"/>
      <c r="S461" s="8"/>
      <c r="T461" s="8"/>
      <c r="U461" s="8"/>
      <c r="V461" s="8"/>
      <c r="W461" s="4" t="str">
        <f>IF($C461="","",SUMPRODUCT(($C$2:C461=C461)+($D$2:D461=C461)))</f>
        <v/>
      </c>
      <c r="X461" s="4" t="str">
        <f>IF($D461="","",SUMPRODUCT(($C$2:C461=D461)+($D$2:D461=D461)))</f>
        <v/>
      </c>
      <c r="Y461" s="4" t="str">
        <f t="shared" si="42"/>
        <v/>
      </c>
      <c r="Z461" s="4" t="str">
        <f t="shared" si="43"/>
        <v/>
      </c>
      <c r="AA461" s="4" t="str">
        <f>IF($C461="","",IF(COUNTIF($C$1:C460,$C461)+COUNTIF($D$1:D460,$C461)=0,1,0))</f>
        <v/>
      </c>
      <c r="AB461" s="4" t="str">
        <f>IF($D461="","",IF(COUNTIF($C$1:C461,$D461)+COUNTIF($D$1:D460,$D461)=0,1,0))</f>
        <v/>
      </c>
      <c r="AC461" s="4" t="str">
        <f>IF(AA461=1,SUM($AA$2:AA461)-AA461+SUM($AB$2:AB461)-AB461+1,"")</f>
        <v/>
      </c>
      <c r="AD461" s="4" t="str">
        <f>IF(AB461=1,SUM($AA$2:AA461)+SUM($AB$2:AB461)-AB461+1,"")</f>
        <v/>
      </c>
      <c r="AE461" s="4" t="str">
        <f t="shared" si="44"/>
        <v/>
      </c>
      <c r="AF461" s="4" t="str">
        <f t="shared" si="45"/>
        <v/>
      </c>
      <c r="AG461" s="8">
        <f t="shared" si="46"/>
        <v>0</v>
      </c>
      <c r="AI461" s="8">
        <f t="shared" si="47"/>
        <v>0</v>
      </c>
    </row>
    <row r="462" spans="1:35" ht="15" customHeight="1" x14ac:dyDescent="0.25">
      <c r="A462" s="10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3"/>
      <c r="P462" s="3"/>
      <c r="Q462" s="8"/>
      <c r="R462" s="8"/>
      <c r="S462" s="8"/>
      <c r="T462" s="8"/>
      <c r="U462" s="8"/>
      <c r="V462" s="8"/>
      <c r="W462" s="4" t="str">
        <f>IF($C462="","",SUMPRODUCT(($C$2:C462=C462)+($D$2:D462=C462)))</f>
        <v/>
      </c>
      <c r="X462" s="4" t="str">
        <f>IF($D462="","",SUMPRODUCT(($C$2:C462=D462)+($D$2:D462=D462)))</f>
        <v/>
      </c>
      <c r="Y462" s="4" t="str">
        <f t="shared" si="42"/>
        <v/>
      </c>
      <c r="Z462" s="4" t="str">
        <f t="shared" si="43"/>
        <v/>
      </c>
      <c r="AA462" s="4" t="str">
        <f>IF($C462="","",IF(COUNTIF($C$1:C461,$C462)+COUNTIF($D$1:D461,$C462)=0,1,0))</f>
        <v/>
      </c>
      <c r="AB462" s="4" t="str">
        <f>IF($D462="","",IF(COUNTIF($C$1:C462,$D462)+COUNTIF($D$1:D461,$D462)=0,1,0))</f>
        <v/>
      </c>
      <c r="AC462" s="4" t="str">
        <f>IF(AA462=1,SUM($AA$2:AA462)-AA462+SUM($AB$2:AB462)-AB462+1,"")</f>
        <v/>
      </c>
      <c r="AD462" s="4" t="str">
        <f>IF(AB462=1,SUM($AA$2:AA462)+SUM($AB$2:AB462)-AB462+1,"")</f>
        <v/>
      </c>
      <c r="AE462" s="4" t="str">
        <f t="shared" si="44"/>
        <v/>
      </c>
      <c r="AF462" s="4" t="str">
        <f t="shared" si="45"/>
        <v/>
      </c>
      <c r="AG462" s="8">
        <f t="shared" si="46"/>
        <v>0</v>
      </c>
      <c r="AI462" s="8">
        <f t="shared" si="47"/>
        <v>0</v>
      </c>
    </row>
    <row r="463" spans="1:35" ht="15" customHeight="1" x14ac:dyDescent="0.25">
      <c r="A463" s="10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3"/>
      <c r="P463" s="3"/>
      <c r="Q463" s="8"/>
      <c r="R463" s="8"/>
      <c r="S463" s="8"/>
      <c r="T463" s="8"/>
      <c r="U463" s="8"/>
      <c r="V463" s="8"/>
      <c r="W463" s="4" t="str">
        <f>IF($C463="","",SUMPRODUCT(($C$2:C463=C463)+($D$2:D463=C463)))</f>
        <v/>
      </c>
      <c r="X463" s="4" t="str">
        <f>IF($D463="","",SUMPRODUCT(($C$2:C463=D463)+($D$2:D463=D463)))</f>
        <v/>
      </c>
      <c r="Y463" s="4" t="str">
        <f t="shared" si="42"/>
        <v/>
      </c>
      <c r="Z463" s="4" t="str">
        <f t="shared" si="43"/>
        <v/>
      </c>
      <c r="AA463" s="4" t="str">
        <f>IF($C463="","",IF(COUNTIF($C$1:C462,$C463)+COUNTIF($D$1:D462,$C463)=0,1,0))</f>
        <v/>
      </c>
      <c r="AB463" s="4" t="str">
        <f>IF($D463="","",IF(COUNTIF($C$1:C463,$D463)+COUNTIF($D$1:D462,$D463)=0,1,0))</f>
        <v/>
      </c>
      <c r="AC463" s="4" t="str">
        <f>IF(AA463=1,SUM($AA$2:AA463)-AA463+SUM($AB$2:AB463)-AB463+1,"")</f>
        <v/>
      </c>
      <c r="AD463" s="4" t="str">
        <f>IF(AB463=1,SUM($AA$2:AA463)+SUM($AB$2:AB463)-AB463+1,"")</f>
        <v/>
      </c>
      <c r="AE463" s="4" t="str">
        <f t="shared" si="44"/>
        <v/>
      </c>
      <c r="AF463" s="4" t="str">
        <f t="shared" si="45"/>
        <v/>
      </c>
      <c r="AG463" s="8">
        <f t="shared" si="46"/>
        <v>0</v>
      </c>
      <c r="AI463" s="8">
        <f t="shared" si="47"/>
        <v>0</v>
      </c>
    </row>
    <row r="464" spans="1:35" ht="15" customHeight="1" x14ac:dyDescent="0.25">
      <c r="A464" s="10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3"/>
      <c r="P464" s="3"/>
      <c r="Q464" s="8"/>
      <c r="R464" s="8"/>
      <c r="S464" s="8"/>
      <c r="T464" s="8"/>
      <c r="U464" s="8"/>
      <c r="V464" s="8"/>
      <c r="W464" s="4" t="str">
        <f>IF($C464="","",SUMPRODUCT(($C$2:C464=C464)+($D$2:D464=C464)))</f>
        <v/>
      </c>
      <c r="X464" s="4" t="str">
        <f>IF($D464="","",SUMPRODUCT(($C$2:C464=D464)+($D$2:D464=D464)))</f>
        <v/>
      </c>
      <c r="Y464" s="4" t="str">
        <f t="shared" si="42"/>
        <v/>
      </c>
      <c r="Z464" s="4" t="str">
        <f t="shared" si="43"/>
        <v/>
      </c>
      <c r="AA464" s="4" t="str">
        <f>IF($C464="","",IF(COUNTIF($C$1:C463,$C464)+COUNTIF($D$1:D463,$C464)=0,1,0))</f>
        <v/>
      </c>
      <c r="AB464" s="4" t="str">
        <f>IF($D464="","",IF(COUNTIF($C$1:C464,$D464)+COUNTIF($D$1:D463,$D464)=0,1,0))</f>
        <v/>
      </c>
      <c r="AC464" s="4" t="str">
        <f>IF(AA464=1,SUM($AA$2:AA464)-AA464+SUM($AB$2:AB464)-AB464+1,"")</f>
        <v/>
      </c>
      <c r="AD464" s="4" t="str">
        <f>IF(AB464=1,SUM($AA$2:AA464)+SUM($AB$2:AB464)-AB464+1,"")</f>
        <v/>
      </c>
      <c r="AE464" s="4" t="str">
        <f t="shared" si="44"/>
        <v/>
      </c>
      <c r="AF464" s="4" t="str">
        <f t="shared" si="45"/>
        <v/>
      </c>
      <c r="AG464" s="8">
        <f t="shared" si="46"/>
        <v>0</v>
      </c>
      <c r="AI464" s="8">
        <f t="shared" si="47"/>
        <v>0</v>
      </c>
    </row>
    <row r="465" spans="1:35" ht="15" customHeight="1" x14ac:dyDescent="0.25">
      <c r="A465" s="10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3"/>
      <c r="P465" s="3"/>
      <c r="Q465" s="8"/>
      <c r="R465" s="8"/>
      <c r="S465" s="8"/>
      <c r="T465" s="8"/>
      <c r="U465" s="8"/>
      <c r="V465" s="8"/>
      <c r="W465" s="4" t="str">
        <f>IF($C465="","",SUMPRODUCT(($C$2:C465=C465)+($D$2:D465=C465)))</f>
        <v/>
      </c>
      <c r="X465" s="4" t="str">
        <f>IF($D465="","",SUMPRODUCT(($C$2:C465=D465)+($D$2:D465=D465)))</f>
        <v/>
      </c>
      <c r="Y465" s="4" t="str">
        <f t="shared" si="42"/>
        <v/>
      </c>
      <c r="Z465" s="4" t="str">
        <f t="shared" si="43"/>
        <v/>
      </c>
      <c r="AA465" s="4" t="str">
        <f>IF($C465="","",IF(COUNTIF($C$1:C464,$C465)+COUNTIF($D$1:D464,$C465)=0,1,0))</f>
        <v/>
      </c>
      <c r="AB465" s="4" t="str">
        <f>IF($D465="","",IF(COUNTIF($C$1:C465,$D465)+COUNTIF($D$1:D464,$D465)=0,1,0))</f>
        <v/>
      </c>
      <c r="AC465" s="4" t="str">
        <f>IF(AA465=1,SUM($AA$2:AA465)-AA465+SUM($AB$2:AB465)-AB465+1,"")</f>
        <v/>
      </c>
      <c r="AD465" s="4" t="str">
        <f>IF(AB465=1,SUM($AA$2:AA465)+SUM($AB$2:AB465)-AB465+1,"")</f>
        <v/>
      </c>
      <c r="AE465" s="4" t="str">
        <f t="shared" si="44"/>
        <v/>
      </c>
      <c r="AF465" s="4" t="str">
        <f t="shared" si="45"/>
        <v/>
      </c>
      <c r="AG465" s="8">
        <f t="shared" si="46"/>
        <v>0</v>
      </c>
      <c r="AI465" s="8">
        <f t="shared" si="47"/>
        <v>0</v>
      </c>
    </row>
    <row r="466" spans="1:35" ht="15" customHeight="1" x14ac:dyDescent="0.25">
      <c r="A466" s="10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3"/>
      <c r="P466" s="3"/>
      <c r="Q466" s="8"/>
      <c r="R466" s="8"/>
      <c r="S466" s="8"/>
      <c r="T466" s="8"/>
      <c r="U466" s="8"/>
      <c r="V466" s="8"/>
      <c r="W466" s="4" t="str">
        <f>IF($C466="","",SUMPRODUCT(($C$2:C466=C466)+($D$2:D466=C466)))</f>
        <v/>
      </c>
      <c r="X466" s="4" t="str">
        <f>IF($D466="","",SUMPRODUCT(($C$2:C466=D466)+($D$2:D466=D466)))</f>
        <v/>
      </c>
      <c r="Y466" s="4" t="str">
        <f t="shared" si="42"/>
        <v/>
      </c>
      <c r="Z466" s="4" t="str">
        <f t="shared" si="43"/>
        <v/>
      </c>
      <c r="AA466" s="4" t="str">
        <f>IF($C466="","",IF(COUNTIF($C$1:C465,$C466)+COUNTIF($D$1:D465,$C466)=0,1,0))</f>
        <v/>
      </c>
      <c r="AB466" s="4" t="str">
        <f>IF($D466="","",IF(COUNTIF($C$1:C466,$D466)+COUNTIF($D$1:D465,$D466)=0,1,0))</f>
        <v/>
      </c>
      <c r="AC466" s="4" t="str">
        <f>IF(AA466=1,SUM($AA$2:AA466)-AA466+SUM($AB$2:AB466)-AB466+1,"")</f>
        <v/>
      </c>
      <c r="AD466" s="4" t="str">
        <f>IF(AB466=1,SUM($AA$2:AA466)+SUM($AB$2:AB466)-AB466+1,"")</f>
        <v/>
      </c>
      <c r="AE466" s="4" t="str">
        <f t="shared" si="44"/>
        <v/>
      </c>
      <c r="AF466" s="4" t="str">
        <f t="shared" si="45"/>
        <v/>
      </c>
      <c r="AG466" s="8">
        <f t="shared" si="46"/>
        <v>0</v>
      </c>
      <c r="AI466" s="8">
        <f t="shared" si="47"/>
        <v>0</v>
      </c>
    </row>
    <row r="467" spans="1:35" ht="15" customHeight="1" x14ac:dyDescent="0.25">
      <c r="A467" s="10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3"/>
      <c r="P467" s="3"/>
      <c r="Q467" s="8"/>
      <c r="R467" s="8"/>
      <c r="S467" s="8"/>
      <c r="T467" s="8"/>
      <c r="U467" s="8"/>
      <c r="V467" s="8"/>
      <c r="W467" s="4" t="str">
        <f>IF($C467="","",SUMPRODUCT(($C$2:C467=C467)+($D$2:D467=C467)))</f>
        <v/>
      </c>
      <c r="X467" s="4" t="str">
        <f>IF($D467="","",SUMPRODUCT(($C$2:C467=D467)+($D$2:D467=D467)))</f>
        <v/>
      </c>
      <c r="Y467" s="4" t="str">
        <f t="shared" si="42"/>
        <v/>
      </c>
      <c r="Z467" s="4" t="str">
        <f t="shared" si="43"/>
        <v/>
      </c>
      <c r="AA467" s="4" t="str">
        <f>IF($C467="","",IF(COUNTIF($C$1:C466,$C467)+COUNTIF($D$1:D466,$C467)=0,1,0))</f>
        <v/>
      </c>
      <c r="AB467" s="4" t="str">
        <f>IF($D467="","",IF(COUNTIF($C$1:C467,$D467)+COUNTIF($D$1:D466,$D467)=0,1,0))</f>
        <v/>
      </c>
      <c r="AC467" s="4" t="str">
        <f>IF(AA467=1,SUM($AA$2:AA467)-AA467+SUM($AB$2:AB467)-AB467+1,"")</f>
        <v/>
      </c>
      <c r="AD467" s="4" t="str">
        <f>IF(AB467=1,SUM($AA$2:AA467)+SUM($AB$2:AB467)-AB467+1,"")</f>
        <v/>
      </c>
      <c r="AE467" s="4" t="str">
        <f t="shared" si="44"/>
        <v/>
      </c>
      <c r="AF467" s="4" t="str">
        <f t="shared" si="45"/>
        <v/>
      </c>
      <c r="AG467" s="8">
        <f t="shared" si="46"/>
        <v>0</v>
      </c>
      <c r="AI467" s="8">
        <f t="shared" si="47"/>
        <v>0</v>
      </c>
    </row>
    <row r="468" spans="1:35" ht="15" customHeight="1" x14ac:dyDescent="0.25">
      <c r="A468" s="10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3"/>
      <c r="P468" s="3"/>
      <c r="Q468" s="8"/>
      <c r="R468" s="8"/>
      <c r="S468" s="8"/>
      <c r="T468" s="8"/>
      <c r="U468" s="8"/>
      <c r="V468" s="8"/>
      <c r="W468" s="4" t="str">
        <f>IF($C468="","",SUMPRODUCT(($C$2:C468=C468)+($D$2:D468=C468)))</f>
        <v/>
      </c>
      <c r="X468" s="4" t="str">
        <f>IF($D468="","",SUMPRODUCT(($C$2:C468=D468)+($D$2:D468=D468)))</f>
        <v/>
      </c>
      <c r="Y468" s="4" t="str">
        <f t="shared" si="42"/>
        <v/>
      </c>
      <c r="Z468" s="4" t="str">
        <f t="shared" si="43"/>
        <v/>
      </c>
      <c r="AA468" s="4" t="str">
        <f>IF($C468="","",IF(COUNTIF($C$1:C467,$C468)+COUNTIF($D$1:D467,$C468)=0,1,0))</f>
        <v/>
      </c>
      <c r="AB468" s="4" t="str">
        <f>IF($D468="","",IF(COUNTIF($C$1:C468,$D468)+COUNTIF($D$1:D467,$D468)=0,1,0))</f>
        <v/>
      </c>
      <c r="AC468" s="4" t="str">
        <f>IF(AA468=1,SUM($AA$2:AA468)-AA468+SUM($AB$2:AB468)-AB468+1,"")</f>
        <v/>
      </c>
      <c r="AD468" s="4" t="str">
        <f>IF(AB468=1,SUM($AA$2:AA468)+SUM($AB$2:AB468)-AB468+1,"")</f>
        <v/>
      </c>
      <c r="AE468" s="4" t="str">
        <f t="shared" si="44"/>
        <v/>
      </c>
      <c r="AF468" s="4" t="str">
        <f t="shared" si="45"/>
        <v/>
      </c>
      <c r="AG468" s="8">
        <f t="shared" si="46"/>
        <v>0</v>
      </c>
      <c r="AI468" s="8">
        <f t="shared" si="47"/>
        <v>0</v>
      </c>
    </row>
    <row r="469" spans="1:35" ht="15" customHeight="1" x14ac:dyDescent="0.25">
      <c r="A469" s="10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3"/>
      <c r="P469" s="3"/>
      <c r="Q469" s="8"/>
      <c r="R469" s="8"/>
      <c r="S469" s="8"/>
      <c r="T469" s="8"/>
      <c r="U469" s="8"/>
      <c r="V469" s="8"/>
      <c r="W469" s="4" t="str">
        <f>IF($C469="","",SUMPRODUCT(($C$2:C469=C469)+($D$2:D469=C469)))</f>
        <v/>
      </c>
      <c r="X469" s="4" t="str">
        <f>IF($D469="","",SUMPRODUCT(($C$2:C469=D469)+($D$2:D469=D469)))</f>
        <v/>
      </c>
      <c r="Y469" s="4" t="str">
        <f t="shared" si="42"/>
        <v/>
      </c>
      <c r="Z469" s="4" t="str">
        <f t="shared" si="43"/>
        <v/>
      </c>
      <c r="AA469" s="4" t="str">
        <f>IF($C469="","",IF(COUNTIF($C$1:C468,$C469)+COUNTIF($D$1:D468,$C469)=0,1,0))</f>
        <v/>
      </c>
      <c r="AB469" s="4" t="str">
        <f>IF($D469="","",IF(COUNTIF($C$1:C469,$D469)+COUNTIF($D$1:D468,$D469)=0,1,0))</f>
        <v/>
      </c>
      <c r="AC469" s="4" t="str">
        <f>IF(AA469=1,SUM($AA$2:AA469)-AA469+SUM($AB$2:AB469)-AB469+1,"")</f>
        <v/>
      </c>
      <c r="AD469" s="4" t="str">
        <f>IF(AB469=1,SUM($AA$2:AA469)+SUM($AB$2:AB469)-AB469+1,"")</f>
        <v/>
      </c>
      <c r="AE469" s="4" t="str">
        <f t="shared" si="44"/>
        <v/>
      </c>
      <c r="AF469" s="4" t="str">
        <f t="shared" si="45"/>
        <v/>
      </c>
      <c r="AG469" s="8">
        <f t="shared" si="46"/>
        <v>0</v>
      </c>
      <c r="AI469" s="8">
        <f t="shared" si="47"/>
        <v>0</v>
      </c>
    </row>
    <row r="470" spans="1:35" ht="15" customHeight="1" x14ac:dyDescent="0.25">
      <c r="A470" s="10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3"/>
      <c r="P470" s="3"/>
      <c r="Q470" s="8"/>
      <c r="R470" s="8"/>
      <c r="S470" s="8"/>
      <c r="T470" s="8"/>
      <c r="U470" s="8"/>
      <c r="V470" s="8"/>
      <c r="W470" s="4" t="str">
        <f>IF($C470="","",SUMPRODUCT(($C$2:C470=C470)+($D$2:D470=C470)))</f>
        <v/>
      </c>
      <c r="X470" s="4" t="str">
        <f>IF($D470="","",SUMPRODUCT(($C$2:C470=D470)+($D$2:D470=D470)))</f>
        <v/>
      </c>
      <c r="Y470" s="4" t="str">
        <f t="shared" si="42"/>
        <v/>
      </c>
      <c r="Z470" s="4" t="str">
        <f t="shared" si="43"/>
        <v/>
      </c>
      <c r="AA470" s="4" t="str">
        <f>IF($C470="","",IF(COUNTIF($C$1:C469,$C470)+COUNTIF($D$1:D469,$C470)=0,1,0))</f>
        <v/>
      </c>
      <c r="AB470" s="4" t="str">
        <f>IF($D470="","",IF(COUNTIF($C$1:C470,$D470)+COUNTIF($D$1:D469,$D470)=0,1,0))</f>
        <v/>
      </c>
      <c r="AC470" s="4" t="str">
        <f>IF(AA470=1,SUM($AA$2:AA470)-AA470+SUM($AB$2:AB470)-AB470+1,"")</f>
        <v/>
      </c>
      <c r="AD470" s="4" t="str">
        <f>IF(AB470=1,SUM($AA$2:AA470)+SUM($AB$2:AB470)-AB470+1,"")</f>
        <v/>
      </c>
      <c r="AE470" s="4" t="str">
        <f t="shared" si="44"/>
        <v/>
      </c>
      <c r="AF470" s="4" t="str">
        <f t="shared" si="45"/>
        <v/>
      </c>
      <c r="AG470" s="8">
        <f t="shared" si="46"/>
        <v>0</v>
      </c>
      <c r="AI470" s="8">
        <f t="shared" si="47"/>
        <v>0</v>
      </c>
    </row>
    <row r="471" spans="1:35" ht="15" customHeight="1" x14ac:dyDescent="0.25">
      <c r="A471" s="10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3"/>
      <c r="P471" s="3"/>
      <c r="Q471" s="8"/>
      <c r="R471" s="8"/>
      <c r="S471" s="8"/>
      <c r="T471" s="8"/>
      <c r="U471" s="8"/>
      <c r="V471" s="8"/>
      <c r="W471" s="4" t="str">
        <f>IF($C471="","",SUMPRODUCT(($C$2:C471=C471)+($D$2:D471=C471)))</f>
        <v/>
      </c>
      <c r="X471" s="4" t="str">
        <f>IF($D471="","",SUMPRODUCT(($C$2:C471=D471)+($D$2:D471=D471)))</f>
        <v/>
      </c>
      <c r="Y471" s="4" t="str">
        <f t="shared" si="42"/>
        <v/>
      </c>
      <c r="Z471" s="4" t="str">
        <f t="shared" si="43"/>
        <v/>
      </c>
      <c r="AA471" s="4" t="str">
        <f>IF($C471="","",IF(COUNTIF($C$1:C470,$C471)+COUNTIF($D$1:D470,$C471)=0,1,0))</f>
        <v/>
      </c>
      <c r="AB471" s="4" t="str">
        <f>IF($D471="","",IF(COUNTIF($C$1:C471,$D471)+COUNTIF($D$1:D470,$D471)=0,1,0))</f>
        <v/>
      </c>
      <c r="AC471" s="4" t="str">
        <f>IF(AA471=1,SUM($AA$2:AA471)-AA471+SUM($AB$2:AB471)-AB471+1,"")</f>
        <v/>
      </c>
      <c r="AD471" s="4" t="str">
        <f>IF(AB471=1,SUM($AA$2:AA471)+SUM($AB$2:AB471)-AB471+1,"")</f>
        <v/>
      </c>
      <c r="AE471" s="4" t="str">
        <f t="shared" si="44"/>
        <v/>
      </c>
      <c r="AF471" s="4" t="str">
        <f t="shared" si="45"/>
        <v/>
      </c>
      <c r="AG471" s="8">
        <f t="shared" si="46"/>
        <v>0</v>
      </c>
      <c r="AI471" s="8">
        <f t="shared" si="47"/>
        <v>0</v>
      </c>
    </row>
    <row r="472" spans="1:35" ht="15" customHeight="1" x14ac:dyDescent="0.25">
      <c r="A472" s="10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3"/>
      <c r="P472" s="3"/>
      <c r="Q472" s="8"/>
      <c r="R472" s="8"/>
      <c r="S472" s="8"/>
      <c r="T472" s="8"/>
      <c r="U472" s="8"/>
      <c r="V472" s="8"/>
      <c r="W472" s="4" t="str">
        <f>IF($C472="","",SUMPRODUCT(($C$2:C472=C472)+($D$2:D472=C472)))</f>
        <v/>
      </c>
      <c r="X472" s="4" t="str">
        <f>IF($D472="","",SUMPRODUCT(($C$2:C472=D472)+($D$2:D472=D472)))</f>
        <v/>
      </c>
      <c r="Y472" s="4" t="str">
        <f t="shared" si="42"/>
        <v/>
      </c>
      <c r="Z472" s="4" t="str">
        <f t="shared" si="43"/>
        <v/>
      </c>
      <c r="AA472" s="4" t="str">
        <f>IF($C472="","",IF(COUNTIF($C$1:C471,$C472)+COUNTIF($D$1:D471,$C472)=0,1,0))</f>
        <v/>
      </c>
      <c r="AB472" s="4" t="str">
        <f>IF($D472="","",IF(COUNTIF($C$1:C472,$D472)+COUNTIF($D$1:D471,$D472)=0,1,0))</f>
        <v/>
      </c>
      <c r="AC472" s="4" t="str">
        <f>IF(AA472=1,SUM($AA$2:AA472)-AA472+SUM($AB$2:AB472)-AB472+1,"")</f>
        <v/>
      </c>
      <c r="AD472" s="4" t="str">
        <f>IF(AB472=1,SUM($AA$2:AA472)+SUM($AB$2:AB472)-AB472+1,"")</f>
        <v/>
      </c>
      <c r="AE472" s="4" t="str">
        <f t="shared" si="44"/>
        <v/>
      </c>
      <c r="AF472" s="4" t="str">
        <f t="shared" si="45"/>
        <v/>
      </c>
      <c r="AG472" s="8">
        <f t="shared" si="46"/>
        <v>0</v>
      </c>
      <c r="AI472" s="8">
        <f t="shared" si="47"/>
        <v>0</v>
      </c>
    </row>
    <row r="473" spans="1:35" ht="15" customHeight="1" x14ac:dyDescent="0.25">
      <c r="A473" s="10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3"/>
      <c r="P473" s="3"/>
      <c r="Q473" s="8"/>
      <c r="R473" s="8"/>
      <c r="S473" s="8"/>
      <c r="T473" s="8"/>
      <c r="U473" s="8"/>
      <c r="V473" s="8"/>
      <c r="W473" s="4" t="str">
        <f>IF($C473="","",SUMPRODUCT(($C$2:C473=C473)+($D$2:D473=C473)))</f>
        <v/>
      </c>
      <c r="X473" s="4" t="str">
        <f>IF($D473="","",SUMPRODUCT(($C$2:C473=D473)+($D$2:D473=D473)))</f>
        <v/>
      </c>
      <c r="Y473" s="4" t="str">
        <f t="shared" si="42"/>
        <v/>
      </c>
      <c r="Z473" s="4" t="str">
        <f t="shared" si="43"/>
        <v/>
      </c>
      <c r="AA473" s="4" t="str">
        <f>IF($C473="","",IF(COUNTIF($C$1:C472,$C473)+COUNTIF($D$1:D472,$C473)=0,1,0))</f>
        <v/>
      </c>
      <c r="AB473" s="4" t="str">
        <f>IF($D473="","",IF(COUNTIF($C$1:C473,$D473)+COUNTIF($D$1:D472,$D473)=0,1,0))</f>
        <v/>
      </c>
      <c r="AC473" s="4" t="str">
        <f>IF(AA473=1,SUM($AA$2:AA473)-AA473+SUM($AB$2:AB473)-AB473+1,"")</f>
        <v/>
      </c>
      <c r="AD473" s="4" t="str">
        <f>IF(AB473=1,SUM($AA$2:AA473)+SUM($AB$2:AB473)-AB473+1,"")</f>
        <v/>
      </c>
      <c r="AE473" s="4" t="str">
        <f t="shared" si="44"/>
        <v/>
      </c>
      <c r="AF473" s="4" t="str">
        <f t="shared" si="45"/>
        <v/>
      </c>
      <c r="AG473" s="8">
        <f t="shared" si="46"/>
        <v>0</v>
      </c>
      <c r="AI473" s="8">
        <f t="shared" si="47"/>
        <v>0</v>
      </c>
    </row>
    <row r="474" spans="1:35" ht="15" customHeight="1" x14ac:dyDescent="0.25">
      <c r="A474" s="10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3"/>
      <c r="P474" s="3"/>
      <c r="Q474" s="8"/>
      <c r="R474" s="8"/>
      <c r="S474" s="8"/>
      <c r="T474" s="8"/>
      <c r="U474" s="8"/>
      <c r="V474" s="8"/>
      <c r="W474" s="4" t="str">
        <f>IF($C474="","",SUMPRODUCT(($C$2:C474=C474)+($D$2:D474=C474)))</f>
        <v/>
      </c>
      <c r="X474" s="4" t="str">
        <f>IF($D474="","",SUMPRODUCT(($C$2:C474=D474)+($D$2:D474=D474)))</f>
        <v/>
      </c>
      <c r="Y474" s="4" t="str">
        <f t="shared" si="42"/>
        <v/>
      </c>
      <c r="Z474" s="4" t="str">
        <f t="shared" si="43"/>
        <v/>
      </c>
      <c r="AA474" s="4" t="str">
        <f>IF($C474="","",IF(COUNTIF($C$1:C473,$C474)+COUNTIF($D$1:D473,$C474)=0,1,0))</f>
        <v/>
      </c>
      <c r="AB474" s="4" t="str">
        <f>IF($D474="","",IF(COUNTIF($C$1:C474,$D474)+COUNTIF($D$1:D473,$D474)=0,1,0))</f>
        <v/>
      </c>
      <c r="AC474" s="4" t="str">
        <f>IF(AA474=1,SUM($AA$2:AA474)-AA474+SUM($AB$2:AB474)-AB474+1,"")</f>
        <v/>
      </c>
      <c r="AD474" s="4" t="str">
        <f>IF(AB474=1,SUM($AA$2:AA474)+SUM($AB$2:AB474)-AB474+1,"")</f>
        <v/>
      </c>
      <c r="AE474" s="4" t="str">
        <f t="shared" si="44"/>
        <v/>
      </c>
      <c r="AF474" s="4" t="str">
        <f t="shared" si="45"/>
        <v/>
      </c>
      <c r="AG474" s="8">
        <f t="shared" si="46"/>
        <v>0</v>
      </c>
      <c r="AI474" s="8">
        <f t="shared" si="47"/>
        <v>0</v>
      </c>
    </row>
    <row r="475" spans="1:35" ht="15" customHeight="1" x14ac:dyDescent="0.25">
      <c r="A475" s="10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3"/>
      <c r="P475" s="3"/>
      <c r="Q475" s="8"/>
      <c r="R475" s="8"/>
      <c r="S475" s="8"/>
      <c r="T475" s="8"/>
      <c r="U475" s="8"/>
      <c r="V475" s="8"/>
      <c r="W475" s="4" t="str">
        <f>IF($C475="","",SUMPRODUCT(($C$2:C475=C475)+($D$2:D475=C475)))</f>
        <v/>
      </c>
      <c r="X475" s="4" t="str">
        <f>IF($D475="","",SUMPRODUCT(($C$2:C475=D475)+($D$2:D475=D475)))</f>
        <v/>
      </c>
      <c r="Y475" s="4" t="str">
        <f t="shared" si="42"/>
        <v/>
      </c>
      <c r="Z475" s="4" t="str">
        <f t="shared" si="43"/>
        <v/>
      </c>
      <c r="AA475" s="4" t="str">
        <f>IF($C475="","",IF(COUNTIF($C$1:C474,$C475)+COUNTIF($D$1:D474,$C475)=0,1,0))</f>
        <v/>
      </c>
      <c r="AB475" s="4" t="str">
        <f>IF($D475="","",IF(COUNTIF($C$1:C475,$D475)+COUNTIF($D$1:D474,$D475)=0,1,0))</f>
        <v/>
      </c>
      <c r="AC475" s="4" t="str">
        <f>IF(AA475=1,SUM($AA$2:AA475)-AA475+SUM($AB$2:AB475)-AB475+1,"")</f>
        <v/>
      </c>
      <c r="AD475" s="4" t="str">
        <f>IF(AB475=1,SUM($AA$2:AA475)+SUM($AB$2:AB475)-AB475+1,"")</f>
        <v/>
      </c>
      <c r="AE475" s="4" t="str">
        <f t="shared" si="44"/>
        <v/>
      </c>
      <c r="AF475" s="4" t="str">
        <f t="shared" si="45"/>
        <v/>
      </c>
      <c r="AG475" s="8">
        <f t="shared" si="46"/>
        <v>0</v>
      </c>
      <c r="AI475" s="8">
        <f t="shared" si="47"/>
        <v>0</v>
      </c>
    </row>
    <row r="476" spans="1:35" ht="15" customHeight="1" x14ac:dyDescent="0.25">
      <c r="A476" s="10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3"/>
      <c r="P476" s="3"/>
      <c r="Q476" s="8"/>
      <c r="R476" s="8"/>
      <c r="S476" s="8"/>
      <c r="T476" s="8"/>
      <c r="U476" s="8"/>
      <c r="V476" s="8"/>
      <c r="W476" s="4" t="str">
        <f>IF($C476="","",SUMPRODUCT(($C$2:C476=C476)+($D$2:D476=C476)))</f>
        <v/>
      </c>
      <c r="X476" s="4" t="str">
        <f>IF($D476="","",SUMPRODUCT(($C$2:C476=D476)+($D$2:D476=D476)))</f>
        <v/>
      </c>
      <c r="Y476" s="4" t="str">
        <f t="shared" si="42"/>
        <v/>
      </c>
      <c r="Z476" s="4" t="str">
        <f t="shared" si="43"/>
        <v/>
      </c>
      <c r="AA476" s="4" t="str">
        <f>IF($C476="","",IF(COUNTIF($C$1:C475,$C476)+COUNTIF($D$1:D475,$C476)=0,1,0))</f>
        <v/>
      </c>
      <c r="AB476" s="4" t="str">
        <f>IF($D476="","",IF(COUNTIF($C$1:C476,$D476)+COUNTIF($D$1:D475,$D476)=0,1,0))</f>
        <v/>
      </c>
      <c r="AC476" s="4" t="str">
        <f>IF(AA476=1,SUM($AA$2:AA476)-AA476+SUM($AB$2:AB476)-AB476+1,"")</f>
        <v/>
      </c>
      <c r="AD476" s="4" t="str">
        <f>IF(AB476=1,SUM($AA$2:AA476)+SUM($AB$2:AB476)-AB476+1,"")</f>
        <v/>
      </c>
      <c r="AE476" s="4" t="str">
        <f t="shared" si="44"/>
        <v/>
      </c>
      <c r="AF476" s="4" t="str">
        <f t="shared" si="45"/>
        <v/>
      </c>
      <c r="AG476" s="8">
        <f t="shared" si="46"/>
        <v>0</v>
      </c>
      <c r="AI476" s="8">
        <f t="shared" si="47"/>
        <v>0</v>
      </c>
    </row>
    <row r="477" spans="1:35" ht="15" customHeight="1" x14ac:dyDescent="0.25">
      <c r="A477" s="10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3"/>
      <c r="P477" s="3"/>
      <c r="Q477" s="8"/>
      <c r="R477" s="8"/>
      <c r="S477" s="8"/>
      <c r="T477" s="8"/>
      <c r="U477" s="8"/>
      <c r="V477" s="8"/>
      <c r="W477" s="4" t="str">
        <f>IF($C477="","",SUMPRODUCT(($C$2:C477=C477)+($D$2:D477=C477)))</f>
        <v/>
      </c>
      <c r="X477" s="4" t="str">
        <f>IF($D477="","",SUMPRODUCT(($C$2:C477=D477)+($D$2:D477=D477)))</f>
        <v/>
      </c>
      <c r="Y477" s="4" t="str">
        <f t="shared" si="42"/>
        <v/>
      </c>
      <c r="Z477" s="4" t="str">
        <f t="shared" si="43"/>
        <v/>
      </c>
      <c r="AA477" s="4" t="str">
        <f>IF($C477="","",IF(COUNTIF($C$1:C476,$C477)+COUNTIF($D$1:D476,$C477)=0,1,0))</f>
        <v/>
      </c>
      <c r="AB477" s="4" t="str">
        <f>IF($D477="","",IF(COUNTIF($C$1:C477,$D477)+COUNTIF($D$1:D476,$D477)=0,1,0))</f>
        <v/>
      </c>
      <c r="AC477" s="4" t="str">
        <f>IF(AA477=1,SUM($AA$2:AA477)-AA477+SUM($AB$2:AB477)-AB477+1,"")</f>
        <v/>
      </c>
      <c r="AD477" s="4" t="str">
        <f>IF(AB477=1,SUM($AA$2:AA477)+SUM($AB$2:AB477)-AB477+1,"")</f>
        <v/>
      </c>
      <c r="AE477" s="4" t="str">
        <f t="shared" si="44"/>
        <v/>
      </c>
      <c r="AF477" s="4" t="str">
        <f t="shared" si="45"/>
        <v/>
      </c>
      <c r="AG477" s="8">
        <f t="shared" si="46"/>
        <v>0</v>
      </c>
      <c r="AI477" s="8">
        <f t="shared" si="47"/>
        <v>0</v>
      </c>
    </row>
    <row r="478" spans="1:35" ht="15" customHeight="1" x14ac:dyDescent="0.25">
      <c r="A478" s="10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3"/>
      <c r="P478" s="3"/>
      <c r="Q478" s="8"/>
      <c r="R478" s="8"/>
      <c r="S478" s="8"/>
      <c r="T478" s="8"/>
      <c r="U478" s="8"/>
      <c r="V478" s="8"/>
      <c r="W478" s="4" t="str">
        <f>IF($C478="","",SUMPRODUCT(($C$2:C478=C478)+($D$2:D478=C478)))</f>
        <v/>
      </c>
      <c r="X478" s="4" t="str">
        <f>IF($D478="","",SUMPRODUCT(($C$2:C478=D478)+($D$2:D478=D478)))</f>
        <v/>
      </c>
      <c r="Y478" s="4" t="str">
        <f t="shared" si="42"/>
        <v/>
      </c>
      <c r="Z478" s="4" t="str">
        <f t="shared" si="43"/>
        <v/>
      </c>
      <c r="AA478" s="4" t="str">
        <f>IF($C478="","",IF(COUNTIF($C$1:C477,$C478)+COUNTIF($D$1:D477,$C478)=0,1,0))</f>
        <v/>
      </c>
      <c r="AB478" s="4" t="str">
        <f>IF($D478="","",IF(COUNTIF($C$1:C478,$D478)+COUNTIF($D$1:D477,$D478)=0,1,0))</f>
        <v/>
      </c>
      <c r="AC478" s="4" t="str">
        <f>IF(AA478=1,SUM($AA$2:AA478)-AA478+SUM($AB$2:AB478)-AB478+1,"")</f>
        <v/>
      </c>
      <c r="AD478" s="4" t="str">
        <f>IF(AB478=1,SUM($AA$2:AA478)+SUM($AB$2:AB478)-AB478+1,"")</f>
        <v/>
      </c>
      <c r="AE478" s="4" t="str">
        <f t="shared" si="44"/>
        <v/>
      </c>
      <c r="AF478" s="4" t="str">
        <f t="shared" si="45"/>
        <v/>
      </c>
      <c r="AG478" s="8">
        <f t="shared" si="46"/>
        <v>0</v>
      </c>
      <c r="AI478" s="8">
        <f t="shared" si="47"/>
        <v>0</v>
      </c>
    </row>
    <row r="479" spans="1:35" ht="15" customHeight="1" x14ac:dyDescent="0.25">
      <c r="A479" s="10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3"/>
      <c r="P479" s="3"/>
      <c r="Q479" s="8"/>
      <c r="R479" s="8"/>
      <c r="S479" s="8"/>
      <c r="T479" s="8"/>
      <c r="U479" s="8"/>
      <c r="V479" s="8"/>
      <c r="W479" s="4" t="str">
        <f>IF($C479="","",SUMPRODUCT(($C$2:C479=C479)+($D$2:D479=C479)))</f>
        <v/>
      </c>
      <c r="X479" s="4" t="str">
        <f>IF($D479="","",SUMPRODUCT(($C$2:C479=D479)+($D$2:D479=D479)))</f>
        <v/>
      </c>
      <c r="Y479" s="4" t="str">
        <f t="shared" si="42"/>
        <v/>
      </c>
      <c r="Z479" s="4" t="str">
        <f t="shared" si="43"/>
        <v/>
      </c>
      <c r="AA479" s="4" t="str">
        <f>IF($C479="","",IF(COUNTIF($C$1:C478,$C479)+COUNTIF($D$1:D478,$C479)=0,1,0))</f>
        <v/>
      </c>
      <c r="AB479" s="4" t="str">
        <f>IF($D479="","",IF(COUNTIF($C$1:C479,$D479)+COUNTIF($D$1:D478,$D479)=0,1,0))</f>
        <v/>
      </c>
      <c r="AC479" s="4" t="str">
        <f>IF(AA479=1,SUM($AA$2:AA479)-AA479+SUM($AB$2:AB479)-AB479+1,"")</f>
        <v/>
      </c>
      <c r="AD479" s="4" t="str">
        <f>IF(AB479=1,SUM($AA$2:AA479)+SUM($AB$2:AB479)-AB479+1,"")</f>
        <v/>
      </c>
      <c r="AE479" s="4" t="str">
        <f t="shared" si="44"/>
        <v/>
      </c>
      <c r="AF479" s="4" t="str">
        <f t="shared" si="45"/>
        <v/>
      </c>
      <c r="AG479" s="8">
        <f t="shared" si="46"/>
        <v>0</v>
      </c>
      <c r="AI479" s="8">
        <f t="shared" si="47"/>
        <v>0</v>
      </c>
    </row>
    <row r="480" spans="1:35" ht="15" customHeight="1" x14ac:dyDescent="0.25">
      <c r="A480" s="10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3"/>
      <c r="P480" s="3"/>
      <c r="Q480" s="8"/>
      <c r="R480" s="8"/>
      <c r="S480" s="8"/>
      <c r="T480" s="8"/>
      <c r="U480" s="8"/>
      <c r="V480" s="8"/>
      <c r="W480" s="4" t="str">
        <f>IF($C480="","",SUMPRODUCT(($C$2:C480=C480)+($D$2:D480=C480)))</f>
        <v/>
      </c>
      <c r="X480" s="4" t="str">
        <f>IF($D480="","",SUMPRODUCT(($C$2:C480=D480)+($D$2:D480=D480)))</f>
        <v/>
      </c>
      <c r="Y480" s="4" t="str">
        <f t="shared" si="42"/>
        <v/>
      </c>
      <c r="Z480" s="4" t="str">
        <f t="shared" si="43"/>
        <v/>
      </c>
      <c r="AA480" s="4" t="str">
        <f>IF($C480="","",IF(COUNTIF($C$1:C479,$C480)+COUNTIF($D$1:D479,$C480)=0,1,0))</f>
        <v/>
      </c>
      <c r="AB480" s="4" t="str">
        <f>IF($D480="","",IF(COUNTIF($C$1:C480,$D480)+COUNTIF($D$1:D479,$D480)=0,1,0))</f>
        <v/>
      </c>
      <c r="AC480" s="4" t="str">
        <f>IF(AA480=1,SUM($AA$2:AA480)-AA480+SUM($AB$2:AB480)-AB480+1,"")</f>
        <v/>
      </c>
      <c r="AD480" s="4" t="str">
        <f>IF(AB480=1,SUM($AA$2:AA480)+SUM($AB$2:AB480)-AB480+1,"")</f>
        <v/>
      </c>
      <c r="AE480" s="4" t="str">
        <f t="shared" si="44"/>
        <v/>
      </c>
      <c r="AF480" s="4" t="str">
        <f t="shared" si="45"/>
        <v/>
      </c>
      <c r="AG480" s="8">
        <f t="shared" si="46"/>
        <v>0</v>
      </c>
      <c r="AI480" s="8">
        <f t="shared" si="47"/>
        <v>0</v>
      </c>
    </row>
    <row r="481" spans="1:35" ht="15" customHeight="1" x14ac:dyDescent="0.25">
      <c r="A481" s="10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3"/>
      <c r="P481" s="3"/>
      <c r="Q481" s="8"/>
      <c r="R481" s="8"/>
      <c r="S481" s="8"/>
      <c r="T481" s="8"/>
      <c r="U481" s="8"/>
      <c r="V481" s="8"/>
      <c r="W481" s="4" t="str">
        <f>IF($C481="","",SUMPRODUCT(($C$2:C481=C481)+($D$2:D481=C481)))</f>
        <v/>
      </c>
      <c r="X481" s="4" t="str">
        <f>IF($D481="","",SUMPRODUCT(($C$2:C481=D481)+($D$2:D481=D481)))</f>
        <v/>
      </c>
      <c r="Y481" s="4" t="str">
        <f t="shared" si="42"/>
        <v/>
      </c>
      <c r="Z481" s="4" t="str">
        <f t="shared" si="43"/>
        <v/>
      </c>
      <c r="AA481" s="4" t="str">
        <f>IF($C481="","",IF(COUNTIF($C$1:C480,$C481)+COUNTIF($D$1:D480,$C481)=0,1,0))</f>
        <v/>
      </c>
      <c r="AB481" s="4" t="str">
        <f>IF($D481="","",IF(COUNTIF($C$1:C481,$D481)+COUNTIF($D$1:D480,$D481)=0,1,0))</f>
        <v/>
      </c>
      <c r="AC481" s="4" t="str">
        <f>IF(AA481=1,SUM($AA$2:AA481)-AA481+SUM($AB$2:AB481)-AB481+1,"")</f>
        <v/>
      </c>
      <c r="AD481" s="4" t="str">
        <f>IF(AB481=1,SUM($AA$2:AA481)+SUM($AB$2:AB481)-AB481+1,"")</f>
        <v/>
      </c>
      <c r="AE481" s="4" t="str">
        <f t="shared" si="44"/>
        <v/>
      </c>
      <c r="AF481" s="4" t="str">
        <f t="shared" si="45"/>
        <v/>
      </c>
      <c r="AG481" s="8">
        <f t="shared" si="46"/>
        <v>0</v>
      </c>
      <c r="AI481" s="8">
        <f t="shared" si="47"/>
        <v>0</v>
      </c>
    </row>
    <row r="482" spans="1:35" ht="15" customHeight="1" x14ac:dyDescent="0.25">
      <c r="A482" s="10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3"/>
      <c r="P482" s="3"/>
      <c r="Q482" s="8"/>
      <c r="R482" s="8"/>
      <c r="S482" s="8"/>
      <c r="T482" s="8"/>
      <c r="U482" s="8"/>
      <c r="V482" s="8"/>
      <c r="W482" s="4" t="str">
        <f>IF($C482="","",SUMPRODUCT(($C$2:C482=C482)+($D$2:D482=C482)))</f>
        <v/>
      </c>
      <c r="X482" s="4" t="str">
        <f>IF($D482="","",SUMPRODUCT(($C$2:C482=D482)+($D$2:D482=D482)))</f>
        <v/>
      </c>
      <c r="Y482" s="4" t="str">
        <f t="shared" si="42"/>
        <v/>
      </c>
      <c r="Z482" s="4" t="str">
        <f t="shared" si="43"/>
        <v/>
      </c>
      <c r="AA482" s="4" t="str">
        <f>IF($C482="","",IF(COUNTIF($C$1:C481,$C482)+COUNTIF($D$1:D481,$C482)=0,1,0))</f>
        <v/>
      </c>
      <c r="AB482" s="4" t="str">
        <f>IF($D482="","",IF(COUNTIF($C$1:C482,$D482)+COUNTIF($D$1:D481,$D482)=0,1,0))</f>
        <v/>
      </c>
      <c r="AC482" s="4" t="str">
        <f>IF(AA482=1,SUM($AA$2:AA482)-AA482+SUM($AB$2:AB482)-AB482+1,"")</f>
        <v/>
      </c>
      <c r="AD482" s="4" t="str">
        <f>IF(AB482=1,SUM($AA$2:AA482)+SUM($AB$2:AB482)-AB482+1,"")</f>
        <v/>
      </c>
      <c r="AE482" s="4" t="str">
        <f t="shared" si="44"/>
        <v/>
      </c>
      <c r="AF482" s="4" t="str">
        <f t="shared" si="45"/>
        <v/>
      </c>
      <c r="AG482" s="8">
        <f t="shared" si="46"/>
        <v>0</v>
      </c>
      <c r="AI482" s="8">
        <f t="shared" si="47"/>
        <v>0</v>
      </c>
    </row>
    <row r="483" spans="1:35" ht="15" customHeight="1" x14ac:dyDescent="0.25">
      <c r="A483" s="10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3"/>
      <c r="P483" s="3"/>
      <c r="Q483" s="8"/>
      <c r="R483" s="8"/>
      <c r="S483" s="8"/>
      <c r="T483" s="8"/>
      <c r="U483" s="8"/>
      <c r="V483" s="8"/>
      <c r="W483" s="4" t="str">
        <f>IF($C483="","",SUMPRODUCT(($C$2:C483=C483)+($D$2:D483=C483)))</f>
        <v/>
      </c>
      <c r="X483" s="4" t="str">
        <f>IF($D483="","",SUMPRODUCT(($C$2:C483=D483)+($D$2:D483=D483)))</f>
        <v/>
      </c>
      <c r="Y483" s="4" t="str">
        <f t="shared" si="42"/>
        <v/>
      </c>
      <c r="Z483" s="4" t="str">
        <f t="shared" si="43"/>
        <v/>
      </c>
      <c r="AA483" s="4" t="str">
        <f>IF($C483="","",IF(COUNTIF($C$1:C482,$C483)+COUNTIF($D$1:D482,$C483)=0,1,0))</f>
        <v/>
      </c>
      <c r="AB483" s="4" t="str">
        <f>IF($D483="","",IF(COUNTIF($C$1:C483,$D483)+COUNTIF($D$1:D482,$D483)=0,1,0))</f>
        <v/>
      </c>
      <c r="AC483" s="4" t="str">
        <f>IF(AA483=1,SUM($AA$2:AA483)-AA483+SUM($AB$2:AB483)-AB483+1,"")</f>
        <v/>
      </c>
      <c r="AD483" s="4" t="str">
        <f>IF(AB483=1,SUM($AA$2:AA483)+SUM($AB$2:AB483)-AB483+1,"")</f>
        <v/>
      </c>
      <c r="AE483" s="4" t="str">
        <f t="shared" si="44"/>
        <v/>
      </c>
      <c r="AF483" s="4" t="str">
        <f t="shared" si="45"/>
        <v/>
      </c>
      <c r="AG483" s="8">
        <f t="shared" si="46"/>
        <v>0</v>
      </c>
      <c r="AI483" s="8">
        <f t="shared" si="47"/>
        <v>0</v>
      </c>
    </row>
    <row r="484" spans="1:35" ht="15" customHeight="1" x14ac:dyDescent="0.25">
      <c r="A484" s="10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3"/>
      <c r="P484" s="3"/>
      <c r="Q484" s="8"/>
      <c r="R484" s="8"/>
      <c r="S484" s="8"/>
      <c r="T484" s="8"/>
      <c r="U484" s="8"/>
      <c r="V484" s="8"/>
      <c r="W484" s="4" t="str">
        <f>IF($C484="","",SUMPRODUCT(($C$2:C484=C484)+($D$2:D484=C484)))</f>
        <v/>
      </c>
      <c r="X484" s="4" t="str">
        <f>IF($D484="","",SUMPRODUCT(($C$2:C484=D484)+($D$2:D484=D484)))</f>
        <v/>
      </c>
      <c r="Y484" s="4" t="str">
        <f t="shared" si="42"/>
        <v/>
      </c>
      <c r="Z484" s="4" t="str">
        <f t="shared" si="43"/>
        <v/>
      </c>
      <c r="AA484" s="4" t="str">
        <f>IF($C484="","",IF(COUNTIF($C$1:C483,$C484)+COUNTIF($D$1:D483,$C484)=0,1,0))</f>
        <v/>
      </c>
      <c r="AB484" s="4" t="str">
        <f>IF($D484="","",IF(COUNTIF($C$1:C484,$D484)+COUNTIF($D$1:D483,$D484)=0,1,0))</f>
        <v/>
      </c>
      <c r="AC484" s="4" t="str">
        <f>IF(AA484=1,SUM($AA$2:AA484)-AA484+SUM($AB$2:AB484)-AB484+1,"")</f>
        <v/>
      </c>
      <c r="AD484" s="4" t="str">
        <f>IF(AB484=1,SUM($AA$2:AA484)+SUM($AB$2:AB484)-AB484+1,"")</f>
        <v/>
      </c>
      <c r="AE484" s="4" t="str">
        <f t="shared" si="44"/>
        <v/>
      </c>
      <c r="AF484" s="4" t="str">
        <f t="shared" si="45"/>
        <v/>
      </c>
      <c r="AG484" s="8">
        <f t="shared" si="46"/>
        <v>0</v>
      </c>
      <c r="AI484" s="8">
        <f t="shared" si="47"/>
        <v>0</v>
      </c>
    </row>
    <row r="485" spans="1:35" ht="15" customHeight="1" x14ac:dyDescent="0.25">
      <c r="A485" s="10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3"/>
      <c r="P485" s="3"/>
      <c r="Q485" s="8"/>
      <c r="R485" s="8"/>
      <c r="S485" s="8"/>
      <c r="T485" s="8"/>
      <c r="U485" s="8"/>
      <c r="V485" s="8"/>
      <c r="W485" s="4" t="str">
        <f>IF($C485="","",SUMPRODUCT(($C$2:C485=C485)+($D$2:D485=C485)))</f>
        <v/>
      </c>
      <c r="X485" s="4" t="str">
        <f>IF($D485="","",SUMPRODUCT(($C$2:C485=D485)+($D$2:D485=D485)))</f>
        <v/>
      </c>
      <c r="Y485" s="4" t="str">
        <f t="shared" si="42"/>
        <v/>
      </c>
      <c r="Z485" s="4" t="str">
        <f t="shared" si="43"/>
        <v/>
      </c>
      <c r="AA485" s="4" t="str">
        <f>IF($C485="","",IF(COUNTIF($C$1:C484,$C485)+COUNTIF($D$1:D484,$C485)=0,1,0))</f>
        <v/>
      </c>
      <c r="AB485" s="4" t="str">
        <f>IF($D485="","",IF(COUNTIF($C$1:C485,$D485)+COUNTIF($D$1:D484,$D485)=0,1,0))</f>
        <v/>
      </c>
      <c r="AC485" s="4" t="str">
        <f>IF(AA485=1,SUM($AA$2:AA485)-AA485+SUM($AB$2:AB485)-AB485+1,"")</f>
        <v/>
      </c>
      <c r="AD485" s="4" t="str">
        <f>IF(AB485=1,SUM($AA$2:AA485)+SUM($AB$2:AB485)-AB485+1,"")</f>
        <v/>
      </c>
      <c r="AE485" s="4" t="str">
        <f t="shared" si="44"/>
        <v/>
      </c>
      <c r="AF485" s="4" t="str">
        <f t="shared" si="45"/>
        <v/>
      </c>
      <c r="AG485" s="8">
        <f t="shared" si="46"/>
        <v>0</v>
      </c>
      <c r="AI485" s="8">
        <f t="shared" si="47"/>
        <v>0</v>
      </c>
    </row>
    <row r="486" spans="1:35" ht="15" customHeight="1" x14ac:dyDescent="0.25">
      <c r="A486" s="10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3"/>
      <c r="P486" s="3"/>
      <c r="Q486" s="8"/>
      <c r="R486" s="8"/>
      <c r="S486" s="8"/>
      <c r="T486" s="8"/>
      <c r="U486" s="8"/>
      <c r="V486" s="8"/>
      <c r="W486" s="4" t="str">
        <f>IF($C486="","",SUMPRODUCT(($C$2:C486=C486)+($D$2:D486=C486)))</f>
        <v/>
      </c>
      <c r="X486" s="4" t="str">
        <f>IF($D486="","",SUMPRODUCT(($C$2:C486=D486)+($D$2:D486=D486)))</f>
        <v/>
      </c>
      <c r="Y486" s="4" t="str">
        <f t="shared" si="42"/>
        <v/>
      </c>
      <c r="Z486" s="4" t="str">
        <f t="shared" si="43"/>
        <v/>
      </c>
      <c r="AA486" s="4" t="str">
        <f>IF($C486="","",IF(COUNTIF($C$1:C485,$C486)+COUNTIF($D$1:D485,$C486)=0,1,0))</f>
        <v/>
      </c>
      <c r="AB486" s="4" t="str">
        <f>IF($D486="","",IF(COUNTIF($C$1:C486,$D486)+COUNTIF($D$1:D485,$D486)=0,1,0))</f>
        <v/>
      </c>
      <c r="AC486" s="4" t="str">
        <f>IF(AA486=1,SUM($AA$2:AA486)-AA486+SUM($AB$2:AB486)-AB486+1,"")</f>
        <v/>
      </c>
      <c r="AD486" s="4" t="str">
        <f>IF(AB486=1,SUM($AA$2:AA486)+SUM($AB$2:AB486)-AB486+1,"")</f>
        <v/>
      </c>
      <c r="AE486" s="4" t="str">
        <f t="shared" si="44"/>
        <v/>
      </c>
      <c r="AF486" s="4" t="str">
        <f t="shared" si="45"/>
        <v/>
      </c>
      <c r="AG486" s="8">
        <f t="shared" si="46"/>
        <v>0</v>
      </c>
      <c r="AI486" s="8">
        <f t="shared" si="47"/>
        <v>0</v>
      </c>
    </row>
    <row r="487" spans="1:35" ht="15" customHeight="1" x14ac:dyDescent="0.25">
      <c r="A487" s="10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3"/>
      <c r="P487" s="3"/>
      <c r="Q487" s="8"/>
      <c r="R487" s="8"/>
      <c r="S487" s="8"/>
      <c r="T487" s="8"/>
      <c r="U487" s="8"/>
      <c r="V487" s="8"/>
      <c r="W487" s="4" t="str">
        <f>IF($C487="","",SUMPRODUCT(($C$2:C487=C487)+($D$2:D487=C487)))</f>
        <v/>
      </c>
      <c r="X487" s="4" t="str">
        <f>IF($D487="","",SUMPRODUCT(($C$2:C487=D487)+($D$2:D487=D487)))</f>
        <v/>
      </c>
      <c r="Y487" s="4" t="str">
        <f t="shared" si="42"/>
        <v/>
      </c>
      <c r="Z487" s="4" t="str">
        <f t="shared" si="43"/>
        <v/>
      </c>
      <c r="AA487" s="4" t="str">
        <f>IF($C487="","",IF(COUNTIF($C$1:C486,$C487)+COUNTIF($D$1:D486,$C487)=0,1,0))</f>
        <v/>
      </c>
      <c r="AB487" s="4" t="str">
        <f>IF($D487="","",IF(COUNTIF($C$1:C487,$D487)+COUNTIF($D$1:D486,$D487)=0,1,0))</f>
        <v/>
      </c>
      <c r="AC487" s="4" t="str">
        <f>IF(AA487=1,SUM($AA$2:AA487)-AA487+SUM($AB$2:AB487)-AB487+1,"")</f>
        <v/>
      </c>
      <c r="AD487" s="4" t="str">
        <f>IF(AB487=1,SUM($AA$2:AA487)+SUM($AB$2:AB487)-AB487+1,"")</f>
        <v/>
      </c>
      <c r="AE487" s="4" t="str">
        <f t="shared" si="44"/>
        <v/>
      </c>
      <c r="AF487" s="4" t="str">
        <f t="shared" si="45"/>
        <v/>
      </c>
      <c r="AG487" s="8">
        <f t="shared" si="46"/>
        <v>0</v>
      </c>
      <c r="AI487" s="8">
        <f t="shared" si="47"/>
        <v>0</v>
      </c>
    </row>
    <row r="488" spans="1:35" ht="15" customHeight="1" x14ac:dyDescent="0.25">
      <c r="A488" s="10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3"/>
      <c r="P488" s="3"/>
      <c r="Q488" s="8"/>
      <c r="R488" s="8"/>
      <c r="S488" s="8"/>
      <c r="T488" s="8"/>
      <c r="U488" s="8"/>
      <c r="V488" s="8"/>
      <c r="W488" s="4" t="str">
        <f>IF($C488="","",SUMPRODUCT(($C$2:C488=C488)+($D$2:D488=C488)))</f>
        <v/>
      </c>
      <c r="X488" s="4" t="str">
        <f>IF($D488="","",SUMPRODUCT(($C$2:C488=D488)+($D$2:D488=D488)))</f>
        <v/>
      </c>
      <c r="Y488" s="4" t="str">
        <f t="shared" si="42"/>
        <v/>
      </c>
      <c r="Z488" s="4" t="str">
        <f t="shared" si="43"/>
        <v/>
      </c>
      <c r="AA488" s="4" t="str">
        <f>IF($C488="","",IF(COUNTIF($C$1:C487,$C488)+COUNTIF($D$1:D487,$C488)=0,1,0))</f>
        <v/>
      </c>
      <c r="AB488" s="4" t="str">
        <f>IF($D488="","",IF(COUNTIF($C$1:C488,$D488)+COUNTIF($D$1:D487,$D488)=0,1,0))</f>
        <v/>
      </c>
      <c r="AC488" s="4" t="str">
        <f>IF(AA488=1,SUM($AA$2:AA488)-AA488+SUM($AB$2:AB488)-AB488+1,"")</f>
        <v/>
      </c>
      <c r="AD488" s="4" t="str">
        <f>IF(AB488=1,SUM($AA$2:AA488)+SUM($AB$2:AB488)-AB488+1,"")</f>
        <v/>
      </c>
      <c r="AE488" s="4" t="str">
        <f t="shared" si="44"/>
        <v/>
      </c>
      <c r="AF488" s="4" t="str">
        <f t="shared" si="45"/>
        <v/>
      </c>
      <c r="AG488" s="8">
        <f t="shared" si="46"/>
        <v>0</v>
      </c>
      <c r="AI488" s="8">
        <f t="shared" si="47"/>
        <v>0</v>
      </c>
    </row>
    <row r="489" spans="1:35" ht="15" customHeight="1" x14ac:dyDescent="0.25">
      <c r="A489" s="10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3"/>
      <c r="P489" s="3"/>
      <c r="Q489" s="8"/>
      <c r="R489" s="8"/>
      <c r="S489" s="8"/>
      <c r="T489" s="8"/>
      <c r="U489" s="8"/>
      <c r="V489" s="8"/>
      <c r="W489" s="4" t="str">
        <f>IF($C489="","",SUMPRODUCT(($C$2:C489=C489)+($D$2:D489=C489)))</f>
        <v/>
      </c>
      <c r="X489" s="4" t="str">
        <f>IF($D489="","",SUMPRODUCT(($C$2:C489=D489)+($D$2:D489=D489)))</f>
        <v/>
      </c>
      <c r="Y489" s="4" t="str">
        <f t="shared" si="42"/>
        <v/>
      </c>
      <c r="Z489" s="4" t="str">
        <f t="shared" si="43"/>
        <v/>
      </c>
      <c r="AA489" s="4" t="str">
        <f>IF($C489="","",IF(COUNTIF($C$1:C488,$C489)+COUNTIF($D$1:D488,$C489)=0,1,0))</f>
        <v/>
      </c>
      <c r="AB489" s="4" t="str">
        <f>IF($D489="","",IF(COUNTIF($C$1:C489,$D489)+COUNTIF($D$1:D488,$D489)=0,1,0))</f>
        <v/>
      </c>
      <c r="AC489" s="4" t="str">
        <f>IF(AA489=1,SUM($AA$2:AA489)-AA489+SUM($AB$2:AB489)-AB489+1,"")</f>
        <v/>
      </c>
      <c r="AD489" s="4" t="str">
        <f>IF(AB489=1,SUM($AA$2:AA489)+SUM($AB$2:AB489)-AB489+1,"")</f>
        <v/>
      </c>
      <c r="AE489" s="4" t="str">
        <f t="shared" si="44"/>
        <v/>
      </c>
      <c r="AF489" s="4" t="str">
        <f t="shared" si="45"/>
        <v/>
      </c>
      <c r="AG489" s="8">
        <f t="shared" si="46"/>
        <v>0</v>
      </c>
      <c r="AI489" s="8">
        <f t="shared" si="47"/>
        <v>0</v>
      </c>
    </row>
    <row r="490" spans="1:35" ht="15" customHeight="1" x14ac:dyDescent="0.25">
      <c r="A490" s="10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3"/>
      <c r="P490" s="3"/>
      <c r="Q490" s="8"/>
      <c r="R490" s="8"/>
      <c r="S490" s="8"/>
      <c r="T490" s="8"/>
      <c r="U490" s="8"/>
      <c r="V490" s="8"/>
      <c r="W490" s="4" t="str">
        <f>IF($C490="","",SUMPRODUCT(($C$2:C490=C490)+($D$2:D490=C490)))</f>
        <v/>
      </c>
      <c r="X490" s="4" t="str">
        <f>IF($D490="","",SUMPRODUCT(($C$2:C490=D490)+($D$2:D490=D490)))</f>
        <v/>
      </c>
      <c r="Y490" s="4" t="str">
        <f t="shared" si="42"/>
        <v/>
      </c>
      <c r="Z490" s="4" t="str">
        <f t="shared" si="43"/>
        <v/>
      </c>
      <c r="AA490" s="4" t="str">
        <f>IF($C490="","",IF(COUNTIF($C$1:C489,$C490)+COUNTIF($D$1:D489,$C490)=0,1,0))</f>
        <v/>
      </c>
      <c r="AB490" s="4" t="str">
        <f>IF($D490="","",IF(COUNTIF($C$1:C490,$D490)+COUNTIF($D$1:D489,$D490)=0,1,0))</f>
        <v/>
      </c>
      <c r="AC490" s="4" t="str">
        <f>IF(AA490=1,SUM($AA$2:AA490)-AA490+SUM($AB$2:AB490)-AB490+1,"")</f>
        <v/>
      </c>
      <c r="AD490" s="4" t="str">
        <f>IF(AB490=1,SUM($AA$2:AA490)+SUM($AB$2:AB490)-AB490+1,"")</f>
        <v/>
      </c>
      <c r="AE490" s="4" t="str">
        <f t="shared" si="44"/>
        <v/>
      </c>
      <c r="AF490" s="4" t="str">
        <f t="shared" si="45"/>
        <v/>
      </c>
      <c r="AG490" s="8">
        <f t="shared" si="46"/>
        <v>0</v>
      </c>
      <c r="AI490" s="8">
        <f t="shared" si="47"/>
        <v>0</v>
      </c>
    </row>
    <row r="491" spans="1:35" ht="15" customHeight="1" x14ac:dyDescent="0.25">
      <c r="A491" s="10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3"/>
      <c r="P491" s="3"/>
      <c r="Q491" s="8"/>
      <c r="R491" s="8"/>
      <c r="S491" s="8"/>
      <c r="T491" s="8"/>
      <c r="U491" s="8"/>
      <c r="V491" s="8"/>
      <c r="W491" s="4" t="str">
        <f>IF($C491="","",SUMPRODUCT(($C$2:C491=C491)+($D$2:D491=C491)))</f>
        <v/>
      </c>
      <c r="X491" s="4" t="str">
        <f>IF($D491="","",SUMPRODUCT(($C$2:C491=D491)+($D$2:D491=D491)))</f>
        <v/>
      </c>
      <c r="Y491" s="4" t="str">
        <f t="shared" si="42"/>
        <v/>
      </c>
      <c r="Z491" s="4" t="str">
        <f t="shared" si="43"/>
        <v/>
      </c>
      <c r="AA491" s="4" t="str">
        <f>IF($C491="","",IF(COUNTIF($C$1:C490,$C491)+COUNTIF($D$1:D490,$C491)=0,1,0))</f>
        <v/>
      </c>
      <c r="AB491" s="4" t="str">
        <f>IF($D491="","",IF(COUNTIF($C$1:C491,$D491)+COUNTIF($D$1:D490,$D491)=0,1,0))</f>
        <v/>
      </c>
      <c r="AC491" s="4" t="str">
        <f>IF(AA491=1,SUM($AA$2:AA491)-AA491+SUM($AB$2:AB491)-AB491+1,"")</f>
        <v/>
      </c>
      <c r="AD491" s="4" t="str">
        <f>IF(AB491=1,SUM($AA$2:AA491)+SUM($AB$2:AB491)-AB491+1,"")</f>
        <v/>
      </c>
      <c r="AE491" s="4" t="str">
        <f t="shared" si="44"/>
        <v/>
      </c>
      <c r="AF491" s="4" t="str">
        <f t="shared" si="45"/>
        <v/>
      </c>
      <c r="AG491" s="8">
        <f t="shared" si="46"/>
        <v>0</v>
      </c>
      <c r="AI491" s="8">
        <f t="shared" si="47"/>
        <v>0</v>
      </c>
    </row>
    <row r="492" spans="1:35" ht="15" customHeight="1" x14ac:dyDescent="0.25">
      <c r="A492" s="10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3"/>
      <c r="P492" s="3"/>
      <c r="Q492" s="8"/>
      <c r="R492" s="8"/>
      <c r="S492" s="8"/>
      <c r="T492" s="8"/>
      <c r="U492" s="8"/>
      <c r="V492" s="8"/>
      <c r="W492" s="4" t="str">
        <f>IF($C492="","",SUMPRODUCT(($C$2:C492=C492)+($D$2:D492=C492)))</f>
        <v/>
      </c>
      <c r="X492" s="4" t="str">
        <f>IF($D492="","",SUMPRODUCT(($C$2:C492=D492)+($D$2:D492=D492)))</f>
        <v/>
      </c>
      <c r="Y492" s="4" t="str">
        <f t="shared" si="42"/>
        <v/>
      </c>
      <c r="Z492" s="4" t="str">
        <f t="shared" si="43"/>
        <v/>
      </c>
      <c r="AA492" s="4" t="str">
        <f>IF($C492="","",IF(COUNTIF($C$1:C491,$C492)+COUNTIF($D$1:D491,$C492)=0,1,0))</f>
        <v/>
      </c>
      <c r="AB492" s="4" t="str">
        <f>IF($D492="","",IF(COUNTIF($C$1:C492,$D492)+COUNTIF($D$1:D491,$D492)=0,1,0))</f>
        <v/>
      </c>
      <c r="AC492" s="4" t="str">
        <f>IF(AA492=1,SUM($AA$2:AA492)-AA492+SUM($AB$2:AB492)-AB492+1,"")</f>
        <v/>
      </c>
      <c r="AD492" s="4" t="str">
        <f>IF(AB492=1,SUM($AA$2:AA492)+SUM($AB$2:AB492)-AB492+1,"")</f>
        <v/>
      </c>
      <c r="AE492" s="4" t="str">
        <f t="shared" si="44"/>
        <v/>
      </c>
      <c r="AF492" s="4" t="str">
        <f t="shared" si="45"/>
        <v/>
      </c>
      <c r="AG492" s="8">
        <f t="shared" si="46"/>
        <v>0</v>
      </c>
      <c r="AI492" s="8">
        <f t="shared" si="47"/>
        <v>0</v>
      </c>
    </row>
    <row r="493" spans="1:35" ht="15" customHeight="1" x14ac:dyDescent="0.25">
      <c r="A493" s="10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3"/>
      <c r="P493" s="3"/>
      <c r="Q493" s="8"/>
      <c r="R493" s="8"/>
      <c r="S493" s="8"/>
      <c r="T493" s="8"/>
      <c r="U493" s="8"/>
      <c r="V493" s="8"/>
      <c r="W493" s="4" t="str">
        <f>IF($C493="","",SUMPRODUCT(($C$2:C493=C493)+($D$2:D493=C493)))</f>
        <v/>
      </c>
      <c r="X493" s="4" t="str">
        <f>IF($D493="","",SUMPRODUCT(($C$2:C493=D493)+($D$2:D493=D493)))</f>
        <v/>
      </c>
      <c r="Y493" s="4" t="str">
        <f t="shared" si="42"/>
        <v/>
      </c>
      <c r="Z493" s="4" t="str">
        <f t="shared" si="43"/>
        <v/>
      </c>
      <c r="AA493" s="4" t="str">
        <f>IF($C493="","",IF(COUNTIF($C$1:C492,$C493)+COUNTIF($D$1:D492,$C493)=0,1,0))</f>
        <v/>
      </c>
      <c r="AB493" s="4" t="str">
        <f>IF($D493="","",IF(COUNTIF($C$1:C493,$D493)+COUNTIF($D$1:D492,$D493)=0,1,0))</f>
        <v/>
      </c>
      <c r="AC493" s="4" t="str">
        <f>IF(AA493=1,SUM($AA$2:AA493)-AA493+SUM($AB$2:AB493)-AB493+1,"")</f>
        <v/>
      </c>
      <c r="AD493" s="4" t="str">
        <f>IF(AB493=1,SUM($AA$2:AA493)+SUM($AB$2:AB493)-AB493+1,"")</f>
        <v/>
      </c>
      <c r="AE493" s="4" t="str">
        <f t="shared" si="44"/>
        <v/>
      </c>
      <c r="AF493" s="4" t="str">
        <f t="shared" si="45"/>
        <v/>
      </c>
      <c r="AG493" s="8">
        <f t="shared" si="46"/>
        <v>0</v>
      </c>
      <c r="AI493" s="8">
        <f t="shared" si="47"/>
        <v>0</v>
      </c>
    </row>
    <row r="494" spans="1:35" ht="15" customHeight="1" x14ac:dyDescent="0.25">
      <c r="A494" s="10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3"/>
      <c r="P494" s="3"/>
      <c r="Q494" s="8"/>
      <c r="R494" s="8"/>
      <c r="S494" s="8"/>
      <c r="T494" s="8"/>
      <c r="U494" s="8"/>
      <c r="V494" s="8"/>
      <c r="W494" s="4" t="str">
        <f>IF($C494="","",SUMPRODUCT(($C$2:C494=C494)+($D$2:D494=C494)))</f>
        <v/>
      </c>
      <c r="X494" s="4" t="str">
        <f>IF($D494="","",SUMPRODUCT(($C$2:C494=D494)+($D$2:D494=D494)))</f>
        <v/>
      </c>
      <c r="Y494" s="4" t="str">
        <f t="shared" si="42"/>
        <v/>
      </c>
      <c r="Z494" s="4" t="str">
        <f t="shared" si="43"/>
        <v/>
      </c>
      <c r="AA494" s="4" t="str">
        <f>IF($C494="","",IF(COUNTIF($C$1:C493,$C494)+COUNTIF($D$1:D493,$C494)=0,1,0))</f>
        <v/>
      </c>
      <c r="AB494" s="4" t="str">
        <f>IF($D494="","",IF(COUNTIF($C$1:C494,$D494)+COUNTIF($D$1:D493,$D494)=0,1,0))</f>
        <v/>
      </c>
      <c r="AC494" s="4" t="str">
        <f>IF(AA494=1,SUM($AA$2:AA494)-AA494+SUM($AB$2:AB494)-AB494+1,"")</f>
        <v/>
      </c>
      <c r="AD494" s="4" t="str">
        <f>IF(AB494=1,SUM($AA$2:AA494)+SUM($AB$2:AB494)-AB494+1,"")</f>
        <v/>
      </c>
      <c r="AE494" s="4" t="str">
        <f t="shared" si="44"/>
        <v/>
      </c>
      <c r="AF494" s="4" t="str">
        <f t="shared" si="45"/>
        <v/>
      </c>
      <c r="AG494" s="8">
        <f t="shared" si="46"/>
        <v>0</v>
      </c>
      <c r="AI494" s="8">
        <f t="shared" si="47"/>
        <v>0</v>
      </c>
    </row>
    <row r="495" spans="1:35" ht="15" customHeight="1" x14ac:dyDescent="0.25">
      <c r="A495" s="10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3"/>
      <c r="P495" s="3"/>
      <c r="Q495" s="8"/>
      <c r="R495" s="8"/>
      <c r="S495" s="8"/>
      <c r="T495" s="8"/>
      <c r="U495" s="8"/>
      <c r="V495" s="8"/>
      <c r="W495" s="4" t="str">
        <f>IF($C495="","",SUMPRODUCT(($C$2:C495=C495)+($D$2:D495=C495)))</f>
        <v/>
      </c>
      <c r="X495" s="4" t="str">
        <f>IF($D495="","",SUMPRODUCT(($C$2:C495=D495)+($D$2:D495=D495)))</f>
        <v/>
      </c>
      <c r="Y495" s="4" t="str">
        <f t="shared" si="42"/>
        <v/>
      </c>
      <c r="Z495" s="4" t="str">
        <f t="shared" si="43"/>
        <v/>
      </c>
      <c r="AA495" s="4" t="str">
        <f>IF($C495="","",IF(COUNTIF($C$1:C494,$C495)+COUNTIF($D$1:D494,$C495)=0,1,0))</f>
        <v/>
      </c>
      <c r="AB495" s="4" t="str">
        <f>IF($D495="","",IF(COUNTIF($C$1:C495,$D495)+COUNTIF($D$1:D494,$D495)=0,1,0))</f>
        <v/>
      </c>
      <c r="AC495" s="4" t="str">
        <f>IF(AA495=1,SUM($AA$2:AA495)-AA495+SUM($AB$2:AB495)-AB495+1,"")</f>
        <v/>
      </c>
      <c r="AD495" s="4" t="str">
        <f>IF(AB495=1,SUM($AA$2:AA495)+SUM($AB$2:AB495)-AB495+1,"")</f>
        <v/>
      </c>
      <c r="AE495" s="4" t="str">
        <f t="shared" si="44"/>
        <v/>
      </c>
      <c r="AF495" s="4" t="str">
        <f t="shared" si="45"/>
        <v/>
      </c>
      <c r="AG495" s="8">
        <f t="shared" si="46"/>
        <v>0</v>
      </c>
      <c r="AI495" s="8">
        <f t="shared" si="47"/>
        <v>0</v>
      </c>
    </row>
    <row r="496" spans="1:35" ht="15" customHeight="1" x14ac:dyDescent="0.25">
      <c r="A496" s="10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3"/>
      <c r="P496" s="3"/>
      <c r="Q496" s="8"/>
      <c r="R496" s="8"/>
      <c r="S496" s="8"/>
      <c r="T496" s="8"/>
      <c r="U496" s="8"/>
      <c r="V496" s="8"/>
      <c r="W496" s="4" t="str">
        <f>IF($C496="","",SUMPRODUCT(($C$2:C496=C496)+($D$2:D496=C496)))</f>
        <v/>
      </c>
      <c r="X496" s="4" t="str">
        <f>IF($D496="","",SUMPRODUCT(($C$2:C496=D496)+($D$2:D496=D496)))</f>
        <v/>
      </c>
      <c r="Y496" s="4" t="str">
        <f t="shared" si="42"/>
        <v/>
      </c>
      <c r="Z496" s="4" t="str">
        <f t="shared" si="43"/>
        <v/>
      </c>
      <c r="AA496" s="4" t="str">
        <f>IF($C496="","",IF(COUNTIF($C$1:C495,$C496)+COUNTIF($D$1:D495,$C496)=0,1,0))</f>
        <v/>
      </c>
      <c r="AB496" s="4" t="str">
        <f>IF($D496="","",IF(COUNTIF($C$1:C496,$D496)+COUNTIF($D$1:D495,$D496)=0,1,0))</f>
        <v/>
      </c>
      <c r="AC496" s="4" t="str">
        <f>IF(AA496=1,SUM($AA$2:AA496)-AA496+SUM($AB$2:AB496)-AB496+1,"")</f>
        <v/>
      </c>
      <c r="AD496" s="4" t="str">
        <f>IF(AB496=1,SUM($AA$2:AA496)+SUM($AB$2:AB496)-AB496+1,"")</f>
        <v/>
      </c>
      <c r="AE496" s="4" t="str">
        <f t="shared" si="44"/>
        <v/>
      </c>
      <c r="AF496" s="4" t="str">
        <f t="shared" si="45"/>
        <v/>
      </c>
      <c r="AG496" s="8">
        <f t="shared" si="46"/>
        <v>0</v>
      </c>
      <c r="AI496" s="8">
        <f t="shared" si="47"/>
        <v>0</v>
      </c>
    </row>
    <row r="497" spans="1:35" ht="15" customHeight="1" x14ac:dyDescent="0.25">
      <c r="A497" s="10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3"/>
      <c r="P497" s="3"/>
      <c r="Q497" s="8"/>
      <c r="R497" s="8"/>
      <c r="S497" s="8"/>
      <c r="T497" s="8"/>
      <c r="U497" s="8"/>
      <c r="V497" s="8"/>
      <c r="W497" s="4" t="str">
        <f>IF($C497="","",SUMPRODUCT(($C$2:C497=C497)+($D$2:D497=C497)))</f>
        <v/>
      </c>
      <c r="X497" s="4" t="str">
        <f>IF($D497="","",SUMPRODUCT(($C$2:C497=D497)+($D$2:D497=D497)))</f>
        <v/>
      </c>
      <c r="Y497" s="4" t="str">
        <f t="shared" si="42"/>
        <v/>
      </c>
      <c r="Z497" s="4" t="str">
        <f t="shared" si="43"/>
        <v/>
      </c>
      <c r="AA497" s="4" t="str">
        <f>IF($C497="","",IF(COUNTIF($C$1:C496,$C497)+COUNTIF($D$1:D496,$C497)=0,1,0))</f>
        <v/>
      </c>
      <c r="AB497" s="4" t="str">
        <f>IF($D497="","",IF(COUNTIF($C$1:C497,$D497)+COUNTIF($D$1:D496,$D497)=0,1,0))</f>
        <v/>
      </c>
      <c r="AC497" s="4" t="str">
        <f>IF(AA497=1,SUM($AA$2:AA497)-AA497+SUM($AB$2:AB497)-AB497+1,"")</f>
        <v/>
      </c>
      <c r="AD497" s="4" t="str">
        <f>IF(AB497=1,SUM($AA$2:AA497)+SUM($AB$2:AB497)-AB497+1,"")</f>
        <v/>
      </c>
      <c r="AE497" s="4" t="str">
        <f t="shared" si="44"/>
        <v/>
      </c>
      <c r="AF497" s="4" t="str">
        <f t="shared" si="45"/>
        <v/>
      </c>
      <c r="AG497" s="8">
        <f t="shared" si="46"/>
        <v>0</v>
      </c>
      <c r="AI497" s="8">
        <f t="shared" si="47"/>
        <v>0</v>
      </c>
    </row>
    <row r="498" spans="1:35" ht="15" customHeight="1" x14ac:dyDescent="0.25">
      <c r="A498" s="10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3"/>
      <c r="P498" s="3"/>
      <c r="Q498" s="8"/>
      <c r="R498" s="8"/>
      <c r="S498" s="8"/>
      <c r="T498" s="8"/>
      <c r="U498" s="8"/>
      <c r="V498" s="8"/>
      <c r="W498" s="4" t="str">
        <f>IF($C498="","",SUMPRODUCT(($C$2:C498=C498)+($D$2:D498=C498)))</f>
        <v/>
      </c>
      <c r="X498" s="4" t="str">
        <f>IF($D498="","",SUMPRODUCT(($C$2:C498=D498)+($D$2:D498=D498)))</f>
        <v/>
      </c>
      <c r="Y498" s="4" t="str">
        <f t="shared" si="42"/>
        <v/>
      </c>
      <c r="Z498" s="4" t="str">
        <f t="shared" si="43"/>
        <v/>
      </c>
      <c r="AA498" s="4" t="str">
        <f>IF($C498="","",IF(COUNTIF($C$1:C497,$C498)+COUNTIF($D$1:D497,$C498)=0,1,0))</f>
        <v/>
      </c>
      <c r="AB498" s="4" t="str">
        <f>IF($D498="","",IF(COUNTIF($C$1:C498,$D498)+COUNTIF($D$1:D497,$D498)=0,1,0))</f>
        <v/>
      </c>
      <c r="AC498" s="4" t="str">
        <f>IF(AA498=1,SUM($AA$2:AA498)-AA498+SUM($AB$2:AB498)-AB498+1,"")</f>
        <v/>
      </c>
      <c r="AD498" s="4" t="str">
        <f>IF(AB498=1,SUM($AA$2:AA498)+SUM($AB$2:AB498)-AB498+1,"")</f>
        <v/>
      </c>
      <c r="AE498" s="4" t="str">
        <f t="shared" si="44"/>
        <v/>
      </c>
      <c r="AF498" s="4" t="str">
        <f t="shared" si="45"/>
        <v/>
      </c>
      <c r="AG498" s="8">
        <f t="shared" si="46"/>
        <v>0</v>
      </c>
      <c r="AI498" s="8">
        <f t="shared" si="47"/>
        <v>0</v>
      </c>
    </row>
    <row r="499" spans="1:35" ht="15" customHeight="1" x14ac:dyDescent="0.25">
      <c r="A499" s="10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3"/>
      <c r="P499" s="3"/>
      <c r="Q499" s="8"/>
      <c r="R499" s="8"/>
      <c r="S499" s="8"/>
      <c r="T499" s="8"/>
      <c r="U499" s="8"/>
      <c r="V499" s="8"/>
      <c r="W499" s="4" t="str">
        <f>IF($C499="","",SUMPRODUCT(($C$2:C499=C499)+($D$2:D499=C499)))</f>
        <v/>
      </c>
      <c r="X499" s="4" t="str">
        <f>IF($D499="","",SUMPRODUCT(($C$2:C499=D499)+($D$2:D499=D499)))</f>
        <v/>
      </c>
      <c r="Y499" s="4" t="str">
        <f t="shared" si="42"/>
        <v/>
      </c>
      <c r="Z499" s="4" t="str">
        <f t="shared" si="43"/>
        <v/>
      </c>
      <c r="AA499" s="4" t="str">
        <f>IF($C499="","",IF(COUNTIF($C$1:C498,$C499)+COUNTIF($D$1:D498,$C499)=0,1,0))</f>
        <v/>
      </c>
      <c r="AB499" s="4" t="str">
        <f>IF($D499="","",IF(COUNTIF($C$1:C499,$D499)+COUNTIF($D$1:D498,$D499)=0,1,0))</f>
        <v/>
      </c>
      <c r="AC499" s="4" t="str">
        <f>IF(AA499=1,SUM($AA$2:AA499)-AA499+SUM($AB$2:AB499)-AB499+1,"")</f>
        <v/>
      </c>
      <c r="AD499" s="4" t="str">
        <f>IF(AB499=1,SUM($AA$2:AA499)+SUM($AB$2:AB499)-AB499+1,"")</f>
        <v/>
      </c>
      <c r="AE499" s="4" t="str">
        <f t="shared" si="44"/>
        <v/>
      </c>
      <c r="AF499" s="4" t="str">
        <f t="shared" si="45"/>
        <v/>
      </c>
      <c r="AG499" s="8">
        <f t="shared" si="46"/>
        <v>0</v>
      </c>
      <c r="AI499" s="8">
        <f t="shared" si="47"/>
        <v>0</v>
      </c>
    </row>
    <row r="500" spans="1:35" ht="15" customHeight="1" x14ac:dyDescent="0.25">
      <c r="A500" s="10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3"/>
      <c r="P500" s="3"/>
      <c r="Q500" s="8"/>
      <c r="R500" s="8"/>
      <c r="S500" s="8"/>
      <c r="T500" s="8"/>
      <c r="U500" s="8"/>
      <c r="V500" s="8"/>
      <c r="W500" s="4" t="str">
        <f>IF($C500="","",SUMPRODUCT(($C$2:C500=C500)+($D$2:D500=C500)))</f>
        <v/>
      </c>
      <c r="X500" s="4" t="str">
        <f>IF($D500="","",SUMPRODUCT(($C$2:C500=D500)+($D$2:D500=D500)))</f>
        <v/>
      </c>
      <c r="Y500" s="4" t="str">
        <f t="shared" si="42"/>
        <v/>
      </c>
      <c r="Z500" s="4" t="str">
        <f t="shared" si="43"/>
        <v/>
      </c>
      <c r="AA500" s="4" t="str">
        <f>IF($C500="","",IF(COUNTIF($C$1:C499,$C500)+COUNTIF($D$1:D499,$C500)=0,1,0))</f>
        <v/>
      </c>
      <c r="AB500" s="4" t="str">
        <f>IF($D500="","",IF(COUNTIF($C$1:C500,$D500)+COUNTIF($D$1:D499,$D500)=0,1,0))</f>
        <v/>
      </c>
      <c r="AC500" s="4" t="str">
        <f>IF(AA500=1,SUM($AA$2:AA500)-AA500+SUM($AB$2:AB500)-AB500+1,"")</f>
        <v/>
      </c>
      <c r="AD500" s="4" t="str">
        <f>IF(AB500=1,SUM($AA$2:AA500)+SUM($AB$2:AB500)-AB500+1,"")</f>
        <v/>
      </c>
      <c r="AE500" s="4" t="str">
        <f t="shared" si="44"/>
        <v/>
      </c>
      <c r="AF500" s="4" t="str">
        <f t="shared" si="45"/>
        <v/>
      </c>
      <c r="AG500" s="8">
        <f t="shared" si="46"/>
        <v>0</v>
      </c>
      <c r="AI500" s="8">
        <f t="shared" si="47"/>
        <v>0</v>
      </c>
    </row>
    <row r="501" spans="1:35" ht="15" customHeight="1" x14ac:dyDescent="0.25">
      <c r="W501" s="4" t="str">
        <f>IF($C501="","",SUMPRODUCT(($C$2:C501=C501)+($D$2:D501=C501)))</f>
        <v/>
      </c>
      <c r="X501" s="4" t="str">
        <f>IF($D501="","",SUMPRODUCT(($C$2:C501=D501)+($D$2:D501=D501)))</f>
        <v/>
      </c>
      <c r="Y501" s="4" t="str">
        <f t="shared" si="42"/>
        <v/>
      </c>
      <c r="Z501" s="4" t="str">
        <f t="shared" si="43"/>
        <v/>
      </c>
      <c r="AA501" s="4" t="str">
        <f>IF($C501="","",IF(COUNTIF($C$1:C500,$C501)+COUNTIF($D$1:D500,$C501)=0,1,0))</f>
        <v/>
      </c>
      <c r="AB501" s="4" t="str">
        <f>IF($D501="","",IF(COUNTIF($C$1:C501,$D501)+COUNTIF($D$1:D500,$D501)=0,1,0))</f>
        <v/>
      </c>
      <c r="AC501" s="4" t="str">
        <f>IF(AA501=1,SUM($AA$2:AA501)-AA501+SUM($AB$2:AB501)-AB501+1,"")</f>
        <v/>
      </c>
      <c r="AD501" s="4" t="str">
        <f>IF(AB501=1,SUM($AA$2:AA501)+SUM($AB$2:AB501)-AB501+1,"")</f>
        <v/>
      </c>
      <c r="AE501" s="4" t="str">
        <f t="shared" si="44"/>
        <v/>
      </c>
      <c r="AF501" s="4" t="str">
        <f t="shared" si="45"/>
        <v/>
      </c>
      <c r="AG501" s="8">
        <f t="shared" si="46"/>
        <v>0</v>
      </c>
      <c r="AI501" s="8">
        <f t="shared" si="47"/>
        <v>0</v>
      </c>
    </row>
    <row r="502" spans="1:35" ht="15" customHeight="1" x14ac:dyDescent="0.25">
      <c r="W502" s="4" t="str">
        <f>IF($C502="","",SUMPRODUCT(($C$2:C502=C502)+($D$2:D502=C502)))</f>
        <v/>
      </c>
      <c r="X502" s="4" t="str">
        <f>IF($D502="","",SUMPRODUCT(($C$2:C502=D502)+($D$2:D502=D502)))</f>
        <v/>
      </c>
      <c r="Y502" s="4" t="str">
        <f t="shared" si="42"/>
        <v/>
      </c>
      <c r="Z502" s="4" t="str">
        <f t="shared" si="43"/>
        <v/>
      </c>
      <c r="AA502" s="4" t="str">
        <f>IF($C502="","",IF(COUNTIF($C$1:C501,$C502)+COUNTIF($D$1:D501,$C502)=0,1,0))</f>
        <v/>
      </c>
      <c r="AB502" s="4" t="str">
        <f>IF($D502="","",IF(COUNTIF($C$1:C502,$D502)+COUNTIF($D$1:D501,$D502)=0,1,0))</f>
        <v/>
      </c>
      <c r="AC502" s="4" t="str">
        <f>IF(AA502=1,SUM($AA$2:AA502)-AA502+SUM($AB$2:AB502)-AB502+1,"")</f>
        <v/>
      </c>
      <c r="AD502" s="4" t="str">
        <f>IF(AB502=1,SUM($AA$2:AA502)+SUM($AB$2:AB502)-AB502+1,"")</f>
        <v/>
      </c>
      <c r="AE502" s="4" t="str">
        <f t="shared" si="44"/>
        <v/>
      </c>
      <c r="AF502" s="4" t="str">
        <f t="shared" si="45"/>
        <v/>
      </c>
      <c r="AG502" s="8">
        <f t="shared" si="46"/>
        <v>0</v>
      </c>
      <c r="AI502" s="8">
        <f t="shared" si="47"/>
        <v>0</v>
      </c>
    </row>
    <row r="503" spans="1:35" ht="15" customHeight="1" x14ac:dyDescent="0.25">
      <c r="W503" s="4" t="str">
        <f>IF($C503="","",SUMPRODUCT(($C$2:C503=C503)+($D$2:D503=C503)))</f>
        <v/>
      </c>
      <c r="X503" s="4" t="str">
        <f>IF($D503="","",SUMPRODUCT(($C$2:C503=D503)+($D$2:D503=D503)))</f>
        <v/>
      </c>
      <c r="Y503" s="4" t="str">
        <f t="shared" si="42"/>
        <v/>
      </c>
      <c r="Z503" s="4" t="str">
        <f t="shared" si="43"/>
        <v/>
      </c>
      <c r="AA503" s="4" t="str">
        <f>IF($C503="","",IF(COUNTIF($C$1:C502,$C503)+COUNTIF($D$1:D502,$C503)=0,1,0))</f>
        <v/>
      </c>
      <c r="AB503" s="4" t="str">
        <f>IF($D503="","",IF(COUNTIF($C$1:C503,$D503)+COUNTIF($D$1:D502,$D503)=0,1,0))</f>
        <v/>
      </c>
      <c r="AC503" s="4" t="str">
        <f>IF(AA503=1,SUM($AA$2:AA503)-AA503+SUM($AB$2:AB503)-AB503+1,"")</f>
        <v/>
      </c>
      <c r="AD503" s="4" t="str">
        <f>IF(AB503=1,SUM($AA$2:AA503)+SUM($AB$2:AB503)-AB503+1,"")</f>
        <v/>
      </c>
      <c r="AE503" s="4" t="str">
        <f t="shared" si="44"/>
        <v/>
      </c>
      <c r="AF503" s="4" t="str">
        <f t="shared" si="45"/>
        <v/>
      </c>
      <c r="AG503" s="8">
        <f t="shared" si="46"/>
        <v>0</v>
      </c>
      <c r="AI503" s="8">
        <f t="shared" si="47"/>
        <v>0</v>
      </c>
    </row>
    <row r="504" spans="1:35" ht="15" customHeight="1" x14ac:dyDescent="0.25">
      <c r="W504" s="4" t="str">
        <f>IF($C504="","",SUMPRODUCT(($C$2:C504=C504)+($D$2:D504=C504)))</f>
        <v/>
      </c>
      <c r="X504" s="4" t="str">
        <f>IF($D504="","",SUMPRODUCT(($C$2:C504=D504)+($D$2:D504=D504)))</f>
        <v/>
      </c>
      <c r="Y504" s="4" t="str">
        <f t="shared" si="42"/>
        <v/>
      </c>
      <c r="Z504" s="4" t="str">
        <f t="shared" si="43"/>
        <v/>
      </c>
      <c r="AA504" s="4" t="str">
        <f>IF($C504="","",IF(COUNTIF($C$1:C503,$C504)+COUNTIF($D$1:D503,$C504)=0,1,0))</f>
        <v/>
      </c>
      <c r="AB504" s="4" t="str">
        <f>IF($D504="","",IF(COUNTIF($C$1:C504,$D504)+COUNTIF($D$1:D503,$D504)=0,1,0))</f>
        <v/>
      </c>
      <c r="AC504" s="4" t="str">
        <f>IF(AA504=1,SUM($AA$2:AA504)-AA504+SUM($AB$2:AB504)-AB504+1,"")</f>
        <v/>
      </c>
      <c r="AD504" s="4" t="str">
        <f>IF(AB504=1,SUM($AA$2:AA504)+SUM($AB$2:AB504)-AB504+1,"")</f>
        <v/>
      </c>
      <c r="AE504" s="4" t="str">
        <f t="shared" si="44"/>
        <v/>
      </c>
      <c r="AF504" s="4" t="str">
        <f t="shared" si="45"/>
        <v/>
      </c>
      <c r="AG504" s="8">
        <f t="shared" si="46"/>
        <v>0</v>
      </c>
      <c r="AI504" s="8">
        <f t="shared" si="47"/>
        <v>0</v>
      </c>
    </row>
    <row r="505" spans="1:35" ht="15" customHeight="1" x14ac:dyDescent="0.25">
      <c r="W505" s="4" t="str">
        <f>IF($C505="","",SUMPRODUCT(($C$2:C505=C505)+($D$2:D505=C505)))</f>
        <v/>
      </c>
      <c r="X505" s="4" t="str">
        <f>IF($D505="","",SUMPRODUCT(($C$2:C505=D505)+($D$2:D505=D505)))</f>
        <v/>
      </c>
      <c r="Y505" s="4" t="str">
        <f t="shared" si="42"/>
        <v/>
      </c>
      <c r="Z505" s="4" t="str">
        <f t="shared" si="43"/>
        <v/>
      </c>
      <c r="AA505" s="4" t="str">
        <f>IF($C505="","",IF(COUNTIF($C$1:C504,$C505)+COUNTIF($D$1:D504,$C505)=0,1,0))</f>
        <v/>
      </c>
      <c r="AB505" s="4" t="str">
        <f>IF($D505="","",IF(COUNTIF($C$1:C505,$D505)+COUNTIF($D$1:D504,$D505)=0,1,0))</f>
        <v/>
      </c>
      <c r="AC505" s="4" t="str">
        <f>IF(AA505=1,SUM($AA$2:AA505)-AA505+SUM($AB$2:AB505)-AB505+1,"")</f>
        <v/>
      </c>
      <c r="AD505" s="4" t="str">
        <f>IF(AB505=1,SUM($AA$2:AA505)+SUM($AB$2:AB505)-AB505+1,"")</f>
        <v/>
      </c>
      <c r="AE505" s="4" t="str">
        <f t="shared" si="44"/>
        <v/>
      </c>
      <c r="AF505" s="4" t="str">
        <f t="shared" si="45"/>
        <v/>
      </c>
      <c r="AG505" s="8">
        <f t="shared" si="46"/>
        <v>0</v>
      </c>
      <c r="AI505" s="8">
        <f t="shared" si="47"/>
        <v>0</v>
      </c>
    </row>
    <row r="506" spans="1:35" ht="15" customHeight="1" x14ac:dyDescent="0.25">
      <c r="W506" s="4" t="str">
        <f>IF($C506="","",SUMPRODUCT(($C$2:C506=C506)+($D$2:D506=C506)))</f>
        <v/>
      </c>
      <c r="X506" s="4" t="str">
        <f>IF($D506="","",SUMPRODUCT(($C$2:C506=D506)+($D$2:D506=D506)))</f>
        <v/>
      </c>
      <c r="Y506" s="4" t="str">
        <f t="shared" si="42"/>
        <v/>
      </c>
      <c r="Z506" s="4" t="str">
        <f t="shared" si="43"/>
        <v/>
      </c>
      <c r="AA506" s="4" t="str">
        <f>IF($C506="","",IF(COUNTIF($C$1:C505,$C506)+COUNTIF($D$1:D505,$C506)=0,1,0))</f>
        <v/>
      </c>
      <c r="AB506" s="4" t="str">
        <f>IF($D506="","",IF(COUNTIF($C$1:C506,$D506)+COUNTIF($D$1:D505,$D506)=0,1,0))</f>
        <v/>
      </c>
      <c r="AC506" s="4" t="str">
        <f>IF(AA506=1,SUM($AA$2:AA506)-AA506+SUM($AB$2:AB506)-AB506+1,"")</f>
        <v/>
      </c>
      <c r="AD506" s="4" t="str">
        <f>IF(AB506=1,SUM($AA$2:AA506)+SUM($AB$2:AB506)-AB506+1,"")</f>
        <v/>
      </c>
      <c r="AE506" s="4" t="str">
        <f t="shared" si="44"/>
        <v/>
      </c>
      <c r="AF506" s="4" t="str">
        <f t="shared" si="45"/>
        <v/>
      </c>
      <c r="AG506" s="8">
        <f t="shared" si="46"/>
        <v>0</v>
      </c>
      <c r="AI506" s="8">
        <f t="shared" si="47"/>
        <v>0</v>
      </c>
    </row>
    <row r="507" spans="1:35" ht="15" customHeight="1" x14ac:dyDescent="0.25">
      <c r="W507" s="4" t="str">
        <f>IF($C507="","",SUMPRODUCT(($C$2:C507=C507)+($D$2:D507=C507)))</f>
        <v/>
      </c>
      <c r="X507" s="4" t="str">
        <f>IF($D507="","",SUMPRODUCT(($C$2:C507=D507)+($D$2:D507=D507)))</f>
        <v/>
      </c>
      <c r="Y507" s="4" t="str">
        <f t="shared" si="42"/>
        <v/>
      </c>
      <c r="Z507" s="4" t="str">
        <f t="shared" si="43"/>
        <v/>
      </c>
      <c r="AA507" s="4" t="str">
        <f>IF($C507="","",IF(COUNTIF($C$1:C506,$C507)+COUNTIF($D$1:D506,$C507)=0,1,0))</f>
        <v/>
      </c>
      <c r="AB507" s="4" t="str">
        <f>IF($D507="","",IF(COUNTIF($C$1:C507,$D507)+COUNTIF($D$1:D506,$D507)=0,1,0))</f>
        <v/>
      </c>
      <c r="AC507" s="4" t="str">
        <f>IF(AA507=1,SUM($AA$2:AA507)-AA507+SUM($AB$2:AB507)-AB507+1,"")</f>
        <v/>
      </c>
      <c r="AD507" s="4" t="str">
        <f>IF(AB507=1,SUM($AA$2:AA507)+SUM($AB$2:AB507)-AB507+1,"")</f>
        <v/>
      </c>
      <c r="AE507" s="4" t="str">
        <f t="shared" si="44"/>
        <v/>
      </c>
      <c r="AF507" s="4" t="str">
        <f t="shared" si="45"/>
        <v/>
      </c>
      <c r="AG507" s="8">
        <f t="shared" si="46"/>
        <v>0</v>
      </c>
      <c r="AI507" s="8">
        <f t="shared" si="47"/>
        <v>0</v>
      </c>
    </row>
    <row r="508" spans="1:35" ht="15" customHeight="1" x14ac:dyDescent="0.25">
      <c r="W508" s="4" t="str">
        <f>IF($C508="","",SUMPRODUCT(($C$2:C508=C508)+($D$2:D508=C508)))</f>
        <v/>
      </c>
      <c r="X508" s="4" t="str">
        <f>IF($D508="","",SUMPRODUCT(($C$2:C508=D508)+($D$2:D508=D508)))</f>
        <v/>
      </c>
      <c r="Y508" s="4" t="str">
        <f t="shared" si="42"/>
        <v/>
      </c>
      <c r="Z508" s="4" t="str">
        <f t="shared" si="43"/>
        <v/>
      </c>
      <c r="AA508" s="4" t="str">
        <f>IF($C508="","",IF(COUNTIF($C$1:C507,$C508)+COUNTIF($D$1:D507,$C508)=0,1,0))</f>
        <v/>
      </c>
      <c r="AB508" s="4" t="str">
        <f>IF($D508="","",IF(COUNTIF($C$1:C508,$D508)+COUNTIF($D$1:D507,$D508)=0,1,0))</f>
        <v/>
      </c>
      <c r="AC508" s="4" t="str">
        <f>IF(AA508=1,SUM($AA$2:AA508)-AA508+SUM($AB$2:AB508)-AB508+1,"")</f>
        <v/>
      </c>
      <c r="AD508" s="4" t="str">
        <f>IF(AB508=1,SUM($AA$2:AA508)+SUM($AB$2:AB508)-AB508+1,"")</f>
        <v/>
      </c>
      <c r="AE508" s="4" t="str">
        <f t="shared" si="44"/>
        <v/>
      </c>
      <c r="AF508" s="4" t="str">
        <f t="shared" si="45"/>
        <v/>
      </c>
      <c r="AG508" s="8">
        <f t="shared" si="46"/>
        <v>0</v>
      </c>
      <c r="AI508" s="8">
        <f t="shared" si="47"/>
        <v>0</v>
      </c>
    </row>
    <row r="509" spans="1:35" ht="15" customHeight="1" x14ac:dyDescent="0.25">
      <c r="W509" s="4" t="str">
        <f>IF($C509="","",SUMPRODUCT(($C$2:C509=C509)+($D$2:D509=C509)))</f>
        <v/>
      </c>
      <c r="X509" s="4" t="str">
        <f>IF($D509="","",SUMPRODUCT(($C$2:C509=D509)+($D$2:D509=D509)))</f>
        <v/>
      </c>
      <c r="Y509" s="4" t="str">
        <f t="shared" si="42"/>
        <v/>
      </c>
      <c r="Z509" s="4" t="str">
        <f t="shared" si="43"/>
        <v/>
      </c>
      <c r="AA509" s="4" t="str">
        <f>IF($C509="","",IF(COUNTIF($C$1:C508,$C509)+COUNTIF($D$1:D508,$C509)=0,1,0))</f>
        <v/>
      </c>
      <c r="AB509" s="4" t="str">
        <f>IF($D509="","",IF(COUNTIF($C$1:C509,$D509)+COUNTIF($D$1:D508,$D509)=0,1,0))</f>
        <v/>
      </c>
      <c r="AC509" s="4" t="str">
        <f>IF(AA509=1,SUM($AA$2:AA509)-AA509+SUM($AB$2:AB509)-AB509+1,"")</f>
        <v/>
      </c>
      <c r="AD509" s="4" t="str">
        <f>IF(AB509=1,SUM($AA$2:AA509)+SUM($AB$2:AB509)-AB509+1,"")</f>
        <v/>
      </c>
      <c r="AE509" s="4" t="str">
        <f t="shared" si="44"/>
        <v/>
      </c>
      <c r="AF509" s="4" t="str">
        <f t="shared" si="45"/>
        <v/>
      </c>
      <c r="AG509" s="8">
        <f t="shared" si="46"/>
        <v>0</v>
      </c>
      <c r="AI509" s="8">
        <f t="shared" si="47"/>
        <v>0</v>
      </c>
    </row>
    <row r="510" spans="1:35" ht="15" customHeight="1" x14ac:dyDescent="0.25">
      <c r="W510" s="4" t="str">
        <f>IF($C510="","",SUMPRODUCT(($C$2:C510=C510)+($D$2:D510=C510)))</f>
        <v/>
      </c>
      <c r="X510" s="4" t="str">
        <f>IF($D510="","",SUMPRODUCT(($C$2:C510=D510)+($D$2:D510=D510)))</f>
        <v/>
      </c>
      <c r="Y510" s="4" t="str">
        <f t="shared" si="42"/>
        <v/>
      </c>
      <c r="Z510" s="4" t="str">
        <f t="shared" si="43"/>
        <v/>
      </c>
      <c r="AA510" s="4" t="str">
        <f>IF($C510="","",IF(COUNTIF($C$1:C509,$C510)+COUNTIF($D$1:D509,$C510)=0,1,0))</f>
        <v/>
      </c>
      <c r="AB510" s="4" t="str">
        <f>IF($D510="","",IF(COUNTIF($C$1:C510,$D510)+COUNTIF($D$1:D509,$D510)=0,1,0))</f>
        <v/>
      </c>
      <c r="AC510" s="4" t="str">
        <f>IF(AA510=1,SUM($AA$2:AA510)-AA510+SUM($AB$2:AB510)-AB510+1,"")</f>
        <v/>
      </c>
      <c r="AD510" s="4" t="str">
        <f>IF(AB510=1,SUM($AA$2:AA510)+SUM($AB$2:AB510)-AB510+1,"")</f>
        <v/>
      </c>
      <c r="AE510" s="4" t="str">
        <f t="shared" si="44"/>
        <v/>
      </c>
      <c r="AF510" s="4" t="str">
        <f t="shared" si="45"/>
        <v/>
      </c>
      <c r="AG510" s="8">
        <f t="shared" si="46"/>
        <v>0</v>
      </c>
      <c r="AI510" s="8">
        <f t="shared" si="47"/>
        <v>0</v>
      </c>
    </row>
    <row r="511" spans="1:35" ht="15" customHeight="1" x14ac:dyDescent="0.25">
      <c r="W511" s="4" t="str">
        <f>IF($C511="","",SUMPRODUCT(($C$2:C511=C511)+($D$2:D511=C511)))</f>
        <v/>
      </c>
      <c r="X511" s="4" t="str">
        <f>IF($D511="","",SUMPRODUCT(($C$2:C511=D511)+($D$2:D511=D511)))</f>
        <v/>
      </c>
      <c r="Y511" s="4" t="str">
        <f t="shared" si="42"/>
        <v/>
      </c>
      <c r="Z511" s="4" t="str">
        <f t="shared" si="43"/>
        <v/>
      </c>
      <c r="AA511" s="4" t="str">
        <f>IF($C511="","",IF(COUNTIF($C$1:C510,$C511)+COUNTIF($D$1:D510,$C511)=0,1,0))</f>
        <v/>
      </c>
      <c r="AB511" s="4" t="str">
        <f>IF($D511="","",IF(COUNTIF($C$1:C511,$D511)+COUNTIF($D$1:D510,$D511)=0,1,0))</f>
        <v/>
      </c>
      <c r="AC511" s="4" t="str">
        <f>IF(AA511=1,SUM($AA$2:AA511)-AA511+SUM($AB$2:AB511)-AB511+1,"")</f>
        <v/>
      </c>
      <c r="AD511" s="4" t="str">
        <f>IF(AB511=1,SUM($AA$2:AA511)+SUM($AB$2:AB511)-AB511+1,"")</f>
        <v/>
      </c>
      <c r="AE511" s="4" t="str">
        <f t="shared" si="44"/>
        <v/>
      </c>
      <c r="AF511" s="4" t="str">
        <f t="shared" si="45"/>
        <v/>
      </c>
      <c r="AG511" s="8">
        <f t="shared" si="46"/>
        <v>0</v>
      </c>
      <c r="AI511" s="8">
        <f t="shared" si="47"/>
        <v>0</v>
      </c>
    </row>
    <row r="512" spans="1:35" ht="15" customHeight="1" x14ac:dyDescent="0.25">
      <c r="W512" s="4" t="str">
        <f>IF($C512="","",SUMPRODUCT(($C$2:C512=C512)+($D$2:D512=C512)))</f>
        <v/>
      </c>
      <c r="X512" s="4" t="str">
        <f>IF($D512="","",SUMPRODUCT(($C$2:C512=D512)+($D$2:D512=D512)))</f>
        <v/>
      </c>
      <c r="Y512" s="4" t="str">
        <f t="shared" si="42"/>
        <v/>
      </c>
      <c r="Z512" s="4" t="str">
        <f t="shared" si="43"/>
        <v/>
      </c>
      <c r="AA512" s="4" t="str">
        <f>IF($C512="","",IF(COUNTIF($C$1:C511,$C512)+COUNTIF($D$1:D511,$C512)=0,1,0))</f>
        <v/>
      </c>
      <c r="AB512" s="4" t="str">
        <f>IF($D512="","",IF(COUNTIF($C$1:C512,$D512)+COUNTIF($D$1:D511,$D512)=0,1,0))</f>
        <v/>
      </c>
      <c r="AC512" s="4" t="str">
        <f>IF(AA512=1,SUM($AA$2:AA512)-AA512+SUM($AB$2:AB512)-AB512+1,"")</f>
        <v/>
      </c>
      <c r="AD512" s="4" t="str">
        <f>IF(AB512=1,SUM($AA$2:AA512)+SUM($AB$2:AB512)-AB512+1,"")</f>
        <v/>
      </c>
      <c r="AE512" s="4" t="str">
        <f t="shared" si="44"/>
        <v/>
      </c>
      <c r="AF512" s="4" t="str">
        <f t="shared" si="45"/>
        <v/>
      </c>
      <c r="AG512" s="8">
        <f t="shared" si="46"/>
        <v>0</v>
      </c>
      <c r="AI512" s="8">
        <f t="shared" si="47"/>
        <v>0</v>
      </c>
    </row>
    <row r="513" spans="23:35" ht="15" customHeight="1" x14ac:dyDescent="0.25">
      <c r="W513" s="4" t="str">
        <f>IF($C513="","",SUMPRODUCT(($C$2:C513=C513)+($D$2:D513=C513)))</f>
        <v/>
      </c>
      <c r="X513" s="4" t="str">
        <f>IF($D513="","",SUMPRODUCT(($C$2:C513=D513)+($D$2:D513=D513)))</f>
        <v/>
      </c>
      <c r="Y513" s="4" t="str">
        <f t="shared" si="42"/>
        <v/>
      </c>
      <c r="Z513" s="4" t="str">
        <f t="shared" si="43"/>
        <v/>
      </c>
      <c r="AA513" s="4" t="str">
        <f>IF($C513="","",IF(COUNTIF($C$1:C512,$C513)+COUNTIF($D$1:D512,$C513)=0,1,0))</f>
        <v/>
      </c>
      <c r="AB513" s="4" t="str">
        <f>IF($D513="","",IF(COUNTIF($C$1:C513,$D513)+COUNTIF($D$1:D512,$D513)=0,1,0))</f>
        <v/>
      </c>
      <c r="AC513" s="4" t="str">
        <f>IF(AA513=1,SUM($AA$2:AA513)-AA513+SUM($AB$2:AB513)-AB513+1,"")</f>
        <v/>
      </c>
      <c r="AD513" s="4" t="str">
        <f>IF(AB513=1,SUM($AA$2:AA513)+SUM($AB$2:AB513)-AB513+1,"")</f>
        <v/>
      </c>
      <c r="AE513" s="4" t="str">
        <f t="shared" si="44"/>
        <v/>
      </c>
      <c r="AF513" s="4" t="str">
        <f t="shared" si="45"/>
        <v/>
      </c>
      <c r="AG513" s="8">
        <f t="shared" si="46"/>
        <v>0</v>
      </c>
      <c r="AI513" s="8">
        <f t="shared" si="47"/>
        <v>0</v>
      </c>
    </row>
    <row r="514" spans="23:35" ht="15" customHeight="1" x14ac:dyDescent="0.25">
      <c r="W514" s="4" t="str">
        <f>IF($C514="","",SUMPRODUCT(($C$2:C514=C514)+($D$2:D514=C514)))</f>
        <v/>
      </c>
      <c r="X514" s="4" t="str">
        <f>IF($D514="","",SUMPRODUCT(($C$2:C514=D514)+($D$2:D514=D514)))</f>
        <v/>
      </c>
      <c r="Y514" s="4" t="str">
        <f t="shared" ref="Y514:Y577" si="48">IF($C514="","",C514&amp;"|"&amp;W514)</f>
        <v/>
      </c>
      <c r="Z514" s="4" t="str">
        <f t="shared" ref="Z514:Z577" si="49">IF($D514="","",D514&amp;"|"&amp;X514)</f>
        <v/>
      </c>
      <c r="AA514" s="4" t="str">
        <f>IF($C514="","",IF(COUNTIF($C$1:C513,$C514)+COUNTIF($D$1:D513,$C514)=0,1,0))</f>
        <v/>
      </c>
      <c r="AB514" s="4" t="str">
        <f>IF($D514="","",IF(COUNTIF($C$1:C514,$D514)+COUNTIF($D$1:D513,$D514)=0,1,0))</f>
        <v/>
      </c>
      <c r="AC514" s="4" t="str">
        <f>IF(AA514=1,SUM($AA$2:AA514)-AA514+SUM($AB$2:AB514)-AB514+1,"")</f>
        <v/>
      </c>
      <c r="AD514" s="4" t="str">
        <f>IF(AB514=1,SUM($AA$2:AA514)+SUM($AB$2:AB514)-AB514+1,"")</f>
        <v/>
      </c>
      <c r="AE514" s="4" t="str">
        <f t="shared" ref="AE514:AE577" si="50">IF(AC514="","","TEAM|"&amp;AC514)</f>
        <v/>
      </c>
      <c r="AF514" s="4" t="str">
        <f t="shared" ref="AF514:AF577" si="51">IF(AD514="","","TEAM|"&amp;AD514)</f>
        <v/>
      </c>
      <c r="AG514" s="8">
        <f t="shared" ref="AG514:AG577" si="52">IF(AH514="",0,LEN(AH514)-LEN(SUBSTITUTE(AH514,"/",""))+1)</f>
        <v>0</v>
      </c>
      <c r="AI514" s="8">
        <f t="shared" ref="AI514:AI577" si="53">IF(AJ514="",0,LEN(AJ514)-LEN(SUBSTITUTE(AJ514,"/",""))+1)</f>
        <v>0</v>
      </c>
    </row>
    <row r="515" spans="23:35" ht="15" customHeight="1" x14ac:dyDescent="0.25">
      <c r="W515" s="4" t="str">
        <f>IF($C515="","",SUMPRODUCT(($C$2:C515=C515)+($D$2:D515=C515)))</f>
        <v/>
      </c>
      <c r="X515" s="4" t="str">
        <f>IF($D515="","",SUMPRODUCT(($C$2:C515=D515)+($D$2:D515=D515)))</f>
        <v/>
      </c>
      <c r="Y515" s="4" t="str">
        <f t="shared" si="48"/>
        <v/>
      </c>
      <c r="Z515" s="4" t="str">
        <f t="shared" si="49"/>
        <v/>
      </c>
      <c r="AA515" s="4" t="str">
        <f>IF($C515="","",IF(COUNTIF($C$1:C514,$C515)+COUNTIF($D$1:D514,$C515)=0,1,0))</f>
        <v/>
      </c>
      <c r="AB515" s="4" t="str">
        <f>IF($D515="","",IF(COUNTIF($C$1:C515,$D515)+COUNTIF($D$1:D514,$D515)=0,1,0))</f>
        <v/>
      </c>
      <c r="AC515" s="4" t="str">
        <f>IF(AA515=1,SUM($AA$2:AA515)-AA515+SUM($AB$2:AB515)-AB515+1,"")</f>
        <v/>
      </c>
      <c r="AD515" s="4" t="str">
        <f>IF(AB515=1,SUM($AA$2:AA515)+SUM($AB$2:AB515)-AB515+1,"")</f>
        <v/>
      </c>
      <c r="AE515" s="4" t="str">
        <f t="shared" si="50"/>
        <v/>
      </c>
      <c r="AF515" s="4" t="str">
        <f t="shared" si="51"/>
        <v/>
      </c>
      <c r="AG515" s="8">
        <f t="shared" si="52"/>
        <v>0</v>
      </c>
      <c r="AI515" s="8">
        <f t="shared" si="53"/>
        <v>0</v>
      </c>
    </row>
    <row r="516" spans="23:35" ht="15" customHeight="1" x14ac:dyDescent="0.25">
      <c r="W516" s="4" t="str">
        <f>IF($C516="","",SUMPRODUCT(($C$2:C516=C516)+($D$2:D516=C516)))</f>
        <v/>
      </c>
      <c r="X516" s="4" t="str">
        <f>IF($D516="","",SUMPRODUCT(($C$2:C516=D516)+($D$2:D516=D516)))</f>
        <v/>
      </c>
      <c r="Y516" s="4" t="str">
        <f t="shared" si="48"/>
        <v/>
      </c>
      <c r="Z516" s="4" t="str">
        <f t="shared" si="49"/>
        <v/>
      </c>
      <c r="AA516" s="4" t="str">
        <f>IF($C516="","",IF(COUNTIF($C$1:C515,$C516)+COUNTIF($D$1:D515,$C516)=0,1,0))</f>
        <v/>
      </c>
      <c r="AB516" s="4" t="str">
        <f>IF($D516="","",IF(COUNTIF($C$1:C516,$D516)+COUNTIF($D$1:D515,$D516)=0,1,0))</f>
        <v/>
      </c>
      <c r="AC516" s="4" t="str">
        <f>IF(AA516=1,SUM($AA$2:AA516)-AA516+SUM($AB$2:AB516)-AB516+1,"")</f>
        <v/>
      </c>
      <c r="AD516" s="4" t="str">
        <f>IF(AB516=1,SUM($AA$2:AA516)+SUM($AB$2:AB516)-AB516+1,"")</f>
        <v/>
      </c>
      <c r="AE516" s="4" t="str">
        <f t="shared" si="50"/>
        <v/>
      </c>
      <c r="AF516" s="4" t="str">
        <f t="shared" si="51"/>
        <v/>
      </c>
      <c r="AG516" s="8">
        <f t="shared" si="52"/>
        <v>0</v>
      </c>
      <c r="AI516" s="8">
        <f t="shared" si="53"/>
        <v>0</v>
      </c>
    </row>
    <row r="517" spans="23:35" ht="15" customHeight="1" x14ac:dyDescent="0.25">
      <c r="W517" s="4" t="str">
        <f>IF($C517="","",SUMPRODUCT(($C$2:C517=C517)+($D$2:D517=C517)))</f>
        <v/>
      </c>
      <c r="X517" s="4" t="str">
        <f>IF($D517="","",SUMPRODUCT(($C$2:C517=D517)+($D$2:D517=D517)))</f>
        <v/>
      </c>
      <c r="Y517" s="4" t="str">
        <f t="shared" si="48"/>
        <v/>
      </c>
      <c r="Z517" s="4" t="str">
        <f t="shared" si="49"/>
        <v/>
      </c>
      <c r="AA517" s="4" t="str">
        <f>IF($C517="","",IF(COUNTIF($C$1:C516,$C517)+COUNTIF($D$1:D516,$C517)=0,1,0))</f>
        <v/>
      </c>
      <c r="AB517" s="4" t="str">
        <f>IF($D517="","",IF(COUNTIF($C$1:C517,$D517)+COUNTIF($D$1:D516,$D517)=0,1,0))</f>
        <v/>
      </c>
      <c r="AC517" s="4" t="str">
        <f>IF(AA517=1,SUM($AA$2:AA517)-AA517+SUM($AB$2:AB517)-AB517+1,"")</f>
        <v/>
      </c>
      <c r="AD517" s="4" t="str">
        <f>IF(AB517=1,SUM($AA$2:AA517)+SUM($AB$2:AB517)-AB517+1,"")</f>
        <v/>
      </c>
      <c r="AE517" s="4" t="str">
        <f t="shared" si="50"/>
        <v/>
      </c>
      <c r="AF517" s="4" t="str">
        <f t="shared" si="51"/>
        <v/>
      </c>
      <c r="AG517" s="8">
        <f t="shared" si="52"/>
        <v>0</v>
      </c>
      <c r="AI517" s="8">
        <f t="shared" si="53"/>
        <v>0</v>
      </c>
    </row>
    <row r="518" spans="23:35" ht="15" customHeight="1" x14ac:dyDescent="0.25">
      <c r="W518" s="4" t="str">
        <f>IF($C518="","",SUMPRODUCT(($C$2:C518=C518)+($D$2:D518=C518)))</f>
        <v/>
      </c>
      <c r="X518" s="4" t="str">
        <f>IF($D518="","",SUMPRODUCT(($C$2:C518=D518)+($D$2:D518=D518)))</f>
        <v/>
      </c>
      <c r="Y518" s="4" t="str">
        <f t="shared" si="48"/>
        <v/>
      </c>
      <c r="Z518" s="4" t="str">
        <f t="shared" si="49"/>
        <v/>
      </c>
      <c r="AA518" s="4" t="str">
        <f>IF($C518="","",IF(COUNTIF($C$1:C517,$C518)+COUNTIF($D$1:D517,$C518)=0,1,0))</f>
        <v/>
      </c>
      <c r="AB518" s="4" t="str">
        <f>IF($D518="","",IF(COUNTIF($C$1:C518,$D518)+COUNTIF($D$1:D517,$D518)=0,1,0))</f>
        <v/>
      </c>
      <c r="AC518" s="4" t="str">
        <f>IF(AA518=1,SUM($AA$2:AA518)-AA518+SUM($AB$2:AB518)-AB518+1,"")</f>
        <v/>
      </c>
      <c r="AD518" s="4" t="str">
        <f>IF(AB518=1,SUM($AA$2:AA518)+SUM($AB$2:AB518)-AB518+1,"")</f>
        <v/>
      </c>
      <c r="AE518" s="4" t="str">
        <f t="shared" si="50"/>
        <v/>
      </c>
      <c r="AF518" s="4" t="str">
        <f t="shared" si="51"/>
        <v/>
      </c>
      <c r="AG518" s="8">
        <f t="shared" si="52"/>
        <v>0</v>
      </c>
      <c r="AI518" s="8">
        <f t="shared" si="53"/>
        <v>0</v>
      </c>
    </row>
    <row r="519" spans="23:35" ht="15" customHeight="1" x14ac:dyDescent="0.25">
      <c r="W519" s="4" t="str">
        <f>IF($C519="","",SUMPRODUCT(($C$2:C519=C519)+($D$2:D519=C519)))</f>
        <v/>
      </c>
      <c r="X519" s="4" t="str">
        <f>IF($D519="","",SUMPRODUCT(($C$2:C519=D519)+($D$2:D519=D519)))</f>
        <v/>
      </c>
      <c r="Y519" s="4" t="str">
        <f t="shared" si="48"/>
        <v/>
      </c>
      <c r="Z519" s="4" t="str">
        <f t="shared" si="49"/>
        <v/>
      </c>
      <c r="AA519" s="4" t="str">
        <f>IF($C519="","",IF(COUNTIF($C$1:C518,$C519)+COUNTIF($D$1:D518,$C519)=0,1,0))</f>
        <v/>
      </c>
      <c r="AB519" s="4" t="str">
        <f>IF($D519="","",IF(COUNTIF($C$1:C519,$D519)+COUNTIF($D$1:D518,$D519)=0,1,0))</f>
        <v/>
      </c>
      <c r="AC519" s="4" t="str">
        <f>IF(AA519=1,SUM($AA$2:AA519)-AA519+SUM($AB$2:AB519)-AB519+1,"")</f>
        <v/>
      </c>
      <c r="AD519" s="4" t="str">
        <f>IF(AB519=1,SUM($AA$2:AA519)+SUM($AB$2:AB519)-AB519+1,"")</f>
        <v/>
      </c>
      <c r="AE519" s="4" t="str">
        <f t="shared" si="50"/>
        <v/>
      </c>
      <c r="AF519" s="4" t="str">
        <f t="shared" si="51"/>
        <v/>
      </c>
      <c r="AG519" s="8">
        <f t="shared" si="52"/>
        <v>0</v>
      </c>
      <c r="AI519" s="8">
        <f t="shared" si="53"/>
        <v>0</v>
      </c>
    </row>
    <row r="520" spans="23:35" ht="15" customHeight="1" x14ac:dyDescent="0.25">
      <c r="W520" s="4" t="str">
        <f>IF($C520="","",SUMPRODUCT(($C$2:C520=C520)+($D$2:D520=C520)))</f>
        <v/>
      </c>
      <c r="X520" s="4" t="str">
        <f>IF($D520="","",SUMPRODUCT(($C$2:C520=D520)+($D$2:D520=D520)))</f>
        <v/>
      </c>
      <c r="Y520" s="4" t="str">
        <f t="shared" si="48"/>
        <v/>
      </c>
      <c r="Z520" s="4" t="str">
        <f t="shared" si="49"/>
        <v/>
      </c>
      <c r="AA520" s="4" t="str">
        <f>IF($C520="","",IF(COUNTIF($C$1:C519,$C520)+COUNTIF($D$1:D519,$C520)=0,1,0))</f>
        <v/>
      </c>
      <c r="AB520" s="4" t="str">
        <f>IF($D520="","",IF(COUNTIF($C$1:C520,$D520)+COUNTIF($D$1:D519,$D520)=0,1,0))</f>
        <v/>
      </c>
      <c r="AC520" s="4" t="str">
        <f>IF(AA520=1,SUM($AA$2:AA520)-AA520+SUM($AB$2:AB520)-AB520+1,"")</f>
        <v/>
      </c>
      <c r="AD520" s="4" t="str">
        <f>IF(AB520=1,SUM($AA$2:AA520)+SUM($AB$2:AB520)-AB520+1,"")</f>
        <v/>
      </c>
      <c r="AE520" s="4" t="str">
        <f t="shared" si="50"/>
        <v/>
      </c>
      <c r="AF520" s="4" t="str">
        <f t="shared" si="51"/>
        <v/>
      </c>
      <c r="AG520" s="8">
        <f t="shared" si="52"/>
        <v>0</v>
      </c>
      <c r="AI520" s="8">
        <f t="shared" si="53"/>
        <v>0</v>
      </c>
    </row>
    <row r="521" spans="23:35" ht="15" customHeight="1" x14ac:dyDescent="0.25">
      <c r="W521" s="4" t="str">
        <f>IF($C521="","",SUMPRODUCT(($C$2:C521=C521)+($D$2:D521=C521)))</f>
        <v/>
      </c>
      <c r="X521" s="4" t="str">
        <f>IF($D521="","",SUMPRODUCT(($C$2:C521=D521)+($D$2:D521=D521)))</f>
        <v/>
      </c>
      <c r="Y521" s="4" t="str">
        <f t="shared" si="48"/>
        <v/>
      </c>
      <c r="Z521" s="4" t="str">
        <f t="shared" si="49"/>
        <v/>
      </c>
      <c r="AA521" s="4" t="str">
        <f>IF($C521="","",IF(COUNTIF($C$1:C520,$C521)+COUNTIF($D$1:D520,$C521)=0,1,0))</f>
        <v/>
      </c>
      <c r="AB521" s="4" t="str">
        <f>IF($D521="","",IF(COUNTIF($C$1:C521,$D521)+COUNTIF($D$1:D520,$D521)=0,1,0))</f>
        <v/>
      </c>
      <c r="AC521" s="4" t="str">
        <f>IF(AA521=1,SUM($AA$2:AA521)-AA521+SUM($AB$2:AB521)-AB521+1,"")</f>
        <v/>
      </c>
      <c r="AD521" s="4" t="str">
        <f>IF(AB521=1,SUM($AA$2:AA521)+SUM($AB$2:AB521)-AB521+1,"")</f>
        <v/>
      </c>
      <c r="AE521" s="4" t="str">
        <f t="shared" si="50"/>
        <v/>
      </c>
      <c r="AF521" s="4" t="str">
        <f t="shared" si="51"/>
        <v/>
      </c>
      <c r="AG521" s="8">
        <f t="shared" si="52"/>
        <v>0</v>
      </c>
      <c r="AI521" s="8">
        <f t="shared" si="53"/>
        <v>0</v>
      </c>
    </row>
    <row r="522" spans="23:35" ht="15" customHeight="1" x14ac:dyDescent="0.25">
      <c r="W522" s="4" t="str">
        <f>IF($C522="","",SUMPRODUCT(($C$2:C522=C522)+($D$2:D522=C522)))</f>
        <v/>
      </c>
      <c r="X522" s="4" t="str">
        <f>IF($D522="","",SUMPRODUCT(($C$2:C522=D522)+($D$2:D522=D522)))</f>
        <v/>
      </c>
      <c r="Y522" s="4" t="str">
        <f t="shared" si="48"/>
        <v/>
      </c>
      <c r="Z522" s="4" t="str">
        <f t="shared" si="49"/>
        <v/>
      </c>
      <c r="AA522" s="4" t="str">
        <f>IF($C522="","",IF(COUNTIF($C$1:C521,$C522)+COUNTIF($D$1:D521,$C522)=0,1,0))</f>
        <v/>
      </c>
      <c r="AB522" s="4" t="str">
        <f>IF($D522="","",IF(COUNTIF($C$1:C522,$D522)+COUNTIF($D$1:D521,$D522)=0,1,0))</f>
        <v/>
      </c>
      <c r="AC522" s="4" t="str">
        <f>IF(AA522=1,SUM($AA$2:AA522)-AA522+SUM($AB$2:AB522)-AB522+1,"")</f>
        <v/>
      </c>
      <c r="AD522" s="4" t="str">
        <f>IF(AB522=1,SUM($AA$2:AA522)+SUM($AB$2:AB522)-AB522+1,"")</f>
        <v/>
      </c>
      <c r="AE522" s="4" t="str">
        <f t="shared" si="50"/>
        <v/>
      </c>
      <c r="AF522" s="4" t="str">
        <f t="shared" si="51"/>
        <v/>
      </c>
      <c r="AG522" s="8">
        <f t="shared" si="52"/>
        <v>0</v>
      </c>
      <c r="AI522" s="8">
        <f t="shared" si="53"/>
        <v>0</v>
      </c>
    </row>
    <row r="523" spans="23:35" ht="15" customHeight="1" x14ac:dyDescent="0.25">
      <c r="W523" s="4" t="str">
        <f>IF($C523="","",SUMPRODUCT(($C$2:C523=C523)+($D$2:D523=C523)))</f>
        <v/>
      </c>
      <c r="X523" s="4" t="str">
        <f>IF($D523="","",SUMPRODUCT(($C$2:C523=D523)+($D$2:D523=D523)))</f>
        <v/>
      </c>
      <c r="Y523" s="4" t="str">
        <f t="shared" si="48"/>
        <v/>
      </c>
      <c r="Z523" s="4" t="str">
        <f t="shared" si="49"/>
        <v/>
      </c>
      <c r="AA523" s="4" t="str">
        <f>IF($C523="","",IF(COUNTIF($C$1:C522,$C523)+COUNTIF($D$1:D522,$C523)=0,1,0))</f>
        <v/>
      </c>
      <c r="AB523" s="4" t="str">
        <f>IF($D523="","",IF(COUNTIF($C$1:C523,$D523)+COUNTIF($D$1:D522,$D523)=0,1,0))</f>
        <v/>
      </c>
      <c r="AC523" s="4" t="str">
        <f>IF(AA523=1,SUM($AA$2:AA523)-AA523+SUM($AB$2:AB523)-AB523+1,"")</f>
        <v/>
      </c>
      <c r="AD523" s="4" t="str">
        <f>IF(AB523=1,SUM($AA$2:AA523)+SUM($AB$2:AB523)-AB523+1,"")</f>
        <v/>
      </c>
      <c r="AE523" s="4" t="str">
        <f t="shared" si="50"/>
        <v/>
      </c>
      <c r="AF523" s="4" t="str">
        <f t="shared" si="51"/>
        <v/>
      </c>
      <c r="AG523" s="8">
        <f t="shared" si="52"/>
        <v>0</v>
      </c>
      <c r="AI523" s="8">
        <f t="shared" si="53"/>
        <v>0</v>
      </c>
    </row>
    <row r="524" spans="23:35" ht="15" customHeight="1" x14ac:dyDescent="0.25">
      <c r="W524" s="4" t="str">
        <f>IF($C524="","",SUMPRODUCT(($C$2:C524=C524)+($D$2:D524=C524)))</f>
        <v/>
      </c>
      <c r="X524" s="4" t="str">
        <f>IF($D524="","",SUMPRODUCT(($C$2:C524=D524)+($D$2:D524=D524)))</f>
        <v/>
      </c>
      <c r="Y524" s="4" t="str">
        <f t="shared" si="48"/>
        <v/>
      </c>
      <c r="Z524" s="4" t="str">
        <f t="shared" si="49"/>
        <v/>
      </c>
      <c r="AA524" s="4" t="str">
        <f>IF($C524="","",IF(COUNTIF($C$1:C523,$C524)+COUNTIF($D$1:D523,$C524)=0,1,0))</f>
        <v/>
      </c>
      <c r="AB524" s="4" t="str">
        <f>IF($D524="","",IF(COUNTIF($C$1:C524,$D524)+COUNTIF($D$1:D523,$D524)=0,1,0))</f>
        <v/>
      </c>
      <c r="AC524" s="4" t="str">
        <f>IF(AA524=1,SUM($AA$2:AA524)-AA524+SUM($AB$2:AB524)-AB524+1,"")</f>
        <v/>
      </c>
      <c r="AD524" s="4" t="str">
        <f>IF(AB524=1,SUM($AA$2:AA524)+SUM($AB$2:AB524)-AB524+1,"")</f>
        <v/>
      </c>
      <c r="AE524" s="4" t="str">
        <f t="shared" si="50"/>
        <v/>
      </c>
      <c r="AF524" s="4" t="str">
        <f t="shared" si="51"/>
        <v/>
      </c>
      <c r="AG524" s="8">
        <f t="shared" si="52"/>
        <v>0</v>
      </c>
      <c r="AI524" s="8">
        <f t="shared" si="53"/>
        <v>0</v>
      </c>
    </row>
    <row r="525" spans="23:35" ht="15" customHeight="1" x14ac:dyDescent="0.25">
      <c r="W525" s="4" t="str">
        <f>IF($C525="","",SUMPRODUCT(($C$2:C525=C525)+($D$2:D525=C525)))</f>
        <v/>
      </c>
      <c r="X525" s="4" t="str">
        <f>IF($D525="","",SUMPRODUCT(($C$2:C525=D525)+($D$2:D525=D525)))</f>
        <v/>
      </c>
      <c r="Y525" s="4" t="str">
        <f t="shared" si="48"/>
        <v/>
      </c>
      <c r="Z525" s="4" t="str">
        <f t="shared" si="49"/>
        <v/>
      </c>
      <c r="AA525" s="4" t="str">
        <f>IF($C525="","",IF(COUNTIF($C$1:C524,$C525)+COUNTIF($D$1:D524,$C525)=0,1,0))</f>
        <v/>
      </c>
      <c r="AB525" s="4" t="str">
        <f>IF($D525="","",IF(COUNTIF($C$1:C525,$D525)+COUNTIF($D$1:D524,$D525)=0,1,0))</f>
        <v/>
      </c>
      <c r="AC525" s="4" t="str">
        <f>IF(AA525=1,SUM($AA$2:AA525)-AA525+SUM($AB$2:AB525)-AB525+1,"")</f>
        <v/>
      </c>
      <c r="AD525" s="4" t="str">
        <f>IF(AB525=1,SUM($AA$2:AA525)+SUM($AB$2:AB525)-AB525+1,"")</f>
        <v/>
      </c>
      <c r="AE525" s="4" t="str">
        <f t="shared" si="50"/>
        <v/>
      </c>
      <c r="AF525" s="4" t="str">
        <f t="shared" si="51"/>
        <v/>
      </c>
      <c r="AG525" s="8">
        <f t="shared" si="52"/>
        <v>0</v>
      </c>
      <c r="AI525" s="8">
        <f t="shared" si="53"/>
        <v>0</v>
      </c>
    </row>
    <row r="526" spans="23:35" ht="15" customHeight="1" x14ac:dyDescent="0.25">
      <c r="W526" s="4" t="str">
        <f>IF($C526="","",SUMPRODUCT(($C$2:C526=C526)+($D$2:D526=C526)))</f>
        <v/>
      </c>
      <c r="X526" s="4" t="str">
        <f>IF($D526="","",SUMPRODUCT(($C$2:C526=D526)+($D$2:D526=D526)))</f>
        <v/>
      </c>
      <c r="Y526" s="4" t="str">
        <f t="shared" si="48"/>
        <v/>
      </c>
      <c r="Z526" s="4" t="str">
        <f t="shared" si="49"/>
        <v/>
      </c>
      <c r="AA526" s="4" t="str">
        <f>IF($C526="","",IF(COUNTIF($C$1:C525,$C526)+COUNTIF($D$1:D525,$C526)=0,1,0))</f>
        <v/>
      </c>
      <c r="AB526" s="4" t="str">
        <f>IF($D526="","",IF(COUNTIF($C$1:C526,$D526)+COUNTIF($D$1:D525,$D526)=0,1,0))</f>
        <v/>
      </c>
      <c r="AC526" s="4" t="str">
        <f>IF(AA526=1,SUM($AA$2:AA526)-AA526+SUM($AB$2:AB526)-AB526+1,"")</f>
        <v/>
      </c>
      <c r="AD526" s="4" t="str">
        <f>IF(AB526=1,SUM($AA$2:AA526)+SUM($AB$2:AB526)-AB526+1,"")</f>
        <v/>
      </c>
      <c r="AE526" s="4" t="str">
        <f t="shared" si="50"/>
        <v/>
      </c>
      <c r="AF526" s="4" t="str">
        <f t="shared" si="51"/>
        <v/>
      </c>
      <c r="AG526" s="8">
        <f t="shared" si="52"/>
        <v>0</v>
      </c>
      <c r="AI526" s="8">
        <f t="shared" si="53"/>
        <v>0</v>
      </c>
    </row>
    <row r="527" spans="23:35" ht="15" customHeight="1" x14ac:dyDescent="0.25">
      <c r="W527" s="4" t="str">
        <f>IF($C527="","",SUMPRODUCT(($C$2:C527=C527)+($D$2:D527=C527)))</f>
        <v/>
      </c>
      <c r="X527" s="4" t="str">
        <f>IF($D527="","",SUMPRODUCT(($C$2:C527=D527)+($D$2:D527=D527)))</f>
        <v/>
      </c>
      <c r="Y527" s="4" t="str">
        <f t="shared" si="48"/>
        <v/>
      </c>
      <c r="Z527" s="4" t="str">
        <f t="shared" si="49"/>
        <v/>
      </c>
      <c r="AA527" s="4" t="str">
        <f>IF($C527="","",IF(COUNTIF($C$1:C526,$C527)+COUNTIF($D$1:D526,$C527)=0,1,0))</f>
        <v/>
      </c>
      <c r="AB527" s="4" t="str">
        <f>IF($D527="","",IF(COUNTIF($C$1:C527,$D527)+COUNTIF($D$1:D526,$D527)=0,1,0))</f>
        <v/>
      </c>
      <c r="AC527" s="4" t="str">
        <f>IF(AA527=1,SUM($AA$2:AA527)-AA527+SUM($AB$2:AB527)-AB527+1,"")</f>
        <v/>
      </c>
      <c r="AD527" s="4" t="str">
        <f>IF(AB527=1,SUM($AA$2:AA527)+SUM($AB$2:AB527)-AB527+1,"")</f>
        <v/>
      </c>
      <c r="AE527" s="4" t="str">
        <f t="shared" si="50"/>
        <v/>
      </c>
      <c r="AF527" s="4" t="str">
        <f t="shared" si="51"/>
        <v/>
      </c>
      <c r="AG527" s="8">
        <f t="shared" si="52"/>
        <v>0</v>
      </c>
      <c r="AI527" s="8">
        <f t="shared" si="53"/>
        <v>0</v>
      </c>
    </row>
    <row r="528" spans="23:35" ht="15" customHeight="1" x14ac:dyDescent="0.25">
      <c r="W528" s="4" t="str">
        <f>IF($C528="","",SUMPRODUCT(($C$2:C528=C528)+($D$2:D528=C528)))</f>
        <v/>
      </c>
      <c r="X528" s="4" t="str">
        <f>IF($D528="","",SUMPRODUCT(($C$2:C528=D528)+($D$2:D528=D528)))</f>
        <v/>
      </c>
      <c r="Y528" s="4" t="str">
        <f t="shared" si="48"/>
        <v/>
      </c>
      <c r="Z528" s="4" t="str">
        <f t="shared" si="49"/>
        <v/>
      </c>
      <c r="AA528" s="4" t="str">
        <f>IF($C528="","",IF(COUNTIF($C$1:C527,$C528)+COUNTIF($D$1:D527,$C528)=0,1,0))</f>
        <v/>
      </c>
      <c r="AB528" s="4" t="str">
        <f>IF($D528="","",IF(COUNTIF($C$1:C528,$D528)+COUNTIF($D$1:D527,$D528)=0,1,0))</f>
        <v/>
      </c>
      <c r="AC528" s="4" t="str">
        <f>IF(AA528=1,SUM($AA$2:AA528)-AA528+SUM($AB$2:AB528)-AB528+1,"")</f>
        <v/>
      </c>
      <c r="AD528" s="4" t="str">
        <f>IF(AB528=1,SUM($AA$2:AA528)+SUM($AB$2:AB528)-AB528+1,"")</f>
        <v/>
      </c>
      <c r="AE528" s="4" t="str">
        <f t="shared" si="50"/>
        <v/>
      </c>
      <c r="AF528" s="4" t="str">
        <f t="shared" si="51"/>
        <v/>
      </c>
      <c r="AG528" s="8">
        <f t="shared" si="52"/>
        <v>0</v>
      </c>
      <c r="AI528" s="8">
        <f t="shared" si="53"/>
        <v>0</v>
      </c>
    </row>
    <row r="529" spans="23:35" ht="15" customHeight="1" x14ac:dyDescent="0.25">
      <c r="W529" s="4" t="str">
        <f>IF($C529="","",SUMPRODUCT(($C$2:C529=C529)+($D$2:D529=C529)))</f>
        <v/>
      </c>
      <c r="X529" s="4" t="str">
        <f>IF($D529="","",SUMPRODUCT(($C$2:C529=D529)+($D$2:D529=D529)))</f>
        <v/>
      </c>
      <c r="Y529" s="4" t="str">
        <f t="shared" si="48"/>
        <v/>
      </c>
      <c r="Z529" s="4" t="str">
        <f t="shared" si="49"/>
        <v/>
      </c>
      <c r="AA529" s="4" t="str">
        <f>IF($C529="","",IF(COUNTIF($C$1:C528,$C529)+COUNTIF($D$1:D528,$C529)=0,1,0))</f>
        <v/>
      </c>
      <c r="AB529" s="4" t="str">
        <f>IF($D529="","",IF(COUNTIF($C$1:C529,$D529)+COUNTIF($D$1:D528,$D529)=0,1,0))</f>
        <v/>
      </c>
      <c r="AC529" s="4" t="str">
        <f>IF(AA529=1,SUM($AA$2:AA529)-AA529+SUM($AB$2:AB529)-AB529+1,"")</f>
        <v/>
      </c>
      <c r="AD529" s="4" t="str">
        <f>IF(AB529=1,SUM($AA$2:AA529)+SUM($AB$2:AB529)-AB529+1,"")</f>
        <v/>
      </c>
      <c r="AE529" s="4" t="str">
        <f t="shared" si="50"/>
        <v/>
      </c>
      <c r="AF529" s="4" t="str">
        <f t="shared" si="51"/>
        <v/>
      </c>
      <c r="AG529" s="8">
        <f t="shared" si="52"/>
        <v>0</v>
      </c>
      <c r="AI529" s="8">
        <f t="shared" si="53"/>
        <v>0</v>
      </c>
    </row>
    <row r="530" spans="23:35" ht="15" customHeight="1" x14ac:dyDescent="0.25">
      <c r="W530" s="4" t="str">
        <f>IF($C530="","",SUMPRODUCT(($C$2:C530=C530)+($D$2:D530=C530)))</f>
        <v/>
      </c>
      <c r="X530" s="4" t="str">
        <f>IF($D530="","",SUMPRODUCT(($C$2:C530=D530)+($D$2:D530=D530)))</f>
        <v/>
      </c>
      <c r="Y530" s="4" t="str">
        <f t="shared" si="48"/>
        <v/>
      </c>
      <c r="Z530" s="4" t="str">
        <f t="shared" si="49"/>
        <v/>
      </c>
      <c r="AA530" s="4" t="str">
        <f>IF($C530="","",IF(COUNTIF($C$1:C529,$C530)+COUNTIF($D$1:D529,$C530)=0,1,0))</f>
        <v/>
      </c>
      <c r="AB530" s="4" t="str">
        <f>IF($D530="","",IF(COUNTIF($C$1:C530,$D530)+COUNTIF($D$1:D529,$D530)=0,1,0))</f>
        <v/>
      </c>
      <c r="AC530" s="4" t="str">
        <f>IF(AA530=1,SUM($AA$2:AA530)-AA530+SUM($AB$2:AB530)-AB530+1,"")</f>
        <v/>
      </c>
      <c r="AD530" s="4" t="str">
        <f>IF(AB530=1,SUM($AA$2:AA530)+SUM($AB$2:AB530)-AB530+1,"")</f>
        <v/>
      </c>
      <c r="AE530" s="4" t="str">
        <f t="shared" si="50"/>
        <v/>
      </c>
      <c r="AF530" s="4" t="str">
        <f t="shared" si="51"/>
        <v/>
      </c>
      <c r="AG530" s="8">
        <f t="shared" si="52"/>
        <v>0</v>
      </c>
      <c r="AI530" s="8">
        <f t="shared" si="53"/>
        <v>0</v>
      </c>
    </row>
    <row r="531" spans="23:35" ht="15" customHeight="1" x14ac:dyDescent="0.25">
      <c r="W531" s="4" t="str">
        <f>IF($C531="","",SUMPRODUCT(($C$2:C531=C531)+($D$2:D531=C531)))</f>
        <v/>
      </c>
      <c r="X531" s="4" t="str">
        <f>IF($D531="","",SUMPRODUCT(($C$2:C531=D531)+($D$2:D531=D531)))</f>
        <v/>
      </c>
      <c r="Y531" s="4" t="str">
        <f t="shared" si="48"/>
        <v/>
      </c>
      <c r="Z531" s="4" t="str">
        <f t="shared" si="49"/>
        <v/>
      </c>
      <c r="AA531" s="4" t="str">
        <f>IF($C531="","",IF(COUNTIF($C$1:C530,$C531)+COUNTIF($D$1:D530,$C531)=0,1,0))</f>
        <v/>
      </c>
      <c r="AB531" s="4" t="str">
        <f>IF($D531="","",IF(COUNTIF($C$1:C531,$D531)+COUNTIF($D$1:D530,$D531)=0,1,0))</f>
        <v/>
      </c>
      <c r="AC531" s="4" t="str">
        <f>IF(AA531=1,SUM($AA$2:AA531)-AA531+SUM($AB$2:AB531)-AB531+1,"")</f>
        <v/>
      </c>
      <c r="AD531" s="4" t="str">
        <f>IF(AB531=1,SUM($AA$2:AA531)+SUM($AB$2:AB531)-AB531+1,"")</f>
        <v/>
      </c>
      <c r="AE531" s="4" t="str">
        <f t="shared" si="50"/>
        <v/>
      </c>
      <c r="AF531" s="4" t="str">
        <f t="shared" si="51"/>
        <v/>
      </c>
      <c r="AG531" s="8">
        <f t="shared" si="52"/>
        <v>0</v>
      </c>
      <c r="AI531" s="8">
        <f t="shared" si="53"/>
        <v>0</v>
      </c>
    </row>
    <row r="532" spans="23:35" ht="15" customHeight="1" x14ac:dyDescent="0.25">
      <c r="W532" s="4" t="str">
        <f>IF($C532="","",SUMPRODUCT(($C$2:C532=C532)+($D$2:D532=C532)))</f>
        <v/>
      </c>
      <c r="X532" s="4" t="str">
        <f>IF($D532="","",SUMPRODUCT(($C$2:C532=D532)+($D$2:D532=D532)))</f>
        <v/>
      </c>
      <c r="Y532" s="4" t="str">
        <f t="shared" si="48"/>
        <v/>
      </c>
      <c r="Z532" s="4" t="str">
        <f t="shared" si="49"/>
        <v/>
      </c>
      <c r="AA532" s="4" t="str">
        <f>IF($C532="","",IF(COUNTIF($C$1:C531,$C532)+COUNTIF($D$1:D531,$C532)=0,1,0))</f>
        <v/>
      </c>
      <c r="AB532" s="4" t="str">
        <f>IF($D532="","",IF(COUNTIF($C$1:C532,$D532)+COUNTIF($D$1:D531,$D532)=0,1,0))</f>
        <v/>
      </c>
      <c r="AC532" s="4" t="str">
        <f>IF(AA532=1,SUM($AA$2:AA532)-AA532+SUM($AB$2:AB532)-AB532+1,"")</f>
        <v/>
      </c>
      <c r="AD532" s="4" t="str">
        <f>IF(AB532=1,SUM($AA$2:AA532)+SUM($AB$2:AB532)-AB532+1,"")</f>
        <v/>
      </c>
      <c r="AE532" s="4" t="str">
        <f t="shared" si="50"/>
        <v/>
      </c>
      <c r="AF532" s="4" t="str">
        <f t="shared" si="51"/>
        <v/>
      </c>
      <c r="AG532" s="8">
        <f t="shared" si="52"/>
        <v>0</v>
      </c>
      <c r="AI532" s="8">
        <f t="shared" si="53"/>
        <v>0</v>
      </c>
    </row>
    <row r="533" spans="23:35" ht="15" customHeight="1" x14ac:dyDescent="0.25">
      <c r="W533" s="4" t="str">
        <f>IF($C533="","",SUMPRODUCT(($C$2:C533=C533)+($D$2:D533=C533)))</f>
        <v/>
      </c>
      <c r="X533" s="4" t="str">
        <f>IF($D533="","",SUMPRODUCT(($C$2:C533=D533)+($D$2:D533=D533)))</f>
        <v/>
      </c>
      <c r="Y533" s="4" t="str">
        <f t="shared" si="48"/>
        <v/>
      </c>
      <c r="Z533" s="4" t="str">
        <f t="shared" si="49"/>
        <v/>
      </c>
      <c r="AA533" s="4" t="str">
        <f>IF($C533="","",IF(COUNTIF($C$1:C532,$C533)+COUNTIF($D$1:D532,$C533)=0,1,0))</f>
        <v/>
      </c>
      <c r="AB533" s="4" t="str">
        <f>IF($D533="","",IF(COUNTIF($C$1:C533,$D533)+COUNTIF($D$1:D532,$D533)=0,1,0))</f>
        <v/>
      </c>
      <c r="AC533" s="4" t="str">
        <f>IF(AA533=1,SUM($AA$2:AA533)-AA533+SUM($AB$2:AB533)-AB533+1,"")</f>
        <v/>
      </c>
      <c r="AD533" s="4" t="str">
        <f>IF(AB533=1,SUM($AA$2:AA533)+SUM($AB$2:AB533)-AB533+1,"")</f>
        <v/>
      </c>
      <c r="AE533" s="4" t="str">
        <f t="shared" si="50"/>
        <v/>
      </c>
      <c r="AF533" s="4" t="str">
        <f t="shared" si="51"/>
        <v/>
      </c>
      <c r="AG533" s="8">
        <f t="shared" si="52"/>
        <v>0</v>
      </c>
      <c r="AI533" s="8">
        <f t="shared" si="53"/>
        <v>0</v>
      </c>
    </row>
    <row r="534" spans="23:35" ht="15" customHeight="1" x14ac:dyDescent="0.25">
      <c r="W534" s="4" t="str">
        <f>IF($C534="","",SUMPRODUCT(($C$2:C534=C534)+($D$2:D534=C534)))</f>
        <v/>
      </c>
      <c r="X534" s="4" t="str">
        <f>IF($D534="","",SUMPRODUCT(($C$2:C534=D534)+($D$2:D534=D534)))</f>
        <v/>
      </c>
      <c r="Y534" s="4" t="str">
        <f t="shared" si="48"/>
        <v/>
      </c>
      <c r="Z534" s="4" t="str">
        <f t="shared" si="49"/>
        <v/>
      </c>
      <c r="AA534" s="4" t="str">
        <f>IF($C534="","",IF(COUNTIF($C$1:C533,$C534)+COUNTIF($D$1:D533,$C534)=0,1,0))</f>
        <v/>
      </c>
      <c r="AB534" s="4" t="str">
        <f>IF($D534="","",IF(COUNTIF($C$1:C534,$D534)+COUNTIF($D$1:D533,$D534)=0,1,0))</f>
        <v/>
      </c>
      <c r="AC534" s="4" t="str">
        <f>IF(AA534=1,SUM($AA$2:AA534)-AA534+SUM($AB$2:AB534)-AB534+1,"")</f>
        <v/>
      </c>
      <c r="AD534" s="4" t="str">
        <f>IF(AB534=1,SUM($AA$2:AA534)+SUM($AB$2:AB534)-AB534+1,"")</f>
        <v/>
      </c>
      <c r="AE534" s="4" t="str">
        <f t="shared" si="50"/>
        <v/>
      </c>
      <c r="AF534" s="4" t="str">
        <f t="shared" si="51"/>
        <v/>
      </c>
      <c r="AG534" s="8">
        <f t="shared" si="52"/>
        <v>0</v>
      </c>
      <c r="AI534" s="8">
        <f t="shared" si="53"/>
        <v>0</v>
      </c>
    </row>
    <row r="535" spans="23:35" ht="15" customHeight="1" x14ac:dyDescent="0.25">
      <c r="W535" s="4" t="str">
        <f>IF($C535="","",SUMPRODUCT(($C$2:C535=C535)+($D$2:D535=C535)))</f>
        <v/>
      </c>
      <c r="X535" s="4" t="str">
        <f>IF($D535="","",SUMPRODUCT(($C$2:C535=D535)+($D$2:D535=D535)))</f>
        <v/>
      </c>
      <c r="Y535" s="4" t="str">
        <f t="shared" si="48"/>
        <v/>
      </c>
      <c r="Z535" s="4" t="str">
        <f t="shared" si="49"/>
        <v/>
      </c>
      <c r="AA535" s="4" t="str">
        <f>IF($C535="","",IF(COUNTIF($C$1:C534,$C535)+COUNTIF($D$1:D534,$C535)=0,1,0))</f>
        <v/>
      </c>
      <c r="AB535" s="4" t="str">
        <f>IF($D535="","",IF(COUNTIF($C$1:C535,$D535)+COUNTIF($D$1:D534,$D535)=0,1,0))</f>
        <v/>
      </c>
      <c r="AC535" s="4" t="str">
        <f>IF(AA535=1,SUM($AA$2:AA535)-AA535+SUM($AB$2:AB535)-AB535+1,"")</f>
        <v/>
      </c>
      <c r="AD535" s="4" t="str">
        <f>IF(AB535=1,SUM($AA$2:AA535)+SUM($AB$2:AB535)-AB535+1,"")</f>
        <v/>
      </c>
      <c r="AE535" s="4" t="str">
        <f t="shared" si="50"/>
        <v/>
      </c>
      <c r="AF535" s="4" t="str">
        <f t="shared" si="51"/>
        <v/>
      </c>
      <c r="AG535" s="8">
        <f t="shared" si="52"/>
        <v>0</v>
      </c>
      <c r="AI535" s="8">
        <f t="shared" si="53"/>
        <v>0</v>
      </c>
    </row>
    <row r="536" spans="23:35" ht="15" customHeight="1" x14ac:dyDescent="0.25">
      <c r="W536" s="4" t="str">
        <f>IF($C536="","",SUMPRODUCT(($C$2:C536=C536)+($D$2:D536=C536)))</f>
        <v/>
      </c>
      <c r="X536" s="4" t="str">
        <f>IF($D536="","",SUMPRODUCT(($C$2:C536=D536)+($D$2:D536=D536)))</f>
        <v/>
      </c>
      <c r="Y536" s="4" t="str">
        <f t="shared" si="48"/>
        <v/>
      </c>
      <c r="Z536" s="4" t="str">
        <f t="shared" si="49"/>
        <v/>
      </c>
      <c r="AA536" s="4" t="str">
        <f>IF($C536="","",IF(COUNTIF($C$1:C535,$C536)+COUNTIF($D$1:D535,$C536)=0,1,0))</f>
        <v/>
      </c>
      <c r="AB536" s="4" t="str">
        <f>IF($D536="","",IF(COUNTIF($C$1:C536,$D536)+COUNTIF($D$1:D535,$D536)=0,1,0))</f>
        <v/>
      </c>
      <c r="AC536" s="4" t="str">
        <f>IF(AA536=1,SUM($AA$2:AA536)-AA536+SUM($AB$2:AB536)-AB536+1,"")</f>
        <v/>
      </c>
      <c r="AD536" s="4" t="str">
        <f>IF(AB536=1,SUM($AA$2:AA536)+SUM($AB$2:AB536)-AB536+1,"")</f>
        <v/>
      </c>
      <c r="AE536" s="4" t="str">
        <f t="shared" si="50"/>
        <v/>
      </c>
      <c r="AF536" s="4" t="str">
        <f t="shared" si="51"/>
        <v/>
      </c>
      <c r="AG536" s="8">
        <f t="shared" si="52"/>
        <v>0</v>
      </c>
      <c r="AI536" s="8">
        <f t="shared" si="53"/>
        <v>0</v>
      </c>
    </row>
    <row r="537" spans="23:35" ht="15" customHeight="1" x14ac:dyDescent="0.25">
      <c r="W537" s="4" t="str">
        <f>IF($C537="","",SUMPRODUCT(($C$2:C537=C537)+($D$2:D537=C537)))</f>
        <v/>
      </c>
      <c r="X537" s="4" t="str">
        <f>IF($D537="","",SUMPRODUCT(($C$2:C537=D537)+($D$2:D537=D537)))</f>
        <v/>
      </c>
      <c r="Y537" s="4" t="str">
        <f t="shared" si="48"/>
        <v/>
      </c>
      <c r="Z537" s="4" t="str">
        <f t="shared" si="49"/>
        <v/>
      </c>
      <c r="AA537" s="4" t="str">
        <f>IF($C537="","",IF(COUNTIF($C$1:C536,$C537)+COUNTIF($D$1:D536,$C537)=0,1,0))</f>
        <v/>
      </c>
      <c r="AB537" s="4" t="str">
        <f>IF($D537="","",IF(COUNTIF($C$1:C537,$D537)+COUNTIF($D$1:D536,$D537)=0,1,0))</f>
        <v/>
      </c>
      <c r="AC537" s="4" t="str">
        <f>IF(AA537=1,SUM($AA$2:AA537)-AA537+SUM($AB$2:AB537)-AB537+1,"")</f>
        <v/>
      </c>
      <c r="AD537" s="4" t="str">
        <f>IF(AB537=1,SUM($AA$2:AA537)+SUM($AB$2:AB537)-AB537+1,"")</f>
        <v/>
      </c>
      <c r="AE537" s="4" t="str">
        <f t="shared" si="50"/>
        <v/>
      </c>
      <c r="AF537" s="4" t="str">
        <f t="shared" si="51"/>
        <v/>
      </c>
      <c r="AG537" s="8">
        <f t="shared" si="52"/>
        <v>0</v>
      </c>
      <c r="AI537" s="8">
        <f t="shared" si="53"/>
        <v>0</v>
      </c>
    </row>
    <row r="538" spans="23:35" ht="15" customHeight="1" x14ac:dyDescent="0.25">
      <c r="W538" s="4" t="str">
        <f>IF($C538="","",SUMPRODUCT(($C$2:C538=C538)+($D$2:D538=C538)))</f>
        <v/>
      </c>
      <c r="X538" s="4" t="str">
        <f>IF($D538="","",SUMPRODUCT(($C$2:C538=D538)+($D$2:D538=D538)))</f>
        <v/>
      </c>
      <c r="Y538" s="4" t="str">
        <f t="shared" si="48"/>
        <v/>
      </c>
      <c r="Z538" s="4" t="str">
        <f t="shared" si="49"/>
        <v/>
      </c>
      <c r="AA538" s="4" t="str">
        <f>IF($C538="","",IF(COUNTIF($C$1:C537,$C538)+COUNTIF($D$1:D537,$C538)=0,1,0))</f>
        <v/>
      </c>
      <c r="AB538" s="4" t="str">
        <f>IF($D538="","",IF(COUNTIF($C$1:C538,$D538)+COUNTIF($D$1:D537,$D538)=0,1,0))</f>
        <v/>
      </c>
      <c r="AC538" s="4" t="str">
        <f>IF(AA538=1,SUM($AA$2:AA538)-AA538+SUM($AB$2:AB538)-AB538+1,"")</f>
        <v/>
      </c>
      <c r="AD538" s="4" t="str">
        <f>IF(AB538=1,SUM($AA$2:AA538)+SUM($AB$2:AB538)-AB538+1,"")</f>
        <v/>
      </c>
      <c r="AE538" s="4" t="str">
        <f t="shared" si="50"/>
        <v/>
      </c>
      <c r="AF538" s="4" t="str">
        <f t="shared" si="51"/>
        <v/>
      </c>
      <c r="AG538" s="8">
        <f t="shared" si="52"/>
        <v>0</v>
      </c>
      <c r="AI538" s="8">
        <f t="shared" si="53"/>
        <v>0</v>
      </c>
    </row>
    <row r="539" spans="23:35" ht="15" customHeight="1" x14ac:dyDescent="0.25">
      <c r="W539" s="4" t="str">
        <f>IF($C539="","",SUMPRODUCT(($C$2:C539=C539)+($D$2:D539=C539)))</f>
        <v/>
      </c>
      <c r="X539" s="4" t="str">
        <f>IF($D539="","",SUMPRODUCT(($C$2:C539=D539)+($D$2:D539=D539)))</f>
        <v/>
      </c>
      <c r="Y539" s="4" t="str">
        <f t="shared" si="48"/>
        <v/>
      </c>
      <c r="Z539" s="4" t="str">
        <f t="shared" si="49"/>
        <v/>
      </c>
      <c r="AA539" s="4" t="str">
        <f>IF($C539="","",IF(COUNTIF($C$1:C538,$C539)+COUNTIF($D$1:D538,$C539)=0,1,0))</f>
        <v/>
      </c>
      <c r="AB539" s="4" t="str">
        <f>IF($D539="","",IF(COUNTIF($C$1:C539,$D539)+COUNTIF($D$1:D538,$D539)=0,1,0))</f>
        <v/>
      </c>
      <c r="AC539" s="4" t="str">
        <f>IF(AA539=1,SUM($AA$2:AA539)-AA539+SUM($AB$2:AB539)-AB539+1,"")</f>
        <v/>
      </c>
      <c r="AD539" s="4" t="str">
        <f>IF(AB539=1,SUM($AA$2:AA539)+SUM($AB$2:AB539)-AB539+1,"")</f>
        <v/>
      </c>
      <c r="AE539" s="4" t="str">
        <f t="shared" si="50"/>
        <v/>
      </c>
      <c r="AF539" s="4" t="str">
        <f t="shared" si="51"/>
        <v/>
      </c>
      <c r="AG539" s="8">
        <f t="shared" si="52"/>
        <v>0</v>
      </c>
      <c r="AI539" s="8">
        <f t="shared" si="53"/>
        <v>0</v>
      </c>
    </row>
    <row r="540" spans="23:35" ht="15" customHeight="1" x14ac:dyDescent="0.25">
      <c r="W540" s="4" t="str">
        <f>IF($C540="","",SUMPRODUCT(($C$2:C540=C540)+($D$2:D540=C540)))</f>
        <v/>
      </c>
      <c r="X540" s="4" t="str">
        <f>IF($D540="","",SUMPRODUCT(($C$2:C540=D540)+($D$2:D540=D540)))</f>
        <v/>
      </c>
      <c r="Y540" s="4" t="str">
        <f t="shared" si="48"/>
        <v/>
      </c>
      <c r="Z540" s="4" t="str">
        <f t="shared" si="49"/>
        <v/>
      </c>
      <c r="AA540" s="4" t="str">
        <f>IF($C540="","",IF(COUNTIF($C$1:C539,$C540)+COUNTIF($D$1:D539,$C540)=0,1,0))</f>
        <v/>
      </c>
      <c r="AB540" s="4" t="str">
        <f>IF($D540="","",IF(COUNTIF($C$1:C540,$D540)+COUNTIF($D$1:D539,$D540)=0,1,0))</f>
        <v/>
      </c>
      <c r="AC540" s="4" t="str">
        <f>IF(AA540=1,SUM($AA$2:AA540)-AA540+SUM($AB$2:AB540)-AB540+1,"")</f>
        <v/>
      </c>
      <c r="AD540" s="4" t="str">
        <f>IF(AB540=1,SUM($AA$2:AA540)+SUM($AB$2:AB540)-AB540+1,"")</f>
        <v/>
      </c>
      <c r="AE540" s="4" t="str">
        <f t="shared" si="50"/>
        <v/>
      </c>
      <c r="AF540" s="4" t="str">
        <f t="shared" si="51"/>
        <v/>
      </c>
      <c r="AG540" s="8">
        <f t="shared" si="52"/>
        <v>0</v>
      </c>
      <c r="AI540" s="8">
        <f t="shared" si="53"/>
        <v>0</v>
      </c>
    </row>
    <row r="541" spans="23:35" ht="15" customHeight="1" x14ac:dyDescent="0.25">
      <c r="W541" s="4" t="str">
        <f>IF($C541="","",SUMPRODUCT(($C$2:C541=C541)+($D$2:D541=C541)))</f>
        <v/>
      </c>
      <c r="X541" s="4" t="str">
        <f>IF($D541="","",SUMPRODUCT(($C$2:C541=D541)+($D$2:D541=D541)))</f>
        <v/>
      </c>
      <c r="Y541" s="4" t="str">
        <f t="shared" si="48"/>
        <v/>
      </c>
      <c r="Z541" s="4" t="str">
        <f t="shared" si="49"/>
        <v/>
      </c>
      <c r="AA541" s="4" t="str">
        <f>IF($C541="","",IF(COUNTIF($C$1:C540,$C541)+COUNTIF($D$1:D540,$C541)=0,1,0))</f>
        <v/>
      </c>
      <c r="AB541" s="4" t="str">
        <f>IF($D541="","",IF(COUNTIF($C$1:C541,$D541)+COUNTIF($D$1:D540,$D541)=0,1,0))</f>
        <v/>
      </c>
      <c r="AC541" s="4" t="str">
        <f>IF(AA541=1,SUM($AA$2:AA541)-AA541+SUM($AB$2:AB541)-AB541+1,"")</f>
        <v/>
      </c>
      <c r="AD541" s="4" t="str">
        <f>IF(AB541=1,SUM($AA$2:AA541)+SUM($AB$2:AB541)-AB541+1,"")</f>
        <v/>
      </c>
      <c r="AE541" s="4" t="str">
        <f t="shared" si="50"/>
        <v/>
      </c>
      <c r="AF541" s="4" t="str">
        <f t="shared" si="51"/>
        <v/>
      </c>
      <c r="AG541" s="8">
        <f t="shared" si="52"/>
        <v>0</v>
      </c>
      <c r="AI541" s="8">
        <f t="shared" si="53"/>
        <v>0</v>
      </c>
    </row>
    <row r="542" spans="23:35" ht="15" customHeight="1" x14ac:dyDescent="0.25">
      <c r="W542" s="4" t="str">
        <f>IF($C542="","",SUMPRODUCT(($C$2:C542=C542)+($D$2:D542=C542)))</f>
        <v/>
      </c>
      <c r="X542" s="4" t="str">
        <f>IF($D542="","",SUMPRODUCT(($C$2:C542=D542)+($D$2:D542=D542)))</f>
        <v/>
      </c>
      <c r="Y542" s="4" t="str">
        <f t="shared" si="48"/>
        <v/>
      </c>
      <c r="Z542" s="4" t="str">
        <f t="shared" si="49"/>
        <v/>
      </c>
      <c r="AA542" s="4" t="str">
        <f>IF($C542="","",IF(COUNTIF($C$1:C541,$C542)+COUNTIF($D$1:D541,$C542)=0,1,0))</f>
        <v/>
      </c>
      <c r="AB542" s="4" t="str">
        <f>IF($D542="","",IF(COUNTIF($C$1:C542,$D542)+COUNTIF($D$1:D541,$D542)=0,1,0))</f>
        <v/>
      </c>
      <c r="AC542" s="4" t="str">
        <f>IF(AA542=1,SUM($AA$2:AA542)-AA542+SUM($AB$2:AB542)-AB542+1,"")</f>
        <v/>
      </c>
      <c r="AD542" s="4" t="str">
        <f>IF(AB542=1,SUM($AA$2:AA542)+SUM($AB$2:AB542)-AB542+1,"")</f>
        <v/>
      </c>
      <c r="AE542" s="4" t="str">
        <f t="shared" si="50"/>
        <v/>
      </c>
      <c r="AF542" s="4" t="str">
        <f t="shared" si="51"/>
        <v/>
      </c>
      <c r="AG542" s="8">
        <f t="shared" si="52"/>
        <v>0</v>
      </c>
      <c r="AI542" s="8">
        <f t="shared" si="53"/>
        <v>0</v>
      </c>
    </row>
    <row r="543" spans="23:35" ht="15" customHeight="1" x14ac:dyDescent="0.25">
      <c r="W543" s="4" t="str">
        <f>IF($C543="","",SUMPRODUCT(($C$2:C543=C543)+($D$2:D543=C543)))</f>
        <v/>
      </c>
      <c r="X543" s="4" t="str">
        <f>IF($D543="","",SUMPRODUCT(($C$2:C543=D543)+($D$2:D543=D543)))</f>
        <v/>
      </c>
      <c r="Y543" s="4" t="str">
        <f t="shared" si="48"/>
        <v/>
      </c>
      <c r="Z543" s="4" t="str">
        <f t="shared" si="49"/>
        <v/>
      </c>
      <c r="AA543" s="4" t="str">
        <f>IF($C543="","",IF(COUNTIF($C$1:C542,$C543)+COUNTIF($D$1:D542,$C543)=0,1,0))</f>
        <v/>
      </c>
      <c r="AB543" s="4" t="str">
        <f>IF($D543="","",IF(COUNTIF($C$1:C543,$D543)+COUNTIF($D$1:D542,$D543)=0,1,0))</f>
        <v/>
      </c>
      <c r="AC543" s="4" t="str">
        <f>IF(AA543=1,SUM($AA$2:AA543)-AA543+SUM($AB$2:AB543)-AB543+1,"")</f>
        <v/>
      </c>
      <c r="AD543" s="4" t="str">
        <f>IF(AB543=1,SUM($AA$2:AA543)+SUM($AB$2:AB543)-AB543+1,"")</f>
        <v/>
      </c>
      <c r="AE543" s="4" t="str">
        <f t="shared" si="50"/>
        <v/>
      </c>
      <c r="AF543" s="4" t="str">
        <f t="shared" si="51"/>
        <v/>
      </c>
      <c r="AG543" s="8">
        <f t="shared" si="52"/>
        <v>0</v>
      </c>
      <c r="AI543" s="8">
        <f t="shared" si="53"/>
        <v>0</v>
      </c>
    </row>
    <row r="544" spans="23:35" ht="15" customHeight="1" x14ac:dyDescent="0.25">
      <c r="W544" s="4" t="str">
        <f>IF($C544="","",SUMPRODUCT(($C$2:C544=C544)+($D$2:D544=C544)))</f>
        <v/>
      </c>
      <c r="X544" s="4" t="str">
        <f>IF($D544="","",SUMPRODUCT(($C$2:C544=D544)+($D$2:D544=D544)))</f>
        <v/>
      </c>
      <c r="Y544" s="4" t="str">
        <f t="shared" si="48"/>
        <v/>
      </c>
      <c r="Z544" s="4" t="str">
        <f t="shared" si="49"/>
        <v/>
      </c>
      <c r="AA544" s="4" t="str">
        <f>IF($C544="","",IF(COUNTIF($C$1:C543,$C544)+COUNTIF($D$1:D543,$C544)=0,1,0))</f>
        <v/>
      </c>
      <c r="AB544" s="4" t="str">
        <f>IF($D544="","",IF(COUNTIF($C$1:C544,$D544)+COUNTIF($D$1:D543,$D544)=0,1,0))</f>
        <v/>
      </c>
      <c r="AC544" s="4" t="str">
        <f>IF(AA544=1,SUM($AA$2:AA544)-AA544+SUM($AB$2:AB544)-AB544+1,"")</f>
        <v/>
      </c>
      <c r="AD544" s="4" t="str">
        <f>IF(AB544=1,SUM($AA$2:AA544)+SUM($AB$2:AB544)-AB544+1,"")</f>
        <v/>
      </c>
      <c r="AE544" s="4" t="str">
        <f t="shared" si="50"/>
        <v/>
      </c>
      <c r="AF544" s="4" t="str">
        <f t="shared" si="51"/>
        <v/>
      </c>
      <c r="AG544" s="8">
        <f t="shared" si="52"/>
        <v>0</v>
      </c>
      <c r="AI544" s="8">
        <f t="shared" si="53"/>
        <v>0</v>
      </c>
    </row>
    <row r="545" spans="23:35" ht="15" customHeight="1" x14ac:dyDescent="0.25">
      <c r="W545" s="4" t="str">
        <f>IF($C545="","",SUMPRODUCT(($C$2:C545=C545)+($D$2:D545=C545)))</f>
        <v/>
      </c>
      <c r="X545" s="4" t="str">
        <f>IF($D545="","",SUMPRODUCT(($C$2:C545=D545)+($D$2:D545=D545)))</f>
        <v/>
      </c>
      <c r="Y545" s="4" t="str">
        <f t="shared" si="48"/>
        <v/>
      </c>
      <c r="Z545" s="4" t="str">
        <f t="shared" si="49"/>
        <v/>
      </c>
      <c r="AA545" s="4" t="str">
        <f>IF($C545="","",IF(COUNTIF($C$1:C544,$C545)+COUNTIF($D$1:D544,$C545)=0,1,0))</f>
        <v/>
      </c>
      <c r="AB545" s="4" t="str">
        <f>IF($D545="","",IF(COUNTIF($C$1:C545,$D545)+COUNTIF($D$1:D544,$D545)=0,1,0))</f>
        <v/>
      </c>
      <c r="AC545" s="4" t="str">
        <f>IF(AA545=1,SUM($AA$2:AA545)-AA545+SUM($AB$2:AB545)-AB545+1,"")</f>
        <v/>
      </c>
      <c r="AD545" s="4" t="str">
        <f>IF(AB545=1,SUM($AA$2:AA545)+SUM($AB$2:AB545)-AB545+1,"")</f>
        <v/>
      </c>
      <c r="AE545" s="4" t="str">
        <f t="shared" si="50"/>
        <v/>
      </c>
      <c r="AF545" s="4" t="str">
        <f t="shared" si="51"/>
        <v/>
      </c>
      <c r="AG545" s="8">
        <f t="shared" si="52"/>
        <v>0</v>
      </c>
      <c r="AI545" s="8">
        <f t="shared" si="53"/>
        <v>0</v>
      </c>
    </row>
    <row r="546" spans="23:35" ht="15" customHeight="1" x14ac:dyDescent="0.25">
      <c r="W546" s="4" t="str">
        <f>IF($C546="","",SUMPRODUCT(($C$2:C546=C546)+($D$2:D546=C546)))</f>
        <v/>
      </c>
      <c r="X546" s="4" t="str">
        <f>IF($D546="","",SUMPRODUCT(($C$2:C546=D546)+($D$2:D546=D546)))</f>
        <v/>
      </c>
      <c r="Y546" s="4" t="str">
        <f t="shared" si="48"/>
        <v/>
      </c>
      <c r="Z546" s="4" t="str">
        <f t="shared" si="49"/>
        <v/>
      </c>
      <c r="AA546" s="4" t="str">
        <f>IF($C546="","",IF(COUNTIF($C$1:C545,$C546)+COUNTIF($D$1:D545,$C546)=0,1,0))</f>
        <v/>
      </c>
      <c r="AB546" s="4" t="str">
        <f>IF($D546="","",IF(COUNTIF($C$1:C546,$D546)+COUNTIF($D$1:D545,$D546)=0,1,0))</f>
        <v/>
      </c>
      <c r="AC546" s="4" t="str">
        <f>IF(AA546=1,SUM($AA$2:AA546)-AA546+SUM($AB$2:AB546)-AB546+1,"")</f>
        <v/>
      </c>
      <c r="AD546" s="4" t="str">
        <f>IF(AB546=1,SUM($AA$2:AA546)+SUM($AB$2:AB546)-AB546+1,"")</f>
        <v/>
      </c>
      <c r="AE546" s="4" t="str">
        <f t="shared" si="50"/>
        <v/>
      </c>
      <c r="AF546" s="4" t="str">
        <f t="shared" si="51"/>
        <v/>
      </c>
      <c r="AG546" s="8">
        <f t="shared" si="52"/>
        <v>0</v>
      </c>
      <c r="AI546" s="8">
        <f t="shared" si="53"/>
        <v>0</v>
      </c>
    </row>
    <row r="547" spans="23:35" ht="15" customHeight="1" x14ac:dyDescent="0.25">
      <c r="W547" s="4" t="str">
        <f>IF($C547="","",SUMPRODUCT(($C$2:C547=C547)+($D$2:D547=C547)))</f>
        <v/>
      </c>
      <c r="X547" s="4" t="str">
        <f>IF($D547="","",SUMPRODUCT(($C$2:C547=D547)+($D$2:D547=D547)))</f>
        <v/>
      </c>
      <c r="Y547" s="4" t="str">
        <f t="shared" si="48"/>
        <v/>
      </c>
      <c r="Z547" s="4" t="str">
        <f t="shared" si="49"/>
        <v/>
      </c>
      <c r="AA547" s="4" t="str">
        <f>IF($C547="","",IF(COUNTIF($C$1:C546,$C547)+COUNTIF($D$1:D546,$C547)=0,1,0))</f>
        <v/>
      </c>
      <c r="AB547" s="4" t="str">
        <f>IF($D547="","",IF(COUNTIF($C$1:C547,$D547)+COUNTIF($D$1:D546,$D547)=0,1,0))</f>
        <v/>
      </c>
      <c r="AC547" s="4" t="str">
        <f>IF(AA547=1,SUM($AA$2:AA547)-AA547+SUM($AB$2:AB547)-AB547+1,"")</f>
        <v/>
      </c>
      <c r="AD547" s="4" t="str">
        <f>IF(AB547=1,SUM($AA$2:AA547)+SUM($AB$2:AB547)-AB547+1,"")</f>
        <v/>
      </c>
      <c r="AE547" s="4" t="str">
        <f t="shared" si="50"/>
        <v/>
      </c>
      <c r="AF547" s="4" t="str">
        <f t="shared" si="51"/>
        <v/>
      </c>
      <c r="AG547" s="8">
        <f t="shared" si="52"/>
        <v>0</v>
      </c>
      <c r="AI547" s="8">
        <f t="shared" si="53"/>
        <v>0</v>
      </c>
    </row>
    <row r="548" spans="23:35" ht="15" customHeight="1" x14ac:dyDescent="0.25">
      <c r="W548" s="4" t="str">
        <f>IF($C548="","",SUMPRODUCT(($C$2:C548=C548)+($D$2:D548=C548)))</f>
        <v/>
      </c>
      <c r="X548" s="4" t="str">
        <f>IF($D548="","",SUMPRODUCT(($C$2:C548=D548)+($D$2:D548=D548)))</f>
        <v/>
      </c>
      <c r="Y548" s="4" t="str">
        <f t="shared" si="48"/>
        <v/>
      </c>
      <c r="Z548" s="4" t="str">
        <f t="shared" si="49"/>
        <v/>
      </c>
      <c r="AA548" s="4" t="str">
        <f>IF($C548="","",IF(COUNTIF($C$1:C547,$C548)+COUNTIF($D$1:D547,$C548)=0,1,0))</f>
        <v/>
      </c>
      <c r="AB548" s="4" t="str">
        <f>IF($D548="","",IF(COUNTIF($C$1:C548,$D548)+COUNTIF($D$1:D547,$D548)=0,1,0))</f>
        <v/>
      </c>
      <c r="AC548" s="4" t="str">
        <f>IF(AA548=1,SUM($AA$2:AA548)-AA548+SUM($AB$2:AB548)-AB548+1,"")</f>
        <v/>
      </c>
      <c r="AD548" s="4" t="str">
        <f>IF(AB548=1,SUM($AA$2:AA548)+SUM($AB$2:AB548)-AB548+1,"")</f>
        <v/>
      </c>
      <c r="AE548" s="4" t="str">
        <f t="shared" si="50"/>
        <v/>
      </c>
      <c r="AF548" s="4" t="str">
        <f t="shared" si="51"/>
        <v/>
      </c>
      <c r="AG548" s="8">
        <f t="shared" si="52"/>
        <v>0</v>
      </c>
      <c r="AI548" s="8">
        <f t="shared" si="53"/>
        <v>0</v>
      </c>
    </row>
    <row r="549" spans="23:35" ht="15" customHeight="1" x14ac:dyDescent="0.25">
      <c r="W549" s="4" t="str">
        <f>IF($C549="","",SUMPRODUCT(($C$2:C549=C549)+($D$2:D549=C549)))</f>
        <v/>
      </c>
      <c r="X549" s="4" t="str">
        <f>IF($D549="","",SUMPRODUCT(($C$2:C549=D549)+($D$2:D549=D549)))</f>
        <v/>
      </c>
      <c r="Y549" s="4" t="str">
        <f t="shared" si="48"/>
        <v/>
      </c>
      <c r="Z549" s="4" t="str">
        <f t="shared" si="49"/>
        <v/>
      </c>
      <c r="AA549" s="4" t="str">
        <f>IF($C549="","",IF(COUNTIF($C$1:C548,$C549)+COUNTIF($D$1:D548,$C549)=0,1,0))</f>
        <v/>
      </c>
      <c r="AB549" s="4" t="str">
        <f>IF($D549="","",IF(COUNTIF($C$1:C549,$D549)+COUNTIF($D$1:D548,$D549)=0,1,0))</f>
        <v/>
      </c>
      <c r="AC549" s="4" t="str">
        <f>IF(AA549=1,SUM($AA$2:AA549)-AA549+SUM($AB$2:AB549)-AB549+1,"")</f>
        <v/>
      </c>
      <c r="AD549" s="4" t="str">
        <f>IF(AB549=1,SUM($AA$2:AA549)+SUM($AB$2:AB549)-AB549+1,"")</f>
        <v/>
      </c>
      <c r="AE549" s="4" t="str">
        <f t="shared" si="50"/>
        <v/>
      </c>
      <c r="AF549" s="4" t="str">
        <f t="shared" si="51"/>
        <v/>
      </c>
      <c r="AG549" s="8">
        <f t="shared" si="52"/>
        <v>0</v>
      </c>
      <c r="AI549" s="8">
        <f t="shared" si="53"/>
        <v>0</v>
      </c>
    </row>
    <row r="550" spans="23:35" ht="15" customHeight="1" x14ac:dyDescent="0.25">
      <c r="W550" s="4" t="str">
        <f>IF($C550="","",SUMPRODUCT(($C$2:C550=C550)+($D$2:D550=C550)))</f>
        <v/>
      </c>
      <c r="X550" s="4" t="str">
        <f>IF($D550="","",SUMPRODUCT(($C$2:C550=D550)+($D$2:D550=D550)))</f>
        <v/>
      </c>
      <c r="Y550" s="4" t="str">
        <f t="shared" si="48"/>
        <v/>
      </c>
      <c r="Z550" s="4" t="str">
        <f t="shared" si="49"/>
        <v/>
      </c>
      <c r="AA550" s="4" t="str">
        <f>IF($C550="","",IF(COUNTIF($C$1:C549,$C550)+COUNTIF($D$1:D549,$C550)=0,1,0))</f>
        <v/>
      </c>
      <c r="AB550" s="4" t="str">
        <f>IF($D550="","",IF(COUNTIF($C$1:C550,$D550)+COUNTIF($D$1:D549,$D550)=0,1,0))</f>
        <v/>
      </c>
      <c r="AC550" s="4" t="str">
        <f>IF(AA550=1,SUM($AA$2:AA550)-AA550+SUM($AB$2:AB550)-AB550+1,"")</f>
        <v/>
      </c>
      <c r="AD550" s="4" t="str">
        <f>IF(AB550=1,SUM($AA$2:AA550)+SUM($AB$2:AB550)-AB550+1,"")</f>
        <v/>
      </c>
      <c r="AE550" s="4" t="str">
        <f t="shared" si="50"/>
        <v/>
      </c>
      <c r="AF550" s="4" t="str">
        <f t="shared" si="51"/>
        <v/>
      </c>
      <c r="AG550" s="8">
        <f t="shared" si="52"/>
        <v>0</v>
      </c>
      <c r="AI550" s="8">
        <f t="shared" si="53"/>
        <v>0</v>
      </c>
    </row>
    <row r="551" spans="23:35" ht="15" customHeight="1" x14ac:dyDescent="0.25">
      <c r="W551" s="4" t="str">
        <f>IF($C551="","",SUMPRODUCT(($C$2:C551=C551)+($D$2:D551=C551)))</f>
        <v/>
      </c>
      <c r="X551" s="4" t="str">
        <f>IF($D551="","",SUMPRODUCT(($C$2:C551=D551)+($D$2:D551=D551)))</f>
        <v/>
      </c>
      <c r="Y551" s="4" t="str">
        <f t="shared" si="48"/>
        <v/>
      </c>
      <c r="Z551" s="4" t="str">
        <f t="shared" si="49"/>
        <v/>
      </c>
      <c r="AA551" s="4" t="str">
        <f>IF($C551="","",IF(COUNTIF($C$1:C550,$C551)+COUNTIF($D$1:D550,$C551)=0,1,0))</f>
        <v/>
      </c>
      <c r="AB551" s="4" t="str">
        <f>IF($D551="","",IF(COUNTIF($C$1:C551,$D551)+COUNTIF($D$1:D550,$D551)=0,1,0))</f>
        <v/>
      </c>
      <c r="AC551" s="4" t="str">
        <f>IF(AA551=1,SUM($AA$2:AA551)-AA551+SUM($AB$2:AB551)-AB551+1,"")</f>
        <v/>
      </c>
      <c r="AD551" s="4" t="str">
        <f>IF(AB551=1,SUM($AA$2:AA551)+SUM($AB$2:AB551)-AB551+1,"")</f>
        <v/>
      </c>
      <c r="AE551" s="4" t="str">
        <f t="shared" si="50"/>
        <v/>
      </c>
      <c r="AF551" s="4" t="str">
        <f t="shared" si="51"/>
        <v/>
      </c>
      <c r="AG551" s="8">
        <f t="shared" si="52"/>
        <v>0</v>
      </c>
      <c r="AI551" s="8">
        <f t="shared" si="53"/>
        <v>0</v>
      </c>
    </row>
    <row r="552" spans="23:35" ht="15" customHeight="1" x14ac:dyDescent="0.25">
      <c r="W552" s="4" t="str">
        <f>IF($C552="","",SUMPRODUCT(($C$2:C552=C552)+($D$2:D552=C552)))</f>
        <v/>
      </c>
      <c r="X552" s="4" t="str">
        <f>IF($D552="","",SUMPRODUCT(($C$2:C552=D552)+($D$2:D552=D552)))</f>
        <v/>
      </c>
      <c r="Y552" s="4" t="str">
        <f t="shared" si="48"/>
        <v/>
      </c>
      <c r="Z552" s="4" t="str">
        <f t="shared" si="49"/>
        <v/>
      </c>
      <c r="AA552" s="4" t="str">
        <f>IF($C552="","",IF(COUNTIF($C$1:C551,$C552)+COUNTIF($D$1:D551,$C552)=0,1,0))</f>
        <v/>
      </c>
      <c r="AB552" s="4" t="str">
        <f>IF($D552="","",IF(COUNTIF($C$1:C552,$D552)+COUNTIF($D$1:D551,$D552)=0,1,0))</f>
        <v/>
      </c>
      <c r="AC552" s="4" t="str">
        <f>IF(AA552=1,SUM($AA$2:AA552)-AA552+SUM($AB$2:AB552)-AB552+1,"")</f>
        <v/>
      </c>
      <c r="AD552" s="4" t="str">
        <f>IF(AB552=1,SUM($AA$2:AA552)+SUM($AB$2:AB552)-AB552+1,"")</f>
        <v/>
      </c>
      <c r="AE552" s="4" t="str">
        <f t="shared" si="50"/>
        <v/>
      </c>
      <c r="AF552" s="4" t="str">
        <f t="shared" si="51"/>
        <v/>
      </c>
      <c r="AG552" s="8">
        <f t="shared" si="52"/>
        <v>0</v>
      </c>
      <c r="AI552" s="8">
        <f t="shared" si="53"/>
        <v>0</v>
      </c>
    </row>
    <row r="553" spans="23:35" ht="15" customHeight="1" x14ac:dyDescent="0.25">
      <c r="W553" s="4" t="str">
        <f>IF($C553="","",SUMPRODUCT(($C$2:C553=C553)+($D$2:D553=C553)))</f>
        <v/>
      </c>
      <c r="X553" s="4" t="str">
        <f>IF($D553="","",SUMPRODUCT(($C$2:C553=D553)+($D$2:D553=D553)))</f>
        <v/>
      </c>
      <c r="Y553" s="4" t="str">
        <f t="shared" si="48"/>
        <v/>
      </c>
      <c r="Z553" s="4" t="str">
        <f t="shared" si="49"/>
        <v/>
      </c>
      <c r="AA553" s="4" t="str">
        <f>IF($C553="","",IF(COUNTIF($C$1:C552,$C553)+COUNTIF($D$1:D552,$C553)=0,1,0))</f>
        <v/>
      </c>
      <c r="AB553" s="4" t="str">
        <f>IF($D553="","",IF(COUNTIF($C$1:C553,$D553)+COUNTIF($D$1:D552,$D553)=0,1,0))</f>
        <v/>
      </c>
      <c r="AC553" s="4" t="str">
        <f>IF(AA553=1,SUM($AA$2:AA553)-AA553+SUM($AB$2:AB553)-AB553+1,"")</f>
        <v/>
      </c>
      <c r="AD553" s="4" t="str">
        <f>IF(AB553=1,SUM($AA$2:AA553)+SUM($AB$2:AB553)-AB553+1,"")</f>
        <v/>
      </c>
      <c r="AE553" s="4" t="str">
        <f t="shared" si="50"/>
        <v/>
      </c>
      <c r="AF553" s="4" t="str">
        <f t="shared" si="51"/>
        <v/>
      </c>
      <c r="AG553" s="8">
        <f t="shared" si="52"/>
        <v>0</v>
      </c>
      <c r="AI553" s="8">
        <f t="shared" si="53"/>
        <v>0</v>
      </c>
    </row>
    <row r="554" spans="23:35" ht="15" customHeight="1" x14ac:dyDescent="0.25">
      <c r="W554" s="4" t="str">
        <f>IF($C554="","",SUMPRODUCT(($C$2:C554=C554)+($D$2:D554=C554)))</f>
        <v/>
      </c>
      <c r="X554" s="4" t="str">
        <f>IF($D554="","",SUMPRODUCT(($C$2:C554=D554)+($D$2:D554=D554)))</f>
        <v/>
      </c>
      <c r="Y554" s="4" t="str">
        <f t="shared" si="48"/>
        <v/>
      </c>
      <c r="Z554" s="4" t="str">
        <f t="shared" si="49"/>
        <v/>
      </c>
      <c r="AA554" s="4" t="str">
        <f>IF($C554="","",IF(COUNTIF($C$1:C553,$C554)+COUNTIF($D$1:D553,$C554)=0,1,0))</f>
        <v/>
      </c>
      <c r="AB554" s="4" t="str">
        <f>IF($D554="","",IF(COUNTIF($C$1:C554,$D554)+COUNTIF($D$1:D553,$D554)=0,1,0))</f>
        <v/>
      </c>
      <c r="AC554" s="4" t="str">
        <f>IF(AA554=1,SUM($AA$2:AA554)-AA554+SUM($AB$2:AB554)-AB554+1,"")</f>
        <v/>
      </c>
      <c r="AD554" s="4" t="str">
        <f>IF(AB554=1,SUM($AA$2:AA554)+SUM($AB$2:AB554)-AB554+1,"")</f>
        <v/>
      </c>
      <c r="AE554" s="4" t="str">
        <f t="shared" si="50"/>
        <v/>
      </c>
      <c r="AF554" s="4" t="str">
        <f t="shared" si="51"/>
        <v/>
      </c>
      <c r="AG554" s="8">
        <f t="shared" si="52"/>
        <v>0</v>
      </c>
      <c r="AI554" s="8">
        <f t="shared" si="53"/>
        <v>0</v>
      </c>
    </row>
    <row r="555" spans="23:35" ht="15" customHeight="1" x14ac:dyDescent="0.25">
      <c r="W555" s="4" t="str">
        <f>IF($C555="","",SUMPRODUCT(($C$2:C555=C555)+($D$2:D555=C555)))</f>
        <v/>
      </c>
      <c r="X555" s="4" t="str">
        <f>IF($D555="","",SUMPRODUCT(($C$2:C555=D555)+($D$2:D555=D555)))</f>
        <v/>
      </c>
      <c r="Y555" s="4" t="str">
        <f t="shared" si="48"/>
        <v/>
      </c>
      <c r="Z555" s="4" t="str">
        <f t="shared" si="49"/>
        <v/>
      </c>
      <c r="AA555" s="4" t="str">
        <f>IF($C555="","",IF(COUNTIF($C$1:C554,$C555)+COUNTIF($D$1:D554,$C555)=0,1,0))</f>
        <v/>
      </c>
      <c r="AB555" s="4" t="str">
        <f>IF($D555="","",IF(COUNTIF($C$1:C555,$D555)+COUNTIF($D$1:D554,$D555)=0,1,0))</f>
        <v/>
      </c>
      <c r="AC555" s="4" t="str">
        <f>IF(AA555=1,SUM($AA$2:AA555)-AA555+SUM($AB$2:AB555)-AB555+1,"")</f>
        <v/>
      </c>
      <c r="AD555" s="4" t="str">
        <f>IF(AB555=1,SUM($AA$2:AA555)+SUM($AB$2:AB555)-AB555+1,"")</f>
        <v/>
      </c>
      <c r="AE555" s="4" t="str">
        <f t="shared" si="50"/>
        <v/>
      </c>
      <c r="AF555" s="4" t="str">
        <f t="shared" si="51"/>
        <v/>
      </c>
      <c r="AG555" s="8">
        <f t="shared" si="52"/>
        <v>0</v>
      </c>
      <c r="AI555" s="8">
        <f t="shared" si="53"/>
        <v>0</v>
      </c>
    </row>
    <row r="556" spans="23:35" ht="15" customHeight="1" x14ac:dyDescent="0.25">
      <c r="W556" s="4" t="str">
        <f>IF($C556="","",SUMPRODUCT(($C$2:C556=C556)+($D$2:D556=C556)))</f>
        <v/>
      </c>
      <c r="X556" s="4" t="str">
        <f>IF($D556="","",SUMPRODUCT(($C$2:C556=D556)+($D$2:D556=D556)))</f>
        <v/>
      </c>
      <c r="Y556" s="4" t="str">
        <f t="shared" si="48"/>
        <v/>
      </c>
      <c r="Z556" s="4" t="str">
        <f t="shared" si="49"/>
        <v/>
      </c>
      <c r="AA556" s="4" t="str">
        <f>IF($C556="","",IF(COUNTIF($C$1:C555,$C556)+COUNTIF($D$1:D555,$C556)=0,1,0))</f>
        <v/>
      </c>
      <c r="AB556" s="4" t="str">
        <f>IF($D556="","",IF(COUNTIF($C$1:C556,$D556)+COUNTIF($D$1:D555,$D556)=0,1,0))</f>
        <v/>
      </c>
      <c r="AC556" s="4" t="str">
        <f>IF(AA556=1,SUM($AA$2:AA556)-AA556+SUM($AB$2:AB556)-AB556+1,"")</f>
        <v/>
      </c>
      <c r="AD556" s="4" t="str">
        <f>IF(AB556=1,SUM($AA$2:AA556)+SUM($AB$2:AB556)-AB556+1,"")</f>
        <v/>
      </c>
      <c r="AE556" s="4" t="str">
        <f t="shared" si="50"/>
        <v/>
      </c>
      <c r="AF556" s="4" t="str">
        <f t="shared" si="51"/>
        <v/>
      </c>
      <c r="AG556" s="8">
        <f t="shared" si="52"/>
        <v>0</v>
      </c>
      <c r="AI556" s="8">
        <f t="shared" si="53"/>
        <v>0</v>
      </c>
    </row>
    <row r="557" spans="23:35" ht="15" customHeight="1" x14ac:dyDescent="0.25">
      <c r="W557" s="4" t="str">
        <f>IF($C557="","",SUMPRODUCT(($C$2:C557=C557)+($D$2:D557=C557)))</f>
        <v/>
      </c>
      <c r="X557" s="4" t="str">
        <f>IF($D557="","",SUMPRODUCT(($C$2:C557=D557)+($D$2:D557=D557)))</f>
        <v/>
      </c>
      <c r="Y557" s="4" t="str">
        <f t="shared" si="48"/>
        <v/>
      </c>
      <c r="Z557" s="4" t="str">
        <f t="shared" si="49"/>
        <v/>
      </c>
      <c r="AA557" s="4" t="str">
        <f>IF($C557="","",IF(COUNTIF($C$1:C556,$C557)+COUNTIF($D$1:D556,$C557)=0,1,0))</f>
        <v/>
      </c>
      <c r="AB557" s="4" t="str">
        <f>IF($D557="","",IF(COUNTIF($C$1:C557,$D557)+COUNTIF($D$1:D556,$D557)=0,1,0))</f>
        <v/>
      </c>
      <c r="AC557" s="4" t="str">
        <f>IF(AA557=1,SUM($AA$2:AA557)-AA557+SUM($AB$2:AB557)-AB557+1,"")</f>
        <v/>
      </c>
      <c r="AD557" s="4" t="str">
        <f>IF(AB557=1,SUM($AA$2:AA557)+SUM($AB$2:AB557)-AB557+1,"")</f>
        <v/>
      </c>
      <c r="AE557" s="4" t="str">
        <f t="shared" si="50"/>
        <v/>
      </c>
      <c r="AF557" s="4" t="str">
        <f t="shared" si="51"/>
        <v/>
      </c>
      <c r="AG557" s="8">
        <f t="shared" si="52"/>
        <v>0</v>
      </c>
      <c r="AI557" s="8">
        <f t="shared" si="53"/>
        <v>0</v>
      </c>
    </row>
    <row r="558" spans="23:35" ht="15" customHeight="1" x14ac:dyDescent="0.25">
      <c r="W558" s="4" t="str">
        <f>IF($C558="","",SUMPRODUCT(($C$2:C558=C558)+($D$2:D558=C558)))</f>
        <v/>
      </c>
      <c r="X558" s="4" t="str">
        <f>IF($D558="","",SUMPRODUCT(($C$2:C558=D558)+($D$2:D558=D558)))</f>
        <v/>
      </c>
      <c r="Y558" s="4" t="str">
        <f t="shared" si="48"/>
        <v/>
      </c>
      <c r="Z558" s="4" t="str">
        <f t="shared" si="49"/>
        <v/>
      </c>
      <c r="AA558" s="4" t="str">
        <f>IF($C558="","",IF(COUNTIF($C$1:C557,$C558)+COUNTIF($D$1:D557,$C558)=0,1,0))</f>
        <v/>
      </c>
      <c r="AB558" s="4" t="str">
        <f>IF($D558="","",IF(COUNTIF($C$1:C558,$D558)+COUNTIF($D$1:D557,$D558)=0,1,0))</f>
        <v/>
      </c>
      <c r="AC558" s="4" t="str">
        <f>IF(AA558=1,SUM($AA$2:AA558)-AA558+SUM($AB$2:AB558)-AB558+1,"")</f>
        <v/>
      </c>
      <c r="AD558" s="4" t="str">
        <f>IF(AB558=1,SUM($AA$2:AA558)+SUM($AB$2:AB558)-AB558+1,"")</f>
        <v/>
      </c>
      <c r="AE558" s="4" t="str">
        <f t="shared" si="50"/>
        <v/>
      </c>
      <c r="AF558" s="4" t="str">
        <f t="shared" si="51"/>
        <v/>
      </c>
      <c r="AG558" s="8">
        <f t="shared" si="52"/>
        <v>0</v>
      </c>
      <c r="AI558" s="8">
        <f t="shared" si="53"/>
        <v>0</v>
      </c>
    </row>
    <row r="559" spans="23:35" ht="15" customHeight="1" x14ac:dyDescent="0.25">
      <c r="W559" s="4" t="str">
        <f>IF($C559="","",SUMPRODUCT(($C$2:C559=C559)+($D$2:D559=C559)))</f>
        <v/>
      </c>
      <c r="X559" s="4" t="str">
        <f>IF($D559="","",SUMPRODUCT(($C$2:C559=D559)+($D$2:D559=D559)))</f>
        <v/>
      </c>
      <c r="Y559" s="4" t="str">
        <f t="shared" si="48"/>
        <v/>
      </c>
      <c r="Z559" s="4" t="str">
        <f t="shared" si="49"/>
        <v/>
      </c>
      <c r="AA559" s="4" t="str">
        <f>IF($C559="","",IF(COUNTIF($C$1:C558,$C559)+COUNTIF($D$1:D558,$C559)=0,1,0))</f>
        <v/>
      </c>
      <c r="AB559" s="4" t="str">
        <f>IF($D559="","",IF(COUNTIF($C$1:C559,$D559)+COUNTIF($D$1:D558,$D559)=0,1,0))</f>
        <v/>
      </c>
      <c r="AC559" s="4" t="str">
        <f>IF(AA559=1,SUM($AA$2:AA559)-AA559+SUM($AB$2:AB559)-AB559+1,"")</f>
        <v/>
      </c>
      <c r="AD559" s="4" t="str">
        <f>IF(AB559=1,SUM($AA$2:AA559)+SUM($AB$2:AB559)-AB559+1,"")</f>
        <v/>
      </c>
      <c r="AE559" s="4" t="str">
        <f t="shared" si="50"/>
        <v/>
      </c>
      <c r="AF559" s="4" t="str">
        <f t="shared" si="51"/>
        <v/>
      </c>
      <c r="AG559" s="8">
        <f t="shared" si="52"/>
        <v>0</v>
      </c>
      <c r="AI559" s="8">
        <f t="shared" si="53"/>
        <v>0</v>
      </c>
    </row>
    <row r="560" spans="23:35" ht="15" customHeight="1" x14ac:dyDescent="0.25">
      <c r="W560" s="4" t="str">
        <f>IF($C560="","",SUMPRODUCT(($C$2:C560=C560)+($D$2:D560=C560)))</f>
        <v/>
      </c>
      <c r="X560" s="4" t="str">
        <f>IF($D560="","",SUMPRODUCT(($C$2:C560=D560)+($D$2:D560=D560)))</f>
        <v/>
      </c>
      <c r="Y560" s="4" t="str">
        <f t="shared" si="48"/>
        <v/>
      </c>
      <c r="Z560" s="4" t="str">
        <f t="shared" si="49"/>
        <v/>
      </c>
      <c r="AA560" s="4" t="str">
        <f>IF($C560="","",IF(COUNTIF($C$1:C559,$C560)+COUNTIF($D$1:D559,$C560)=0,1,0))</f>
        <v/>
      </c>
      <c r="AB560" s="4" t="str">
        <f>IF($D560="","",IF(COUNTIF($C$1:C560,$D560)+COUNTIF($D$1:D559,$D560)=0,1,0))</f>
        <v/>
      </c>
      <c r="AC560" s="4" t="str">
        <f>IF(AA560=1,SUM($AA$2:AA560)-AA560+SUM($AB$2:AB560)-AB560+1,"")</f>
        <v/>
      </c>
      <c r="AD560" s="4" t="str">
        <f>IF(AB560=1,SUM($AA$2:AA560)+SUM($AB$2:AB560)-AB560+1,"")</f>
        <v/>
      </c>
      <c r="AE560" s="4" t="str">
        <f t="shared" si="50"/>
        <v/>
      </c>
      <c r="AF560" s="4" t="str">
        <f t="shared" si="51"/>
        <v/>
      </c>
      <c r="AG560" s="8">
        <f t="shared" si="52"/>
        <v>0</v>
      </c>
      <c r="AI560" s="8">
        <f t="shared" si="53"/>
        <v>0</v>
      </c>
    </row>
    <row r="561" spans="23:35" ht="15" customHeight="1" x14ac:dyDescent="0.25">
      <c r="W561" s="4" t="str">
        <f>IF($C561="","",SUMPRODUCT(($C$2:C561=C561)+($D$2:D561=C561)))</f>
        <v/>
      </c>
      <c r="X561" s="4" t="str">
        <f>IF($D561="","",SUMPRODUCT(($C$2:C561=D561)+($D$2:D561=D561)))</f>
        <v/>
      </c>
      <c r="Y561" s="4" t="str">
        <f t="shared" si="48"/>
        <v/>
      </c>
      <c r="Z561" s="4" t="str">
        <f t="shared" si="49"/>
        <v/>
      </c>
      <c r="AA561" s="4" t="str">
        <f>IF($C561="","",IF(COUNTIF($C$1:C560,$C561)+COUNTIF($D$1:D560,$C561)=0,1,0))</f>
        <v/>
      </c>
      <c r="AB561" s="4" t="str">
        <f>IF($D561="","",IF(COUNTIF($C$1:C561,$D561)+COUNTIF($D$1:D560,$D561)=0,1,0))</f>
        <v/>
      </c>
      <c r="AC561" s="4" t="str">
        <f>IF(AA561=1,SUM($AA$2:AA561)-AA561+SUM($AB$2:AB561)-AB561+1,"")</f>
        <v/>
      </c>
      <c r="AD561" s="4" t="str">
        <f>IF(AB561=1,SUM($AA$2:AA561)+SUM($AB$2:AB561)-AB561+1,"")</f>
        <v/>
      </c>
      <c r="AE561" s="4" t="str">
        <f t="shared" si="50"/>
        <v/>
      </c>
      <c r="AF561" s="4" t="str">
        <f t="shared" si="51"/>
        <v/>
      </c>
      <c r="AG561" s="8">
        <f t="shared" si="52"/>
        <v>0</v>
      </c>
      <c r="AI561" s="8">
        <f t="shared" si="53"/>
        <v>0</v>
      </c>
    </row>
    <row r="562" spans="23:35" ht="15" customHeight="1" x14ac:dyDescent="0.25">
      <c r="W562" s="4" t="str">
        <f>IF($C562="","",SUMPRODUCT(($C$2:C562=C562)+($D$2:D562=C562)))</f>
        <v/>
      </c>
      <c r="X562" s="4" t="str">
        <f>IF($D562="","",SUMPRODUCT(($C$2:C562=D562)+($D$2:D562=D562)))</f>
        <v/>
      </c>
      <c r="Y562" s="4" t="str">
        <f t="shared" si="48"/>
        <v/>
      </c>
      <c r="Z562" s="4" t="str">
        <f t="shared" si="49"/>
        <v/>
      </c>
      <c r="AA562" s="4" t="str">
        <f>IF($C562="","",IF(COUNTIF($C$1:C561,$C562)+COUNTIF($D$1:D561,$C562)=0,1,0))</f>
        <v/>
      </c>
      <c r="AB562" s="4" t="str">
        <f>IF($D562="","",IF(COUNTIF($C$1:C562,$D562)+COUNTIF($D$1:D561,$D562)=0,1,0))</f>
        <v/>
      </c>
      <c r="AC562" s="4" t="str">
        <f>IF(AA562=1,SUM($AA$2:AA562)-AA562+SUM($AB$2:AB562)-AB562+1,"")</f>
        <v/>
      </c>
      <c r="AD562" s="4" t="str">
        <f>IF(AB562=1,SUM($AA$2:AA562)+SUM($AB$2:AB562)-AB562+1,"")</f>
        <v/>
      </c>
      <c r="AE562" s="4" t="str">
        <f t="shared" si="50"/>
        <v/>
      </c>
      <c r="AF562" s="4" t="str">
        <f t="shared" si="51"/>
        <v/>
      </c>
      <c r="AG562" s="8">
        <f t="shared" si="52"/>
        <v>0</v>
      </c>
      <c r="AI562" s="8">
        <f t="shared" si="53"/>
        <v>0</v>
      </c>
    </row>
    <row r="563" spans="23:35" ht="15" customHeight="1" x14ac:dyDescent="0.25">
      <c r="W563" s="4" t="str">
        <f>IF($C563="","",SUMPRODUCT(($C$2:C563=C563)+($D$2:D563=C563)))</f>
        <v/>
      </c>
      <c r="X563" s="4" t="str">
        <f>IF($D563="","",SUMPRODUCT(($C$2:C563=D563)+($D$2:D563=D563)))</f>
        <v/>
      </c>
      <c r="Y563" s="4" t="str">
        <f t="shared" si="48"/>
        <v/>
      </c>
      <c r="Z563" s="4" t="str">
        <f t="shared" si="49"/>
        <v/>
      </c>
      <c r="AA563" s="4" t="str">
        <f>IF($C563="","",IF(COUNTIF($C$1:C562,$C563)+COUNTIF($D$1:D562,$C563)=0,1,0))</f>
        <v/>
      </c>
      <c r="AB563" s="4" t="str">
        <f>IF($D563="","",IF(COUNTIF($C$1:C563,$D563)+COUNTIF($D$1:D562,$D563)=0,1,0))</f>
        <v/>
      </c>
      <c r="AC563" s="4" t="str">
        <f>IF(AA563=1,SUM($AA$2:AA563)-AA563+SUM($AB$2:AB563)-AB563+1,"")</f>
        <v/>
      </c>
      <c r="AD563" s="4" t="str">
        <f>IF(AB563=1,SUM($AA$2:AA563)+SUM($AB$2:AB563)-AB563+1,"")</f>
        <v/>
      </c>
      <c r="AE563" s="4" t="str">
        <f t="shared" si="50"/>
        <v/>
      </c>
      <c r="AF563" s="4" t="str">
        <f t="shared" si="51"/>
        <v/>
      </c>
      <c r="AG563" s="8">
        <f t="shared" si="52"/>
        <v>0</v>
      </c>
      <c r="AI563" s="8">
        <f t="shared" si="53"/>
        <v>0</v>
      </c>
    </row>
    <row r="564" spans="23:35" ht="15" customHeight="1" x14ac:dyDescent="0.25">
      <c r="W564" s="4" t="str">
        <f>IF($C564="","",SUMPRODUCT(($C$2:C564=C564)+($D$2:D564=C564)))</f>
        <v/>
      </c>
      <c r="X564" s="4" t="str">
        <f>IF($D564="","",SUMPRODUCT(($C$2:C564=D564)+($D$2:D564=D564)))</f>
        <v/>
      </c>
      <c r="Y564" s="4" t="str">
        <f t="shared" si="48"/>
        <v/>
      </c>
      <c r="Z564" s="4" t="str">
        <f t="shared" si="49"/>
        <v/>
      </c>
      <c r="AA564" s="4" t="str">
        <f>IF($C564="","",IF(COUNTIF($C$1:C563,$C564)+COUNTIF($D$1:D563,$C564)=0,1,0))</f>
        <v/>
      </c>
      <c r="AB564" s="4" t="str">
        <f>IF($D564="","",IF(COUNTIF($C$1:C564,$D564)+COUNTIF($D$1:D563,$D564)=0,1,0))</f>
        <v/>
      </c>
      <c r="AC564" s="4" t="str">
        <f>IF(AA564=1,SUM($AA$2:AA564)-AA564+SUM($AB$2:AB564)-AB564+1,"")</f>
        <v/>
      </c>
      <c r="AD564" s="4" t="str">
        <f>IF(AB564=1,SUM($AA$2:AA564)+SUM($AB$2:AB564)-AB564+1,"")</f>
        <v/>
      </c>
      <c r="AE564" s="4" t="str">
        <f t="shared" si="50"/>
        <v/>
      </c>
      <c r="AF564" s="4" t="str">
        <f t="shared" si="51"/>
        <v/>
      </c>
      <c r="AG564" s="8">
        <f t="shared" si="52"/>
        <v>0</v>
      </c>
      <c r="AI564" s="8">
        <f t="shared" si="53"/>
        <v>0</v>
      </c>
    </row>
    <row r="565" spans="23:35" ht="15" customHeight="1" x14ac:dyDescent="0.25">
      <c r="W565" s="4" t="str">
        <f>IF($C565="","",SUMPRODUCT(($C$2:C565=C565)+($D$2:D565=C565)))</f>
        <v/>
      </c>
      <c r="X565" s="4" t="str">
        <f>IF($D565="","",SUMPRODUCT(($C$2:C565=D565)+($D$2:D565=D565)))</f>
        <v/>
      </c>
      <c r="Y565" s="4" t="str">
        <f t="shared" si="48"/>
        <v/>
      </c>
      <c r="Z565" s="4" t="str">
        <f t="shared" si="49"/>
        <v/>
      </c>
      <c r="AA565" s="4" t="str">
        <f>IF($C565="","",IF(COUNTIF($C$1:C564,$C565)+COUNTIF($D$1:D564,$C565)=0,1,0))</f>
        <v/>
      </c>
      <c r="AB565" s="4" t="str">
        <f>IF($D565="","",IF(COUNTIF($C$1:C565,$D565)+COUNTIF($D$1:D564,$D565)=0,1,0))</f>
        <v/>
      </c>
      <c r="AC565" s="4" t="str">
        <f>IF(AA565=1,SUM($AA$2:AA565)-AA565+SUM($AB$2:AB565)-AB565+1,"")</f>
        <v/>
      </c>
      <c r="AD565" s="4" t="str">
        <f>IF(AB565=1,SUM($AA$2:AA565)+SUM($AB$2:AB565)-AB565+1,"")</f>
        <v/>
      </c>
      <c r="AE565" s="4" t="str">
        <f t="shared" si="50"/>
        <v/>
      </c>
      <c r="AF565" s="4" t="str">
        <f t="shared" si="51"/>
        <v/>
      </c>
      <c r="AG565" s="8">
        <f t="shared" si="52"/>
        <v>0</v>
      </c>
      <c r="AI565" s="8">
        <f t="shared" si="53"/>
        <v>0</v>
      </c>
    </row>
    <row r="566" spans="23:35" ht="15" customHeight="1" x14ac:dyDescent="0.25">
      <c r="W566" s="4" t="str">
        <f>IF($C566="","",SUMPRODUCT(($C$2:C566=C566)+($D$2:D566=C566)))</f>
        <v/>
      </c>
      <c r="X566" s="4" t="str">
        <f>IF($D566="","",SUMPRODUCT(($C$2:C566=D566)+($D$2:D566=D566)))</f>
        <v/>
      </c>
      <c r="Y566" s="4" t="str">
        <f t="shared" si="48"/>
        <v/>
      </c>
      <c r="Z566" s="4" t="str">
        <f t="shared" si="49"/>
        <v/>
      </c>
      <c r="AA566" s="4" t="str">
        <f>IF($C566="","",IF(COUNTIF($C$1:C565,$C566)+COUNTIF($D$1:D565,$C566)=0,1,0))</f>
        <v/>
      </c>
      <c r="AB566" s="4" t="str">
        <f>IF($D566="","",IF(COUNTIF($C$1:C566,$D566)+COUNTIF($D$1:D565,$D566)=0,1,0))</f>
        <v/>
      </c>
      <c r="AC566" s="4" t="str">
        <f>IF(AA566=1,SUM($AA$2:AA566)-AA566+SUM($AB$2:AB566)-AB566+1,"")</f>
        <v/>
      </c>
      <c r="AD566" s="4" t="str">
        <f>IF(AB566=1,SUM($AA$2:AA566)+SUM($AB$2:AB566)-AB566+1,"")</f>
        <v/>
      </c>
      <c r="AE566" s="4" t="str">
        <f t="shared" si="50"/>
        <v/>
      </c>
      <c r="AF566" s="4" t="str">
        <f t="shared" si="51"/>
        <v/>
      </c>
      <c r="AG566" s="8">
        <f t="shared" si="52"/>
        <v>0</v>
      </c>
      <c r="AI566" s="8">
        <f t="shared" si="53"/>
        <v>0</v>
      </c>
    </row>
    <row r="567" spans="23:35" ht="15" customHeight="1" x14ac:dyDescent="0.25">
      <c r="W567" s="4" t="str">
        <f>IF($C567="","",SUMPRODUCT(($C$2:C567=C567)+($D$2:D567=C567)))</f>
        <v/>
      </c>
      <c r="X567" s="4" t="str">
        <f>IF($D567="","",SUMPRODUCT(($C$2:C567=D567)+($D$2:D567=D567)))</f>
        <v/>
      </c>
      <c r="Y567" s="4" t="str">
        <f t="shared" si="48"/>
        <v/>
      </c>
      <c r="Z567" s="4" t="str">
        <f t="shared" si="49"/>
        <v/>
      </c>
      <c r="AA567" s="4" t="str">
        <f>IF($C567="","",IF(COUNTIF($C$1:C566,$C567)+COUNTIF($D$1:D566,$C567)=0,1,0))</f>
        <v/>
      </c>
      <c r="AB567" s="4" t="str">
        <f>IF($D567="","",IF(COUNTIF($C$1:C567,$D567)+COUNTIF($D$1:D566,$D567)=0,1,0))</f>
        <v/>
      </c>
      <c r="AC567" s="4" t="str">
        <f>IF(AA567=1,SUM($AA$2:AA567)-AA567+SUM($AB$2:AB567)-AB567+1,"")</f>
        <v/>
      </c>
      <c r="AD567" s="4" t="str">
        <f>IF(AB567=1,SUM($AA$2:AA567)+SUM($AB$2:AB567)-AB567+1,"")</f>
        <v/>
      </c>
      <c r="AE567" s="4" t="str">
        <f t="shared" si="50"/>
        <v/>
      </c>
      <c r="AF567" s="4" t="str">
        <f t="shared" si="51"/>
        <v/>
      </c>
      <c r="AG567" s="8">
        <f t="shared" si="52"/>
        <v>0</v>
      </c>
      <c r="AI567" s="8">
        <f t="shared" si="53"/>
        <v>0</v>
      </c>
    </row>
    <row r="568" spans="23:35" ht="15" customHeight="1" x14ac:dyDescent="0.25">
      <c r="W568" s="4" t="str">
        <f>IF($C568="","",SUMPRODUCT(($C$2:C568=C568)+($D$2:D568=C568)))</f>
        <v/>
      </c>
      <c r="X568" s="4" t="str">
        <f>IF($D568="","",SUMPRODUCT(($C$2:C568=D568)+($D$2:D568=D568)))</f>
        <v/>
      </c>
      <c r="Y568" s="4" t="str">
        <f t="shared" si="48"/>
        <v/>
      </c>
      <c r="Z568" s="4" t="str">
        <f t="shared" si="49"/>
        <v/>
      </c>
      <c r="AA568" s="4" t="str">
        <f>IF($C568="","",IF(COUNTIF($C$1:C567,$C568)+COUNTIF($D$1:D567,$C568)=0,1,0))</f>
        <v/>
      </c>
      <c r="AB568" s="4" t="str">
        <f>IF($D568="","",IF(COUNTIF($C$1:C568,$D568)+COUNTIF($D$1:D567,$D568)=0,1,0))</f>
        <v/>
      </c>
      <c r="AC568" s="4" t="str">
        <f>IF(AA568=1,SUM($AA$2:AA568)-AA568+SUM($AB$2:AB568)-AB568+1,"")</f>
        <v/>
      </c>
      <c r="AD568" s="4" t="str">
        <f>IF(AB568=1,SUM($AA$2:AA568)+SUM($AB$2:AB568)-AB568+1,"")</f>
        <v/>
      </c>
      <c r="AE568" s="4" t="str">
        <f t="shared" si="50"/>
        <v/>
      </c>
      <c r="AF568" s="4" t="str">
        <f t="shared" si="51"/>
        <v/>
      </c>
      <c r="AG568" s="8">
        <f t="shared" si="52"/>
        <v>0</v>
      </c>
      <c r="AI568" s="8">
        <f t="shared" si="53"/>
        <v>0</v>
      </c>
    </row>
    <row r="569" spans="23:35" ht="15" customHeight="1" x14ac:dyDescent="0.25">
      <c r="W569" s="4" t="str">
        <f>IF($C569="","",SUMPRODUCT(($C$2:C569=C569)+($D$2:D569=C569)))</f>
        <v/>
      </c>
      <c r="X569" s="4" t="str">
        <f>IF($D569="","",SUMPRODUCT(($C$2:C569=D569)+($D$2:D569=D569)))</f>
        <v/>
      </c>
      <c r="Y569" s="4" t="str">
        <f t="shared" si="48"/>
        <v/>
      </c>
      <c r="Z569" s="4" t="str">
        <f t="shared" si="49"/>
        <v/>
      </c>
      <c r="AA569" s="4" t="str">
        <f>IF($C569="","",IF(COUNTIF($C$1:C568,$C569)+COUNTIF($D$1:D568,$C569)=0,1,0))</f>
        <v/>
      </c>
      <c r="AB569" s="4" t="str">
        <f>IF($D569="","",IF(COUNTIF($C$1:C569,$D569)+COUNTIF($D$1:D568,$D569)=0,1,0))</f>
        <v/>
      </c>
      <c r="AC569" s="4" t="str">
        <f>IF(AA569=1,SUM($AA$2:AA569)-AA569+SUM($AB$2:AB569)-AB569+1,"")</f>
        <v/>
      </c>
      <c r="AD569" s="4" t="str">
        <f>IF(AB569=1,SUM($AA$2:AA569)+SUM($AB$2:AB569)-AB569+1,"")</f>
        <v/>
      </c>
      <c r="AE569" s="4" t="str">
        <f t="shared" si="50"/>
        <v/>
      </c>
      <c r="AF569" s="4" t="str">
        <f t="shared" si="51"/>
        <v/>
      </c>
      <c r="AG569" s="8">
        <f t="shared" si="52"/>
        <v>0</v>
      </c>
      <c r="AI569" s="8">
        <f t="shared" si="53"/>
        <v>0</v>
      </c>
    </row>
    <row r="570" spans="23:35" ht="15" customHeight="1" x14ac:dyDescent="0.25">
      <c r="W570" s="4" t="str">
        <f>IF($C570="","",SUMPRODUCT(($C$2:C570=C570)+($D$2:D570=C570)))</f>
        <v/>
      </c>
      <c r="X570" s="4" t="str">
        <f>IF($D570="","",SUMPRODUCT(($C$2:C570=D570)+($D$2:D570=D570)))</f>
        <v/>
      </c>
      <c r="Y570" s="4" t="str">
        <f t="shared" si="48"/>
        <v/>
      </c>
      <c r="Z570" s="4" t="str">
        <f t="shared" si="49"/>
        <v/>
      </c>
      <c r="AA570" s="4" t="str">
        <f>IF($C570="","",IF(COUNTIF($C$1:C569,$C570)+COUNTIF($D$1:D569,$C570)=0,1,0))</f>
        <v/>
      </c>
      <c r="AB570" s="4" t="str">
        <f>IF($D570="","",IF(COUNTIF($C$1:C570,$D570)+COUNTIF($D$1:D569,$D570)=0,1,0))</f>
        <v/>
      </c>
      <c r="AC570" s="4" t="str">
        <f>IF(AA570=1,SUM($AA$2:AA570)-AA570+SUM($AB$2:AB570)-AB570+1,"")</f>
        <v/>
      </c>
      <c r="AD570" s="4" t="str">
        <f>IF(AB570=1,SUM($AA$2:AA570)+SUM($AB$2:AB570)-AB570+1,"")</f>
        <v/>
      </c>
      <c r="AE570" s="4" t="str">
        <f t="shared" si="50"/>
        <v/>
      </c>
      <c r="AF570" s="4" t="str">
        <f t="shared" si="51"/>
        <v/>
      </c>
      <c r="AG570" s="8">
        <f t="shared" si="52"/>
        <v>0</v>
      </c>
      <c r="AI570" s="8">
        <f t="shared" si="53"/>
        <v>0</v>
      </c>
    </row>
    <row r="571" spans="23:35" ht="15" customHeight="1" x14ac:dyDescent="0.25">
      <c r="W571" s="4" t="str">
        <f>IF($C571="","",SUMPRODUCT(($C$2:C571=C571)+($D$2:D571=C571)))</f>
        <v/>
      </c>
      <c r="X571" s="4" t="str">
        <f>IF($D571="","",SUMPRODUCT(($C$2:C571=D571)+($D$2:D571=D571)))</f>
        <v/>
      </c>
      <c r="Y571" s="4" t="str">
        <f t="shared" si="48"/>
        <v/>
      </c>
      <c r="Z571" s="4" t="str">
        <f t="shared" si="49"/>
        <v/>
      </c>
      <c r="AA571" s="4" t="str">
        <f>IF($C571="","",IF(COUNTIF($C$1:C570,$C571)+COUNTIF($D$1:D570,$C571)=0,1,0))</f>
        <v/>
      </c>
      <c r="AB571" s="4" t="str">
        <f>IF($D571="","",IF(COUNTIF($C$1:C571,$D571)+COUNTIF($D$1:D570,$D571)=0,1,0))</f>
        <v/>
      </c>
      <c r="AC571" s="4" t="str">
        <f>IF(AA571=1,SUM($AA$2:AA571)-AA571+SUM($AB$2:AB571)-AB571+1,"")</f>
        <v/>
      </c>
      <c r="AD571" s="4" t="str">
        <f>IF(AB571=1,SUM($AA$2:AA571)+SUM($AB$2:AB571)-AB571+1,"")</f>
        <v/>
      </c>
      <c r="AE571" s="4" t="str">
        <f t="shared" si="50"/>
        <v/>
      </c>
      <c r="AF571" s="4" t="str">
        <f t="shared" si="51"/>
        <v/>
      </c>
      <c r="AG571" s="8">
        <f t="shared" si="52"/>
        <v>0</v>
      </c>
      <c r="AI571" s="8">
        <f t="shared" si="53"/>
        <v>0</v>
      </c>
    </row>
    <row r="572" spans="23:35" ht="15" customHeight="1" x14ac:dyDescent="0.25">
      <c r="W572" s="4" t="str">
        <f>IF($C572="","",SUMPRODUCT(($C$2:C572=C572)+($D$2:D572=C572)))</f>
        <v/>
      </c>
      <c r="X572" s="4" t="str">
        <f>IF($D572="","",SUMPRODUCT(($C$2:C572=D572)+($D$2:D572=D572)))</f>
        <v/>
      </c>
      <c r="Y572" s="4" t="str">
        <f t="shared" si="48"/>
        <v/>
      </c>
      <c r="Z572" s="4" t="str">
        <f t="shared" si="49"/>
        <v/>
      </c>
      <c r="AA572" s="4" t="str">
        <f>IF($C572="","",IF(COUNTIF($C$1:C571,$C572)+COUNTIF($D$1:D571,$C572)=0,1,0))</f>
        <v/>
      </c>
      <c r="AB572" s="4" t="str">
        <f>IF($D572="","",IF(COUNTIF($C$1:C572,$D572)+COUNTIF($D$1:D571,$D572)=0,1,0))</f>
        <v/>
      </c>
      <c r="AC572" s="4" t="str">
        <f>IF(AA572=1,SUM($AA$2:AA572)-AA572+SUM($AB$2:AB572)-AB572+1,"")</f>
        <v/>
      </c>
      <c r="AD572" s="4" t="str">
        <f>IF(AB572=1,SUM($AA$2:AA572)+SUM($AB$2:AB572)-AB572+1,"")</f>
        <v/>
      </c>
      <c r="AE572" s="4" t="str">
        <f t="shared" si="50"/>
        <v/>
      </c>
      <c r="AF572" s="4" t="str">
        <f t="shared" si="51"/>
        <v/>
      </c>
      <c r="AG572" s="8">
        <f t="shared" si="52"/>
        <v>0</v>
      </c>
      <c r="AI572" s="8">
        <f t="shared" si="53"/>
        <v>0</v>
      </c>
    </row>
    <row r="573" spans="23:35" ht="15" customHeight="1" x14ac:dyDescent="0.25">
      <c r="W573" s="4" t="str">
        <f>IF($C573="","",SUMPRODUCT(($C$2:C573=C573)+($D$2:D573=C573)))</f>
        <v/>
      </c>
      <c r="X573" s="4" t="str">
        <f>IF($D573="","",SUMPRODUCT(($C$2:C573=D573)+($D$2:D573=D573)))</f>
        <v/>
      </c>
      <c r="Y573" s="4" t="str">
        <f t="shared" si="48"/>
        <v/>
      </c>
      <c r="Z573" s="4" t="str">
        <f t="shared" si="49"/>
        <v/>
      </c>
      <c r="AA573" s="4" t="str">
        <f>IF($C573="","",IF(COUNTIF($C$1:C572,$C573)+COUNTIF($D$1:D572,$C573)=0,1,0))</f>
        <v/>
      </c>
      <c r="AB573" s="4" t="str">
        <f>IF($D573="","",IF(COUNTIF($C$1:C573,$D573)+COUNTIF($D$1:D572,$D573)=0,1,0))</f>
        <v/>
      </c>
      <c r="AC573" s="4" t="str">
        <f>IF(AA573=1,SUM($AA$2:AA573)-AA573+SUM($AB$2:AB573)-AB573+1,"")</f>
        <v/>
      </c>
      <c r="AD573" s="4" t="str">
        <f>IF(AB573=1,SUM($AA$2:AA573)+SUM($AB$2:AB573)-AB573+1,"")</f>
        <v/>
      </c>
      <c r="AE573" s="4" t="str">
        <f t="shared" si="50"/>
        <v/>
      </c>
      <c r="AF573" s="4" t="str">
        <f t="shared" si="51"/>
        <v/>
      </c>
      <c r="AG573" s="8">
        <f t="shared" si="52"/>
        <v>0</v>
      </c>
      <c r="AI573" s="8">
        <f t="shared" si="53"/>
        <v>0</v>
      </c>
    </row>
    <row r="574" spans="23:35" ht="15" customHeight="1" x14ac:dyDescent="0.25">
      <c r="W574" s="4" t="str">
        <f>IF($C574="","",SUMPRODUCT(($C$2:C574=C574)+($D$2:D574=C574)))</f>
        <v/>
      </c>
      <c r="X574" s="4" t="str">
        <f>IF($D574="","",SUMPRODUCT(($C$2:C574=D574)+($D$2:D574=D574)))</f>
        <v/>
      </c>
      <c r="Y574" s="4" t="str">
        <f t="shared" si="48"/>
        <v/>
      </c>
      <c r="Z574" s="4" t="str">
        <f t="shared" si="49"/>
        <v/>
      </c>
      <c r="AA574" s="4" t="str">
        <f>IF($C574="","",IF(COUNTIF($C$1:C573,$C574)+COUNTIF($D$1:D573,$C574)=0,1,0))</f>
        <v/>
      </c>
      <c r="AB574" s="4" t="str">
        <f>IF($D574="","",IF(COUNTIF($C$1:C574,$D574)+COUNTIF($D$1:D573,$D574)=0,1,0))</f>
        <v/>
      </c>
      <c r="AC574" s="4" t="str">
        <f>IF(AA574=1,SUM($AA$2:AA574)-AA574+SUM($AB$2:AB574)-AB574+1,"")</f>
        <v/>
      </c>
      <c r="AD574" s="4" t="str">
        <f>IF(AB574=1,SUM($AA$2:AA574)+SUM($AB$2:AB574)-AB574+1,"")</f>
        <v/>
      </c>
      <c r="AE574" s="4" t="str">
        <f t="shared" si="50"/>
        <v/>
      </c>
      <c r="AF574" s="4" t="str">
        <f t="shared" si="51"/>
        <v/>
      </c>
      <c r="AG574" s="8">
        <f t="shared" si="52"/>
        <v>0</v>
      </c>
      <c r="AI574" s="8">
        <f t="shared" si="53"/>
        <v>0</v>
      </c>
    </row>
    <row r="575" spans="23:35" ht="15" customHeight="1" x14ac:dyDescent="0.25">
      <c r="W575" s="4" t="str">
        <f>IF($C575="","",SUMPRODUCT(($C$2:C575=C575)+($D$2:D575=C575)))</f>
        <v/>
      </c>
      <c r="X575" s="4" t="str">
        <f>IF($D575="","",SUMPRODUCT(($C$2:C575=D575)+($D$2:D575=D575)))</f>
        <v/>
      </c>
      <c r="Y575" s="4" t="str">
        <f t="shared" si="48"/>
        <v/>
      </c>
      <c r="Z575" s="4" t="str">
        <f t="shared" si="49"/>
        <v/>
      </c>
      <c r="AA575" s="4" t="str">
        <f>IF($C575="","",IF(COUNTIF($C$1:C574,$C575)+COUNTIF($D$1:D574,$C575)=0,1,0))</f>
        <v/>
      </c>
      <c r="AB575" s="4" t="str">
        <f>IF($D575="","",IF(COUNTIF($C$1:C575,$D575)+COUNTIF($D$1:D574,$D575)=0,1,0))</f>
        <v/>
      </c>
      <c r="AC575" s="4" t="str">
        <f>IF(AA575=1,SUM($AA$2:AA575)-AA575+SUM($AB$2:AB575)-AB575+1,"")</f>
        <v/>
      </c>
      <c r="AD575" s="4" t="str">
        <f>IF(AB575=1,SUM($AA$2:AA575)+SUM($AB$2:AB575)-AB575+1,"")</f>
        <v/>
      </c>
      <c r="AE575" s="4" t="str">
        <f t="shared" si="50"/>
        <v/>
      </c>
      <c r="AF575" s="4" t="str">
        <f t="shared" si="51"/>
        <v/>
      </c>
      <c r="AG575" s="8">
        <f t="shared" si="52"/>
        <v>0</v>
      </c>
      <c r="AI575" s="8">
        <f t="shared" si="53"/>
        <v>0</v>
      </c>
    </row>
    <row r="576" spans="23:35" ht="15" customHeight="1" x14ac:dyDescent="0.25">
      <c r="W576" s="4" t="str">
        <f>IF($C576="","",SUMPRODUCT(($C$2:C576=C576)+($D$2:D576=C576)))</f>
        <v/>
      </c>
      <c r="X576" s="4" t="str">
        <f>IF($D576="","",SUMPRODUCT(($C$2:C576=D576)+($D$2:D576=D576)))</f>
        <v/>
      </c>
      <c r="Y576" s="4" t="str">
        <f t="shared" si="48"/>
        <v/>
      </c>
      <c r="Z576" s="4" t="str">
        <f t="shared" si="49"/>
        <v/>
      </c>
      <c r="AA576" s="4" t="str">
        <f>IF($C576="","",IF(COUNTIF($C$1:C575,$C576)+COUNTIF($D$1:D575,$C576)=0,1,0))</f>
        <v/>
      </c>
      <c r="AB576" s="4" t="str">
        <f>IF($D576="","",IF(COUNTIF($C$1:C576,$D576)+COUNTIF($D$1:D575,$D576)=0,1,0))</f>
        <v/>
      </c>
      <c r="AC576" s="4" t="str">
        <f>IF(AA576=1,SUM($AA$2:AA576)-AA576+SUM($AB$2:AB576)-AB576+1,"")</f>
        <v/>
      </c>
      <c r="AD576" s="4" t="str">
        <f>IF(AB576=1,SUM($AA$2:AA576)+SUM($AB$2:AB576)-AB576+1,"")</f>
        <v/>
      </c>
      <c r="AE576" s="4" t="str">
        <f t="shared" si="50"/>
        <v/>
      </c>
      <c r="AF576" s="4" t="str">
        <f t="shared" si="51"/>
        <v/>
      </c>
      <c r="AG576" s="8">
        <f t="shared" si="52"/>
        <v>0</v>
      </c>
      <c r="AI576" s="8">
        <f t="shared" si="53"/>
        <v>0</v>
      </c>
    </row>
    <row r="577" spans="23:35" ht="15" customHeight="1" x14ac:dyDescent="0.25">
      <c r="W577" s="4" t="str">
        <f>IF($C577="","",SUMPRODUCT(($C$2:C577=C577)+($D$2:D577=C577)))</f>
        <v/>
      </c>
      <c r="X577" s="4" t="str">
        <f>IF($D577="","",SUMPRODUCT(($C$2:C577=D577)+($D$2:D577=D577)))</f>
        <v/>
      </c>
      <c r="Y577" s="4" t="str">
        <f t="shared" si="48"/>
        <v/>
      </c>
      <c r="Z577" s="4" t="str">
        <f t="shared" si="49"/>
        <v/>
      </c>
      <c r="AA577" s="4" t="str">
        <f>IF($C577="","",IF(COUNTIF($C$1:C576,$C577)+COUNTIF($D$1:D576,$C577)=0,1,0))</f>
        <v/>
      </c>
      <c r="AB577" s="4" t="str">
        <f>IF($D577="","",IF(COUNTIF($C$1:C577,$D577)+COUNTIF($D$1:D576,$D577)=0,1,0))</f>
        <v/>
      </c>
      <c r="AC577" s="4" t="str">
        <f>IF(AA577=1,SUM($AA$2:AA577)-AA577+SUM($AB$2:AB577)-AB577+1,"")</f>
        <v/>
      </c>
      <c r="AD577" s="4" t="str">
        <f>IF(AB577=1,SUM($AA$2:AA577)+SUM($AB$2:AB577)-AB577+1,"")</f>
        <v/>
      </c>
      <c r="AE577" s="4" t="str">
        <f t="shared" si="50"/>
        <v/>
      </c>
      <c r="AF577" s="4" t="str">
        <f t="shared" si="51"/>
        <v/>
      </c>
      <c r="AG577" s="8">
        <f t="shared" si="52"/>
        <v>0</v>
      </c>
      <c r="AI577" s="8">
        <f t="shared" si="53"/>
        <v>0</v>
      </c>
    </row>
    <row r="578" spans="23:35" ht="15" customHeight="1" x14ac:dyDescent="0.25">
      <c r="W578" s="4" t="str">
        <f>IF($C578="","",SUMPRODUCT(($C$2:C578=C578)+($D$2:D578=C578)))</f>
        <v/>
      </c>
      <c r="X578" s="4" t="str">
        <f>IF($D578="","",SUMPRODUCT(($C$2:C578=D578)+($D$2:D578=D578)))</f>
        <v/>
      </c>
      <c r="Y578" s="4" t="str">
        <f t="shared" ref="Y578:Y641" si="54">IF($C578="","",C578&amp;"|"&amp;W578)</f>
        <v/>
      </c>
      <c r="Z578" s="4" t="str">
        <f t="shared" ref="Z578:Z641" si="55">IF($D578="","",D578&amp;"|"&amp;X578)</f>
        <v/>
      </c>
      <c r="AA578" s="4" t="str">
        <f>IF($C578="","",IF(COUNTIF($C$1:C577,$C578)+COUNTIF($D$1:D577,$C578)=0,1,0))</f>
        <v/>
      </c>
      <c r="AB578" s="4" t="str">
        <f>IF($D578="","",IF(COUNTIF($C$1:C578,$D578)+COUNTIF($D$1:D577,$D578)=0,1,0))</f>
        <v/>
      </c>
      <c r="AC578" s="4" t="str">
        <f>IF(AA578=1,SUM($AA$2:AA578)-AA578+SUM($AB$2:AB578)-AB578+1,"")</f>
        <v/>
      </c>
      <c r="AD578" s="4" t="str">
        <f>IF(AB578=1,SUM($AA$2:AA578)+SUM($AB$2:AB578)-AB578+1,"")</f>
        <v/>
      </c>
      <c r="AE578" s="4" t="str">
        <f t="shared" ref="AE578:AE641" si="56">IF(AC578="","","TEAM|"&amp;AC578)</f>
        <v/>
      </c>
      <c r="AF578" s="4" t="str">
        <f t="shared" ref="AF578:AF641" si="57">IF(AD578="","","TEAM|"&amp;AD578)</f>
        <v/>
      </c>
      <c r="AG578" s="8">
        <f t="shared" ref="AG578:AG641" si="58">IF(AH578="",0,LEN(AH578)-LEN(SUBSTITUTE(AH578,"/",""))+1)</f>
        <v>0</v>
      </c>
      <c r="AI578" s="8">
        <f t="shared" ref="AI578:AI641" si="59">IF(AJ578="",0,LEN(AJ578)-LEN(SUBSTITUTE(AJ578,"/",""))+1)</f>
        <v>0</v>
      </c>
    </row>
    <row r="579" spans="23:35" ht="15" customHeight="1" x14ac:dyDescent="0.25">
      <c r="W579" s="4" t="str">
        <f>IF($C579="","",SUMPRODUCT(($C$2:C579=C579)+($D$2:D579=C579)))</f>
        <v/>
      </c>
      <c r="X579" s="4" t="str">
        <f>IF($D579="","",SUMPRODUCT(($C$2:C579=D579)+($D$2:D579=D579)))</f>
        <v/>
      </c>
      <c r="Y579" s="4" t="str">
        <f t="shared" si="54"/>
        <v/>
      </c>
      <c r="Z579" s="4" t="str">
        <f t="shared" si="55"/>
        <v/>
      </c>
      <c r="AA579" s="4" t="str">
        <f>IF($C579="","",IF(COUNTIF($C$1:C578,$C579)+COUNTIF($D$1:D578,$C579)=0,1,0))</f>
        <v/>
      </c>
      <c r="AB579" s="4" t="str">
        <f>IF($D579="","",IF(COUNTIF($C$1:C579,$D579)+COUNTIF($D$1:D578,$D579)=0,1,0))</f>
        <v/>
      </c>
      <c r="AC579" s="4" t="str">
        <f>IF(AA579=1,SUM($AA$2:AA579)-AA579+SUM($AB$2:AB579)-AB579+1,"")</f>
        <v/>
      </c>
      <c r="AD579" s="4" t="str">
        <f>IF(AB579=1,SUM($AA$2:AA579)+SUM($AB$2:AB579)-AB579+1,"")</f>
        <v/>
      </c>
      <c r="AE579" s="4" t="str">
        <f t="shared" si="56"/>
        <v/>
      </c>
      <c r="AF579" s="4" t="str">
        <f t="shared" si="57"/>
        <v/>
      </c>
      <c r="AG579" s="8">
        <f t="shared" si="58"/>
        <v>0</v>
      </c>
      <c r="AI579" s="8">
        <f t="shared" si="59"/>
        <v>0</v>
      </c>
    </row>
    <row r="580" spans="23:35" ht="15" customHeight="1" x14ac:dyDescent="0.25">
      <c r="W580" s="4" t="str">
        <f>IF($C580="","",SUMPRODUCT(($C$2:C580=C580)+($D$2:D580=C580)))</f>
        <v/>
      </c>
      <c r="X580" s="4" t="str">
        <f>IF($D580="","",SUMPRODUCT(($C$2:C580=D580)+($D$2:D580=D580)))</f>
        <v/>
      </c>
      <c r="Y580" s="4" t="str">
        <f t="shared" si="54"/>
        <v/>
      </c>
      <c r="Z580" s="4" t="str">
        <f t="shared" si="55"/>
        <v/>
      </c>
      <c r="AA580" s="4" t="str">
        <f>IF($C580="","",IF(COUNTIF($C$1:C579,$C580)+COUNTIF($D$1:D579,$C580)=0,1,0))</f>
        <v/>
      </c>
      <c r="AB580" s="4" t="str">
        <f>IF($D580="","",IF(COUNTIF($C$1:C580,$D580)+COUNTIF($D$1:D579,$D580)=0,1,0))</f>
        <v/>
      </c>
      <c r="AC580" s="4" t="str">
        <f>IF(AA580=1,SUM($AA$2:AA580)-AA580+SUM($AB$2:AB580)-AB580+1,"")</f>
        <v/>
      </c>
      <c r="AD580" s="4" t="str">
        <f>IF(AB580=1,SUM($AA$2:AA580)+SUM($AB$2:AB580)-AB580+1,"")</f>
        <v/>
      </c>
      <c r="AE580" s="4" t="str">
        <f t="shared" si="56"/>
        <v/>
      </c>
      <c r="AF580" s="4" t="str">
        <f t="shared" si="57"/>
        <v/>
      </c>
      <c r="AG580" s="8">
        <f t="shared" si="58"/>
        <v>0</v>
      </c>
      <c r="AI580" s="8">
        <f t="shared" si="59"/>
        <v>0</v>
      </c>
    </row>
    <row r="581" spans="23:35" ht="15" customHeight="1" x14ac:dyDescent="0.25">
      <c r="W581" s="4" t="str">
        <f>IF($C581="","",SUMPRODUCT(($C$2:C581=C581)+($D$2:D581=C581)))</f>
        <v/>
      </c>
      <c r="X581" s="4" t="str">
        <f>IF($D581="","",SUMPRODUCT(($C$2:C581=D581)+($D$2:D581=D581)))</f>
        <v/>
      </c>
      <c r="Y581" s="4" t="str">
        <f t="shared" si="54"/>
        <v/>
      </c>
      <c r="Z581" s="4" t="str">
        <f t="shared" si="55"/>
        <v/>
      </c>
      <c r="AA581" s="4" t="str">
        <f>IF($C581="","",IF(COUNTIF($C$1:C580,$C581)+COUNTIF($D$1:D580,$C581)=0,1,0))</f>
        <v/>
      </c>
      <c r="AB581" s="4" t="str">
        <f>IF($D581="","",IF(COUNTIF($C$1:C581,$D581)+COUNTIF($D$1:D580,$D581)=0,1,0))</f>
        <v/>
      </c>
      <c r="AC581" s="4" t="str">
        <f>IF(AA581=1,SUM($AA$2:AA581)-AA581+SUM($AB$2:AB581)-AB581+1,"")</f>
        <v/>
      </c>
      <c r="AD581" s="4" t="str">
        <f>IF(AB581=1,SUM($AA$2:AA581)+SUM($AB$2:AB581)-AB581+1,"")</f>
        <v/>
      </c>
      <c r="AE581" s="4" t="str">
        <f t="shared" si="56"/>
        <v/>
      </c>
      <c r="AF581" s="4" t="str">
        <f t="shared" si="57"/>
        <v/>
      </c>
      <c r="AG581" s="8">
        <f t="shared" si="58"/>
        <v>0</v>
      </c>
      <c r="AI581" s="8">
        <f t="shared" si="59"/>
        <v>0</v>
      </c>
    </row>
    <row r="582" spans="23:35" ht="15" customHeight="1" x14ac:dyDescent="0.25">
      <c r="W582" s="4" t="str">
        <f>IF($C582="","",SUMPRODUCT(($C$2:C582=C582)+($D$2:D582=C582)))</f>
        <v/>
      </c>
      <c r="X582" s="4" t="str">
        <f>IF($D582="","",SUMPRODUCT(($C$2:C582=D582)+($D$2:D582=D582)))</f>
        <v/>
      </c>
      <c r="Y582" s="4" t="str">
        <f t="shared" si="54"/>
        <v/>
      </c>
      <c r="Z582" s="4" t="str">
        <f t="shared" si="55"/>
        <v/>
      </c>
      <c r="AA582" s="4" t="str">
        <f>IF($C582="","",IF(COUNTIF($C$1:C581,$C582)+COUNTIF($D$1:D581,$C582)=0,1,0))</f>
        <v/>
      </c>
      <c r="AB582" s="4" t="str">
        <f>IF($D582="","",IF(COUNTIF($C$1:C582,$D582)+COUNTIF($D$1:D581,$D582)=0,1,0))</f>
        <v/>
      </c>
      <c r="AC582" s="4" t="str">
        <f>IF(AA582=1,SUM($AA$2:AA582)-AA582+SUM($AB$2:AB582)-AB582+1,"")</f>
        <v/>
      </c>
      <c r="AD582" s="4" t="str">
        <f>IF(AB582=1,SUM($AA$2:AA582)+SUM($AB$2:AB582)-AB582+1,"")</f>
        <v/>
      </c>
      <c r="AE582" s="4" t="str">
        <f t="shared" si="56"/>
        <v/>
      </c>
      <c r="AF582" s="4" t="str">
        <f t="shared" si="57"/>
        <v/>
      </c>
      <c r="AG582" s="8">
        <f t="shared" si="58"/>
        <v>0</v>
      </c>
      <c r="AI582" s="8">
        <f t="shared" si="59"/>
        <v>0</v>
      </c>
    </row>
    <row r="583" spans="23:35" ht="15" customHeight="1" x14ac:dyDescent="0.25">
      <c r="W583" s="4" t="str">
        <f>IF($C583="","",SUMPRODUCT(($C$2:C583=C583)+($D$2:D583=C583)))</f>
        <v/>
      </c>
      <c r="X583" s="4" t="str">
        <f>IF($D583="","",SUMPRODUCT(($C$2:C583=D583)+($D$2:D583=D583)))</f>
        <v/>
      </c>
      <c r="Y583" s="4" t="str">
        <f t="shared" si="54"/>
        <v/>
      </c>
      <c r="Z583" s="4" t="str">
        <f t="shared" si="55"/>
        <v/>
      </c>
      <c r="AA583" s="4" t="str">
        <f>IF($C583="","",IF(COUNTIF($C$1:C582,$C583)+COUNTIF($D$1:D582,$C583)=0,1,0))</f>
        <v/>
      </c>
      <c r="AB583" s="4" t="str">
        <f>IF($D583="","",IF(COUNTIF($C$1:C583,$D583)+COUNTIF($D$1:D582,$D583)=0,1,0))</f>
        <v/>
      </c>
      <c r="AC583" s="4" t="str">
        <f>IF(AA583=1,SUM($AA$2:AA583)-AA583+SUM($AB$2:AB583)-AB583+1,"")</f>
        <v/>
      </c>
      <c r="AD583" s="4" t="str">
        <f>IF(AB583=1,SUM($AA$2:AA583)+SUM($AB$2:AB583)-AB583+1,"")</f>
        <v/>
      </c>
      <c r="AE583" s="4" t="str">
        <f t="shared" si="56"/>
        <v/>
      </c>
      <c r="AF583" s="4" t="str">
        <f t="shared" si="57"/>
        <v/>
      </c>
      <c r="AG583" s="8">
        <f t="shared" si="58"/>
        <v>0</v>
      </c>
      <c r="AI583" s="8">
        <f t="shared" si="59"/>
        <v>0</v>
      </c>
    </row>
    <row r="584" spans="23:35" ht="15" customHeight="1" x14ac:dyDescent="0.25">
      <c r="W584" s="4" t="str">
        <f>IF($C584="","",SUMPRODUCT(($C$2:C584=C584)+($D$2:D584=C584)))</f>
        <v/>
      </c>
      <c r="X584" s="4" t="str">
        <f>IF($D584="","",SUMPRODUCT(($C$2:C584=D584)+($D$2:D584=D584)))</f>
        <v/>
      </c>
      <c r="Y584" s="4" t="str">
        <f t="shared" si="54"/>
        <v/>
      </c>
      <c r="Z584" s="4" t="str">
        <f t="shared" si="55"/>
        <v/>
      </c>
      <c r="AA584" s="4" t="str">
        <f>IF($C584="","",IF(COUNTIF($C$1:C583,$C584)+COUNTIF($D$1:D583,$C584)=0,1,0))</f>
        <v/>
      </c>
      <c r="AB584" s="4" t="str">
        <f>IF($D584="","",IF(COUNTIF($C$1:C584,$D584)+COUNTIF($D$1:D583,$D584)=0,1,0))</f>
        <v/>
      </c>
      <c r="AC584" s="4" t="str">
        <f>IF(AA584=1,SUM($AA$2:AA584)-AA584+SUM($AB$2:AB584)-AB584+1,"")</f>
        <v/>
      </c>
      <c r="AD584" s="4" t="str">
        <f>IF(AB584=1,SUM($AA$2:AA584)+SUM($AB$2:AB584)-AB584+1,"")</f>
        <v/>
      </c>
      <c r="AE584" s="4" t="str">
        <f t="shared" si="56"/>
        <v/>
      </c>
      <c r="AF584" s="4" t="str">
        <f t="shared" si="57"/>
        <v/>
      </c>
      <c r="AG584" s="8">
        <f t="shared" si="58"/>
        <v>0</v>
      </c>
      <c r="AI584" s="8">
        <f t="shared" si="59"/>
        <v>0</v>
      </c>
    </row>
    <row r="585" spans="23:35" ht="15" customHeight="1" x14ac:dyDescent="0.25">
      <c r="W585" s="4" t="str">
        <f>IF($C585="","",SUMPRODUCT(($C$2:C585=C585)+($D$2:D585=C585)))</f>
        <v/>
      </c>
      <c r="X585" s="4" t="str">
        <f>IF($D585="","",SUMPRODUCT(($C$2:C585=D585)+($D$2:D585=D585)))</f>
        <v/>
      </c>
      <c r="Y585" s="4" t="str">
        <f t="shared" si="54"/>
        <v/>
      </c>
      <c r="Z585" s="4" t="str">
        <f t="shared" si="55"/>
        <v/>
      </c>
      <c r="AA585" s="4" t="str">
        <f>IF($C585="","",IF(COUNTIF($C$1:C584,$C585)+COUNTIF($D$1:D584,$C585)=0,1,0))</f>
        <v/>
      </c>
      <c r="AB585" s="4" t="str">
        <f>IF($D585="","",IF(COUNTIF($C$1:C585,$D585)+COUNTIF($D$1:D584,$D585)=0,1,0))</f>
        <v/>
      </c>
      <c r="AC585" s="4" t="str">
        <f>IF(AA585=1,SUM($AA$2:AA585)-AA585+SUM($AB$2:AB585)-AB585+1,"")</f>
        <v/>
      </c>
      <c r="AD585" s="4" t="str">
        <f>IF(AB585=1,SUM($AA$2:AA585)+SUM($AB$2:AB585)-AB585+1,"")</f>
        <v/>
      </c>
      <c r="AE585" s="4" t="str">
        <f t="shared" si="56"/>
        <v/>
      </c>
      <c r="AF585" s="4" t="str">
        <f t="shared" si="57"/>
        <v/>
      </c>
      <c r="AG585" s="8">
        <f t="shared" si="58"/>
        <v>0</v>
      </c>
      <c r="AI585" s="8">
        <f t="shared" si="59"/>
        <v>0</v>
      </c>
    </row>
    <row r="586" spans="23:35" ht="15" customHeight="1" x14ac:dyDescent="0.25">
      <c r="W586" s="4" t="str">
        <f>IF($C586="","",SUMPRODUCT(($C$2:C586=C586)+($D$2:D586=C586)))</f>
        <v/>
      </c>
      <c r="X586" s="4" t="str">
        <f>IF($D586="","",SUMPRODUCT(($C$2:C586=D586)+($D$2:D586=D586)))</f>
        <v/>
      </c>
      <c r="Y586" s="4" t="str">
        <f t="shared" si="54"/>
        <v/>
      </c>
      <c r="Z586" s="4" t="str">
        <f t="shared" si="55"/>
        <v/>
      </c>
      <c r="AA586" s="4" t="str">
        <f>IF($C586="","",IF(COUNTIF($C$1:C585,$C586)+COUNTIF($D$1:D585,$C586)=0,1,0))</f>
        <v/>
      </c>
      <c r="AB586" s="4" t="str">
        <f>IF($D586="","",IF(COUNTIF($C$1:C586,$D586)+COUNTIF($D$1:D585,$D586)=0,1,0))</f>
        <v/>
      </c>
      <c r="AC586" s="4" t="str">
        <f>IF(AA586=1,SUM($AA$2:AA586)-AA586+SUM($AB$2:AB586)-AB586+1,"")</f>
        <v/>
      </c>
      <c r="AD586" s="4" t="str">
        <f>IF(AB586=1,SUM($AA$2:AA586)+SUM($AB$2:AB586)-AB586+1,"")</f>
        <v/>
      </c>
      <c r="AE586" s="4" t="str">
        <f t="shared" si="56"/>
        <v/>
      </c>
      <c r="AF586" s="4" t="str">
        <f t="shared" si="57"/>
        <v/>
      </c>
      <c r="AG586" s="8">
        <f t="shared" si="58"/>
        <v>0</v>
      </c>
      <c r="AI586" s="8">
        <f t="shared" si="59"/>
        <v>0</v>
      </c>
    </row>
    <row r="587" spans="23:35" ht="15" customHeight="1" x14ac:dyDescent="0.25">
      <c r="W587" s="4" t="str">
        <f>IF($C587="","",SUMPRODUCT(($C$2:C587=C587)+($D$2:D587=C587)))</f>
        <v/>
      </c>
      <c r="X587" s="4" t="str">
        <f>IF($D587="","",SUMPRODUCT(($C$2:C587=D587)+($D$2:D587=D587)))</f>
        <v/>
      </c>
      <c r="Y587" s="4" t="str">
        <f t="shared" si="54"/>
        <v/>
      </c>
      <c r="Z587" s="4" t="str">
        <f t="shared" si="55"/>
        <v/>
      </c>
      <c r="AA587" s="4" t="str">
        <f>IF($C587="","",IF(COUNTIF($C$1:C586,$C587)+COUNTIF($D$1:D586,$C587)=0,1,0))</f>
        <v/>
      </c>
      <c r="AB587" s="4" t="str">
        <f>IF($D587="","",IF(COUNTIF($C$1:C587,$D587)+COUNTIF($D$1:D586,$D587)=0,1,0))</f>
        <v/>
      </c>
      <c r="AC587" s="4" t="str">
        <f>IF(AA587=1,SUM($AA$2:AA587)-AA587+SUM($AB$2:AB587)-AB587+1,"")</f>
        <v/>
      </c>
      <c r="AD587" s="4" t="str">
        <f>IF(AB587=1,SUM($AA$2:AA587)+SUM($AB$2:AB587)-AB587+1,"")</f>
        <v/>
      </c>
      <c r="AE587" s="4" t="str">
        <f t="shared" si="56"/>
        <v/>
      </c>
      <c r="AF587" s="4" t="str">
        <f t="shared" si="57"/>
        <v/>
      </c>
      <c r="AG587" s="8">
        <f t="shared" si="58"/>
        <v>0</v>
      </c>
      <c r="AI587" s="8">
        <f t="shared" si="59"/>
        <v>0</v>
      </c>
    </row>
    <row r="588" spans="23:35" ht="15" customHeight="1" x14ac:dyDescent="0.25">
      <c r="W588" s="4" t="str">
        <f>IF($C588="","",SUMPRODUCT(($C$2:C588=C588)+($D$2:D588=C588)))</f>
        <v/>
      </c>
      <c r="X588" s="4" t="str">
        <f>IF($D588="","",SUMPRODUCT(($C$2:C588=D588)+($D$2:D588=D588)))</f>
        <v/>
      </c>
      <c r="Y588" s="4" t="str">
        <f t="shared" si="54"/>
        <v/>
      </c>
      <c r="Z588" s="4" t="str">
        <f t="shared" si="55"/>
        <v/>
      </c>
      <c r="AA588" s="4" t="str">
        <f>IF($C588="","",IF(COUNTIF($C$1:C587,$C588)+COUNTIF($D$1:D587,$C588)=0,1,0))</f>
        <v/>
      </c>
      <c r="AB588" s="4" t="str">
        <f>IF($D588="","",IF(COUNTIF($C$1:C588,$D588)+COUNTIF($D$1:D587,$D588)=0,1,0))</f>
        <v/>
      </c>
      <c r="AC588" s="4" t="str">
        <f>IF(AA588=1,SUM($AA$2:AA588)-AA588+SUM($AB$2:AB588)-AB588+1,"")</f>
        <v/>
      </c>
      <c r="AD588" s="4" t="str">
        <f>IF(AB588=1,SUM($AA$2:AA588)+SUM($AB$2:AB588)-AB588+1,"")</f>
        <v/>
      </c>
      <c r="AE588" s="4" t="str">
        <f t="shared" si="56"/>
        <v/>
      </c>
      <c r="AF588" s="4" t="str">
        <f t="shared" si="57"/>
        <v/>
      </c>
      <c r="AG588" s="8">
        <f t="shared" si="58"/>
        <v>0</v>
      </c>
      <c r="AI588" s="8">
        <f t="shared" si="59"/>
        <v>0</v>
      </c>
    </row>
    <row r="589" spans="23:35" ht="15" customHeight="1" x14ac:dyDescent="0.25">
      <c r="W589" s="4" t="str">
        <f>IF($C589="","",SUMPRODUCT(($C$2:C589=C589)+($D$2:D589=C589)))</f>
        <v/>
      </c>
      <c r="X589" s="4" t="str">
        <f>IF($D589="","",SUMPRODUCT(($C$2:C589=D589)+($D$2:D589=D589)))</f>
        <v/>
      </c>
      <c r="Y589" s="4" t="str">
        <f t="shared" si="54"/>
        <v/>
      </c>
      <c r="Z589" s="4" t="str">
        <f t="shared" si="55"/>
        <v/>
      </c>
      <c r="AA589" s="4" t="str">
        <f>IF($C589="","",IF(COUNTIF($C$1:C588,$C589)+COUNTIF($D$1:D588,$C589)=0,1,0))</f>
        <v/>
      </c>
      <c r="AB589" s="4" t="str">
        <f>IF($D589="","",IF(COUNTIF($C$1:C589,$D589)+COUNTIF($D$1:D588,$D589)=0,1,0))</f>
        <v/>
      </c>
      <c r="AC589" s="4" t="str">
        <f>IF(AA589=1,SUM($AA$2:AA589)-AA589+SUM($AB$2:AB589)-AB589+1,"")</f>
        <v/>
      </c>
      <c r="AD589" s="4" t="str">
        <f>IF(AB589=1,SUM($AA$2:AA589)+SUM($AB$2:AB589)-AB589+1,"")</f>
        <v/>
      </c>
      <c r="AE589" s="4" t="str">
        <f t="shared" si="56"/>
        <v/>
      </c>
      <c r="AF589" s="4" t="str">
        <f t="shared" si="57"/>
        <v/>
      </c>
      <c r="AG589" s="8">
        <f t="shared" si="58"/>
        <v>0</v>
      </c>
      <c r="AI589" s="8">
        <f t="shared" si="59"/>
        <v>0</v>
      </c>
    </row>
    <row r="590" spans="23:35" ht="15" customHeight="1" x14ac:dyDescent="0.25">
      <c r="W590" s="4" t="str">
        <f>IF($C590="","",SUMPRODUCT(($C$2:C590=C590)+($D$2:D590=C590)))</f>
        <v/>
      </c>
      <c r="X590" s="4" t="str">
        <f>IF($D590="","",SUMPRODUCT(($C$2:C590=D590)+($D$2:D590=D590)))</f>
        <v/>
      </c>
      <c r="Y590" s="4" t="str">
        <f t="shared" si="54"/>
        <v/>
      </c>
      <c r="Z590" s="4" t="str">
        <f t="shared" si="55"/>
        <v/>
      </c>
      <c r="AA590" s="4" t="str">
        <f>IF($C590="","",IF(COUNTIF($C$1:C589,$C590)+COUNTIF($D$1:D589,$C590)=0,1,0))</f>
        <v/>
      </c>
      <c r="AB590" s="4" t="str">
        <f>IF($D590="","",IF(COUNTIF($C$1:C590,$D590)+COUNTIF($D$1:D589,$D590)=0,1,0))</f>
        <v/>
      </c>
      <c r="AC590" s="4" t="str">
        <f>IF(AA590=1,SUM($AA$2:AA590)-AA590+SUM($AB$2:AB590)-AB590+1,"")</f>
        <v/>
      </c>
      <c r="AD590" s="4" t="str">
        <f>IF(AB590=1,SUM($AA$2:AA590)+SUM($AB$2:AB590)-AB590+1,"")</f>
        <v/>
      </c>
      <c r="AE590" s="4" t="str">
        <f t="shared" si="56"/>
        <v/>
      </c>
      <c r="AF590" s="4" t="str">
        <f t="shared" si="57"/>
        <v/>
      </c>
      <c r="AG590" s="8">
        <f t="shared" si="58"/>
        <v>0</v>
      </c>
      <c r="AI590" s="8">
        <f t="shared" si="59"/>
        <v>0</v>
      </c>
    </row>
    <row r="591" spans="23:35" ht="15" customHeight="1" x14ac:dyDescent="0.25">
      <c r="W591" s="4" t="str">
        <f>IF($C591="","",SUMPRODUCT(($C$2:C591=C591)+($D$2:D591=C591)))</f>
        <v/>
      </c>
      <c r="X591" s="4" t="str">
        <f>IF($D591="","",SUMPRODUCT(($C$2:C591=D591)+($D$2:D591=D591)))</f>
        <v/>
      </c>
      <c r="Y591" s="4" t="str">
        <f t="shared" si="54"/>
        <v/>
      </c>
      <c r="Z591" s="4" t="str">
        <f t="shared" si="55"/>
        <v/>
      </c>
      <c r="AA591" s="4" t="str">
        <f>IF($C591="","",IF(COUNTIF($C$1:C590,$C591)+COUNTIF($D$1:D590,$C591)=0,1,0))</f>
        <v/>
      </c>
      <c r="AB591" s="4" t="str">
        <f>IF($D591="","",IF(COUNTIF($C$1:C591,$D591)+COUNTIF($D$1:D590,$D591)=0,1,0))</f>
        <v/>
      </c>
      <c r="AC591" s="4" t="str">
        <f>IF(AA591=1,SUM($AA$2:AA591)-AA591+SUM($AB$2:AB591)-AB591+1,"")</f>
        <v/>
      </c>
      <c r="AD591" s="4" t="str">
        <f>IF(AB591=1,SUM($AA$2:AA591)+SUM($AB$2:AB591)-AB591+1,"")</f>
        <v/>
      </c>
      <c r="AE591" s="4" t="str">
        <f t="shared" si="56"/>
        <v/>
      </c>
      <c r="AF591" s="4" t="str">
        <f t="shared" si="57"/>
        <v/>
      </c>
      <c r="AG591" s="8">
        <f t="shared" si="58"/>
        <v>0</v>
      </c>
      <c r="AI591" s="8">
        <f t="shared" si="59"/>
        <v>0</v>
      </c>
    </row>
    <row r="592" spans="23:35" ht="15" customHeight="1" x14ac:dyDescent="0.25">
      <c r="W592" s="4" t="str">
        <f>IF($C592="","",SUMPRODUCT(($C$2:C592=C592)+($D$2:D592=C592)))</f>
        <v/>
      </c>
      <c r="X592" s="4" t="str">
        <f>IF($D592="","",SUMPRODUCT(($C$2:C592=D592)+($D$2:D592=D592)))</f>
        <v/>
      </c>
      <c r="Y592" s="4" t="str">
        <f t="shared" si="54"/>
        <v/>
      </c>
      <c r="Z592" s="4" t="str">
        <f t="shared" si="55"/>
        <v/>
      </c>
      <c r="AA592" s="4" t="str">
        <f>IF($C592="","",IF(COUNTIF($C$1:C591,$C592)+COUNTIF($D$1:D591,$C592)=0,1,0))</f>
        <v/>
      </c>
      <c r="AB592" s="4" t="str">
        <f>IF($D592="","",IF(COUNTIF($C$1:C592,$D592)+COUNTIF($D$1:D591,$D592)=0,1,0))</f>
        <v/>
      </c>
      <c r="AC592" s="4" t="str">
        <f>IF(AA592=1,SUM($AA$2:AA592)-AA592+SUM($AB$2:AB592)-AB592+1,"")</f>
        <v/>
      </c>
      <c r="AD592" s="4" t="str">
        <f>IF(AB592=1,SUM($AA$2:AA592)+SUM($AB$2:AB592)-AB592+1,"")</f>
        <v/>
      </c>
      <c r="AE592" s="4" t="str">
        <f t="shared" si="56"/>
        <v/>
      </c>
      <c r="AF592" s="4" t="str">
        <f t="shared" si="57"/>
        <v/>
      </c>
      <c r="AG592" s="8">
        <f t="shared" si="58"/>
        <v>0</v>
      </c>
      <c r="AI592" s="8">
        <f t="shared" si="59"/>
        <v>0</v>
      </c>
    </row>
    <row r="593" spans="23:35" ht="15" customHeight="1" x14ac:dyDescent="0.25">
      <c r="W593" s="4" t="str">
        <f>IF($C593="","",SUMPRODUCT(($C$2:C593=C593)+($D$2:D593=C593)))</f>
        <v/>
      </c>
      <c r="X593" s="4" t="str">
        <f>IF($D593="","",SUMPRODUCT(($C$2:C593=D593)+($D$2:D593=D593)))</f>
        <v/>
      </c>
      <c r="Y593" s="4" t="str">
        <f t="shared" si="54"/>
        <v/>
      </c>
      <c r="Z593" s="4" t="str">
        <f t="shared" si="55"/>
        <v/>
      </c>
      <c r="AA593" s="4" t="str">
        <f>IF($C593="","",IF(COUNTIF($C$1:C592,$C593)+COUNTIF($D$1:D592,$C593)=0,1,0))</f>
        <v/>
      </c>
      <c r="AB593" s="4" t="str">
        <f>IF($D593="","",IF(COUNTIF($C$1:C593,$D593)+COUNTIF($D$1:D592,$D593)=0,1,0))</f>
        <v/>
      </c>
      <c r="AC593" s="4" t="str">
        <f>IF(AA593=1,SUM($AA$2:AA593)-AA593+SUM($AB$2:AB593)-AB593+1,"")</f>
        <v/>
      </c>
      <c r="AD593" s="4" t="str">
        <f>IF(AB593=1,SUM($AA$2:AA593)+SUM($AB$2:AB593)-AB593+1,"")</f>
        <v/>
      </c>
      <c r="AE593" s="4" t="str">
        <f t="shared" si="56"/>
        <v/>
      </c>
      <c r="AF593" s="4" t="str">
        <f t="shared" si="57"/>
        <v/>
      </c>
      <c r="AG593" s="8">
        <f t="shared" si="58"/>
        <v>0</v>
      </c>
      <c r="AI593" s="8">
        <f t="shared" si="59"/>
        <v>0</v>
      </c>
    </row>
    <row r="594" spans="23:35" ht="15" customHeight="1" x14ac:dyDescent="0.25">
      <c r="W594" s="4" t="str">
        <f>IF($C594="","",SUMPRODUCT(($C$2:C594=C594)+($D$2:D594=C594)))</f>
        <v/>
      </c>
      <c r="X594" s="4" t="str">
        <f>IF($D594="","",SUMPRODUCT(($C$2:C594=D594)+($D$2:D594=D594)))</f>
        <v/>
      </c>
      <c r="Y594" s="4" t="str">
        <f t="shared" si="54"/>
        <v/>
      </c>
      <c r="Z594" s="4" t="str">
        <f t="shared" si="55"/>
        <v/>
      </c>
      <c r="AA594" s="4" t="str">
        <f>IF($C594="","",IF(COUNTIF($C$1:C593,$C594)+COUNTIF($D$1:D593,$C594)=0,1,0))</f>
        <v/>
      </c>
      <c r="AB594" s="4" t="str">
        <f>IF($D594="","",IF(COUNTIF($C$1:C594,$D594)+COUNTIF($D$1:D593,$D594)=0,1,0))</f>
        <v/>
      </c>
      <c r="AC594" s="4" t="str">
        <f>IF(AA594=1,SUM($AA$2:AA594)-AA594+SUM($AB$2:AB594)-AB594+1,"")</f>
        <v/>
      </c>
      <c r="AD594" s="4" t="str">
        <f>IF(AB594=1,SUM($AA$2:AA594)+SUM($AB$2:AB594)-AB594+1,"")</f>
        <v/>
      </c>
      <c r="AE594" s="4" t="str">
        <f t="shared" si="56"/>
        <v/>
      </c>
      <c r="AF594" s="4" t="str">
        <f t="shared" si="57"/>
        <v/>
      </c>
      <c r="AG594" s="8">
        <f t="shared" si="58"/>
        <v>0</v>
      </c>
      <c r="AI594" s="8">
        <f t="shared" si="59"/>
        <v>0</v>
      </c>
    </row>
    <row r="595" spans="23:35" ht="15" customHeight="1" x14ac:dyDescent="0.25">
      <c r="W595" s="4" t="str">
        <f>IF($C595="","",SUMPRODUCT(($C$2:C595=C595)+($D$2:D595=C595)))</f>
        <v/>
      </c>
      <c r="X595" s="4" t="str">
        <f>IF($D595="","",SUMPRODUCT(($C$2:C595=D595)+($D$2:D595=D595)))</f>
        <v/>
      </c>
      <c r="Y595" s="4" t="str">
        <f t="shared" si="54"/>
        <v/>
      </c>
      <c r="Z595" s="4" t="str">
        <f t="shared" si="55"/>
        <v/>
      </c>
      <c r="AA595" s="4" t="str">
        <f>IF($C595="","",IF(COUNTIF($C$1:C594,$C595)+COUNTIF($D$1:D594,$C595)=0,1,0))</f>
        <v/>
      </c>
      <c r="AB595" s="4" t="str">
        <f>IF($D595="","",IF(COUNTIF($C$1:C595,$D595)+COUNTIF($D$1:D594,$D595)=0,1,0))</f>
        <v/>
      </c>
      <c r="AC595" s="4" t="str">
        <f>IF(AA595=1,SUM($AA$2:AA595)-AA595+SUM($AB$2:AB595)-AB595+1,"")</f>
        <v/>
      </c>
      <c r="AD595" s="4" t="str">
        <f>IF(AB595=1,SUM($AA$2:AA595)+SUM($AB$2:AB595)-AB595+1,"")</f>
        <v/>
      </c>
      <c r="AE595" s="4" t="str">
        <f t="shared" si="56"/>
        <v/>
      </c>
      <c r="AF595" s="4" t="str">
        <f t="shared" si="57"/>
        <v/>
      </c>
      <c r="AG595" s="8">
        <f t="shared" si="58"/>
        <v>0</v>
      </c>
      <c r="AI595" s="8">
        <f t="shared" si="59"/>
        <v>0</v>
      </c>
    </row>
    <row r="596" spans="23:35" ht="15" customHeight="1" x14ac:dyDescent="0.25">
      <c r="W596" s="4" t="str">
        <f>IF($C596="","",SUMPRODUCT(($C$2:C596=C596)+($D$2:D596=C596)))</f>
        <v/>
      </c>
      <c r="X596" s="4" t="str">
        <f>IF($D596="","",SUMPRODUCT(($C$2:C596=D596)+($D$2:D596=D596)))</f>
        <v/>
      </c>
      <c r="Y596" s="4" t="str">
        <f t="shared" si="54"/>
        <v/>
      </c>
      <c r="Z596" s="4" t="str">
        <f t="shared" si="55"/>
        <v/>
      </c>
      <c r="AA596" s="4" t="str">
        <f>IF($C596="","",IF(COUNTIF($C$1:C595,$C596)+COUNTIF($D$1:D595,$C596)=0,1,0))</f>
        <v/>
      </c>
      <c r="AB596" s="4" t="str">
        <f>IF($D596="","",IF(COUNTIF($C$1:C596,$D596)+COUNTIF($D$1:D595,$D596)=0,1,0))</f>
        <v/>
      </c>
      <c r="AC596" s="4" t="str">
        <f>IF(AA596=1,SUM($AA$2:AA596)-AA596+SUM($AB$2:AB596)-AB596+1,"")</f>
        <v/>
      </c>
      <c r="AD596" s="4" t="str">
        <f>IF(AB596=1,SUM($AA$2:AA596)+SUM($AB$2:AB596)-AB596+1,"")</f>
        <v/>
      </c>
      <c r="AE596" s="4" t="str">
        <f t="shared" si="56"/>
        <v/>
      </c>
      <c r="AF596" s="4" t="str">
        <f t="shared" si="57"/>
        <v/>
      </c>
      <c r="AG596" s="8">
        <f t="shared" si="58"/>
        <v>0</v>
      </c>
      <c r="AI596" s="8">
        <f t="shared" si="59"/>
        <v>0</v>
      </c>
    </row>
    <row r="597" spans="23:35" ht="15" customHeight="1" x14ac:dyDescent="0.25">
      <c r="W597" s="4" t="str">
        <f>IF($C597="","",SUMPRODUCT(($C$2:C597=C597)+($D$2:D597=C597)))</f>
        <v/>
      </c>
      <c r="X597" s="4" t="str">
        <f>IF($D597="","",SUMPRODUCT(($C$2:C597=D597)+($D$2:D597=D597)))</f>
        <v/>
      </c>
      <c r="Y597" s="4" t="str">
        <f t="shared" si="54"/>
        <v/>
      </c>
      <c r="Z597" s="4" t="str">
        <f t="shared" si="55"/>
        <v/>
      </c>
      <c r="AA597" s="4" t="str">
        <f>IF($C597="","",IF(COUNTIF($C$1:C596,$C597)+COUNTIF($D$1:D596,$C597)=0,1,0))</f>
        <v/>
      </c>
      <c r="AB597" s="4" t="str">
        <f>IF($D597="","",IF(COUNTIF($C$1:C597,$D597)+COUNTIF($D$1:D596,$D597)=0,1,0))</f>
        <v/>
      </c>
      <c r="AC597" s="4" t="str">
        <f>IF(AA597=1,SUM($AA$2:AA597)-AA597+SUM($AB$2:AB597)-AB597+1,"")</f>
        <v/>
      </c>
      <c r="AD597" s="4" t="str">
        <f>IF(AB597=1,SUM($AA$2:AA597)+SUM($AB$2:AB597)-AB597+1,"")</f>
        <v/>
      </c>
      <c r="AE597" s="4" t="str">
        <f t="shared" si="56"/>
        <v/>
      </c>
      <c r="AF597" s="4" t="str">
        <f t="shared" si="57"/>
        <v/>
      </c>
      <c r="AG597" s="8">
        <f t="shared" si="58"/>
        <v>0</v>
      </c>
      <c r="AI597" s="8">
        <f t="shared" si="59"/>
        <v>0</v>
      </c>
    </row>
    <row r="598" spans="23:35" ht="15" customHeight="1" x14ac:dyDescent="0.25">
      <c r="W598" s="4" t="str">
        <f>IF($C598="","",SUMPRODUCT(($C$2:C598=C598)+($D$2:D598=C598)))</f>
        <v/>
      </c>
      <c r="X598" s="4" t="str">
        <f>IF($D598="","",SUMPRODUCT(($C$2:C598=D598)+($D$2:D598=D598)))</f>
        <v/>
      </c>
      <c r="Y598" s="4" t="str">
        <f t="shared" si="54"/>
        <v/>
      </c>
      <c r="Z598" s="4" t="str">
        <f t="shared" si="55"/>
        <v/>
      </c>
      <c r="AA598" s="4" t="str">
        <f>IF($C598="","",IF(COUNTIF($C$1:C597,$C598)+COUNTIF($D$1:D597,$C598)=0,1,0))</f>
        <v/>
      </c>
      <c r="AB598" s="4" t="str">
        <f>IF($D598="","",IF(COUNTIF($C$1:C598,$D598)+COUNTIF($D$1:D597,$D598)=0,1,0))</f>
        <v/>
      </c>
      <c r="AC598" s="4" t="str">
        <f>IF(AA598=1,SUM($AA$2:AA598)-AA598+SUM($AB$2:AB598)-AB598+1,"")</f>
        <v/>
      </c>
      <c r="AD598" s="4" t="str">
        <f>IF(AB598=1,SUM($AA$2:AA598)+SUM($AB$2:AB598)-AB598+1,"")</f>
        <v/>
      </c>
      <c r="AE598" s="4" t="str">
        <f t="shared" si="56"/>
        <v/>
      </c>
      <c r="AF598" s="4" t="str">
        <f t="shared" si="57"/>
        <v/>
      </c>
      <c r="AG598" s="8">
        <f t="shared" si="58"/>
        <v>0</v>
      </c>
      <c r="AI598" s="8">
        <f t="shared" si="59"/>
        <v>0</v>
      </c>
    </row>
    <row r="599" spans="23:35" ht="15" customHeight="1" x14ac:dyDescent="0.25">
      <c r="W599" s="4" t="str">
        <f>IF($C599="","",SUMPRODUCT(($C$2:C599=C599)+($D$2:D599=C599)))</f>
        <v/>
      </c>
      <c r="X599" s="4" t="str">
        <f>IF($D599="","",SUMPRODUCT(($C$2:C599=D599)+($D$2:D599=D599)))</f>
        <v/>
      </c>
      <c r="Y599" s="4" t="str">
        <f t="shared" si="54"/>
        <v/>
      </c>
      <c r="Z599" s="4" t="str">
        <f t="shared" si="55"/>
        <v/>
      </c>
      <c r="AA599" s="4" t="str">
        <f>IF($C599="","",IF(COUNTIF($C$1:C598,$C599)+COUNTIF($D$1:D598,$C599)=0,1,0))</f>
        <v/>
      </c>
      <c r="AB599" s="4" t="str">
        <f>IF($D599="","",IF(COUNTIF($C$1:C599,$D599)+COUNTIF($D$1:D598,$D599)=0,1,0))</f>
        <v/>
      </c>
      <c r="AC599" s="4" t="str">
        <f>IF(AA599=1,SUM($AA$2:AA599)-AA599+SUM($AB$2:AB599)-AB599+1,"")</f>
        <v/>
      </c>
      <c r="AD599" s="4" t="str">
        <f>IF(AB599=1,SUM($AA$2:AA599)+SUM($AB$2:AB599)-AB599+1,"")</f>
        <v/>
      </c>
      <c r="AE599" s="4" t="str">
        <f t="shared" si="56"/>
        <v/>
      </c>
      <c r="AF599" s="4" t="str">
        <f t="shared" si="57"/>
        <v/>
      </c>
      <c r="AG599" s="8">
        <f t="shared" si="58"/>
        <v>0</v>
      </c>
      <c r="AI599" s="8">
        <f t="shared" si="59"/>
        <v>0</v>
      </c>
    </row>
    <row r="600" spans="23:35" ht="15" customHeight="1" x14ac:dyDescent="0.25">
      <c r="W600" s="4" t="str">
        <f>IF($C600="","",SUMPRODUCT(($C$2:C600=C600)+($D$2:D600=C600)))</f>
        <v/>
      </c>
      <c r="X600" s="4" t="str">
        <f>IF($D600="","",SUMPRODUCT(($C$2:C600=D600)+($D$2:D600=D600)))</f>
        <v/>
      </c>
      <c r="Y600" s="4" t="str">
        <f t="shared" si="54"/>
        <v/>
      </c>
      <c r="Z600" s="4" t="str">
        <f t="shared" si="55"/>
        <v/>
      </c>
      <c r="AA600" s="4" t="str">
        <f>IF($C600="","",IF(COUNTIF($C$1:C599,$C600)+COUNTIF($D$1:D599,$C600)=0,1,0))</f>
        <v/>
      </c>
      <c r="AB600" s="4" t="str">
        <f>IF($D600="","",IF(COUNTIF($C$1:C600,$D600)+COUNTIF($D$1:D599,$D600)=0,1,0))</f>
        <v/>
      </c>
      <c r="AC600" s="4" t="str">
        <f>IF(AA600=1,SUM($AA$2:AA600)-AA600+SUM($AB$2:AB600)-AB600+1,"")</f>
        <v/>
      </c>
      <c r="AD600" s="4" t="str">
        <f>IF(AB600=1,SUM($AA$2:AA600)+SUM($AB$2:AB600)-AB600+1,"")</f>
        <v/>
      </c>
      <c r="AE600" s="4" t="str">
        <f t="shared" si="56"/>
        <v/>
      </c>
      <c r="AF600" s="4" t="str">
        <f t="shared" si="57"/>
        <v/>
      </c>
      <c r="AG600" s="8">
        <f t="shared" si="58"/>
        <v>0</v>
      </c>
      <c r="AI600" s="8">
        <f t="shared" si="59"/>
        <v>0</v>
      </c>
    </row>
    <row r="601" spans="23:35" ht="15" customHeight="1" x14ac:dyDescent="0.25">
      <c r="W601" s="4" t="str">
        <f>IF($C601="","",SUMPRODUCT(($C$2:C601=C601)+($D$2:D601=C601)))</f>
        <v/>
      </c>
      <c r="X601" s="4" t="str">
        <f>IF($D601="","",SUMPRODUCT(($C$2:C601=D601)+($D$2:D601=D601)))</f>
        <v/>
      </c>
      <c r="Y601" s="4" t="str">
        <f t="shared" si="54"/>
        <v/>
      </c>
      <c r="Z601" s="4" t="str">
        <f t="shared" si="55"/>
        <v/>
      </c>
      <c r="AA601" s="4" t="str">
        <f>IF($C601="","",IF(COUNTIF($C$1:C600,$C601)+COUNTIF($D$1:D600,$C601)=0,1,0))</f>
        <v/>
      </c>
      <c r="AB601" s="4" t="str">
        <f>IF($D601="","",IF(COUNTIF($C$1:C601,$D601)+COUNTIF($D$1:D600,$D601)=0,1,0))</f>
        <v/>
      </c>
      <c r="AC601" s="4" t="str">
        <f>IF(AA601=1,SUM($AA$2:AA601)-AA601+SUM($AB$2:AB601)-AB601+1,"")</f>
        <v/>
      </c>
      <c r="AD601" s="4" t="str">
        <f>IF(AB601=1,SUM($AA$2:AA601)+SUM($AB$2:AB601)-AB601+1,"")</f>
        <v/>
      </c>
      <c r="AE601" s="4" t="str">
        <f t="shared" si="56"/>
        <v/>
      </c>
      <c r="AF601" s="4" t="str">
        <f t="shared" si="57"/>
        <v/>
      </c>
      <c r="AG601" s="8">
        <f t="shared" si="58"/>
        <v>0</v>
      </c>
      <c r="AI601" s="8">
        <f t="shared" si="59"/>
        <v>0</v>
      </c>
    </row>
    <row r="602" spans="23:35" ht="15" customHeight="1" x14ac:dyDescent="0.25">
      <c r="W602" s="4" t="str">
        <f>IF($C602="","",SUMPRODUCT(($C$2:C602=C602)+($D$2:D602=C602)))</f>
        <v/>
      </c>
      <c r="X602" s="4" t="str">
        <f>IF($D602="","",SUMPRODUCT(($C$2:C602=D602)+($D$2:D602=D602)))</f>
        <v/>
      </c>
      <c r="Y602" s="4" t="str">
        <f t="shared" si="54"/>
        <v/>
      </c>
      <c r="Z602" s="4" t="str">
        <f t="shared" si="55"/>
        <v/>
      </c>
      <c r="AA602" s="4" t="str">
        <f>IF($C602="","",IF(COUNTIF($C$1:C601,$C602)+COUNTIF($D$1:D601,$C602)=0,1,0))</f>
        <v/>
      </c>
      <c r="AB602" s="4" t="str">
        <f>IF($D602="","",IF(COUNTIF($C$1:C602,$D602)+COUNTIF($D$1:D601,$D602)=0,1,0))</f>
        <v/>
      </c>
      <c r="AC602" s="4" t="str">
        <f>IF(AA602=1,SUM($AA$2:AA602)-AA602+SUM($AB$2:AB602)-AB602+1,"")</f>
        <v/>
      </c>
      <c r="AD602" s="4" t="str">
        <f>IF(AB602=1,SUM($AA$2:AA602)+SUM($AB$2:AB602)-AB602+1,"")</f>
        <v/>
      </c>
      <c r="AE602" s="4" t="str">
        <f t="shared" si="56"/>
        <v/>
      </c>
      <c r="AF602" s="4" t="str">
        <f t="shared" si="57"/>
        <v/>
      </c>
      <c r="AG602" s="8">
        <f t="shared" si="58"/>
        <v>0</v>
      </c>
      <c r="AI602" s="8">
        <f t="shared" si="59"/>
        <v>0</v>
      </c>
    </row>
    <row r="603" spans="23:35" ht="15" customHeight="1" x14ac:dyDescent="0.25">
      <c r="W603" s="4" t="str">
        <f>IF($C603="","",SUMPRODUCT(($C$2:C603=C603)+($D$2:D603=C603)))</f>
        <v/>
      </c>
      <c r="X603" s="4" t="str">
        <f>IF($D603="","",SUMPRODUCT(($C$2:C603=D603)+($D$2:D603=D603)))</f>
        <v/>
      </c>
      <c r="Y603" s="4" t="str">
        <f t="shared" si="54"/>
        <v/>
      </c>
      <c r="Z603" s="4" t="str">
        <f t="shared" si="55"/>
        <v/>
      </c>
      <c r="AA603" s="4" t="str">
        <f>IF($C603="","",IF(COUNTIF($C$1:C602,$C603)+COUNTIF($D$1:D602,$C603)=0,1,0))</f>
        <v/>
      </c>
      <c r="AB603" s="4" t="str">
        <f>IF($D603="","",IF(COUNTIF($C$1:C603,$D603)+COUNTIF($D$1:D602,$D603)=0,1,0))</f>
        <v/>
      </c>
      <c r="AC603" s="4" t="str">
        <f>IF(AA603=1,SUM($AA$2:AA603)-AA603+SUM($AB$2:AB603)-AB603+1,"")</f>
        <v/>
      </c>
      <c r="AD603" s="4" t="str">
        <f>IF(AB603=1,SUM($AA$2:AA603)+SUM($AB$2:AB603)-AB603+1,"")</f>
        <v/>
      </c>
      <c r="AE603" s="4" t="str">
        <f t="shared" si="56"/>
        <v/>
      </c>
      <c r="AF603" s="4" t="str">
        <f t="shared" si="57"/>
        <v/>
      </c>
      <c r="AG603" s="8">
        <f t="shared" si="58"/>
        <v>0</v>
      </c>
      <c r="AI603" s="8">
        <f t="shared" si="59"/>
        <v>0</v>
      </c>
    </row>
    <row r="604" spans="23:35" ht="15" customHeight="1" x14ac:dyDescent="0.25">
      <c r="W604" s="4" t="str">
        <f>IF($C604="","",SUMPRODUCT(($C$2:C604=C604)+($D$2:D604=C604)))</f>
        <v/>
      </c>
      <c r="X604" s="4" t="str">
        <f>IF($D604="","",SUMPRODUCT(($C$2:C604=D604)+($D$2:D604=D604)))</f>
        <v/>
      </c>
      <c r="Y604" s="4" t="str">
        <f t="shared" si="54"/>
        <v/>
      </c>
      <c r="Z604" s="4" t="str">
        <f t="shared" si="55"/>
        <v/>
      </c>
      <c r="AA604" s="4" t="str">
        <f>IF($C604="","",IF(COUNTIF($C$1:C603,$C604)+COUNTIF($D$1:D603,$C604)=0,1,0))</f>
        <v/>
      </c>
      <c r="AB604" s="4" t="str">
        <f>IF($D604="","",IF(COUNTIF($C$1:C604,$D604)+COUNTIF($D$1:D603,$D604)=0,1,0))</f>
        <v/>
      </c>
      <c r="AC604" s="4" t="str">
        <f>IF(AA604=1,SUM($AA$2:AA604)-AA604+SUM($AB$2:AB604)-AB604+1,"")</f>
        <v/>
      </c>
      <c r="AD604" s="4" t="str">
        <f>IF(AB604=1,SUM($AA$2:AA604)+SUM($AB$2:AB604)-AB604+1,"")</f>
        <v/>
      </c>
      <c r="AE604" s="4" t="str">
        <f t="shared" si="56"/>
        <v/>
      </c>
      <c r="AF604" s="4" t="str">
        <f t="shared" si="57"/>
        <v/>
      </c>
      <c r="AG604" s="8">
        <f t="shared" si="58"/>
        <v>0</v>
      </c>
      <c r="AI604" s="8">
        <f t="shared" si="59"/>
        <v>0</v>
      </c>
    </row>
    <row r="605" spans="23:35" ht="15" customHeight="1" x14ac:dyDescent="0.25">
      <c r="W605" s="4" t="str">
        <f>IF($C605="","",SUMPRODUCT(($C$2:C605=C605)+($D$2:D605=C605)))</f>
        <v/>
      </c>
      <c r="X605" s="4" t="str">
        <f>IF($D605="","",SUMPRODUCT(($C$2:C605=D605)+($D$2:D605=D605)))</f>
        <v/>
      </c>
      <c r="Y605" s="4" t="str">
        <f t="shared" si="54"/>
        <v/>
      </c>
      <c r="Z605" s="4" t="str">
        <f t="shared" si="55"/>
        <v/>
      </c>
      <c r="AA605" s="4" t="str">
        <f>IF($C605="","",IF(COUNTIF($C$1:C604,$C605)+COUNTIF($D$1:D604,$C605)=0,1,0))</f>
        <v/>
      </c>
      <c r="AB605" s="4" t="str">
        <f>IF($D605="","",IF(COUNTIF($C$1:C605,$D605)+COUNTIF($D$1:D604,$D605)=0,1,0))</f>
        <v/>
      </c>
      <c r="AC605" s="4" t="str">
        <f>IF(AA605=1,SUM($AA$2:AA605)-AA605+SUM($AB$2:AB605)-AB605+1,"")</f>
        <v/>
      </c>
      <c r="AD605" s="4" t="str">
        <f>IF(AB605=1,SUM($AA$2:AA605)+SUM($AB$2:AB605)-AB605+1,"")</f>
        <v/>
      </c>
      <c r="AE605" s="4" t="str">
        <f t="shared" si="56"/>
        <v/>
      </c>
      <c r="AF605" s="4" t="str">
        <f t="shared" si="57"/>
        <v/>
      </c>
      <c r="AG605" s="8">
        <f t="shared" si="58"/>
        <v>0</v>
      </c>
      <c r="AI605" s="8">
        <f t="shared" si="59"/>
        <v>0</v>
      </c>
    </row>
    <row r="606" spans="23:35" ht="15" customHeight="1" x14ac:dyDescent="0.25">
      <c r="W606" s="4" t="str">
        <f>IF($C606="","",SUMPRODUCT(($C$2:C606=C606)+($D$2:D606=C606)))</f>
        <v/>
      </c>
      <c r="X606" s="4" t="str">
        <f>IF($D606="","",SUMPRODUCT(($C$2:C606=D606)+($D$2:D606=D606)))</f>
        <v/>
      </c>
      <c r="Y606" s="4" t="str">
        <f t="shared" si="54"/>
        <v/>
      </c>
      <c r="Z606" s="4" t="str">
        <f t="shared" si="55"/>
        <v/>
      </c>
      <c r="AA606" s="4" t="str">
        <f>IF($C606="","",IF(COUNTIF($C$1:C605,$C606)+COUNTIF($D$1:D605,$C606)=0,1,0))</f>
        <v/>
      </c>
      <c r="AB606" s="4" t="str">
        <f>IF($D606="","",IF(COUNTIF($C$1:C606,$D606)+COUNTIF($D$1:D605,$D606)=0,1,0))</f>
        <v/>
      </c>
      <c r="AC606" s="4" t="str">
        <f>IF(AA606=1,SUM($AA$2:AA606)-AA606+SUM($AB$2:AB606)-AB606+1,"")</f>
        <v/>
      </c>
      <c r="AD606" s="4" t="str">
        <f>IF(AB606=1,SUM($AA$2:AA606)+SUM($AB$2:AB606)-AB606+1,"")</f>
        <v/>
      </c>
      <c r="AE606" s="4" t="str">
        <f t="shared" si="56"/>
        <v/>
      </c>
      <c r="AF606" s="4" t="str">
        <f t="shared" si="57"/>
        <v/>
      </c>
      <c r="AG606" s="8">
        <f t="shared" si="58"/>
        <v>0</v>
      </c>
      <c r="AI606" s="8">
        <f t="shared" si="59"/>
        <v>0</v>
      </c>
    </row>
    <row r="607" spans="23:35" ht="15" customHeight="1" x14ac:dyDescent="0.25">
      <c r="W607" s="4" t="str">
        <f>IF($C607="","",SUMPRODUCT(($C$2:C607=C607)+($D$2:D607=C607)))</f>
        <v/>
      </c>
      <c r="X607" s="4" t="str">
        <f>IF($D607="","",SUMPRODUCT(($C$2:C607=D607)+($D$2:D607=D607)))</f>
        <v/>
      </c>
      <c r="Y607" s="4" t="str">
        <f t="shared" si="54"/>
        <v/>
      </c>
      <c r="Z607" s="4" t="str">
        <f t="shared" si="55"/>
        <v/>
      </c>
      <c r="AA607" s="4" t="str">
        <f>IF($C607="","",IF(COUNTIF($C$1:C606,$C607)+COUNTIF($D$1:D606,$C607)=0,1,0))</f>
        <v/>
      </c>
      <c r="AB607" s="4" t="str">
        <f>IF($D607="","",IF(COUNTIF($C$1:C607,$D607)+COUNTIF($D$1:D606,$D607)=0,1,0))</f>
        <v/>
      </c>
      <c r="AC607" s="4" t="str">
        <f>IF(AA607=1,SUM($AA$2:AA607)-AA607+SUM($AB$2:AB607)-AB607+1,"")</f>
        <v/>
      </c>
      <c r="AD607" s="4" t="str">
        <f>IF(AB607=1,SUM($AA$2:AA607)+SUM($AB$2:AB607)-AB607+1,"")</f>
        <v/>
      </c>
      <c r="AE607" s="4" t="str">
        <f t="shared" si="56"/>
        <v/>
      </c>
      <c r="AF607" s="4" t="str">
        <f t="shared" si="57"/>
        <v/>
      </c>
      <c r="AG607" s="8">
        <f t="shared" si="58"/>
        <v>0</v>
      </c>
      <c r="AI607" s="8">
        <f t="shared" si="59"/>
        <v>0</v>
      </c>
    </row>
    <row r="608" spans="23:35" ht="15" customHeight="1" x14ac:dyDescent="0.25">
      <c r="W608" s="4" t="str">
        <f>IF($C608="","",SUMPRODUCT(($C$2:C608=C608)+($D$2:D608=C608)))</f>
        <v/>
      </c>
      <c r="X608" s="4" t="str">
        <f>IF($D608="","",SUMPRODUCT(($C$2:C608=D608)+($D$2:D608=D608)))</f>
        <v/>
      </c>
      <c r="Y608" s="4" t="str">
        <f t="shared" si="54"/>
        <v/>
      </c>
      <c r="Z608" s="4" t="str">
        <f t="shared" si="55"/>
        <v/>
      </c>
      <c r="AA608" s="4" t="str">
        <f>IF($C608="","",IF(COUNTIF($C$1:C607,$C608)+COUNTIF($D$1:D607,$C608)=0,1,0))</f>
        <v/>
      </c>
      <c r="AB608" s="4" t="str">
        <f>IF($D608="","",IF(COUNTIF($C$1:C608,$D608)+COUNTIF($D$1:D607,$D608)=0,1,0))</f>
        <v/>
      </c>
      <c r="AC608" s="4" t="str">
        <f>IF(AA608=1,SUM($AA$2:AA608)-AA608+SUM($AB$2:AB608)-AB608+1,"")</f>
        <v/>
      </c>
      <c r="AD608" s="4" t="str">
        <f>IF(AB608=1,SUM($AA$2:AA608)+SUM($AB$2:AB608)-AB608+1,"")</f>
        <v/>
      </c>
      <c r="AE608" s="4" t="str">
        <f t="shared" si="56"/>
        <v/>
      </c>
      <c r="AF608" s="4" t="str">
        <f t="shared" si="57"/>
        <v/>
      </c>
      <c r="AG608" s="8">
        <f t="shared" si="58"/>
        <v>0</v>
      </c>
      <c r="AI608" s="8">
        <f t="shared" si="59"/>
        <v>0</v>
      </c>
    </row>
    <row r="609" spans="23:35" ht="15" customHeight="1" x14ac:dyDescent="0.25">
      <c r="W609" s="4" t="str">
        <f>IF($C609="","",SUMPRODUCT(($C$2:C609=C609)+($D$2:D609=C609)))</f>
        <v/>
      </c>
      <c r="X609" s="4" t="str">
        <f>IF($D609="","",SUMPRODUCT(($C$2:C609=D609)+($D$2:D609=D609)))</f>
        <v/>
      </c>
      <c r="Y609" s="4" t="str">
        <f t="shared" si="54"/>
        <v/>
      </c>
      <c r="Z609" s="4" t="str">
        <f t="shared" si="55"/>
        <v/>
      </c>
      <c r="AA609" s="4" t="str">
        <f>IF($C609="","",IF(COUNTIF($C$1:C608,$C609)+COUNTIF($D$1:D608,$C609)=0,1,0))</f>
        <v/>
      </c>
      <c r="AB609" s="4" t="str">
        <f>IF($D609="","",IF(COUNTIF($C$1:C609,$D609)+COUNTIF($D$1:D608,$D609)=0,1,0))</f>
        <v/>
      </c>
      <c r="AC609" s="4" t="str">
        <f>IF(AA609=1,SUM($AA$2:AA609)-AA609+SUM($AB$2:AB609)-AB609+1,"")</f>
        <v/>
      </c>
      <c r="AD609" s="4" t="str">
        <f>IF(AB609=1,SUM($AA$2:AA609)+SUM($AB$2:AB609)-AB609+1,"")</f>
        <v/>
      </c>
      <c r="AE609" s="4" t="str">
        <f t="shared" si="56"/>
        <v/>
      </c>
      <c r="AF609" s="4" t="str">
        <f t="shared" si="57"/>
        <v/>
      </c>
      <c r="AG609" s="8">
        <f t="shared" si="58"/>
        <v>0</v>
      </c>
      <c r="AI609" s="8">
        <f t="shared" si="59"/>
        <v>0</v>
      </c>
    </row>
    <row r="610" spans="23:35" ht="15" customHeight="1" x14ac:dyDescent="0.25">
      <c r="W610" s="4" t="str">
        <f>IF($C610="","",SUMPRODUCT(($C$2:C610=C610)+($D$2:D610=C610)))</f>
        <v/>
      </c>
      <c r="X610" s="4" t="str">
        <f>IF($D610="","",SUMPRODUCT(($C$2:C610=D610)+($D$2:D610=D610)))</f>
        <v/>
      </c>
      <c r="Y610" s="4" t="str">
        <f t="shared" si="54"/>
        <v/>
      </c>
      <c r="Z610" s="4" t="str">
        <f t="shared" si="55"/>
        <v/>
      </c>
      <c r="AA610" s="4" t="str">
        <f>IF($C610="","",IF(COUNTIF($C$1:C609,$C610)+COUNTIF($D$1:D609,$C610)=0,1,0))</f>
        <v/>
      </c>
      <c r="AB610" s="4" t="str">
        <f>IF($D610="","",IF(COUNTIF($C$1:C610,$D610)+COUNTIF($D$1:D609,$D610)=0,1,0))</f>
        <v/>
      </c>
      <c r="AC610" s="4" t="str">
        <f>IF(AA610=1,SUM($AA$2:AA610)-AA610+SUM($AB$2:AB610)-AB610+1,"")</f>
        <v/>
      </c>
      <c r="AD610" s="4" t="str">
        <f>IF(AB610=1,SUM($AA$2:AA610)+SUM($AB$2:AB610)-AB610+1,"")</f>
        <v/>
      </c>
      <c r="AE610" s="4" t="str">
        <f t="shared" si="56"/>
        <v/>
      </c>
      <c r="AF610" s="4" t="str">
        <f t="shared" si="57"/>
        <v/>
      </c>
      <c r="AG610" s="8">
        <f t="shared" si="58"/>
        <v>0</v>
      </c>
      <c r="AI610" s="8">
        <f t="shared" si="59"/>
        <v>0</v>
      </c>
    </row>
    <row r="611" spans="23:35" ht="15" customHeight="1" x14ac:dyDescent="0.25">
      <c r="W611" s="4" t="str">
        <f>IF($C611="","",SUMPRODUCT(($C$2:C611=C611)+($D$2:D611=C611)))</f>
        <v/>
      </c>
      <c r="X611" s="4" t="str">
        <f>IF($D611="","",SUMPRODUCT(($C$2:C611=D611)+($D$2:D611=D611)))</f>
        <v/>
      </c>
      <c r="Y611" s="4" t="str">
        <f t="shared" si="54"/>
        <v/>
      </c>
      <c r="Z611" s="4" t="str">
        <f t="shared" si="55"/>
        <v/>
      </c>
      <c r="AA611" s="4" t="str">
        <f>IF($C611="","",IF(COUNTIF($C$1:C610,$C611)+COUNTIF($D$1:D610,$C611)=0,1,0))</f>
        <v/>
      </c>
      <c r="AB611" s="4" t="str">
        <f>IF($D611="","",IF(COUNTIF($C$1:C611,$D611)+COUNTIF($D$1:D610,$D611)=0,1,0))</f>
        <v/>
      </c>
      <c r="AC611" s="4" t="str">
        <f>IF(AA611=1,SUM($AA$2:AA611)-AA611+SUM($AB$2:AB611)-AB611+1,"")</f>
        <v/>
      </c>
      <c r="AD611" s="4" t="str">
        <f>IF(AB611=1,SUM($AA$2:AA611)+SUM($AB$2:AB611)-AB611+1,"")</f>
        <v/>
      </c>
      <c r="AE611" s="4" t="str">
        <f t="shared" si="56"/>
        <v/>
      </c>
      <c r="AF611" s="4" t="str">
        <f t="shared" si="57"/>
        <v/>
      </c>
      <c r="AG611" s="8">
        <f t="shared" si="58"/>
        <v>0</v>
      </c>
      <c r="AI611" s="8">
        <f t="shared" si="59"/>
        <v>0</v>
      </c>
    </row>
    <row r="612" spans="23:35" ht="15" customHeight="1" x14ac:dyDescent="0.25">
      <c r="W612" s="4" t="str">
        <f>IF($C612="","",SUMPRODUCT(($C$2:C612=C612)+($D$2:D612=C612)))</f>
        <v/>
      </c>
      <c r="X612" s="4" t="str">
        <f>IF($D612="","",SUMPRODUCT(($C$2:C612=D612)+($D$2:D612=D612)))</f>
        <v/>
      </c>
      <c r="Y612" s="4" t="str">
        <f t="shared" si="54"/>
        <v/>
      </c>
      <c r="Z612" s="4" t="str">
        <f t="shared" si="55"/>
        <v/>
      </c>
      <c r="AA612" s="4" t="str">
        <f>IF($C612="","",IF(COUNTIF($C$1:C611,$C612)+COUNTIF($D$1:D611,$C612)=0,1,0))</f>
        <v/>
      </c>
      <c r="AB612" s="4" t="str">
        <f>IF($D612="","",IF(COUNTIF($C$1:C612,$D612)+COUNTIF($D$1:D611,$D612)=0,1,0))</f>
        <v/>
      </c>
      <c r="AC612" s="4" t="str">
        <f>IF(AA612=1,SUM($AA$2:AA612)-AA612+SUM($AB$2:AB612)-AB612+1,"")</f>
        <v/>
      </c>
      <c r="AD612" s="4" t="str">
        <f>IF(AB612=1,SUM($AA$2:AA612)+SUM($AB$2:AB612)-AB612+1,"")</f>
        <v/>
      </c>
      <c r="AE612" s="4" t="str">
        <f t="shared" si="56"/>
        <v/>
      </c>
      <c r="AF612" s="4" t="str">
        <f t="shared" si="57"/>
        <v/>
      </c>
      <c r="AG612" s="8">
        <f t="shared" si="58"/>
        <v>0</v>
      </c>
      <c r="AI612" s="8">
        <f t="shared" si="59"/>
        <v>0</v>
      </c>
    </row>
    <row r="613" spans="23:35" ht="15" customHeight="1" x14ac:dyDescent="0.25">
      <c r="W613" s="4" t="str">
        <f>IF($C613="","",SUMPRODUCT(($C$2:C613=C613)+($D$2:D613=C613)))</f>
        <v/>
      </c>
      <c r="X613" s="4" t="str">
        <f>IF($D613="","",SUMPRODUCT(($C$2:C613=D613)+($D$2:D613=D613)))</f>
        <v/>
      </c>
      <c r="Y613" s="4" t="str">
        <f t="shared" si="54"/>
        <v/>
      </c>
      <c r="Z613" s="4" t="str">
        <f t="shared" si="55"/>
        <v/>
      </c>
      <c r="AA613" s="4" t="str">
        <f>IF($C613="","",IF(COUNTIF($C$1:C612,$C613)+COUNTIF($D$1:D612,$C613)=0,1,0))</f>
        <v/>
      </c>
      <c r="AB613" s="4" t="str">
        <f>IF($D613="","",IF(COUNTIF($C$1:C613,$D613)+COUNTIF($D$1:D612,$D613)=0,1,0))</f>
        <v/>
      </c>
      <c r="AC613" s="4" t="str">
        <f>IF(AA613=1,SUM($AA$2:AA613)-AA613+SUM($AB$2:AB613)-AB613+1,"")</f>
        <v/>
      </c>
      <c r="AD613" s="4" t="str">
        <f>IF(AB613=1,SUM($AA$2:AA613)+SUM($AB$2:AB613)-AB613+1,"")</f>
        <v/>
      </c>
      <c r="AE613" s="4" t="str">
        <f t="shared" si="56"/>
        <v/>
      </c>
      <c r="AF613" s="4" t="str">
        <f t="shared" si="57"/>
        <v/>
      </c>
      <c r="AG613" s="8">
        <f t="shared" si="58"/>
        <v>0</v>
      </c>
      <c r="AI613" s="8">
        <f t="shared" si="59"/>
        <v>0</v>
      </c>
    </row>
    <row r="614" spans="23:35" ht="15" customHeight="1" x14ac:dyDescent="0.25">
      <c r="W614" s="4" t="str">
        <f>IF($C614="","",SUMPRODUCT(($C$2:C614=C614)+($D$2:D614=C614)))</f>
        <v/>
      </c>
      <c r="X614" s="4" t="str">
        <f>IF($D614="","",SUMPRODUCT(($C$2:C614=D614)+($D$2:D614=D614)))</f>
        <v/>
      </c>
      <c r="Y614" s="4" t="str">
        <f t="shared" si="54"/>
        <v/>
      </c>
      <c r="Z614" s="4" t="str">
        <f t="shared" si="55"/>
        <v/>
      </c>
      <c r="AA614" s="4" t="str">
        <f>IF($C614="","",IF(COUNTIF($C$1:C613,$C614)+COUNTIF($D$1:D613,$C614)=0,1,0))</f>
        <v/>
      </c>
      <c r="AB614" s="4" t="str">
        <f>IF($D614="","",IF(COUNTIF($C$1:C614,$D614)+COUNTIF($D$1:D613,$D614)=0,1,0))</f>
        <v/>
      </c>
      <c r="AC614" s="4" t="str">
        <f>IF(AA614=1,SUM($AA$2:AA614)-AA614+SUM($AB$2:AB614)-AB614+1,"")</f>
        <v/>
      </c>
      <c r="AD614" s="4" t="str">
        <f>IF(AB614=1,SUM($AA$2:AA614)+SUM($AB$2:AB614)-AB614+1,"")</f>
        <v/>
      </c>
      <c r="AE614" s="4" t="str">
        <f t="shared" si="56"/>
        <v/>
      </c>
      <c r="AF614" s="4" t="str">
        <f t="shared" si="57"/>
        <v/>
      </c>
      <c r="AG614" s="8">
        <f t="shared" si="58"/>
        <v>0</v>
      </c>
      <c r="AI614" s="8">
        <f t="shared" si="59"/>
        <v>0</v>
      </c>
    </row>
    <row r="615" spans="23:35" ht="15" customHeight="1" x14ac:dyDescent="0.25">
      <c r="W615" s="4" t="str">
        <f>IF($C615="","",SUMPRODUCT(($C$2:C615=C615)+($D$2:D615=C615)))</f>
        <v/>
      </c>
      <c r="X615" s="4" t="str">
        <f>IF($D615="","",SUMPRODUCT(($C$2:C615=D615)+($D$2:D615=D615)))</f>
        <v/>
      </c>
      <c r="Y615" s="4" t="str">
        <f t="shared" si="54"/>
        <v/>
      </c>
      <c r="Z615" s="4" t="str">
        <f t="shared" si="55"/>
        <v/>
      </c>
      <c r="AA615" s="4" t="str">
        <f>IF($C615="","",IF(COUNTIF($C$1:C614,$C615)+COUNTIF($D$1:D614,$C615)=0,1,0))</f>
        <v/>
      </c>
      <c r="AB615" s="4" t="str">
        <f>IF($D615="","",IF(COUNTIF($C$1:C615,$D615)+COUNTIF($D$1:D614,$D615)=0,1,0))</f>
        <v/>
      </c>
      <c r="AC615" s="4" t="str">
        <f>IF(AA615=1,SUM($AA$2:AA615)-AA615+SUM($AB$2:AB615)-AB615+1,"")</f>
        <v/>
      </c>
      <c r="AD615" s="4" t="str">
        <f>IF(AB615=1,SUM($AA$2:AA615)+SUM($AB$2:AB615)-AB615+1,"")</f>
        <v/>
      </c>
      <c r="AE615" s="4" t="str">
        <f t="shared" si="56"/>
        <v/>
      </c>
      <c r="AF615" s="4" t="str">
        <f t="shared" si="57"/>
        <v/>
      </c>
      <c r="AG615" s="8">
        <f t="shared" si="58"/>
        <v>0</v>
      </c>
      <c r="AI615" s="8">
        <f t="shared" si="59"/>
        <v>0</v>
      </c>
    </row>
    <row r="616" spans="23:35" ht="15" customHeight="1" x14ac:dyDescent="0.25">
      <c r="W616" s="4" t="str">
        <f>IF($C616="","",SUMPRODUCT(($C$2:C616=C616)+($D$2:D616=C616)))</f>
        <v/>
      </c>
      <c r="X616" s="4" t="str">
        <f>IF($D616="","",SUMPRODUCT(($C$2:C616=D616)+($D$2:D616=D616)))</f>
        <v/>
      </c>
      <c r="Y616" s="4" t="str">
        <f t="shared" si="54"/>
        <v/>
      </c>
      <c r="Z616" s="4" t="str">
        <f t="shared" si="55"/>
        <v/>
      </c>
      <c r="AA616" s="4" t="str">
        <f>IF($C616="","",IF(COUNTIF($C$1:C615,$C616)+COUNTIF($D$1:D615,$C616)=0,1,0))</f>
        <v/>
      </c>
      <c r="AB616" s="4" t="str">
        <f>IF($D616="","",IF(COUNTIF($C$1:C616,$D616)+COUNTIF($D$1:D615,$D616)=0,1,0))</f>
        <v/>
      </c>
      <c r="AC616" s="4" t="str">
        <f>IF(AA616=1,SUM($AA$2:AA616)-AA616+SUM($AB$2:AB616)-AB616+1,"")</f>
        <v/>
      </c>
      <c r="AD616" s="4" t="str">
        <f>IF(AB616=1,SUM($AA$2:AA616)+SUM($AB$2:AB616)-AB616+1,"")</f>
        <v/>
      </c>
      <c r="AE616" s="4" t="str">
        <f t="shared" si="56"/>
        <v/>
      </c>
      <c r="AF616" s="4" t="str">
        <f t="shared" si="57"/>
        <v/>
      </c>
      <c r="AG616" s="8">
        <f t="shared" si="58"/>
        <v>0</v>
      </c>
      <c r="AI616" s="8">
        <f t="shared" si="59"/>
        <v>0</v>
      </c>
    </row>
    <row r="617" spans="23:35" ht="15" customHeight="1" x14ac:dyDescent="0.25">
      <c r="W617" s="4" t="str">
        <f>IF($C617="","",SUMPRODUCT(($C$2:C617=C617)+($D$2:D617=C617)))</f>
        <v/>
      </c>
      <c r="X617" s="4" t="str">
        <f>IF($D617="","",SUMPRODUCT(($C$2:C617=D617)+($D$2:D617=D617)))</f>
        <v/>
      </c>
      <c r="Y617" s="4" t="str">
        <f t="shared" si="54"/>
        <v/>
      </c>
      <c r="Z617" s="4" t="str">
        <f t="shared" si="55"/>
        <v/>
      </c>
      <c r="AA617" s="4" t="str">
        <f>IF($C617="","",IF(COUNTIF($C$1:C616,$C617)+COUNTIF($D$1:D616,$C617)=0,1,0))</f>
        <v/>
      </c>
      <c r="AB617" s="4" t="str">
        <f>IF($D617="","",IF(COUNTIF($C$1:C617,$D617)+COUNTIF($D$1:D616,$D617)=0,1,0))</f>
        <v/>
      </c>
      <c r="AC617" s="4" t="str">
        <f>IF(AA617=1,SUM($AA$2:AA617)-AA617+SUM($AB$2:AB617)-AB617+1,"")</f>
        <v/>
      </c>
      <c r="AD617" s="4" t="str">
        <f>IF(AB617=1,SUM($AA$2:AA617)+SUM($AB$2:AB617)-AB617+1,"")</f>
        <v/>
      </c>
      <c r="AE617" s="4" t="str">
        <f t="shared" si="56"/>
        <v/>
      </c>
      <c r="AF617" s="4" t="str">
        <f t="shared" si="57"/>
        <v/>
      </c>
      <c r="AG617" s="8">
        <f t="shared" si="58"/>
        <v>0</v>
      </c>
      <c r="AI617" s="8">
        <f t="shared" si="59"/>
        <v>0</v>
      </c>
    </row>
    <row r="618" spans="23:35" ht="15" customHeight="1" x14ac:dyDescent="0.25">
      <c r="W618" s="4" t="str">
        <f>IF($C618="","",SUMPRODUCT(($C$2:C618=C618)+($D$2:D618=C618)))</f>
        <v/>
      </c>
      <c r="X618" s="4" t="str">
        <f>IF($D618="","",SUMPRODUCT(($C$2:C618=D618)+($D$2:D618=D618)))</f>
        <v/>
      </c>
      <c r="Y618" s="4" t="str">
        <f t="shared" si="54"/>
        <v/>
      </c>
      <c r="Z618" s="4" t="str">
        <f t="shared" si="55"/>
        <v/>
      </c>
      <c r="AA618" s="4" t="str">
        <f>IF($C618="","",IF(COUNTIF($C$1:C617,$C618)+COUNTIF($D$1:D617,$C618)=0,1,0))</f>
        <v/>
      </c>
      <c r="AB618" s="4" t="str">
        <f>IF($D618="","",IF(COUNTIF($C$1:C618,$D618)+COUNTIF($D$1:D617,$D618)=0,1,0))</f>
        <v/>
      </c>
      <c r="AC618" s="4" t="str">
        <f>IF(AA618=1,SUM($AA$2:AA618)-AA618+SUM($AB$2:AB618)-AB618+1,"")</f>
        <v/>
      </c>
      <c r="AD618" s="4" t="str">
        <f>IF(AB618=1,SUM($AA$2:AA618)+SUM($AB$2:AB618)-AB618+1,"")</f>
        <v/>
      </c>
      <c r="AE618" s="4" t="str">
        <f t="shared" si="56"/>
        <v/>
      </c>
      <c r="AF618" s="4" t="str">
        <f t="shared" si="57"/>
        <v/>
      </c>
      <c r="AG618" s="8">
        <f t="shared" si="58"/>
        <v>0</v>
      </c>
      <c r="AI618" s="8">
        <f t="shared" si="59"/>
        <v>0</v>
      </c>
    </row>
    <row r="619" spans="23:35" ht="15" customHeight="1" x14ac:dyDescent="0.25">
      <c r="W619" s="4" t="str">
        <f>IF($C619="","",SUMPRODUCT(($C$2:C619=C619)+($D$2:D619=C619)))</f>
        <v/>
      </c>
      <c r="X619" s="4" t="str">
        <f>IF($D619="","",SUMPRODUCT(($C$2:C619=D619)+($D$2:D619=D619)))</f>
        <v/>
      </c>
      <c r="Y619" s="4" t="str">
        <f t="shared" si="54"/>
        <v/>
      </c>
      <c r="Z619" s="4" t="str">
        <f t="shared" si="55"/>
        <v/>
      </c>
      <c r="AA619" s="4" t="str">
        <f>IF($C619="","",IF(COUNTIF($C$1:C618,$C619)+COUNTIF($D$1:D618,$C619)=0,1,0))</f>
        <v/>
      </c>
      <c r="AB619" s="4" t="str">
        <f>IF($D619="","",IF(COUNTIF($C$1:C619,$D619)+COUNTIF($D$1:D618,$D619)=0,1,0))</f>
        <v/>
      </c>
      <c r="AC619" s="4" t="str">
        <f>IF(AA619=1,SUM($AA$2:AA619)-AA619+SUM($AB$2:AB619)-AB619+1,"")</f>
        <v/>
      </c>
      <c r="AD619" s="4" t="str">
        <f>IF(AB619=1,SUM($AA$2:AA619)+SUM($AB$2:AB619)-AB619+1,"")</f>
        <v/>
      </c>
      <c r="AE619" s="4" t="str">
        <f t="shared" si="56"/>
        <v/>
      </c>
      <c r="AF619" s="4" t="str">
        <f t="shared" si="57"/>
        <v/>
      </c>
      <c r="AG619" s="8">
        <f t="shared" si="58"/>
        <v>0</v>
      </c>
      <c r="AI619" s="8">
        <f t="shared" si="59"/>
        <v>0</v>
      </c>
    </row>
    <row r="620" spans="23:35" ht="15" customHeight="1" x14ac:dyDescent="0.25">
      <c r="W620" s="4" t="str">
        <f>IF($C620="","",SUMPRODUCT(($C$2:C620=C620)+($D$2:D620=C620)))</f>
        <v/>
      </c>
      <c r="X620" s="4" t="str">
        <f>IF($D620="","",SUMPRODUCT(($C$2:C620=D620)+($D$2:D620=D620)))</f>
        <v/>
      </c>
      <c r="Y620" s="4" t="str">
        <f t="shared" si="54"/>
        <v/>
      </c>
      <c r="Z620" s="4" t="str">
        <f t="shared" si="55"/>
        <v/>
      </c>
      <c r="AA620" s="4" t="str">
        <f>IF($C620="","",IF(COUNTIF($C$1:C619,$C620)+COUNTIF($D$1:D619,$C620)=0,1,0))</f>
        <v/>
      </c>
      <c r="AB620" s="4" t="str">
        <f>IF($D620="","",IF(COUNTIF($C$1:C620,$D620)+COUNTIF($D$1:D619,$D620)=0,1,0))</f>
        <v/>
      </c>
      <c r="AC620" s="4" t="str">
        <f>IF(AA620=1,SUM($AA$2:AA620)-AA620+SUM($AB$2:AB620)-AB620+1,"")</f>
        <v/>
      </c>
      <c r="AD620" s="4" t="str">
        <f>IF(AB620=1,SUM($AA$2:AA620)+SUM($AB$2:AB620)-AB620+1,"")</f>
        <v/>
      </c>
      <c r="AE620" s="4" t="str">
        <f t="shared" si="56"/>
        <v/>
      </c>
      <c r="AF620" s="4" t="str">
        <f t="shared" si="57"/>
        <v/>
      </c>
      <c r="AG620" s="8">
        <f t="shared" si="58"/>
        <v>0</v>
      </c>
      <c r="AI620" s="8">
        <f t="shared" si="59"/>
        <v>0</v>
      </c>
    </row>
    <row r="621" spans="23:35" ht="15" customHeight="1" x14ac:dyDescent="0.25">
      <c r="W621" s="4" t="str">
        <f>IF($C621="","",SUMPRODUCT(($C$2:C621=C621)+($D$2:D621=C621)))</f>
        <v/>
      </c>
      <c r="X621" s="4" t="str">
        <f>IF($D621="","",SUMPRODUCT(($C$2:C621=D621)+($D$2:D621=D621)))</f>
        <v/>
      </c>
      <c r="Y621" s="4" t="str">
        <f t="shared" si="54"/>
        <v/>
      </c>
      <c r="Z621" s="4" t="str">
        <f t="shared" si="55"/>
        <v/>
      </c>
      <c r="AA621" s="4" t="str">
        <f>IF($C621="","",IF(COUNTIF($C$1:C620,$C621)+COUNTIF($D$1:D620,$C621)=0,1,0))</f>
        <v/>
      </c>
      <c r="AB621" s="4" t="str">
        <f>IF($D621="","",IF(COUNTIF($C$1:C621,$D621)+COUNTIF($D$1:D620,$D621)=0,1,0))</f>
        <v/>
      </c>
      <c r="AC621" s="4" t="str">
        <f>IF(AA621=1,SUM($AA$2:AA621)-AA621+SUM($AB$2:AB621)-AB621+1,"")</f>
        <v/>
      </c>
      <c r="AD621" s="4" t="str">
        <f>IF(AB621=1,SUM($AA$2:AA621)+SUM($AB$2:AB621)-AB621+1,"")</f>
        <v/>
      </c>
      <c r="AE621" s="4" t="str">
        <f t="shared" si="56"/>
        <v/>
      </c>
      <c r="AF621" s="4" t="str">
        <f t="shared" si="57"/>
        <v/>
      </c>
      <c r="AG621" s="8">
        <f t="shared" si="58"/>
        <v>0</v>
      </c>
      <c r="AI621" s="8">
        <f t="shared" si="59"/>
        <v>0</v>
      </c>
    </row>
    <row r="622" spans="23:35" ht="15" customHeight="1" x14ac:dyDescent="0.25">
      <c r="W622" s="4" t="str">
        <f>IF($C622="","",SUMPRODUCT(($C$2:C622=C622)+($D$2:D622=C622)))</f>
        <v/>
      </c>
      <c r="X622" s="4" t="str">
        <f>IF($D622="","",SUMPRODUCT(($C$2:C622=D622)+($D$2:D622=D622)))</f>
        <v/>
      </c>
      <c r="Y622" s="4" t="str">
        <f t="shared" si="54"/>
        <v/>
      </c>
      <c r="Z622" s="4" t="str">
        <f t="shared" si="55"/>
        <v/>
      </c>
      <c r="AA622" s="4" t="str">
        <f>IF($C622="","",IF(COUNTIF($C$1:C621,$C622)+COUNTIF($D$1:D621,$C622)=0,1,0))</f>
        <v/>
      </c>
      <c r="AB622" s="4" t="str">
        <f>IF($D622="","",IF(COUNTIF($C$1:C622,$D622)+COUNTIF($D$1:D621,$D622)=0,1,0))</f>
        <v/>
      </c>
      <c r="AC622" s="4" t="str">
        <f>IF(AA622=1,SUM($AA$2:AA622)-AA622+SUM($AB$2:AB622)-AB622+1,"")</f>
        <v/>
      </c>
      <c r="AD622" s="4" t="str">
        <f>IF(AB622=1,SUM($AA$2:AA622)+SUM($AB$2:AB622)-AB622+1,"")</f>
        <v/>
      </c>
      <c r="AE622" s="4" t="str">
        <f t="shared" si="56"/>
        <v/>
      </c>
      <c r="AF622" s="4" t="str">
        <f t="shared" si="57"/>
        <v/>
      </c>
      <c r="AG622" s="8">
        <f t="shared" si="58"/>
        <v>0</v>
      </c>
      <c r="AI622" s="8">
        <f t="shared" si="59"/>
        <v>0</v>
      </c>
    </row>
    <row r="623" spans="23:35" ht="15" customHeight="1" x14ac:dyDescent="0.25">
      <c r="W623" s="4" t="str">
        <f>IF($C623="","",SUMPRODUCT(($C$2:C623=C623)+($D$2:D623=C623)))</f>
        <v/>
      </c>
      <c r="X623" s="4" t="str">
        <f>IF($D623="","",SUMPRODUCT(($C$2:C623=D623)+($D$2:D623=D623)))</f>
        <v/>
      </c>
      <c r="Y623" s="4" t="str">
        <f t="shared" si="54"/>
        <v/>
      </c>
      <c r="Z623" s="4" t="str">
        <f t="shared" si="55"/>
        <v/>
      </c>
      <c r="AA623" s="4" t="str">
        <f>IF($C623="","",IF(COUNTIF($C$1:C622,$C623)+COUNTIF($D$1:D622,$C623)=0,1,0))</f>
        <v/>
      </c>
      <c r="AB623" s="4" t="str">
        <f>IF($D623="","",IF(COUNTIF($C$1:C623,$D623)+COUNTIF($D$1:D622,$D623)=0,1,0))</f>
        <v/>
      </c>
      <c r="AC623" s="4" t="str">
        <f>IF(AA623=1,SUM($AA$2:AA623)-AA623+SUM($AB$2:AB623)-AB623+1,"")</f>
        <v/>
      </c>
      <c r="AD623" s="4" t="str">
        <f>IF(AB623=1,SUM($AA$2:AA623)+SUM($AB$2:AB623)-AB623+1,"")</f>
        <v/>
      </c>
      <c r="AE623" s="4" t="str">
        <f t="shared" si="56"/>
        <v/>
      </c>
      <c r="AF623" s="4" t="str">
        <f t="shared" si="57"/>
        <v/>
      </c>
      <c r="AG623" s="8">
        <f t="shared" si="58"/>
        <v>0</v>
      </c>
      <c r="AI623" s="8">
        <f t="shared" si="59"/>
        <v>0</v>
      </c>
    </row>
    <row r="624" spans="23:35" ht="15" customHeight="1" x14ac:dyDescent="0.25">
      <c r="W624" s="4" t="str">
        <f>IF($C624="","",SUMPRODUCT(($C$2:C624=C624)+($D$2:D624=C624)))</f>
        <v/>
      </c>
      <c r="X624" s="4" t="str">
        <f>IF($D624="","",SUMPRODUCT(($C$2:C624=D624)+($D$2:D624=D624)))</f>
        <v/>
      </c>
      <c r="Y624" s="4" t="str">
        <f t="shared" si="54"/>
        <v/>
      </c>
      <c r="Z624" s="4" t="str">
        <f t="shared" si="55"/>
        <v/>
      </c>
      <c r="AA624" s="4" t="str">
        <f>IF($C624="","",IF(COUNTIF($C$1:C623,$C624)+COUNTIF($D$1:D623,$C624)=0,1,0))</f>
        <v/>
      </c>
      <c r="AB624" s="4" t="str">
        <f>IF($D624="","",IF(COUNTIF($C$1:C624,$D624)+COUNTIF($D$1:D623,$D624)=0,1,0))</f>
        <v/>
      </c>
      <c r="AC624" s="4" t="str">
        <f>IF(AA624=1,SUM($AA$2:AA624)-AA624+SUM($AB$2:AB624)-AB624+1,"")</f>
        <v/>
      </c>
      <c r="AD624" s="4" t="str">
        <f>IF(AB624=1,SUM($AA$2:AA624)+SUM($AB$2:AB624)-AB624+1,"")</f>
        <v/>
      </c>
      <c r="AE624" s="4" t="str">
        <f t="shared" si="56"/>
        <v/>
      </c>
      <c r="AF624" s="4" t="str">
        <f t="shared" si="57"/>
        <v/>
      </c>
      <c r="AG624" s="8">
        <f t="shared" si="58"/>
        <v>0</v>
      </c>
      <c r="AI624" s="8">
        <f t="shared" si="59"/>
        <v>0</v>
      </c>
    </row>
    <row r="625" spans="23:35" ht="15" customHeight="1" x14ac:dyDescent="0.25">
      <c r="W625" s="4" t="str">
        <f>IF($C625="","",SUMPRODUCT(($C$2:C625=C625)+($D$2:D625=C625)))</f>
        <v/>
      </c>
      <c r="X625" s="4" t="str">
        <f>IF($D625="","",SUMPRODUCT(($C$2:C625=D625)+($D$2:D625=D625)))</f>
        <v/>
      </c>
      <c r="Y625" s="4" t="str">
        <f t="shared" si="54"/>
        <v/>
      </c>
      <c r="Z625" s="4" t="str">
        <f t="shared" si="55"/>
        <v/>
      </c>
      <c r="AA625" s="4" t="str">
        <f>IF($C625="","",IF(COUNTIF($C$1:C624,$C625)+COUNTIF($D$1:D624,$C625)=0,1,0))</f>
        <v/>
      </c>
      <c r="AB625" s="4" t="str">
        <f>IF($D625="","",IF(COUNTIF($C$1:C625,$D625)+COUNTIF($D$1:D624,$D625)=0,1,0))</f>
        <v/>
      </c>
      <c r="AC625" s="4" t="str">
        <f>IF(AA625=1,SUM($AA$2:AA625)-AA625+SUM($AB$2:AB625)-AB625+1,"")</f>
        <v/>
      </c>
      <c r="AD625" s="4" t="str">
        <f>IF(AB625=1,SUM($AA$2:AA625)+SUM($AB$2:AB625)-AB625+1,"")</f>
        <v/>
      </c>
      <c r="AE625" s="4" t="str">
        <f t="shared" si="56"/>
        <v/>
      </c>
      <c r="AF625" s="4" t="str">
        <f t="shared" si="57"/>
        <v/>
      </c>
      <c r="AG625" s="8">
        <f t="shared" si="58"/>
        <v>0</v>
      </c>
      <c r="AI625" s="8">
        <f t="shared" si="59"/>
        <v>0</v>
      </c>
    </row>
    <row r="626" spans="23:35" ht="15" customHeight="1" x14ac:dyDescent="0.25">
      <c r="W626" s="4" t="str">
        <f>IF($C626="","",SUMPRODUCT(($C$2:C626=C626)+($D$2:D626=C626)))</f>
        <v/>
      </c>
      <c r="X626" s="4" t="str">
        <f>IF($D626="","",SUMPRODUCT(($C$2:C626=D626)+($D$2:D626=D626)))</f>
        <v/>
      </c>
      <c r="Y626" s="4" t="str">
        <f t="shared" si="54"/>
        <v/>
      </c>
      <c r="Z626" s="4" t="str">
        <f t="shared" si="55"/>
        <v/>
      </c>
      <c r="AA626" s="4" t="str">
        <f>IF($C626="","",IF(COUNTIF($C$1:C625,$C626)+COUNTIF($D$1:D625,$C626)=0,1,0))</f>
        <v/>
      </c>
      <c r="AB626" s="4" t="str">
        <f>IF($D626="","",IF(COUNTIF($C$1:C626,$D626)+COUNTIF($D$1:D625,$D626)=0,1,0))</f>
        <v/>
      </c>
      <c r="AC626" s="4" t="str">
        <f>IF(AA626=1,SUM($AA$2:AA626)-AA626+SUM($AB$2:AB626)-AB626+1,"")</f>
        <v/>
      </c>
      <c r="AD626" s="4" t="str">
        <f>IF(AB626=1,SUM($AA$2:AA626)+SUM($AB$2:AB626)-AB626+1,"")</f>
        <v/>
      </c>
      <c r="AE626" s="4" t="str">
        <f t="shared" si="56"/>
        <v/>
      </c>
      <c r="AF626" s="4" t="str">
        <f t="shared" si="57"/>
        <v/>
      </c>
      <c r="AG626" s="8">
        <f t="shared" si="58"/>
        <v>0</v>
      </c>
      <c r="AI626" s="8">
        <f t="shared" si="59"/>
        <v>0</v>
      </c>
    </row>
    <row r="627" spans="23:35" ht="15" customHeight="1" x14ac:dyDescent="0.25">
      <c r="W627" s="4" t="str">
        <f>IF($C627="","",SUMPRODUCT(($C$2:C627=C627)+($D$2:D627=C627)))</f>
        <v/>
      </c>
      <c r="X627" s="4" t="str">
        <f>IF($D627="","",SUMPRODUCT(($C$2:C627=D627)+($D$2:D627=D627)))</f>
        <v/>
      </c>
      <c r="Y627" s="4" t="str">
        <f t="shared" si="54"/>
        <v/>
      </c>
      <c r="Z627" s="4" t="str">
        <f t="shared" si="55"/>
        <v/>
      </c>
      <c r="AA627" s="4" t="str">
        <f>IF($C627="","",IF(COUNTIF($C$1:C626,$C627)+COUNTIF($D$1:D626,$C627)=0,1,0))</f>
        <v/>
      </c>
      <c r="AB627" s="4" t="str">
        <f>IF($D627="","",IF(COUNTIF($C$1:C627,$D627)+COUNTIF($D$1:D626,$D627)=0,1,0))</f>
        <v/>
      </c>
      <c r="AC627" s="4" t="str">
        <f>IF(AA627=1,SUM($AA$2:AA627)-AA627+SUM($AB$2:AB627)-AB627+1,"")</f>
        <v/>
      </c>
      <c r="AD627" s="4" t="str">
        <f>IF(AB627=1,SUM($AA$2:AA627)+SUM($AB$2:AB627)-AB627+1,"")</f>
        <v/>
      </c>
      <c r="AE627" s="4" t="str">
        <f t="shared" si="56"/>
        <v/>
      </c>
      <c r="AF627" s="4" t="str">
        <f t="shared" si="57"/>
        <v/>
      </c>
      <c r="AG627" s="8">
        <f t="shared" si="58"/>
        <v>0</v>
      </c>
      <c r="AI627" s="8">
        <f t="shared" si="59"/>
        <v>0</v>
      </c>
    </row>
    <row r="628" spans="23:35" ht="15" customHeight="1" x14ac:dyDescent="0.25">
      <c r="W628" s="4" t="str">
        <f>IF($C628="","",SUMPRODUCT(($C$2:C628=C628)+($D$2:D628=C628)))</f>
        <v/>
      </c>
      <c r="X628" s="4" t="str">
        <f>IF($D628="","",SUMPRODUCT(($C$2:C628=D628)+($D$2:D628=D628)))</f>
        <v/>
      </c>
      <c r="Y628" s="4" t="str">
        <f t="shared" si="54"/>
        <v/>
      </c>
      <c r="Z628" s="4" t="str">
        <f t="shared" si="55"/>
        <v/>
      </c>
      <c r="AA628" s="4" t="str">
        <f>IF($C628="","",IF(COUNTIF($C$1:C627,$C628)+COUNTIF($D$1:D627,$C628)=0,1,0))</f>
        <v/>
      </c>
      <c r="AB628" s="4" t="str">
        <f>IF($D628="","",IF(COUNTIF($C$1:C628,$D628)+COUNTIF($D$1:D627,$D628)=0,1,0))</f>
        <v/>
      </c>
      <c r="AC628" s="4" t="str">
        <f>IF(AA628=1,SUM($AA$2:AA628)-AA628+SUM($AB$2:AB628)-AB628+1,"")</f>
        <v/>
      </c>
      <c r="AD628" s="4" t="str">
        <f>IF(AB628=1,SUM($AA$2:AA628)+SUM($AB$2:AB628)-AB628+1,"")</f>
        <v/>
      </c>
      <c r="AE628" s="4" t="str">
        <f t="shared" si="56"/>
        <v/>
      </c>
      <c r="AF628" s="4" t="str">
        <f t="shared" si="57"/>
        <v/>
      </c>
      <c r="AG628" s="8">
        <f t="shared" si="58"/>
        <v>0</v>
      </c>
      <c r="AI628" s="8">
        <f t="shared" si="59"/>
        <v>0</v>
      </c>
    </row>
    <row r="629" spans="23:35" ht="15" customHeight="1" x14ac:dyDescent="0.25">
      <c r="W629" s="4" t="str">
        <f>IF($C629="","",SUMPRODUCT(($C$2:C629=C629)+($D$2:D629=C629)))</f>
        <v/>
      </c>
      <c r="X629" s="4" t="str">
        <f>IF($D629="","",SUMPRODUCT(($C$2:C629=D629)+($D$2:D629=D629)))</f>
        <v/>
      </c>
      <c r="Y629" s="4" t="str">
        <f t="shared" si="54"/>
        <v/>
      </c>
      <c r="Z629" s="4" t="str">
        <f t="shared" si="55"/>
        <v/>
      </c>
      <c r="AA629" s="4" t="str">
        <f>IF($C629="","",IF(COUNTIF($C$1:C628,$C629)+COUNTIF($D$1:D628,$C629)=0,1,0))</f>
        <v/>
      </c>
      <c r="AB629" s="4" t="str">
        <f>IF($D629="","",IF(COUNTIF($C$1:C629,$D629)+COUNTIF($D$1:D628,$D629)=0,1,0))</f>
        <v/>
      </c>
      <c r="AC629" s="4" t="str">
        <f>IF(AA629=1,SUM($AA$2:AA629)-AA629+SUM($AB$2:AB629)-AB629+1,"")</f>
        <v/>
      </c>
      <c r="AD629" s="4" t="str">
        <f>IF(AB629=1,SUM($AA$2:AA629)+SUM($AB$2:AB629)-AB629+1,"")</f>
        <v/>
      </c>
      <c r="AE629" s="4" t="str">
        <f t="shared" si="56"/>
        <v/>
      </c>
      <c r="AF629" s="4" t="str">
        <f t="shared" si="57"/>
        <v/>
      </c>
      <c r="AG629" s="8">
        <f t="shared" si="58"/>
        <v>0</v>
      </c>
      <c r="AI629" s="8">
        <f t="shared" si="59"/>
        <v>0</v>
      </c>
    </row>
    <row r="630" spans="23:35" ht="15" customHeight="1" x14ac:dyDescent="0.25">
      <c r="W630" s="4" t="str">
        <f>IF($C630="","",SUMPRODUCT(($C$2:C630=C630)+($D$2:D630=C630)))</f>
        <v/>
      </c>
      <c r="X630" s="4" t="str">
        <f>IF($D630="","",SUMPRODUCT(($C$2:C630=D630)+($D$2:D630=D630)))</f>
        <v/>
      </c>
      <c r="Y630" s="4" t="str">
        <f t="shared" si="54"/>
        <v/>
      </c>
      <c r="Z630" s="4" t="str">
        <f t="shared" si="55"/>
        <v/>
      </c>
      <c r="AA630" s="4" t="str">
        <f>IF($C630="","",IF(COUNTIF($C$1:C629,$C630)+COUNTIF($D$1:D629,$C630)=0,1,0))</f>
        <v/>
      </c>
      <c r="AB630" s="4" t="str">
        <f>IF($D630="","",IF(COUNTIF($C$1:C630,$D630)+COUNTIF($D$1:D629,$D630)=0,1,0))</f>
        <v/>
      </c>
      <c r="AC630" s="4" t="str">
        <f>IF(AA630=1,SUM($AA$2:AA630)-AA630+SUM($AB$2:AB630)-AB630+1,"")</f>
        <v/>
      </c>
      <c r="AD630" s="4" t="str">
        <f>IF(AB630=1,SUM($AA$2:AA630)+SUM($AB$2:AB630)-AB630+1,"")</f>
        <v/>
      </c>
      <c r="AE630" s="4" t="str">
        <f t="shared" si="56"/>
        <v/>
      </c>
      <c r="AF630" s="4" t="str">
        <f t="shared" si="57"/>
        <v/>
      </c>
      <c r="AG630" s="8">
        <f t="shared" si="58"/>
        <v>0</v>
      </c>
      <c r="AI630" s="8">
        <f t="shared" si="59"/>
        <v>0</v>
      </c>
    </row>
    <row r="631" spans="23:35" ht="15" customHeight="1" x14ac:dyDescent="0.25">
      <c r="W631" s="4" t="str">
        <f>IF($C631="","",SUMPRODUCT(($C$2:C631=C631)+($D$2:D631=C631)))</f>
        <v/>
      </c>
      <c r="X631" s="4" t="str">
        <f>IF($D631="","",SUMPRODUCT(($C$2:C631=D631)+($D$2:D631=D631)))</f>
        <v/>
      </c>
      <c r="Y631" s="4" t="str">
        <f t="shared" si="54"/>
        <v/>
      </c>
      <c r="Z631" s="4" t="str">
        <f t="shared" si="55"/>
        <v/>
      </c>
      <c r="AA631" s="4" t="str">
        <f>IF($C631="","",IF(COUNTIF($C$1:C630,$C631)+COUNTIF($D$1:D630,$C631)=0,1,0))</f>
        <v/>
      </c>
      <c r="AB631" s="4" t="str">
        <f>IF($D631="","",IF(COUNTIF($C$1:C631,$D631)+COUNTIF($D$1:D630,$D631)=0,1,0))</f>
        <v/>
      </c>
      <c r="AC631" s="4" t="str">
        <f>IF(AA631=1,SUM($AA$2:AA631)-AA631+SUM($AB$2:AB631)-AB631+1,"")</f>
        <v/>
      </c>
      <c r="AD631" s="4" t="str">
        <f>IF(AB631=1,SUM($AA$2:AA631)+SUM($AB$2:AB631)-AB631+1,"")</f>
        <v/>
      </c>
      <c r="AE631" s="4" t="str">
        <f t="shared" si="56"/>
        <v/>
      </c>
      <c r="AF631" s="4" t="str">
        <f t="shared" si="57"/>
        <v/>
      </c>
      <c r="AG631" s="8">
        <f t="shared" si="58"/>
        <v>0</v>
      </c>
      <c r="AI631" s="8">
        <f t="shared" si="59"/>
        <v>0</v>
      </c>
    </row>
    <row r="632" spans="23:35" ht="15" customHeight="1" x14ac:dyDescent="0.25">
      <c r="W632" s="4" t="str">
        <f>IF($C632="","",SUMPRODUCT(($C$2:C632=C632)+($D$2:D632=C632)))</f>
        <v/>
      </c>
      <c r="X632" s="4" t="str">
        <f>IF($D632="","",SUMPRODUCT(($C$2:C632=D632)+($D$2:D632=D632)))</f>
        <v/>
      </c>
      <c r="Y632" s="4" t="str">
        <f t="shared" si="54"/>
        <v/>
      </c>
      <c r="Z632" s="4" t="str">
        <f t="shared" si="55"/>
        <v/>
      </c>
      <c r="AA632" s="4" t="str">
        <f>IF($C632="","",IF(COUNTIF($C$1:C631,$C632)+COUNTIF($D$1:D631,$C632)=0,1,0))</f>
        <v/>
      </c>
      <c r="AB632" s="4" t="str">
        <f>IF($D632="","",IF(COUNTIF($C$1:C632,$D632)+COUNTIF($D$1:D631,$D632)=0,1,0))</f>
        <v/>
      </c>
      <c r="AC632" s="4" t="str">
        <f>IF(AA632=1,SUM($AA$2:AA632)-AA632+SUM($AB$2:AB632)-AB632+1,"")</f>
        <v/>
      </c>
      <c r="AD632" s="4" t="str">
        <f>IF(AB632=1,SUM($AA$2:AA632)+SUM($AB$2:AB632)-AB632+1,"")</f>
        <v/>
      </c>
      <c r="AE632" s="4" t="str">
        <f t="shared" si="56"/>
        <v/>
      </c>
      <c r="AF632" s="4" t="str">
        <f t="shared" si="57"/>
        <v/>
      </c>
      <c r="AG632" s="8">
        <f t="shared" si="58"/>
        <v>0</v>
      </c>
      <c r="AI632" s="8">
        <f t="shared" si="59"/>
        <v>0</v>
      </c>
    </row>
    <row r="633" spans="23:35" ht="15" customHeight="1" x14ac:dyDescent="0.25">
      <c r="W633" s="4" t="str">
        <f>IF($C633="","",SUMPRODUCT(($C$2:C633=C633)+($D$2:D633=C633)))</f>
        <v/>
      </c>
      <c r="X633" s="4" t="str">
        <f>IF($D633="","",SUMPRODUCT(($C$2:C633=D633)+($D$2:D633=D633)))</f>
        <v/>
      </c>
      <c r="Y633" s="4" t="str">
        <f t="shared" si="54"/>
        <v/>
      </c>
      <c r="Z633" s="4" t="str">
        <f t="shared" si="55"/>
        <v/>
      </c>
      <c r="AA633" s="4" t="str">
        <f>IF($C633="","",IF(COUNTIF($C$1:C632,$C633)+COUNTIF($D$1:D632,$C633)=0,1,0))</f>
        <v/>
      </c>
      <c r="AB633" s="4" t="str">
        <f>IF($D633="","",IF(COUNTIF($C$1:C633,$D633)+COUNTIF($D$1:D632,$D633)=0,1,0))</f>
        <v/>
      </c>
      <c r="AC633" s="4" t="str">
        <f>IF(AA633=1,SUM($AA$2:AA633)-AA633+SUM($AB$2:AB633)-AB633+1,"")</f>
        <v/>
      </c>
      <c r="AD633" s="4" t="str">
        <f>IF(AB633=1,SUM($AA$2:AA633)+SUM($AB$2:AB633)-AB633+1,"")</f>
        <v/>
      </c>
      <c r="AE633" s="4" t="str">
        <f t="shared" si="56"/>
        <v/>
      </c>
      <c r="AF633" s="4" t="str">
        <f t="shared" si="57"/>
        <v/>
      </c>
      <c r="AG633" s="8">
        <f t="shared" si="58"/>
        <v>0</v>
      </c>
      <c r="AI633" s="8">
        <f t="shared" si="59"/>
        <v>0</v>
      </c>
    </row>
    <row r="634" spans="23:35" ht="15" customHeight="1" x14ac:dyDescent="0.25">
      <c r="W634" s="4" t="str">
        <f>IF($C634="","",SUMPRODUCT(($C$2:C634=C634)+($D$2:D634=C634)))</f>
        <v/>
      </c>
      <c r="X634" s="4" t="str">
        <f>IF($D634="","",SUMPRODUCT(($C$2:C634=D634)+($D$2:D634=D634)))</f>
        <v/>
      </c>
      <c r="Y634" s="4" t="str">
        <f t="shared" si="54"/>
        <v/>
      </c>
      <c r="Z634" s="4" t="str">
        <f t="shared" si="55"/>
        <v/>
      </c>
      <c r="AA634" s="4" t="str">
        <f>IF($C634="","",IF(COUNTIF($C$1:C633,$C634)+COUNTIF($D$1:D633,$C634)=0,1,0))</f>
        <v/>
      </c>
      <c r="AB634" s="4" t="str">
        <f>IF($D634="","",IF(COUNTIF($C$1:C634,$D634)+COUNTIF($D$1:D633,$D634)=0,1,0))</f>
        <v/>
      </c>
      <c r="AC634" s="4" t="str">
        <f>IF(AA634=1,SUM($AA$2:AA634)-AA634+SUM($AB$2:AB634)-AB634+1,"")</f>
        <v/>
      </c>
      <c r="AD634" s="4" t="str">
        <f>IF(AB634=1,SUM($AA$2:AA634)+SUM($AB$2:AB634)-AB634+1,"")</f>
        <v/>
      </c>
      <c r="AE634" s="4" t="str">
        <f t="shared" si="56"/>
        <v/>
      </c>
      <c r="AF634" s="4" t="str">
        <f t="shared" si="57"/>
        <v/>
      </c>
      <c r="AG634" s="8">
        <f t="shared" si="58"/>
        <v>0</v>
      </c>
      <c r="AI634" s="8">
        <f t="shared" si="59"/>
        <v>0</v>
      </c>
    </row>
    <row r="635" spans="23:35" ht="15" customHeight="1" x14ac:dyDescent="0.25">
      <c r="W635" s="4" t="str">
        <f>IF($C635="","",SUMPRODUCT(($C$2:C635=C635)+($D$2:D635=C635)))</f>
        <v/>
      </c>
      <c r="X635" s="4" t="str">
        <f>IF($D635="","",SUMPRODUCT(($C$2:C635=D635)+($D$2:D635=D635)))</f>
        <v/>
      </c>
      <c r="Y635" s="4" t="str">
        <f t="shared" si="54"/>
        <v/>
      </c>
      <c r="Z635" s="4" t="str">
        <f t="shared" si="55"/>
        <v/>
      </c>
      <c r="AA635" s="4" t="str">
        <f>IF($C635="","",IF(COUNTIF($C$1:C634,$C635)+COUNTIF($D$1:D634,$C635)=0,1,0))</f>
        <v/>
      </c>
      <c r="AB635" s="4" t="str">
        <f>IF($D635="","",IF(COUNTIF($C$1:C635,$D635)+COUNTIF($D$1:D634,$D635)=0,1,0))</f>
        <v/>
      </c>
      <c r="AC635" s="4" t="str">
        <f>IF(AA635=1,SUM($AA$2:AA635)-AA635+SUM($AB$2:AB635)-AB635+1,"")</f>
        <v/>
      </c>
      <c r="AD635" s="4" t="str">
        <f>IF(AB635=1,SUM($AA$2:AA635)+SUM($AB$2:AB635)-AB635+1,"")</f>
        <v/>
      </c>
      <c r="AE635" s="4" t="str">
        <f t="shared" si="56"/>
        <v/>
      </c>
      <c r="AF635" s="4" t="str">
        <f t="shared" si="57"/>
        <v/>
      </c>
      <c r="AG635" s="8">
        <f t="shared" si="58"/>
        <v>0</v>
      </c>
      <c r="AI635" s="8">
        <f t="shared" si="59"/>
        <v>0</v>
      </c>
    </row>
    <row r="636" spans="23:35" ht="15" customHeight="1" x14ac:dyDescent="0.25">
      <c r="W636" s="4" t="str">
        <f>IF($C636="","",SUMPRODUCT(($C$2:C636=C636)+($D$2:D636=C636)))</f>
        <v/>
      </c>
      <c r="X636" s="4" t="str">
        <f>IF($D636="","",SUMPRODUCT(($C$2:C636=D636)+($D$2:D636=D636)))</f>
        <v/>
      </c>
      <c r="Y636" s="4" t="str">
        <f t="shared" si="54"/>
        <v/>
      </c>
      <c r="Z636" s="4" t="str">
        <f t="shared" si="55"/>
        <v/>
      </c>
      <c r="AA636" s="4" t="str">
        <f>IF($C636="","",IF(COUNTIF($C$1:C635,$C636)+COUNTIF($D$1:D635,$C636)=0,1,0))</f>
        <v/>
      </c>
      <c r="AB636" s="4" t="str">
        <f>IF($D636="","",IF(COUNTIF($C$1:C636,$D636)+COUNTIF($D$1:D635,$D636)=0,1,0))</f>
        <v/>
      </c>
      <c r="AC636" s="4" t="str">
        <f>IF(AA636=1,SUM($AA$2:AA636)-AA636+SUM($AB$2:AB636)-AB636+1,"")</f>
        <v/>
      </c>
      <c r="AD636" s="4" t="str">
        <f>IF(AB636=1,SUM($AA$2:AA636)+SUM($AB$2:AB636)-AB636+1,"")</f>
        <v/>
      </c>
      <c r="AE636" s="4" t="str">
        <f t="shared" si="56"/>
        <v/>
      </c>
      <c r="AF636" s="4" t="str">
        <f t="shared" si="57"/>
        <v/>
      </c>
      <c r="AG636" s="8">
        <f t="shared" si="58"/>
        <v>0</v>
      </c>
      <c r="AI636" s="8">
        <f t="shared" si="59"/>
        <v>0</v>
      </c>
    </row>
    <row r="637" spans="23:35" ht="15" customHeight="1" x14ac:dyDescent="0.25">
      <c r="W637" s="4" t="str">
        <f>IF($C637="","",SUMPRODUCT(($C$2:C637=C637)+($D$2:D637=C637)))</f>
        <v/>
      </c>
      <c r="X637" s="4" t="str">
        <f>IF($D637="","",SUMPRODUCT(($C$2:C637=D637)+($D$2:D637=D637)))</f>
        <v/>
      </c>
      <c r="Y637" s="4" t="str">
        <f t="shared" si="54"/>
        <v/>
      </c>
      <c r="Z637" s="4" t="str">
        <f t="shared" si="55"/>
        <v/>
      </c>
      <c r="AA637" s="4" t="str">
        <f>IF($C637="","",IF(COUNTIF($C$1:C636,$C637)+COUNTIF($D$1:D636,$C637)=0,1,0))</f>
        <v/>
      </c>
      <c r="AB637" s="4" t="str">
        <f>IF($D637="","",IF(COUNTIF($C$1:C637,$D637)+COUNTIF($D$1:D636,$D637)=0,1,0))</f>
        <v/>
      </c>
      <c r="AC637" s="4" t="str">
        <f>IF(AA637=1,SUM($AA$2:AA637)-AA637+SUM($AB$2:AB637)-AB637+1,"")</f>
        <v/>
      </c>
      <c r="AD637" s="4" t="str">
        <f>IF(AB637=1,SUM($AA$2:AA637)+SUM($AB$2:AB637)-AB637+1,"")</f>
        <v/>
      </c>
      <c r="AE637" s="4" t="str">
        <f t="shared" si="56"/>
        <v/>
      </c>
      <c r="AF637" s="4" t="str">
        <f t="shared" si="57"/>
        <v/>
      </c>
      <c r="AG637" s="8">
        <f t="shared" si="58"/>
        <v>0</v>
      </c>
      <c r="AI637" s="8">
        <f t="shared" si="59"/>
        <v>0</v>
      </c>
    </row>
    <row r="638" spans="23:35" ht="15" customHeight="1" x14ac:dyDescent="0.25">
      <c r="W638" s="4" t="str">
        <f>IF($C638="","",SUMPRODUCT(($C$2:C638=C638)+($D$2:D638=C638)))</f>
        <v/>
      </c>
      <c r="X638" s="4" t="str">
        <f>IF($D638="","",SUMPRODUCT(($C$2:C638=D638)+($D$2:D638=D638)))</f>
        <v/>
      </c>
      <c r="Y638" s="4" t="str">
        <f t="shared" si="54"/>
        <v/>
      </c>
      <c r="Z638" s="4" t="str">
        <f t="shared" si="55"/>
        <v/>
      </c>
      <c r="AA638" s="4" t="str">
        <f>IF($C638="","",IF(COUNTIF($C$1:C637,$C638)+COUNTIF($D$1:D637,$C638)=0,1,0))</f>
        <v/>
      </c>
      <c r="AB638" s="4" t="str">
        <f>IF($D638="","",IF(COUNTIF($C$1:C638,$D638)+COUNTIF($D$1:D637,$D638)=0,1,0))</f>
        <v/>
      </c>
      <c r="AC638" s="4" t="str">
        <f>IF(AA638=1,SUM($AA$2:AA638)-AA638+SUM($AB$2:AB638)-AB638+1,"")</f>
        <v/>
      </c>
      <c r="AD638" s="4" t="str">
        <f>IF(AB638=1,SUM($AA$2:AA638)+SUM($AB$2:AB638)-AB638+1,"")</f>
        <v/>
      </c>
      <c r="AE638" s="4" t="str">
        <f t="shared" si="56"/>
        <v/>
      </c>
      <c r="AF638" s="4" t="str">
        <f t="shared" si="57"/>
        <v/>
      </c>
      <c r="AG638" s="8">
        <f t="shared" si="58"/>
        <v>0</v>
      </c>
      <c r="AI638" s="8">
        <f t="shared" si="59"/>
        <v>0</v>
      </c>
    </row>
    <row r="639" spans="23:35" ht="15" customHeight="1" x14ac:dyDescent="0.25">
      <c r="W639" s="4" t="str">
        <f>IF($C639="","",SUMPRODUCT(($C$2:C639=C639)+($D$2:D639=C639)))</f>
        <v/>
      </c>
      <c r="X639" s="4" t="str">
        <f>IF($D639="","",SUMPRODUCT(($C$2:C639=D639)+($D$2:D639=D639)))</f>
        <v/>
      </c>
      <c r="Y639" s="4" t="str">
        <f t="shared" si="54"/>
        <v/>
      </c>
      <c r="Z639" s="4" t="str">
        <f t="shared" si="55"/>
        <v/>
      </c>
      <c r="AA639" s="4" t="str">
        <f>IF($C639="","",IF(COUNTIF($C$1:C638,$C639)+COUNTIF($D$1:D638,$C639)=0,1,0))</f>
        <v/>
      </c>
      <c r="AB639" s="4" t="str">
        <f>IF($D639="","",IF(COUNTIF($C$1:C639,$D639)+COUNTIF($D$1:D638,$D639)=0,1,0))</f>
        <v/>
      </c>
      <c r="AC639" s="4" t="str">
        <f>IF(AA639=1,SUM($AA$2:AA639)-AA639+SUM($AB$2:AB639)-AB639+1,"")</f>
        <v/>
      </c>
      <c r="AD639" s="4" t="str">
        <f>IF(AB639=1,SUM($AA$2:AA639)+SUM($AB$2:AB639)-AB639+1,"")</f>
        <v/>
      </c>
      <c r="AE639" s="4" t="str">
        <f t="shared" si="56"/>
        <v/>
      </c>
      <c r="AF639" s="4" t="str">
        <f t="shared" si="57"/>
        <v/>
      </c>
      <c r="AG639" s="8">
        <f t="shared" si="58"/>
        <v>0</v>
      </c>
      <c r="AI639" s="8">
        <f t="shared" si="59"/>
        <v>0</v>
      </c>
    </row>
    <row r="640" spans="23:35" ht="15" customHeight="1" x14ac:dyDescent="0.25">
      <c r="W640" s="4" t="str">
        <f>IF($C640="","",SUMPRODUCT(($C$2:C640=C640)+($D$2:D640=C640)))</f>
        <v/>
      </c>
      <c r="X640" s="4" t="str">
        <f>IF($D640="","",SUMPRODUCT(($C$2:C640=D640)+($D$2:D640=D640)))</f>
        <v/>
      </c>
      <c r="Y640" s="4" t="str">
        <f t="shared" si="54"/>
        <v/>
      </c>
      <c r="Z640" s="4" t="str">
        <f t="shared" si="55"/>
        <v/>
      </c>
      <c r="AA640" s="4" t="str">
        <f>IF($C640="","",IF(COUNTIF($C$1:C639,$C640)+COUNTIF($D$1:D639,$C640)=0,1,0))</f>
        <v/>
      </c>
      <c r="AB640" s="4" t="str">
        <f>IF($D640="","",IF(COUNTIF($C$1:C640,$D640)+COUNTIF($D$1:D639,$D640)=0,1,0))</f>
        <v/>
      </c>
      <c r="AC640" s="4" t="str">
        <f>IF(AA640=1,SUM($AA$2:AA640)-AA640+SUM($AB$2:AB640)-AB640+1,"")</f>
        <v/>
      </c>
      <c r="AD640" s="4" t="str">
        <f>IF(AB640=1,SUM($AA$2:AA640)+SUM($AB$2:AB640)-AB640+1,"")</f>
        <v/>
      </c>
      <c r="AE640" s="4" t="str">
        <f t="shared" si="56"/>
        <v/>
      </c>
      <c r="AF640" s="4" t="str">
        <f t="shared" si="57"/>
        <v/>
      </c>
      <c r="AG640" s="8">
        <f t="shared" si="58"/>
        <v>0</v>
      </c>
      <c r="AI640" s="8">
        <f t="shared" si="59"/>
        <v>0</v>
      </c>
    </row>
    <row r="641" spans="23:35" ht="15" customHeight="1" x14ac:dyDescent="0.25">
      <c r="W641" s="4" t="str">
        <f>IF($C641="","",SUMPRODUCT(($C$2:C641=C641)+($D$2:D641=C641)))</f>
        <v/>
      </c>
      <c r="X641" s="4" t="str">
        <f>IF($D641="","",SUMPRODUCT(($C$2:C641=D641)+($D$2:D641=D641)))</f>
        <v/>
      </c>
      <c r="Y641" s="4" t="str">
        <f t="shared" si="54"/>
        <v/>
      </c>
      <c r="Z641" s="4" t="str">
        <f t="shared" si="55"/>
        <v/>
      </c>
      <c r="AA641" s="4" t="str">
        <f>IF($C641="","",IF(COUNTIF($C$1:C640,$C641)+COUNTIF($D$1:D640,$C641)=0,1,0))</f>
        <v/>
      </c>
      <c r="AB641" s="4" t="str">
        <f>IF($D641="","",IF(COUNTIF($C$1:C641,$D641)+COUNTIF($D$1:D640,$D641)=0,1,0))</f>
        <v/>
      </c>
      <c r="AC641" s="4" t="str">
        <f>IF(AA641=1,SUM($AA$2:AA641)-AA641+SUM($AB$2:AB641)-AB641+1,"")</f>
        <v/>
      </c>
      <c r="AD641" s="4" t="str">
        <f>IF(AB641=1,SUM($AA$2:AA641)+SUM($AB$2:AB641)-AB641+1,"")</f>
        <v/>
      </c>
      <c r="AE641" s="4" t="str">
        <f t="shared" si="56"/>
        <v/>
      </c>
      <c r="AF641" s="4" t="str">
        <f t="shared" si="57"/>
        <v/>
      </c>
      <c r="AG641" s="8">
        <f t="shared" si="58"/>
        <v>0</v>
      </c>
      <c r="AI641" s="8">
        <f t="shared" si="59"/>
        <v>0</v>
      </c>
    </row>
    <row r="642" spans="23:35" ht="15" customHeight="1" x14ac:dyDescent="0.25">
      <c r="W642" s="4" t="str">
        <f>IF($C642="","",SUMPRODUCT(($C$2:C642=C642)+($D$2:D642=C642)))</f>
        <v/>
      </c>
      <c r="X642" s="4" t="str">
        <f>IF($D642="","",SUMPRODUCT(($C$2:C642=D642)+($D$2:D642=D642)))</f>
        <v/>
      </c>
      <c r="Y642" s="4" t="str">
        <f t="shared" ref="Y642:Y705" si="60">IF($C642="","",C642&amp;"|"&amp;W642)</f>
        <v/>
      </c>
      <c r="Z642" s="4" t="str">
        <f t="shared" ref="Z642:Z705" si="61">IF($D642="","",D642&amp;"|"&amp;X642)</f>
        <v/>
      </c>
      <c r="AA642" s="4" t="str">
        <f>IF($C642="","",IF(COUNTIF($C$1:C641,$C642)+COUNTIF($D$1:D641,$C642)=0,1,0))</f>
        <v/>
      </c>
      <c r="AB642" s="4" t="str">
        <f>IF($D642="","",IF(COUNTIF($C$1:C642,$D642)+COUNTIF($D$1:D641,$D642)=0,1,0))</f>
        <v/>
      </c>
      <c r="AC642" s="4" t="str">
        <f>IF(AA642=1,SUM($AA$2:AA642)-AA642+SUM($AB$2:AB642)-AB642+1,"")</f>
        <v/>
      </c>
      <c r="AD642" s="4" t="str">
        <f>IF(AB642=1,SUM($AA$2:AA642)+SUM($AB$2:AB642)-AB642+1,"")</f>
        <v/>
      </c>
      <c r="AE642" s="4" t="str">
        <f t="shared" ref="AE642:AE705" si="62">IF(AC642="","","TEAM|"&amp;AC642)</f>
        <v/>
      </c>
      <c r="AF642" s="4" t="str">
        <f t="shared" ref="AF642:AF705" si="63">IF(AD642="","","TEAM|"&amp;AD642)</f>
        <v/>
      </c>
      <c r="AG642" s="8">
        <f t="shared" ref="AG642:AG705" si="64">IF(AH642="",0,LEN(AH642)-LEN(SUBSTITUTE(AH642,"/",""))+1)</f>
        <v>0</v>
      </c>
      <c r="AI642" s="8">
        <f t="shared" ref="AI642:AI705" si="65">IF(AJ642="",0,LEN(AJ642)-LEN(SUBSTITUTE(AJ642,"/",""))+1)</f>
        <v>0</v>
      </c>
    </row>
    <row r="643" spans="23:35" ht="15" customHeight="1" x14ac:dyDescent="0.25">
      <c r="W643" s="4" t="str">
        <f>IF($C643="","",SUMPRODUCT(($C$2:C643=C643)+($D$2:D643=C643)))</f>
        <v/>
      </c>
      <c r="X643" s="4" t="str">
        <f>IF($D643="","",SUMPRODUCT(($C$2:C643=D643)+($D$2:D643=D643)))</f>
        <v/>
      </c>
      <c r="Y643" s="4" t="str">
        <f t="shared" si="60"/>
        <v/>
      </c>
      <c r="Z643" s="4" t="str">
        <f t="shared" si="61"/>
        <v/>
      </c>
      <c r="AA643" s="4" t="str">
        <f>IF($C643="","",IF(COUNTIF($C$1:C642,$C643)+COUNTIF($D$1:D642,$C643)=0,1,0))</f>
        <v/>
      </c>
      <c r="AB643" s="4" t="str">
        <f>IF($D643="","",IF(COUNTIF($C$1:C643,$D643)+COUNTIF($D$1:D642,$D643)=0,1,0))</f>
        <v/>
      </c>
      <c r="AC643" s="4" t="str">
        <f>IF(AA643=1,SUM($AA$2:AA643)-AA643+SUM($AB$2:AB643)-AB643+1,"")</f>
        <v/>
      </c>
      <c r="AD643" s="4" t="str">
        <f>IF(AB643=1,SUM($AA$2:AA643)+SUM($AB$2:AB643)-AB643+1,"")</f>
        <v/>
      </c>
      <c r="AE643" s="4" t="str">
        <f t="shared" si="62"/>
        <v/>
      </c>
      <c r="AF643" s="4" t="str">
        <f t="shared" si="63"/>
        <v/>
      </c>
      <c r="AG643" s="8">
        <f t="shared" si="64"/>
        <v>0</v>
      </c>
      <c r="AI643" s="8">
        <f t="shared" si="65"/>
        <v>0</v>
      </c>
    </row>
    <row r="644" spans="23:35" ht="15" customHeight="1" x14ac:dyDescent="0.25">
      <c r="W644" s="4" t="str">
        <f>IF($C644="","",SUMPRODUCT(($C$2:C644=C644)+($D$2:D644=C644)))</f>
        <v/>
      </c>
      <c r="X644" s="4" t="str">
        <f>IF($D644="","",SUMPRODUCT(($C$2:C644=D644)+($D$2:D644=D644)))</f>
        <v/>
      </c>
      <c r="Y644" s="4" t="str">
        <f t="shared" si="60"/>
        <v/>
      </c>
      <c r="Z644" s="4" t="str">
        <f t="shared" si="61"/>
        <v/>
      </c>
      <c r="AA644" s="4" t="str">
        <f>IF($C644="","",IF(COUNTIF($C$1:C643,$C644)+COUNTIF($D$1:D643,$C644)=0,1,0))</f>
        <v/>
      </c>
      <c r="AB644" s="4" t="str">
        <f>IF($D644="","",IF(COUNTIF($C$1:C644,$D644)+COUNTIF($D$1:D643,$D644)=0,1,0))</f>
        <v/>
      </c>
      <c r="AC644" s="4" t="str">
        <f>IF(AA644=1,SUM($AA$2:AA644)-AA644+SUM($AB$2:AB644)-AB644+1,"")</f>
        <v/>
      </c>
      <c r="AD644" s="4" t="str">
        <f>IF(AB644=1,SUM($AA$2:AA644)+SUM($AB$2:AB644)-AB644+1,"")</f>
        <v/>
      </c>
      <c r="AE644" s="4" t="str">
        <f t="shared" si="62"/>
        <v/>
      </c>
      <c r="AF644" s="4" t="str">
        <f t="shared" si="63"/>
        <v/>
      </c>
      <c r="AG644" s="8">
        <f t="shared" si="64"/>
        <v>0</v>
      </c>
      <c r="AI644" s="8">
        <f t="shared" si="65"/>
        <v>0</v>
      </c>
    </row>
    <row r="645" spans="23:35" ht="15" customHeight="1" x14ac:dyDescent="0.25">
      <c r="W645" s="4" t="str">
        <f>IF($C645="","",SUMPRODUCT(($C$2:C645=C645)+($D$2:D645=C645)))</f>
        <v/>
      </c>
      <c r="X645" s="4" t="str">
        <f>IF($D645="","",SUMPRODUCT(($C$2:C645=D645)+($D$2:D645=D645)))</f>
        <v/>
      </c>
      <c r="Y645" s="4" t="str">
        <f t="shared" si="60"/>
        <v/>
      </c>
      <c r="Z645" s="4" t="str">
        <f t="shared" si="61"/>
        <v/>
      </c>
      <c r="AA645" s="4" t="str">
        <f>IF($C645="","",IF(COUNTIF($C$1:C644,$C645)+COUNTIF($D$1:D644,$C645)=0,1,0))</f>
        <v/>
      </c>
      <c r="AB645" s="4" t="str">
        <f>IF($D645="","",IF(COUNTIF($C$1:C645,$D645)+COUNTIF($D$1:D644,$D645)=0,1,0))</f>
        <v/>
      </c>
      <c r="AC645" s="4" t="str">
        <f>IF(AA645=1,SUM($AA$2:AA645)-AA645+SUM($AB$2:AB645)-AB645+1,"")</f>
        <v/>
      </c>
      <c r="AD645" s="4" t="str">
        <f>IF(AB645=1,SUM($AA$2:AA645)+SUM($AB$2:AB645)-AB645+1,"")</f>
        <v/>
      </c>
      <c r="AE645" s="4" t="str">
        <f t="shared" si="62"/>
        <v/>
      </c>
      <c r="AF645" s="4" t="str">
        <f t="shared" si="63"/>
        <v/>
      </c>
      <c r="AG645" s="8">
        <f t="shared" si="64"/>
        <v>0</v>
      </c>
      <c r="AI645" s="8">
        <f t="shared" si="65"/>
        <v>0</v>
      </c>
    </row>
    <row r="646" spans="23:35" ht="15" customHeight="1" x14ac:dyDescent="0.25">
      <c r="W646" s="4" t="str">
        <f>IF($C646="","",SUMPRODUCT(($C$2:C646=C646)+($D$2:D646=C646)))</f>
        <v/>
      </c>
      <c r="X646" s="4" t="str">
        <f>IF($D646="","",SUMPRODUCT(($C$2:C646=D646)+($D$2:D646=D646)))</f>
        <v/>
      </c>
      <c r="Y646" s="4" t="str">
        <f t="shared" si="60"/>
        <v/>
      </c>
      <c r="Z646" s="4" t="str">
        <f t="shared" si="61"/>
        <v/>
      </c>
      <c r="AA646" s="4" t="str">
        <f>IF($C646="","",IF(COUNTIF($C$1:C645,$C646)+COUNTIF($D$1:D645,$C646)=0,1,0))</f>
        <v/>
      </c>
      <c r="AB646" s="4" t="str">
        <f>IF($D646="","",IF(COUNTIF($C$1:C646,$D646)+COUNTIF($D$1:D645,$D646)=0,1,0))</f>
        <v/>
      </c>
      <c r="AC646" s="4" t="str">
        <f>IF(AA646=1,SUM($AA$2:AA646)-AA646+SUM($AB$2:AB646)-AB646+1,"")</f>
        <v/>
      </c>
      <c r="AD646" s="4" t="str">
        <f>IF(AB646=1,SUM($AA$2:AA646)+SUM($AB$2:AB646)-AB646+1,"")</f>
        <v/>
      </c>
      <c r="AE646" s="4" t="str">
        <f t="shared" si="62"/>
        <v/>
      </c>
      <c r="AF646" s="4" t="str">
        <f t="shared" si="63"/>
        <v/>
      </c>
      <c r="AG646" s="8">
        <f t="shared" si="64"/>
        <v>0</v>
      </c>
      <c r="AI646" s="8">
        <f t="shared" si="65"/>
        <v>0</v>
      </c>
    </row>
    <row r="647" spans="23:35" ht="15" customHeight="1" x14ac:dyDescent="0.25">
      <c r="W647" s="4" t="str">
        <f>IF($C647="","",SUMPRODUCT(($C$2:C647=C647)+($D$2:D647=C647)))</f>
        <v/>
      </c>
      <c r="X647" s="4" t="str">
        <f>IF($D647="","",SUMPRODUCT(($C$2:C647=D647)+($D$2:D647=D647)))</f>
        <v/>
      </c>
      <c r="Y647" s="4" t="str">
        <f t="shared" si="60"/>
        <v/>
      </c>
      <c r="Z647" s="4" t="str">
        <f t="shared" si="61"/>
        <v/>
      </c>
      <c r="AA647" s="4" t="str">
        <f>IF($C647="","",IF(COUNTIF($C$1:C646,$C647)+COUNTIF($D$1:D646,$C647)=0,1,0))</f>
        <v/>
      </c>
      <c r="AB647" s="4" t="str">
        <f>IF($D647="","",IF(COUNTIF($C$1:C647,$D647)+COUNTIF($D$1:D646,$D647)=0,1,0))</f>
        <v/>
      </c>
      <c r="AC647" s="4" t="str">
        <f>IF(AA647=1,SUM($AA$2:AA647)-AA647+SUM($AB$2:AB647)-AB647+1,"")</f>
        <v/>
      </c>
      <c r="AD647" s="4" t="str">
        <f>IF(AB647=1,SUM($AA$2:AA647)+SUM($AB$2:AB647)-AB647+1,"")</f>
        <v/>
      </c>
      <c r="AE647" s="4" t="str">
        <f t="shared" si="62"/>
        <v/>
      </c>
      <c r="AF647" s="4" t="str">
        <f t="shared" si="63"/>
        <v/>
      </c>
      <c r="AG647" s="8">
        <f t="shared" si="64"/>
        <v>0</v>
      </c>
      <c r="AI647" s="8">
        <f t="shared" si="65"/>
        <v>0</v>
      </c>
    </row>
    <row r="648" spans="23:35" ht="15" customHeight="1" x14ac:dyDescent="0.25">
      <c r="W648" s="4" t="str">
        <f>IF($C648="","",SUMPRODUCT(($C$2:C648=C648)+($D$2:D648=C648)))</f>
        <v/>
      </c>
      <c r="X648" s="4" t="str">
        <f>IF($D648="","",SUMPRODUCT(($C$2:C648=D648)+($D$2:D648=D648)))</f>
        <v/>
      </c>
      <c r="Y648" s="4" t="str">
        <f t="shared" si="60"/>
        <v/>
      </c>
      <c r="Z648" s="4" t="str">
        <f t="shared" si="61"/>
        <v/>
      </c>
      <c r="AA648" s="4" t="str">
        <f>IF($C648="","",IF(COUNTIF($C$1:C647,$C648)+COUNTIF($D$1:D647,$C648)=0,1,0))</f>
        <v/>
      </c>
      <c r="AB648" s="4" t="str">
        <f>IF($D648="","",IF(COUNTIF($C$1:C648,$D648)+COUNTIF($D$1:D647,$D648)=0,1,0))</f>
        <v/>
      </c>
      <c r="AC648" s="4" t="str">
        <f>IF(AA648=1,SUM($AA$2:AA648)-AA648+SUM($AB$2:AB648)-AB648+1,"")</f>
        <v/>
      </c>
      <c r="AD648" s="4" t="str">
        <f>IF(AB648=1,SUM($AA$2:AA648)+SUM($AB$2:AB648)-AB648+1,"")</f>
        <v/>
      </c>
      <c r="AE648" s="4" t="str">
        <f t="shared" si="62"/>
        <v/>
      </c>
      <c r="AF648" s="4" t="str">
        <f t="shared" si="63"/>
        <v/>
      </c>
      <c r="AG648" s="8">
        <f t="shared" si="64"/>
        <v>0</v>
      </c>
      <c r="AI648" s="8">
        <f t="shared" si="65"/>
        <v>0</v>
      </c>
    </row>
    <row r="649" spans="23:35" ht="15" customHeight="1" x14ac:dyDescent="0.25">
      <c r="W649" s="4" t="str">
        <f>IF($C649="","",SUMPRODUCT(($C$2:C649=C649)+($D$2:D649=C649)))</f>
        <v/>
      </c>
      <c r="X649" s="4" t="str">
        <f>IF($D649="","",SUMPRODUCT(($C$2:C649=D649)+($D$2:D649=D649)))</f>
        <v/>
      </c>
      <c r="Y649" s="4" t="str">
        <f t="shared" si="60"/>
        <v/>
      </c>
      <c r="Z649" s="4" t="str">
        <f t="shared" si="61"/>
        <v/>
      </c>
      <c r="AA649" s="4" t="str">
        <f>IF($C649="","",IF(COUNTIF($C$1:C648,$C649)+COUNTIF($D$1:D648,$C649)=0,1,0))</f>
        <v/>
      </c>
      <c r="AB649" s="4" t="str">
        <f>IF($D649="","",IF(COUNTIF($C$1:C649,$D649)+COUNTIF($D$1:D648,$D649)=0,1,0))</f>
        <v/>
      </c>
      <c r="AC649" s="4" t="str">
        <f>IF(AA649=1,SUM($AA$2:AA649)-AA649+SUM($AB$2:AB649)-AB649+1,"")</f>
        <v/>
      </c>
      <c r="AD649" s="4" t="str">
        <f>IF(AB649=1,SUM($AA$2:AA649)+SUM($AB$2:AB649)-AB649+1,"")</f>
        <v/>
      </c>
      <c r="AE649" s="4" t="str">
        <f t="shared" si="62"/>
        <v/>
      </c>
      <c r="AF649" s="4" t="str">
        <f t="shared" si="63"/>
        <v/>
      </c>
      <c r="AG649" s="8">
        <f t="shared" si="64"/>
        <v>0</v>
      </c>
      <c r="AI649" s="8">
        <f t="shared" si="65"/>
        <v>0</v>
      </c>
    </row>
    <row r="650" spans="23:35" ht="15" customHeight="1" x14ac:dyDescent="0.25">
      <c r="W650" s="4" t="str">
        <f>IF($C650="","",SUMPRODUCT(($C$2:C650=C650)+($D$2:D650=C650)))</f>
        <v/>
      </c>
      <c r="X650" s="4" t="str">
        <f>IF($D650="","",SUMPRODUCT(($C$2:C650=D650)+($D$2:D650=D650)))</f>
        <v/>
      </c>
      <c r="Y650" s="4" t="str">
        <f t="shared" si="60"/>
        <v/>
      </c>
      <c r="Z650" s="4" t="str">
        <f t="shared" si="61"/>
        <v/>
      </c>
      <c r="AA650" s="4" t="str">
        <f>IF($C650="","",IF(COUNTIF($C$1:C649,$C650)+COUNTIF($D$1:D649,$C650)=0,1,0))</f>
        <v/>
      </c>
      <c r="AB650" s="4" t="str">
        <f>IF($D650="","",IF(COUNTIF($C$1:C650,$D650)+COUNTIF($D$1:D649,$D650)=0,1,0))</f>
        <v/>
      </c>
      <c r="AC650" s="4" t="str">
        <f>IF(AA650=1,SUM($AA$2:AA650)-AA650+SUM($AB$2:AB650)-AB650+1,"")</f>
        <v/>
      </c>
      <c r="AD650" s="4" t="str">
        <f>IF(AB650=1,SUM($AA$2:AA650)+SUM($AB$2:AB650)-AB650+1,"")</f>
        <v/>
      </c>
      <c r="AE650" s="4" t="str">
        <f t="shared" si="62"/>
        <v/>
      </c>
      <c r="AF650" s="4" t="str">
        <f t="shared" si="63"/>
        <v/>
      </c>
      <c r="AG650" s="8">
        <f t="shared" si="64"/>
        <v>0</v>
      </c>
      <c r="AI650" s="8">
        <f t="shared" si="65"/>
        <v>0</v>
      </c>
    </row>
    <row r="651" spans="23:35" ht="15" customHeight="1" x14ac:dyDescent="0.25">
      <c r="W651" s="4" t="str">
        <f>IF($C651="","",SUMPRODUCT(($C$2:C651=C651)+($D$2:D651=C651)))</f>
        <v/>
      </c>
      <c r="X651" s="4" t="str">
        <f>IF($D651="","",SUMPRODUCT(($C$2:C651=D651)+($D$2:D651=D651)))</f>
        <v/>
      </c>
      <c r="Y651" s="4" t="str">
        <f t="shared" si="60"/>
        <v/>
      </c>
      <c r="Z651" s="4" t="str">
        <f t="shared" si="61"/>
        <v/>
      </c>
      <c r="AA651" s="4" t="str">
        <f>IF($C651="","",IF(COUNTIF($C$1:C650,$C651)+COUNTIF($D$1:D650,$C651)=0,1,0))</f>
        <v/>
      </c>
      <c r="AB651" s="4" t="str">
        <f>IF($D651="","",IF(COUNTIF($C$1:C651,$D651)+COUNTIF($D$1:D650,$D651)=0,1,0))</f>
        <v/>
      </c>
      <c r="AC651" s="4" t="str">
        <f>IF(AA651=1,SUM($AA$2:AA651)-AA651+SUM($AB$2:AB651)-AB651+1,"")</f>
        <v/>
      </c>
      <c r="AD651" s="4" t="str">
        <f>IF(AB651=1,SUM($AA$2:AA651)+SUM($AB$2:AB651)-AB651+1,"")</f>
        <v/>
      </c>
      <c r="AE651" s="4" t="str">
        <f t="shared" si="62"/>
        <v/>
      </c>
      <c r="AF651" s="4" t="str">
        <f t="shared" si="63"/>
        <v/>
      </c>
      <c r="AG651" s="8">
        <f t="shared" si="64"/>
        <v>0</v>
      </c>
      <c r="AI651" s="8">
        <f t="shared" si="65"/>
        <v>0</v>
      </c>
    </row>
    <row r="652" spans="23:35" ht="15" customHeight="1" x14ac:dyDescent="0.25">
      <c r="W652" s="4" t="str">
        <f>IF($C652="","",SUMPRODUCT(($C$2:C652=C652)+($D$2:D652=C652)))</f>
        <v/>
      </c>
      <c r="X652" s="4" t="str">
        <f>IF($D652="","",SUMPRODUCT(($C$2:C652=D652)+($D$2:D652=D652)))</f>
        <v/>
      </c>
      <c r="Y652" s="4" t="str">
        <f t="shared" si="60"/>
        <v/>
      </c>
      <c r="Z652" s="4" t="str">
        <f t="shared" si="61"/>
        <v/>
      </c>
      <c r="AA652" s="4" t="str">
        <f>IF($C652="","",IF(COUNTIF($C$1:C651,$C652)+COUNTIF($D$1:D651,$C652)=0,1,0))</f>
        <v/>
      </c>
      <c r="AB652" s="4" t="str">
        <f>IF($D652="","",IF(COUNTIF($C$1:C652,$D652)+COUNTIF($D$1:D651,$D652)=0,1,0))</f>
        <v/>
      </c>
      <c r="AC652" s="4" t="str">
        <f>IF(AA652=1,SUM($AA$2:AA652)-AA652+SUM($AB$2:AB652)-AB652+1,"")</f>
        <v/>
      </c>
      <c r="AD652" s="4" t="str">
        <f>IF(AB652=1,SUM($AA$2:AA652)+SUM($AB$2:AB652)-AB652+1,"")</f>
        <v/>
      </c>
      <c r="AE652" s="4" t="str">
        <f t="shared" si="62"/>
        <v/>
      </c>
      <c r="AF652" s="4" t="str">
        <f t="shared" si="63"/>
        <v/>
      </c>
      <c r="AG652" s="8">
        <f t="shared" si="64"/>
        <v>0</v>
      </c>
      <c r="AI652" s="8">
        <f t="shared" si="65"/>
        <v>0</v>
      </c>
    </row>
    <row r="653" spans="23:35" ht="15" customHeight="1" x14ac:dyDescent="0.25">
      <c r="W653" s="4" t="str">
        <f>IF($C653="","",SUMPRODUCT(($C$2:C653=C653)+($D$2:D653=C653)))</f>
        <v/>
      </c>
      <c r="X653" s="4" t="str">
        <f>IF($D653="","",SUMPRODUCT(($C$2:C653=D653)+($D$2:D653=D653)))</f>
        <v/>
      </c>
      <c r="Y653" s="4" t="str">
        <f t="shared" si="60"/>
        <v/>
      </c>
      <c r="Z653" s="4" t="str">
        <f t="shared" si="61"/>
        <v/>
      </c>
      <c r="AA653" s="4" t="str">
        <f>IF($C653="","",IF(COUNTIF($C$1:C652,$C653)+COUNTIF($D$1:D652,$C653)=0,1,0))</f>
        <v/>
      </c>
      <c r="AB653" s="4" t="str">
        <f>IF($D653="","",IF(COUNTIF($C$1:C653,$D653)+COUNTIF($D$1:D652,$D653)=0,1,0))</f>
        <v/>
      </c>
      <c r="AC653" s="4" t="str">
        <f>IF(AA653=1,SUM($AA$2:AA653)-AA653+SUM($AB$2:AB653)-AB653+1,"")</f>
        <v/>
      </c>
      <c r="AD653" s="4" t="str">
        <f>IF(AB653=1,SUM($AA$2:AA653)+SUM($AB$2:AB653)-AB653+1,"")</f>
        <v/>
      </c>
      <c r="AE653" s="4" t="str">
        <f t="shared" si="62"/>
        <v/>
      </c>
      <c r="AF653" s="4" t="str">
        <f t="shared" si="63"/>
        <v/>
      </c>
      <c r="AG653" s="8">
        <f t="shared" si="64"/>
        <v>0</v>
      </c>
      <c r="AI653" s="8">
        <f t="shared" si="65"/>
        <v>0</v>
      </c>
    </row>
    <row r="654" spans="23:35" ht="15" customHeight="1" x14ac:dyDescent="0.25">
      <c r="W654" s="4" t="str">
        <f>IF($C654="","",SUMPRODUCT(($C$2:C654=C654)+($D$2:D654=C654)))</f>
        <v/>
      </c>
      <c r="X654" s="4" t="str">
        <f>IF($D654="","",SUMPRODUCT(($C$2:C654=D654)+($D$2:D654=D654)))</f>
        <v/>
      </c>
      <c r="Y654" s="4" t="str">
        <f t="shared" si="60"/>
        <v/>
      </c>
      <c r="Z654" s="4" t="str">
        <f t="shared" si="61"/>
        <v/>
      </c>
      <c r="AA654" s="4" t="str">
        <f>IF($C654="","",IF(COUNTIF($C$1:C653,$C654)+COUNTIF($D$1:D653,$C654)=0,1,0))</f>
        <v/>
      </c>
      <c r="AB654" s="4" t="str">
        <f>IF($D654="","",IF(COUNTIF($C$1:C654,$D654)+COUNTIF($D$1:D653,$D654)=0,1,0))</f>
        <v/>
      </c>
      <c r="AC654" s="4" t="str">
        <f>IF(AA654=1,SUM($AA$2:AA654)-AA654+SUM($AB$2:AB654)-AB654+1,"")</f>
        <v/>
      </c>
      <c r="AD654" s="4" t="str">
        <f>IF(AB654=1,SUM($AA$2:AA654)+SUM($AB$2:AB654)-AB654+1,"")</f>
        <v/>
      </c>
      <c r="AE654" s="4" t="str">
        <f t="shared" si="62"/>
        <v/>
      </c>
      <c r="AF654" s="4" t="str">
        <f t="shared" si="63"/>
        <v/>
      </c>
      <c r="AG654" s="8">
        <f t="shared" si="64"/>
        <v>0</v>
      </c>
      <c r="AI654" s="8">
        <f t="shared" si="65"/>
        <v>0</v>
      </c>
    </row>
    <row r="655" spans="23:35" ht="15" customHeight="1" x14ac:dyDescent="0.25">
      <c r="W655" s="4" t="str">
        <f>IF($C655="","",SUMPRODUCT(($C$2:C655=C655)+($D$2:D655=C655)))</f>
        <v/>
      </c>
      <c r="X655" s="4" t="str">
        <f>IF($D655="","",SUMPRODUCT(($C$2:C655=D655)+($D$2:D655=D655)))</f>
        <v/>
      </c>
      <c r="Y655" s="4" t="str">
        <f t="shared" si="60"/>
        <v/>
      </c>
      <c r="Z655" s="4" t="str">
        <f t="shared" si="61"/>
        <v/>
      </c>
      <c r="AA655" s="4" t="str">
        <f>IF($C655="","",IF(COUNTIF($C$1:C654,$C655)+COUNTIF($D$1:D654,$C655)=0,1,0))</f>
        <v/>
      </c>
      <c r="AB655" s="4" t="str">
        <f>IF($D655="","",IF(COUNTIF($C$1:C655,$D655)+COUNTIF($D$1:D654,$D655)=0,1,0))</f>
        <v/>
      </c>
      <c r="AC655" s="4" t="str">
        <f>IF(AA655=1,SUM($AA$2:AA655)-AA655+SUM($AB$2:AB655)-AB655+1,"")</f>
        <v/>
      </c>
      <c r="AD655" s="4" t="str">
        <f>IF(AB655=1,SUM($AA$2:AA655)+SUM($AB$2:AB655)-AB655+1,"")</f>
        <v/>
      </c>
      <c r="AE655" s="4" t="str">
        <f t="shared" si="62"/>
        <v/>
      </c>
      <c r="AF655" s="4" t="str">
        <f t="shared" si="63"/>
        <v/>
      </c>
      <c r="AG655" s="8">
        <f t="shared" si="64"/>
        <v>0</v>
      </c>
      <c r="AI655" s="8">
        <f t="shared" si="65"/>
        <v>0</v>
      </c>
    </row>
    <row r="656" spans="23:35" ht="15" customHeight="1" x14ac:dyDescent="0.25">
      <c r="W656" s="4" t="str">
        <f>IF($C656="","",SUMPRODUCT(($C$2:C656=C656)+($D$2:D656=C656)))</f>
        <v/>
      </c>
      <c r="X656" s="4" t="str">
        <f>IF($D656="","",SUMPRODUCT(($C$2:C656=D656)+($D$2:D656=D656)))</f>
        <v/>
      </c>
      <c r="Y656" s="4" t="str">
        <f t="shared" si="60"/>
        <v/>
      </c>
      <c r="Z656" s="4" t="str">
        <f t="shared" si="61"/>
        <v/>
      </c>
      <c r="AA656" s="4" t="str">
        <f>IF($C656="","",IF(COUNTIF($C$1:C655,$C656)+COUNTIF($D$1:D655,$C656)=0,1,0))</f>
        <v/>
      </c>
      <c r="AB656" s="4" t="str">
        <f>IF($D656="","",IF(COUNTIF($C$1:C656,$D656)+COUNTIF($D$1:D655,$D656)=0,1,0))</f>
        <v/>
      </c>
      <c r="AC656" s="4" t="str">
        <f>IF(AA656=1,SUM($AA$2:AA656)-AA656+SUM($AB$2:AB656)-AB656+1,"")</f>
        <v/>
      </c>
      <c r="AD656" s="4" t="str">
        <f>IF(AB656=1,SUM($AA$2:AA656)+SUM($AB$2:AB656)-AB656+1,"")</f>
        <v/>
      </c>
      <c r="AE656" s="4" t="str">
        <f t="shared" si="62"/>
        <v/>
      </c>
      <c r="AF656" s="4" t="str">
        <f t="shared" si="63"/>
        <v/>
      </c>
      <c r="AG656" s="8">
        <f t="shared" si="64"/>
        <v>0</v>
      </c>
      <c r="AI656" s="8">
        <f t="shared" si="65"/>
        <v>0</v>
      </c>
    </row>
    <row r="657" spans="23:35" ht="15" customHeight="1" x14ac:dyDescent="0.25">
      <c r="W657" s="4" t="str">
        <f>IF($C657="","",SUMPRODUCT(($C$2:C657=C657)+($D$2:D657=C657)))</f>
        <v/>
      </c>
      <c r="X657" s="4" t="str">
        <f>IF($D657="","",SUMPRODUCT(($C$2:C657=D657)+($D$2:D657=D657)))</f>
        <v/>
      </c>
      <c r="Y657" s="4" t="str">
        <f t="shared" si="60"/>
        <v/>
      </c>
      <c r="Z657" s="4" t="str">
        <f t="shared" si="61"/>
        <v/>
      </c>
      <c r="AA657" s="4" t="str">
        <f>IF($C657="","",IF(COUNTIF($C$1:C656,$C657)+COUNTIF($D$1:D656,$C657)=0,1,0))</f>
        <v/>
      </c>
      <c r="AB657" s="4" t="str">
        <f>IF($D657="","",IF(COUNTIF($C$1:C657,$D657)+COUNTIF($D$1:D656,$D657)=0,1,0))</f>
        <v/>
      </c>
      <c r="AC657" s="4" t="str">
        <f>IF(AA657=1,SUM($AA$2:AA657)-AA657+SUM($AB$2:AB657)-AB657+1,"")</f>
        <v/>
      </c>
      <c r="AD657" s="4" t="str">
        <f>IF(AB657=1,SUM($AA$2:AA657)+SUM($AB$2:AB657)-AB657+1,"")</f>
        <v/>
      </c>
      <c r="AE657" s="4" t="str">
        <f t="shared" si="62"/>
        <v/>
      </c>
      <c r="AF657" s="4" t="str">
        <f t="shared" si="63"/>
        <v/>
      </c>
      <c r="AG657" s="8">
        <f t="shared" si="64"/>
        <v>0</v>
      </c>
      <c r="AI657" s="8">
        <f t="shared" si="65"/>
        <v>0</v>
      </c>
    </row>
    <row r="658" spans="23:35" ht="15" customHeight="1" x14ac:dyDescent="0.25">
      <c r="W658" s="4" t="str">
        <f>IF($C658="","",SUMPRODUCT(($C$2:C658=C658)+($D$2:D658=C658)))</f>
        <v/>
      </c>
      <c r="X658" s="4" t="str">
        <f>IF($D658="","",SUMPRODUCT(($C$2:C658=D658)+($D$2:D658=D658)))</f>
        <v/>
      </c>
      <c r="Y658" s="4" t="str">
        <f t="shared" si="60"/>
        <v/>
      </c>
      <c r="Z658" s="4" t="str">
        <f t="shared" si="61"/>
        <v/>
      </c>
      <c r="AA658" s="4" t="str">
        <f>IF($C658="","",IF(COUNTIF($C$1:C657,$C658)+COUNTIF($D$1:D657,$C658)=0,1,0))</f>
        <v/>
      </c>
      <c r="AB658" s="4" t="str">
        <f>IF($D658="","",IF(COUNTIF($C$1:C658,$D658)+COUNTIF($D$1:D657,$D658)=0,1,0))</f>
        <v/>
      </c>
      <c r="AC658" s="4" t="str">
        <f>IF(AA658=1,SUM($AA$2:AA658)-AA658+SUM($AB$2:AB658)-AB658+1,"")</f>
        <v/>
      </c>
      <c r="AD658" s="4" t="str">
        <f>IF(AB658=1,SUM($AA$2:AA658)+SUM($AB$2:AB658)-AB658+1,"")</f>
        <v/>
      </c>
      <c r="AE658" s="4" t="str">
        <f t="shared" si="62"/>
        <v/>
      </c>
      <c r="AF658" s="4" t="str">
        <f t="shared" si="63"/>
        <v/>
      </c>
      <c r="AG658" s="8">
        <f t="shared" si="64"/>
        <v>0</v>
      </c>
      <c r="AI658" s="8">
        <f t="shared" si="65"/>
        <v>0</v>
      </c>
    </row>
    <row r="659" spans="23:35" ht="15" customHeight="1" x14ac:dyDescent="0.25">
      <c r="W659" s="4" t="str">
        <f>IF($C659="","",SUMPRODUCT(($C$2:C659=C659)+($D$2:D659=C659)))</f>
        <v/>
      </c>
      <c r="X659" s="4" t="str">
        <f>IF($D659="","",SUMPRODUCT(($C$2:C659=D659)+($D$2:D659=D659)))</f>
        <v/>
      </c>
      <c r="Y659" s="4" t="str">
        <f t="shared" si="60"/>
        <v/>
      </c>
      <c r="Z659" s="4" t="str">
        <f t="shared" si="61"/>
        <v/>
      </c>
      <c r="AA659" s="4" t="str">
        <f>IF($C659="","",IF(COUNTIF($C$1:C658,$C659)+COUNTIF($D$1:D658,$C659)=0,1,0))</f>
        <v/>
      </c>
      <c r="AB659" s="4" t="str">
        <f>IF($D659="","",IF(COUNTIF($C$1:C659,$D659)+COUNTIF($D$1:D658,$D659)=0,1,0))</f>
        <v/>
      </c>
      <c r="AC659" s="4" t="str">
        <f>IF(AA659=1,SUM($AA$2:AA659)-AA659+SUM($AB$2:AB659)-AB659+1,"")</f>
        <v/>
      </c>
      <c r="AD659" s="4" t="str">
        <f>IF(AB659=1,SUM($AA$2:AA659)+SUM($AB$2:AB659)-AB659+1,"")</f>
        <v/>
      </c>
      <c r="AE659" s="4" t="str">
        <f t="shared" si="62"/>
        <v/>
      </c>
      <c r="AF659" s="4" t="str">
        <f t="shared" si="63"/>
        <v/>
      </c>
      <c r="AG659" s="8">
        <f t="shared" si="64"/>
        <v>0</v>
      </c>
      <c r="AI659" s="8">
        <f t="shared" si="65"/>
        <v>0</v>
      </c>
    </row>
    <row r="660" spans="23:35" ht="15" customHeight="1" x14ac:dyDescent="0.25">
      <c r="W660" s="4" t="str">
        <f>IF($C660="","",SUMPRODUCT(($C$2:C660=C660)+($D$2:D660=C660)))</f>
        <v/>
      </c>
      <c r="X660" s="4" t="str">
        <f>IF($D660="","",SUMPRODUCT(($C$2:C660=D660)+($D$2:D660=D660)))</f>
        <v/>
      </c>
      <c r="Y660" s="4" t="str">
        <f t="shared" si="60"/>
        <v/>
      </c>
      <c r="Z660" s="4" t="str">
        <f t="shared" si="61"/>
        <v/>
      </c>
      <c r="AA660" s="4" t="str">
        <f>IF($C660="","",IF(COUNTIF($C$1:C659,$C660)+COUNTIF($D$1:D659,$C660)=0,1,0))</f>
        <v/>
      </c>
      <c r="AB660" s="4" t="str">
        <f>IF($D660="","",IF(COUNTIF($C$1:C660,$D660)+COUNTIF($D$1:D659,$D660)=0,1,0))</f>
        <v/>
      </c>
      <c r="AC660" s="4" t="str">
        <f>IF(AA660=1,SUM($AA$2:AA660)-AA660+SUM($AB$2:AB660)-AB660+1,"")</f>
        <v/>
      </c>
      <c r="AD660" s="4" t="str">
        <f>IF(AB660=1,SUM($AA$2:AA660)+SUM($AB$2:AB660)-AB660+1,"")</f>
        <v/>
      </c>
      <c r="AE660" s="4" t="str">
        <f t="shared" si="62"/>
        <v/>
      </c>
      <c r="AF660" s="4" t="str">
        <f t="shared" si="63"/>
        <v/>
      </c>
      <c r="AG660" s="8">
        <f t="shared" si="64"/>
        <v>0</v>
      </c>
      <c r="AI660" s="8">
        <f t="shared" si="65"/>
        <v>0</v>
      </c>
    </row>
    <row r="661" spans="23:35" ht="15" customHeight="1" x14ac:dyDescent="0.25">
      <c r="W661" s="4" t="str">
        <f>IF($C661="","",SUMPRODUCT(($C$2:C661=C661)+($D$2:D661=C661)))</f>
        <v/>
      </c>
      <c r="X661" s="4" t="str">
        <f>IF($D661="","",SUMPRODUCT(($C$2:C661=D661)+($D$2:D661=D661)))</f>
        <v/>
      </c>
      <c r="Y661" s="4" t="str">
        <f t="shared" si="60"/>
        <v/>
      </c>
      <c r="Z661" s="4" t="str">
        <f t="shared" si="61"/>
        <v/>
      </c>
      <c r="AA661" s="4" t="str">
        <f>IF($C661="","",IF(COUNTIF($C$1:C660,$C661)+COUNTIF($D$1:D660,$C661)=0,1,0))</f>
        <v/>
      </c>
      <c r="AB661" s="4" t="str">
        <f>IF($D661="","",IF(COUNTIF($C$1:C661,$D661)+COUNTIF($D$1:D660,$D661)=0,1,0))</f>
        <v/>
      </c>
      <c r="AC661" s="4" t="str">
        <f>IF(AA661=1,SUM($AA$2:AA661)-AA661+SUM($AB$2:AB661)-AB661+1,"")</f>
        <v/>
      </c>
      <c r="AD661" s="4" t="str">
        <f>IF(AB661=1,SUM($AA$2:AA661)+SUM($AB$2:AB661)-AB661+1,"")</f>
        <v/>
      </c>
      <c r="AE661" s="4" t="str">
        <f t="shared" si="62"/>
        <v/>
      </c>
      <c r="AF661" s="4" t="str">
        <f t="shared" si="63"/>
        <v/>
      </c>
      <c r="AG661" s="8">
        <f t="shared" si="64"/>
        <v>0</v>
      </c>
      <c r="AI661" s="8">
        <f t="shared" si="65"/>
        <v>0</v>
      </c>
    </row>
    <row r="662" spans="23:35" ht="15" customHeight="1" x14ac:dyDescent="0.25">
      <c r="W662" s="4" t="str">
        <f>IF($C662="","",SUMPRODUCT(($C$2:C662=C662)+($D$2:D662=C662)))</f>
        <v/>
      </c>
      <c r="X662" s="4" t="str">
        <f>IF($D662="","",SUMPRODUCT(($C$2:C662=D662)+($D$2:D662=D662)))</f>
        <v/>
      </c>
      <c r="Y662" s="4" t="str">
        <f t="shared" si="60"/>
        <v/>
      </c>
      <c r="Z662" s="4" t="str">
        <f t="shared" si="61"/>
        <v/>
      </c>
      <c r="AA662" s="4" t="str">
        <f>IF($C662="","",IF(COUNTIF($C$1:C661,$C662)+COUNTIF($D$1:D661,$C662)=0,1,0))</f>
        <v/>
      </c>
      <c r="AB662" s="4" t="str">
        <f>IF($D662="","",IF(COUNTIF($C$1:C662,$D662)+COUNTIF($D$1:D661,$D662)=0,1,0))</f>
        <v/>
      </c>
      <c r="AC662" s="4" t="str">
        <f>IF(AA662=1,SUM($AA$2:AA662)-AA662+SUM($AB$2:AB662)-AB662+1,"")</f>
        <v/>
      </c>
      <c r="AD662" s="4" t="str">
        <f>IF(AB662=1,SUM($AA$2:AA662)+SUM($AB$2:AB662)-AB662+1,"")</f>
        <v/>
      </c>
      <c r="AE662" s="4" t="str">
        <f t="shared" si="62"/>
        <v/>
      </c>
      <c r="AF662" s="4" t="str">
        <f t="shared" si="63"/>
        <v/>
      </c>
      <c r="AG662" s="8">
        <f t="shared" si="64"/>
        <v>0</v>
      </c>
      <c r="AI662" s="8">
        <f t="shared" si="65"/>
        <v>0</v>
      </c>
    </row>
    <row r="663" spans="23:35" ht="15" customHeight="1" x14ac:dyDescent="0.25">
      <c r="W663" s="4" t="str">
        <f>IF($C663="","",SUMPRODUCT(($C$2:C663=C663)+($D$2:D663=C663)))</f>
        <v/>
      </c>
      <c r="X663" s="4" t="str">
        <f>IF($D663="","",SUMPRODUCT(($C$2:C663=D663)+($D$2:D663=D663)))</f>
        <v/>
      </c>
      <c r="Y663" s="4" t="str">
        <f t="shared" si="60"/>
        <v/>
      </c>
      <c r="Z663" s="4" t="str">
        <f t="shared" si="61"/>
        <v/>
      </c>
      <c r="AA663" s="4" t="str">
        <f>IF($C663="","",IF(COUNTIF($C$1:C662,$C663)+COUNTIF($D$1:D662,$C663)=0,1,0))</f>
        <v/>
      </c>
      <c r="AB663" s="4" t="str">
        <f>IF($D663="","",IF(COUNTIF($C$1:C663,$D663)+COUNTIF($D$1:D662,$D663)=0,1,0))</f>
        <v/>
      </c>
      <c r="AC663" s="4" t="str">
        <f>IF(AA663=1,SUM($AA$2:AA663)-AA663+SUM($AB$2:AB663)-AB663+1,"")</f>
        <v/>
      </c>
      <c r="AD663" s="4" t="str">
        <f>IF(AB663=1,SUM($AA$2:AA663)+SUM($AB$2:AB663)-AB663+1,"")</f>
        <v/>
      </c>
      <c r="AE663" s="4" t="str">
        <f t="shared" si="62"/>
        <v/>
      </c>
      <c r="AF663" s="4" t="str">
        <f t="shared" si="63"/>
        <v/>
      </c>
      <c r="AG663" s="8">
        <f t="shared" si="64"/>
        <v>0</v>
      </c>
      <c r="AI663" s="8">
        <f t="shared" si="65"/>
        <v>0</v>
      </c>
    </row>
    <row r="664" spans="23:35" ht="15" customHeight="1" x14ac:dyDescent="0.25">
      <c r="W664" s="4" t="str">
        <f>IF($C664="","",SUMPRODUCT(($C$2:C664=C664)+($D$2:D664=C664)))</f>
        <v/>
      </c>
      <c r="X664" s="4" t="str">
        <f>IF($D664="","",SUMPRODUCT(($C$2:C664=D664)+($D$2:D664=D664)))</f>
        <v/>
      </c>
      <c r="Y664" s="4" t="str">
        <f t="shared" si="60"/>
        <v/>
      </c>
      <c r="Z664" s="4" t="str">
        <f t="shared" si="61"/>
        <v/>
      </c>
      <c r="AA664" s="4" t="str">
        <f>IF($C664="","",IF(COUNTIF($C$1:C663,$C664)+COUNTIF($D$1:D663,$C664)=0,1,0))</f>
        <v/>
      </c>
      <c r="AB664" s="4" t="str">
        <f>IF($D664="","",IF(COUNTIF($C$1:C664,$D664)+COUNTIF($D$1:D663,$D664)=0,1,0))</f>
        <v/>
      </c>
      <c r="AC664" s="4" t="str">
        <f>IF(AA664=1,SUM($AA$2:AA664)-AA664+SUM($AB$2:AB664)-AB664+1,"")</f>
        <v/>
      </c>
      <c r="AD664" s="4" t="str">
        <f>IF(AB664=1,SUM($AA$2:AA664)+SUM($AB$2:AB664)-AB664+1,"")</f>
        <v/>
      </c>
      <c r="AE664" s="4" t="str">
        <f t="shared" si="62"/>
        <v/>
      </c>
      <c r="AF664" s="4" t="str">
        <f t="shared" si="63"/>
        <v/>
      </c>
      <c r="AG664" s="8">
        <f t="shared" si="64"/>
        <v>0</v>
      </c>
      <c r="AI664" s="8">
        <f t="shared" si="65"/>
        <v>0</v>
      </c>
    </row>
    <row r="665" spans="23:35" ht="15" customHeight="1" x14ac:dyDescent="0.25">
      <c r="W665" s="4" t="str">
        <f>IF($C665="","",SUMPRODUCT(($C$2:C665=C665)+($D$2:D665=C665)))</f>
        <v/>
      </c>
      <c r="X665" s="4" t="str">
        <f>IF($D665="","",SUMPRODUCT(($C$2:C665=D665)+($D$2:D665=D665)))</f>
        <v/>
      </c>
      <c r="Y665" s="4" t="str">
        <f t="shared" si="60"/>
        <v/>
      </c>
      <c r="Z665" s="4" t="str">
        <f t="shared" si="61"/>
        <v/>
      </c>
      <c r="AA665" s="4" t="str">
        <f>IF($C665="","",IF(COUNTIF($C$1:C664,$C665)+COUNTIF($D$1:D664,$C665)=0,1,0))</f>
        <v/>
      </c>
      <c r="AB665" s="4" t="str">
        <f>IF($D665="","",IF(COUNTIF($C$1:C665,$D665)+COUNTIF($D$1:D664,$D665)=0,1,0))</f>
        <v/>
      </c>
      <c r="AC665" s="4" t="str">
        <f>IF(AA665=1,SUM($AA$2:AA665)-AA665+SUM($AB$2:AB665)-AB665+1,"")</f>
        <v/>
      </c>
      <c r="AD665" s="4" t="str">
        <f>IF(AB665=1,SUM($AA$2:AA665)+SUM($AB$2:AB665)-AB665+1,"")</f>
        <v/>
      </c>
      <c r="AE665" s="4" t="str">
        <f t="shared" si="62"/>
        <v/>
      </c>
      <c r="AF665" s="4" t="str">
        <f t="shared" si="63"/>
        <v/>
      </c>
      <c r="AG665" s="8">
        <f t="shared" si="64"/>
        <v>0</v>
      </c>
      <c r="AI665" s="8">
        <f t="shared" si="65"/>
        <v>0</v>
      </c>
    </row>
    <row r="666" spans="23:35" ht="15" customHeight="1" x14ac:dyDescent="0.25">
      <c r="W666" s="4" t="str">
        <f>IF($C666="","",SUMPRODUCT(($C$2:C666=C666)+($D$2:D666=C666)))</f>
        <v/>
      </c>
      <c r="X666" s="4" t="str">
        <f>IF($D666="","",SUMPRODUCT(($C$2:C666=D666)+($D$2:D666=D666)))</f>
        <v/>
      </c>
      <c r="Y666" s="4" t="str">
        <f t="shared" si="60"/>
        <v/>
      </c>
      <c r="Z666" s="4" t="str">
        <f t="shared" si="61"/>
        <v/>
      </c>
      <c r="AA666" s="4" t="str">
        <f>IF($C666="","",IF(COUNTIF($C$1:C665,$C666)+COUNTIF($D$1:D665,$C666)=0,1,0))</f>
        <v/>
      </c>
      <c r="AB666" s="4" t="str">
        <f>IF($D666="","",IF(COUNTIF($C$1:C666,$D666)+COUNTIF($D$1:D665,$D666)=0,1,0))</f>
        <v/>
      </c>
      <c r="AC666" s="4" t="str">
        <f>IF(AA666=1,SUM($AA$2:AA666)-AA666+SUM($AB$2:AB666)-AB666+1,"")</f>
        <v/>
      </c>
      <c r="AD666" s="4" t="str">
        <f>IF(AB666=1,SUM($AA$2:AA666)+SUM($AB$2:AB666)-AB666+1,"")</f>
        <v/>
      </c>
      <c r="AE666" s="4" t="str">
        <f t="shared" si="62"/>
        <v/>
      </c>
      <c r="AF666" s="4" t="str">
        <f t="shared" si="63"/>
        <v/>
      </c>
      <c r="AG666" s="8">
        <f t="shared" si="64"/>
        <v>0</v>
      </c>
      <c r="AI666" s="8">
        <f t="shared" si="65"/>
        <v>0</v>
      </c>
    </row>
    <row r="667" spans="23:35" ht="15" customHeight="1" x14ac:dyDescent="0.25">
      <c r="W667" s="4" t="str">
        <f>IF($C667="","",SUMPRODUCT(($C$2:C667=C667)+($D$2:D667=C667)))</f>
        <v/>
      </c>
      <c r="X667" s="4" t="str">
        <f>IF($D667="","",SUMPRODUCT(($C$2:C667=D667)+($D$2:D667=D667)))</f>
        <v/>
      </c>
      <c r="Y667" s="4" t="str">
        <f t="shared" si="60"/>
        <v/>
      </c>
      <c r="Z667" s="4" t="str">
        <f t="shared" si="61"/>
        <v/>
      </c>
      <c r="AA667" s="4" t="str">
        <f>IF($C667="","",IF(COUNTIF($C$1:C666,$C667)+COUNTIF($D$1:D666,$C667)=0,1,0))</f>
        <v/>
      </c>
      <c r="AB667" s="4" t="str">
        <f>IF($D667="","",IF(COUNTIF($C$1:C667,$D667)+COUNTIF($D$1:D666,$D667)=0,1,0))</f>
        <v/>
      </c>
      <c r="AC667" s="4" t="str">
        <f>IF(AA667=1,SUM($AA$2:AA667)-AA667+SUM($AB$2:AB667)-AB667+1,"")</f>
        <v/>
      </c>
      <c r="AD667" s="4" t="str">
        <f>IF(AB667=1,SUM($AA$2:AA667)+SUM($AB$2:AB667)-AB667+1,"")</f>
        <v/>
      </c>
      <c r="AE667" s="4" t="str">
        <f t="shared" si="62"/>
        <v/>
      </c>
      <c r="AF667" s="4" t="str">
        <f t="shared" si="63"/>
        <v/>
      </c>
      <c r="AG667" s="8">
        <f t="shared" si="64"/>
        <v>0</v>
      </c>
      <c r="AI667" s="8">
        <f t="shared" si="65"/>
        <v>0</v>
      </c>
    </row>
    <row r="668" spans="23:35" ht="15" customHeight="1" x14ac:dyDescent="0.25">
      <c r="W668" s="4" t="str">
        <f>IF($C668="","",SUMPRODUCT(($C$2:C668=C668)+($D$2:D668=C668)))</f>
        <v/>
      </c>
      <c r="X668" s="4" t="str">
        <f>IF($D668="","",SUMPRODUCT(($C$2:C668=D668)+($D$2:D668=D668)))</f>
        <v/>
      </c>
      <c r="Y668" s="4" t="str">
        <f t="shared" si="60"/>
        <v/>
      </c>
      <c r="Z668" s="4" t="str">
        <f t="shared" si="61"/>
        <v/>
      </c>
      <c r="AA668" s="4" t="str">
        <f>IF($C668="","",IF(COUNTIF($C$1:C667,$C668)+COUNTIF($D$1:D667,$C668)=0,1,0))</f>
        <v/>
      </c>
      <c r="AB668" s="4" t="str">
        <f>IF($D668="","",IF(COUNTIF($C$1:C668,$D668)+COUNTIF($D$1:D667,$D668)=0,1,0))</f>
        <v/>
      </c>
      <c r="AC668" s="4" t="str">
        <f>IF(AA668=1,SUM($AA$2:AA668)-AA668+SUM($AB$2:AB668)-AB668+1,"")</f>
        <v/>
      </c>
      <c r="AD668" s="4" t="str">
        <f>IF(AB668=1,SUM($AA$2:AA668)+SUM($AB$2:AB668)-AB668+1,"")</f>
        <v/>
      </c>
      <c r="AE668" s="4" t="str">
        <f t="shared" si="62"/>
        <v/>
      </c>
      <c r="AF668" s="4" t="str">
        <f t="shared" si="63"/>
        <v/>
      </c>
      <c r="AG668" s="8">
        <f t="shared" si="64"/>
        <v>0</v>
      </c>
      <c r="AI668" s="8">
        <f t="shared" si="65"/>
        <v>0</v>
      </c>
    </row>
    <row r="669" spans="23:35" ht="15" customHeight="1" x14ac:dyDescent="0.25">
      <c r="W669" s="4" t="str">
        <f>IF($C669="","",SUMPRODUCT(($C$2:C669=C669)+($D$2:D669=C669)))</f>
        <v/>
      </c>
      <c r="X669" s="4" t="str">
        <f>IF($D669="","",SUMPRODUCT(($C$2:C669=D669)+($D$2:D669=D669)))</f>
        <v/>
      </c>
      <c r="Y669" s="4" t="str">
        <f t="shared" si="60"/>
        <v/>
      </c>
      <c r="Z669" s="4" t="str">
        <f t="shared" si="61"/>
        <v/>
      </c>
      <c r="AA669" s="4" t="str">
        <f>IF($C669="","",IF(COUNTIF($C$1:C668,$C669)+COUNTIF($D$1:D668,$C669)=0,1,0))</f>
        <v/>
      </c>
      <c r="AB669" s="4" t="str">
        <f>IF($D669="","",IF(COUNTIF($C$1:C669,$D669)+COUNTIF($D$1:D668,$D669)=0,1,0))</f>
        <v/>
      </c>
      <c r="AC669" s="4" t="str">
        <f>IF(AA669=1,SUM($AA$2:AA669)-AA669+SUM($AB$2:AB669)-AB669+1,"")</f>
        <v/>
      </c>
      <c r="AD669" s="4" t="str">
        <f>IF(AB669=1,SUM($AA$2:AA669)+SUM($AB$2:AB669)-AB669+1,"")</f>
        <v/>
      </c>
      <c r="AE669" s="4" t="str">
        <f t="shared" si="62"/>
        <v/>
      </c>
      <c r="AF669" s="4" t="str">
        <f t="shared" si="63"/>
        <v/>
      </c>
      <c r="AG669" s="8">
        <f t="shared" si="64"/>
        <v>0</v>
      </c>
      <c r="AI669" s="8">
        <f t="shared" si="65"/>
        <v>0</v>
      </c>
    </row>
    <row r="670" spans="23:35" ht="15" customHeight="1" x14ac:dyDescent="0.25">
      <c r="W670" s="4" t="str">
        <f>IF($C670="","",SUMPRODUCT(($C$2:C670=C670)+($D$2:D670=C670)))</f>
        <v/>
      </c>
      <c r="X670" s="4" t="str">
        <f>IF($D670="","",SUMPRODUCT(($C$2:C670=D670)+($D$2:D670=D670)))</f>
        <v/>
      </c>
      <c r="Y670" s="4" t="str">
        <f t="shared" si="60"/>
        <v/>
      </c>
      <c r="Z670" s="4" t="str">
        <f t="shared" si="61"/>
        <v/>
      </c>
      <c r="AA670" s="4" t="str">
        <f>IF($C670="","",IF(COUNTIF($C$1:C669,$C670)+COUNTIF($D$1:D669,$C670)=0,1,0))</f>
        <v/>
      </c>
      <c r="AB670" s="4" t="str">
        <f>IF($D670="","",IF(COUNTIF($C$1:C670,$D670)+COUNTIF($D$1:D669,$D670)=0,1,0))</f>
        <v/>
      </c>
      <c r="AC670" s="4" t="str">
        <f>IF(AA670=1,SUM($AA$2:AA670)-AA670+SUM($AB$2:AB670)-AB670+1,"")</f>
        <v/>
      </c>
      <c r="AD670" s="4" t="str">
        <f>IF(AB670=1,SUM($AA$2:AA670)+SUM($AB$2:AB670)-AB670+1,"")</f>
        <v/>
      </c>
      <c r="AE670" s="4" t="str">
        <f t="shared" si="62"/>
        <v/>
      </c>
      <c r="AF670" s="4" t="str">
        <f t="shared" si="63"/>
        <v/>
      </c>
      <c r="AG670" s="8">
        <f t="shared" si="64"/>
        <v>0</v>
      </c>
      <c r="AI670" s="8">
        <f t="shared" si="65"/>
        <v>0</v>
      </c>
    </row>
    <row r="671" spans="23:35" ht="15" customHeight="1" x14ac:dyDescent="0.25">
      <c r="W671" s="4" t="str">
        <f>IF($C671="","",SUMPRODUCT(($C$2:C671=C671)+($D$2:D671=C671)))</f>
        <v/>
      </c>
      <c r="X671" s="4" t="str">
        <f>IF($D671="","",SUMPRODUCT(($C$2:C671=D671)+($D$2:D671=D671)))</f>
        <v/>
      </c>
      <c r="Y671" s="4" t="str">
        <f t="shared" si="60"/>
        <v/>
      </c>
      <c r="Z671" s="4" t="str">
        <f t="shared" si="61"/>
        <v/>
      </c>
      <c r="AA671" s="4" t="str">
        <f>IF($C671="","",IF(COUNTIF($C$1:C670,$C671)+COUNTIF($D$1:D670,$C671)=0,1,0))</f>
        <v/>
      </c>
      <c r="AB671" s="4" t="str">
        <f>IF($D671="","",IF(COUNTIF($C$1:C671,$D671)+COUNTIF($D$1:D670,$D671)=0,1,0))</f>
        <v/>
      </c>
      <c r="AC671" s="4" t="str">
        <f>IF(AA671=1,SUM($AA$2:AA671)-AA671+SUM($AB$2:AB671)-AB671+1,"")</f>
        <v/>
      </c>
      <c r="AD671" s="4" t="str">
        <f>IF(AB671=1,SUM($AA$2:AA671)+SUM($AB$2:AB671)-AB671+1,"")</f>
        <v/>
      </c>
      <c r="AE671" s="4" t="str">
        <f t="shared" si="62"/>
        <v/>
      </c>
      <c r="AF671" s="4" t="str">
        <f t="shared" si="63"/>
        <v/>
      </c>
      <c r="AG671" s="8">
        <f t="shared" si="64"/>
        <v>0</v>
      </c>
      <c r="AI671" s="8">
        <f t="shared" si="65"/>
        <v>0</v>
      </c>
    </row>
    <row r="672" spans="23:35" ht="15" customHeight="1" x14ac:dyDescent="0.25">
      <c r="W672" s="4" t="str">
        <f>IF($C672="","",SUMPRODUCT(($C$2:C672=C672)+($D$2:D672=C672)))</f>
        <v/>
      </c>
      <c r="X672" s="4" t="str">
        <f>IF($D672="","",SUMPRODUCT(($C$2:C672=D672)+($D$2:D672=D672)))</f>
        <v/>
      </c>
      <c r="Y672" s="4" t="str">
        <f t="shared" si="60"/>
        <v/>
      </c>
      <c r="Z672" s="4" t="str">
        <f t="shared" si="61"/>
        <v/>
      </c>
      <c r="AA672" s="4" t="str">
        <f>IF($C672="","",IF(COUNTIF($C$1:C671,$C672)+COUNTIF($D$1:D671,$C672)=0,1,0))</f>
        <v/>
      </c>
      <c r="AB672" s="4" t="str">
        <f>IF($D672="","",IF(COUNTIF($C$1:C672,$D672)+COUNTIF($D$1:D671,$D672)=0,1,0))</f>
        <v/>
      </c>
      <c r="AC672" s="4" t="str">
        <f>IF(AA672=1,SUM($AA$2:AA672)-AA672+SUM($AB$2:AB672)-AB672+1,"")</f>
        <v/>
      </c>
      <c r="AD672" s="4" t="str">
        <f>IF(AB672=1,SUM($AA$2:AA672)+SUM($AB$2:AB672)-AB672+1,"")</f>
        <v/>
      </c>
      <c r="AE672" s="4" t="str">
        <f t="shared" si="62"/>
        <v/>
      </c>
      <c r="AF672" s="4" t="str">
        <f t="shared" si="63"/>
        <v/>
      </c>
      <c r="AG672" s="8">
        <f t="shared" si="64"/>
        <v>0</v>
      </c>
      <c r="AI672" s="8">
        <f t="shared" si="65"/>
        <v>0</v>
      </c>
    </row>
    <row r="673" spans="23:35" ht="15" customHeight="1" x14ac:dyDescent="0.25">
      <c r="W673" s="4" t="str">
        <f>IF($C673="","",SUMPRODUCT(($C$2:C673=C673)+($D$2:D673=C673)))</f>
        <v/>
      </c>
      <c r="X673" s="4" t="str">
        <f>IF($D673="","",SUMPRODUCT(($C$2:C673=D673)+($D$2:D673=D673)))</f>
        <v/>
      </c>
      <c r="Y673" s="4" t="str">
        <f t="shared" si="60"/>
        <v/>
      </c>
      <c r="Z673" s="4" t="str">
        <f t="shared" si="61"/>
        <v/>
      </c>
      <c r="AA673" s="4" t="str">
        <f>IF($C673="","",IF(COUNTIF($C$1:C672,$C673)+COUNTIF($D$1:D672,$C673)=0,1,0))</f>
        <v/>
      </c>
      <c r="AB673" s="4" t="str">
        <f>IF($D673="","",IF(COUNTIF($C$1:C673,$D673)+COUNTIF($D$1:D672,$D673)=0,1,0))</f>
        <v/>
      </c>
      <c r="AC673" s="4" t="str">
        <f>IF(AA673=1,SUM($AA$2:AA673)-AA673+SUM($AB$2:AB673)-AB673+1,"")</f>
        <v/>
      </c>
      <c r="AD673" s="4" t="str">
        <f>IF(AB673=1,SUM($AA$2:AA673)+SUM($AB$2:AB673)-AB673+1,"")</f>
        <v/>
      </c>
      <c r="AE673" s="4" t="str">
        <f t="shared" si="62"/>
        <v/>
      </c>
      <c r="AF673" s="4" t="str">
        <f t="shared" si="63"/>
        <v/>
      </c>
      <c r="AG673" s="8">
        <f t="shared" si="64"/>
        <v>0</v>
      </c>
      <c r="AI673" s="8">
        <f t="shared" si="65"/>
        <v>0</v>
      </c>
    </row>
    <row r="674" spans="23:35" ht="15" customHeight="1" x14ac:dyDescent="0.25">
      <c r="W674" s="4" t="str">
        <f>IF($C674="","",SUMPRODUCT(($C$2:C674=C674)+($D$2:D674=C674)))</f>
        <v/>
      </c>
      <c r="X674" s="4" t="str">
        <f>IF($D674="","",SUMPRODUCT(($C$2:C674=D674)+($D$2:D674=D674)))</f>
        <v/>
      </c>
      <c r="Y674" s="4" t="str">
        <f t="shared" si="60"/>
        <v/>
      </c>
      <c r="Z674" s="4" t="str">
        <f t="shared" si="61"/>
        <v/>
      </c>
      <c r="AA674" s="4" t="str">
        <f>IF($C674="","",IF(COUNTIF($C$1:C673,$C674)+COUNTIF($D$1:D673,$C674)=0,1,0))</f>
        <v/>
      </c>
      <c r="AB674" s="4" t="str">
        <f>IF($D674="","",IF(COUNTIF($C$1:C674,$D674)+COUNTIF($D$1:D673,$D674)=0,1,0))</f>
        <v/>
      </c>
      <c r="AC674" s="4" t="str">
        <f>IF(AA674=1,SUM($AA$2:AA674)-AA674+SUM($AB$2:AB674)-AB674+1,"")</f>
        <v/>
      </c>
      <c r="AD674" s="4" t="str">
        <f>IF(AB674=1,SUM($AA$2:AA674)+SUM($AB$2:AB674)-AB674+1,"")</f>
        <v/>
      </c>
      <c r="AE674" s="4" t="str">
        <f t="shared" si="62"/>
        <v/>
      </c>
      <c r="AF674" s="4" t="str">
        <f t="shared" si="63"/>
        <v/>
      </c>
      <c r="AG674" s="8">
        <f t="shared" si="64"/>
        <v>0</v>
      </c>
      <c r="AI674" s="8">
        <f t="shared" si="65"/>
        <v>0</v>
      </c>
    </row>
    <row r="675" spans="23:35" ht="15" customHeight="1" x14ac:dyDescent="0.25">
      <c r="W675" s="4" t="str">
        <f>IF($C675="","",SUMPRODUCT(($C$2:C675=C675)+($D$2:D675=C675)))</f>
        <v/>
      </c>
      <c r="X675" s="4" t="str">
        <f>IF($D675="","",SUMPRODUCT(($C$2:C675=D675)+($D$2:D675=D675)))</f>
        <v/>
      </c>
      <c r="Y675" s="4" t="str">
        <f t="shared" si="60"/>
        <v/>
      </c>
      <c r="Z675" s="4" t="str">
        <f t="shared" si="61"/>
        <v/>
      </c>
      <c r="AA675" s="4" t="str">
        <f>IF($C675="","",IF(COUNTIF($C$1:C674,$C675)+COUNTIF($D$1:D674,$C675)=0,1,0))</f>
        <v/>
      </c>
      <c r="AB675" s="4" t="str">
        <f>IF($D675="","",IF(COUNTIF($C$1:C675,$D675)+COUNTIF($D$1:D674,$D675)=0,1,0))</f>
        <v/>
      </c>
      <c r="AC675" s="4" t="str">
        <f>IF(AA675=1,SUM($AA$2:AA675)-AA675+SUM($AB$2:AB675)-AB675+1,"")</f>
        <v/>
      </c>
      <c r="AD675" s="4" t="str">
        <f>IF(AB675=1,SUM($AA$2:AA675)+SUM($AB$2:AB675)-AB675+1,"")</f>
        <v/>
      </c>
      <c r="AE675" s="4" t="str">
        <f t="shared" si="62"/>
        <v/>
      </c>
      <c r="AF675" s="4" t="str">
        <f t="shared" si="63"/>
        <v/>
      </c>
      <c r="AG675" s="8">
        <f t="shared" si="64"/>
        <v>0</v>
      </c>
      <c r="AI675" s="8">
        <f t="shared" si="65"/>
        <v>0</v>
      </c>
    </row>
    <row r="676" spans="23:35" ht="15" customHeight="1" x14ac:dyDescent="0.25">
      <c r="W676" s="4" t="str">
        <f>IF($C676="","",SUMPRODUCT(($C$2:C676=C676)+($D$2:D676=C676)))</f>
        <v/>
      </c>
      <c r="X676" s="4" t="str">
        <f>IF($D676="","",SUMPRODUCT(($C$2:C676=D676)+($D$2:D676=D676)))</f>
        <v/>
      </c>
      <c r="Y676" s="4" t="str">
        <f t="shared" si="60"/>
        <v/>
      </c>
      <c r="Z676" s="4" t="str">
        <f t="shared" si="61"/>
        <v/>
      </c>
      <c r="AA676" s="4" t="str">
        <f>IF($C676="","",IF(COUNTIF($C$1:C675,$C676)+COUNTIF($D$1:D675,$C676)=0,1,0))</f>
        <v/>
      </c>
      <c r="AB676" s="4" t="str">
        <f>IF($D676="","",IF(COUNTIF($C$1:C676,$D676)+COUNTIF($D$1:D675,$D676)=0,1,0))</f>
        <v/>
      </c>
      <c r="AC676" s="4" t="str">
        <f>IF(AA676=1,SUM($AA$2:AA676)-AA676+SUM($AB$2:AB676)-AB676+1,"")</f>
        <v/>
      </c>
      <c r="AD676" s="4" t="str">
        <f>IF(AB676=1,SUM($AA$2:AA676)+SUM($AB$2:AB676)-AB676+1,"")</f>
        <v/>
      </c>
      <c r="AE676" s="4" t="str">
        <f t="shared" si="62"/>
        <v/>
      </c>
      <c r="AF676" s="4" t="str">
        <f t="shared" si="63"/>
        <v/>
      </c>
      <c r="AG676" s="8">
        <f t="shared" si="64"/>
        <v>0</v>
      </c>
      <c r="AI676" s="8">
        <f t="shared" si="65"/>
        <v>0</v>
      </c>
    </row>
    <row r="677" spans="23:35" ht="15" customHeight="1" x14ac:dyDescent="0.25">
      <c r="W677" s="4" t="str">
        <f>IF($C677="","",SUMPRODUCT(($C$2:C677=C677)+($D$2:D677=C677)))</f>
        <v/>
      </c>
      <c r="X677" s="4" t="str">
        <f>IF($D677="","",SUMPRODUCT(($C$2:C677=D677)+($D$2:D677=D677)))</f>
        <v/>
      </c>
      <c r="Y677" s="4" t="str">
        <f t="shared" si="60"/>
        <v/>
      </c>
      <c r="Z677" s="4" t="str">
        <f t="shared" si="61"/>
        <v/>
      </c>
      <c r="AA677" s="4" t="str">
        <f>IF($C677="","",IF(COUNTIF($C$1:C676,$C677)+COUNTIF($D$1:D676,$C677)=0,1,0))</f>
        <v/>
      </c>
      <c r="AB677" s="4" t="str">
        <f>IF($D677="","",IF(COUNTIF($C$1:C677,$D677)+COUNTIF($D$1:D676,$D677)=0,1,0))</f>
        <v/>
      </c>
      <c r="AC677" s="4" t="str">
        <f>IF(AA677=1,SUM($AA$2:AA677)-AA677+SUM($AB$2:AB677)-AB677+1,"")</f>
        <v/>
      </c>
      <c r="AD677" s="4" t="str">
        <f>IF(AB677=1,SUM($AA$2:AA677)+SUM($AB$2:AB677)-AB677+1,"")</f>
        <v/>
      </c>
      <c r="AE677" s="4" t="str">
        <f t="shared" si="62"/>
        <v/>
      </c>
      <c r="AF677" s="4" t="str">
        <f t="shared" si="63"/>
        <v/>
      </c>
      <c r="AG677" s="8">
        <f t="shared" si="64"/>
        <v>0</v>
      </c>
      <c r="AI677" s="8">
        <f t="shared" si="65"/>
        <v>0</v>
      </c>
    </row>
    <row r="678" spans="23:35" ht="15" customHeight="1" x14ac:dyDescent="0.25">
      <c r="W678" s="4" t="str">
        <f>IF($C678="","",SUMPRODUCT(($C$2:C678=C678)+($D$2:D678=C678)))</f>
        <v/>
      </c>
      <c r="X678" s="4" t="str">
        <f>IF($D678="","",SUMPRODUCT(($C$2:C678=D678)+($D$2:D678=D678)))</f>
        <v/>
      </c>
      <c r="Y678" s="4" t="str">
        <f t="shared" si="60"/>
        <v/>
      </c>
      <c r="Z678" s="4" t="str">
        <f t="shared" si="61"/>
        <v/>
      </c>
      <c r="AA678" s="4" t="str">
        <f>IF($C678="","",IF(COUNTIF($C$1:C677,$C678)+COUNTIF($D$1:D677,$C678)=0,1,0))</f>
        <v/>
      </c>
      <c r="AB678" s="4" t="str">
        <f>IF($D678="","",IF(COUNTIF($C$1:C678,$D678)+COUNTIF($D$1:D677,$D678)=0,1,0))</f>
        <v/>
      </c>
      <c r="AC678" s="4" t="str">
        <f>IF(AA678=1,SUM($AA$2:AA678)-AA678+SUM($AB$2:AB678)-AB678+1,"")</f>
        <v/>
      </c>
      <c r="AD678" s="4" t="str">
        <f>IF(AB678=1,SUM($AA$2:AA678)+SUM($AB$2:AB678)-AB678+1,"")</f>
        <v/>
      </c>
      <c r="AE678" s="4" t="str">
        <f t="shared" si="62"/>
        <v/>
      </c>
      <c r="AF678" s="4" t="str">
        <f t="shared" si="63"/>
        <v/>
      </c>
      <c r="AG678" s="8">
        <f t="shared" si="64"/>
        <v>0</v>
      </c>
      <c r="AI678" s="8">
        <f t="shared" si="65"/>
        <v>0</v>
      </c>
    </row>
    <row r="679" spans="23:35" ht="15" customHeight="1" x14ac:dyDescent="0.25">
      <c r="W679" s="4" t="str">
        <f>IF($C679="","",SUMPRODUCT(($C$2:C679=C679)+($D$2:D679=C679)))</f>
        <v/>
      </c>
      <c r="X679" s="4" t="str">
        <f>IF($D679="","",SUMPRODUCT(($C$2:C679=D679)+($D$2:D679=D679)))</f>
        <v/>
      </c>
      <c r="Y679" s="4" t="str">
        <f t="shared" si="60"/>
        <v/>
      </c>
      <c r="Z679" s="4" t="str">
        <f t="shared" si="61"/>
        <v/>
      </c>
      <c r="AA679" s="4" t="str">
        <f>IF($C679="","",IF(COUNTIF($C$1:C678,$C679)+COUNTIF($D$1:D678,$C679)=0,1,0))</f>
        <v/>
      </c>
      <c r="AB679" s="4" t="str">
        <f>IF($D679="","",IF(COUNTIF($C$1:C679,$D679)+COUNTIF($D$1:D678,$D679)=0,1,0))</f>
        <v/>
      </c>
      <c r="AC679" s="4" t="str">
        <f>IF(AA679=1,SUM($AA$2:AA679)-AA679+SUM($AB$2:AB679)-AB679+1,"")</f>
        <v/>
      </c>
      <c r="AD679" s="4" t="str">
        <f>IF(AB679=1,SUM($AA$2:AA679)+SUM($AB$2:AB679)-AB679+1,"")</f>
        <v/>
      </c>
      <c r="AE679" s="4" t="str">
        <f t="shared" si="62"/>
        <v/>
      </c>
      <c r="AF679" s="4" t="str">
        <f t="shared" si="63"/>
        <v/>
      </c>
      <c r="AG679" s="8">
        <f t="shared" si="64"/>
        <v>0</v>
      </c>
      <c r="AI679" s="8">
        <f t="shared" si="65"/>
        <v>0</v>
      </c>
    </row>
    <row r="680" spans="23:35" ht="15" customHeight="1" x14ac:dyDescent="0.25">
      <c r="W680" s="4" t="str">
        <f>IF($C680="","",SUMPRODUCT(($C$2:C680=C680)+($D$2:D680=C680)))</f>
        <v/>
      </c>
      <c r="X680" s="4" t="str">
        <f>IF($D680="","",SUMPRODUCT(($C$2:C680=D680)+($D$2:D680=D680)))</f>
        <v/>
      </c>
      <c r="Y680" s="4" t="str">
        <f t="shared" si="60"/>
        <v/>
      </c>
      <c r="Z680" s="4" t="str">
        <f t="shared" si="61"/>
        <v/>
      </c>
      <c r="AA680" s="4" t="str">
        <f>IF($C680="","",IF(COUNTIF($C$1:C679,$C680)+COUNTIF($D$1:D679,$C680)=0,1,0))</f>
        <v/>
      </c>
      <c r="AB680" s="4" t="str">
        <f>IF($D680="","",IF(COUNTIF($C$1:C680,$D680)+COUNTIF($D$1:D679,$D680)=0,1,0))</f>
        <v/>
      </c>
      <c r="AC680" s="4" t="str">
        <f>IF(AA680=1,SUM($AA$2:AA680)-AA680+SUM($AB$2:AB680)-AB680+1,"")</f>
        <v/>
      </c>
      <c r="AD680" s="4" t="str">
        <f>IF(AB680=1,SUM($AA$2:AA680)+SUM($AB$2:AB680)-AB680+1,"")</f>
        <v/>
      </c>
      <c r="AE680" s="4" t="str">
        <f t="shared" si="62"/>
        <v/>
      </c>
      <c r="AF680" s="4" t="str">
        <f t="shared" si="63"/>
        <v/>
      </c>
      <c r="AG680" s="8">
        <f t="shared" si="64"/>
        <v>0</v>
      </c>
      <c r="AI680" s="8">
        <f t="shared" si="65"/>
        <v>0</v>
      </c>
    </row>
    <row r="681" spans="23:35" ht="15" customHeight="1" x14ac:dyDescent="0.25">
      <c r="W681" s="4" t="str">
        <f>IF($C681="","",SUMPRODUCT(($C$2:C681=C681)+($D$2:D681=C681)))</f>
        <v/>
      </c>
      <c r="X681" s="4" t="str">
        <f>IF($D681="","",SUMPRODUCT(($C$2:C681=D681)+($D$2:D681=D681)))</f>
        <v/>
      </c>
      <c r="Y681" s="4" t="str">
        <f t="shared" si="60"/>
        <v/>
      </c>
      <c r="Z681" s="4" t="str">
        <f t="shared" si="61"/>
        <v/>
      </c>
      <c r="AA681" s="4" t="str">
        <f>IF($C681="","",IF(COUNTIF($C$1:C680,$C681)+COUNTIF($D$1:D680,$C681)=0,1,0))</f>
        <v/>
      </c>
      <c r="AB681" s="4" t="str">
        <f>IF($D681="","",IF(COUNTIF($C$1:C681,$D681)+COUNTIF($D$1:D680,$D681)=0,1,0))</f>
        <v/>
      </c>
      <c r="AC681" s="4" t="str">
        <f>IF(AA681=1,SUM($AA$2:AA681)-AA681+SUM($AB$2:AB681)-AB681+1,"")</f>
        <v/>
      </c>
      <c r="AD681" s="4" t="str">
        <f>IF(AB681=1,SUM($AA$2:AA681)+SUM($AB$2:AB681)-AB681+1,"")</f>
        <v/>
      </c>
      <c r="AE681" s="4" t="str">
        <f t="shared" si="62"/>
        <v/>
      </c>
      <c r="AF681" s="4" t="str">
        <f t="shared" si="63"/>
        <v/>
      </c>
      <c r="AG681" s="8">
        <f t="shared" si="64"/>
        <v>0</v>
      </c>
      <c r="AI681" s="8">
        <f t="shared" si="65"/>
        <v>0</v>
      </c>
    </row>
    <row r="682" spans="23:35" ht="15" customHeight="1" x14ac:dyDescent="0.25">
      <c r="W682" s="4" t="str">
        <f>IF($C682="","",SUMPRODUCT(($C$2:C682=C682)+($D$2:D682=C682)))</f>
        <v/>
      </c>
      <c r="X682" s="4" t="str">
        <f>IF($D682="","",SUMPRODUCT(($C$2:C682=D682)+($D$2:D682=D682)))</f>
        <v/>
      </c>
      <c r="Y682" s="4" t="str">
        <f t="shared" si="60"/>
        <v/>
      </c>
      <c r="Z682" s="4" t="str">
        <f t="shared" si="61"/>
        <v/>
      </c>
      <c r="AA682" s="4" t="str">
        <f>IF($C682="","",IF(COUNTIF($C$1:C681,$C682)+COUNTIF($D$1:D681,$C682)=0,1,0))</f>
        <v/>
      </c>
      <c r="AB682" s="4" t="str">
        <f>IF($D682="","",IF(COUNTIF($C$1:C682,$D682)+COUNTIF($D$1:D681,$D682)=0,1,0))</f>
        <v/>
      </c>
      <c r="AC682" s="4" t="str">
        <f>IF(AA682=1,SUM($AA$2:AA682)-AA682+SUM($AB$2:AB682)-AB682+1,"")</f>
        <v/>
      </c>
      <c r="AD682" s="4" t="str">
        <f>IF(AB682=1,SUM($AA$2:AA682)+SUM($AB$2:AB682)-AB682+1,"")</f>
        <v/>
      </c>
      <c r="AE682" s="4" t="str">
        <f t="shared" si="62"/>
        <v/>
      </c>
      <c r="AF682" s="4" t="str">
        <f t="shared" si="63"/>
        <v/>
      </c>
      <c r="AG682" s="8">
        <f t="shared" si="64"/>
        <v>0</v>
      </c>
      <c r="AI682" s="8">
        <f t="shared" si="65"/>
        <v>0</v>
      </c>
    </row>
    <row r="683" spans="23:35" ht="15" customHeight="1" x14ac:dyDescent="0.25">
      <c r="W683" s="4" t="str">
        <f>IF($C683="","",SUMPRODUCT(($C$2:C683=C683)+($D$2:D683=C683)))</f>
        <v/>
      </c>
      <c r="X683" s="4" t="str">
        <f>IF($D683="","",SUMPRODUCT(($C$2:C683=D683)+($D$2:D683=D683)))</f>
        <v/>
      </c>
      <c r="Y683" s="4" t="str">
        <f t="shared" si="60"/>
        <v/>
      </c>
      <c r="Z683" s="4" t="str">
        <f t="shared" si="61"/>
        <v/>
      </c>
      <c r="AA683" s="4" t="str">
        <f>IF($C683="","",IF(COUNTIF($C$1:C682,$C683)+COUNTIF($D$1:D682,$C683)=0,1,0))</f>
        <v/>
      </c>
      <c r="AB683" s="4" t="str">
        <f>IF($D683="","",IF(COUNTIF($C$1:C683,$D683)+COUNTIF($D$1:D682,$D683)=0,1,0))</f>
        <v/>
      </c>
      <c r="AC683" s="4" t="str">
        <f>IF(AA683=1,SUM($AA$2:AA683)-AA683+SUM($AB$2:AB683)-AB683+1,"")</f>
        <v/>
      </c>
      <c r="AD683" s="4" t="str">
        <f>IF(AB683=1,SUM($AA$2:AA683)+SUM($AB$2:AB683)-AB683+1,"")</f>
        <v/>
      </c>
      <c r="AE683" s="4" t="str">
        <f t="shared" si="62"/>
        <v/>
      </c>
      <c r="AF683" s="4" t="str">
        <f t="shared" si="63"/>
        <v/>
      </c>
      <c r="AG683" s="8">
        <f t="shared" si="64"/>
        <v>0</v>
      </c>
      <c r="AI683" s="8">
        <f t="shared" si="65"/>
        <v>0</v>
      </c>
    </row>
    <row r="684" spans="23:35" ht="15" customHeight="1" x14ac:dyDescent="0.25">
      <c r="W684" s="4" t="str">
        <f>IF($C684="","",SUMPRODUCT(($C$2:C684=C684)+($D$2:D684=C684)))</f>
        <v/>
      </c>
      <c r="X684" s="4" t="str">
        <f>IF($D684="","",SUMPRODUCT(($C$2:C684=D684)+($D$2:D684=D684)))</f>
        <v/>
      </c>
      <c r="Y684" s="4" t="str">
        <f t="shared" si="60"/>
        <v/>
      </c>
      <c r="Z684" s="4" t="str">
        <f t="shared" si="61"/>
        <v/>
      </c>
      <c r="AA684" s="4" t="str">
        <f>IF($C684="","",IF(COUNTIF($C$1:C683,$C684)+COUNTIF($D$1:D683,$C684)=0,1,0))</f>
        <v/>
      </c>
      <c r="AB684" s="4" t="str">
        <f>IF($D684="","",IF(COUNTIF($C$1:C684,$D684)+COUNTIF($D$1:D683,$D684)=0,1,0))</f>
        <v/>
      </c>
      <c r="AC684" s="4" t="str">
        <f>IF(AA684=1,SUM($AA$2:AA684)-AA684+SUM($AB$2:AB684)-AB684+1,"")</f>
        <v/>
      </c>
      <c r="AD684" s="4" t="str">
        <f>IF(AB684=1,SUM($AA$2:AA684)+SUM($AB$2:AB684)-AB684+1,"")</f>
        <v/>
      </c>
      <c r="AE684" s="4" t="str">
        <f t="shared" si="62"/>
        <v/>
      </c>
      <c r="AF684" s="4" t="str">
        <f t="shared" si="63"/>
        <v/>
      </c>
      <c r="AG684" s="8">
        <f t="shared" si="64"/>
        <v>0</v>
      </c>
      <c r="AI684" s="8">
        <f t="shared" si="65"/>
        <v>0</v>
      </c>
    </row>
    <row r="685" spans="23:35" ht="15" customHeight="1" x14ac:dyDescent="0.25">
      <c r="W685" s="4" t="str">
        <f>IF($C685="","",SUMPRODUCT(($C$2:C685=C685)+($D$2:D685=C685)))</f>
        <v/>
      </c>
      <c r="X685" s="4" t="str">
        <f>IF($D685="","",SUMPRODUCT(($C$2:C685=D685)+($D$2:D685=D685)))</f>
        <v/>
      </c>
      <c r="Y685" s="4" t="str">
        <f t="shared" si="60"/>
        <v/>
      </c>
      <c r="Z685" s="4" t="str">
        <f t="shared" si="61"/>
        <v/>
      </c>
      <c r="AA685" s="4" t="str">
        <f>IF($C685="","",IF(COUNTIF($C$1:C684,$C685)+COUNTIF($D$1:D684,$C685)=0,1,0))</f>
        <v/>
      </c>
      <c r="AB685" s="4" t="str">
        <f>IF($D685="","",IF(COUNTIF($C$1:C685,$D685)+COUNTIF($D$1:D684,$D685)=0,1,0))</f>
        <v/>
      </c>
      <c r="AC685" s="4" t="str">
        <f>IF(AA685=1,SUM($AA$2:AA685)-AA685+SUM($AB$2:AB685)-AB685+1,"")</f>
        <v/>
      </c>
      <c r="AD685" s="4" t="str">
        <f>IF(AB685=1,SUM($AA$2:AA685)+SUM($AB$2:AB685)-AB685+1,"")</f>
        <v/>
      </c>
      <c r="AE685" s="4" t="str">
        <f t="shared" si="62"/>
        <v/>
      </c>
      <c r="AF685" s="4" t="str">
        <f t="shared" si="63"/>
        <v/>
      </c>
      <c r="AG685" s="8">
        <f t="shared" si="64"/>
        <v>0</v>
      </c>
      <c r="AI685" s="8">
        <f t="shared" si="65"/>
        <v>0</v>
      </c>
    </row>
    <row r="686" spans="23:35" ht="15" customHeight="1" x14ac:dyDescent="0.25">
      <c r="W686" s="4" t="str">
        <f>IF($C686="","",SUMPRODUCT(($C$2:C686=C686)+($D$2:D686=C686)))</f>
        <v/>
      </c>
      <c r="X686" s="4" t="str">
        <f>IF($D686="","",SUMPRODUCT(($C$2:C686=D686)+($D$2:D686=D686)))</f>
        <v/>
      </c>
      <c r="Y686" s="4" t="str">
        <f t="shared" si="60"/>
        <v/>
      </c>
      <c r="Z686" s="4" t="str">
        <f t="shared" si="61"/>
        <v/>
      </c>
      <c r="AA686" s="4" t="str">
        <f>IF($C686="","",IF(COUNTIF($C$1:C685,$C686)+COUNTIF($D$1:D685,$C686)=0,1,0))</f>
        <v/>
      </c>
      <c r="AB686" s="4" t="str">
        <f>IF($D686="","",IF(COUNTIF($C$1:C686,$D686)+COUNTIF($D$1:D685,$D686)=0,1,0))</f>
        <v/>
      </c>
      <c r="AC686" s="4" t="str">
        <f>IF(AA686=1,SUM($AA$2:AA686)-AA686+SUM($AB$2:AB686)-AB686+1,"")</f>
        <v/>
      </c>
      <c r="AD686" s="4" t="str">
        <f>IF(AB686=1,SUM($AA$2:AA686)+SUM($AB$2:AB686)-AB686+1,"")</f>
        <v/>
      </c>
      <c r="AE686" s="4" t="str">
        <f t="shared" si="62"/>
        <v/>
      </c>
      <c r="AF686" s="4" t="str">
        <f t="shared" si="63"/>
        <v/>
      </c>
      <c r="AG686" s="8">
        <f t="shared" si="64"/>
        <v>0</v>
      </c>
      <c r="AI686" s="8">
        <f t="shared" si="65"/>
        <v>0</v>
      </c>
    </row>
    <row r="687" spans="23:35" ht="15" customHeight="1" x14ac:dyDescent="0.25">
      <c r="W687" s="4" t="str">
        <f>IF($C687="","",SUMPRODUCT(($C$2:C687=C687)+($D$2:D687=C687)))</f>
        <v/>
      </c>
      <c r="X687" s="4" t="str">
        <f>IF($D687="","",SUMPRODUCT(($C$2:C687=D687)+($D$2:D687=D687)))</f>
        <v/>
      </c>
      <c r="Y687" s="4" t="str">
        <f t="shared" si="60"/>
        <v/>
      </c>
      <c r="Z687" s="4" t="str">
        <f t="shared" si="61"/>
        <v/>
      </c>
      <c r="AA687" s="4" t="str">
        <f>IF($C687="","",IF(COUNTIF($C$1:C686,$C687)+COUNTIF($D$1:D686,$C687)=0,1,0))</f>
        <v/>
      </c>
      <c r="AB687" s="4" t="str">
        <f>IF($D687="","",IF(COUNTIF($C$1:C687,$D687)+COUNTIF($D$1:D686,$D687)=0,1,0))</f>
        <v/>
      </c>
      <c r="AC687" s="4" t="str">
        <f>IF(AA687=1,SUM($AA$2:AA687)-AA687+SUM($AB$2:AB687)-AB687+1,"")</f>
        <v/>
      </c>
      <c r="AD687" s="4" t="str">
        <f>IF(AB687=1,SUM($AA$2:AA687)+SUM($AB$2:AB687)-AB687+1,"")</f>
        <v/>
      </c>
      <c r="AE687" s="4" t="str">
        <f t="shared" si="62"/>
        <v/>
      </c>
      <c r="AF687" s="4" t="str">
        <f t="shared" si="63"/>
        <v/>
      </c>
      <c r="AG687" s="8">
        <f t="shared" si="64"/>
        <v>0</v>
      </c>
      <c r="AI687" s="8">
        <f t="shared" si="65"/>
        <v>0</v>
      </c>
    </row>
    <row r="688" spans="23:35" ht="15" customHeight="1" x14ac:dyDescent="0.25">
      <c r="W688" s="4" t="str">
        <f>IF($C688="","",SUMPRODUCT(($C$2:C688=C688)+($D$2:D688=C688)))</f>
        <v/>
      </c>
      <c r="X688" s="4" t="str">
        <f>IF($D688="","",SUMPRODUCT(($C$2:C688=D688)+($D$2:D688=D688)))</f>
        <v/>
      </c>
      <c r="Y688" s="4" t="str">
        <f t="shared" si="60"/>
        <v/>
      </c>
      <c r="Z688" s="4" t="str">
        <f t="shared" si="61"/>
        <v/>
      </c>
      <c r="AA688" s="4" t="str">
        <f>IF($C688="","",IF(COUNTIF($C$1:C687,$C688)+COUNTIF($D$1:D687,$C688)=0,1,0))</f>
        <v/>
      </c>
      <c r="AB688" s="4" t="str">
        <f>IF($D688="","",IF(COUNTIF($C$1:C688,$D688)+COUNTIF($D$1:D687,$D688)=0,1,0))</f>
        <v/>
      </c>
      <c r="AC688" s="4" t="str">
        <f>IF(AA688=1,SUM($AA$2:AA688)-AA688+SUM($AB$2:AB688)-AB688+1,"")</f>
        <v/>
      </c>
      <c r="AD688" s="4" t="str">
        <f>IF(AB688=1,SUM($AA$2:AA688)+SUM($AB$2:AB688)-AB688+1,"")</f>
        <v/>
      </c>
      <c r="AE688" s="4" t="str">
        <f t="shared" si="62"/>
        <v/>
      </c>
      <c r="AF688" s="4" t="str">
        <f t="shared" si="63"/>
        <v/>
      </c>
      <c r="AG688" s="8">
        <f t="shared" si="64"/>
        <v>0</v>
      </c>
      <c r="AI688" s="8">
        <f t="shared" si="65"/>
        <v>0</v>
      </c>
    </row>
    <row r="689" spans="23:35" ht="15" customHeight="1" x14ac:dyDescent="0.25">
      <c r="W689" s="4" t="str">
        <f>IF($C689="","",SUMPRODUCT(($C$2:C689=C689)+($D$2:D689=C689)))</f>
        <v/>
      </c>
      <c r="X689" s="4" t="str">
        <f>IF($D689="","",SUMPRODUCT(($C$2:C689=D689)+($D$2:D689=D689)))</f>
        <v/>
      </c>
      <c r="Y689" s="4" t="str">
        <f t="shared" si="60"/>
        <v/>
      </c>
      <c r="Z689" s="4" t="str">
        <f t="shared" si="61"/>
        <v/>
      </c>
      <c r="AA689" s="4" t="str">
        <f>IF($C689="","",IF(COUNTIF($C$1:C688,$C689)+COUNTIF($D$1:D688,$C689)=0,1,0))</f>
        <v/>
      </c>
      <c r="AB689" s="4" t="str">
        <f>IF($D689="","",IF(COUNTIF($C$1:C689,$D689)+COUNTIF($D$1:D688,$D689)=0,1,0))</f>
        <v/>
      </c>
      <c r="AC689" s="4" t="str">
        <f>IF(AA689=1,SUM($AA$2:AA689)-AA689+SUM($AB$2:AB689)-AB689+1,"")</f>
        <v/>
      </c>
      <c r="AD689" s="4" t="str">
        <f>IF(AB689=1,SUM($AA$2:AA689)+SUM($AB$2:AB689)-AB689+1,"")</f>
        <v/>
      </c>
      <c r="AE689" s="4" t="str">
        <f t="shared" si="62"/>
        <v/>
      </c>
      <c r="AF689" s="4" t="str">
        <f t="shared" si="63"/>
        <v/>
      </c>
      <c r="AG689" s="8">
        <f t="shared" si="64"/>
        <v>0</v>
      </c>
      <c r="AI689" s="8">
        <f t="shared" si="65"/>
        <v>0</v>
      </c>
    </row>
    <row r="690" spans="23:35" ht="15" customHeight="1" x14ac:dyDescent="0.25">
      <c r="W690" s="4" t="str">
        <f>IF($C690="","",SUMPRODUCT(($C$2:C690=C690)+($D$2:D690=C690)))</f>
        <v/>
      </c>
      <c r="X690" s="4" t="str">
        <f>IF($D690="","",SUMPRODUCT(($C$2:C690=D690)+($D$2:D690=D690)))</f>
        <v/>
      </c>
      <c r="Y690" s="4" t="str">
        <f t="shared" si="60"/>
        <v/>
      </c>
      <c r="Z690" s="4" t="str">
        <f t="shared" si="61"/>
        <v/>
      </c>
      <c r="AA690" s="4" t="str">
        <f>IF($C690="","",IF(COUNTIF($C$1:C689,$C690)+COUNTIF($D$1:D689,$C690)=0,1,0))</f>
        <v/>
      </c>
      <c r="AB690" s="4" t="str">
        <f>IF($D690="","",IF(COUNTIF($C$1:C690,$D690)+COUNTIF($D$1:D689,$D690)=0,1,0))</f>
        <v/>
      </c>
      <c r="AC690" s="4" t="str">
        <f>IF(AA690=1,SUM($AA$2:AA690)-AA690+SUM($AB$2:AB690)-AB690+1,"")</f>
        <v/>
      </c>
      <c r="AD690" s="4" t="str">
        <f>IF(AB690=1,SUM($AA$2:AA690)+SUM($AB$2:AB690)-AB690+1,"")</f>
        <v/>
      </c>
      <c r="AE690" s="4" t="str">
        <f t="shared" si="62"/>
        <v/>
      </c>
      <c r="AF690" s="4" t="str">
        <f t="shared" si="63"/>
        <v/>
      </c>
      <c r="AG690" s="8">
        <f t="shared" si="64"/>
        <v>0</v>
      </c>
      <c r="AI690" s="8">
        <f t="shared" si="65"/>
        <v>0</v>
      </c>
    </row>
    <row r="691" spans="23:35" ht="15" customHeight="1" x14ac:dyDescent="0.25">
      <c r="W691" s="4" t="str">
        <f>IF($C691="","",SUMPRODUCT(($C$2:C691=C691)+($D$2:D691=C691)))</f>
        <v/>
      </c>
      <c r="X691" s="4" t="str">
        <f>IF($D691="","",SUMPRODUCT(($C$2:C691=D691)+($D$2:D691=D691)))</f>
        <v/>
      </c>
      <c r="Y691" s="4" t="str">
        <f t="shared" si="60"/>
        <v/>
      </c>
      <c r="Z691" s="4" t="str">
        <f t="shared" si="61"/>
        <v/>
      </c>
      <c r="AA691" s="4" t="str">
        <f>IF($C691="","",IF(COUNTIF($C$1:C690,$C691)+COUNTIF($D$1:D690,$C691)=0,1,0))</f>
        <v/>
      </c>
      <c r="AB691" s="4" t="str">
        <f>IF($D691="","",IF(COUNTIF($C$1:C691,$D691)+COUNTIF($D$1:D690,$D691)=0,1,0))</f>
        <v/>
      </c>
      <c r="AC691" s="4" t="str">
        <f>IF(AA691=1,SUM($AA$2:AA691)-AA691+SUM($AB$2:AB691)-AB691+1,"")</f>
        <v/>
      </c>
      <c r="AD691" s="4" t="str">
        <f>IF(AB691=1,SUM($AA$2:AA691)+SUM($AB$2:AB691)-AB691+1,"")</f>
        <v/>
      </c>
      <c r="AE691" s="4" t="str">
        <f t="shared" si="62"/>
        <v/>
      </c>
      <c r="AF691" s="4" t="str">
        <f t="shared" si="63"/>
        <v/>
      </c>
      <c r="AG691" s="8">
        <f t="shared" si="64"/>
        <v>0</v>
      </c>
      <c r="AI691" s="8">
        <f t="shared" si="65"/>
        <v>0</v>
      </c>
    </row>
    <row r="692" spans="23:35" ht="15" customHeight="1" x14ac:dyDescent="0.25">
      <c r="W692" s="4" t="str">
        <f>IF($C692="","",SUMPRODUCT(($C$2:C692=C692)+($D$2:D692=C692)))</f>
        <v/>
      </c>
      <c r="X692" s="4" t="str">
        <f>IF($D692="","",SUMPRODUCT(($C$2:C692=D692)+($D$2:D692=D692)))</f>
        <v/>
      </c>
      <c r="Y692" s="4" t="str">
        <f t="shared" si="60"/>
        <v/>
      </c>
      <c r="Z692" s="4" t="str">
        <f t="shared" si="61"/>
        <v/>
      </c>
      <c r="AA692" s="4" t="str">
        <f>IF($C692="","",IF(COUNTIF($C$1:C691,$C692)+COUNTIF($D$1:D691,$C692)=0,1,0))</f>
        <v/>
      </c>
      <c r="AB692" s="4" t="str">
        <f>IF($D692="","",IF(COUNTIF($C$1:C692,$D692)+COUNTIF($D$1:D691,$D692)=0,1,0))</f>
        <v/>
      </c>
      <c r="AC692" s="4" t="str">
        <f>IF(AA692=1,SUM($AA$2:AA692)-AA692+SUM($AB$2:AB692)-AB692+1,"")</f>
        <v/>
      </c>
      <c r="AD692" s="4" t="str">
        <f>IF(AB692=1,SUM($AA$2:AA692)+SUM($AB$2:AB692)-AB692+1,"")</f>
        <v/>
      </c>
      <c r="AE692" s="4" t="str">
        <f t="shared" si="62"/>
        <v/>
      </c>
      <c r="AF692" s="4" t="str">
        <f t="shared" si="63"/>
        <v/>
      </c>
      <c r="AG692" s="8">
        <f t="shared" si="64"/>
        <v>0</v>
      </c>
      <c r="AI692" s="8">
        <f t="shared" si="65"/>
        <v>0</v>
      </c>
    </row>
    <row r="693" spans="23:35" ht="15" customHeight="1" x14ac:dyDescent="0.25">
      <c r="W693" s="4" t="str">
        <f>IF($C693="","",SUMPRODUCT(($C$2:C693=C693)+($D$2:D693=C693)))</f>
        <v/>
      </c>
      <c r="X693" s="4" t="str">
        <f>IF($D693="","",SUMPRODUCT(($C$2:C693=D693)+($D$2:D693=D693)))</f>
        <v/>
      </c>
      <c r="Y693" s="4" t="str">
        <f t="shared" si="60"/>
        <v/>
      </c>
      <c r="Z693" s="4" t="str">
        <f t="shared" si="61"/>
        <v/>
      </c>
      <c r="AA693" s="4" t="str">
        <f>IF($C693="","",IF(COUNTIF($C$1:C692,$C693)+COUNTIF($D$1:D692,$C693)=0,1,0))</f>
        <v/>
      </c>
      <c r="AB693" s="4" t="str">
        <f>IF($D693="","",IF(COUNTIF($C$1:C693,$D693)+COUNTIF($D$1:D692,$D693)=0,1,0))</f>
        <v/>
      </c>
      <c r="AC693" s="4" t="str">
        <f>IF(AA693=1,SUM($AA$2:AA693)-AA693+SUM($AB$2:AB693)-AB693+1,"")</f>
        <v/>
      </c>
      <c r="AD693" s="4" t="str">
        <f>IF(AB693=1,SUM($AA$2:AA693)+SUM($AB$2:AB693)-AB693+1,"")</f>
        <v/>
      </c>
      <c r="AE693" s="4" t="str">
        <f t="shared" si="62"/>
        <v/>
      </c>
      <c r="AF693" s="4" t="str">
        <f t="shared" si="63"/>
        <v/>
      </c>
      <c r="AG693" s="8">
        <f t="shared" si="64"/>
        <v>0</v>
      </c>
      <c r="AI693" s="8">
        <f t="shared" si="65"/>
        <v>0</v>
      </c>
    </row>
    <row r="694" spans="23:35" ht="15" customHeight="1" x14ac:dyDescent="0.25">
      <c r="W694" s="4" t="str">
        <f>IF($C694="","",SUMPRODUCT(($C$2:C694=C694)+($D$2:D694=C694)))</f>
        <v/>
      </c>
      <c r="X694" s="4" t="str">
        <f>IF($D694="","",SUMPRODUCT(($C$2:C694=D694)+($D$2:D694=D694)))</f>
        <v/>
      </c>
      <c r="Y694" s="4" t="str">
        <f t="shared" si="60"/>
        <v/>
      </c>
      <c r="Z694" s="4" t="str">
        <f t="shared" si="61"/>
        <v/>
      </c>
      <c r="AA694" s="4" t="str">
        <f>IF($C694="","",IF(COUNTIF($C$1:C693,$C694)+COUNTIF($D$1:D693,$C694)=0,1,0))</f>
        <v/>
      </c>
      <c r="AB694" s="4" t="str">
        <f>IF($D694="","",IF(COUNTIF($C$1:C694,$D694)+COUNTIF($D$1:D693,$D694)=0,1,0))</f>
        <v/>
      </c>
      <c r="AC694" s="4" t="str">
        <f>IF(AA694=1,SUM($AA$2:AA694)-AA694+SUM($AB$2:AB694)-AB694+1,"")</f>
        <v/>
      </c>
      <c r="AD694" s="4" t="str">
        <f>IF(AB694=1,SUM($AA$2:AA694)+SUM($AB$2:AB694)-AB694+1,"")</f>
        <v/>
      </c>
      <c r="AE694" s="4" t="str">
        <f t="shared" si="62"/>
        <v/>
      </c>
      <c r="AF694" s="4" t="str">
        <f t="shared" si="63"/>
        <v/>
      </c>
      <c r="AG694" s="8">
        <f t="shared" si="64"/>
        <v>0</v>
      </c>
      <c r="AI694" s="8">
        <f t="shared" si="65"/>
        <v>0</v>
      </c>
    </row>
    <row r="695" spans="23:35" ht="15" customHeight="1" x14ac:dyDescent="0.25">
      <c r="W695" s="4" t="str">
        <f>IF($C695="","",SUMPRODUCT(($C$2:C695=C695)+($D$2:D695=C695)))</f>
        <v/>
      </c>
      <c r="X695" s="4" t="str">
        <f>IF($D695="","",SUMPRODUCT(($C$2:C695=D695)+($D$2:D695=D695)))</f>
        <v/>
      </c>
      <c r="Y695" s="4" t="str">
        <f t="shared" si="60"/>
        <v/>
      </c>
      <c r="Z695" s="4" t="str">
        <f t="shared" si="61"/>
        <v/>
      </c>
      <c r="AA695" s="4" t="str">
        <f>IF($C695="","",IF(COUNTIF($C$1:C694,$C695)+COUNTIF($D$1:D694,$C695)=0,1,0))</f>
        <v/>
      </c>
      <c r="AB695" s="4" t="str">
        <f>IF($D695="","",IF(COUNTIF($C$1:C695,$D695)+COUNTIF($D$1:D694,$D695)=0,1,0))</f>
        <v/>
      </c>
      <c r="AC695" s="4" t="str">
        <f>IF(AA695=1,SUM($AA$2:AA695)-AA695+SUM($AB$2:AB695)-AB695+1,"")</f>
        <v/>
      </c>
      <c r="AD695" s="4" t="str">
        <f>IF(AB695=1,SUM($AA$2:AA695)+SUM($AB$2:AB695)-AB695+1,"")</f>
        <v/>
      </c>
      <c r="AE695" s="4" t="str">
        <f t="shared" si="62"/>
        <v/>
      </c>
      <c r="AF695" s="4" t="str">
        <f t="shared" si="63"/>
        <v/>
      </c>
      <c r="AG695" s="8">
        <f t="shared" si="64"/>
        <v>0</v>
      </c>
      <c r="AI695" s="8">
        <f t="shared" si="65"/>
        <v>0</v>
      </c>
    </row>
    <row r="696" spans="23:35" ht="15" customHeight="1" x14ac:dyDescent="0.25">
      <c r="W696" s="4" t="str">
        <f>IF($C696="","",SUMPRODUCT(($C$2:C696=C696)+($D$2:D696=C696)))</f>
        <v/>
      </c>
      <c r="X696" s="4" t="str">
        <f>IF($D696="","",SUMPRODUCT(($C$2:C696=D696)+($D$2:D696=D696)))</f>
        <v/>
      </c>
      <c r="Y696" s="4" t="str">
        <f t="shared" si="60"/>
        <v/>
      </c>
      <c r="Z696" s="4" t="str">
        <f t="shared" si="61"/>
        <v/>
      </c>
      <c r="AA696" s="4" t="str">
        <f>IF($C696="","",IF(COUNTIF($C$1:C695,$C696)+COUNTIF($D$1:D695,$C696)=0,1,0))</f>
        <v/>
      </c>
      <c r="AB696" s="4" t="str">
        <f>IF($D696="","",IF(COUNTIF($C$1:C696,$D696)+COUNTIF($D$1:D695,$D696)=0,1,0))</f>
        <v/>
      </c>
      <c r="AC696" s="4" t="str">
        <f>IF(AA696=1,SUM($AA$2:AA696)-AA696+SUM($AB$2:AB696)-AB696+1,"")</f>
        <v/>
      </c>
      <c r="AD696" s="4" t="str">
        <f>IF(AB696=1,SUM($AA$2:AA696)+SUM($AB$2:AB696)-AB696+1,"")</f>
        <v/>
      </c>
      <c r="AE696" s="4" t="str">
        <f t="shared" si="62"/>
        <v/>
      </c>
      <c r="AF696" s="4" t="str">
        <f t="shared" si="63"/>
        <v/>
      </c>
      <c r="AG696" s="8">
        <f t="shared" si="64"/>
        <v>0</v>
      </c>
      <c r="AI696" s="8">
        <f t="shared" si="65"/>
        <v>0</v>
      </c>
    </row>
    <row r="697" spans="23:35" ht="15" customHeight="1" x14ac:dyDescent="0.25">
      <c r="W697" s="4" t="str">
        <f>IF($C697="","",SUMPRODUCT(($C$2:C697=C697)+($D$2:D697=C697)))</f>
        <v/>
      </c>
      <c r="X697" s="4" t="str">
        <f>IF($D697="","",SUMPRODUCT(($C$2:C697=D697)+($D$2:D697=D697)))</f>
        <v/>
      </c>
      <c r="Y697" s="4" t="str">
        <f t="shared" si="60"/>
        <v/>
      </c>
      <c r="Z697" s="4" t="str">
        <f t="shared" si="61"/>
        <v/>
      </c>
      <c r="AA697" s="4" t="str">
        <f>IF($C697="","",IF(COUNTIF($C$1:C696,$C697)+COUNTIF($D$1:D696,$C697)=0,1,0))</f>
        <v/>
      </c>
      <c r="AB697" s="4" t="str">
        <f>IF($D697="","",IF(COUNTIF($C$1:C697,$D697)+COUNTIF($D$1:D696,$D697)=0,1,0))</f>
        <v/>
      </c>
      <c r="AC697" s="4" t="str">
        <f>IF(AA697=1,SUM($AA$2:AA697)-AA697+SUM($AB$2:AB697)-AB697+1,"")</f>
        <v/>
      </c>
      <c r="AD697" s="4" t="str">
        <f>IF(AB697=1,SUM($AA$2:AA697)+SUM($AB$2:AB697)-AB697+1,"")</f>
        <v/>
      </c>
      <c r="AE697" s="4" t="str">
        <f t="shared" si="62"/>
        <v/>
      </c>
      <c r="AF697" s="4" t="str">
        <f t="shared" si="63"/>
        <v/>
      </c>
      <c r="AG697" s="8">
        <f t="shared" si="64"/>
        <v>0</v>
      </c>
      <c r="AI697" s="8">
        <f t="shared" si="65"/>
        <v>0</v>
      </c>
    </row>
    <row r="698" spans="23:35" ht="15" customHeight="1" x14ac:dyDescent="0.25">
      <c r="W698" s="4" t="str">
        <f>IF($C698="","",SUMPRODUCT(($C$2:C698=C698)+($D$2:D698=C698)))</f>
        <v/>
      </c>
      <c r="X698" s="4" t="str">
        <f>IF($D698="","",SUMPRODUCT(($C$2:C698=D698)+($D$2:D698=D698)))</f>
        <v/>
      </c>
      <c r="Y698" s="4" t="str">
        <f t="shared" si="60"/>
        <v/>
      </c>
      <c r="Z698" s="4" t="str">
        <f t="shared" si="61"/>
        <v/>
      </c>
      <c r="AA698" s="4" t="str">
        <f>IF($C698="","",IF(COUNTIF($C$1:C697,$C698)+COUNTIF($D$1:D697,$C698)=0,1,0))</f>
        <v/>
      </c>
      <c r="AB698" s="4" t="str">
        <f>IF($D698="","",IF(COUNTIF($C$1:C698,$D698)+COUNTIF($D$1:D697,$D698)=0,1,0))</f>
        <v/>
      </c>
      <c r="AC698" s="4" t="str">
        <f>IF(AA698=1,SUM($AA$2:AA698)-AA698+SUM($AB$2:AB698)-AB698+1,"")</f>
        <v/>
      </c>
      <c r="AD698" s="4" t="str">
        <f>IF(AB698=1,SUM($AA$2:AA698)+SUM($AB$2:AB698)-AB698+1,"")</f>
        <v/>
      </c>
      <c r="AE698" s="4" t="str">
        <f t="shared" si="62"/>
        <v/>
      </c>
      <c r="AF698" s="4" t="str">
        <f t="shared" si="63"/>
        <v/>
      </c>
      <c r="AG698" s="8">
        <f t="shared" si="64"/>
        <v>0</v>
      </c>
      <c r="AI698" s="8">
        <f t="shared" si="65"/>
        <v>0</v>
      </c>
    </row>
    <row r="699" spans="23:35" ht="15" customHeight="1" x14ac:dyDescent="0.25">
      <c r="W699" s="4" t="str">
        <f>IF($C699="","",SUMPRODUCT(($C$2:C699=C699)+($D$2:D699=C699)))</f>
        <v/>
      </c>
      <c r="X699" s="4" t="str">
        <f>IF($D699="","",SUMPRODUCT(($C$2:C699=D699)+($D$2:D699=D699)))</f>
        <v/>
      </c>
      <c r="Y699" s="4" t="str">
        <f t="shared" si="60"/>
        <v/>
      </c>
      <c r="Z699" s="4" t="str">
        <f t="shared" si="61"/>
        <v/>
      </c>
      <c r="AA699" s="4" t="str">
        <f>IF($C699="","",IF(COUNTIF($C$1:C698,$C699)+COUNTIF($D$1:D698,$C699)=0,1,0))</f>
        <v/>
      </c>
      <c r="AB699" s="4" t="str">
        <f>IF($D699="","",IF(COUNTIF($C$1:C699,$D699)+COUNTIF($D$1:D698,$D699)=0,1,0))</f>
        <v/>
      </c>
      <c r="AC699" s="4" t="str">
        <f>IF(AA699=1,SUM($AA$2:AA699)-AA699+SUM($AB$2:AB699)-AB699+1,"")</f>
        <v/>
      </c>
      <c r="AD699" s="4" t="str">
        <f>IF(AB699=1,SUM($AA$2:AA699)+SUM($AB$2:AB699)-AB699+1,"")</f>
        <v/>
      </c>
      <c r="AE699" s="4" t="str">
        <f t="shared" si="62"/>
        <v/>
      </c>
      <c r="AF699" s="4" t="str">
        <f t="shared" si="63"/>
        <v/>
      </c>
      <c r="AG699" s="8">
        <f t="shared" si="64"/>
        <v>0</v>
      </c>
      <c r="AI699" s="8">
        <f t="shared" si="65"/>
        <v>0</v>
      </c>
    </row>
    <row r="700" spans="23:35" ht="15" customHeight="1" x14ac:dyDescent="0.25">
      <c r="W700" s="4" t="str">
        <f>IF($C700="","",SUMPRODUCT(($C$2:C700=C700)+($D$2:D700=C700)))</f>
        <v/>
      </c>
      <c r="X700" s="4" t="str">
        <f>IF($D700="","",SUMPRODUCT(($C$2:C700=D700)+($D$2:D700=D700)))</f>
        <v/>
      </c>
      <c r="Y700" s="4" t="str">
        <f t="shared" si="60"/>
        <v/>
      </c>
      <c r="Z700" s="4" t="str">
        <f t="shared" si="61"/>
        <v/>
      </c>
      <c r="AA700" s="4" t="str">
        <f>IF($C700="","",IF(COUNTIF($C$1:C699,$C700)+COUNTIF($D$1:D699,$C700)=0,1,0))</f>
        <v/>
      </c>
      <c r="AB700" s="4" t="str">
        <f>IF($D700="","",IF(COUNTIF($C$1:C700,$D700)+COUNTIF($D$1:D699,$D700)=0,1,0))</f>
        <v/>
      </c>
      <c r="AC700" s="4" t="str">
        <f>IF(AA700=1,SUM($AA$2:AA700)-AA700+SUM($AB$2:AB700)-AB700+1,"")</f>
        <v/>
      </c>
      <c r="AD700" s="4" t="str">
        <f>IF(AB700=1,SUM($AA$2:AA700)+SUM($AB$2:AB700)-AB700+1,"")</f>
        <v/>
      </c>
      <c r="AE700" s="4" t="str">
        <f t="shared" si="62"/>
        <v/>
      </c>
      <c r="AF700" s="4" t="str">
        <f t="shared" si="63"/>
        <v/>
      </c>
      <c r="AG700" s="8">
        <f t="shared" si="64"/>
        <v>0</v>
      </c>
      <c r="AI700" s="8">
        <f t="shared" si="65"/>
        <v>0</v>
      </c>
    </row>
    <row r="701" spans="23:35" ht="15" customHeight="1" x14ac:dyDescent="0.25">
      <c r="W701" s="4" t="str">
        <f>IF($C701="","",SUMPRODUCT(($C$2:C701=C701)+($D$2:D701=C701)))</f>
        <v/>
      </c>
      <c r="X701" s="4" t="str">
        <f>IF($D701="","",SUMPRODUCT(($C$2:C701=D701)+($D$2:D701=D701)))</f>
        <v/>
      </c>
      <c r="Y701" s="4" t="str">
        <f t="shared" si="60"/>
        <v/>
      </c>
      <c r="Z701" s="4" t="str">
        <f t="shared" si="61"/>
        <v/>
      </c>
      <c r="AA701" s="4" t="str">
        <f>IF($C701="","",IF(COUNTIF($C$1:C700,$C701)+COUNTIF($D$1:D700,$C701)=0,1,0))</f>
        <v/>
      </c>
      <c r="AB701" s="4" t="str">
        <f>IF($D701="","",IF(COUNTIF($C$1:C701,$D701)+COUNTIF($D$1:D700,$D701)=0,1,0))</f>
        <v/>
      </c>
      <c r="AC701" s="4" t="str">
        <f>IF(AA701=1,SUM($AA$2:AA701)-AA701+SUM($AB$2:AB701)-AB701+1,"")</f>
        <v/>
      </c>
      <c r="AD701" s="4" t="str">
        <f>IF(AB701=1,SUM($AA$2:AA701)+SUM($AB$2:AB701)-AB701+1,"")</f>
        <v/>
      </c>
      <c r="AE701" s="4" t="str">
        <f t="shared" si="62"/>
        <v/>
      </c>
      <c r="AF701" s="4" t="str">
        <f t="shared" si="63"/>
        <v/>
      </c>
      <c r="AG701" s="8">
        <f t="shared" si="64"/>
        <v>0</v>
      </c>
      <c r="AI701" s="8">
        <f t="shared" si="65"/>
        <v>0</v>
      </c>
    </row>
    <row r="702" spans="23:35" ht="15" customHeight="1" x14ac:dyDescent="0.25">
      <c r="W702" s="4" t="str">
        <f>IF($C702="","",SUMPRODUCT(($C$2:C702=C702)+($D$2:D702=C702)))</f>
        <v/>
      </c>
      <c r="X702" s="4" t="str">
        <f>IF($D702="","",SUMPRODUCT(($C$2:C702=D702)+($D$2:D702=D702)))</f>
        <v/>
      </c>
      <c r="Y702" s="4" t="str">
        <f t="shared" si="60"/>
        <v/>
      </c>
      <c r="Z702" s="4" t="str">
        <f t="shared" si="61"/>
        <v/>
      </c>
      <c r="AA702" s="4" t="str">
        <f>IF($C702="","",IF(COUNTIF($C$1:C701,$C702)+COUNTIF($D$1:D701,$C702)=0,1,0))</f>
        <v/>
      </c>
      <c r="AB702" s="4" t="str">
        <f>IF($D702="","",IF(COUNTIF($C$1:C702,$D702)+COUNTIF($D$1:D701,$D702)=0,1,0))</f>
        <v/>
      </c>
      <c r="AC702" s="4" t="str">
        <f>IF(AA702=1,SUM($AA$2:AA702)-AA702+SUM($AB$2:AB702)-AB702+1,"")</f>
        <v/>
      </c>
      <c r="AD702" s="4" t="str">
        <f>IF(AB702=1,SUM($AA$2:AA702)+SUM($AB$2:AB702)-AB702+1,"")</f>
        <v/>
      </c>
      <c r="AE702" s="4" t="str">
        <f t="shared" si="62"/>
        <v/>
      </c>
      <c r="AF702" s="4" t="str">
        <f t="shared" si="63"/>
        <v/>
      </c>
      <c r="AG702" s="8">
        <f t="shared" si="64"/>
        <v>0</v>
      </c>
      <c r="AI702" s="8">
        <f t="shared" si="65"/>
        <v>0</v>
      </c>
    </row>
    <row r="703" spans="23:35" ht="15" customHeight="1" x14ac:dyDescent="0.25">
      <c r="W703" s="4" t="str">
        <f>IF($C703="","",SUMPRODUCT(($C$2:C703=C703)+($D$2:D703=C703)))</f>
        <v/>
      </c>
      <c r="X703" s="4" t="str">
        <f>IF($D703="","",SUMPRODUCT(($C$2:C703=D703)+($D$2:D703=D703)))</f>
        <v/>
      </c>
      <c r="Y703" s="4" t="str">
        <f t="shared" si="60"/>
        <v/>
      </c>
      <c r="Z703" s="4" t="str">
        <f t="shared" si="61"/>
        <v/>
      </c>
      <c r="AA703" s="4" t="str">
        <f>IF($C703="","",IF(COUNTIF($C$1:C702,$C703)+COUNTIF($D$1:D702,$C703)=0,1,0))</f>
        <v/>
      </c>
      <c r="AB703" s="4" t="str">
        <f>IF($D703="","",IF(COUNTIF($C$1:C703,$D703)+COUNTIF($D$1:D702,$D703)=0,1,0))</f>
        <v/>
      </c>
      <c r="AC703" s="4" t="str">
        <f>IF(AA703=1,SUM($AA$2:AA703)-AA703+SUM($AB$2:AB703)-AB703+1,"")</f>
        <v/>
      </c>
      <c r="AD703" s="4" t="str">
        <f>IF(AB703=1,SUM($AA$2:AA703)+SUM($AB$2:AB703)-AB703+1,"")</f>
        <v/>
      </c>
      <c r="AE703" s="4" t="str">
        <f t="shared" si="62"/>
        <v/>
      </c>
      <c r="AF703" s="4" t="str">
        <f t="shared" si="63"/>
        <v/>
      </c>
      <c r="AG703" s="8">
        <f t="shared" si="64"/>
        <v>0</v>
      </c>
      <c r="AI703" s="8">
        <f t="shared" si="65"/>
        <v>0</v>
      </c>
    </row>
    <row r="704" spans="23:35" ht="15" customHeight="1" x14ac:dyDescent="0.25">
      <c r="W704" s="4" t="str">
        <f>IF($C704="","",SUMPRODUCT(($C$2:C704=C704)+($D$2:D704=C704)))</f>
        <v/>
      </c>
      <c r="X704" s="4" t="str">
        <f>IF($D704="","",SUMPRODUCT(($C$2:C704=D704)+($D$2:D704=D704)))</f>
        <v/>
      </c>
      <c r="Y704" s="4" t="str">
        <f t="shared" si="60"/>
        <v/>
      </c>
      <c r="Z704" s="4" t="str">
        <f t="shared" si="61"/>
        <v/>
      </c>
      <c r="AA704" s="4" t="str">
        <f>IF($C704="","",IF(COUNTIF($C$1:C703,$C704)+COUNTIF($D$1:D703,$C704)=0,1,0))</f>
        <v/>
      </c>
      <c r="AB704" s="4" t="str">
        <f>IF($D704="","",IF(COUNTIF($C$1:C704,$D704)+COUNTIF($D$1:D703,$D704)=0,1,0))</f>
        <v/>
      </c>
      <c r="AC704" s="4" t="str">
        <f>IF(AA704=1,SUM($AA$2:AA704)-AA704+SUM($AB$2:AB704)-AB704+1,"")</f>
        <v/>
      </c>
      <c r="AD704" s="4" t="str">
        <f>IF(AB704=1,SUM($AA$2:AA704)+SUM($AB$2:AB704)-AB704+1,"")</f>
        <v/>
      </c>
      <c r="AE704" s="4" t="str">
        <f t="shared" si="62"/>
        <v/>
      </c>
      <c r="AF704" s="4" t="str">
        <f t="shared" si="63"/>
        <v/>
      </c>
      <c r="AG704" s="8">
        <f t="shared" si="64"/>
        <v>0</v>
      </c>
      <c r="AI704" s="8">
        <f t="shared" si="65"/>
        <v>0</v>
      </c>
    </row>
    <row r="705" spans="23:35" ht="15" customHeight="1" x14ac:dyDescent="0.25">
      <c r="W705" s="4" t="str">
        <f>IF($C705="","",SUMPRODUCT(($C$2:C705=C705)+($D$2:D705=C705)))</f>
        <v/>
      </c>
      <c r="X705" s="4" t="str">
        <f>IF($D705="","",SUMPRODUCT(($C$2:C705=D705)+($D$2:D705=D705)))</f>
        <v/>
      </c>
      <c r="Y705" s="4" t="str">
        <f t="shared" si="60"/>
        <v/>
      </c>
      <c r="Z705" s="4" t="str">
        <f t="shared" si="61"/>
        <v/>
      </c>
      <c r="AA705" s="4" t="str">
        <f>IF($C705="","",IF(COUNTIF($C$1:C704,$C705)+COUNTIF($D$1:D704,$C705)=0,1,0))</f>
        <v/>
      </c>
      <c r="AB705" s="4" t="str">
        <f>IF($D705="","",IF(COUNTIF($C$1:C705,$D705)+COUNTIF($D$1:D704,$D705)=0,1,0))</f>
        <v/>
      </c>
      <c r="AC705" s="4" t="str">
        <f>IF(AA705=1,SUM($AA$2:AA705)-AA705+SUM($AB$2:AB705)-AB705+1,"")</f>
        <v/>
      </c>
      <c r="AD705" s="4" t="str">
        <f>IF(AB705=1,SUM($AA$2:AA705)+SUM($AB$2:AB705)-AB705+1,"")</f>
        <v/>
      </c>
      <c r="AE705" s="4" t="str">
        <f t="shared" si="62"/>
        <v/>
      </c>
      <c r="AF705" s="4" t="str">
        <f t="shared" si="63"/>
        <v/>
      </c>
      <c r="AG705" s="8">
        <f t="shared" si="64"/>
        <v>0</v>
      </c>
      <c r="AI705" s="8">
        <f t="shared" si="65"/>
        <v>0</v>
      </c>
    </row>
    <row r="706" spans="23:35" ht="15" customHeight="1" x14ac:dyDescent="0.25">
      <c r="W706" s="4" t="str">
        <f>IF($C706="","",SUMPRODUCT(($C$2:C706=C706)+($D$2:D706=C706)))</f>
        <v/>
      </c>
      <c r="X706" s="4" t="str">
        <f>IF($D706="","",SUMPRODUCT(($C$2:C706=D706)+($D$2:D706=D706)))</f>
        <v/>
      </c>
      <c r="Y706" s="4" t="str">
        <f t="shared" ref="Y706:Y769" si="66">IF($C706="","",C706&amp;"|"&amp;W706)</f>
        <v/>
      </c>
      <c r="Z706" s="4" t="str">
        <f t="shared" ref="Z706:Z769" si="67">IF($D706="","",D706&amp;"|"&amp;X706)</f>
        <v/>
      </c>
      <c r="AA706" s="4" t="str">
        <f>IF($C706="","",IF(COUNTIF($C$1:C705,$C706)+COUNTIF($D$1:D705,$C706)=0,1,0))</f>
        <v/>
      </c>
      <c r="AB706" s="4" t="str">
        <f>IF($D706="","",IF(COUNTIF($C$1:C706,$D706)+COUNTIF($D$1:D705,$D706)=0,1,0))</f>
        <v/>
      </c>
      <c r="AC706" s="4" t="str">
        <f>IF(AA706=1,SUM($AA$2:AA706)-AA706+SUM($AB$2:AB706)-AB706+1,"")</f>
        <v/>
      </c>
      <c r="AD706" s="4" t="str">
        <f>IF(AB706=1,SUM($AA$2:AA706)+SUM($AB$2:AB706)-AB706+1,"")</f>
        <v/>
      </c>
      <c r="AE706" s="4" t="str">
        <f t="shared" ref="AE706:AE769" si="68">IF(AC706="","","TEAM|"&amp;AC706)</f>
        <v/>
      </c>
      <c r="AF706" s="4" t="str">
        <f t="shared" ref="AF706:AF769" si="69">IF(AD706="","","TEAM|"&amp;AD706)</f>
        <v/>
      </c>
      <c r="AG706" s="8">
        <f t="shared" ref="AG706:AG769" si="70">IF(AH706="",0,LEN(AH706)-LEN(SUBSTITUTE(AH706,"/",""))+1)</f>
        <v>0</v>
      </c>
      <c r="AI706" s="8">
        <f t="shared" ref="AI706:AI769" si="71">IF(AJ706="",0,LEN(AJ706)-LEN(SUBSTITUTE(AJ706,"/",""))+1)</f>
        <v>0</v>
      </c>
    </row>
    <row r="707" spans="23:35" ht="15" customHeight="1" x14ac:dyDescent="0.25">
      <c r="W707" s="4" t="str">
        <f>IF($C707="","",SUMPRODUCT(($C$2:C707=C707)+($D$2:D707=C707)))</f>
        <v/>
      </c>
      <c r="X707" s="4" t="str">
        <f>IF($D707="","",SUMPRODUCT(($C$2:C707=D707)+($D$2:D707=D707)))</f>
        <v/>
      </c>
      <c r="Y707" s="4" t="str">
        <f t="shared" si="66"/>
        <v/>
      </c>
      <c r="Z707" s="4" t="str">
        <f t="shared" si="67"/>
        <v/>
      </c>
      <c r="AA707" s="4" t="str">
        <f>IF($C707="","",IF(COUNTIF($C$1:C706,$C707)+COUNTIF($D$1:D706,$C707)=0,1,0))</f>
        <v/>
      </c>
      <c r="AB707" s="4" t="str">
        <f>IF($D707="","",IF(COUNTIF($C$1:C707,$D707)+COUNTIF($D$1:D706,$D707)=0,1,0))</f>
        <v/>
      </c>
      <c r="AC707" s="4" t="str">
        <f>IF(AA707=1,SUM($AA$2:AA707)-AA707+SUM($AB$2:AB707)-AB707+1,"")</f>
        <v/>
      </c>
      <c r="AD707" s="4" t="str">
        <f>IF(AB707=1,SUM($AA$2:AA707)+SUM($AB$2:AB707)-AB707+1,"")</f>
        <v/>
      </c>
      <c r="AE707" s="4" t="str">
        <f t="shared" si="68"/>
        <v/>
      </c>
      <c r="AF707" s="4" t="str">
        <f t="shared" si="69"/>
        <v/>
      </c>
      <c r="AG707" s="8">
        <f t="shared" si="70"/>
        <v>0</v>
      </c>
      <c r="AI707" s="8">
        <f t="shared" si="71"/>
        <v>0</v>
      </c>
    </row>
    <row r="708" spans="23:35" ht="15" customHeight="1" x14ac:dyDescent="0.25">
      <c r="W708" s="4" t="str">
        <f>IF($C708="","",SUMPRODUCT(($C$2:C708=C708)+($D$2:D708=C708)))</f>
        <v/>
      </c>
      <c r="X708" s="4" t="str">
        <f>IF($D708="","",SUMPRODUCT(($C$2:C708=D708)+($D$2:D708=D708)))</f>
        <v/>
      </c>
      <c r="Y708" s="4" t="str">
        <f t="shared" si="66"/>
        <v/>
      </c>
      <c r="Z708" s="4" t="str">
        <f t="shared" si="67"/>
        <v/>
      </c>
      <c r="AA708" s="4" t="str">
        <f>IF($C708="","",IF(COUNTIF($C$1:C707,$C708)+COUNTIF($D$1:D707,$C708)=0,1,0))</f>
        <v/>
      </c>
      <c r="AB708" s="4" t="str">
        <f>IF($D708="","",IF(COUNTIF($C$1:C708,$D708)+COUNTIF($D$1:D707,$D708)=0,1,0))</f>
        <v/>
      </c>
      <c r="AC708" s="4" t="str">
        <f>IF(AA708=1,SUM($AA$2:AA708)-AA708+SUM($AB$2:AB708)-AB708+1,"")</f>
        <v/>
      </c>
      <c r="AD708" s="4" t="str">
        <f>IF(AB708=1,SUM($AA$2:AA708)+SUM($AB$2:AB708)-AB708+1,"")</f>
        <v/>
      </c>
      <c r="AE708" s="4" t="str">
        <f t="shared" si="68"/>
        <v/>
      </c>
      <c r="AF708" s="4" t="str">
        <f t="shared" si="69"/>
        <v/>
      </c>
      <c r="AG708" s="8">
        <f t="shared" si="70"/>
        <v>0</v>
      </c>
      <c r="AI708" s="8">
        <f t="shared" si="71"/>
        <v>0</v>
      </c>
    </row>
    <row r="709" spans="23:35" ht="15" customHeight="1" x14ac:dyDescent="0.25">
      <c r="W709" s="4" t="str">
        <f>IF($C709="","",SUMPRODUCT(($C$2:C709=C709)+($D$2:D709=C709)))</f>
        <v/>
      </c>
      <c r="X709" s="4" t="str">
        <f>IF($D709="","",SUMPRODUCT(($C$2:C709=D709)+($D$2:D709=D709)))</f>
        <v/>
      </c>
      <c r="Y709" s="4" t="str">
        <f t="shared" si="66"/>
        <v/>
      </c>
      <c r="Z709" s="4" t="str">
        <f t="shared" si="67"/>
        <v/>
      </c>
      <c r="AA709" s="4" t="str">
        <f>IF($C709="","",IF(COUNTIF($C$1:C708,$C709)+COUNTIF($D$1:D708,$C709)=0,1,0))</f>
        <v/>
      </c>
      <c r="AB709" s="4" t="str">
        <f>IF($D709="","",IF(COUNTIF($C$1:C709,$D709)+COUNTIF($D$1:D708,$D709)=0,1,0))</f>
        <v/>
      </c>
      <c r="AC709" s="4" t="str">
        <f>IF(AA709=1,SUM($AA$2:AA709)-AA709+SUM($AB$2:AB709)-AB709+1,"")</f>
        <v/>
      </c>
      <c r="AD709" s="4" t="str">
        <f>IF(AB709=1,SUM($AA$2:AA709)+SUM($AB$2:AB709)-AB709+1,"")</f>
        <v/>
      </c>
      <c r="AE709" s="4" t="str">
        <f t="shared" si="68"/>
        <v/>
      </c>
      <c r="AF709" s="4" t="str">
        <f t="shared" si="69"/>
        <v/>
      </c>
      <c r="AG709" s="8">
        <f t="shared" si="70"/>
        <v>0</v>
      </c>
      <c r="AI709" s="8">
        <f t="shared" si="71"/>
        <v>0</v>
      </c>
    </row>
    <row r="710" spans="23:35" ht="15" customHeight="1" x14ac:dyDescent="0.25">
      <c r="W710" s="4" t="str">
        <f>IF($C710="","",SUMPRODUCT(($C$2:C710=C710)+($D$2:D710=C710)))</f>
        <v/>
      </c>
      <c r="X710" s="4" t="str">
        <f>IF($D710="","",SUMPRODUCT(($C$2:C710=D710)+($D$2:D710=D710)))</f>
        <v/>
      </c>
      <c r="Y710" s="4" t="str">
        <f t="shared" si="66"/>
        <v/>
      </c>
      <c r="Z710" s="4" t="str">
        <f t="shared" si="67"/>
        <v/>
      </c>
      <c r="AA710" s="4" t="str">
        <f>IF($C710="","",IF(COUNTIF($C$1:C709,$C710)+COUNTIF($D$1:D709,$C710)=0,1,0))</f>
        <v/>
      </c>
      <c r="AB710" s="4" t="str">
        <f>IF($D710="","",IF(COUNTIF($C$1:C710,$D710)+COUNTIF($D$1:D709,$D710)=0,1,0))</f>
        <v/>
      </c>
      <c r="AC710" s="4" t="str">
        <f>IF(AA710=1,SUM($AA$2:AA710)-AA710+SUM($AB$2:AB710)-AB710+1,"")</f>
        <v/>
      </c>
      <c r="AD710" s="4" t="str">
        <f>IF(AB710=1,SUM($AA$2:AA710)+SUM($AB$2:AB710)-AB710+1,"")</f>
        <v/>
      </c>
      <c r="AE710" s="4" t="str">
        <f t="shared" si="68"/>
        <v/>
      </c>
      <c r="AF710" s="4" t="str">
        <f t="shared" si="69"/>
        <v/>
      </c>
      <c r="AG710" s="8">
        <f t="shared" si="70"/>
        <v>0</v>
      </c>
      <c r="AI710" s="8">
        <f t="shared" si="71"/>
        <v>0</v>
      </c>
    </row>
    <row r="711" spans="23:35" ht="15" customHeight="1" x14ac:dyDescent="0.25">
      <c r="W711" s="4" t="str">
        <f>IF($C711="","",SUMPRODUCT(($C$2:C711=C711)+($D$2:D711=C711)))</f>
        <v/>
      </c>
      <c r="X711" s="4" t="str">
        <f>IF($D711="","",SUMPRODUCT(($C$2:C711=D711)+($D$2:D711=D711)))</f>
        <v/>
      </c>
      <c r="Y711" s="4" t="str">
        <f t="shared" si="66"/>
        <v/>
      </c>
      <c r="Z711" s="4" t="str">
        <f t="shared" si="67"/>
        <v/>
      </c>
      <c r="AA711" s="4" t="str">
        <f>IF($C711="","",IF(COUNTIF($C$1:C710,$C711)+COUNTIF($D$1:D710,$C711)=0,1,0))</f>
        <v/>
      </c>
      <c r="AB711" s="4" t="str">
        <f>IF($D711="","",IF(COUNTIF($C$1:C711,$D711)+COUNTIF($D$1:D710,$D711)=0,1,0))</f>
        <v/>
      </c>
      <c r="AC711" s="4" t="str">
        <f>IF(AA711=1,SUM($AA$2:AA711)-AA711+SUM($AB$2:AB711)-AB711+1,"")</f>
        <v/>
      </c>
      <c r="AD711" s="4" t="str">
        <f>IF(AB711=1,SUM($AA$2:AA711)+SUM($AB$2:AB711)-AB711+1,"")</f>
        <v/>
      </c>
      <c r="AE711" s="4" t="str">
        <f t="shared" si="68"/>
        <v/>
      </c>
      <c r="AF711" s="4" t="str">
        <f t="shared" si="69"/>
        <v/>
      </c>
      <c r="AG711" s="8">
        <f t="shared" si="70"/>
        <v>0</v>
      </c>
      <c r="AI711" s="8">
        <f t="shared" si="71"/>
        <v>0</v>
      </c>
    </row>
    <row r="712" spans="23:35" ht="15" customHeight="1" x14ac:dyDescent="0.25">
      <c r="W712" s="4" t="str">
        <f>IF($C712="","",SUMPRODUCT(($C$2:C712=C712)+($D$2:D712=C712)))</f>
        <v/>
      </c>
      <c r="X712" s="4" t="str">
        <f>IF($D712="","",SUMPRODUCT(($C$2:C712=D712)+($D$2:D712=D712)))</f>
        <v/>
      </c>
      <c r="Y712" s="4" t="str">
        <f t="shared" si="66"/>
        <v/>
      </c>
      <c r="Z712" s="4" t="str">
        <f t="shared" si="67"/>
        <v/>
      </c>
      <c r="AA712" s="4" t="str">
        <f>IF($C712="","",IF(COUNTIF($C$1:C711,$C712)+COUNTIF($D$1:D711,$C712)=0,1,0))</f>
        <v/>
      </c>
      <c r="AB712" s="4" t="str">
        <f>IF($D712="","",IF(COUNTIF($C$1:C712,$D712)+COUNTIF($D$1:D711,$D712)=0,1,0))</f>
        <v/>
      </c>
      <c r="AC712" s="4" t="str">
        <f>IF(AA712=1,SUM($AA$2:AA712)-AA712+SUM($AB$2:AB712)-AB712+1,"")</f>
        <v/>
      </c>
      <c r="AD712" s="4" t="str">
        <f>IF(AB712=1,SUM($AA$2:AA712)+SUM($AB$2:AB712)-AB712+1,"")</f>
        <v/>
      </c>
      <c r="AE712" s="4" t="str">
        <f t="shared" si="68"/>
        <v/>
      </c>
      <c r="AF712" s="4" t="str">
        <f t="shared" si="69"/>
        <v/>
      </c>
      <c r="AG712" s="8">
        <f t="shared" si="70"/>
        <v>0</v>
      </c>
      <c r="AI712" s="8">
        <f t="shared" si="71"/>
        <v>0</v>
      </c>
    </row>
    <row r="713" spans="23:35" ht="15" customHeight="1" x14ac:dyDescent="0.25">
      <c r="W713" s="4" t="str">
        <f>IF($C713="","",SUMPRODUCT(($C$2:C713=C713)+($D$2:D713=C713)))</f>
        <v/>
      </c>
      <c r="X713" s="4" t="str">
        <f>IF($D713="","",SUMPRODUCT(($C$2:C713=D713)+($D$2:D713=D713)))</f>
        <v/>
      </c>
      <c r="Y713" s="4" t="str">
        <f t="shared" si="66"/>
        <v/>
      </c>
      <c r="Z713" s="4" t="str">
        <f t="shared" si="67"/>
        <v/>
      </c>
      <c r="AA713" s="4" t="str">
        <f>IF($C713="","",IF(COUNTIF($C$1:C712,$C713)+COUNTIF($D$1:D712,$C713)=0,1,0))</f>
        <v/>
      </c>
      <c r="AB713" s="4" t="str">
        <f>IF($D713="","",IF(COUNTIF($C$1:C713,$D713)+COUNTIF($D$1:D712,$D713)=0,1,0))</f>
        <v/>
      </c>
      <c r="AC713" s="4" t="str">
        <f>IF(AA713=1,SUM($AA$2:AA713)-AA713+SUM($AB$2:AB713)-AB713+1,"")</f>
        <v/>
      </c>
      <c r="AD713" s="4" t="str">
        <f>IF(AB713=1,SUM($AA$2:AA713)+SUM($AB$2:AB713)-AB713+1,"")</f>
        <v/>
      </c>
      <c r="AE713" s="4" t="str">
        <f t="shared" si="68"/>
        <v/>
      </c>
      <c r="AF713" s="4" t="str">
        <f t="shared" si="69"/>
        <v/>
      </c>
      <c r="AG713" s="8">
        <f t="shared" si="70"/>
        <v>0</v>
      </c>
      <c r="AI713" s="8">
        <f t="shared" si="71"/>
        <v>0</v>
      </c>
    </row>
    <row r="714" spans="23:35" ht="15" customHeight="1" x14ac:dyDescent="0.25">
      <c r="W714" s="4" t="str">
        <f>IF($C714="","",SUMPRODUCT(($C$2:C714=C714)+($D$2:D714=C714)))</f>
        <v/>
      </c>
      <c r="X714" s="4" t="str">
        <f>IF($D714="","",SUMPRODUCT(($C$2:C714=D714)+($D$2:D714=D714)))</f>
        <v/>
      </c>
      <c r="Y714" s="4" t="str">
        <f t="shared" si="66"/>
        <v/>
      </c>
      <c r="Z714" s="4" t="str">
        <f t="shared" si="67"/>
        <v/>
      </c>
      <c r="AA714" s="4" t="str">
        <f>IF($C714="","",IF(COUNTIF($C$1:C713,$C714)+COUNTIF($D$1:D713,$C714)=0,1,0))</f>
        <v/>
      </c>
      <c r="AB714" s="4" t="str">
        <f>IF($D714="","",IF(COUNTIF($C$1:C714,$D714)+COUNTIF($D$1:D713,$D714)=0,1,0))</f>
        <v/>
      </c>
      <c r="AC714" s="4" t="str">
        <f>IF(AA714=1,SUM($AA$2:AA714)-AA714+SUM($AB$2:AB714)-AB714+1,"")</f>
        <v/>
      </c>
      <c r="AD714" s="4" t="str">
        <f>IF(AB714=1,SUM($AA$2:AA714)+SUM($AB$2:AB714)-AB714+1,"")</f>
        <v/>
      </c>
      <c r="AE714" s="4" t="str">
        <f t="shared" si="68"/>
        <v/>
      </c>
      <c r="AF714" s="4" t="str">
        <f t="shared" si="69"/>
        <v/>
      </c>
      <c r="AG714" s="8">
        <f t="shared" si="70"/>
        <v>0</v>
      </c>
      <c r="AI714" s="8">
        <f t="shared" si="71"/>
        <v>0</v>
      </c>
    </row>
    <row r="715" spans="23:35" ht="15" customHeight="1" x14ac:dyDescent="0.25">
      <c r="W715" s="4" t="str">
        <f>IF($C715="","",SUMPRODUCT(($C$2:C715=C715)+($D$2:D715=C715)))</f>
        <v/>
      </c>
      <c r="X715" s="4" t="str">
        <f>IF($D715="","",SUMPRODUCT(($C$2:C715=D715)+($D$2:D715=D715)))</f>
        <v/>
      </c>
      <c r="Y715" s="4" t="str">
        <f t="shared" si="66"/>
        <v/>
      </c>
      <c r="Z715" s="4" t="str">
        <f t="shared" si="67"/>
        <v/>
      </c>
      <c r="AA715" s="4" t="str">
        <f>IF($C715="","",IF(COUNTIF($C$1:C714,$C715)+COUNTIF($D$1:D714,$C715)=0,1,0))</f>
        <v/>
      </c>
      <c r="AB715" s="4" t="str">
        <f>IF($D715="","",IF(COUNTIF($C$1:C715,$D715)+COUNTIF($D$1:D714,$D715)=0,1,0))</f>
        <v/>
      </c>
      <c r="AC715" s="4" t="str">
        <f>IF(AA715=1,SUM($AA$2:AA715)-AA715+SUM($AB$2:AB715)-AB715+1,"")</f>
        <v/>
      </c>
      <c r="AD715" s="4" t="str">
        <f>IF(AB715=1,SUM($AA$2:AA715)+SUM($AB$2:AB715)-AB715+1,"")</f>
        <v/>
      </c>
      <c r="AE715" s="4" t="str">
        <f t="shared" si="68"/>
        <v/>
      </c>
      <c r="AF715" s="4" t="str">
        <f t="shared" si="69"/>
        <v/>
      </c>
      <c r="AG715" s="8">
        <f t="shared" si="70"/>
        <v>0</v>
      </c>
      <c r="AI715" s="8">
        <f t="shared" si="71"/>
        <v>0</v>
      </c>
    </row>
    <row r="716" spans="23:35" ht="15" customHeight="1" x14ac:dyDescent="0.25">
      <c r="W716" s="4" t="str">
        <f>IF($C716="","",SUMPRODUCT(($C$2:C716=C716)+($D$2:D716=C716)))</f>
        <v/>
      </c>
      <c r="X716" s="4" t="str">
        <f>IF($D716="","",SUMPRODUCT(($C$2:C716=D716)+($D$2:D716=D716)))</f>
        <v/>
      </c>
      <c r="Y716" s="4" t="str">
        <f t="shared" si="66"/>
        <v/>
      </c>
      <c r="Z716" s="4" t="str">
        <f t="shared" si="67"/>
        <v/>
      </c>
      <c r="AA716" s="4" t="str">
        <f>IF($C716="","",IF(COUNTIF($C$1:C715,$C716)+COUNTIF($D$1:D715,$C716)=0,1,0))</f>
        <v/>
      </c>
      <c r="AB716" s="4" t="str">
        <f>IF($D716="","",IF(COUNTIF($C$1:C716,$D716)+COUNTIF($D$1:D715,$D716)=0,1,0))</f>
        <v/>
      </c>
      <c r="AC716" s="4" t="str">
        <f>IF(AA716=1,SUM($AA$2:AA716)-AA716+SUM($AB$2:AB716)-AB716+1,"")</f>
        <v/>
      </c>
      <c r="AD716" s="4" t="str">
        <f>IF(AB716=1,SUM($AA$2:AA716)+SUM($AB$2:AB716)-AB716+1,"")</f>
        <v/>
      </c>
      <c r="AE716" s="4" t="str">
        <f t="shared" si="68"/>
        <v/>
      </c>
      <c r="AF716" s="4" t="str">
        <f t="shared" si="69"/>
        <v/>
      </c>
      <c r="AG716" s="8">
        <f t="shared" si="70"/>
        <v>0</v>
      </c>
      <c r="AI716" s="8">
        <f t="shared" si="71"/>
        <v>0</v>
      </c>
    </row>
    <row r="717" spans="23:35" ht="15" customHeight="1" x14ac:dyDescent="0.25">
      <c r="W717" s="4" t="str">
        <f>IF($C717="","",SUMPRODUCT(($C$2:C717=C717)+($D$2:D717=C717)))</f>
        <v/>
      </c>
      <c r="X717" s="4" t="str">
        <f>IF($D717="","",SUMPRODUCT(($C$2:C717=D717)+($D$2:D717=D717)))</f>
        <v/>
      </c>
      <c r="Y717" s="4" t="str">
        <f t="shared" si="66"/>
        <v/>
      </c>
      <c r="Z717" s="4" t="str">
        <f t="shared" si="67"/>
        <v/>
      </c>
      <c r="AA717" s="4" t="str">
        <f>IF($C717="","",IF(COUNTIF($C$1:C716,$C717)+COUNTIF($D$1:D716,$C717)=0,1,0))</f>
        <v/>
      </c>
      <c r="AB717" s="4" t="str">
        <f>IF($D717="","",IF(COUNTIF($C$1:C717,$D717)+COUNTIF($D$1:D716,$D717)=0,1,0))</f>
        <v/>
      </c>
      <c r="AC717" s="4" t="str">
        <f>IF(AA717=1,SUM($AA$2:AA717)-AA717+SUM($AB$2:AB717)-AB717+1,"")</f>
        <v/>
      </c>
      <c r="AD717" s="4" t="str">
        <f>IF(AB717=1,SUM($AA$2:AA717)+SUM($AB$2:AB717)-AB717+1,"")</f>
        <v/>
      </c>
      <c r="AE717" s="4" t="str">
        <f t="shared" si="68"/>
        <v/>
      </c>
      <c r="AF717" s="4" t="str">
        <f t="shared" si="69"/>
        <v/>
      </c>
      <c r="AG717" s="8">
        <f t="shared" si="70"/>
        <v>0</v>
      </c>
      <c r="AI717" s="8">
        <f t="shared" si="71"/>
        <v>0</v>
      </c>
    </row>
    <row r="718" spans="23:35" ht="15" customHeight="1" x14ac:dyDescent="0.25">
      <c r="W718" s="4" t="str">
        <f>IF($C718="","",SUMPRODUCT(($C$2:C718=C718)+($D$2:D718=C718)))</f>
        <v/>
      </c>
      <c r="X718" s="4" t="str">
        <f>IF($D718="","",SUMPRODUCT(($C$2:C718=D718)+($D$2:D718=D718)))</f>
        <v/>
      </c>
      <c r="Y718" s="4" t="str">
        <f t="shared" si="66"/>
        <v/>
      </c>
      <c r="Z718" s="4" t="str">
        <f t="shared" si="67"/>
        <v/>
      </c>
      <c r="AA718" s="4" t="str">
        <f>IF($C718="","",IF(COUNTIF($C$1:C717,$C718)+COUNTIF($D$1:D717,$C718)=0,1,0))</f>
        <v/>
      </c>
      <c r="AB718" s="4" t="str">
        <f>IF($D718="","",IF(COUNTIF($C$1:C718,$D718)+COUNTIF($D$1:D717,$D718)=0,1,0))</f>
        <v/>
      </c>
      <c r="AC718" s="4" t="str">
        <f>IF(AA718=1,SUM($AA$2:AA718)-AA718+SUM($AB$2:AB718)-AB718+1,"")</f>
        <v/>
      </c>
      <c r="AD718" s="4" t="str">
        <f>IF(AB718=1,SUM($AA$2:AA718)+SUM($AB$2:AB718)-AB718+1,"")</f>
        <v/>
      </c>
      <c r="AE718" s="4" t="str">
        <f t="shared" si="68"/>
        <v/>
      </c>
      <c r="AF718" s="4" t="str">
        <f t="shared" si="69"/>
        <v/>
      </c>
      <c r="AG718" s="8">
        <f t="shared" si="70"/>
        <v>0</v>
      </c>
      <c r="AI718" s="8">
        <f t="shared" si="71"/>
        <v>0</v>
      </c>
    </row>
    <row r="719" spans="23:35" ht="15" customHeight="1" x14ac:dyDescent="0.25">
      <c r="W719" s="4" t="str">
        <f>IF($C719="","",SUMPRODUCT(($C$2:C719=C719)+($D$2:D719=C719)))</f>
        <v/>
      </c>
      <c r="X719" s="4" t="str">
        <f>IF($D719="","",SUMPRODUCT(($C$2:C719=D719)+($D$2:D719=D719)))</f>
        <v/>
      </c>
      <c r="Y719" s="4" t="str">
        <f t="shared" si="66"/>
        <v/>
      </c>
      <c r="Z719" s="4" t="str">
        <f t="shared" si="67"/>
        <v/>
      </c>
      <c r="AA719" s="4" t="str">
        <f>IF($C719="","",IF(COUNTIF($C$1:C718,$C719)+COUNTIF($D$1:D718,$C719)=0,1,0))</f>
        <v/>
      </c>
      <c r="AB719" s="4" t="str">
        <f>IF($D719="","",IF(COUNTIF($C$1:C719,$D719)+COUNTIF($D$1:D718,$D719)=0,1,0))</f>
        <v/>
      </c>
      <c r="AC719" s="4" t="str">
        <f>IF(AA719=1,SUM($AA$2:AA719)-AA719+SUM($AB$2:AB719)-AB719+1,"")</f>
        <v/>
      </c>
      <c r="AD719" s="4" t="str">
        <f>IF(AB719=1,SUM($AA$2:AA719)+SUM($AB$2:AB719)-AB719+1,"")</f>
        <v/>
      </c>
      <c r="AE719" s="4" t="str">
        <f t="shared" si="68"/>
        <v/>
      </c>
      <c r="AF719" s="4" t="str">
        <f t="shared" si="69"/>
        <v/>
      </c>
      <c r="AG719" s="8">
        <f t="shared" si="70"/>
        <v>0</v>
      </c>
      <c r="AI719" s="8">
        <f t="shared" si="71"/>
        <v>0</v>
      </c>
    </row>
    <row r="720" spans="23:35" ht="15" customHeight="1" x14ac:dyDescent="0.25">
      <c r="W720" s="4" t="str">
        <f>IF($C720="","",SUMPRODUCT(($C$2:C720=C720)+($D$2:D720=C720)))</f>
        <v/>
      </c>
      <c r="X720" s="4" t="str">
        <f>IF($D720="","",SUMPRODUCT(($C$2:C720=D720)+($D$2:D720=D720)))</f>
        <v/>
      </c>
      <c r="Y720" s="4" t="str">
        <f t="shared" si="66"/>
        <v/>
      </c>
      <c r="Z720" s="4" t="str">
        <f t="shared" si="67"/>
        <v/>
      </c>
      <c r="AA720" s="4" t="str">
        <f>IF($C720="","",IF(COUNTIF($C$1:C719,$C720)+COUNTIF($D$1:D719,$C720)=0,1,0))</f>
        <v/>
      </c>
      <c r="AB720" s="4" t="str">
        <f>IF($D720="","",IF(COUNTIF($C$1:C720,$D720)+COUNTIF($D$1:D719,$D720)=0,1,0))</f>
        <v/>
      </c>
      <c r="AC720" s="4" t="str">
        <f>IF(AA720=1,SUM($AA$2:AA720)-AA720+SUM($AB$2:AB720)-AB720+1,"")</f>
        <v/>
      </c>
      <c r="AD720" s="4" t="str">
        <f>IF(AB720=1,SUM($AA$2:AA720)+SUM($AB$2:AB720)-AB720+1,"")</f>
        <v/>
      </c>
      <c r="AE720" s="4" t="str">
        <f t="shared" si="68"/>
        <v/>
      </c>
      <c r="AF720" s="4" t="str">
        <f t="shared" si="69"/>
        <v/>
      </c>
      <c r="AG720" s="8">
        <f t="shared" si="70"/>
        <v>0</v>
      </c>
      <c r="AI720" s="8">
        <f t="shared" si="71"/>
        <v>0</v>
      </c>
    </row>
    <row r="721" spans="23:35" ht="15" customHeight="1" x14ac:dyDescent="0.25">
      <c r="W721" s="4" t="str">
        <f>IF($C721="","",SUMPRODUCT(($C$2:C721=C721)+($D$2:D721=C721)))</f>
        <v/>
      </c>
      <c r="X721" s="4" t="str">
        <f>IF($D721="","",SUMPRODUCT(($C$2:C721=D721)+($D$2:D721=D721)))</f>
        <v/>
      </c>
      <c r="Y721" s="4" t="str">
        <f t="shared" si="66"/>
        <v/>
      </c>
      <c r="Z721" s="4" t="str">
        <f t="shared" si="67"/>
        <v/>
      </c>
      <c r="AA721" s="4" t="str">
        <f>IF($C721="","",IF(COUNTIF($C$1:C720,$C721)+COUNTIF($D$1:D720,$C721)=0,1,0))</f>
        <v/>
      </c>
      <c r="AB721" s="4" t="str">
        <f>IF($D721="","",IF(COUNTIF($C$1:C721,$D721)+COUNTIF($D$1:D720,$D721)=0,1,0))</f>
        <v/>
      </c>
      <c r="AC721" s="4" t="str">
        <f>IF(AA721=1,SUM($AA$2:AA721)-AA721+SUM($AB$2:AB721)-AB721+1,"")</f>
        <v/>
      </c>
      <c r="AD721" s="4" t="str">
        <f>IF(AB721=1,SUM($AA$2:AA721)+SUM($AB$2:AB721)-AB721+1,"")</f>
        <v/>
      </c>
      <c r="AE721" s="4" t="str">
        <f t="shared" si="68"/>
        <v/>
      </c>
      <c r="AF721" s="4" t="str">
        <f t="shared" si="69"/>
        <v/>
      </c>
      <c r="AG721" s="8">
        <f t="shared" si="70"/>
        <v>0</v>
      </c>
      <c r="AI721" s="8">
        <f t="shared" si="71"/>
        <v>0</v>
      </c>
    </row>
    <row r="722" spans="23:35" ht="15" customHeight="1" x14ac:dyDescent="0.25">
      <c r="W722" s="4" t="str">
        <f>IF($C722="","",SUMPRODUCT(($C$2:C722=C722)+($D$2:D722=C722)))</f>
        <v/>
      </c>
      <c r="X722" s="4" t="str">
        <f>IF($D722="","",SUMPRODUCT(($C$2:C722=D722)+($D$2:D722=D722)))</f>
        <v/>
      </c>
      <c r="Y722" s="4" t="str">
        <f t="shared" si="66"/>
        <v/>
      </c>
      <c r="Z722" s="4" t="str">
        <f t="shared" si="67"/>
        <v/>
      </c>
      <c r="AA722" s="4" t="str">
        <f>IF($C722="","",IF(COUNTIF($C$1:C721,$C722)+COUNTIF($D$1:D721,$C722)=0,1,0))</f>
        <v/>
      </c>
      <c r="AB722" s="4" t="str">
        <f>IF($D722="","",IF(COUNTIF($C$1:C722,$D722)+COUNTIF($D$1:D721,$D722)=0,1,0))</f>
        <v/>
      </c>
      <c r="AC722" s="4" t="str">
        <f>IF(AA722=1,SUM($AA$2:AA722)-AA722+SUM($AB$2:AB722)-AB722+1,"")</f>
        <v/>
      </c>
      <c r="AD722" s="4" t="str">
        <f>IF(AB722=1,SUM($AA$2:AA722)+SUM($AB$2:AB722)-AB722+1,"")</f>
        <v/>
      </c>
      <c r="AE722" s="4" t="str">
        <f t="shared" si="68"/>
        <v/>
      </c>
      <c r="AF722" s="4" t="str">
        <f t="shared" si="69"/>
        <v/>
      </c>
      <c r="AG722" s="8">
        <f t="shared" si="70"/>
        <v>0</v>
      </c>
      <c r="AI722" s="8">
        <f t="shared" si="71"/>
        <v>0</v>
      </c>
    </row>
    <row r="723" spans="23:35" ht="15" customHeight="1" x14ac:dyDescent="0.25">
      <c r="W723" s="4" t="str">
        <f>IF($C723="","",SUMPRODUCT(($C$2:C723=C723)+($D$2:D723=C723)))</f>
        <v/>
      </c>
      <c r="X723" s="4" t="str">
        <f>IF($D723="","",SUMPRODUCT(($C$2:C723=D723)+($D$2:D723=D723)))</f>
        <v/>
      </c>
      <c r="Y723" s="4" t="str">
        <f t="shared" si="66"/>
        <v/>
      </c>
      <c r="Z723" s="4" t="str">
        <f t="shared" si="67"/>
        <v/>
      </c>
      <c r="AA723" s="4" t="str">
        <f>IF($C723="","",IF(COUNTIF($C$1:C722,$C723)+COUNTIF($D$1:D722,$C723)=0,1,0))</f>
        <v/>
      </c>
      <c r="AB723" s="4" t="str">
        <f>IF($D723="","",IF(COUNTIF($C$1:C723,$D723)+COUNTIF($D$1:D722,$D723)=0,1,0))</f>
        <v/>
      </c>
      <c r="AC723" s="4" t="str">
        <f>IF(AA723=1,SUM($AA$2:AA723)-AA723+SUM($AB$2:AB723)-AB723+1,"")</f>
        <v/>
      </c>
      <c r="AD723" s="4" t="str">
        <f>IF(AB723=1,SUM($AA$2:AA723)+SUM($AB$2:AB723)-AB723+1,"")</f>
        <v/>
      </c>
      <c r="AE723" s="4" t="str">
        <f t="shared" si="68"/>
        <v/>
      </c>
      <c r="AF723" s="4" t="str">
        <f t="shared" si="69"/>
        <v/>
      </c>
      <c r="AG723" s="8">
        <f t="shared" si="70"/>
        <v>0</v>
      </c>
      <c r="AI723" s="8">
        <f t="shared" si="71"/>
        <v>0</v>
      </c>
    </row>
    <row r="724" spans="23:35" ht="15" customHeight="1" x14ac:dyDescent="0.25">
      <c r="W724" s="4" t="str">
        <f>IF($C724="","",SUMPRODUCT(($C$2:C724=C724)+($D$2:D724=C724)))</f>
        <v/>
      </c>
      <c r="X724" s="4" t="str">
        <f>IF($D724="","",SUMPRODUCT(($C$2:C724=D724)+($D$2:D724=D724)))</f>
        <v/>
      </c>
      <c r="Y724" s="4" t="str">
        <f t="shared" si="66"/>
        <v/>
      </c>
      <c r="Z724" s="4" t="str">
        <f t="shared" si="67"/>
        <v/>
      </c>
      <c r="AA724" s="4" t="str">
        <f>IF($C724="","",IF(COUNTIF($C$1:C723,$C724)+COUNTIF($D$1:D723,$C724)=0,1,0))</f>
        <v/>
      </c>
      <c r="AB724" s="4" t="str">
        <f>IF($D724="","",IF(COUNTIF($C$1:C724,$D724)+COUNTIF($D$1:D723,$D724)=0,1,0))</f>
        <v/>
      </c>
      <c r="AC724" s="4" t="str">
        <f>IF(AA724=1,SUM($AA$2:AA724)-AA724+SUM($AB$2:AB724)-AB724+1,"")</f>
        <v/>
      </c>
      <c r="AD724" s="4" t="str">
        <f>IF(AB724=1,SUM($AA$2:AA724)+SUM($AB$2:AB724)-AB724+1,"")</f>
        <v/>
      </c>
      <c r="AE724" s="4" t="str">
        <f t="shared" si="68"/>
        <v/>
      </c>
      <c r="AF724" s="4" t="str">
        <f t="shared" si="69"/>
        <v/>
      </c>
      <c r="AG724" s="8">
        <f t="shared" si="70"/>
        <v>0</v>
      </c>
      <c r="AI724" s="8">
        <f t="shared" si="71"/>
        <v>0</v>
      </c>
    </row>
    <row r="725" spans="23:35" ht="15" customHeight="1" x14ac:dyDescent="0.25">
      <c r="W725" s="4" t="str">
        <f>IF($C725="","",SUMPRODUCT(($C$2:C725=C725)+($D$2:D725=C725)))</f>
        <v/>
      </c>
      <c r="X725" s="4" t="str">
        <f>IF($D725="","",SUMPRODUCT(($C$2:C725=D725)+($D$2:D725=D725)))</f>
        <v/>
      </c>
      <c r="Y725" s="4" t="str">
        <f t="shared" si="66"/>
        <v/>
      </c>
      <c r="Z725" s="4" t="str">
        <f t="shared" si="67"/>
        <v/>
      </c>
      <c r="AA725" s="4" t="str">
        <f>IF($C725="","",IF(COUNTIF($C$1:C724,$C725)+COUNTIF($D$1:D724,$C725)=0,1,0))</f>
        <v/>
      </c>
      <c r="AB725" s="4" t="str">
        <f>IF($D725="","",IF(COUNTIF($C$1:C725,$D725)+COUNTIF($D$1:D724,$D725)=0,1,0))</f>
        <v/>
      </c>
      <c r="AC725" s="4" t="str">
        <f>IF(AA725=1,SUM($AA$2:AA725)-AA725+SUM($AB$2:AB725)-AB725+1,"")</f>
        <v/>
      </c>
      <c r="AD725" s="4" t="str">
        <f>IF(AB725=1,SUM($AA$2:AA725)+SUM($AB$2:AB725)-AB725+1,"")</f>
        <v/>
      </c>
      <c r="AE725" s="4" t="str">
        <f t="shared" si="68"/>
        <v/>
      </c>
      <c r="AF725" s="4" t="str">
        <f t="shared" si="69"/>
        <v/>
      </c>
      <c r="AG725" s="8">
        <f t="shared" si="70"/>
        <v>0</v>
      </c>
      <c r="AI725" s="8">
        <f t="shared" si="71"/>
        <v>0</v>
      </c>
    </row>
    <row r="726" spans="23:35" ht="15" customHeight="1" x14ac:dyDescent="0.25">
      <c r="W726" s="4" t="str">
        <f>IF($C726="","",SUMPRODUCT(($C$2:C726=C726)+($D$2:D726=C726)))</f>
        <v/>
      </c>
      <c r="X726" s="4" t="str">
        <f>IF($D726="","",SUMPRODUCT(($C$2:C726=D726)+($D$2:D726=D726)))</f>
        <v/>
      </c>
      <c r="Y726" s="4" t="str">
        <f t="shared" si="66"/>
        <v/>
      </c>
      <c r="Z726" s="4" t="str">
        <f t="shared" si="67"/>
        <v/>
      </c>
      <c r="AA726" s="4" t="str">
        <f>IF($C726="","",IF(COUNTIF($C$1:C725,$C726)+COUNTIF($D$1:D725,$C726)=0,1,0))</f>
        <v/>
      </c>
      <c r="AB726" s="4" t="str">
        <f>IF($D726="","",IF(COUNTIF($C$1:C726,$D726)+COUNTIF($D$1:D725,$D726)=0,1,0))</f>
        <v/>
      </c>
      <c r="AC726" s="4" t="str">
        <f>IF(AA726=1,SUM($AA$2:AA726)-AA726+SUM($AB$2:AB726)-AB726+1,"")</f>
        <v/>
      </c>
      <c r="AD726" s="4" t="str">
        <f>IF(AB726=1,SUM($AA$2:AA726)+SUM($AB$2:AB726)-AB726+1,"")</f>
        <v/>
      </c>
      <c r="AE726" s="4" t="str">
        <f t="shared" si="68"/>
        <v/>
      </c>
      <c r="AF726" s="4" t="str">
        <f t="shared" si="69"/>
        <v/>
      </c>
      <c r="AG726" s="8">
        <f t="shared" si="70"/>
        <v>0</v>
      </c>
      <c r="AI726" s="8">
        <f t="shared" si="71"/>
        <v>0</v>
      </c>
    </row>
    <row r="727" spans="23:35" ht="15" customHeight="1" x14ac:dyDescent="0.25">
      <c r="W727" s="4" t="str">
        <f>IF($C727="","",SUMPRODUCT(($C$2:C727=C727)+($D$2:D727=C727)))</f>
        <v/>
      </c>
      <c r="X727" s="4" t="str">
        <f>IF($D727="","",SUMPRODUCT(($C$2:C727=D727)+($D$2:D727=D727)))</f>
        <v/>
      </c>
      <c r="Y727" s="4" t="str">
        <f t="shared" si="66"/>
        <v/>
      </c>
      <c r="Z727" s="4" t="str">
        <f t="shared" si="67"/>
        <v/>
      </c>
      <c r="AA727" s="4" t="str">
        <f>IF($C727="","",IF(COUNTIF($C$1:C726,$C727)+COUNTIF($D$1:D726,$C727)=0,1,0))</f>
        <v/>
      </c>
      <c r="AB727" s="4" t="str">
        <f>IF($D727="","",IF(COUNTIF($C$1:C727,$D727)+COUNTIF($D$1:D726,$D727)=0,1,0))</f>
        <v/>
      </c>
      <c r="AC727" s="4" t="str">
        <f>IF(AA727=1,SUM($AA$2:AA727)-AA727+SUM($AB$2:AB727)-AB727+1,"")</f>
        <v/>
      </c>
      <c r="AD727" s="4" t="str">
        <f>IF(AB727=1,SUM($AA$2:AA727)+SUM($AB$2:AB727)-AB727+1,"")</f>
        <v/>
      </c>
      <c r="AE727" s="4" t="str">
        <f t="shared" si="68"/>
        <v/>
      </c>
      <c r="AF727" s="4" t="str">
        <f t="shared" si="69"/>
        <v/>
      </c>
      <c r="AG727" s="8">
        <f t="shared" si="70"/>
        <v>0</v>
      </c>
      <c r="AI727" s="8">
        <f t="shared" si="71"/>
        <v>0</v>
      </c>
    </row>
    <row r="728" spans="23:35" ht="15" customHeight="1" x14ac:dyDescent="0.25">
      <c r="W728" s="4" t="str">
        <f>IF($C728="","",SUMPRODUCT(($C$2:C728=C728)+($D$2:D728=C728)))</f>
        <v/>
      </c>
      <c r="X728" s="4" t="str">
        <f>IF($D728="","",SUMPRODUCT(($C$2:C728=D728)+($D$2:D728=D728)))</f>
        <v/>
      </c>
      <c r="Y728" s="4" t="str">
        <f t="shared" si="66"/>
        <v/>
      </c>
      <c r="Z728" s="4" t="str">
        <f t="shared" si="67"/>
        <v/>
      </c>
      <c r="AA728" s="4" t="str">
        <f>IF($C728="","",IF(COUNTIF($C$1:C727,$C728)+COUNTIF($D$1:D727,$C728)=0,1,0))</f>
        <v/>
      </c>
      <c r="AB728" s="4" t="str">
        <f>IF($D728="","",IF(COUNTIF($C$1:C728,$D728)+COUNTIF($D$1:D727,$D728)=0,1,0))</f>
        <v/>
      </c>
      <c r="AC728" s="4" t="str">
        <f>IF(AA728=1,SUM($AA$2:AA728)-AA728+SUM($AB$2:AB728)-AB728+1,"")</f>
        <v/>
      </c>
      <c r="AD728" s="4" t="str">
        <f>IF(AB728=1,SUM($AA$2:AA728)+SUM($AB$2:AB728)-AB728+1,"")</f>
        <v/>
      </c>
      <c r="AE728" s="4" t="str">
        <f t="shared" si="68"/>
        <v/>
      </c>
      <c r="AF728" s="4" t="str">
        <f t="shared" si="69"/>
        <v/>
      </c>
      <c r="AG728" s="8">
        <f t="shared" si="70"/>
        <v>0</v>
      </c>
      <c r="AI728" s="8">
        <f t="shared" si="71"/>
        <v>0</v>
      </c>
    </row>
    <row r="729" spans="23:35" ht="15" customHeight="1" x14ac:dyDescent="0.25">
      <c r="W729" s="4" t="str">
        <f>IF($C729="","",SUMPRODUCT(($C$2:C729=C729)+($D$2:D729=C729)))</f>
        <v/>
      </c>
      <c r="X729" s="4" t="str">
        <f>IF($D729="","",SUMPRODUCT(($C$2:C729=D729)+($D$2:D729=D729)))</f>
        <v/>
      </c>
      <c r="Y729" s="4" t="str">
        <f t="shared" si="66"/>
        <v/>
      </c>
      <c r="Z729" s="4" t="str">
        <f t="shared" si="67"/>
        <v/>
      </c>
      <c r="AA729" s="4" t="str">
        <f>IF($C729="","",IF(COUNTIF($C$1:C728,$C729)+COUNTIF($D$1:D728,$C729)=0,1,0))</f>
        <v/>
      </c>
      <c r="AB729" s="4" t="str">
        <f>IF($D729="","",IF(COUNTIF($C$1:C729,$D729)+COUNTIF($D$1:D728,$D729)=0,1,0))</f>
        <v/>
      </c>
      <c r="AC729" s="4" t="str">
        <f>IF(AA729=1,SUM($AA$2:AA729)-AA729+SUM($AB$2:AB729)-AB729+1,"")</f>
        <v/>
      </c>
      <c r="AD729" s="4" t="str">
        <f>IF(AB729=1,SUM($AA$2:AA729)+SUM($AB$2:AB729)-AB729+1,"")</f>
        <v/>
      </c>
      <c r="AE729" s="4" t="str">
        <f t="shared" si="68"/>
        <v/>
      </c>
      <c r="AF729" s="4" t="str">
        <f t="shared" si="69"/>
        <v/>
      </c>
      <c r="AG729" s="8">
        <f t="shared" si="70"/>
        <v>0</v>
      </c>
      <c r="AI729" s="8">
        <f t="shared" si="71"/>
        <v>0</v>
      </c>
    </row>
    <row r="730" spans="23:35" ht="15" customHeight="1" x14ac:dyDescent="0.25">
      <c r="W730" s="4" t="str">
        <f>IF($C730="","",SUMPRODUCT(($C$2:C730=C730)+($D$2:D730=C730)))</f>
        <v/>
      </c>
      <c r="X730" s="4" t="str">
        <f>IF($D730="","",SUMPRODUCT(($C$2:C730=D730)+($D$2:D730=D730)))</f>
        <v/>
      </c>
      <c r="Y730" s="4" t="str">
        <f t="shared" si="66"/>
        <v/>
      </c>
      <c r="Z730" s="4" t="str">
        <f t="shared" si="67"/>
        <v/>
      </c>
      <c r="AA730" s="4" t="str">
        <f>IF($C730="","",IF(COUNTIF($C$1:C729,$C730)+COUNTIF($D$1:D729,$C730)=0,1,0))</f>
        <v/>
      </c>
      <c r="AB730" s="4" t="str">
        <f>IF($D730="","",IF(COUNTIF($C$1:C730,$D730)+COUNTIF($D$1:D729,$D730)=0,1,0))</f>
        <v/>
      </c>
      <c r="AC730" s="4" t="str">
        <f>IF(AA730=1,SUM($AA$2:AA730)-AA730+SUM($AB$2:AB730)-AB730+1,"")</f>
        <v/>
      </c>
      <c r="AD730" s="4" t="str">
        <f>IF(AB730=1,SUM($AA$2:AA730)+SUM($AB$2:AB730)-AB730+1,"")</f>
        <v/>
      </c>
      <c r="AE730" s="4" t="str">
        <f t="shared" si="68"/>
        <v/>
      </c>
      <c r="AF730" s="4" t="str">
        <f t="shared" si="69"/>
        <v/>
      </c>
      <c r="AG730" s="8">
        <f t="shared" si="70"/>
        <v>0</v>
      </c>
      <c r="AI730" s="8">
        <f t="shared" si="71"/>
        <v>0</v>
      </c>
    </row>
    <row r="731" spans="23:35" ht="15" customHeight="1" x14ac:dyDescent="0.25">
      <c r="W731" s="4" t="str">
        <f>IF($C731="","",SUMPRODUCT(($C$2:C731=C731)+($D$2:D731=C731)))</f>
        <v/>
      </c>
      <c r="X731" s="4" t="str">
        <f>IF($D731="","",SUMPRODUCT(($C$2:C731=D731)+($D$2:D731=D731)))</f>
        <v/>
      </c>
      <c r="Y731" s="4" t="str">
        <f t="shared" si="66"/>
        <v/>
      </c>
      <c r="Z731" s="4" t="str">
        <f t="shared" si="67"/>
        <v/>
      </c>
      <c r="AA731" s="4" t="str">
        <f>IF($C731="","",IF(COUNTIF($C$1:C730,$C731)+COUNTIF($D$1:D730,$C731)=0,1,0))</f>
        <v/>
      </c>
      <c r="AB731" s="4" t="str">
        <f>IF($D731="","",IF(COUNTIF($C$1:C731,$D731)+COUNTIF($D$1:D730,$D731)=0,1,0))</f>
        <v/>
      </c>
      <c r="AC731" s="4" t="str">
        <f>IF(AA731=1,SUM($AA$2:AA731)-AA731+SUM($AB$2:AB731)-AB731+1,"")</f>
        <v/>
      </c>
      <c r="AD731" s="4" t="str">
        <f>IF(AB731=1,SUM($AA$2:AA731)+SUM($AB$2:AB731)-AB731+1,"")</f>
        <v/>
      </c>
      <c r="AE731" s="4" t="str">
        <f t="shared" si="68"/>
        <v/>
      </c>
      <c r="AF731" s="4" t="str">
        <f t="shared" si="69"/>
        <v/>
      </c>
      <c r="AG731" s="8">
        <f t="shared" si="70"/>
        <v>0</v>
      </c>
      <c r="AI731" s="8">
        <f t="shared" si="71"/>
        <v>0</v>
      </c>
    </row>
    <row r="732" spans="23:35" ht="15" customHeight="1" x14ac:dyDescent="0.25">
      <c r="W732" s="4" t="str">
        <f>IF($C732="","",SUMPRODUCT(($C$2:C732=C732)+($D$2:D732=C732)))</f>
        <v/>
      </c>
      <c r="X732" s="4" t="str">
        <f>IF($D732="","",SUMPRODUCT(($C$2:C732=D732)+($D$2:D732=D732)))</f>
        <v/>
      </c>
      <c r="Y732" s="4" t="str">
        <f t="shared" si="66"/>
        <v/>
      </c>
      <c r="Z732" s="4" t="str">
        <f t="shared" si="67"/>
        <v/>
      </c>
      <c r="AA732" s="4" t="str">
        <f>IF($C732="","",IF(COUNTIF($C$1:C731,$C732)+COUNTIF($D$1:D731,$C732)=0,1,0))</f>
        <v/>
      </c>
      <c r="AB732" s="4" t="str">
        <f>IF($D732="","",IF(COUNTIF($C$1:C732,$D732)+COUNTIF($D$1:D731,$D732)=0,1,0))</f>
        <v/>
      </c>
      <c r="AC732" s="4" t="str">
        <f>IF(AA732=1,SUM($AA$2:AA732)-AA732+SUM($AB$2:AB732)-AB732+1,"")</f>
        <v/>
      </c>
      <c r="AD732" s="4" t="str">
        <f>IF(AB732=1,SUM($AA$2:AA732)+SUM($AB$2:AB732)-AB732+1,"")</f>
        <v/>
      </c>
      <c r="AE732" s="4" t="str">
        <f t="shared" si="68"/>
        <v/>
      </c>
      <c r="AF732" s="4" t="str">
        <f t="shared" si="69"/>
        <v/>
      </c>
      <c r="AG732" s="8">
        <f t="shared" si="70"/>
        <v>0</v>
      </c>
      <c r="AI732" s="8">
        <f t="shared" si="71"/>
        <v>0</v>
      </c>
    </row>
    <row r="733" spans="23:35" ht="15" customHeight="1" x14ac:dyDescent="0.25">
      <c r="W733" s="4" t="str">
        <f>IF($C733="","",SUMPRODUCT(($C$2:C733=C733)+($D$2:D733=C733)))</f>
        <v/>
      </c>
      <c r="X733" s="4" t="str">
        <f>IF($D733="","",SUMPRODUCT(($C$2:C733=D733)+($D$2:D733=D733)))</f>
        <v/>
      </c>
      <c r="Y733" s="4" t="str">
        <f t="shared" si="66"/>
        <v/>
      </c>
      <c r="Z733" s="4" t="str">
        <f t="shared" si="67"/>
        <v/>
      </c>
      <c r="AA733" s="4" t="str">
        <f>IF($C733="","",IF(COUNTIF($C$1:C732,$C733)+COUNTIF($D$1:D732,$C733)=0,1,0))</f>
        <v/>
      </c>
      <c r="AB733" s="4" t="str">
        <f>IF($D733="","",IF(COUNTIF($C$1:C733,$D733)+COUNTIF($D$1:D732,$D733)=0,1,0))</f>
        <v/>
      </c>
      <c r="AC733" s="4" t="str">
        <f>IF(AA733=1,SUM($AA$2:AA733)-AA733+SUM($AB$2:AB733)-AB733+1,"")</f>
        <v/>
      </c>
      <c r="AD733" s="4" t="str">
        <f>IF(AB733=1,SUM($AA$2:AA733)+SUM($AB$2:AB733)-AB733+1,"")</f>
        <v/>
      </c>
      <c r="AE733" s="4" t="str">
        <f t="shared" si="68"/>
        <v/>
      </c>
      <c r="AF733" s="4" t="str">
        <f t="shared" si="69"/>
        <v/>
      </c>
      <c r="AG733" s="8">
        <f t="shared" si="70"/>
        <v>0</v>
      </c>
      <c r="AI733" s="8">
        <f t="shared" si="71"/>
        <v>0</v>
      </c>
    </row>
    <row r="734" spans="23:35" ht="15" customHeight="1" x14ac:dyDescent="0.25">
      <c r="W734" s="4" t="str">
        <f>IF($C734="","",SUMPRODUCT(($C$2:C734=C734)+($D$2:D734=C734)))</f>
        <v/>
      </c>
      <c r="X734" s="4" t="str">
        <f>IF($D734="","",SUMPRODUCT(($C$2:C734=D734)+($D$2:D734=D734)))</f>
        <v/>
      </c>
      <c r="Y734" s="4" t="str">
        <f t="shared" si="66"/>
        <v/>
      </c>
      <c r="Z734" s="4" t="str">
        <f t="shared" si="67"/>
        <v/>
      </c>
      <c r="AA734" s="4" t="str">
        <f>IF($C734="","",IF(COUNTIF($C$1:C733,$C734)+COUNTIF($D$1:D733,$C734)=0,1,0))</f>
        <v/>
      </c>
      <c r="AB734" s="4" t="str">
        <f>IF($D734="","",IF(COUNTIF($C$1:C734,$D734)+COUNTIF($D$1:D733,$D734)=0,1,0))</f>
        <v/>
      </c>
      <c r="AC734" s="4" t="str">
        <f>IF(AA734=1,SUM($AA$2:AA734)-AA734+SUM($AB$2:AB734)-AB734+1,"")</f>
        <v/>
      </c>
      <c r="AD734" s="4" t="str">
        <f>IF(AB734=1,SUM($AA$2:AA734)+SUM($AB$2:AB734)-AB734+1,"")</f>
        <v/>
      </c>
      <c r="AE734" s="4" t="str">
        <f t="shared" si="68"/>
        <v/>
      </c>
      <c r="AF734" s="4" t="str">
        <f t="shared" si="69"/>
        <v/>
      </c>
      <c r="AG734" s="8">
        <f t="shared" si="70"/>
        <v>0</v>
      </c>
      <c r="AI734" s="8">
        <f t="shared" si="71"/>
        <v>0</v>
      </c>
    </row>
    <row r="735" spans="23:35" ht="15" customHeight="1" x14ac:dyDescent="0.25">
      <c r="W735" s="4" t="str">
        <f>IF($C735="","",SUMPRODUCT(($C$2:C735=C735)+($D$2:D735=C735)))</f>
        <v/>
      </c>
      <c r="X735" s="4" t="str">
        <f>IF($D735="","",SUMPRODUCT(($C$2:C735=D735)+($D$2:D735=D735)))</f>
        <v/>
      </c>
      <c r="Y735" s="4" t="str">
        <f t="shared" si="66"/>
        <v/>
      </c>
      <c r="Z735" s="4" t="str">
        <f t="shared" si="67"/>
        <v/>
      </c>
      <c r="AA735" s="4" t="str">
        <f>IF($C735="","",IF(COUNTIF($C$1:C734,$C735)+COUNTIF($D$1:D734,$C735)=0,1,0))</f>
        <v/>
      </c>
      <c r="AB735" s="4" t="str">
        <f>IF($D735="","",IF(COUNTIF($C$1:C735,$D735)+COUNTIF($D$1:D734,$D735)=0,1,0))</f>
        <v/>
      </c>
      <c r="AC735" s="4" t="str">
        <f>IF(AA735=1,SUM($AA$2:AA735)-AA735+SUM($AB$2:AB735)-AB735+1,"")</f>
        <v/>
      </c>
      <c r="AD735" s="4" t="str">
        <f>IF(AB735=1,SUM($AA$2:AA735)+SUM($AB$2:AB735)-AB735+1,"")</f>
        <v/>
      </c>
      <c r="AE735" s="4" t="str">
        <f t="shared" si="68"/>
        <v/>
      </c>
      <c r="AF735" s="4" t="str">
        <f t="shared" si="69"/>
        <v/>
      </c>
      <c r="AG735" s="8">
        <f t="shared" si="70"/>
        <v>0</v>
      </c>
      <c r="AI735" s="8">
        <f t="shared" si="71"/>
        <v>0</v>
      </c>
    </row>
    <row r="736" spans="23:35" ht="15" customHeight="1" x14ac:dyDescent="0.25">
      <c r="W736" s="4" t="str">
        <f>IF($C736="","",SUMPRODUCT(($C$2:C736=C736)+($D$2:D736=C736)))</f>
        <v/>
      </c>
      <c r="X736" s="4" t="str">
        <f>IF($D736="","",SUMPRODUCT(($C$2:C736=D736)+($D$2:D736=D736)))</f>
        <v/>
      </c>
      <c r="Y736" s="4" t="str">
        <f t="shared" si="66"/>
        <v/>
      </c>
      <c r="Z736" s="4" t="str">
        <f t="shared" si="67"/>
        <v/>
      </c>
      <c r="AA736" s="4" t="str">
        <f>IF($C736="","",IF(COUNTIF($C$1:C735,$C736)+COUNTIF($D$1:D735,$C736)=0,1,0))</f>
        <v/>
      </c>
      <c r="AB736" s="4" t="str">
        <f>IF($D736="","",IF(COUNTIF($C$1:C736,$D736)+COUNTIF($D$1:D735,$D736)=0,1,0))</f>
        <v/>
      </c>
      <c r="AC736" s="4" t="str">
        <f>IF(AA736=1,SUM($AA$2:AA736)-AA736+SUM($AB$2:AB736)-AB736+1,"")</f>
        <v/>
      </c>
      <c r="AD736" s="4" t="str">
        <f>IF(AB736=1,SUM($AA$2:AA736)+SUM($AB$2:AB736)-AB736+1,"")</f>
        <v/>
      </c>
      <c r="AE736" s="4" t="str">
        <f t="shared" si="68"/>
        <v/>
      </c>
      <c r="AF736" s="4" t="str">
        <f t="shared" si="69"/>
        <v/>
      </c>
      <c r="AG736" s="8">
        <f t="shared" si="70"/>
        <v>0</v>
      </c>
      <c r="AI736" s="8">
        <f t="shared" si="71"/>
        <v>0</v>
      </c>
    </row>
    <row r="737" spans="23:35" ht="15" customHeight="1" x14ac:dyDescent="0.25">
      <c r="W737" s="4" t="str">
        <f>IF($C737="","",SUMPRODUCT(($C$2:C737=C737)+($D$2:D737=C737)))</f>
        <v/>
      </c>
      <c r="X737" s="4" t="str">
        <f>IF($D737="","",SUMPRODUCT(($C$2:C737=D737)+($D$2:D737=D737)))</f>
        <v/>
      </c>
      <c r="Y737" s="4" t="str">
        <f t="shared" si="66"/>
        <v/>
      </c>
      <c r="Z737" s="4" t="str">
        <f t="shared" si="67"/>
        <v/>
      </c>
      <c r="AA737" s="4" t="str">
        <f>IF($C737="","",IF(COUNTIF($C$1:C736,$C737)+COUNTIF($D$1:D736,$C737)=0,1,0))</f>
        <v/>
      </c>
      <c r="AB737" s="4" t="str">
        <f>IF($D737="","",IF(COUNTIF($C$1:C737,$D737)+COUNTIF($D$1:D736,$D737)=0,1,0))</f>
        <v/>
      </c>
      <c r="AC737" s="4" t="str">
        <f>IF(AA737=1,SUM($AA$2:AA737)-AA737+SUM($AB$2:AB737)-AB737+1,"")</f>
        <v/>
      </c>
      <c r="AD737" s="4" t="str">
        <f>IF(AB737=1,SUM($AA$2:AA737)+SUM($AB$2:AB737)-AB737+1,"")</f>
        <v/>
      </c>
      <c r="AE737" s="4" t="str">
        <f t="shared" si="68"/>
        <v/>
      </c>
      <c r="AF737" s="4" t="str">
        <f t="shared" si="69"/>
        <v/>
      </c>
      <c r="AG737" s="8">
        <f t="shared" si="70"/>
        <v>0</v>
      </c>
      <c r="AI737" s="8">
        <f t="shared" si="71"/>
        <v>0</v>
      </c>
    </row>
    <row r="738" spans="23:35" ht="15" customHeight="1" x14ac:dyDescent="0.25">
      <c r="W738" s="4" t="str">
        <f>IF($C738="","",SUMPRODUCT(($C$2:C738=C738)+($D$2:D738=C738)))</f>
        <v/>
      </c>
      <c r="X738" s="4" t="str">
        <f>IF($D738="","",SUMPRODUCT(($C$2:C738=D738)+($D$2:D738=D738)))</f>
        <v/>
      </c>
      <c r="Y738" s="4" t="str">
        <f t="shared" si="66"/>
        <v/>
      </c>
      <c r="Z738" s="4" t="str">
        <f t="shared" si="67"/>
        <v/>
      </c>
      <c r="AA738" s="4" t="str">
        <f>IF($C738="","",IF(COUNTIF($C$1:C737,$C738)+COUNTIF($D$1:D737,$C738)=0,1,0))</f>
        <v/>
      </c>
      <c r="AB738" s="4" t="str">
        <f>IF($D738="","",IF(COUNTIF($C$1:C738,$D738)+COUNTIF($D$1:D737,$D738)=0,1,0))</f>
        <v/>
      </c>
      <c r="AC738" s="4" t="str">
        <f>IF(AA738=1,SUM($AA$2:AA738)-AA738+SUM($AB$2:AB738)-AB738+1,"")</f>
        <v/>
      </c>
      <c r="AD738" s="4" t="str">
        <f>IF(AB738=1,SUM($AA$2:AA738)+SUM($AB$2:AB738)-AB738+1,"")</f>
        <v/>
      </c>
      <c r="AE738" s="4" t="str">
        <f t="shared" si="68"/>
        <v/>
      </c>
      <c r="AF738" s="4" t="str">
        <f t="shared" si="69"/>
        <v/>
      </c>
      <c r="AG738" s="8">
        <f t="shared" si="70"/>
        <v>0</v>
      </c>
      <c r="AI738" s="8">
        <f t="shared" si="71"/>
        <v>0</v>
      </c>
    </row>
    <row r="739" spans="23:35" ht="15" customHeight="1" x14ac:dyDescent="0.25">
      <c r="W739" s="4" t="str">
        <f>IF($C739="","",SUMPRODUCT(($C$2:C739=C739)+($D$2:D739=C739)))</f>
        <v/>
      </c>
      <c r="X739" s="4" t="str">
        <f>IF($D739="","",SUMPRODUCT(($C$2:C739=D739)+($D$2:D739=D739)))</f>
        <v/>
      </c>
      <c r="Y739" s="4" t="str">
        <f t="shared" si="66"/>
        <v/>
      </c>
      <c r="Z739" s="4" t="str">
        <f t="shared" si="67"/>
        <v/>
      </c>
      <c r="AA739" s="4" t="str">
        <f>IF($C739="","",IF(COUNTIF($C$1:C738,$C739)+COUNTIF($D$1:D738,$C739)=0,1,0))</f>
        <v/>
      </c>
      <c r="AB739" s="4" t="str">
        <f>IF($D739="","",IF(COUNTIF($C$1:C739,$D739)+COUNTIF($D$1:D738,$D739)=0,1,0))</f>
        <v/>
      </c>
      <c r="AC739" s="4" t="str">
        <f>IF(AA739=1,SUM($AA$2:AA739)-AA739+SUM($AB$2:AB739)-AB739+1,"")</f>
        <v/>
      </c>
      <c r="AD739" s="4" t="str">
        <f>IF(AB739=1,SUM($AA$2:AA739)+SUM($AB$2:AB739)-AB739+1,"")</f>
        <v/>
      </c>
      <c r="AE739" s="4" t="str">
        <f t="shared" si="68"/>
        <v/>
      </c>
      <c r="AF739" s="4" t="str">
        <f t="shared" si="69"/>
        <v/>
      </c>
      <c r="AG739" s="8">
        <f t="shared" si="70"/>
        <v>0</v>
      </c>
      <c r="AI739" s="8">
        <f t="shared" si="71"/>
        <v>0</v>
      </c>
    </row>
    <row r="740" spans="23:35" ht="15" customHeight="1" x14ac:dyDescent="0.25">
      <c r="W740" s="4" t="str">
        <f>IF($C740="","",SUMPRODUCT(($C$2:C740=C740)+($D$2:D740=C740)))</f>
        <v/>
      </c>
      <c r="X740" s="4" t="str">
        <f>IF($D740="","",SUMPRODUCT(($C$2:C740=D740)+($D$2:D740=D740)))</f>
        <v/>
      </c>
      <c r="Y740" s="4" t="str">
        <f t="shared" si="66"/>
        <v/>
      </c>
      <c r="Z740" s="4" t="str">
        <f t="shared" si="67"/>
        <v/>
      </c>
      <c r="AA740" s="4" t="str">
        <f>IF($C740="","",IF(COUNTIF($C$1:C739,$C740)+COUNTIF($D$1:D739,$C740)=0,1,0))</f>
        <v/>
      </c>
      <c r="AB740" s="4" t="str">
        <f>IF($D740="","",IF(COUNTIF($C$1:C740,$D740)+COUNTIF($D$1:D739,$D740)=0,1,0))</f>
        <v/>
      </c>
      <c r="AC740" s="4" t="str">
        <f>IF(AA740=1,SUM($AA$2:AA740)-AA740+SUM($AB$2:AB740)-AB740+1,"")</f>
        <v/>
      </c>
      <c r="AD740" s="4" t="str">
        <f>IF(AB740=1,SUM($AA$2:AA740)+SUM($AB$2:AB740)-AB740+1,"")</f>
        <v/>
      </c>
      <c r="AE740" s="4" t="str">
        <f t="shared" si="68"/>
        <v/>
      </c>
      <c r="AF740" s="4" t="str">
        <f t="shared" si="69"/>
        <v/>
      </c>
      <c r="AG740" s="8">
        <f t="shared" si="70"/>
        <v>0</v>
      </c>
      <c r="AI740" s="8">
        <f t="shared" si="71"/>
        <v>0</v>
      </c>
    </row>
    <row r="741" spans="23:35" ht="15" customHeight="1" x14ac:dyDescent="0.25">
      <c r="W741" s="4" t="str">
        <f>IF($C741="","",SUMPRODUCT(($C$2:C741=C741)+($D$2:D741=C741)))</f>
        <v/>
      </c>
      <c r="X741" s="4" t="str">
        <f>IF($D741="","",SUMPRODUCT(($C$2:C741=D741)+($D$2:D741=D741)))</f>
        <v/>
      </c>
      <c r="Y741" s="4" t="str">
        <f t="shared" si="66"/>
        <v/>
      </c>
      <c r="Z741" s="4" t="str">
        <f t="shared" si="67"/>
        <v/>
      </c>
      <c r="AA741" s="4" t="str">
        <f>IF($C741="","",IF(COUNTIF($C$1:C740,$C741)+COUNTIF($D$1:D740,$C741)=0,1,0))</f>
        <v/>
      </c>
      <c r="AB741" s="4" t="str">
        <f>IF($D741="","",IF(COUNTIF($C$1:C741,$D741)+COUNTIF($D$1:D740,$D741)=0,1,0))</f>
        <v/>
      </c>
      <c r="AC741" s="4" t="str">
        <f>IF(AA741=1,SUM($AA$2:AA741)-AA741+SUM($AB$2:AB741)-AB741+1,"")</f>
        <v/>
      </c>
      <c r="AD741" s="4" t="str">
        <f>IF(AB741=1,SUM($AA$2:AA741)+SUM($AB$2:AB741)-AB741+1,"")</f>
        <v/>
      </c>
      <c r="AE741" s="4" t="str">
        <f t="shared" si="68"/>
        <v/>
      </c>
      <c r="AF741" s="4" t="str">
        <f t="shared" si="69"/>
        <v/>
      </c>
      <c r="AG741" s="8">
        <f t="shared" si="70"/>
        <v>0</v>
      </c>
      <c r="AI741" s="8">
        <f t="shared" si="71"/>
        <v>0</v>
      </c>
    </row>
    <row r="742" spans="23:35" ht="15" customHeight="1" x14ac:dyDescent="0.25">
      <c r="W742" s="4" t="str">
        <f>IF($C742="","",SUMPRODUCT(($C$2:C742=C742)+($D$2:D742=C742)))</f>
        <v/>
      </c>
      <c r="X742" s="4" t="str">
        <f>IF($D742="","",SUMPRODUCT(($C$2:C742=D742)+($D$2:D742=D742)))</f>
        <v/>
      </c>
      <c r="Y742" s="4" t="str">
        <f t="shared" si="66"/>
        <v/>
      </c>
      <c r="Z742" s="4" t="str">
        <f t="shared" si="67"/>
        <v/>
      </c>
      <c r="AA742" s="4" t="str">
        <f>IF($C742="","",IF(COUNTIF($C$1:C741,$C742)+COUNTIF($D$1:D741,$C742)=0,1,0))</f>
        <v/>
      </c>
      <c r="AB742" s="4" t="str">
        <f>IF($D742="","",IF(COUNTIF($C$1:C742,$D742)+COUNTIF($D$1:D741,$D742)=0,1,0))</f>
        <v/>
      </c>
      <c r="AC742" s="4" t="str">
        <f>IF(AA742=1,SUM($AA$2:AA742)-AA742+SUM($AB$2:AB742)-AB742+1,"")</f>
        <v/>
      </c>
      <c r="AD742" s="4" t="str">
        <f>IF(AB742=1,SUM($AA$2:AA742)+SUM($AB$2:AB742)-AB742+1,"")</f>
        <v/>
      </c>
      <c r="AE742" s="4" t="str">
        <f t="shared" si="68"/>
        <v/>
      </c>
      <c r="AF742" s="4" t="str">
        <f t="shared" si="69"/>
        <v/>
      </c>
      <c r="AG742" s="8">
        <f t="shared" si="70"/>
        <v>0</v>
      </c>
      <c r="AI742" s="8">
        <f t="shared" si="71"/>
        <v>0</v>
      </c>
    </row>
    <row r="743" spans="23:35" ht="15" customHeight="1" x14ac:dyDescent="0.25">
      <c r="W743" s="4" t="str">
        <f>IF($C743="","",SUMPRODUCT(($C$2:C743=C743)+($D$2:D743=C743)))</f>
        <v/>
      </c>
      <c r="X743" s="4" t="str">
        <f>IF($D743="","",SUMPRODUCT(($C$2:C743=D743)+($D$2:D743=D743)))</f>
        <v/>
      </c>
      <c r="Y743" s="4" t="str">
        <f t="shared" si="66"/>
        <v/>
      </c>
      <c r="Z743" s="4" t="str">
        <f t="shared" si="67"/>
        <v/>
      </c>
      <c r="AA743" s="4" t="str">
        <f>IF($C743="","",IF(COUNTIF($C$1:C742,$C743)+COUNTIF($D$1:D742,$C743)=0,1,0))</f>
        <v/>
      </c>
      <c r="AB743" s="4" t="str">
        <f>IF($D743="","",IF(COUNTIF($C$1:C743,$D743)+COUNTIF($D$1:D742,$D743)=0,1,0))</f>
        <v/>
      </c>
      <c r="AC743" s="4" t="str">
        <f>IF(AA743=1,SUM($AA$2:AA743)-AA743+SUM($AB$2:AB743)-AB743+1,"")</f>
        <v/>
      </c>
      <c r="AD743" s="4" t="str">
        <f>IF(AB743=1,SUM($AA$2:AA743)+SUM($AB$2:AB743)-AB743+1,"")</f>
        <v/>
      </c>
      <c r="AE743" s="4" t="str">
        <f t="shared" si="68"/>
        <v/>
      </c>
      <c r="AF743" s="4" t="str">
        <f t="shared" si="69"/>
        <v/>
      </c>
      <c r="AG743" s="8">
        <f t="shared" si="70"/>
        <v>0</v>
      </c>
      <c r="AI743" s="8">
        <f t="shared" si="71"/>
        <v>0</v>
      </c>
    </row>
    <row r="744" spans="23:35" ht="15" customHeight="1" x14ac:dyDescent="0.25">
      <c r="W744" s="4" t="str">
        <f>IF($C744="","",SUMPRODUCT(($C$2:C744=C744)+($D$2:D744=C744)))</f>
        <v/>
      </c>
      <c r="X744" s="4" t="str">
        <f>IF($D744="","",SUMPRODUCT(($C$2:C744=D744)+($D$2:D744=D744)))</f>
        <v/>
      </c>
      <c r="Y744" s="4" t="str">
        <f t="shared" si="66"/>
        <v/>
      </c>
      <c r="Z744" s="4" t="str">
        <f t="shared" si="67"/>
        <v/>
      </c>
      <c r="AA744" s="4" t="str">
        <f>IF($C744="","",IF(COUNTIF($C$1:C743,$C744)+COUNTIF($D$1:D743,$C744)=0,1,0))</f>
        <v/>
      </c>
      <c r="AB744" s="4" t="str">
        <f>IF($D744="","",IF(COUNTIF($C$1:C744,$D744)+COUNTIF($D$1:D743,$D744)=0,1,0))</f>
        <v/>
      </c>
      <c r="AC744" s="4" t="str">
        <f>IF(AA744=1,SUM($AA$2:AA744)-AA744+SUM($AB$2:AB744)-AB744+1,"")</f>
        <v/>
      </c>
      <c r="AD744" s="4" t="str">
        <f>IF(AB744=1,SUM($AA$2:AA744)+SUM($AB$2:AB744)-AB744+1,"")</f>
        <v/>
      </c>
      <c r="AE744" s="4" t="str">
        <f t="shared" si="68"/>
        <v/>
      </c>
      <c r="AF744" s="4" t="str">
        <f t="shared" si="69"/>
        <v/>
      </c>
      <c r="AG744" s="8">
        <f t="shared" si="70"/>
        <v>0</v>
      </c>
      <c r="AI744" s="8">
        <f t="shared" si="71"/>
        <v>0</v>
      </c>
    </row>
    <row r="745" spans="23:35" ht="15" customHeight="1" x14ac:dyDescent="0.25">
      <c r="W745" s="4" t="str">
        <f>IF($C745="","",SUMPRODUCT(($C$2:C745=C745)+($D$2:D745=C745)))</f>
        <v/>
      </c>
      <c r="X745" s="4" t="str">
        <f>IF($D745="","",SUMPRODUCT(($C$2:C745=D745)+($D$2:D745=D745)))</f>
        <v/>
      </c>
      <c r="Y745" s="4" t="str">
        <f t="shared" si="66"/>
        <v/>
      </c>
      <c r="Z745" s="4" t="str">
        <f t="shared" si="67"/>
        <v/>
      </c>
      <c r="AA745" s="4" t="str">
        <f>IF($C745="","",IF(COUNTIF($C$1:C744,$C745)+COUNTIF($D$1:D744,$C745)=0,1,0))</f>
        <v/>
      </c>
      <c r="AB745" s="4" t="str">
        <f>IF($D745="","",IF(COUNTIF($C$1:C745,$D745)+COUNTIF($D$1:D744,$D745)=0,1,0))</f>
        <v/>
      </c>
      <c r="AC745" s="4" t="str">
        <f>IF(AA745=1,SUM($AA$2:AA745)-AA745+SUM($AB$2:AB745)-AB745+1,"")</f>
        <v/>
      </c>
      <c r="AD745" s="4" t="str">
        <f>IF(AB745=1,SUM($AA$2:AA745)+SUM($AB$2:AB745)-AB745+1,"")</f>
        <v/>
      </c>
      <c r="AE745" s="4" t="str">
        <f t="shared" si="68"/>
        <v/>
      </c>
      <c r="AF745" s="4" t="str">
        <f t="shared" si="69"/>
        <v/>
      </c>
      <c r="AG745" s="8">
        <f t="shared" si="70"/>
        <v>0</v>
      </c>
      <c r="AI745" s="8">
        <f t="shared" si="71"/>
        <v>0</v>
      </c>
    </row>
    <row r="746" spans="23:35" ht="15" customHeight="1" x14ac:dyDescent="0.25">
      <c r="W746" s="4" t="str">
        <f>IF($C746="","",SUMPRODUCT(($C$2:C746=C746)+($D$2:D746=C746)))</f>
        <v/>
      </c>
      <c r="X746" s="4" t="str">
        <f>IF($D746="","",SUMPRODUCT(($C$2:C746=D746)+($D$2:D746=D746)))</f>
        <v/>
      </c>
      <c r="Y746" s="4" t="str">
        <f t="shared" si="66"/>
        <v/>
      </c>
      <c r="Z746" s="4" t="str">
        <f t="shared" si="67"/>
        <v/>
      </c>
      <c r="AA746" s="4" t="str">
        <f>IF($C746="","",IF(COUNTIF($C$1:C745,$C746)+COUNTIF($D$1:D745,$C746)=0,1,0))</f>
        <v/>
      </c>
      <c r="AB746" s="4" t="str">
        <f>IF($D746="","",IF(COUNTIF($C$1:C746,$D746)+COUNTIF($D$1:D745,$D746)=0,1,0))</f>
        <v/>
      </c>
      <c r="AC746" s="4" t="str">
        <f>IF(AA746=1,SUM($AA$2:AA746)-AA746+SUM($AB$2:AB746)-AB746+1,"")</f>
        <v/>
      </c>
      <c r="AD746" s="4" t="str">
        <f>IF(AB746=1,SUM($AA$2:AA746)+SUM($AB$2:AB746)-AB746+1,"")</f>
        <v/>
      </c>
      <c r="AE746" s="4" t="str">
        <f t="shared" si="68"/>
        <v/>
      </c>
      <c r="AF746" s="4" t="str">
        <f t="shared" si="69"/>
        <v/>
      </c>
      <c r="AG746" s="8">
        <f t="shared" si="70"/>
        <v>0</v>
      </c>
      <c r="AI746" s="8">
        <f t="shared" si="71"/>
        <v>0</v>
      </c>
    </row>
    <row r="747" spans="23:35" ht="15" customHeight="1" x14ac:dyDescent="0.25">
      <c r="W747" s="4" t="str">
        <f>IF($C747="","",SUMPRODUCT(($C$2:C747=C747)+($D$2:D747=C747)))</f>
        <v/>
      </c>
      <c r="X747" s="4" t="str">
        <f>IF($D747="","",SUMPRODUCT(($C$2:C747=D747)+($D$2:D747=D747)))</f>
        <v/>
      </c>
      <c r="Y747" s="4" t="str">
        <f t="shared" si="66"/>
        <v/>
      </c>
      <c r="Z747" s="4" t="str">
        <f t="shared" si="67"/>
        <v/>
      </c>
      <c r="AA747" s="4" t="str">
        <f>IF($C747="","",IF(COUNTIF($C$1:C746,$C747)+COUNTIF($D$1:D746,$C747)=0,1,0))</f>
        <v/>
      </c>
      <c r="AB747" s="4" t="str">
        <f>IF($D747="","",IF(COUNTIF($C$1:C747,$D747)+COUNTIF($D$1:D746,$D747)=0,1,0))</f>
        <v/>
      </c>
      <c r="AC747" s="4" t="str">
        <f>IF(AA747=1,SUM($AA$2:AA747)-AA747+SUM($AB$2:AB747)-AB747+1,"")</f>
        <v/>
      </c>
      <c r="AD747" s="4" t="str">
        <f>IF(AB747=1,SUM($AA$2:AA747)+SUM($AB$2:AB747)-AB747+1,"")</f>
        <v/>
      </c>
      <c r="AE747" s="4" t="str">
        <f t="shared" si="68"/>
        <v/>
      </c>
      <c r="AF747" s="4" t="str">
        <f t="shared" si="69"/>
        <v/>
      </c>
      <c r="AG747" s="8">
        <f t="shared" si="70"/>
        <v>0</v>
      </c>
      <c r="AI747" s="8">
        <f t="shared" si="71"/>
        <v>0</v>
      </c>
    </row>
    <row r="748" spans="23:35" ht="15" customHeight="1" x14ac:dyDescent="0.25">
      <c r="W748" s="4" t="str">
        <f>IF($C748="","",SUMPRODUCT(($C$2:C748=C748)+($D$2:D748=C748)))</f>
        <v/>
      </c>
      <c r="X748" s="4" t="str">
        <f>IF($D748="","",SUMPRODUCT(($C$2:C748=D748)+($D$2:D748=D748)))</f>
        <v/>
      </c>
      <c r="Y748" s="4" t="str">
        <f t="shared" si="66"/>
        <v/>
      </c>
      <c r="Z748" s="4" t="str">
        <f t="shared" si="67"/>
        <v/>
      </c>
      <c r="AA748" s="4" t="str">
        <f>IF($C748="","",IF(COUNTIF($C$1:C747,$C748)+COUNTIF($D$1:D747,$C748)=0,1,0))</f>
        <v/>
      </c>
      <c r="AB748" s="4" t="str">
        <f>IF($D748="","",IF(COUNTIF($C$1:C748,$D748)+COUNTIF($D$1:D747,$D748)=0,1,0))</f>
        <v/>
      </c>
      <c r="AC748" s="4" t="str">
        <f>IF(AA748=1,SUM($AA$2:AA748)-AA748+SUM($AB$2:AB748)-AB748+1,"")</f>
        <v/>
      </c>
      <c r="AD748" s="4" t="str">
        <f>IF(AB748=1,SUM($AA$2:AA748)+SUM($AB$2:AB748)-AB748+1,"")</f>
        <v/>
      </c>
      <c r="AE748" s="4" t="str">
        <f t="shared" si="68"/>
        <v/>
      </c>
      <c r="AF748" s="4" t="str">
        <f t="shared" si="69"/>
        <v/>
      </c>
      <c r="AG748" s="8">
        <f t="shared" si="70"/>
        <v>0</v>
      </c>
      <c r="AI748" s="8">
        <f t="shared" si="71"/>
        <v>0</v>
      </c>
    </row>
    <row r="749" spans="23:35" ht="15" customHeight="1" x14ac:dyDescent="0.25">
      <c r="W749" s="4" t="str">
        <f>IF($C749="","",SUMPRODUCT(($C$2:C749=C749)+($D$2:D749=C749)))</f>
        <v/>
      </c>
      <c r="X749" s="4" t="str">
        <f>IF($D749="","",SUMPRODUCT(($C$2:C749=D749)+($D$2:D749=D749)))</f>
        <v/>
      </c>
      <c r="Y749" s="4" t="str">
        <f t="shared" si="66"/>
        <v/>
      </c>
      <c r="Z749" s="4" t="str">
        <f t="shared" si="67"/>
        <v/>
      </c>
      <c r="AA749" s="4" t="str">
        <f>IF($C749="","",IF(COUNTIF($C$1:C748,$C749)+COUNTIF($D$1:D748,$C749)=0,1,0))</f>
        <v/>
      </c>
      <c r="AB749" s="4" t="str">
        <f>IF($D749="","",IF(COUNTIF($C$1:C749,$D749)+COUNTIF($D$1:D748,$D749)=0,1,0))</f>
        <v/>
      </c>
      <c r="AC749" s="4" t="str">
        <f>IF(AA749=1,SUM($AA$2:AA749)-AA749+SUM($AB$2:AB749)-AB749+1,"")</f>
        <v/>
      </c>
      <c r="AD749" s="4" t="str">
        <f>IF(AB749=1,SUM($AA$2:AA749)+SUM($AB$2:AB749)-AB749+1,"")</f>
        <v/>
      </c>
      <c r="AE749" s="4" t="str">
        <f t="shared" si="68"/>
        <v/>
      </c>
      <c r="AF749" s="4" t="str">
        <f t="shared" si="69"/>
        <v/>
      </c>
      <c r="AG749" s="8">
        <f t="shared" si="70"/>
        <v>0</v>
      </c>
      <c r="AI749" s="8">
        <f t="shared" si="71"/>
        <v>0</v>
      </c>
    </row>
    <row r="750" spans="23:35" ht="15" customHeight="1" x14ac:dyDescent="0.25">
      <c r="W750" s="4" t="str">
        <f>IF($C750="","",SUMPRODUCT(($C$2:C750=C750)+($D$2:D750=C750)))</f>
        <v/>
      </c>
      <c r="X750" s="4" t="str">
        <f>IF($D750="","",SUMPRODUCT(($C$2:C750=D750)+($D$2:D750=D750)))</f>
        <v/>
      </c>
      <c r="Y750" s="4" t="str">
        <f t="shared" si="66"/>
        <v/>
      </c>
      <c r="Z750" s="4" t="str">
        <f t="shared" si="67"/>
        <v/>
      </c>
      <c r="AA750" s="4" t="str">
        <f>IF($C750="","",IF(COUNTIF($C$1:C749,$C750)+COUNTIF($D$1:D749,$C750)=0,1,0))</f>
        <v/>
      </c>
      <c r="AB750" s="4" t="str">
        <f>IF($D750="","",IF(COUNTIF($C$1:C750,$D750)+COUNTIF($D$1:D749,$D750)=0,1,0))</f>
        <v/>
      </c>
      <c r="AC750" s="4" t="str">
        <f>IF(AA750=1,SUM($AA$2:AA750)-AA750+SUM($AB$2:AB750)-AB750+1,"")</f>
        <v/>
      </c>
      <c r="AD750" s="4" t="str">
        <f>IF(AB750=1,SUM($AA$2:AA750)+SUM($AB$2:AB750)-AB750+1,"")</f>
        <v/>
      </c>
      <c r="AE750" s="4" t="str">
        <f t="shared" si="68"/>
        <v/>
      </c>
      <c r="AF750" s="4" t="str">
        <f t="shared" si="69"/>
        <v/>
      </c>
      <c r="AG750" s="8">
        <f t="shared" si="70"/>
        <v>0</v>
      </c>
      <c r="AI750" s="8">
        <f t="shared" si="71"/>
        <v>0</v>
      </c>
    </row>
    <row r="751" spans="23:35" ht="15" customHeight="1" x14ac:dyDescent="0.25">
      <c r="W751" s="4" t="str">
        <f>IF($C751="","",SUMPRODUCT(($C$2:C751=C751)+($D$2:D751=C751)))</f>
        <v/>
      </c>
      <c r="X751" s="4" t="str">
        <f>IF($D751="","",SUMPRODUCT(($C$2:C751=D751)+($D$2:D751=D751)))</f>
        <v/>
      </c>
      <c r="Y751" s="4" t="str">
        <f t="shared" si="66"/>
        <v/>
      </c>
      <c r="Z751" s="4" t="str">
        <f t="shared" si="67"/>
        <v/>
      </c>
      <c r="AA751" s="4" t="str">
        <f>IF($C751="","",IF(COUNTIF($C$1:C750,$C751)+COUNTIF($D$1:D750,$C751)=0,1,0))</f>
        <v/>
      </c>
      <c r="AB751" s="4" t="str">
        <f>IF($D751="","",IF(COUNTIF($C$1:C751,$D751)+COUNTIF($D$1:D750,$D751)=0,1,0))</f>
        <v/>
      </c>
      <c r="AC751" s="4" t="str">
        <f>IF(AA751=1,SUM($AA$2:AA751)-AA751+SUM($AB$2:AB751)-AB751+1,"")</f>
        <v/>
      </c>
      <c r="AD751" s="4" t="str">
        <f>IF(AB751=1,SUM($AA$2:AA751)+SUM($AB$2:AB751)-AB751+1,"")</f>
        <v/>
      </c>
      <c r="AE751" s="4" t="str">
        <f t="shared" si="68"/>
        <v/>
      </c>
      <c r="AF751" s="4" t="str">
        <f t="shared" si="69"/>
        <v/>
      </c>
      <c r="AG751" s="8">
        <f t="shared" si="70"/>
        <v>0</v>
      </c>
      <c r="AI751" s="8">
        <f t="shared" si="71"/>
        <v>0</v>
      </c>
    </row>
    <row r="752" spans="23:35" ht="15" customHeight="1" x14ac:dyDescent="0.25">
      <c r="W752" s="4" t="str">
        <f>IF($C752="","",SUMPRODUCT(($C$2:C752=C752)+($D$2:D752=C752)))</f>
        <v/>
      </c>
      <c r="X752" s="4" t="str">
        <f>IF($D752="","",SUMPRODUCT(($C$2:C752=D752)+($D$2:D752=D752)))</f>
        <v/>
      </c>
      <c r="Y752" s="4" t="str">
        <f t="shared" si="66"/>
        <v/>
      </c>
      <c r="Z752" s="4" t="str">
        <f t="shared" si="67"/>
        <v/>
      </c>
      <c r="AA752" s="4" t="str">
        <f>IF($C752="","",IF(COUNTIF($C$1:C751,$C752)+COUNTIF($D$1:D751,$C752)=0,1,0))</f>
        <v/>
      </c>
      <c r="AB752" s="4" t="str">
        <f>IF($D752="","",IF(COUNTIF($C$1:C752,$D752)+COUNTIF($D$1:D751,$D752)=0,1,0))</f>
        <v/>
      </c>
      <c r="AC752" s="4" t="str">
        <f>IF(AA752=1,SUM($AA$2:AA752)-AA752+SUM($AB$2:AB752)-AB752+1,"")</f>
        <v/>
      </c>
      <c r="AD752" s="4" t="str">
        <f>IF(AB752=1,SUM($AA$2:AA752)+SUM($AB$2:AB752)-AB752+1,"")</f>
        <v/>
      </c>
      <c r="AE752" s="4" t="str">
        <f t="shared" si="68"/>
        <v/>
      </c>
      <c r="AF752" s="4" t="str">
        <f t="shared" si="69"/>
        <v/>
      </c>
      <c r="AG752" s="8">
        <f t="shared" si="70"/>
        <v>0</v>
      </c>
      <c r="AI752" s="8">
        <f t="shared" si="71"/>
        <v>0</v>
      </c>
    </row>
    <row r="753" spans="23:35" ht="15" customHeight="1" x14ac:dyDescent="0.25">
      <c r="W753" s="4" t="str">
        <f>IF($C753="","",SUMPRODUCT(($C$2:C753=C753)+($D$2:D753=C753)))</f>
        <v/>
      </c>
      <c r="X753" s="4" t="str">
        <f>IF($D753="","",SUMPRODUCT(($C$2:C753=D753)+($D$2:D753=D753)))</f>
        <v/>
      </c>
      <c r="Y753" s="4" t="str">
        <f t="shared" si="66"/>
        <v/>
      </c>
      <c r="Z753" s="4" t="str">
        <f t="shared" si="67"/>
        <v/>
      </c>
      <c r="AA753" s="4" t="str">
        <f>IF($C753="","",IF(COUNTIF($C$1:C752,$C753)+COUNTIF($D$1:D752,$C753)=0,1,0))</f>
        <v/>
      </c>
      <c r="AB753" s="4" t="str">
        <f>IF($D753="","",IF(COUNTIF($C$1:C753,$D753)+COUNTIF($D$1:D752,$D753)=0,1,0))</f>
        <v/>
      </c>
      <c r="AC753" s="4" t="str">
        <f>IF(AA753=1,SUM($AA$2:AA753)-AA753+SUM($AB$2:AB753)-AB753+1,"")</f>
        <v/>
      </c>
      <c r="AD753" s="4" t="str">
        <f>IF(AB753=1,SUM($AA$2:AA753)+SUM($AB$2:AB753)-AB753+1,"")</f>
        <v/>
      </c>
      <c r="AE753" s="4" t="str">
        <f t="shared" si="68"/>
        <v/>
      </c>
      <c r="AF753" s="4" t="str">
        <f t="shared" si="69"/>
        <v/>
      </c>
      <c r="AG753" s="8">
        <f t="shared" si="70"/>
        <v>0</v>
      </c>
      <c r="AI753" s="8">
        <f t="shared" si="71"/>
        <v>0</v>
      </c>
    </row>
    <row r="754" spans="23:35" ht="15" customHeight="1" x14ac:dyDescent="0.25">
      <c r="W754" s="4" t="str">
        <f>IF($C754="","",SUMPRODUCT(($C$2:C754=C754)+($D$2:D754=C754)))</f>
        <v/>
      </c>
      <c r="X754" s="4" t="str">
        <f>IF($D754="","",SUMPRODUCT(($C$2:C754=D754)+($D$2:D754=D754)))</f>
        <v/>
      </c>
      <c r="Y754" s="4" t="str">
        <f t="shared" si="66"/>
        <v/>
      </c>
      <c r="Z754" s="4" t="str">
        <f t="shared" si="67"/>
        <v/>
      </c>
      <c r="AA754" s="4" t="str">
        <f>IF($C754="","",IF(COUNTIF($C$1:C753,$C754)+COUNTIF($D$1:D753,$C754)=0,1,0))</f>
        <v/>
      </c>
      <c r="AB754" s="4" t="str">
        <f>IF($D754="","",IF(COUNTIF($C$1:C754,$D754)+COUNTIF($D$1:D753,$D754)=0,1,0))</f>
        <v/>
      </c>
      <c r="AC754" s="4" t="str">
        <f>IF(AA754=1,SUM($AA$2:AA754)-AA754+SUM($AB$2:AB754)-AB754+1,"")</f>
        <v/>
      </c>
      <c r="AD754" s="4" t="str">
        <f>IF(AB754=1,SUM($AA$2:AA754)+SUM($AB$2:AB754)-AB754+1,"")</f>
        <v/>
      </c>
      <c r="AE754" s="4" t="str">
        <f t="shared" si="68"/>
        <v/>
      </c>
      <c r="AF754" s="4" t="str">
        <f t="shared" si="69"/>
        <v/>
      </c>
      <c r="AG754" s="8">
        <f t="shared" si="70"/>
        <v>0</v>
      </c>
      <c r="AI754" s="8">
        <f t="shared" si="71"/>
        <v>0</v>
      </c>
    </row>
    <row r="755" spans="23:35" ht="15" customHeight="1" x14ac:dyDescent="0.25">
      <c r="W755" s="4" t="str">
        <f>IF($C755="","",SUMPRODUCT(($C$2:C755=C755)+($D$2:D755=C755)))</f>
        <v/>
      </c>
      <c r="X755" s="4" t="str">
        <f>IF($D755="","",SUMPRODUCT(($C$2:C755=D755)+($D$2:D755=D755)))</f>
        <v/>
      </c>
      <c r="Y755" s="4" t="str">
        <f t="shared" si="66"/>
        <v/>
      </c>
      <c r="Z755" s="4" t="str">
        <f t="shared" si="67"/>
        <v/>
      </c>
      <c r="AA755" s="4" t="str">
        <f>IF($C755="","",IF(COUNTIF($C$1:C754,$C755)+COUNTIF($D$1:D754,$C755)=0,1,0))</f>
        <v/>
      </c>
      <c r="AB755" s="4" t="str">
        <f>IF($D755="","",IF(COUNTIF($C$1:C755,$D755)+COUNTIF($D$1:D754,$D755)=0,1,0))</f>
        <v/>
      </c>
      <c r="AC755" s="4" t="str">
        <f>IF(AA755=1,SUM($AA$2:AA755)-AA755+SUM($AB$2:AB755)-AB755+1,"")</f>
        <v/>
      </c>
      <c r="AD755" s="4" t="str">
        <f>IF(AB755=1,SUM($AA$2:AA755)+SUM($AB$2:AB755)-AB755+1,"")</f>
        <v/>
      </c>
      <c r="AE755" s="4" t="str">
        <f t="shared" si="68"/>
        <v/>
      </c>
      <c r="AF755" s="4" t="str">
        <f t="shared" si="69"/>
        <v/>
      </c>
      <c r="AG755" s="8">
        <f t="shared" si="70"/>
        <v>0</v>
      </c>
      <c r="AI755" s="8">
        <f t="shared" si="71"/>
        <v>0</v>
      </c>
    </row>
    <row r="756" spans="23:35" ht="15" customHeight="1" x14ac:dyDescent="0.25">
      <c r="W756" s="4" t="str">
        <f>IF($C756="","",SUMPRODUCT(($C$2:C756=C756)+($D$2:D756=C756)))</f>
        <v/>
      </c>
      <c r="X756" s="4" t="str">
        <f>IF($D756="","",SUMPRODUCT(($C$2:C756=D756)+($D$2:D756=D756)))</f>
        <v/>
      </c>
      <c r="Y756" s="4" t="str">
        <f t="shared" si="66"/>
        <v/>
      </c>
      <c r="Z756" s="4" t="str">
        <f t="shared" si="67"/>
        <v/>
      </c>
      <c r="AA756" s="4" t="str">
        <f>IF($C756="","",IF(COUNTIF($C$1:C755,$C756)+COUNTIF($D$1:D755,$C756)=0,1,0))</f>
        <v/>
      </c>
      <c r="AB756" s="4" t="str">
        <f>IF($D756="","",IF(COUNTIF($C$1:C756,$D756)+COUNTIF($D$1:D755,$D756)=0,1,0))</f>
        <v/>
      </c>
      <c r="AC756" s="4" t="str">
        <f>IF(AA756=1,SUM($AA$2:AA756)-AA756+SUM($AB$2:AB756)-AB756+1,"")</f>
        <v/>
      </c>
      <c r="AD756" s="4" t="str">
        <f>IF(AB756=1,SUM($AA$2:AA756)+SUM($AB$2:AB756)-AB756+1,"")</f>
        <v/>
      </c>
      <c r="AE756" s="4" t="str">
        <f t="shared" si="68"/>
        <v/>
      </c>
      <c r="AF756" s="4" t="str">
        <f t="shared" si="69"/>
        <v/>
      </c>
      <c r="AG756" s="8">
        <f t="shared" si="70"/>
        <v>0</v>
      </c>
      <c r="AI756" s="8">
        <f t="shared" si="71"/>
        <v>0</v>
      </c>
    </row>
    <row r="757" spans="23:35" ht="15" customHeight="1" x14ac:dyDescent="0.25">
      <c r="W757" s="4" t="str">
        <f>IF($C757="","",SUMPRODUCT(($C$2:C757=C757)+($D$2:D757=C757)))</f>
        <v/>
      </c>
      <c r="X757" s="4" t="str">
        <f>IF($D757="","",SUMPRODUCT(($C$2:C757=D757)+($D$2:D757=D757)))</f>
        <v/>
      </c>
      <c r="Y757" s="4" t="str">
        <f t="shared" si="66"/>
        <v/>
      </c>
      <c r="Z757" s="4" t="str">
        <f t="shared" si="67"/>
        <v/>
      </c>
      <c r="AA757" s="4" t="str">
        <f>IF($C757="","",IF(COUNTIF($C$1:C756,$C757)+COUNTIF($D$1:D756,$C757)=0,1,0))</f>
        <v/>
      </c>
      <c r="AB757" s="4" t="str">
        <f>IF($D757="","",IF(COUNTIF($C$1:C757,$D757)+COUNTIF($D$1:D756,$D757)=0,1,0))</f>
        <v/>
      </c>
      <c r="AC757" s="4" t="str">
        <f>IF(AA757=1,SUM($AA$2:AA757)-AA757+SUM($AB$2:AB757)-AB757+1,"")</f>
        <v/>
      </c>
      <c r="AD757" s="4" t="str">
        <f>IF(AB757=1,SUM($AA$2:AA757)+SUM($AB$2:AB757)-AB757+1,"")</f>
        <v/>
      </c>
      <c r="AE757" s="4" t="str">
        <f t="shared" si="68"/>
        <v/>
      </c>
      <c r="AF757" s="4" t="str">
        <f t="shared" si="69"/>
        <v/>
      </c>
      <c r="AG757" s="8">
        <f t="shared" si="70"/>
        <v>0</v>
      </c>
      <c r="AI757" s="8">
        <f t="shared" si="71"/>
        <v>0</v>
      </c>
    </row>
    <row r="758" spans="23:35" ht="15" customHeight="1" x14ac:dyDescent="0.25">
      <c r="W758" s="4" t="str">
        <f>IF($C758="","",SUMPRODUCT(($C$2:C758=C758)+($D$2:D758=C758)))</f>
        <v/>
      </c>
      <c r="X758" s="4" t="str">
        <f>IF($D758="","",SUMPRODUCT(($C$2:C758=D758)+($D$2:D758=D758)))</f>
        <v/>
      </c>
      <c r="Y758" s="4" t="str">
        <f t="shared" si="66"/>
        <v/>
      </c>
      <c r="Z758" s="4" t="str">
        <f t="shared" si="67"/>
        <v/>
      </c>
      <c r="AA758" s="4" t="str">
        <f>IF($C758="","",IF(COUNTIF($C$1:C757,$C758)+COUNTIF($D$1:D757,$C758)=0,1,0))</f>
        <v/>
      </c>
      <c r="AB758" s="4" t="str">
        <f>IF($D758="","",IF(COUNTIF($C$1:C758,$D758)+COUNTIF($D$1:D757,$D758)=0,1,0))</f>
        <v/>
      </c>
      <c r="AC758" s="4" t="str">
        <f>IF(AA758=1,SUM($AA$2:AA758)-AA758+SUM($AB$2:AB758)-AB758+1,"")</f>
        <v/>
      </c>
      <c r="AD758" s="4" t="str">
        <f>IF(AB758=1,SUM($AA$2:AA758)+SUM($AB$2:AB758)-AB758+1,"")</f>
        <v/>
      </c>
      <c r="AE758" s="4" t="str">
        <f t="shared" si="68"/>
        <v/>
      </c>
      <c r="AF758" s="4" t="str">
        <f t="shared" si="69"/>
        <v/>
      </c>
      <c r="AG758" s="8">
        <f t="shared" si="70"/>
        <v>0</v>
      </c>
      <c r="AI758" s="8">
        <f t="shared" si="71"/>
        <v>0</v>
      </c>
    </row>
    <row r="759" spans="23:35" ht="15" customHeight="1" x14ac:dyDescent="0.25">
      <c r="W759" s="4" t="str">
        <f>IF($C759="","",SUMPRODUCT(($C$2:C759=C759)+($D$2:D759=C759)))</f>
        <v/>
      </c>
      <c r="X759" s="4" t="str">
        <f>IF($D759="","",SUMPRODUCT(($C$2:C759=D759)+($D$2:D759=D759)))</f>
        <v/>
      </c>
      <c r="Y759" s="4" t="str">
        <f t="shared" si="66"/>
        <v/>
      </c>
      <c r="Z759" s="4" t="str">
        <f t="shared" si="67"/>
        <v/>
      </c>
      <c r="AA759" s="4" t="str">
        <f>IF($C759="","",IF(COUNTIF($C$1:C758,$C759)+COUNTIF($D$1:D758,$C759)=0,1,0))</f>
        <v/>
      </c>
      <c r="AB759" s="4" t="str">
        <f>IF($D759="","",IF(COUNTIF($C$1:C759,$D759)+COUNTIF($D$1:D758,$D759)=0,1,0))</f>
        <v/>
      </c>
      <c r="AC759" s="4" t="str">
        <f>IF(AA759=1,SUM($AA$2:AA759)-AA759+SUM($AB$2:AB759)-AB759+1,"")</f>
        <v/>
      </c>
      <c r="AD759" s="4" t="str">
        <f>IF(AB759=1,SUM($AA$2:AA759)+SUM($AB$2:AB759)-AB759+1,"")</f>
        <v/>
      </c>
      <c r="AE759" s="4" t="str">
        <f t="shared" si="68"/>
        <v/>
      </c>
      <c r="AF759" s="4" t="str">
        <f t="shared" si="69"/>
        <v/>
      </c>
      <c r="AG759" s="8">
        <f t="shared" si="70"/>
        <v>0</v>
      </c>
      <c r="AI759" s="8">
        <f t="shared" si="71"/>
        <v>0</v>
      </c>
    </row>
    <row r="760" spans="23:35" ht="15" customHeight="1" x14ac:dyDescent="0.25">
      <c r="W760" s="4" t="str">
        <f>IF($C760="","",SUMPRODUCT(($C$2:C760=C760)+($D$2:D760=C760)))</f>
        <v/>
      </c>
      <c r="X760" s="4" t="str">
        <f>IF($D760="","",SUMPRODUCT(($C$2:C760=D760)+($D$2:D760=D760)))</f>
        <v/>
      </c>
      <c r="Y760" s="4" t="str">
        <f t="shared" si="66"/>
        <v/>
      </c>
      <c r="Z760" s="4" t="str">
        <f t="shared" si="67"/>
        <v/>
      </c>
      <c r="AA760" s="4" t="str">
        <f>IF($C760="","",IF(COUNTIF($C$1:C759,$C760)+COUNTIF($D$1:D759,$C760)=0,1,0))</f>
        <v/>
      </c>
      <c r="AB760" s="4" t="str">
        <f>IF($D760="","",IF(COUNTIF($C$1:C760,$D760)+COUNTIF($D$1:D759,$D760)=0,1,0))</f>
        <v/>
      </c>
      <c r="AC760" s="4" t="str">
        <f>IF(AA760=1,SUM($AA$2:AA760)-AA760+SUM($AB$2:AB760)-AB760+1,"")</f>
        <v/>
      </c>
      <c r="AD760" s="4" t="str">
        <f>IF(AB760=1,SUM($AA$2:AA760)+SUM($AB$2:AB760)-AB760+1,"")</f>
        <v/>
      </c>
      <c r="AE760" s="4" t="str">
        <f t="shared" si="68"/>
        <v/>
      </c>
      <c r="AF760" s="4" t="str">
        <f t="shared" si="69"/>
        <v/>
      </c>
      <c r="AG760" s="8">
        <f t="shared" si="70"/>
        <v>0</v>
      </c>
      <c r="AI760" s="8">
        <f t="shared" si="71"/>
        <v>0</v>
      </c>
    </row>
    <row r="761" spans="23:35" ht="15" customHeight="1" x14ac:dyDescent="0.25">
      <c r="W761" s="4" t="str">
        <f>IF($C761="","",SUMPRODUCT(($C$2:C761=C761)+($D$2:D761=C761)))</f>
        <v/>
      </c>
      <c r="X761" s="4" t="str">
        <f>IF($D761="","",SUMPRODUCT(($C$2:C761=D761)+($D$2:D761=D761)))</f>
        <v/>
      </c>
      <c r="Y761" s="4" t="str">
        <f t="shared" si="66"/>
        <v/>
      </c>
      <c r="Z761" s="4" t="str">
        <f t="shared" si="67"/>
        <v/>
      </c>
      <c r="AA761" s="4" t="str">
        <f>IF($C761="","",IF(COUNTIF($C$1:C760,$C761)+COUNTIF($D$1:D760,$C761)=0,1,0))</f>
        <v/>
      </c>
      <c r="AB761" s="4" t="str">
        <f>IF($D761="","",IF(COUNTIF($C$1:C761,$D761)+COUNTIF($D$1:D760,$D761)=0,1,0))</f>
        <v/>
      </c>
      <c r="AC761" s="4" t="str">
        <f>IF(AA761=1,SUM($AA$2:AA761)-AA761+SUM($AB$2:AB761)-AB761+1,"")</f>
        <v/>
      </c>
      <c r="AD761" s="4" t="str">
        <f>IF(AB761=1,SUM($AA$2:AA761)+SUM($AB$2:AB761)-AB761+1,"")</f>
        <v/>
      </c>
      <c r="AE761" s="4" t="str">
        <f t="shared" si="68"/>
        <v/>
      </c>
      <c r="AF761" s="4" t="str">
        <f t="shared" si="69"/>
        <v/>
      </c>
      <c r="AG761" s="8">
        <f t="shared" si="70"/>
        <v>0</v>
      </c>
      <c r="AI761" s="8">
        <f t="shared" si="71"/>
        <v>0</v>
      </c>
    </row>
    <row r="762" spans="23:35" ht="15" customHeight="1" x14ac:dyDescent="0.25">
      <c r="W762" s="4" t="str">
        <f>IF($C762="","",SUMPRODUCT(($C$2:C762=C762)+($D$2:D762=C762)))</f>
        <v/>
      </c>
      <c r="X762" s="4" t="str">
        <f>IF($D762="","",SUMPRODUCT(($C$2:C762=D762)+($D$2:D762=D762)))</f>
        <v/>
      </c>
      <c r="Y762" s="4" t="str">
        <f t="shared" si="66"/>
        <v/>
      </c>
      <c r="Z762" s="4" t="str">
        <f t="shared" si="67"/>
        <v/>
      </c>
      <c r="AA762" s="4" t="str">
        <f>IF($C762="","",IF(COUNTIF($C$1:C761,$C762)+COUNTIF($D$1:D761,$C762)=0,1,0))</f>
        <v/>
      </c>
      <c r="AB762" s="4" t="str">
        <f>IF($D762="","",IF(COUNTIF($C$1:C762,$D762)+COUNTIF($D$1:D761,$D762)=0,1,0))</f>
        <v/>
      </c>
      <c r="AC762" s="4" t="str">
        <f>IF(AA762=1,SUM($AA$2:AA762)-AA762+SUM($AB$2:AB762)-AB762+1,"")</f>
        <v/>
      </c>
      <c r="AD762" s="4" t="str">
        <f>IF(AB762=1,SUM($AA$2:AA762)+SUM($AB$2:AB762)-AB762+1,"")</f>
        <v/>
      </c>
      <c r="AE762" s="4" t="str">
        <f t="shared" si="68"/>
        <v/>
      </c>
      <c r="AF762" s="4" t="str">
        <f t="shared" si="69"/>
        <v/>
      </c>
      <c r="AG762" s="8">
        <f t="shared" si="70"/>
        <v>0</v>
      </c>
      <c r="AI762" s="8">
        <f t="shared" si="71"/>
        <v>0</v>
      </c>
    </row>
    <row r="763" spans="23:35" ht="15" customHeight="1" x14ac:dyDescent="0.25">
      <c r="W763" s="4" t="str">
        <f>IF($C763="","",SUMPRODUCT(($C$2:C763=C763)+($D$2:D763=C763)))</f>
        <v/>
      </c>
      <c r="X763" s="4" t="str">
        <f>IF($D763="","",SUMPRODUCT(($C$2:C763=D763)+($D$2:D763=D763)))</f>
        <v/>
      </c>
      <c r="Y763" s="4" t="str">
        <f t="shared" si="66"/>
        <v/>
      </c>
      <c r="Z763" s="4" t="str">
        <f t="shared" si="67"/>
        <v/>
      </c>
      <c r="AA763" s="4" t="str">
        <f>IF($C763="","",IF(COUNTIF($C$1:C762,$C763)+COUNTIF($D$1:D762,$C763)=0,1,0))</f>
        <v/>
      </c>
      <c r="AB763" s="4" t="str">
        <f>IF($D763="","",IF(COUNTIF($C$1:C763,$D763)+COUNTIF($D$1:D762,$D763)=0,1,0))</f>
        <v/>
      </c>
      <c r="AC763" s="4" t="str">
        <f>IF(AA763=1,SUM($AA$2:AA763)-AA763+SUM($AB$2:AB763)-AB763+1,"")</f>
        <v/>
      </c>
      <c r="AD763" s="4" t="str">
        <f>IF(AB763=1,SUM($AA$2:AA763)+SUM($AB$2:AB763)-AB763+1,"")</f>
        <v/>
      </c>
      <c r="AE763" s="4" t="str">
        <f t="shared" si="68"/>
        <v/>
      </c>
      <c r="AF763" s="4" t="str">
        <f t="shared" si="69"/>
        <v/>
      </c>
      <c r="AG763" s="8">
        <f t="shared" si="70"/>
        <v>0</v>
      </c>
      <c r="AI763" s="8">
        <f t="shared" si="71"/>
        <v>0</v>
      </c>
    </row>
    <row r="764" spans="23:35" ht="15" customHeight="1" x14ac:dyDescent="0.25">
      <c r="W764" s="4" t="str">
        <f>IF($C764="","",SUMPRODUCT(($C$2:C764=C764)+($D$2:D764=C764)))</f>
        <v/>
      </c>
      <c r="X764" s="4" t="str">
        <f>IF($D764="","",SUMPRODUCT(($C$2:C764=D764)+($D$2:D764=D764)))</f>
        <v/>
      </c>
      <c r="Y764" s="4" t="str">
        <f t="shared" si="66"/>
        <v/>
      </c>
      <c r="Z764" s="4" t="str">
        <f t="shared" si="67"/>
        <v/>
      </c>
      <c r="AA764" s="4" t="str">
        <f>IF($C764="","",IF(COUNTIF($C$1:C763,$C764)+COUNTIF($D$1:D763,$C764)=0,1,0))</f>
        <v/>
      </c>
      <c r="AB764" s="4" t="str">
        <f>IF($D764="","",IF(COUNTIF($C$1:C764,$D764)+COUNTIF($D$1:D763,$D764)=0,1,0))</f>
        <v/>
      </c>
      <c r="AC764" s="4" t="str">
        <f>IF(AA764=1,SUM($AA$2:AA764)-AA764+SUM($AB$2:AB764)-AB764+1,"")</f>
        <v/>
      </c>
      <c r="AD764" s="4" t="str">
        <f>IF(AB764=1,SUM($AA$2:AA764)+SUM($AB$2:AB764)-AB764+1,"")</f>
        <v/>
      </c>
      <c r="AE764" s="4" t="str">
        <f t="shared" si="68"/>
        <v/>
      </c>
      <c r="AF764" s="4" t="str">
        <f t="shared" si="69"/>
        <v/>
      </c>
      <c r="AG764" s="8">
        <f t="shared" si="70"/>
        <v>0</v>
      </c>
      <c r="AI764" s="8">
        <f t="shared" si="71"/>
        <v>0</v>
      </c>
    </row>
    <row r="765" spans="23:35" ht="15" customHeight="1" x14ac:dyDescent="0.25">
      <c r="W765" s="4" t="str">
        <f>IF($C765="","",SUMPRODUCT(($C$2:C765=C765)+($D$2:D765=C765)))</f>
        <v/>
      </c>
      <c r="X765" s="4" t="str">
        <f>IF($D765="","",SUMPRODUCT(($C$2:C765=D765)+($D$2:D765=D765)))</f>
        <v/>
      </c>
      <c r="Y765" s="4" t="str">
        <f t="shared" si="66"/>
        <v/>
      </c>
      <c r="Z765" s="4" t="str">
        <f t="shared" si="67"/>
        <v/>
      </c>
      <c r="AA765" s="4" t="str">
        <f>IF($C765="","",IF(COUNTIF($C$1:C764,$C765)+COUNTIF($D$1:D764,$C765)=0,1,0))</f>
        <v/>
      </c>
      <c r="AB765" s="4" t="str">
        <f>IF($D765="","",IF(COUNTIF($C$1:C765,$D765)+COUNTIF($D$1:D764,$D765)=0,1,0))</f>
        <v/>
      </c>
      <c r="AC765" s="4" t="str">
        <f>IF(AA765=1,SUM($AA$2:AA765)-AA765+SUM($AB$2:AB765)-AB765+1,"")</f>
        <v/>
      </c>
      <c r="AD765" s="4" t="str">
        <f>IF(AB765=1,SUM($AA$2:AA765)+SUM($AB$2:AB765)-AB765+1,"")</f>
        <v/>
      </c>
      <c r="AE765" s="4" t="str">
        <f t="shared" si="68"/>
        <v/>
      </c>
      <c r="AF765" s="4" t="str">
        <f t="shared" si="69"/>
        <v/>
      </c>
      <c r="AG765" s="8">
        <f t="shared" si="70"/>
        <v>0</v>
      </c>
      <c r="AI765" s="8">
        <f t="shared" si="71"/>
        <v>0</v>
      </c>
    </row>
    <row r="766" spans="23:35" ht="15" customHeight="1" x14ac:dyDescent="0.25">
      <c r="W766" s="4" t="str">
        <f>IF($C766="","",SUMPRODUCT(($C$2:C766=C766)+($D$2:D766=C766)))</f>
        <v/>
      </c>
      <c r="X766" s="4" t="str">
        <f>IF($D766="","",SUMPRODUCT(($C$2:C766=D766)+($D$2:D766=D766)))</f>
        <v/>
      </c>
      <c r="Y766" s="4" t="str">
        <f t="shared" si="66"/>
        <v/>
      </c>
      <c r="Z766" s="4" t="str">
        <f t="shared" si="67"/>
        <v/>
      </c>
      <c r="AA766" s="4" t="str">
        <f>IF($C766="","",IF(COUNTIF($C$1:C765,$C766)+COUNTIF($D$1:D765,$C766)=0,1,0))</f>
        <v/>
      </c>
      <c r="AB766" s="4" t="str">
        <f>IF($D766="","",IF(COUNTIF($C$1:C766,$D766)+COUNTIF($D$1:D765,$D766)=0,1,0))</f>
        <v/>
      </c>
      <c r="AC766" s="4" t="str">
        <f>IF(AA766=1,SUM($AA$2:AA766)-AA766+SUM($AB$2:AB766)-AB766+1,"")</f>
        <v/>
      </c>
      <c r="AD766" s="4" t="str">
        <f>IF(AB766=1,SUM($AA$2:AA766)+SUM($AB$2:AB766)-AB766+1,"")</f>
        <v/>
      </c>
      <c r="AE766" s="4" t="str">
        <f t="shared" si="68"/>
        <v/>
      </c>
      <c r="AF766" s="4" t="str">
        <f t="shared" si="69"/>
        <v/>
      </c>
      <c r="AG766" s="8">
        <f t="shared" si="70"/>
        <v>0</v>
      </c>
      <c r="AI766" s="8">
        <f t="shared" si="71"/>
        <v>0</v>
      </c>
    </row>
    <row r="767" spans="23:35" ht="15" customHeight="1" x14ac:dyDescent="0.25">
      <c r="W767" s="4" t="str">
        <f>IF($C767="","",SUMPRODUCT(($C$2:C767=C767)+($D$2:D767=C767)))</f>
        <v/>
      </c>
      <c r="X767" s="4" t="str">
        <f>IF($D767="","",SUMPRODUCT(($C$2:C767=D767)+($D$2:D767=D767)))</f>
        <v/>
      </c>
      <c r="Y767" s="4" t="str">
        <f t="shared" si="66"/>
        <v/>
      </c>
      <c r="Z767" s="4" t="str">
        <f t="shared" si="67"/>
        <v/>
      </c>
      <c r="AA767" s="4" t="str">
        <f>IF($C767="","",IF(COUNTIF($C$1:C766,$C767)+COUNTIF($D$1:D766,$C767)=0,1,0))</f>
        <v/>
      </c>
      <c r="AB767" s="4" t="str">
        <f>IF($D767="","",IF(COUNTIF($C$1:C767,$D767)+COUNTIF($D$1:D766,$D767)=0,1,0))</f>
        <v/>
      </c>
      <c r="AC767" s="4" t="str">
        <f>IF(AA767=1,SUM($AA$2:AA767)-AA767+SUM($AB$2:AB767)-AB767+1,"")</f>
        <v/>
      </c>
      <c r="AD767" s="4" t="str">
        <f>IF(AB767=1,SUM($AA$2:AA767)+SUM($AB$2:AB767)-AB767+1,"")</f>
        <v/>
      </c>
      <c r="AE767" s="4" t="str">
        <f t="shared" si="68"/>
        <v/>
      </c>
      <c r="AF767" s="4" t="str">
        <f t="shared" si="69"/>
        <v/>
      </c>
      <c r="AG767" s="8">
        <f t="shared" si="70"/>
        <v>0</v>
      </c>
      <c r="AI767" s="8">
        <f t="shared" si="71"/>
        <v>0</v>
      </c>
    </row>
    <row r="768" spans="23:35" ht="15" customHeight="1" x14ac:dyDescent="0.25">
      <c r="W768" s="4" t="str">
        <f>IF($C768="","",SUMPRODUCT(($C$2:C768=C768)+($D$2:D768=C768)))</f>
        <v/>
      </c>
      <c r="X768" s="4" t="str">
        <f>IF($D768="","",SUMPRODUCT(($C$2:C768=D768)+($D$2:D768=D768)))</f>
        <v/>
      </c>
      <c r="Y768" s="4" t="str">
        <f t="shared" si="66"/>
        <v/>
      </c>
      <c r="Z768" s="4" t="str">
        <f t="shared" si="67"/>
        <v/>
      </c>
      <c r="AA768" s="4" t="str">
        <f>IF($C768="","",IF(COUNTIF($C$1:C767,$C768)+COUNTIF($D$1:D767,$C768)=0,1,0))</f>
        <v/>
      </c>
      <c r="AB768" s="4" t="str">
        <f>IF($D768="","",IF(COUNTIF($C$1:C768,$D768)+COUNTIF($D$1:D767,$D768)=0,1,0))</f>
        <v/>
      </c>
      <c r="AC768" s="4" t="str">
        <f>IF(AA768=1,SUM($AA$2:AA768)-AA768+SUM($AB$2:AB768)-AB768+1,"")</f>
        <v/>
      </c>
      <c r="AD768" s="4" t="str">
        <f>IF(AB768=1,SUM($AA$2:AA768)+SUM($AB$2:AB768)-AB768+1,"")</f>
        <v/>
      </c>
      <c r="AE768" s="4" t="str">
        <f t="shared" si="68"/>
        <v/>
      </c>
      <c r="AF768" s="4" t="str">
        <f t="shared" si="69"/>
        <v/>
      </c>
      <c r="AG768" s="8">
        <f t="shared" si="70"/>
        <v>0</v>
      </c>
      <c r="AI768" s="8">
        <f t="shared" si="71"/>
        <v>0</v>
      </c>
    </row>
    <row r="769" spans="23:35" ht="15" customHeight="1" x14ac:dyDescent="0.25">
      <c r="W769" s="4" t="str">
        <f>IF($C769="","",SUMPRODUCT(($C$2:C769=C769)+($D$2:D769=C769)))</f>
        <v/>
      </c>
      <c r="X769" s="4" t="str">
        <f>IF($D769="","",SUMPRODUCT(($C$2:C769=D769)+($D$2:D769=D769)))</f>
        <v/>
      </c>
      <c r="Y769" s="4" t="str">
        <f t="shared" si="66"/>
        <v/>
      </c>
      <c r="Z769" s="4" t="str">
        <f t="shared" si="67"/>
        <v/>
      </c>
      <c r="AA769" s="4" t="str">
        <f>IF($C769="","",IF(COUNTIF($C$1:C768,$C769)+COUNTIF($D$1:D768,$C769)=0,1,0))</f>
        <v/>
      </c>
      <c r="AB769" s="4" t="str">
        <f>IF($D769="","",IF(COUNTIF($C$1:C769,$D769)+COUNTIF($D$1:D768,$D769)=0,1,0))</f>
        <v/>
      </c>
      <c r="AC769" s="4" t="str">
        <f>IF(AA769=1,SUM($AA$2:AA769)-AA769+SUM($AB$2:AB769)-AB769+1,"")</f>
        <v/>
      </c>
      <c r="AD769" s="4" t="str">
        <f>IF(AB769=1,SUM($AA$2:AA769)+SUM($AB$2:AB769)-AB769+1,"")</f>
        <v/>
      </c>
      <c r="AE769" s="4" t="str">
        <f t="shared" si="68"/>
        <v/>
      </c>
      <c r="AF769" s="4" t="str">
        <f t="shared" si="69"/>
        <v/>
      </c>
      <c r="AG769" s="8">
        <f t="shared" si="70"/>
        <v>0</v>
      </c>
      <c r="AI769" s="8">
        <f t="shared" si="71"/>
        <v>0</v>
      </c>
    </row>
    <row r="770" spans="23:35" ht="15" customHeight="1" x14ac:dyDescent="0.25">
      <c r="W770" s="4" t="str">
        <f>IF($C770="","",SUMPRODUCT(($C$2:C770=C770)+($D$2:D770=C770)))</f>
        <v/>
      </c>
      <c r="X770" s="4" t="str">
        <f>IF($D770="","",SUMPRODUCT(($C$2:C770=D770)+($D$2:D770=D770)))</f>
        <v/>
      </c>
      <c r="Y770" s="4" t="str">
        <f t="shared" ref="Y770:Y833" si="72">IF($C770="","",C770&amp;"|"&amp;W770)</f>
        <v/>
      </c>
      <c r="Z770" s="4" t="str">
        <f t="shared" ref="Z770:Z833" si="73">IF($D770="","",D770&amp;"|"&amp;X770)</f>
        <v/>
      </c>
      <c r="AA770" s="4" t="str">
        <f>IF($C770="","",IF(COUNTIF($C$1:C769,$C770)+COUNTIF($D$1:D769,$C770)=0,1,0))</f>
        <v/>
      </c>
      <c r="AB770" s="4" t="str">
        <f>IF($D770="","",IF(COUNTIF($C$1:C770,$D770)+COUNTIF($D$1:D769,$D770)=0,1,0))</f>
        <v/>
      </c>
      <c r="AC770" s="4" t="str">
        <f>IF(AA770=1,SUM($AA$2:AA770)-AA770+SUM($AB$2:AB770)-AB770+1,"")</f>
        <v/>
      </c>
      <c r="AD770" s="4" t="str">
        <f>IF(AB770=1,SUM($AA$2:AA770)+SUM($AB$2:AB770)-AB770+1,"")</f>
        <v/>
      </c>
      <c r="AE770" s="4" t="str">
        <f t="shared" ref="AE770:AE833" si="74">IF(AC770="","","TEAM|"&amp;AC770)</f>
        <v/>
      </c>
      <c r="AF770" s="4" t="str">
        <f t="shared" ref="AF770:AF833" si="75">IF(AD770="","","TEAM|"&amp;AD770)</f>
        <v/>
      </c>
      <c r="AG770" s="8">
        <f t="shared" ref="AG770:AG833" si="76">IF(AH770="",0,LEN(AH770)-LEN(SUBSTITUTE(AH770,"/",""))+1)</f>
        <v>0</v>
      </c>
      <c r="AI770" s="8">
        <f t="shared" ref="AI770:AI833" si="77">IF(AJ770="",0,LEN(AJ770)-LEN(SUBSTITUTE(AJ770,"/",""))+1)</f>
        <v>0</v>
      </c>
    </row>
    <row r="771" spans="23:35" ht="15" customHeight="1" x14ac:dyDescent="0.25">
      <c r="W771" s="4" t="str">
        <f>IF($C771="","",SUMPRODUCT(($C$2:C771=C771)+($D$2:D771=C771)))</f>
        <v/>
      </c>
      <c r="X771" s="4" t="str">
        <f>IF($D771="","",SUMPRODUCT(($C$2:C771=D771)+($D$2:D771=D771)))</f>
        <v/>
      </c>
      <c r="Y771" s="4" t="str">
        <f t="shared" si="72"/>
        <v/>
      </c>
      <c r="Z771" s="4" t="str">
        <f t="shared" si="73"/>
        <v/>
      </c>
      <c r="AA771" s="4" t="str">
        <f>IF($C771="","",IF(COUNTIF($C$1:C770,$C771)+COUNTIF($D$1:D770,$C771)=0,1,0))</f>
        <v/>
      </c>
      <c r="AB771" s="4" t="str">
        <f>IF($D771="","",IF(COUNTIF($C$1:C771,$D771)+COUNTIF($D$1:D770,$D771)=0,1,0))</f>
        <v/>
      </c>
      <c r="AC771" s="4" t="str">
        <f>IF(AA771=1,SUM($AA$2:AA771)-AA771+SUM($AB$2:AB771)-AB771+1,"")</f>
        <v/>
      </c>
      <c r="AD771" s="4" t="str">
        <f>IF(AB771=1,SUM($AA$2:AA771)+SUM($AB$2:AB771)-AB771+1,"")</f>
        <v/>
      </c>
      <c r="AE771" s="4" t="str">
        <f t="shared" si="74"/>
        <v/>
      </c>
      <c r="AF771" s="4" t="str">
        <f t="shared" si="75"/>
        <v/>
      </c>
      <c r="AG771" s="8">
        <f t="shared" si="76"/>
        <v>0</v>
      </c>
      <c r="AI771" s="8">
        <f t="shared" si="77"/>
        <v>0</v>
      </c>
    </row>
    <row r="772" spans="23:35" ht="15" customHeight="1" x14ac:dyDescent="0.25">
      <c r="W772" s="4" t="str">
        <f>IF($C772="","",SUMPRODUCT(($C$2:C772=C772)+($D$2:D772=C772)))</f>
        <v/>
      </c>
      <c r="X772" s="4" t="str">
        <f>IF($D772="","",SUMPRODUCT(($C$2:C772=D772)+($D$2:D772=D772)))</f>
        <v/>
      </c>
      <c r="Y772" s="4" t="str">
        <f t="shared" si="72"/>
        <v/>
      </c>
      <c r="Z772" s="4" t="str">
        <f t="shared" si="73"/>
        <v/>
      </c>
      <c r="AA772" s="4" t="str">
        <f>IF($C772="","",IF(COUNTIF($C$1:C771,$C772)+COUNTIF($D$1:D771,$C772)=0,1,0))</f>
        <v/>
      </c>
      <c r="AB772" s="4" t="str">
        <f>IF($D772="","",IF(COUNTIF($C$1:C772,$D772)+COUNTIF($D$1:D771,$D772)=0,1,0))</f>
        <v/>
      </c>
      <c r="AC772" s="4" t="str">
        <f>IF(AA772=1,SUM($AA$2:AA772)-AA772+SUM($AB$2:AB772)-AB772+1,"")</f>
        <v/>
      </c>
      <c r="AD772" s="4" t="str">
        <f>IF(AB772=1,SUM($AA$2:AA772)+SUM($AB$2:AB772)-AB772+1,"")</f>
        <v/>
      </c>
      <c r="AE772" s="4" t="str">
        <f t="shared" si="74"/>
        <v/>
      </c>
      <c r="AF772" s="4" t="str">
        <f t="shared" si="75"/>
        <v/>
      </c>
      <c r="AG772" s="8">
        <f t="shared" si="76"/>
        <v>0</v>
      </c>
      <c r="AI772" s="8">
        <f t="shared" si="77"/>
        <v>0</v>
      </c>
    </row>
    <row r="773" spans="23:35" ht="15" customHeight="1" x14ac:dyDescent="0.25">
      <c r="W773" s="4" t="str">
        <f>IF($C773="","",SUMPRODUCT(($C$2:C773=C773)+($D$2:D773=C773)))</f>
        <v/>
      </c>
      <c r="X773" s="4" t="str">
        <f>IF($D773="","",SUMPRODUCT(($C$2:C773=D773)+($D$2:D773=D773)))</f>
        <v/>
      </c>
      <c r="Y773" s="4" t="str">
        <f t="shared" si="72"/>
        <v/>
      </c>
      <c r="Z773" s="4" t="str">
        <f t="shared" si="73"/>
        <v/>
      </c>
      <c r="AA773" s="4" t="str">
        <f>IF($C773="","",IF(COUNTIF($C$1:C772,$C773)+COUNTIF($D$1:D772,$C773)=0,1,0))</f>
        <v/>
      </c>
      <c r="AB773" s="4" t="str">
        <f>IF($D773="","",IF(COUNTIF($C$1:C773,$D773)+COUNTIF($D$1:D772,$D773)=0,1,0))</f>
        <v/>
      </c>
      <c r="AC773" s="4" t="str">
        <f>IF(AA773=1,SUM($AA$2:AA773)-AA773+SUM($AB$2:AB773)-AB773+1,"")</f>
        <v/>
      </c>
      <c r="AD773" s="4" t="str">
        <f>IF(AB773=1,SUM($AA$2:AA773)+SUM($AB$2:AB773)-AB773+1,"")</f>
        <v/>
      </c>
      <c r="AE773" s="4" t="str">
        <f t="shared" si="74"/>
        <v/>
      </c>
      <c r="AF773" s="4" t="str">
        <f t="shared" si="75"/>
        <v/>
      </c>
      <c r="AG773" s="8">
        <f t="shared" si="76"/>
        <v>0</v>
      </c>
      <c r="AI773" s="8">
        <f t="shared" si="77"/>
        <v>0</v>
      </c>
    </row>
    <row r="774" spans="23:35" ht="15" customHeight="1" x14ac:dyDescent="0.25">
      <c r="W774" s="4" t="str">
        <f>IF($C774="","",SUMPRODUCT(($C$2:C774=C774)+($D$2:D774=C774)))</f>
        <v/>
      </c>
      <c r="X774" s="4" t="str">
        <f>IF($D774="","",SUMPRODUCT(($C$2:C774=D774)+($D$2:D774=D774)))</f>
        <v/>
      </c>
      <c r="Y774" s="4" t="str">
        <f t="shared" si="72"/>
        <v/>
      </c>
      <c r="Z774" s="4" t="str">
        <f t="shared" si="73"/>
        <v/>
      </c>
      <c r="AA774" s="4" t="str">
        <f>IF($C774="","",IF(COUNTIF($C$1:C773,$C774)+COUNTIF($D$1:D773,$C774)=0,1,0))</f>
        <v/>
      </c>
      <c r="AB774" s="4" t="str">
        <f>IF($D774="","",IF(COUNTIF($C$1:C774,$D774)+COUNTIF($D$1:D773,$D774)=0,1,0))</f>
        <v/>
      </c>
      <c r="AC774" s="4" t="str">
        <f>IF(AA774=1,SUM($AA$2:AA774)-AA774+SUM($AB$2:AB774)-AB774+1,"")</f>
        <v/>
      </c>
      <c r="AD774" s="4" t="str">
        <f>IF(AB774=1,SUM($AA$2:AA774)+SUM($AB$2:AB774)-AB774+1,"")</f>
        <v/>
      </c>
      <c r="AE774" s="4" t="str">
        <f t="shared" si="74"/>
        <v/>
      </c>
      <c r="AF774" s="4" t="str">
        <f t="shared" si="75"/>
        <v/>
      </c>
      <c r="AG774" s="8">
        <f t="shared" si="76"/>
        <v>0</v>
      </c>
      <c r="AI774" s="8">
        <f t="shared" si="77"/>
        <v>0</v>
      </c>
    </row>
    <row r="775" spans="23:35" ht="15" customHeight="1" x14ac:dyDescent="0.25">
      <c r="W775" s="4" t="str">
        <f>IF($C775="","",SUMPRODUCT(($C$2:C775=C775)+($D$2:D775=C775)))</f>
        <v/>
      </c>
      <c r="X775" s="4" t="str">
        <f>IF($D775="","",SUMPRODUCT(($C$2:C775=D775)+($D$2:D775=D775)))</f>
        <v/>
      </c>
      <c r="Y775" s="4" t="str">
        <f t="shared" si="72"/>
        <v/>
      </c>
      <c r="Z775" s="4" t="str">
        <f t="shared" si="73"/>
        <v/>
      </c>
      <c r="AA775" s="4" t="str">
        <f>IF($C775="","",IF(COUNTIF($C$1:C774,$C775)+COUNTIF($D$1:D774,$C775)=0,1,0))</f>
        <v/>
      </c>
      <c r="AB775" s="4" t="str">
        <f>IF($D775="","",IF(COUNTIF($C$1:C775,$D775)+COUNTIF($D$1:D774,$D775)=0,1,0))</f>
        <v/>
      </c>
      <c r="AC775" s="4" t="str">
        <f>IF(AA775=1,SUM($AA$2:AA775)-AA775+SUM($AB$2:AB775)-AB775+1,"")</f>
        <v/>
      </c>
      <c r="AD775" s="4" t="str">
        <f>IF(AB775=1,SUM($AA$2:AA775)+SUM($AB$2:AB775)-AB775+1,"")</f>
        <v/>
      </c>
      <c r="AE775" s="4" t="str">
        <f t="shared" si="74"/>
        <v/>
      </c>
      <c r="AF775" s="4" t="str">
        <f t="shared" si="75"/>
        <v/>
      </c>
      <c r="AG775" s="8">
        <f t="shared" si="76"/>
        <v>0</v>
      </c>
      <c r="AI775" s="8">
        <f t="shared" si="77"/>
        <v>0</v>
      </c>
    </row>
    <row r="776" spans="23:35" ht="15" customHeight="1" x14ac:dyDescent="0.25">
      <c r="W776" s="4" t="str">
        <f>IF($C776="","",SUMPRODUCT(($C$2:C776=C776)+($D$2:D776=C776)))</f>
        <v/>
      </c>
      <c r="X776" s="4" t="str">
        <f>IF($D776="","",SUMPRODUCT(($C$2:C776=D776)+($D$2:D776=D776)))</f>
        <v/>
      </c>
      <c r="Y776" s="4" t="str">
        <f t="shared" si="72"/>
        <v/>
      </c>
      <c r="Z776" s="4" t="str">
        <f t="shared" si="73"/>
        <v/>
      </c>
      <c r="AA776" s="4" t="str">
        <f>IF($C776="","",IF(COUNTIF($C$1:C775,$C776)+COUNTIF($D$1:D775,$C776)=0,1,0))</f>
        <v/>
      </c>
      <c r="AB776" s="4" t="str">
        <f>IF($D776="","",IF(COUNTIF($C$1:C776,$D776)+COUNTIF($D$1:D775,$D776)=0,1,0))</f>
        <v/>
      </c>
      <c r="AC776" s="4" t="str">
        <f>IF(AA776=1,SUM($AA$2:AA776)-AA776+SUM($AB$2:AB776)-AB776+1,"")</f>
        <v/>
      </c>
      <c r="AD776" s="4" t="str">
        <f>IF(AB776=1,SUM($AA$2:AA776)+SUM($AB$2:AB776)-AB776+1,"")</f>
        <v/>
      </c>
      <c r="AE776" s="4" t="str">
        <f t="shared" si="74"/>
        <v/>
      </c>
      <c r="AF776" s="4" t="str">
        <f t="shared" si="75"/>
        <v/>
      </c>
      <c r="AG776" s="8">
        <f t="shared" si="76"/>
        <v>0</v>
      </c>
      <c r="AI776" s="8">
        <f t="shared" si="77"/>
        <v>0</v>
      </c>
    </row>
    <row r="777" spans="23:35" ht="15" customHeight="1" x14ac:dyDescent="0.25">
      <c r="W777" s="4" t="str">
        <f>IF($C777="","",SUMPRODUCT(($C$2:C777=C777)+($D$2:D777=C777)))</f>
        <v/>
      </c>
      <c r="X777" s="4" t="str">
        <f>IF($D777="","",SUMPRODUCT(($C$2:C777=D777)+($D$2:D777=D777)))</f>
        <v/>
      </c>
      <c r="Y777" s="4" t="str">
        <f t="shared" si="72"/>
        <v/>
      </c>
      <c r="Z777" s="4" t="str">
        <f t="shared" si="73"/>
        <v/>
      </c>
      <c r="AA777" s="4" t="str">
        <f>IF($C777="","",IF(COUNTIF($C$1:C776,$C777)+COUNTIF($D$1:D776,$C777)=0,1,0))</f>
        <v/>
      </c>
      <c r="AB777" s="4" t="str">
        <f>IF($D777="","",IF(COUNTIF($C$1:C777,$D777)+COUNTIF($D$1:D776,$D777)=0,1,0))</f>
        <v/>
      </c>
      <c r="AC777" s="4" t="str">
        <f>IF(AA777=1,SUM($AA$2:AA777)-AA777+SUM($AB$2:AB777)-AB777+1,"")</f>
        <v/>
      </c>
      <c r="AD777" s="4" t="str">
        <f>IF(AB777=1,SUM($AA$2:AA777)+SUM($AB$2:AB777)-AB777+1,"")</f>
        <v/>
      </c>
      <c r="AE777" s="4" t="str">
        <f t="shared" si="74"/>
        <v/>
      </c>
      <c r="AF777" s="4" t="str">
        <f t="shared" si="75"/>
        <v/>
      </c>
      <c r="AG777" s="8">
        <f t="shared" si="76"/>
        <v>0</v>
      </c>
      <c r="AI777" s="8">
        <f t="shared" si="77"/>
        <v>0</v>
      </c>
    </row>
    <row r="778" spans="23:35" ht="15" customHeight="1" x14ac:dyDescent="0.25">
      <c r="W778" s="4" t="str">
        <f>IF($C778="","",SUMPRODUCT(($C$2:C778=C778)+($D$2:D778=C778)))</f>
        <v/>
      </c>
      <c r="X778" s="4" t="str">
        <f>IF($D778="","",SUMPRODUCT(($C$2:C778=D778)+($D$2:D778=D778)))</f>
        <v/>
      </c>
      <c r="Y778" s="4" t="str">
        <f t="shared" si="72"/>
        <v/>
      </c>
      <c r="Z778" s="4" t="str">
        <f t="shared" si="73"/>
        <v/>
      </c>
      <c r="AA778" s="4" t="str">
        <f>IF($C778="","",IF(COUNTIF($C$1:C777,$C778)+COUNTIF($D$1:D777,$C778)=0,1,0))</f>
        <v/>
      </c>
      <c r="AB778" s="4" t="str">
        <f>IF($D778="","",IF(COUNTIF($C$1:C778,$D778)+COUNTIF($D$1:D777,$D778)=0,1,0))</f>
        <v/>
      </c>
      <c r="AC778" s="4" t="str">
        <f>IF(AA778=1,SUM($AA$2:AA778)-AA778+SUM($AB$2:AB778)-AB778+1,"")</f>
        <v/>
      </c>
      <c r="AD778" s="4" t="str">
        <f>IF(AB778=1,SUM($AA$2:AA778)+SUM($AB$2:AB778)-AB778+1,"")</f>
        <v/>
      </c>
      <c r="AE778" s="4" t="str">
        <f t="shared" si="74"/>
        <v/>
      </c>
      <c r="AF778" s="4" t="str">
        <f t="shared" si="75"/>
        <v/>
      </c>
      <c r="AG778" s="8">
        <f t="shared" si="76"/>
        <v>0</v>
      </c>
      <c r="AI778" s="8">
        <f t="shared" si="77"/>
        <v>0</v>
      </c>
    </row>
    <row r="779" spans="23:35" ht="15" customHeight="1" x14ac:dyDescent="0.25">
      <c r="W779" s="4" t="str">
        <f>IF($C779="","",SUMPRODUCT(($C$2:C779=C779)+($D$2:D779=C779)))</f>
        <v/>
      </c>
      <c r="X779" s="4" t="str">
        <f>IF($D779="","",SUMPRODUCT(($C$2:C779=D779)+($D$2:D779=D779)))</f>
        <v/>
      </c>
      <c r="Y779" s="4" t="str">
        <f t="shared" si="72"/>
        <v/>
      </c>
      <c r="Z779" s="4" t="str">
        <f t="shared" si="73"/>
        <v/>
      </c>
      <c r="AA779" s="4" t="str">
        <f>IF($C779="","",IF(COUNTIF($C$1:C778,$C779)+COUNTIF($D$1:D778,$C779)=0,1,0))</f>
        <v/>
      </c>
      <c r="AB779" s="4" t="str">
        <f>IF($D779="","",IF(COUNTIF($C$1:C779,$D779)+COUNTIF($D$1:D778,$D779)=0,1,0))</f>
        <v/>
      </c>
      <c r="AC779" s="4" t="str">
        <f>IF(AA779=1,SUM($AA$2:AA779)-AA779+SUM($AB$2:AB779)-AB779+1,"")</f>
        <v/>
      </c>
      <c r="AD779" s="4" t="str">
        <f>IF(AB779=1,SUM($AA$2:AA779)+SUM($AB$2:AB779)-AB779+1,"")</f>
        <v/>
      </c>
      <c r="AE779" s="4" t="str">
        <f t="shared" si="74"/>
        <v/>
      </c>
      <c r="AF779" s="4" t="str">
        <f t="shared" si="75"/>
        <v/>
      </c>
      <c r="AG779" s="8">
        <f t="shared" si="76"/>
        <v>0</v>
      </c>
      <c r="AI779" s="8">
        <f t="shared" si="77"/>
        <v>0</v>
      </c>
    </row>
    <row r="780" spans="23:35" ht="15" customHeight="1" x14ac:dyDescent="0.25">
      <c r="W780" s="4" t="str">
        <f>IF($C780="","",SUMPRODUCT(($C$2:C780=C780)+($D$2:D780=C780)))</f>
        <v/>
      </c>
      <c r="X780" s="4" t="str">
        <f>IF($D780="","",SUMPRODUCT(($C$2:C780=D780)+($D$2:D780=D780)))</f>
        <v/>
      </c>
      <c r="Y780" s="4" t="str">
        <f t="shared" si="72"/>
        <v/>
      </c>
      <c r="Z780" s="4" t="str">
        <f t="shared" si="73"/>
        <v/>
      </c>
      <c r="AA780" s="4" t="str">
        <f>IF($C780="","",IF(COUNTIF($C$1:C779,$C780)+COUNTIF($D$1:D779,$C780)=0,1,0))</f>
        <v/>
      </c>
      <c r="AB780" s="4" t="str">
        <f>IF($D780="","",IF(COUNTIF($C$1:C780,$D780)+COUNTIF($D$1:D779,$D780)=0,1,0))</f>
        <v/>
      </c>
      <c r="AC780" s="4" t="str">
        <f>IF(AA780=1,SUM($AA$2:AA780)-AA780+SUM($AB$2:AB780)-AB780+1,"")</f>
        <v/>
      </c>
      <c r="AD780" s="4" t="str">
        <f>IF(AB780=1,SUM($AA$2:AA780)+SUM($AB$2:AB780)-AB780+1,"")</f>
        <v/>
      </c>
      <c r="AE780" s="4" t="str">
        <f t="shared" si="74"/>
        <v/>
      </c>
      <c r="AF780" s="4" t="str">
        <f t="shared" si="75"/>
        <v/>
      </c>
      <c r="AG780" s="8">
        <f t="shared" si="76"/>
        <v>0</v>
      </c>
      <c r="AI780" s="8">
        <f t="shared" si="77"/>
        <v>0</v>
      </c>
    </row>
    <row r="781" spans="23:35" ht="15" customHeight="1" x14ac:dyDescent="0.25">
      <c r="W781" s="4" t="str">
        <f>IF($C781="","",SUMPRODUCT(($C$2:C781=C781)+($D$2:D781=C781)))</f>
        <v/>
      </c>
      <c r="X781" s="4" t="str">
        <f>IF($D781="","",SUMPRODUCT(($C$2:C781=D781)+($D$2:D781=D781)))</f>
        <v/>
      </c>
      <c r="Y781" s="4" t="str">
        <f t="shared" si="72"/>
        <v/>
      </c>
      <c r="Z781" s="4" t="str">
        <f t="shared" si="73"/>
        <v/>
      </c>
      <c r="AA781" s="4" t="str">
        <f>IF($C781="","",IF(COUNTIF($C$1:C780,$C781)+COUNTIF($D$1:D780,$C781)=0,1,0))</f>
        <v/>
      </c>
      <c r="AB781" s="4" t="str">
        <f>IF($D781="","",IF(COUNTIF($C$1:C781,$D781)+COUNTIF($D$1:D780,$D781)=0,1,0))</f>
        <v/>
      </c>
      <c r="AC781" s="4" t="str">
        <f>IF(AA781=1,SUM($AA$2:AA781)-AA781+SUM($AB$2:AB781)-AB781+1,"")</f>
        <v/>
      </c>
      <c r="AD781" s="4" t="str">
        <f>IF(AB781=1,SUM($AA$2:AA781)+SUM($AB$2:AB781)-AB781+1,"")</f>
        <v/>
      </c>
      <c r="AE781" s="4" t="str">
        <f t="shared" si="74"/>
        <v/>
      </c>
      <c r="AF781" s="4" t="str">
        <f t="shared" si="75"/>
        <v/>
      </c>
      <c r="AG781" s="8">
        <f t="shared" si="76"/>
        <v>0</v>
      </c>
      <c r="AI781" s="8">
        <f t="shared" si="77"/>
        <v>0</v>
      </c>
    </row>
    <row r="782" spans="23:35" ht="15" customHeight="1" x14ac:dyDescent="0.25">
      <c r="W782" s="4" t="str">
        <f>IF($C782="","",SUMPRODUCT(($C$2:C782=C782)+($D$2:D782=C782)))</f>
        <v/>
      </c>
      <c r="X782" s="4" t="str">
        <f>IF($D782="","",SUMPRODUCT(($C$2:C782=D782)+($D$2:D782=D782)))</f>
        <v/>
      </c>
      <c r="Y782" s="4" t="str">
        <f t="shared" si="72"/>
        <v/>
      </c>
      <c r="Z782" s="4" t="str">
        <f t="shared" si="73"/>
        <v/>
      </c>
      <c r="AA782" s="4" t="str">
        <f>IF($C782="","",IF(COUNTIF($C$1:C781,$C782)+COUNTIF($D$1:D781,$C782)=0,1,0))</f>
        <v/>
      </c>
      <c r="AB782" s="4" t="str">
        <f>IF($D782="","",IF(COUNTIF($C$1:C782,$D782)+COUNTIF($D$1:D781,$D782)=0,1,0))</f>
        <v/>
      </c>
      <c r="AC782" s="4" t="str">
        <f>IF(AA782=1,SUM($AA$2:AA782)-AA782+SUM($AB$2:AB782)-AB782+1,"")</f>
        <v/>
      </c>
      <c r="AD782" s="4" t="str">
        <f>IF(AB782=1,SUM($AA$2:AA782)+SUM($AB$2:AB782)-AB782+1,"")</f>
        <v/>
      </c>
      <c r="AE782" s="4" t="str">
        <f t="shared" si="74"/>
        <v/>
      </c>
      <c r="AF782" s="4" t="str">
        <f t="shared" si="75"/>
        <v/>
      </c>
      <c r="AG782" s="8">
        <f t="shared" si="76"/>
        <v>0</v>
      </c>
      <c r="AI782" s="8">
        <f t="shared" si="77"/>
        <v>0</v>
      </c>
    </row>
    <row r="783" spans="23:35" ht="15" customHeight="1" x14ac:dyDescent="0.25">
      <c r="W783" s="4" t="str">
        <f>IF($C783="","",SUMPRODUCT(($C$2:C783=C783)+($D$2:D783=C783)))</f>
        <v/>
      </c>
      <c r="X783" s="4" t="str">
        <f>IF($D783="","",SUMPRODUCT(($C$2:C783=D783)+($D$2:D783=D783)))</f>
        <v/>
      </c>
      <c r="Y783" s="4" t="str">
        <f t="shared" si="72"/>
        <v/>
      </c>
      <c r="Z783" s="4" t="str">
        <f t="shared" si="73"/>
        <v/>
      </c>
      <c r="AA783" s="4" t="str">
        <f>IF($C783="","",IF(COUNTIF($C$1:C782,$C783)+COUNTIF($D$1:D782,$C783)=0,1,0))</f>
        <v/>
      </c>
      <c r="AB783" s="4" t="str">
        <f>IF($D783="","",IF(COUNTIF($C$1:C783,$D783)+COUNTIF($D$1:D782,$D783)=0,1,0))</f>
        <v/>
      </c>
      <c r="AC783" s="4" t="str">
        <f>IF(AA783=1,SUM($AA$2:AA783)-AA783+SUM($AB$2:AB783)-AB783+1,"")</f>
        <v/>
      </c>
      <c r="AD783" s="4" t="str">
        <f>IF(AB783=1,SUM($AA$2:AA783)+SUM($AB$2:AB783)-AB783+1,"")</f>
        <v/>
      </c>
      <c r="AE783" s="4" t="str">
        <f t="shared" si="74"/>
        <v/>
      </c>
      <c r="AF783" s="4" t="str">
        <f t="shared" si="75"/>
        <v/>
      </c>
      <c r="AG783" s="8">
        <f t="shared" si="76"/>
        <v>0</v>
      </c>
      <c r="AI783" s="8">
        <f t="shared" si="77"/>
        <v>0</v>
      </c>
    </row>
    <row r="784" spans="23:35" ht="15" customHeight="1" x14ac:dyDescent="0.25">
      <c r="W784" s="4" t="str">
        <f>IF($C784="","",SUMPRODUCT(($C$2:C784=C784)+($D$2:D784=C784)))</f>
        <v/>
      </c>
      <c r="X784" s="4" t="str">
        <f>IF($D784="","",SUMPRODUCT(($C$2:C784=D784)+($D$2:D784=D784)))</f>
        <v/>
      </c>
      <c r="Y784" s="4" t="str">
        <f t="shared" si="72"/>
        <v/>
      </c>
      <c r="Z784" s="4" t="str">
        <f t="shared" si="73"/>
        <v/>
      </c>
      <c r="AA784" s="4" t="str">
        <f>IF($C784="","",IF(COUNTIF($C$1:C783,$C784)+COUNTIF($D$1:D783,$C784)=0,1,0))</f>
        <v/>
      </c>
      <c r="AB784" s="4" t="str">
        <f>IF($D784="","",IF(COUNTIF($C$1:C784,$D784)+COUNTIF($D$1:D783,$D784)=0,1,0))</f>
        <v/>
      </c>
      <c r="AC784" s="4" t="str">
        <f>IF(AA784=1,SUM($AA$2:AA784)-AA784+SUM($AB$2:AB784)-AB784+1,"")</f>
        <v/>
      </c>
      <c r="AD784" s="4" t="str">
        <f>IF(AB784=1,SUM($AA$2:AA784)+SUM($AB$2:AB784)-AB784+1,"")</f>
        <v/>
      </c>
      <c r="AE784" s="4" t="str">
        <f t="shared" si="74"/>
        <v/>
      </c>
      <c r="AF784" s="4" t="str">
        <f t="shared" si="75"/>
        <v/>
      </c>
      <c r="AG784" s="8">
        <f t="shared" si="76"/>
        <v>0</v>
      </c>
      <c r="AI784" s="8">
        <f t="shared" si="77"/>
        <v>0</v>
      </c>
    </row>
    <row r="785" spans="23:35" ht="15" customHeight="1" x14ac:dyDescent="0.25">
      <c r="W785" s="4" t="str">
        <f>IF($C785="","",SUMPRODUCT(($C$2:C785=C785)+($D$2:D785=C785)))</f>
        <v/>
      </c>
      <c r="X785" s="4" t="str">
        <f>IF($D785="","",SUMPRODUCT(($C$2:C785=D785)+($D$2:D785=D785)))</f>
        <v/>
      </c>
      <c r="Y785" s="4" t="str">
        <f t="shared" si="72"/>
        <v/>
      </c>
      <c r="Z785" s="4" t="str">
        <f t="shared" si="73"/>
        <v/>
      </c>
      <c r="AA785" s="4" t="str">
        <f>IF($C785="","",IF(COUNTIF($C$1:C784,$C785)+COUNTIF($D$1:D784,$C785)=0,1,0))</f>
        <v/>
      </c>
      <c r="AB785" s="4" t="str">
        <f>IF($D785="","",IF(COUNTIF($C$1:C785,$D785)+COUNTIF($D$1:D784,$D785)=0,1,0))</f>
        <v/>
      </c>
      <c r="AC785" s="4" t="str">
        <f>IF(AA785=1,SUM($AA$2:AA785)-AA785+SUM($AB$2:AB785)-AB785+1,"")</f>
        <v/>
      </c>
      <c r="AD785" s="4" t="str">
        <f>IF(AB785=1,SUM($AA$2:AA785)+SUM($AB$2:AB785)-AB785+1,"")</f>
        <v/>
      </c>
      <c r="AE785" s="4" t="str">
        <f t="shared" si="74"/>
        <v/>
      </c>
      <c r="AF785" s="4" t="str">
        <f t="shared" si="75"/>
        <v/>
      </c>
      <c r="AG785" s="8">
        <f t="shared" si="76"/>
        <v>0</v>
      </c>
      <c r="AI785" s="8">
        <f t="shared" si="77"/>
        <v>0</v>
      </c>
    </row>
    <row r="786" spans="23:35" ht="15" customHeight="1" x14ac:dyDescent="0.25">
      <c r="W786" s="4" t="str">
        <f>IF($C786="","",SUMPRODUCT(($C$2:C786=C786)+($D$2:D786=C786)))</f>
        <v/>
      </c>
      <c r="X786" s="4" t="str">
        <f>IF($D786="","",SUMPRODUCT(($C$2:C786=D786)+($D$2:D786=D786)))</f>
        <v/>
      </c>
      <c r="Y786" s="4" t="str">
        <f t="shared" si="72"/>
        <v/>
      </c>
      <c r="Z786" s="4" t="str">
        <f t="shared" si="73"/>
        <v/>
      </c>
      <c r="AA786" s="4" t="str">
        <f>IF($C786="","",IF(COUNTIF($C$1:C785,$C786)+COUNTIF($D$1:D785,$C786)=0,1,0))</f>
        <v/>
      </c>
      <c r="AB786" s="4" t="str">
        <f>IF($D786="","",IF(COUNTIF($C$1:C786,$D786)+COUNTIF($D$1:D785,$D786)=0,1,0))</f>
        <v/>
      </c>
      <c r="AC786" s="4" t="str">
        <f>IF(AA786=1,SUM($AA$2:AA786)-AA786+SUM($AB$2:AB786)-AB786+1,"")</f>
        <v/>
      </c>
      <c r="AD786" s="4" t="str">
        <f>IF(AB786=1,SUM($AA$2:AA786)+SUM($AB$2:AB786)-AB786+1,"")</f>
        <v/>
      </c>
      <c r="AE786" s="4" t="str">
        <f t="shared" si="74"/>
        <v/>
      </c>
      <c r="AF786" s="4" t="str">
        <f t="shared" si="75"/>
        <v/>
      </c>
      <c r="AG786" s="8">
        <f t="shared" si="76"/>
        <v>0</v>
      </c>
      <c r="AI786" s="8">
        <f t="shared" si="77"/>
        <v>0</v>
      </c>
    </row>
    <row r="787" spans="23:35" ht="15" customHeight="1" x14ac:dyDescent="0.25">
      <c r="W787" s="4" t="str">
        <f>IF($C787="","",SUMPRODUCT(($C$2:C787=C787)+($D$2:D787=C787)))</f>
        <v/>
      </c>
      <c r="X787" s="4" t="str">
        <f>IF($D787="","",SUMPRODUCT(($C$2:C787=D787)+($D$2:D787=D787)))</f>
        <v/>
      </c>
      <c r="Y787" s="4" t="str">
        <f t="shared" si="72"/>
        <v/>
      </c>
      <c r="Z787" s="4" t="str">
        <f t="shared" si="73"/>
        <v/>
      </c>
      <c r="AA787" s="4" t="str">
        <f>IF($C787="","",IF(COUNTIF($C$1:C786,$C787)+COUNTIF($D$1:D786,$C787)=0,1,0))</f>
        <v/>
      </c>
      <c r="AB787" s="4" t="str">
        <f>IF($D787="","",IF(COUNTIF($C$1:C787,$D787)+COUNTIF($D$1:D786,$D787)=0,1,0))</f>
        <v/>
      </c>
      <c r="AC787" s="4" t="str">
        <f>IF(AA787=1,SUM($AA$2:AA787)-AA787+SUM($AB$2:AB787)-AB787+1,"")</f>
        <v/>
      </c>
      <c r="AD787" s="4" t="str">
        <f>IF(AB787=1,SUM($AA$2:AA787)+SUM($AB$2:AB787)-AB787+1,"")</f>
        <v/>
      </c>
      <c r="AE787" s="4" t="str">
        <f t="shared" si="74"/>
        <v/>
      </c>
      <c r="AF787" s="4" t="str">
        <f t="shared" si="75"/>
        <v/>
      </c>
      <c r="AG787" s="8">
        <f t="shared" si="76"/>
        <v>0</v>
      </c>
      <c r="AI787" s="8">
        <f t="shared" si="77"/>
        <v>0</v>
      </c>
    </row>
    <row r="788" spans="23:35" ht="15" customHeight="1" x14ac:dyDescent="0.25">
      <c r="W788" s="4" t="str">
        <f>IF($C788="","",SUMPRODUCT(($C$2:C788=C788)+($D$2:D788=C788)))</f>
        <v/>
      </c>
      <c r="X788" s="4" t="str">
        <f>IF($D788="","",SUMPRODUCT(($C$2:C788=D788)+($D$2:D788=D788)))</f>
        <v/>
      </c>
      <c r="Y788" s="4" t="str">
        <f t="shared" si="72"/>
        <v/>
      </c>
      <c r="Z788" s="4" t="str">
        <f t="shared" si="73"/>
        <v/>
      </c>
      <c r="AA788" s="4" t="str">
        <f>IF($C788="","",IF(COUNTIF($C$1:C787,$C788)+COUNTIF($D$1:D787,$C788)=0,1,0))</f>
        <v/>
      </c>
      <c r="AB788" s="4" t="str">
        <f>IF($D788="","",IF(COUNTIF($C$1:C788,$D788)+COUNTIF($D$1:D787,$D788)=0,1,0))</f>
        <v/>
      </c>
      <c r="AC788" s="4" t="str">
        <f>IF(AA788=1,SUM($AA$2:AA788)-AA788+SUM($AB$2:AB788)-AB788+1,"")</f>
        <v/>
      </c>
      <c r="AD788" s="4" t="str">
        <f>IF(AB788=1,SUM($AA$2:AA788)+SUM($AB$2:AB788)-AB788+1,"")</f>
        <v/>
      </c>
      <c r="AE788" s="4" t="str">
        <f t="shared" si="74"/>
        <v/>
      </c>
      <c r="AF788" s="4" t="str">
        <f t="shared" si="75"/>
        <v/>
      </c>
      <c r="AG788" s="8">
        <f t="shared" si="76"/>
        <v>0</v>
      </c>
      <c r="AI788" s="8">
        <f t="shared" si="77"/>
        <v>0</v>
      </c>
    </row>
    <row r="789" spans="23:35" ht="15" customHeight="1" x14ac:dyDescent="0.25">
      <c r="W789" s="4" t="str">
        <f>IF($C789="","",SUMPRODUCT(($C$2:C789=C789)+($D$2:D789=C789)))</f>
        <v/>
      </c>
      <c r="X789" s="4" t="str">
        <f>IF($D789="","",SUMPRODUCT(($C$2:C789=D789)+($D$2:D789=D789)))</f>
        <v/>
      </c>
      <c r="Y789" s="4" t="str">
        <f t="shared" si="72"/>
        <v/>
      </c>
      <c r="Z789" s="4" t="str">
        <f t="shared" si="73"/>
        <v/>
      </c>
      <c r="AA789" s="4" t="str">
        <f>IF($C789="","",IF(COUNTIF($C$1:C788,$C789)+COUNTIF($D$1:D788,$C789)=0,1,0))</f>
        <v/>
      </c>
      <c r="AB789" s="4" t="str">
        <f>IF($D789="","",IF(COUNTIF($C$1:C789,$D789)+COUNTIF($D$1:D788,$D789)=0,1,0))</f>
        <v/>
      </c>
      <c r="AC789" s="4" t="str">
        <f>IF(AA789=1,SUM($AA$2:AA789)-AA789+SUM($AB$2:AB789)-AB789+1,"")</f>
        <v/>
      </c>
      <c r="AD789" s="4" t="str">
        <f>IF(AB789=1,SUM($AA$2:AA789)+SUM($AB$2:AB789)-AB789+1,"")</f>
        <v/>
      </c>
      <c r="AE789" s="4" t="str">
        <f t="shared" si="74"/>
        <v/>
      </c>
      <c r="AF789" s="4" t="str">
        <f t="shared" si="75"/>
        <v/>
      </c>
      <c r="AG789" s="8">
        <f t="shared" si="76"/>
        <v>0</v>
      </c>
      <c r="AI789" s="8">
        <f t="shared" si="77"/>
        <v>0</v>
      </c>
    </row>
    <row r="790" spans="23:35" ht="15" customHeight="1" x14ac:dyDescent="0.25">
      <c r="W790" s="4" t="str">
        <f>IF($C790="","",SUMPRODUCT(($C$2:C790=C790)+($D$2:D790=C790)))</f>
        <v/>
      </c>
      <c r="X790" s="4" t="str">
        <f>IF($D790="","",SUMPRODUCT(($C$2:C790=D790)+($D$2:D790=D790)))</f>
        <v/>
      </c>
      <c r="Y790" s="4" t="str">
        <f t="shared" si="72"/>
        <v/>
      </c>
      <c r="Z790" s="4" t="str">
        <f t="shared" si="73"/>
        <v/>
      </c>
      <c r="AA790" s="4" t="str">
        <f>IF($C790="","",IF(COUNTIF($C$1:C789,$C790)+COUNTIF($D$1:D789,$C790)=0,1,0))</f>
        <v/>
      </c>
      <c r="AB790" s="4" t="str">
        <f>IF($D790="","",IF(COUNTIF($C$1:C790,$D790)+COUNTIF($D$1:D789,$D790)=0,1,0))</f>
        <v/>
      </c>
      <c r="AC790" s="4" t="str">
        <f>IF(AA790=1,SUM($AA$2:AA790)-AA790+SUM($AB$2:AB790)-AB790+1,"")</f>
        <v/>
      </c>
      <c r="AD790" s="4" t="str">
        <f>IF(AB790=1,SUM($AA$2:AA790)+SUM($AB$2:AB790)-AB790+1,"")</f>
        <v/>
      </c>
      <c r="AE790" s="4" t="str">
        <f t="shared" si="74"/>
        <v/>
      </c>
      <c r="AF790" s="4" t="str">
        <f t="shared" si="75"/>
        <v/>
      </c>
      <c r="AG790" s="8">
        <f t="shared" si="76"/>
        <v>0</v>
      </c>
      <c r="AI790" s="8">
        <f t="shared" si="77"/>
        <v>0</v>
      </c>
    </row>
    <row r="791" spans="23:35" ht="15" customHeight="1" x14ac:dyDescent="0.25">
      <c r="W791" s="4" t="str">
        <f>IF($C791="","",SUMPRODUCT(($C$2:C791=C791)+($D$2:D791=C791)))</f>
        <v/>
      </c>
      <c r="X791" s="4" t="str">
        <f>IF($D791="","",SUMPRODUCT(($C$2:C791=D791)+($D$2:D791=D791)))</f>
        <v/>
      </c>
      <c r="Y791" s="4" t="str">
        <f t="shared" si="72"/>
        <v/>
      </c>
      <c r="Z791" s="4" t="str">
        <f t="shared" si="73"/>
        <v/>
      </c>
      <c r="AA791" s="4" t="str">
        <f>IF($C791="","",IF(COUNTIF($C$1:C790,$C791)+COUNTIF($D$1:D790,$C791)=0,1,0))</f>
        <v/>
      </c>
      <c r="AB791" s="4" t="str">
        <f>IF($D791="","",IF(COUNTIF($C$1:C791,$D791)+COUNTIF($D$1:D790,$D791)=0,1,0))</f>
        <v/>
      </c>
      <c r="AC791" s="4" t="str">
        <f>IF(AA791=1,SUM($AA$2:AA791)-AA791+SUM($AB$2:AB791)-AB791+1,"")</f>
        <v/>
      </c>
      <c r="AD791" s="4" t="str">
        <f>IF(AB791=1,SUM($AA$2:AA791)+SUM($AB$2:AB791)-AB791+1,"")</f>
        <v/>
      </c>
      <c r="AE791" s="4" t="str">
        <f t="shared" si="74"/>
        <v/>
      </c>
      <c r="AF791" s="4" t="str">
        <f t="shared" si="75"/>
        <v/>
      </c>
      <c r="AG791" s="8">
        <f t="shared" si="76"/>
        <v>0</v>
      </c>
      <c r="AI791" s="8">
        <f t="shared" si="77"/>
        <v>0</v>
      </c>
    </row>
    <row r="792" spans="23:35" ht="15" customHeight="1" x14ac:dyDescent="0.25">
      <c r="W792" s="4" t="str">
        <f>IF($C792="","",SUMPRODUCT(($C$2:C792=C792)+($D$2:D792=C792)))</f>
        <v/>
      </c>
      <c r="X792" s="4" t="str">
        <f>IF($D792="","",SUMPRODUCT(($C$2:C792=D792)+($D$2:D792=D792)))</f>
        <v/>
      </c>
      <c r="Y792" s="4" t="str">
        <f t="shared" si="72"/>
        <v/>
      </c>
      <c r="Z792" s="4" t="str">
        <f t="shared" si="73"/>
        <v/>
      </c>
      <c r="AA792" s="4" t="str">
        <f>IF($C792="","",IF(COUNTIF($C$1:C791,$C792)+COUNTIF($D$1:D791,$C792)=0,1,0))</f>
        <v/>
      </c>
      <c r="AB792" s="4" t="str">
        <f>IF($D792="","",IF(COUNTIF($C$1:C792,$D792)+COUNTIF($D$1:D791,$D792)=0,1,0))</f>
        <v/>
      </c>
      <c r="AC792" s="4" t="str">
        <f>IF(AA792=1,SUM($AA$2:AA792)-AA792+SUM($AB$2:AB792)-AB792+1,"")</f>
        <v/>
      </c>
      <c r="AD792" s="4" t="str">
        <f>IF(AB792=1,SUM($AA$2:AA792)+SUM($AB$2:AB792)-AB792+1,"")</f>
        <v/>
      </c>
      <c r="AE792" s="4" t="str">
        <f t="shared" si="74"/>
        <v/>
      </c>
      <c r="AF792" s="4" t="str">
        <f t="shared" si="75"/>
        <v/>
      </c>
      <c r="AG792" s="8">
        <f t="shared" si="76"/>
        <v>0</v>
      </c>
      <c r="AI792" s="8">
        <f t="shared" si="77"/>
        <v>0</v>
      </c>
    </row>
    <row r="793" spans="23:35" ht="15" customHeight="1" x14ac:dyDescent="0.25">
      <c r="W793" s="4" t="str">
        <f>IF($C793="","",SUMPRODUCT(($C$2:C793=C793)+($D$2:D793=C793)))</f>
        <v/>
      </c>
      <c r="X793" s="4" t="str">
        <f>IF($D793="","",SUMPRODUCT(($C$2:C793=D793)+($D$2:D793=D793)))</f>
        <v/>
      </c>
      <c r="Y793" s="4" t="str">
        <f t="shared" si="72"/>
        <v/>
      </c>
      <c r="Z793" s="4" t="str">
        <f t="shared" si="73"/>
        <v/>
      </c>
      <c r="AA793" s="4" t="str">
        <f>IF($C793="","",IF(COUNTIF($C$1:C792,$C793)+COUNTIF($D$1:D792,$C793)=0,1,0))</f>
        <v/>
      </c>
      <c r="AB793" s="4" t="str">
        <f>IF($D793="","",IF(COUNTIF($C$1:C793,$D793)+COUNTIF($D$1:D792,$D793)=0,1,0))</f>
        <v/>
      </c>
      <c r="AC793" s="4" t="str">
        <f>IF(AA793=1,SUM($AA$2:AA793)-AA793+SUM($AB$2:AB793)-AB793+1,"")</f>
        <v/>
      </c>
      <c r="AD793" s="4" t="str">
        <f>IF(AB793=1,SUM($AA$2:AA793)+SUM($AB$2:AB793)-AB793+1,"")</f>
        <v/>
      </c>
      <c r="AE793" s="4" t="str">
        <f t="shared" si="74"/>
        <v/>
      </c>
      <c r="AF793" s="4" t="str">
        <f t="shared" si="75"/>
        <v/>
      </c>
      <c r="AG793" s="8">
        <f t="shared" si="76"/>
        <v>0</v>
      </c>
      <c r="AI793" s="8">
        <f t="shared" si="77"/>
        <v>0</v>
      </c>
    </row>
    <row r="794" spans="23:35" ht="15" customHeight="1" x14ac:dyDescent="0.25">
      <c r="W794" s="4" t="str">
        <f>IF($C794="","",SUMPRODUCT(($C$2:C794=C794)+($D$2:D794=C794)))</f>
        <v/>
      </c>
      <c r="X794" s="4" t="str">
        <f>IF($D794="","",SUMPRODUCT(($C$2:C794=D794)+($D$2:D794=D794)))</f>
        <v/>
      </c>
      <c r="Y794" s="4" t="str">
        <f t="shared" si="72"/>
        <v/>
      </c>
      <c r="Z794" s="4" t="str">
        <f t="shared" si="73"/>
        <v/>
      </c>
      <c r="AA794" s="4" t="str">
        <f>IF($C794="","",IF(COUNTIF($C$1:C793,$C794)+COUNTIF($D$1:D793,$C794)=0,1,0))</f>
        <v/>
      </c>
      <c r="AB794" s="4" t="str">
        <f>IF($D794="","",IF(COUNTIF($C$1:C794,$D794)+COUNTIF($D$1:D793,$D794)=0,1,0))</f>
        <v/>
      </c>
      <c r="AC794" s="4" t="str">
        <f>IF(AA794=1,SUM($AA$2:AA794)-AA794+SUM($AB$2:AB794)-AB794+1,"")</f>
        <v/>
      </c>
      <c r="AD794" s="4" t="str">
        <f>IF(AB794=1,SUM($AA$2:AA794)+SUM($AB$2:AB794)-AB794+1,"")</f>
        <v/>
      </c>
      <c r="AE794" s="4" t="str">
        <f t="shared" si="74"/>
        <v/>
      </c>
      <c r="AF794" s="4" t="str">
        <f t="shared" si="75"/>
        <v/>
      </c>
      <c r="AG794" s="8">
        <f t="shared" si="76"/>
        <v>0</v>
      </c>
      <c r="AI794" s="8">
        <f t="shared" si="77"/>
        <v>0</v>
      </c>
    </row>
    <row r="795" spans="23:35" ht="15" customHeight="1" x14ac:dyDescent="0.25">
      <c r="W795" s="4" t="str">
        <f>IF($C795="","",SUMPRODUCT(($C$2:C795=C795)+($D$2:D795=C795)))</f>
        <v/>
      </c>
      <c r="X795" s="4" t="str">
        <f>IF($D795="","",SUMPRODUCT(($C$2:C795=D795)+($D$2:D795=D795)))</f>
        <v/>
      </c>
      <c r="Y795" s="4" t="str">
        <f t="shared" si="72"/>
        <v/>
      </c>
      <c r="Z795" s="4" t="str">
        <f t="shared" si="73"/>
        <v/>
      </c>
      <c r="AA795" s="4" t="str">
        <f>IF($C795="","",IF(COUNTIF($C$1:C794,$C795)+COUNTIF($D$1:D794,$C795)=0,1,0))</f>
        <v/>
      </c>
      <c r="AB795" s="4" t="str">
        <f>IF($D795="","",IF(COUNTIF($C$1:C795,$D795)+COUNTIF($D$1:D794,$D795)=0,1,0))</f>
        <v/>
      </c>
      <c r="AC795" s="4" t="str">
        <f>IF(AA795=1,SUM($AA$2:AA795)-AA795+SUM($AB$2:AB795)-AB795+1,"")</f>
        <v/>
      </c>
      <c r="AD795" s="4" t="str">
        <f>IF(AB795=1,SUM($AA$2:AA795)+SUM($AB$2:AB795)-AB795+1,"")</f>
        <v/>
      </c>
      <c r="AE795" s="4" t="str">
        <f t="shared" si="74"/>
        <v/>
      </c>
      <c r="AF795" s="4" t="str">
        <f t="shared" si="75"/>
        <v/>
      </c>
      <c r="AG795" s="8">
        <f t="shared" si="76"/>
        <v>0</v>
      </c>
      <c r="AI795" s="8">
        <f t="shared" si="77"/>
        <v>0</v>
      </c>
    </row>
    <row r="796" spans="23:35" ht="15" customHeight="1" x14ac:dyDescent="0.25">
      <c r="W796" s="4" t="str">
        <f>IF($C796="","",SUMPRODUCT(($C$2:C796=C796)+($D$2:D796=C796)))</f>
        <v/>
      </c>
      <c r="X796" s="4" t="str">
        <f>IF($D796="","",SUMPRODUCT(($C$2:C796=D796)+($D$2:D796=D796)))</f>
        <v/>
      </c>
      <c r="Y796" s="4" t="str">
        <f t="shared" si="72"/>
        <v/>
      </c>
      <c r="Z796" s="4" t="str">
        <f t="shared" si="73"/>
        <v/>
      </c>
      <c r="AA796" s="4" t="str">
        <f>IF($C796="","",IF(COUNTIF($C$1:C795,$C796)+COUNTIF($D$1:D795,$C796)=0,1,0))</f>
        <v/>
      </c>
      <c r="AB796" s="4" t="str">
        <f>IF($D796="","",IF(COUNTIF($C$1:C796,$D796)+COUNTIF($D$1:D795,$D796)=0,1,0))</f>
        <v/>
      </c>
      <c r="AC796" s="4" t="str">
        <f>IF(AA796=1,SUM($AA$2:AA796)-AA796+SUM($AB$2:AB796)-AB796+1,"")</f>
        <v/>
      </c>
      <c r="AD796" s="4" t="str">
        <f>IF(AB796=1,SUM($AA$2:AA796)+SUM($AB$2:AB796)-AB796+1,"")</f>
        <v/>
      </c>
      <c r="AE796" s="4" t="str">
        <f t="shared" si="74"/>
        <v/>
      </c>
      <c r="AF796" s="4" t="str">
        <f t="shared" si="75"/>
        <v/>
      </c>
      <c r="AG796" s="8">
        <f t="shared" si="76"/>
        <v>0</v>
      </c>
      <c r="AI796" s="8">
        <f t="shared" si="77"/>
        <v>0</v>
      </c>
    </row>
    <row r="797" spans="23:35" ht="15" customHeight="1" x14ac:dyDescent="0.25">
      <c r="W797" s="4" t="str">
        <f>IF($C797="","",SUMPRODUCT(($C$2:C797=C797)+($D$2:D797=C797)))</f>
        <v/>
      </c>
      <c r="X797" s="4" t="str">
        <f>IF($D797="","",SUMPRODUCT(($C$2:C797=D797)+($D$2:D797=D797)))</f>
        <v/>
      </c>
      <c r="Y797" s="4" t="str">
        <f t="shared" si="72"/>
        <v/>
      </c>
      <c r="Z797" s="4" t="str">
        <f t="shared" si="73"/>
        <v/>
      </c>
      <c r="AA797" s="4" t="str">
        <f>IF($C797="","",IF(COUNTIF($C$1:C796,$C797)+COUNTIF($D$1:D796,$C797)=0,1,0))</f>
        <v/>
      </c>
      <c r="AB797" s="4" t="str">
        <f>IF($D797="","",IF(COUNTIF($C$1:C797,$D797)+COUNTIF($D$1:D796,$D797)=0,1,0))</f>
        <v/>
      </c>
      <c r="AC797" s="4" t="str">
        <f>IF(AA797=1,SUM($AA$2:AA797)-AA797+SUM($AB$2:AB797)-AB797+1,"")</f>
        <v/>
      </c>
      <c r="AD797" s="4" t="str">
        <f>IF(AB797=1,SUM($AA$2:AA797)+SUM($AB$2:AB797)-AB797+1,"")</f>
        <v/>
      </c>
      <c r="AE797" s="4" t="str">
        <f t="shared" si="74"/>
        <v/>
      </c>
      <c r="AF797" s="4" t="str">
        <f t="shared" si="75"/>
        <v/>
      </c>
      <c r="AG797" s="8">
        <f t="shared" si="76"/>
        <v>0</v>
      </c>
      <c r="AI797" s="8">
        <f t="shared" si="77"/>
        <v>0</v>
      </c>
    </row>
    <row r="798" spans="23:35" ht="15" customHeight="1" x14ac:dyDescent="0.25">
      <c r="W798" s="4" t="str">
        <f>IF($C798="","",SUMPRODUCT(($C$2:C798=C798)+($D$2:D798=C798)))</f>
        <v/>
      </c>
      <c r="X798" s="4" t="str">
        <f>IF($D798="","",SUMPRODUCT(($C$2:C798=D798)+($D$2:D798=D798)))</f>
        <v/>
      </c>
      <c r="Y798" s="4" t="str">
        <f t="shared" si="72"/>
        <v/>
      </c>
      <c r="Z798" s="4" t="str">
        <f t="shared" si="73"/>
        <v/>
      </c>
      <c r="AA798" s="4" t="str">
        <f>IF($C798="","",IF(COUNTIF($C$1:C797,$C798)+COUNTIF($D$1:D797,$C798)=0,1,0))</f>
        <v/>
      </c>
      <c r="AB798" s="4" t="str">
        <f>IF($D798="","",IF(COUNTIF($C$1:C798,$D798)+COUNTIF($D$1:D797,$D798)=0,1,0))</f>
        <v/>
      </c>
      <c r="AC798" s="4" t="str">
        <f>IF(AA798=1,SUM($AA$2:AA798)-AA798+SUM($AB$2:AB798)-AB798+1,"")</f>
        <v/>
      </c>
      <c r="AD798" s="4" t="str">
        <f>IF(AB798=1,SUM($AA$2:AA798)+SUM($AB$2:AB798)-AB798+1,"")</f>
        <v/>
      </c>
      <c r="AE798" s="4" t="str">
        <f t="shared" si="74"/>
        <v/>
      </c>
      <c r="AF798" s="4" t="str">
        <f t="shared" si="75"/>
        <v/>
      </c>
      <c r="AG798" s="8">
        <f t="shared" si="76"/>
        <v>0</v>
      </c>
      <c r="AI798" s="8">
        <f t="shared" si="77"/>
        <v>0</v>
      </c>
    </row>
    <row r="799" spans="23:35" ht="15" customHeight="1" x14ac:dyDescent="0.25">
      <c r="W799" s="4" t="str">
        <f>IF($C799="","",SUMPRODUCT(($C$2:C799=C799)+($D$2:D799=C799)))</f>
        <v/>
      </c>
      <c r="X799" s="4" t="str">
        <f>IF($D799="","",SUMPRODUCT(($C$2:C799=D799)+($D$2:D799=D799)))</f>
        <v/>
      </c>
      <c r="Y799" s="4" t="str">
        <f t="shared" si="72"/>
        <v/>
      </c>
      <c r="Z799" s="4" t="str">
        <f t="shared" si="73"/>
        <v/>
      </c>
      <c r="AA799" s="4" t="str">
        <f>IF($C799="","",IF(COUNTIF($C$1:C798,$C799)+COUNTIF($D$1:D798,$C799)=0,1,0))</f>
        <v/>
      </c>
      <c r="AB799" s="4" t="str">
        <f>IF($D799="","",IF(COUNTIF($C$1:C799,$D799)+COUNTIF($D$1:D798,$D799)=0,1,0))</f>
        <v/>
      </c>
      <c r="AC799" s="4" t="str">
        <f>IF(AA799=1,SUM($AA$2:AA799)-AA799+SUM($AB$2:AB799)-AB799+1,"")</f>
        <v/>
      </c>
      <c r="AD799" s="4" t="str">
        <f>IF(AB799=1,SUM($AA$2:AA799)+SUM($AB$2:AB799)-AB799+1,"")</f>
        <v/>
      </c>
      <c r="AE799" s="4" t="str">
        <f t="shared" si="74"/>
        <v/>
      </c>
      <c r="AF799" s="4" t="str">
        <f t="shared" si="75"/>
        <v/>
      </c>
      <c r="AG799" s="8">
        <f t="shared" si="76"/>
        <v>0</v>
      </c>
      <c r="AI799" s="8">
        <f t="shared" si="77"/>
        <v>0</v>
      </c>
    </row>
    <row r="800" spans="23:35" ht="15" customHeight="1" x14ac:dyDescent="0.25">
      <c r="W800" s="4" t="str">
        <f>IF($C800="","",SUMPRODUCT(($C$2:C800=C800)+($D$2:D800=C800)))</f>
        <v/>
      </c>
      <c r="X800" s="4" t="str">
        <f>IF($D800="","",SUMPRODUCT(($C$2:C800=D800)+($D$2:D800=D800)))</f>
        <v/>
      </c>
      <c r="Y800" s="4" t="str">
        <f t="shared" si="72"/>
        <v/>
      </c>
      <c r="Z800" s="4" t="str">
        <f t="shared" si="73"/>
        <v/>
      </c>
      <c r="AA800" s="4" t="str">
        <f>IF($C800="","",IF(COUNTIF($C$1:C799,$C800)+COUNTIF($D$1:D799,$C800)=0,1,0))</f>
        <v/>
      </c>
      <c r="AB800" s="4" t="str">
        <f>IF($D800="","",IF(COUNTIF($C$1:C800,$D800)+COUNTIF($D$1:D799,$D800)=0,1,0))</f>
        <v/>
      </c>
      <c r="AC800" s="4" t="str">
        <f>IF(AA800=1,SUM($AA$2:AA800)-AA800+SUM($AB$2:AB800)-AB800+1,"")</f>
        <v/>
      </c>
      <c r="AD800" s="4" t="str">
        <f>IF(AB800=1,SUM($AA$2:AA800)+SUM($AB$2:AB800)-AB800+1,"")</f>
        <v/>
      </c>
      <c r="AE800" s="4" t="str">
        <f t="shared" si="74"/>
        <v/>
      </c>
      <c r="AF800" s="4" t="str">
        <f t="shared" si="75"/>
        <v/>
      </c>
      <c r="AG800" s="8">
        <f t="shared" si="76"/>
        <v>0</v>
      </c>
      <c r="AI800" s="8">
        <f t="shared" si="77"/>
        <v>0</v>
      </c>
    </row>
    <row r="801" spans="23:35" ht="15" customHeight="1" x14ac:dyDescent="0.25">
      <c r="W801" s="4" t="str">
        <f>IF($C801="","",SUMPRODUCT(($C$2:C801=C801)+($D$2:D801=C801)))</f>
        <v/>
      </c>
      <c r="X801" s="4" t="str">
        <f>IF($D801="","",SUMPRODUCT(($C$2:C801=D801)+($D$2:D801=D801)))</f>
        <v/>
      </c>
      <c r="Y801" s="4" t="str">
        <f t="shared" si="72"/>
        <v/>
      </c>
      <c r="Z801" s="4" t="str">
        <f t="shared" si="73"/>
        <v/>
      </c>
      <c r="AA801" s="4" t="str">
        <f>IF($C801="","",IF(COUNTIF($C$1:C800,$C801)+COUNTIF($D$1:D800,$C801)=0,1,0))</f>
        <v/>
      </c>
      <c r="AB801" s="4" t="str">
        <f>IF($D801="","",IF(COUNTIF($C$1:C801,$D801)+COUNTIF($D$1:D800,$D801)=0,1,0))</f>
        <v/>
      </c>
      <c r="AC801" s="4" t="str">
        <f>IF(AA801=1,SUM($AA$2:AA801)-AA801+SUM($AB$2:AB801)-AB801+1,"")</f>
        <v/>
      </c>
      <c r="AD801" s="4" t="str">
        <f>IF(AB801=1,SUM($AA$2:AA801)+SUM($AB$2:AB801)-AB801+1,"")</f>
        <v/>
      </c>
      <c r="AE801" s="4" t="str">
        <f t="shared" si="74"/>
        <v/>
      </c>
      <c r="AF801" s="4" t="str">
        <f t="shared" si="75"/>
        <v/>
      </c>
      <c r="AG801" s="8">
        <f t="shared" si="76"/>
        <v>0</v>
      </c>
      <c r="AI801" s="8">
        <f t="shared" si="77"/>
        <v>0</v>
      </c>
    </row>
    <row r="802" spans="23:35" ht="15" customHeight="1" x14ac:dyDescent="0.25">
      <c r="W802" s="4" t="str">
        <f>IF($C802="","",SUMPRODUCT(($C$2:C802=C802)+($D$2:D802=C802)))</f>
        <v/>
      </c>
      <c r="X802" s="4" t="str">
        <f>IF($D802="","",SUMPRODUCT(($C$2:C802=D802)+($D$2:D802=D802)))</f>
        <v/>
      </c>
      <c r="Y802" s="4" t="str">
        <f t="shared" si="72"/>
        <v/>
      </c>
      <c r="Z802" s="4" t="str">
        <f t="shared" si="73"/>
        <v/>
      </c>
      <c r="AA802" s="4" t="str">
        <f>IF($C802="","",IF(COUNTIF($C$1:C801,$C802)+COUNTIF($D$1:D801,$C802)=0,1,0))</f>
        <v/>
      </c>
      <c r="AB802" s="4" t="str">
        <f>IF($D802="","",IF(COUNTIF($C$1:C802,$D802)+COUNTIF($D$1:D801,$D802)=0,1,0))</f>
        <v/>
      </c>
      <c r="AC802" s="4" t="str">
        <f>IF(AA802=1,SUM($AA$2:AA802)-AA802+SUM($AB$2:AB802)-AB802+1,"")</f>
        <v/>
      </c>
      <c r="AD802" s="4" t="str">
        <f>IF(AB802=1,SUM($AA$2:AA802)+SUM($AB$2:AB802)-AB802+1,"")</f>
        <v/>
      </c>
      <c r="AE802" s="4" t="str">
        <f t="shared" si="74"/>
        <v/>
      </c>
      <c r="AF802" s="4" t="str">
        <f t="shared" si="75"/>
        <v/>
      </c>
      <c r="AG802" s="8">
        <f t="shared" si="76"/>
        <v>0</v>
      </c>
      <c r="AI802" s="8">
        <f t="shared" si="77"/>
        <v>0</v>
      </c>
    </row>
    <row r="803" spans="23:35" ht="15" customHeight="1" x14ac:dyDescent="0.25">
      <c r="W803" s="4" t="str">
        <f>IF($C803="","",SUMPRODUCT(($C$2:C803=C803)+($D$2:D803=C803)))</f>
        <v/>
      </c>
      <c r="X803" s="4" t="str">
        <f>IF($D803="","",SUMPRODUCT(($C$2:C803=D803)+($D$2:D803=D803)))</f>
        <v/>
      </c>
      <c r="Y803" s="4" t="str">
        <f t="shared" si="72"/>
        <v/>
      </c>
      <c r="Z803" s="4" t="str">
        <f t="shared" si="73"/>
        <v/>
      </c>
      <c r="AA803" s="4" t="str">
        <f>IF($C803="","",IF(COUNTIF($C$1:C802,$C803)+COUNTIF($D$1:D802,$C803)=0,1,0))</f>
        <v/>
      </c>
      <c r="AB803" s="4" t="str">
        <f>IF($D803="","",IF(COUNTIF($C$1:C803,$D803)+COUNTIF($D$1:D802,$D803)=0,1,0))</f>
        <v/>
      </c>
      <c r="AC803" s="4" t="str">
        <f>IF(AA803=1,SUM($AA$2:AA803)-AA803+SUM($AB$2:AB803)-AB803+1,"")</f>
        <v/>
      </c>
      <c r="AD803" s="4" t="str">
        <f>IF(AB803=1,SUM($AA$2:AA803)+SUM($AB$2:AB803)-AB803+1,"")</f>
        <v/>
      </c>
      <c r="AE803" s="4" t="str">
        <f t="shared" si="74"/>
        <v/>
      </c>
      <c r="AF803" s="4" t="str">
        <f t="shared" si="75"/>
        <v/>
      </c>
      <c r="AG803" s="8">
        <f t="shared" si="76"/>
        <v>0</v>
      </c>
      <c r="AI803" s="8">
        <f t="shared" si="77"/>
        <v>0</v>
      </c>
    </row>
    <row r="804" spans="23:35" ht="15" customHeight="1" x14ac:dyDescent="0.25">
      <c r="W804" s="4" t="str">
        <f>IF($C804="","",SUMPRODUCT(($C$2:C804=C804)+($D$2:D804=C804)))</f>
        <v/>
      </c>
      <c r="X804" s="4" t="str">
        <f>IF($D804="","",SUMPRODUCT(($C$2:C804=D804)+($D$2:D804=D804)))</f>
        <v/>
      </c>
      <c r="Y804" s="4" t="str">
        <f t="shared" si="72"/>
        <v/>
      </c>
      <c r="Z804" s="4" t="str">
        <f t="shared" si="73"/>
        <v/>
      </c>
      <c r="AA804" s="4" t="str">
        <f>IF($C804="","",IF(COUNTIF($C$1:C803,$C804)+COUNTIF($D$1:D803,$C804)=0,1,0))</f>
        <v/>
      </c>
      <c r="AB804" s="4" t="str">
        <f>IF($D804="","",IF(COUNTIF($C$1:C804,$D804)+COUNTIF($D$1:D803,$D804)=0,1,0))</f>
        <v/>
      </c>
      <c r="AC804" s="4" t="str">
        <f>IF(AA804=1,SUM($AA$2:AA804)-AA804+SUM($AB$2:AB804)-AB804+1,"")</f>
        <v/>
      </c>
      <c r="AD804" s="4" t="str">
        <f>IF(AB804=1,SUM($AA$2:AA804)+SUM($AB$2:AB804)-AB804+1,"")</f>
        <v/>
      </c>
      <c r="AE804" s="4" t="str">
        <f t="shared" si="74"/>
        <v/>
      </c>
      <c r="AF804" s="4" t="str">
        <f t="shared" si="75"/>
        <v/>
      </c>
      <c r="AG804" s="8">
        <f t="shared" si="76"/>
        <v>0</v>
      </c>
      <c r="AI804" s="8">
        <f t="shared" si="77"/>
        <v>0</v>
      </c>
    </row>
    <row r="805" spans="23:35" ht="15" customHeight="1" x14ac:dyDescent="0.25">
      <c r="W805" s="4" t="str">
        <f>IF($C805="","",SUMPRODUCT(($C$2:C805=C805)+($D$2:D805=C805)))</f>
        <v/>
      </c>
      <c r="X805" s="4" t="str">
        <f>IF($D805="","",SUMPRODUCT(($C$2:C805=D805)+($D$2:D805=D805)))</f>
        <v/>
      </c>
      <c r="Y805" s="4" t="str">
        <f t="shared" si="72"/>
        <v/>
      </c>
      <c r="Z805" s="4" t="str">
        <f t="shared" si="73"/>
        <v/>
      </c>
      <c r="AA805" s="4" t="str">
        <f>IF($C805="","",IF(COUNTIF($C$1:C804,$C805)+COUNTIF($D$1:D804,$C805)=0,1,0))</f>
        <v/>
      </c>
      <c r="AB805" s="4" t="str">
        <f>IF($D805="","",IF(COUNTIF($C$1:C805,$D805)+COUNTIF($D$1:D804,$D805)=0,1,0))</f>
        <v/>
      </c>
      <c r="AC805" s="4" t="str">
        <f>IF(AA805=1,SUM($AA$2:AA805)-AA805+SUM($AB$2:AB805)-AB805+1,"")</f>
        <v/>
      </c>
      <c r="AD805" s="4" t="str">
        <f>IF(AB805=1,SUM($AA$2:AA805)+SUM($AB$2:AB805)-AB805+1,"")</f>
        <v/>
      </c>
      <c r="AE805" s="4" t="str">
        <f t="shared" si="74"/>
        <v/>
      </c>
      <c r="AF805" s="4" t="str">
        <f t="shared" si="75"/>
        <v/>
      </c>
      <c r="AG805" s="8">
        <f t="shared" si="76"/>
        <v>0</v>
      </c>
      <c r="AI805" s="8">
        <f t="shared" si="77"/>
        <v>0</v>
      </c>
    </row>
    <row r="806" spans="23:35" ht="15" customHeight="1" x14ac:dyDescent="0.25">
      <c r="W806" s="4" t="str">
        <f>IF($C806="","",SUMPRODUCT(($C$2:C806=C806)+($D$2:D806=C806)))</f>
        <v/>
      </c>
      <c r="X806" s="4" t="str">
        <f>IF($D806="","",SUMPRODUCT(($C$2:C806=D806)+($D$2:D806=D806)))</f>
        <v/>
      </c>
      <c r="Y806" s="4" t="str">
        <f t="shared" si="72"/>
        <v/>
      </c>
      <c r="Z806" s="4" t="str">
        <f t="shared" si="73"/>
        <v/>
      </c>
      <c r="AA806" s="4" t="str">
        <f>IF($C806="","",IF(COUNTIF($C$1:C805,$C806)+COUNTIF($D$1:D805,$C806)=0,1,0))</f>
        <v/>
      </c>
      <c r="AB806" s="4" t="str">
        <f>IF($D806="","",IF(COUNTIF($C$1:C806,$D806)+COUNTIF($D$1:D805,$D806)=0,1,0))</f>
        <v/>
      </c>
      <c r="AC806" s="4" t="str">
        <f>IF(AA806=1,SUM($AA$2:AA806)-AA806+SUM($AB$2:AB806)-AB806+1,"")</f>
        <v/>
      </c>
      <c r="AD806" s="4" t="str">
        <f>IF(AB806=1,SUM($AA$2:AA806)+SUM($AB$2:AB806)-AB806+1,"")</f>
        <v/>
      </c>
      <c r="AE806" s="4" t="str">
        <f t="shared" si="74"/>
        <v/>
      </c>
      <c r="AF806" s="4" t="str">
        <f t="shared" si="75"/>
        <v/>
      </c>
      <c r="AG806" s="8">
        <f t="shared" si="76"/>
        <v>0</v>
      </c>
      <c r="AI806" s="8">
        <f t="shared" si="77"/>
        <v>0</v>
      </c>
    </row>
    <row r="807" spans="23:35" ht="15" customHeight="1" x14ac:dyDescent="0.25">
      <c r="W807" s="4" t="str">
        <f>IF($C807="","",SUMPRODUCT(($C$2:C807=C807)+($D$2:D807=C807)))</f>
        <v/>
      </c>
      <c r="X807" s="4" t="str">
        <f>IF($D807="","",SUMPRODUCT(($C$2:C807=D807)+($D$2:D807=D807)))</f>
        <v/>
      </c>
      <c r="Y807" s="4" t="str">
        <f t="shared" si="72"/>
        <v/>
      </c>
      <c r="Z807" s="4" t="str">
        <f t="shared" si="73"/>
        <v/>
      </c>
      <c r="AA807" s="4" t="str">
        <f>IF($C807="","",IF(COUNTIF($C$1:C806,$C807)+COUNTIF($D$1:D806,$C807)=0,1,0))</f>
        <v/>
      </c>
      <c r="AB807" s="4" t="str">
        <f>IF($D807="","",IF(COUNTIF($C$1:C807,$D807)+COUNTIF($D$1:D806,$D807)=0,1,0))</f>
        <v/>
      </c>
      <c r="AC807" s="4" t="str">
        <f>IF(AA807=1,SUM($AA$2:AA807)-AA807+SUM($AB$2:AB807)-AB807+1,"")</f>
        <v/>
      </c>
      <c r="AD807" s="4" t="str">
        <f>IF(AB807=1,SUM($AA$2:AA807)+SUM($AB$2:AB807)-AB807+1,"")</f>
        <v/>
      </c>
      <c r="AE807" s="4" t="str">
        <f t="shared" si="74"/>
        <v/>
      </c>
      <c r="AF807" s="4" t="str">
        <f t="shared" si="75"/>
        <v/>
      </c>
      <c r="AG807" s="8">
        <f t="shared" si="76"/>
        <v>0</v>
      </c>
      <c r="AI807" s="8">
        <f t="shared" si="77"/>
        <v>0</v>
      </c>
    </row>
    <row r="808" spans="23:35" ht="15" customHeight="1" x14ac:dyDescent="0.25">
      <c r="W808" s="4" t="str">
        <f>IF($C808="","",SUMPRODUCT(($C$2:C808=C808)+($D$2:D808=C808)))</f>
        <v/>
      </c>
      <c r="X808" s="4" t="str">
        <f>IF($D808="","",SUMPRODUCT(($C$2:C808=D808)+($D$2:D808=D808)))</f>
        <v/>
      </c>
      <c r="Y808" s="4" t="str">
        <f t="shared" si="72"/>
        <v/>
      </c>
      <c r="Z808" s="4" t="str">
        <f t="shared" si="73"/>
        <v/>
      </c>
      <c r="AA808" s="4" t="str">
        <f>IF($C808="","",IF(COUNTIF($C$1:C807,$C808)+COUNTIF($D$1:D807,$C808)=0,1,0))</f>
        <v/>
      </c>
      <c r="AB808" s="4" t="str">
        <f>IF($D808="","",IF(COUNTIF($C$1:C808,$D808)+COUNTIF($D$1:D807,$D808)=0,1,0))</f>
        <v/>
      </c>
      <c r="AC808" s="4" t="str">
        <f>IF(AA808=1,SUM($AA$2:AA808)-AA808+SUM($AB$2:AB808)-AB808+1,"")</f>
        <v/>
      </c>
      <c r="AD808" s="4" t="str">
        <f>IF(AB808=1,SUM($AA$2:AA808)+SUM($AB$2:AB808)-AB808+1,"")</f>
        <v/>
      </c>
      <c r="AE808" s="4" t="str">
        <f t="shared" si="74"/>
        <v/>
      </c>
      <c r="AF808" s="4" t="str">
        <f t="shared" si="75"/>
        <v/>
      </c>
      <c r="AG808" s="8">
        <f t="shared" si="76"/>
        <v>0</v>
      </c>
      <c r="AI808" s="8">
        <f t="shared" si="77"/>
        <v>0</v>
      </c>
    </row>
    <row r="809" spans="23:35" ht="15" customHeight="1" x14ac:dyDescent="0.25">
      <c r="W809" s="4" t="str">
        <f>IF($C809="","",SUMPRODUCT(($C$2:C809=C809)+($D$2:D809=C809)))</f>
        <v/>
      </c>
      <c r="X809" s="4" t="str">
        <f>IF($D809="","",SUMPRODUCT(($C$2:C809=D809)+($D$2:D809=D809)))</f>
        <v/>
      </c>
      <c r="Y809" s="4" t="str">
        <f t="shared" si="72"/>
        <v/>
      </c>
      <c r="Z809" s="4" t="str">
        <f t="shared" si="73"/>
        <v/>
      </c>
      <c r="AA809" s="4" t="str">
        <f>IF($C809="","",IF(COUNTIF($C$1:C808,$C809)+COUNTIF($D$1:D808,$C809)=0,1,0))</f>
        <v/>
      </c>
      <c r="AB809" s="4" t="str">
        <f>IF($D809="","",IF(COUNTIF($C$1:C809,$D809)+COUNTIF($D$1:D808,$D809)=0,1,0))</f>
        <v/>
      </c>
      <c r="AC809" s="4" t="str">
        <f>IF(AA809=1,SUM($AA$2:AA809)-AA809+SUM($AB$2:AB809)-AB809+1,"")</f>
        <v/>
      </c>
      <c r="AD809" s="4" t="str">
        <f>IF(AB809=1,SUM($AA$2:AA809)+SUM($AB$2:AB809)-AB809+1,"")</f>
        <v/>
      </c>
      <c r="AE809" s="4" t="str">
        <f t="shared" si="74"/>
        <v/>
      </c>
      <c r="AF809" s="4" t="str">
        <f t="shared" si="75"/>
        <v/>
      </c>
      <c r="AG809" s="8">
        <f t="shared" si="76"/>
        <v>0</v>
      </c>
      <c r="AI809" s="8">
        <f t="shared" si="77"/>
        <v>0</v>
      </c>
    </row>
    <row r="810" spans="23:35" ht="15" customHeight="1" x14ac:dyDescent="0.25">
      <c r="W810" s="4" t="str">
        <f>IF($C810="","",SUMPRODUCT(($C$2:C810=C810)+($D$2:D810=C810)))</f>
        <v/>
      </c>
      <c r="X810" s="4" t="str">
        <f>IF($D810="","",SUMPRODUCT(($C$2:C810=D810)+($D$2:D810=D810)))</f>
        <v/>
      </c>
      <c r="Y810" s="4" t="str">
        <f t="shared" si="72"/>
        <v/>
      </c>
      <c r="Z810" s="4" t="str">
        <f t="shared" si="73"/>
        <v/>
      </c>
      <c r="AA810" s="4" t="str">
        <f>IF($C810="","",IF(COUNTIF($C$1:C809,$C810)+COUNTIF($D$1:D809,$C810)=0,1,0))</f>
        <v/>
      </c>
      <c r="AB810" s="4" t="str">
        <f>IF($D810="","",IF(COUNTIF($C$1:C810,$D810)+COUNTIF($D$1:D809,$D810)=0,1,0))</f>
        <v/>
      </c>
      <c r="AC810" s="4" t="str">
        <f>IF(AA810=1,SUM($AA$2:AA810)-AA810+SUM($AB$2:AB810)-AB810+1,"")</f>
        <v/>
      </c>
      <c r="AD810" s="4" t="str">
        <f>IF(AB810=1,SUM($AA$2:AA810)+SUM($AB$2:AB810)-AB810+1,"")</f>
        <v/>
      </c>
      <c r="AE810" s="4" t="str">
        <f t="shared" si="74"/>
        <v/>
      </c>
      <c r="AF810" s="4" t="str">
        <f t="shared" si="75"/>
        <v/>
      </c>
      <c r="AG810" s="8">
        <f t="shared" si="76"/>
        <v>0</v>
      </c>
      <c r="AI810" s="8">
        <f t="shared" si="77"/>
        <v>0</v>
      </c>
    </row>
    <row r="811" spans="23:35" ht="15" customHeight="1" x14ac:dyDescent="0.25">
      <c r="W811" s="4" t="str">
        <f>IF($C811="","",SUMPRODUCT(($C$2:C811=C811)+($D$2:D811=C811)))</f>
        <v/>
      </c>
      <c r="X811" s="4" t="str">
        <f>IF($D811="","",SUMPRODUCT(($C$2:C811=D811)+($D$2:D811=D811)))</f>
        <v/>
      </c>
      <c r="Y811" s="4" t="str">
        <f t="shared" si="72"/>
        <v/>
      </c>
      <c r="Z811" s="4" t="str">
        <f t="shared" si="73"/>
        <v/>
      </c>
      <c r="AA811" s="4" t="str">
        <f>IF($C811="","",IF(COUNTIF($C$1:C810,$C811)+COUNTIF($D$1:D810,$C811)=0,1,0))</f>
        <v/>
      </c>
      <c r="AB811" s="4" t="str">
        <f>IF($D811="","",IF(COUNTIF($C$1:C811,$D811)+COUNTIF($D$1:D810,$D811)=0,1,0))</f>
        <v/>
      </c>
      <c r="AC811" s="4" t="str">
        <f>IF(AA811=1,SUM($AA$2:AA811)-AA811+SUM($AB$2:AB811)-AB811+1,"")</f>
        <v/>
      </c>
      <c r="AD811" s="4" t="str">
        <f>IF(AB811=1,SUM($AA$2:AA811)+SUM($AB$2:AB811)-AB811+1,"")</f>
        <v/>
      </c>
      <c r="AE811" s="4" t="str">
        <f t="shared" si="74"/>
        <v/>
      </c>
      <c r="AF811" s="4" t="str">
        <f t="shared" si="75"/>
        <v/>
      </c>
      <c r="AG811" s="8">
        <f t="shared" si="76"/>
        <v>0</v>
      </c>
      <c r="AI811" s="8">
        <f t="shared" si="77"/>
        <v>0</v>
      </c>
    </row>
    <row r="812" spans="23:35" ht="15" customHeight="1" x14ac:dyDescent="0.25">
      <c r="W812" s="4" t="str">
        <f>IF($C812="","",SUMPRODUCT(($C$2:C812=C812)+($D$2:D812=C812)))</f>
        <v/>
      </c>
      <c r="X812" s="4" t="str">
        <f>IF($D812="","",SUMPRODUCT(($C$2:C812=D812)+($D$2:D812=D812)))</f>
        <v/>
      </c>
      <c r="Y812" s="4" t="str">
        <f t="shared" si="72"/>
        <v/>
      </c>
      <c r="Z812" s="4" t="str">
        <f t="shared" si="73"/>
        <v/>
      </c>
      <c r="AA812" s="4" t="str">
        <f>IF($C812="","",IF(COUNTIF($C$1:C811,$C812)+COUNTIF($D$1:D811,$C812)=0,1,0))</f>
        <v/>
      </c>
      <c r="AB812" s="4" t="str">
        <f>IF($D812="","",IF(COUNTIF($C$1:C812,$D812)+COUNTIF($D$1:D811,$D812)=0,1,0))</f>
        <v/>
      </c>
      <c r="AC812" s="4" t="str">
        <f>IF(AA812=1,SUM($AA$2:AA812)-AA812+SUM($AB$2:AB812)-AB812+1,"")</f>
        <v/>
      </c>
      <c r="AD812" s="4" t="str">
        <f>IF(AB812=1,SUM($AA$2:AA812)+SUM($AB$2:AB812)-AB812+1,"")</f>
        <v/>
      </c>
      <c r="AE812" s="4" t="str">
        <f t="shared" si="74"/>
        <v/>
      </c>
      <c r="AF812" s="4" t="str">
        <f t="shared" si="75"/>
        <v/>
      </c>
      <c r="AG812" s="8">
        <f t="shared" si="76"/>
        <v>0</v>
      </c>
      <c r="AI812" s="8">
        <f t="shared" si="77"/>
        <v>0</v>
      </c>
    </row>
    <row r="813" spans="23:35" ht="15" customHeight="1" x14ac:dyDescent="0.25">
      <c r="W813" s="4" t="str">
        <f>IF($C813="","",SUMPRODUCT(($C$2:C813=C813)+($D$2:D813=C813)))</f>
        <v/>
      </c>
      <c r="X813" s="4" t="str">
        <f>IF($D813="","",SUMPRODUCT(($C$2:C813=D813)+($D$2:D813=D813)))</f>
        <v/>
      </c>
      <c r="Y813" s="4" t="str">
        <f t="shared" si="72"/>
        <v/>
      </c>
      <c r="Z813" s="4" t="str">
        <f t="shared" si="73"/>
        <v/>
      </c>
      <c r="AA813" s="4" t="str">
        <f>IF($C813="","",IF(COUNTIF($C$1:C812,$C813)+COUNTIF($D$1:D812,$C813)=0,1,0))</f>
        <v/>
      </c>
      <c r="AB813" s="4" t="str">
        <f>IF($D813="","",IF(COUNTIF($C$1:C813,$D813)+COUNTIF($D$1:D812,$D813)=0,1,0))</f>
        <v/>
      </c>
      <c r="AC813" s="4" t="str">
        <f>IF(AA813=1,SUM($AA$2:AA813)-AA813+SUM($AB$2:AB813)-AB813+1,"")</f>
        <v/>
      </c>
      <c r="AD813" s="4" t="str">
        <f>IF(AB813=1,SUM($AA$2:AA813)+SUM($AB$2:AB813)-AB813+1,"")</f>
        <v/>
      </c>
      <c r="AE813" s="4" t="str">
        <f t="shared" si="74"/>
        <v/>
      </c>
      <c r="AF813" s="4" t="str">
        <f t="shared" si="75"/>
        <v/>
      </c>
      <c r="AG813" s="8">
        <f t="shared" si="76"/>
        <v>0</v>
      </c>
      <c r="AI813" s="8">
        <f t="shared" si="77"/>
        <v>0</v>
      </c>
    </row>
    <row r="814" spans="23:35" ht="15" customHeight="1" x14ac:dyDescent="0.25">
      <c r="W814" s="4" t="str">
        <f>IF($C814="","",SUMPRODUCT(($C$2:C814=C814)+($D$2:D814=C814)))</f>
        <v/>
      </c>
      <c r="X814" s="4" t="str">
        <f>IF($D814="","",SUMPRODUCT(($C$2:C814=D814)+($D$2:D814=D814)))</f>
        <v/>
      </c>
      <c r="Y814" s="4" t="str">
        <f t="shared" si="72"/>
        <v/>
      </c>
      <c r="Z814" s="4" t="str">
        <f t="shared" si="73"/>
        <v/>
      </c>
      <c r="AA814" s="4" t="str">
        <f>IF($C814="","",IF(COUNTIF($C$1:C813,$C814)+COUNTIF($D$1:D813,$C814)=0,1,0))</f>
        <v/>
      </c>
      <c r="AB814" s="4" t="str">
        <f>IF($D814="","",IF(COUNTIF($C$1:C814,$D814)+COUNTIF($D$1:D813,$D814)=0,1,0))</f>
        <v/>
      </c>
      <c r="AC814" s="4" t="str">
        <f>IF(AA814=1,SUM($AA$2:AA814)-AA814+SUM($AB$2:AB814)-AB814+1,"")</f>
        <v/>
      </c>
      <c r="AD814" s="4" t="str">
        <f>IF(AB814=1,SUM($AA$2:AA814)+SUM($AB$2:AB814)-AB814+1,"")</f>
        <v/>
      </c>
      <c r="AE814" s="4" t="str">
        <f t="shared" si="74"/>
        <v/>
      </c>
      <c r="AF814" s="4" t="str">
        <f t="shared" si="75"/>
        <v/>
      </c>
      <c r="AG814" s="8">
        <f t="shared" si="76"/>
        <v>0</v>
      </c>
      <c r="AI814" s="8">
        <f t="shared" si="77"/>
        <v>0</v>
      </c>
    </row>
    <row r="815" spans="23:35" ht="15" customHeight="1" x14ac:dyDescent="0.25">
      <c r="W815" s="4" t="str">
        <f>IF($C815="","",SUMPRODUCT(($C$2:C815=C815)+($D$2:D815=C815)))</f>
        <v/>
      </c>
      <c r="X815" s="4" t="str">
        <f>IF($D815="","",SUMPRODUCT(($C$2:C815=D815)+($D$2:D815=D815)))</f>
        <v/>
      </c>
      <c r="Y815" s="4" t="str">
        <f t="shared" si="72"/>
        <v/>
      </c>
      <c r="Z815" s="4" t="str">
        <f t="shared" si="73"/>
        <v/>
      </c>
      <c r="AA815" s="4" t="str">
        <f>IF($C815="","",IF(COUNTIF($C$1:C814,$C815)+COUNTIF($D$1:D814,$C815)=0,1,0))</f>
        <v/>
      </c>
      <c r="AB815" s="4" t="str">
        <f>IF($D815="","",IF(COUNTIF($C$1:C815,$D815)+COUNTIF($D$1:D814,$D815)=0,1,0))</f>
        <v/>
      </c>
      <c r="AC815" s="4" t="str">
        <f>IF(AA815=1,SUM($AA$2:AA815)-AA815+SUM($AB$2:AB815)-AB815+1,"")</f>
        <v/>
      </c>
      <c r="AD815" s="4" t="str">
        <f>IF(AB815=1,SUM($AA$2:AA815)+SUM($AB$2:AB815)-AB815+1,"")</f>
        <v/>
      </c>
      <c r="AE815" s="4" t="str">
        <f t="shared" si="74"/>
        <v/>
      </c>
      <c r="AF815" s="4" t="str">
        <f t="shared" si="75"/>
        <v/>
      </c>
      <c r="AG815" s="8">
        <f t="shared" si="76"/>
        <v>0</v>
      </c>
      <c r="AI815" s="8">
        <f t="shared" si="77"/>
        <v>0</v>
      </c>
    </row>
    <row r="816" spans="23:35" ht="15" customHeight="1" x14ac:dyDescent="0.25">
      <c r="W816" s="4" t="str">
        <f>IF($C816="","",SUMPRODUCT(($C$2:C816=C816)+($D$2:D816=C816)))</f>
        <v/>
      </c>
      <c r="X816" s="4" t="str">
        <f>IF($D816="","",SUMPRODUCT(($C$2:C816=D816)+($D$2:D816=D816)))</f>
        <v/>
      </c>
      <c r="Y816" s="4" t="str">
        <f t="shared" si="72"/>
        <v/>
      </c>
      <c r="Z816" s="4" t="str">
        <f t="shared" si="73"/>
        <v/>
      </c>
      <c r="AA816" s="4" t="str">
        <f>IF($C816="","",IF(COUNTIF($C$1:C815,$C816)+COUNTIF($D$1:D815,$C816)=0,1,0))</f>
        <v/>
      </c>
      <c r="AB816" s="4" t="str">
        <f>IF($D816="","",IF(COUNTIF($C$1:C816,$D816)+COUNTIF($D$1:D815,$D816)=0,1,0))</f>
        <v/>
      </c>
      <c r="AC816" s="4" t="str">
        <f>IF(AA816=1,SUM($AA$2:AA816)-AA816+SUM($AB$2:AB816)-AB816+1,"")</f>
        <v/>
      </c>
      <c r="AD816" s="4" t="str">
        <f>IF(AB816=1,SUM($AA$2:AA816)+SUM($AB$2:AB816)-AB816+1,"")</f>
        <v/>
      </c>
      <c r="AE816" s="4" t="str">
        <f t="shared" si="74"/>
        <v/>
      </c>
      <c r="AF816" s="4" t="str">
        <f t="shared" si="75"/>
        <v/>
      </c>
      <c r="AG816" s="8">
        <f t="shared" si="76"/>
        <v>0</v>
      </c>
      <c r="AI816" s="8">
        <f t="shared" si="77"/>
        <v>0</v>
      </c>
    </row>
    <row r="817" spans="23:35" ht="15" customHeight="1" x14ac:dyDescent="0.25">
      <c r="W817" s="4" t="str">
        <f>IF($C817="","",SUMPRODUCT(($C$2:C817=C817)+($D$2:D817=C817)))</f>
        <v/>
      </c>
      <c r="X817" s="4" t="str">
        <f>IF($D817="","",SUMPRODUCT(($C$2:C817=D817)+($D$2:D817=D817)))</f>
        <v/>
      </c>
      <c r="Y817" s="4" t="str">
        <f t="shared" si="72"/>
        <v/>
      </c>
      <c r="Z817" s="4" t="str">
        <f t="shared" si="73"/>
        <v/>
      </c>
      <c r="AA817" s="4" t="str">
        <f>IF($C817="","",IF(COUNTIF($C$1:C816,$C817)+COUNTIF($D$1:D816,$C817)=0,1,0))</f>
        <v/>
      </c>
      <c r="AB817" s="4" t="str">
        <f>IF($D817="","",IF(COUNTIF($C$1:C817,$D817)+COUNTIF($D$1:D816,$D817)=0,1,0))</f>
        <v/>
      </c>
      <c r="AC817" s="4" t="str">
        <f>IF(AA817=1,SUM($AA$2:AA817)-AA817+SUM($AB$2:AB817)-AB817+1,"")</f>
        <v/>
      </c>
      <c r="AD817" s="4" t="str">
        <f>IF(AB817=1,SUM($AA$2:AA817)+SUM($AB$2:AB817)-AB817+1,"")</f>
        <v/>
      </c>
      <c r="AE817" s="4" t="str">
        <f t="shared" si="74"/>
        <v/>
      </c>
      <c r="AF817" s="4" t="str">
        <f t="shared" si="75"/>
        <v/>
      </c>
      <c r="AG817" s="8">
        <f t="shared" si="76"/>
        <v>0</v>
      </c>
      <c r="AI817" s="8">
        <f t="shared" si="77"/>
        <v>0</v>
      </c>
    </row>
    <row r="818" spans="23:35" ht="15" customHeight="1" x14ac:dyDescent="0.25">
      <c r="W818" s="4" t="str">
        <f>IF($C818="","",SUMPRODUCT(($C$2:C818=C818)+($D$2:D818=C818)))</f>
        <v/>
      </c>
      <c r="X818" s="4" t="str">
        <f>IF($D818="","",SUMPRODUCT(($C$2:C818=D818)+($D$2:D818=D818)))</f>
        <v/>
      </c>
      <c r="Y818" s="4" t="str">
        <f t="shared" si="72"/>
        <v/>
      </c>
      <c r="Z818" s="4" t="str">
        <f t="shared" si="73"/>
        <v/>
      </c>
      <c r="AA818" s="4" t="str">
        <f>IF($C818="","",IF(COUNTIF($C$1:C817,$C818)+COUNTIF($D$1:D817,$C818)=0,1,0))</f>
        <v/>
      </c>
      <c r="AB818" s="4" t="str">
        <f>IF($D818="","",IF(COUNTIF($C$1:C818,$D818)+COUNTIF($D$1:D817,$D818)=0,1,0))</f>
        <v/>
      </c>
      <c r="AC818" s="4" t="str">
        <f>IF(AA818=1,SUM($AA$2:AA818)-AA818+SUM($AB$2:AB818)-AB818+1,"")</f>
        <v/>
      </c>
      <c r="AD818" s="4" t="str">
        <f>IF(AB818=1,SUM($AA$2:AA818)+SUM($AB$2:AB818)-AB818+1,"")</f>
        <v/>
      </c>
      <c r="AE818" s="4" t="str">
        <f t="shared" si="74"/>
        <v/>
      </c>
      <c r="AF818" s="4" t="str">
        <f t="shared" si="75"/>
        <v/>
      </c>
      <c r="AG818" s="8">
        <f t="shared" si="76"/>
        <v>0</v>
      </c>
      <c r="AI818" s="8">
        <f t="shared" si="77"/>
        <v>0</v>
      </c>
    </row>
    <row r="819" spans="23:35" ht="15" customHeight="1" x14ac:dyDescent="0.25">
      <c r="W819" s="4" t="str">
        <f>IF($C819="","",SUMPRODUCT(($C$2:C819=C819)+($D$2:D819=C819)))</f>
        <v/>
      </c>
      <c r="X819" s="4" t="str">
        <f>IF($D819="","",SUMPRODUCT(($C$2:C819=D819)+($D$2:D819=D819)))</f>
        <v/>
      </c>
      <c r="Y819" s="4" t="str">
        <f t="shared" si="72"/>
        <v/>
      </c>
      <c r="Z819" s="4" t="str">
        <f t="shared" si="73"/>
        <v/>
      </c>
      <c r="AA819" s="4" t="str">
        <f>IF($C819="","",IF(COUNTIF($C$1:C818,$C819)+COUNTIF($D$1:D818,$C819)=0,1,0))</f>
        <v/>
      </c>
      <c r="AB819" s="4" t="str">
        <f>IF($D819="","",IF(COUNTIF($C$1:C819,$D819)+COUNTIF($D$1:D818,$D819)=0,1,0))</f>
        <v/>
      </c>
      <c r="AC819" s="4" t="str">
        <f>IF(AA819=1,SUM($AA$2:AA819)-AA819+SUM($AB$2:AB819)-AB819+1,"")</f>
        <v/>
      </c>
      <c r="AD819" s="4" t="str">
        <f>IF(AB819=1,SUM($AA$2:AA819)+SUM($AB$2:AB819)-AB819+1,"")</f>
        <v/>
      </c>
      <c r="AE819" s="4" t="str">
        <f t="shared" si="74"/>
        <v/>
      </c>
      <c r="AF819" s="4" t="str">
        <f t="shared" si="75"/>
        <v/>
      </c>
      <c r="AG819" s="8">
        <f t="shared" si="76"/>
        <v>0</v>
      </c>
      <c r="AI819" s="8">
        <f t="shared" si="77"/>
        <v>0</v>
      </c>
    </row>
    <row r="820" spans="23:35" ht="15" customHeight="1" x14ac:dyDescent="0.25">
      <c r="W820" s="4" t="str">
        <f>IF($C820="","",SUMPRODUCT(($C$2:C820=C820)+($D$2:D820=C820)))</f>
        <v/>
      </c>
      <c r="X820" s="4" t="str">
        <f>IF($D820="","",SUMPRODUCT(($C$2:C820=D820)+($D$2:D820=D820)))</f>
        <v/>
      </c>
      <c r="Y820" s="4" t="str">
        <f t="shared" si="72"/>
        <v/>
      </c>
      <c r="Z820" s="4" t="str">
        <f t="shared" si="73"/>
        <v/>
      </c>
      <c r="AA820" s="4" t="str">
        <f>IF($C820="","",IF(COUNTIF($C$1:C819,$C820)+COUNTIF($D$1:D819,$C820)=0,1,0))</f>
        <v/>
      </c>
      <c r="AB820" s="4" t="str">
        <f>IF($D820="","",IF(COUNTIF($C$1:C820,$D820)+COUNTIF($D$1:D819,$D820)=0,1,0))</f>
        <v/>
      </c>
      <c r="AC820" s="4" t="str">
        <f>IF(AA820=1,SUM($AA$2:AA820)-AA820+SUM($AB$2:AB820)-AB820+1,"")</f>
        <v/>
      </c>
      <c r="AD820" s="4" t="str">
        <f>IF(AB820=1,SUM($AA$2:AA820)+SUM($AB$2:AB820)-AB820+1,"")</f>
        <v/>
      </c>
      <c r="AE820" s="4" t="str">
        <f t="shared" si="74"/>
        <v/>
      </c>
      <c r="AF820" s="4" t="str">
        <f t="shared" si="75"/>
        <v/>
      </c>
      <c r="AG820" s="8">
        <f t="shared" si="76"/>
        <v>0</v>
      </c>
      <c r="AI820" s="8">
        <f t="shared" si="77"/>
        <v>0</v>
      </c>
    </row>
    <row r="821" spans="23:35" ht="15" customHeight="1" x14ac:dyDescent="0.25">
      <c r="W821" s="4" t="str">
        <f>IF($C821="","",SUMPRODUCT(($C$2:C821=C821)+($D$2:D821=C821)))</f>
        <v/>
      </c>
      <c r="X821" s="4" t="str">
        <f>IF($D821="","",SUMPRODUCT(($C$2:C821=D821)+($D$2:D821=D821)))</f>
        <v/>
      </c>
      <c r="Y821" s="4" t="str">
        <f t="shared" si="72"/>
        <v/>
      </c>
      <c r="Z821" s="4" t="str">
        <f t="shared" si="73"/>
        <v/>
      </c>
      <c r="AA821" s="4" t="str">
        <f>IF($C821="","",IF(COUNTIF($C$1:C820,$C821)+COUNTIF($D$1:D820,$C821)=0,1,0))</f>
        <v/>
      </c>
      <c r="AB821" s="4" t="str">
        <f>IF($D821="","",IF(COUNTIF($C$1:C821,$D821)+COUNTIF($D$1:D820,$D821)=0,1,0))</f>
        <v/>
      </c>
      <c r="AC821" s="4" t="str">
        <f>IF(AA821=1,SUM($AA$2:AA821)-AA821+SUM($AB$2:AB821)-AB821+1,"")</f>
        <v/>
      </c>
      <c r="AD821" s="4" t="str">
        <f>IF(AB821=1,SUM($AA$2:AA821)+SUM($AB$2:AB821)-AB821+1,"")</f>
        <v/>
      </c>
      <c r="AE821" s="4" t="str">
        <f t="shared" si="74"/>
        <v/>
      </c>
      <c r="AF821" s="4" t="str">
        <f t="shared" si="75"/>
        <v/>
      </c>
      <c r="AG821" s="8">
        <f t="shared" si="76"/>
        <v>0</v>
      </c>
      <c r="AI821" s="8">
        <f t="shared" si="77"/>
        <v>0</v>
      </c>
    </row>
    <row r="822" spans="23:35" ht="15" customHeight="1" x14ac:dyDescent="0.25">
      <c r="W822" s="4" t="str">
        <f>IF($C822="","",SUMPRODUCT(($C$2:C822=C822)+($D$2:D822=C822)))</f>
        <v/>
      </c>
      <c r="X822" s="4" t="str">
        <f>IF($D822="","",SUMPRODUCT(($C$2:C822=D822)+($D$2:D822=D822)))</f>
        <v/>
      </c>
      <c r="Y822" s="4" t="str">
        <f t="shared" si="72"/>
        <v/>
      </c>
      <c r="Z822" s="4" t="str">
        <f t="shared" si="73"/>
        <v/>
      </c>
      <c r="AA822" s="4" t="str">
        <f>IF($C822="","",IF(COUNTIF($C$1:C821,$C822)+COUNTIF($D$1:D821,$C822)=0,1,0))</f>
        <v/>
      </c>
      <c r="AB822" s="4" t="str">
        <f>IF($D822="","",IF(COUNTIF($C$1:C822,$D822)+COUNTIF($D$1:D821,$D822)=0,1,0))</f>
        <v/>
      </c>
      <c r="AC822" s="4" t="str">
        <f>IF(AA822=1,SUM($AA$2:AA822)-AA822+SUM($AB$2:AB822)-AB822+1,"")</f>
        <v/>
      </c>
      <c r="AD822" s="4" t="str">
        <f>IF(AB822=1,SUM($AA$2:AA822)+SUM($AB$2:AB822)-AB822+1,"")</f>
        <v/>
      </c>
      <c r="AE822" s="4" t="str">
        <f t="shared" si="74"/>
        <v/>
      </c>
      <c r="AF822" s="4" t="str">
        <f t="shared" si="75"/>
        <v/>
      </c>
      <c r="AG822" s="8">
        <f t="shared" si="76"/>
        <v>0</v>
      </c>
      <c r="AI822" s="8">
        <f t="shared" si="77"/>
        <v>0</v>
      </c>
    </row>
    <row r="823" spans="23:35" ht="15" customHeight="1" x14ac:dyDescent="0.25">
      <c r="W823" s="4" t="str">
        <f>IF($C823="","",SUMPRODUCT(($C$2:C823=C823)+($D$2:D823=C823)))</f>
        <v/>
      </c>
      <c r="X823" s="4" t="str">
        <f>IF($D823="","",SUMPRODUCT(($C$2:C823=D823)+($D$2:D823=D823)))</f>
        <v/>
      </c>
      <c r="Y823" s="4" t="str">
        <f t="shared" si="72"/>
        <v/>
      </c>
      <c r="Z823" s="4" t="str">
        <f t="shared" si="73"/>
        <v/>
      </c>
      <c r="AA823" s="4" t="str">
        <f>IF($C823="","",IF(COUNTIF($C$1:C822,$C823)+COUNTIF($D$1:D822,$C823)=0,1,0))</f>
        <v/>
      </c>
      <c r="AB823" s="4" t="str">
        <f>IF($D823="","",IF(COUNTIF($C$1:C823,$D823)+COUNTIF($D$1:D822,$D823)=0,1,0))</f>
        <v/>
      </c>
      <c r="AC823" s="4" t="str">
        <f>IF(AA823=1,SUM($AA$2:AA823)-AA823+SUM($AB$2:AB823)-AB823+1,"")</f>
        <v/>
      </c>
      <c r="AD823" s="4" t="str">
        <f>IF(AB823=1,SUM($AA$2:AA823)+SUM($AB$2:AB823)-AB823+1,"")</f>
        <v/>
      </c>
      <c r="AE823" s="4" t="str">
        <f t="shared" si="74"/>
        <v/>
      </c>
      <c r="AF823" s="4" t="str">
        <f t="shared" si="75"/>
        <v/>
      </c>
      <c r="AG823" s="8">
        <f t="shared" si="76"/>
        <v>0</v>
      </c>
      <c r="AI823" s="8">
        <f t="shared" si="77"/>
        <v>0</v>
      </c>
    </row>
    <row r="824" spans="23:35" ht="15" customHeight="1" x14ac:dyDescent="0.25">
      <c r="W824" s="4" t="str">
        <f>IF($C824="","",SUMPRODUCT(($C$2:C824=C824)+($D$2:D824=C824)))</f>
        <v/>
      </c>
      <c r="X824" s="4" t="str">
        <f>IF($D824="","",SUMPRODUCT(($C$2:C824=D824)+($D$2:D824=D824)))</f>
        <v/>
      </c>
      <c r="Y824" s="4" t="str">
        <f t="shared" si="72"/>
        <v/>
      </c>
      <c r="Z824" s="4" t="str">
        <f t="shared" si="73"/>
        <v/>
      </c>
      <c r="AA824" s="4" t="str">
        <f>IF($C824="","",IF(COUNTIF($C$1:C823,$C824)+COUNTIF($D$1:D823,$C824)=0,1,0))</f>
        <v/>
      </c>
      <c r="AB824" s="4" t="str">
        <f>IF($D824="","",IF(COUNTIF($C$1:C824,$D824)+COUNTIF($D$1:D823,$D824)=0,1,0))</f>
        <v/>
      </c>
      <c r="AC824" s="4" t="str">
        <f>IF(AA824=1,SUM($AA$2:AA824)-AA824+SUM($AB$2:AB824)-AB824+1,"")</f>
        <v/>
      </c>
      <c r="AD824" s="4" t="str">
        <f>IF(AB824=1,SUM($AA$2:AA824)+SUM($AB$2:AB824)-AB824+1,"")</f>
        <v/>
      </c>
      <c r="AE824" s="4" t="str">
        <f t="shared" si="74"/>
        <v/>
      </c>
      <c r="AF824" s="4" t="str">
        <f t="shared" si="75"/>
        <v/>
      </c>
      <c r="AG824" s="8">
        <f t="shared" si="76"/>
        <v>0</v>
      </c>
      <c r="AI824" s="8">
        <f t="shared" si="77"/>
        <v>0</v>
      </c>
    </row>
    <row r="825" spans="23:35" ht="15" customHeight="1" x14ac:dyDescent="0.25">
      <c r="W825" s="4" t="str">
        <f>IF($C825="","",SUMPRODUCT(($C$2:C825=C825)+($D$2:D825=C825)))</f>
        <v/>
      </c>
      <c r="X825" s="4" t="str">
        <f>IF($D825="","",SUMPRODUCT(($C$2:C825=D825)+($D$2:D825=D825)))</f>
        <v/>
      </c>
      <c r="Y825" s="4" t="str">
        <f t="shared" si="72"/>
        <v/>
      </c>
      <c r="Z825" s="4" t="str">
        <f t="shared" si="73"/>
        <v/>
      </c>
      <c r="AA825" s="4" t="str">
        <f>IF($C825="","",IF(COUNTIF($C$1:C824,$C825)+COUNTIF($D$1:D824,$C825)=0,1,0))</f>
        <v/>
      </c>
      <c r="AB825" s="4" t="str">
        <f>IF($D825="","",IF(COUNTIF($C$1:C825,$D825)+COUNTIF($D$1:D824,$D825)=0,1,0))</f>
        <v/>
      </c>
      <c r="AC825" s="4" t="str">
        <f>IF(AA825=1,SUM($AA$2:AA825)-AA825+SUM($AB$2:AB825)-AB825+1,"")</f>
        <v/>
      </c>
      <c r="AD825" s="4" t="str">
        <f>IF(AB825=1,SUM($AA$2:AA825)+SUM($AB$2:AB825)-AB825+1,"")</f>
        <v/>
      </c>
      <c r="AE825" s="4" t="str">
        <f t="shared" si="74"/>
        <v/>
      </c>
      <c r="AF825" s="4" t="str">
        <f t="shared" si="75"/>
        <v/>
      </c>
      <c r="AG825" s="8">
        <f t="shared" si="76"/>
        <v>0</v>
      </c>
      <c r="AI825" s="8">
        <f t="shared" si="77"/>
        <v>0</v>
      </c>
    </row>
    <row r="826" spans="23:35" ht="15" customHeight="1" x14ac:dyDescent="0.25">
      <c r="W826" s="4" t="str">
        <f>IF($C826="","",SUMPRODUCT(($C$2:C826=C826)+($D$2:D826=C826)))</f>
        <v/>
      </c>
      <c r="X826" s="4" t="str">
        <f>IF($D826="","",SUMPRODUCT(($C$2:C826=D826)+($D$2:D826=D826)))</f>
        <v/>
      </c>
      <c r="Y826" s="4" t="str">
        <f t="shared" si="72"/>
        <v/>
      </c>
      <c r="Z826" s="4" t="str">
        <f t="shared" si="73"/>
        <v/>
      </c>
      <c r="AA826" s="4" t="str">
        <f>IF($C826="","",IF(COUNTIF($C$1:C825,$C826)+COUNTIF($D$1:D825,$C826)=0,1,0))</f>
        <v/>
      </c>
      <c r="AB826" s="4" t="str">
        <f>IF($D826="","",IF(COUNTIF($C$1:C826,$D826)+COUNTIF($D$1:D825,$D826)=0,1,0))</f>
        <v/>
      </c>
      <c r="AC826" s="4" t="str">
        <f>IF(AA826=1,SUM($AA$2:AA826)-AA826+SUM($AB$2:AB826)-AB826+1,"")</f>
        <v/>
      </c>
      <c r="AD826" s="4" t="str">
        <f>IF(AB826=1,SUM($AA$2:AA826)+SUM($AB$2:AB826)-AB826+1,"")</f>
        <v/>
      </c>
      <c r="AE826" s="4" t="str">
        <f t="shared" si="74"/>
        <v/>
      </c>
      <c r="AF826" s="4" t="str">
        <f t="shared" si="75"/>
        <v/>
      </c>
      <c r="AG826" s="8">
        <f t="shared" si="76"/>
        <v>0</v>
      </c>
      <c r="AI826" s="8">
        <f t="shared" si="77"/>
        <v>0</v>
      </c>
    </row>
    <row r="827" spans="23:35" ht="15" customHeight="1" x14ac:dyDescent="0.25">
      <c r="W827" s="4" t="str">
        <f>IF($C827="","",SUMPRODUCT(($C$2:C827=C827)+($D$2:D827=C827)))</f>
        <v/>
      </c>
      <c r="X827" s="4" t="str">
        <f>IF($D827="","",SUMPRODUCT(($C$2:C827=D827)+($D$2:D827=D827)))</f>
        <v/>
      </c>
      <c r="Y827" s="4" t="str">
        <f t="shared" si="72"/>
        <v/>
      </c>
      <c r="Z827" s="4" t="str">
        <f t="shared" si="73"/>
        <v/>
      </c>
      <c r="AA827" s="4" t="str">
        <f>IF($C827="","",IF(COUNTIF($C$1:C826,$C827)+COUNTIF($D$1:D826,$C827)=0,1,0))</f>
        <v/>
      </c>
      <c r="AB827" s="4" t="str">
        <f>IF($D827="","",IF(COUNTIF($C$1:C827,$D827)+COUNTIF($D$1:D826,$D827)=0,1,0))</f>
        <v/>
      </c>
      <c r="AC827" s="4" t="str">
        <f>IF(AA827=1,SUM($AA$2:AA827)-AA827+SUM($AB$2:AB827)-AB827+1,"")</f>
        <v/>
      </c>
      <c r="AD827" s="4" t="str">
        <f>IF(AB827=1,SUM($AA$2:AA827)+SUM($AB$2:AB827)-AB827+1,"")</f>
        <v/>
      </c>
      <c r="AE827" s="4" t="str">
        <f t="shared" si="74"/>
        <v/>
      </c>
      <c r="AF827" s="4" t="str">
        <f t="shared" si="75"/>
        <v/>
      </c>
      <c r="AG827" s="8">
        <f t="shared" si="76"/>
        <v>0</v>
      </c>
      <c r="AI827" s="8">
        <f t="shared" si="77"/>
        <v>0</v>
      </c>
    </row>
    <row r="828" spans="23:35" ht="15" customHeight="1" x14ac:dyDescent="0.25">
      <c r="W828" s="4" t="str">
        <f>IF($C828="","",SUMPRODUCT(($C$2:C828=C828)+($D$2:D828=C828)))</f>
        <v/>
      </c>
      <c r="X828" s="4" t="str">
        <f>IF($D828="","",SUMPRODUCT(($C$2:C828=D828)+($D$2:D828=D828)))</f>
        <v/>
      </c>
      <c r="Y828" s="4" t="str">
        <f t="shared" si="72"/>
        <v/>
      </c>
      <c r="Z828" s="4" t="str">
        <f t="shared" si="73"/>
        <v/>
      </c>
      <c r="AA828" s="4" t="str">
        <f>IF($C828="","",IF(COUNTIF($C$1:C827,$C828)+COUNTIF($D$1:D827,$C828)=0,1,0))</f>
        <v/>
      </c>
      <c r="AB828" s="4" t="str">
        <f>IF($D828="","",IF(COUNTIF($C$1:C828,$D828)+COUNTIF($D$1:D827,$D828)=0,1,0))</f>
        <v/>
      </c>
      <c r="AC828" s="4" t="str">
        <f>IF(AA828=1,SUM($AA$2:AA828)-AA828+SUM($AB$2:AB828)-AB828+1,"")</f>
        <v/>
      </c>
      <c r="AD828" s="4" t="str">
        <f>IF(AB828=1,SUM($AA$2:AA828)+SUM($AB$2:AB828)-AB828+1,"")</f>
        <v/>
      </c>
      <c r="AE828" s="4" t="str">
        <f t="shared" si="74"/>
        <v/>
      </c>
      <c r="AF828" s="4" t="str">
        <f t="shared" si="75"/>
        <v/>
      </c>
      <c r="AG828" s="8">
        <f t="shared" si="76"/>
        <v>0</v>
      </c>
      <c r="AI828" s="8">
        <f t="shared" si="77"/>
        <v>0</v>
      </c>
    </row>
    <row r="829" spans="23:35" ht="15" customHeight="1" x14ac:dyDescent="0.25">
      <c r="W829" s="4" t="str">
        <f>IF($C829="","",SUMPRODUCT(($C$2:C829=C829)+($D$2:D829=C829)))</f>
        <v/>
      </c>
      <c r="X829" s="4" t="str">
        <f>IF($D829="","",SUMPRODUCT(($C$2:C829=D829)+($D$2:D829=D829)))</f>
        <v/>
      </c>
      <c r="Y829" s="4" t="str">
        <f t="shared" si="72"/>
        <v/>
      </c>
      <c r="Z829" s="4" t="str">
        <f t="shared" si="73"/>
        <v/>
      </c>
      <c r="AA829" s="4" t="str">
        <f>IF($C829="","",IF(COUNTIF($C$1:C828,$C829)+COUNTIF($D$1:D828,$C829)=0,1,0))</f>
        <v/>
      </c>
      <c r="AB829" s="4" t="str">
        <f>IF($D829="","",IF(COUNTIF($C$1:C829,$D829)+COUNTIF($D$1:D828,$D829)=0,1,0))</f>
        <v/>
      </c>
      <c r="AC829" s="4" t="str">
        <f>IF(AA829=1,SUM($AA$2:AA829)-AA829+SUM($AB$2:AB829)-AB829+1,"")</f>
        <v/>
      </c>
      <c r="AD829" s="4" t="str">
        <f>IF(AB829=1,SUM($AA$2:AA829)+SUM($AB$2:AB829)-AB829+1,"")</f>
        <v/>
      </c>
      <c r="AE829" s="4" t="str">
        <f t="shared" si="74"/>
        <v/>
      </c>
      <c r="AF829" s="4" t="str">
        <f t="shared" si="75"/>
        <v/>
      </c>
      <c r="AG829" s="8">
        <f t="shared" si="76"/>
        <v>0</v>
      </c>
      <c r="AI829" s="8">
        <f t="shared" si="77"/>
        <v>0</v>
      </c>
    </row>
    <row r="830" spans="23:35" ht="15" customHeight="1" x14ac:dyDescent="0.25">
      <c r="W830" s="4" t="str">
        <f>IF($C830="","",SUMPRODUCT(($C$2:C830=C830)+($D$2:D830=C830)))</f>
        <v/>
      </c>
      <c r="X830" s="4" t="str">
        <f>IF($D830="","",SUMPRODUCT(($C$2:C830=D830)+($D$2:D830=D830)))</f>
        <v/>
      </c>
      <c r="Y830" s="4" t="str">
        <f t="shared" si="72"/>
        <v/>
      </c>
      <c r="Z830" s="4" t="str">
        <f t="shared" si="73"/>
        <v/>
      </c>
      <c r="AA830" s="4" t="str">
        <f>IF($C830="","",IF(COUNTIF($C$1:C829,$C830)+COUNTIF($D$1:D829,$C830)=0,1,0))</f>
        <v/>
      </c>
      <c r="AB830" s="4" t="str">
        <f>IF($D830="","",IF(COUNTIF($C$1:C830,$D830)+COUNTIF($D$1:D829,$D830)=0,1,0))</f>
        <v/>
      </c>
      <c r="AC830" s="4" t="str">
        <f>IF(AA830=1,SUM($AA$2:AA830)-AA830+SUM($AB$2:AB830)-AB830+1,"")</f>
        <v/>
      </c>
      <c r="AD830" s="4" t="str">
        <f>IF(AB830=1,SUM($AA$2:AA830)+SUM($AB$2:AB830)-AB830+1,"")</f>
        <v/>
      </c>
      <c r="AE830" s="4" t="str">
        <f t="shared" si="74"/>
        <v/>
      </c>
      <c r="AF830" s="4" t="str">
        <f t="shared" si="75"/>
        <v/>
      </c>
      <c r="AG830" s="8">
        <f t="shared" si="76"/>
        <v>0</v>
      </c>
      <c r="AI830" s="8">
        <f t="shared" si="77"/>
        <v>0</v>
      </c>
    </row>
    <row r="831" spans="23:35" ht="15" customHeight="1" x14ac:dyDescent="0.25">
      <c r="W831" s="4" t="str">
        <f>IF($C831="","",SUMPRODUCT(($C$2:C831=C831)+($D$2:D831=C831)))</f>
        <v/>
      </c>
      <c r="X831" s="4" t="str">
        <f>IF($D831="","",SUMPRODUCT(($C$2:C831=D831)+($D$2:D831=D831)))</f>
        <v/>
      </c>
      <c r="Y831" s="4" t="str">
        <f t="shared" si="72"/>
        <v/>
      </c>
      <c r="Z831" s="4" t="str">
        <f t="shared" si="73"/>
        <v/>
      </c>
      <c r="AA831" s="4" t="str">
        <f>IF($C831="","",IF(COUNTIF($C$1:C830,$C831)+COUNTIF($D$1:D830,$C831)=0,1,0))</f>
        <v/>
      </c>
      <c r="AB831" s="4" t="str">
        <f>IF($D831="","",IF(COUNTIF($C$1:C831,$D831)+COUNTIF($D$1:D830,$D831)=0,1,0))</f>
        <v/>
      </c>
      <c r="AC831" s="4" t="str">
        <f>IF(AA831=1,SUM($AA$2:AA831)-AA831+SUM($AB$2:AB831)-AB831+1,"")</f>
        <v/>
      </c>
      <c r="AD831" s="4" t="str">
        <f>IF(AB831=1,SUM($AA$2:AA831)+SUM($AB$2:AB831)-AB831+1,"")</f>
        <v/>
      </c>
      <c r="AE831" s="4" t="str">
        <f t="shared" si="74"/>
        <v/>
      </c>
      <c r="AF831" s="4" t="str">
        <f t="shared" si="75"/>
        <v/>
      </c>
      <c r="AG831" s="8">
        <f t="shared" si="76"/>
        <v>0</v>
      </c>
      <c r="AI831" s="8">
        <f t="shared" si="77"/>
        <v>0</v>
      </c>
    </row>
    <row r="832" spans="23:35" ht="15" customHeight="1" x14ac:dyDescent="0.25">
      <c r="W832" s="4" t="str">
        <f>IF($C832="","",SUMPRODUCT(($C$2:C832=C832)+($D$2:D832=C832)))</f>
        <v/>
      </c>
      <c r="X832" s="4" t="str">
        <f>IF($D832="","",SUMPRODUCT(($C$2:C832=D832)+($D$2:D832=D832)))</f>
        <v/>
      </c>
      <c r="Y832" s="4" t="str">
        <f t="shared" si="72"/>
        <v/>
      </c>
      <c r="Z832" s="4" t="str">
        <f t="shared" si="73"/>
        <v/>
      </c>
      <c r="AA832" s="4" t="str">
        <f>IF($C832="","",IF(COUNTIF($C$1:C831,$C832)+COUNTIF($D$1:D831,$C832)=0,1,0))</f>
        <v/>
      </c>
      <c r="AB832" s="4" t="str">
        <f>IF($D832="","",IF(COUNTIF($C$1:C832,$D832)+COUNTIF($D$1:D831,$D832)=0,1,0))</f>
        <v/>
      </c>
      <c r="AC832" s="4" t="str">
        <f>IF(AA832=1,SUM($AA$2:AA832)-AA832+SUM($AB$2:AB832)-AB832+1,"")</f>
        <v/>
      </c>
      <c r="AD832" s="4" t="str">
        <f>IF(AB832=1,SUM($AA$2:AA832)+SUM($AB$2:AB832)-AB832+1,"")</f>
        <v/>
      </c>
      <c r="AE832" s="4" t="str">
        <f t="shared" si="74"/>
        <v/>
      </c>
      <c r="AF832" s="4" t="str">
        <f t="shared" si="75"/>
        <v/>
      </c>
      <c r="AG832" s="8">
        <f t="shared" si="76"/>
        <v>0</v>
      </c>
      <c r="AI832" s="8">
        <f t="shared" si="77"/>
        <v>0</v>
      </c>
    </row>
    <row r="833" spans="23:35" ht="15" customHeight="1" x14ac:dyDescent="0.25">
      <c r="W833" s="4" t="str">
        <f>IF($C833="","",SUMPRODUCT(($C$2:C833=C833)+($D$2:D833=C833)))</f>
        <v/>
      </c>
      <c r="X833" s="4" t="str">
        <f>IF($D833="","",SUMPRODUCT(($C$2:C833=D833)+($D$2:D833=D833)))</f>
        <v/>
      </c>
      <c r="Y833" s="4" t="str">
        <f t="shared" si="72"/>
        <v/>
      </c>
      <c r="Z833" s="4" t="str">
        <f t="shared" si="73"/>
        <v/>
      </c>
      <c r="AA833" s="4" t="str">
        <f>IF($C833="","",IF(COUNTIF($C$1:C832,$C833)+COUNTIF($D$1:D832,$C833)=0,1,0))</f>
        <v/>
      </c>
      <c r="AB833" s="4" t="str">
        <f>IF($D833="","",IF(COUNTIF($C$1:C833,$D833)+COUNTIF($D$1:D832,$D833)=0,1,0))</f>
        <v/>
      </c>
      <c r="AC833" s="4" t="str">
        <f>IF(AA833=1,SUM($AA$2:AA833)-AA833+SUM($AB$2:AB833)-AB833+1,"")</f>
        <v/>
      </c>
      <c r="AD833" s="4" t="str">
        <f>IF(AB833=1,SUM($AA$2:AA833)+SUM($AB$2:AB833)-AB833+1,"")</f>
        <v/>
      </c>
      <c r="AE833" s="4" t="str">
        <f t="shared" si="74"/>
        <v/>
      </c>
      <c r="AF833" s="4" t="str">
        <f t="shared" si="75"/>
        <v/>
      </c>
      <c r="AG833" s="8">
        <f t="shared" si="76"/>
        <v>0</v>
      </c>
      <c r="AI833" s="8">
        <f t="shared" si="77"/>
        <v>0</v>
      </c>
    </row>
    <row r="834" spans="23:35" ht="15" customHeight="1" x14ac:dyDescent="0.25">
      <c r="W834" s="4" t="str">
        <f>IF($C834="","",SUMPRODUCT(($C$2:C834=C834)+($D$2:D834=C834)))</f>
        <v/>
      </c>
      <c r="X834" s="4" t="str">
        <f>IF($D834="","",SUMPRODUCT(($C$2:C834=D834)+($D$2:D834=D834)))</f>
        <v/>
      </c>
      <c r="Y834" s="4" t="str">
        <f t="shared" ref="Y834:Y897" si="78">IF($C834="","",C834&amp;"|"&amp;W834)</f>
        <v/>
      </c>
      <c r="Z834" s="4" t="str">
        <f t="shared" ref="Z834:Z897" si="79">IF($D834="","",D834&amp;"|"&amp;X834)</f>
        <v/>
      </c>
      <c r="AA834" s="4" t="str">
        <f>IF($C834="","",IF(COUNTIF($C$1:C833,$C834)+COUNTIF($D$1:D833,$C834)=0,1,0))</f>
        <v/>
      </c>
      <c r="AB834" s="4" t="str">
        <f>IF($D834="","",IF(COUNTIF($C$1:C834,$D834)+COUNTIF($D$1:D833,$D834)=0,1,0))</f>
        <v/>
      </c>
      <c r="AC834" s="4" t="str">
        <f>IF(AA834=1,SUM($AA$2:AA834)-AA834+SUM($AB$2:AB834)-AB834+1,"")</f>
        <v/>
      </c>
      <c r="AD834" s="4" t="str">
        <f>IF(AB834=1,SUM($AA$2:AA834)+SUM($AB$2:AB834)-AB834+1,"")</f>
        <v/>
      </c>
      <c r="AE834" s="4" t="str">
        <f t="shared" ref="AE834:AE897" si="80">IF(AC834="","","TEAM|"&amp;AC834)</f>
        <v/>
      </c>
      <c r="AF834" s="4" t="str">
        <f t="shared" ref="AF834:AF897" si="81">IF(AD834="","","TEAM|"&amp;AD834)</f>
        <v/>
      </c>
      <c r="AG834" s="8">
        <f t="shared" ref="AG834:AG897" si="82">IF(AH834="",0,LEN(AH834)-LEN(SUBSTITUTE(AH834,"/",""))+1)</f>
        <v>0</v>
      </c>
      <c r="AI834" s="8">
        <f t="shared" ref="AI834:AI897" si="83">IF(AJ834="",0,LEN(AJ834)-LEN(SUBSTITUTE(AJ834,"/",""))+1)</f>
        <v>0</v>
      </c>
    </row>
    <row r="835" spans="23:35" ht="15" customHeight="1" x14ac:dyDescent="0.25">
      <c r="W835" s="4" t="str">
        <f>IF($C835="","",SUMPRODUCT(($C$2:C835=C835)+($D$2:D835=C835)))</f>
        <v/>
      </c>
      <c r="X835" s="4" t="str">
        <f>IF($D835="","",SUMPRODUCT(($C$2:C835=D835)+($D$2:D835=D835)))</f>
        <v/>
      </c>
      <c r="Y835" s="4" t="str">
        <f t="shared" si="78"/>
        <v/>
      </c>
      <c r="Z835" s="4" t="str">
        <f t="shared" si="79"/>
        <v/>
      </c>
      <c r="AA835" s="4" t="str">
        <f>IF($C835="","",IF(COUNTIF($C$1:C834,$C835)+COUNTIF($D$1:D834,$C835)=0,1,0))</f>
        <v/>
      </c>
      <c r="AB835" s="4" t="str">
        <f>IF($D835="","",IF(COUNTIF($C$1:C835,$D835)+COUNTIF($D$1:D834,$D835)=0,1,0))</f>
        <v/>
      </c>
      <c r="AC835" s="4" t="str">
        <f>IF(AA835=1,SUM($AA$2:AA835)-AA835+SUM($AB$2:AB835)-AB835+1,"")</f>
        <v/>
      </c>
      <c r="AD835" s="4" t="str">
        <f>IF(AB835=1,SUM($AA$2:AA835)+SUM($AB$2:AB835)-AB835+1,"")</f>
        <v/>
      </c>
      <c r="AE835" s="4" t="str">
        <f t="shared" si="80"/>
        <v/>
      </c>
      <c r="AF835" s="4" t="str">
        <f t="shared" si="81"/>
        <v/>
      </c>
      <c r="AG835" s="8">
        <f t="shared" si="82"/>
        <v>0</v>
      </c>
      <c r="AI835" s="8">
        <f t="shared" si="83"/>
        <v>0</v>
      </c>
    </row>
    <row r="836" spans="23:35" ht="15" customHeight="1" x14ac:dyDescent="0.25">
      <c r="W836" s="4" t="str">
        <f>IF($C836="","",SUMPRODUCT(($C$2:C836=C836)+($D$2:D836=C836)))</f>
        <v/>
      </c>
      <c r="X836" s="4" t="str">
        <f>IF($D836="","",SUMPRODUCT(($C$2:C836=D836)+($D$2:D836=D836)))</f>
        <v/>
      </c>
      <c r="Y836" s="4" t="str">
        <f t="shared" si="78"/>
        <v/>
      </c>
      <c r="Z836" s="4" t="str">
        <f t="shared" si="79"/>
        <v/>
      </c>
      <c r="AA836" s="4" t="str">
        <f>IF($C836="","",IF(COUNTIF($C$1:C835,$C836)+COUNTIF($D$1:D835,$C836)=0,1,0))</f>
        <v/>
      </c>
      <c r="AB836" s="4" t="str">
        <f>IF($D836="","",IF(COUNTIF($C$1:C836,$D836)+COUNTIF($D$1:D835,$D836)=0,1,0))</f>
        <v/>
      </c>
      <c r="AC836" s="4" t="str">
        <f>IF(AA836=1,SUM($AA$2:AA836)-AA836+SUM($AB$2:AB836)-AB836+1,"")</f>
        <v/>
      </c>
      <c r="AD836" s="4" t="str">
        <f>IF(AB836=1,SUM($AA$2:AA836)+SUM($AB$2:AB836)-AB836+1,"")</f>
        <v/>
      </c>
      <c r="AE836" s="4" t="str">
        <f t="shared" si="80"/>
        <v/>
      </c>
      <c r="AF836" s="4" t="str">
        <f t="shared" si="81"/>
        <v/>
      </c>
      <c r="AG836" s="8">
        <f t="shared" si="82"/>
        <v>0</v>
      </c>
      <c r="AI836" s="8">
        <f t="shared" si="83"/>
        <v>0</v>
      </c>
    </row>
    <row r="837" spans="23:35" ht="15" customHeight="1" x14ac:dyDescent="0.25">
      <c r="W837" s="4" t="str">
        <f>IF($C837="","",SUMPRODUCT(($C$2:C837=C837)+($D$2:D837=C837)))</f>
        <v/>
      </c>
      <c r="X837" s="4" t="str">
        <f>IF($D837="","",SUMPRODUCT(($C$2:C837=D837)+($D$2:D837=D837)))</f>
        <v/>
      </c>
      <c r="Y837" s="4" t="str">
        <f t="shared" si="78"/>
        <v/>
      </c>
      <c r="Z837" s="4" t="str">
        <f t="shared" si="79"/>
        <v/>
      </c>
      <c r="AA837" s="4" t="str">
        <f>IF($C837="","",IF(COUNTIF($C$1:C836,$C837)+COUNTIF($D$1:D836,$C837)=0,1,0))</f>
        <v/>
      </c>
      <c r="AB837" s="4" t="str">
        <f>IF($D837="","",IF(COUNTIF($C$1:C837,$D837)+COUNTIF($D$1:D836,$D837)=0,1,0))</f>
        <v/>
      </c>
      <c r="AC837" s="4" t="str">
        <f>IF(AA837=1,SUM($AA$2:AA837)-AA837+SUM($AB$2:AB837)-AB837+1,"")</f>
        <v/>
      </c>
      <c r="AD837" s="4" t="str">
        <f>IF(AB837=1,SUM($AA$2:AA837)+SUM($AB$2:AB837)-AB837+1,"")</f>
        <v/>
      </c>
      <c r="AE837" s="4" t="str">
        <f t="shared" si="80"/>
        <v/>
      </c>
      <c r="AF837" s="4" t="str">
        <f t="shared" si="81"/>
        <v/>
      </c>
      <c r="AG837" s="8">
        <f t="shared" si="82"/>
        <v>0</v>
      </c>
      <c r="AI837" s="8">
        <f t="shared" si="83"/>
        <v>0</v>
      </c>
    </row>
    <row r="838" spans="23:35" ht="15" customHeight="1" x14ac:dyDescent="0.25">
      <c r="W838" s="4" t="str">
        <f>IF($C838="","",SUMPRODUCT(($C$2:C838=C838)+($D$2:D838=C838)))</f>
        <v/>
      </c>
      <c r="X838" s="4" t="str">
        <f>IF($D838="","",SUMPRODUCT(($C$2:C838=D838)+($D$2:D838=D838)))</f>
        <v/>
      </c>
      <c r="Y838" s="4" t="str">
        <f t="shared" si="78"/>
        <v/>
      </c>
      <c r="Z838" s="4" t="str">
        <f t="shared" si="79"/>
        <v/>
      </c>
      <c r="AA838" s="4" t="str">
        <f>IF($C838="","",IF(COUNTIF($C$1:C837,$C838)+COUNTIF($D$1:D837,$C838)=0,1,0))</f>
        <v/>
      </c>
      <c r="AB838" s="4" t="str">
        <f>IF($D838="","",IF(COUNTIF($C$1:C838,$D838)+COUNTIF($D$1:D837,$D838)=0,1,0))</f>
        <v/>
      </c>
      <c r="AC838" s="4" t="str">
        <f>IF(AA838=1,SUM($AA$2:AA838)-AA838+SUM($AB$2:AB838)-AB838+1,"")</f>
        <v/>
      </c>
      <c r="AD838" s="4" t="str">
        <f>IF(AB838=1,SUM($AA$2:AA838)+SUM($AB$2:AB838)-AB838+1,"")</f>
        <v/>
      </c>
      <c r="AE838" s="4" t="str">
        <f t="shared" si="80"/>
        <v/>
      </c>
      <c r="AF838" s="4" t="str">
        <f t="shared" si="81"/>
        <v/>
      </c>
      <c r="AG838" s="8">
        <f t="shared" si="82"/>
        <v>0</v>
      </c>
      <c r="AI838" s="8">
        <f t="shared" si="83"/>
        <v>0</v>
      </c>
    </row>
    <row r="839" spans="23:35" ht="15" customHeight="1" x14ac:dyDescent="0.25">
      <c r="W839" s="4" t="str">
        <f>IF($C839="","",SUMPRODUCT(($C$2:C839=C839)+($D$2:D839=C839)))</f>
        <v/>
      </c>
      <c r="X839" s="4" t="str">
        <f>IF($D839="","",SUMPRODUCT(($C$2:C839=D839)+($D$2:D839=D839)))</f>
        <v/>
      </c>
      <c r="Y839" s="4" t="str">
        <f t="shared" si="78"/>
        <v/>
      </c>
      <c r="Z839" s="4" t="str">
        <f t="shared" si="79"/>
        <v/>
      </c>
      <c r="AA839" s="4" t="str">
        <f>IF($C839="","",IF(COUNTIF($C$1:C838,$C839)+COUNTIF($D$1:D838,$C839)=0,1,0))</f>
        <v/>
      </c>
      <c r="AB839" s="4" t="str">
        <f>IF($D839="","",IF(COUNTIF($C$1:C839,$D839)+COUNTIF($D$1:D838,$D839)=0,1,0))</f>
        <v/>
      </c>
      <c r="AC839" s="4" t="str">
        <f>IF(AA839=1,SUM($AA$2:AA839)-AA839+SUM($AB$2:AB839)-AB839+1,"")</f>
        <v/>
      </c>
      <c r="AD839" s="4" t="str">
        <f>IF(AB839=1,SUM($AA$2:AA839)+SUM($AB$2:AB839)-AB839+1,"")</f>
        <v/>
      </c>
      <c r="AE839" s="4" t="str">
        <f t="shared" si="80"/>
        <v/>
      </c>
      <c r="AF839" s="4" t="str">
        <f t="shared" si="81"/>
        <v/>
      </c>
      <c r="AG839" s="8">
        <f t="shared" si="82"/>
        <v>0</v>
      </c>
      <c r="AI839" s="8">
        <f t="shared" si="83"/>
        <v>0</v>
      </c>
    </row>
    <row r="840" spans="23:35" ht="15" customHeight="1" x14ac:dyDescent="0.25">
      <c r="W840" s="4" t="str">
        <f>IF($C840="","",SUMPRODUCT(($C$2:C840=C840)+($D$2:D840=C840)))</f>
        <v/>
      </c>
      <c r="X840" s="4" t="str">
        <f>IF($D840="","",SUMPRODUCT(($C$2:C840=D840)+($D$2:D840=D840)))</f>
        <v/>
      </c>
      <c r="Y840" s="4" t="str">
        <f t="shared" si="78"/>
        <v/>
      </c>
      <c r="Z840" s="4" t="str">
        <f t="shared" si="79"/>
        <v/>
      </c>
      <c r="AA840" s="4" t="str">
        <f>IF($C840="","",IF(COUNTIF($C$1:C839,$C840)+COUNTIF($D$1:D839,$C840)=0,1,0))</f>
        <v/>
      </c>
      <c r="AB840" s="4" t="str">
        <f>IF($D840="","",IF(COUNTIF($C$1:C840,$D840)+COUNTIF($D$1:D839,$D840)=0,1,0))</f>
        <v/>
      </c>
      <c r="AC840" s="4" t="str">
        <f>IF(AA840=1,SUM($AA$2:AA840)-AA840+SUM($AB$2:AB840)-AB840+1,"")</f>
        <v/>
      </c>
      <c r="AD840" s="4" t="str">
        <f>IF(AB840=1,SUM($AA$2:AA840)+SUM($AB$2:AB840)-AB840+1,"")</f>
        <v/>
      </c>
      <c r="AE840" s="4" t="str">
        <f t="shared" si="80"/>
        <v/>
      </c>
      <c r="AF840" s="4" t="str">
        <f t="shared" si="81"/>
        <v/>
      </c>
      <c r="AG840" s="8">
        <f t="shared" si="82"/>
        <v>0</v>
      </c>
      <c r="AI840" s="8">
        <f t="shared" si="83"/>
        <v>0</v>
      </c>
    </row>
    <row r="841" spans="23:35" ht="15" customHeight="1" x14ac:dyDescent="0.25">
      <c r="W841" s="4" t="str">
        <f>IF($C841="","",SUMPRODUCT(($C$2:C841=C841)+($D$2:D841=C841)))</f>
        <v/>
      </c>
      <c r="X841" s="4" t="str">
        <f>IF($D841="","",SUMPRODUCT(($C$2:C841=D841)+($D$2:D841=D841)))</f>
        <v/>
      </c>
      <c r="Y841" s="4" t="str">
        <f t="shared" si="78"/>
        <v/>
      </c>
      <c r="Z841" s="4" t="str">
        <f t="shared" si="79"/>
        <v/>
      </c>
      <c r="AA841" s="4" t="str">
        <f>IF($C841="","",IF(COUNTIF($C$1:C840,$C841)+COUNTIF($D$1:D840,$C841)=0,1,0))</f>
        <v/>
      </c>
      <c r="AB841" s="4" t="str">
        <f>IF($D841="","",IF(COUNTIF($C$1:C841,$D841)+COUNTIF($D$1:D840,$D841)=0,1,0))</f>
        <v/>
      </c>
      <c r="AC841" s="4" t="str">
        <f>IF(AA841=1,SUM($AA$2:AA841)-AA841+SUM($AB$2:AB841)-AB841+1,"")</f>
        <v/>
      </c>
      <c r="AD841" s="4" t="str">
        <f>IF(AB841=1,SUM($AA$2:AA841)+SUM($AB$2:AB841)-AB841+1,"")</f>
        <v/>
      </c>
      <c r="AE841" s="4" t="str">
        <f t="shared" si="80"/>
        <v/>
      </c>
      <c r="AF841" s="4" t="str">
        <f t="shared" si="81"/>
        <v/>
      </c>
      <c r="AG841" s="8">
        <f t="shared" si="82"/>
        <v>0</v>
      </c>
      <c r="AI841" s="8">
        <f t="shared" si="83"/>
        <v>0</v>
      </c>
    </row>
    <row r="842" spans="23:35" ht="15" customHeight="1" x14ac:dyDescent="0.25">
      <c r="W842" s="4" t="str">
        <f>IF($C842="","",SUMPRODUCT(($C$2:C842=C842)+($D$2:D842=C842)))</f>
        <v/>
      </c>
      <c r="X842" s="4" t="str">
        <f>IF($D842="","",SUMPRODUCT(($C$2:C842=D842)+($D$2:D842=D842)))</f>
        <v/>
      </c>
      <c r="Y842" s="4" t="str">
        <f t="shared" si="78"/>
        <v/>
      </c>
      <c r="Z842" s="4" t="str">
        <f t="shared" si="79"/>
        <v/>
      </c>
      <c r="AA842" s="4" t="str">
        <f>IF($C842="","",IF(COUNTIF($C$1:C841,$C842)+COUNTIF($D$1:D841,$C842)=0,1,0))</f>
        <v/>
      </c>
      <c r="AB842" s="4" t="str">
        <f>IF($D842="","",IF(COUNTIF($C$1:C842,$D842)+COUNTIF($D$1:D841,$D842)=0,1,0))</f>
        <v/>
      </c>
      <c r="AC842" s="4" t="str">
        <f>IF(AA842=1,SUM($AA$2:AA842)-AA842+SUM($AB$2:AB842)-AB842+1,"")</f>
        <v/>
      </c>
      <c r="AD842" s="4" t="str">
        <f>IF(AB842=1,SUM($AA$2:AA842)+SUM($AB$2:AB842)-AB842+1,"")</f>
        <v/>
      </c>
      <c r="AE842" s="4" t="str">
        <f t="shared" si="80"/>
        <v/>
      </c>
      <c r="AF842" s="4" t="str">
        <f t="shared" si="81"/>
        <v/>
      </c>
      <c r="AG842" s="8">
        <f t="shared" si="82"/>
        <v>0</v>
      </c>
      <c r="AI842" s="8">
        <f t="shared" si="83"/>
        <v>0</v>
      </c>
    </row>
    <row r="843" spans="23:35" ht="15" customHeight="1" x14ac:dyDescent="0.25">
      <c r="W843" s="4" t="str">
        <f>IF($C843="","",SUMPRODUCT(($C$2:C843=C843)+($D$2:D843=C843)))</f>
        <v/>
      </c>
      <c r="X843" s="4" t="str">
        <f>IF($D843="","",SUMPRODUCT(($C$2:C843=D843)+($D$2:D843=D843)))</f>
        <v/>
      </c>
      <c r="Y843" s="4" t="str">
        <f t="shared" si="78"/>
        <v/>
      </c>
      <c r="Z843" s="4" t="str">
        <f t="shared" si="79"/>
        <v/>
      </c>
      <c r="AA843" s="4" t="str">
        <f>IF($C843="","",IF(COUNTIF($C$1:C842,$C843)+COUNTIF($D$1:D842,$C843)=0,1,0))</f>
        <v/>
      </c>
      <c r="AB843" s="4" t="str">
        <f>IF($D843="","",IF(COUNTIF($C$1:C843,$D843)+COUNTIF($D$1:D842,$D843)=0,1,0))</f>
        <v/>
      </c>
      <c r="AC843" s="4" t="str">
        <f>IF(AA843=1,SUM($AA$2:AA843)-AA843+SUM($AB$2:AB843)-AB843+1,"")</f>
        <v/>
      </c>
      <c r="AD843" s="4" t="str">
        <f>IF(AB843=1,SUM($AA$2:AA843)+SUM($AB$2:AB843)-AB843+1,"")</f>
        <v/>
      </c>
      <c r="AE843" s="4" t="str">
        <f t="shared" si="80"/>
        <v/>
      </c>
      <c r="AF843" s="4" t="str">
        <f t="shared" si="81"/>
        <v/>
      </c>
      <c r="AG843" s="8">
        <f t="shared" si="82"/>
        <v>0</v>
      </c>
      <c r="AI843" s="8">
        <f t="shared" si="83"/>
        <v>0</v>
      </c>
    </row>
    <row r="844" spans="23:35" ht="15" customHeight="1" x14ac:dyDescent="0.25">
      <c r="W844" s="4" t="str">
        <f>IF($C844="","",SUMPRODUCT(($C$2:C844=C844)+($D$2:D844=C844)))</f>
        <v/>
      </c>
      <c r="X844" s="4" t="str">
        <f>IF($D844="","",SUMPRODUCT(($C$2:C844=D844)+($D$2:D844=D844)))</f>
        <v/>
      </c>
      <c r="Y844" s="4" t="str">
        <f t="shared" si="78"/>
        <v/>
      </c>
      <c r="Z844" s="4" t="str">
        <f t="shared" si="79"/>
        <v/>
      </c>
      <c r="AA844" s="4" t="str">
        <f>IF($C844="","",IF(COUNTIF($C$1:C843,$C844)+COUNTIF($D$1:D843,$C844)=0,1,0))</f>
        <v/>
      </c>
      <c r="AB844" s="4" t="str">
        <f>IF($D844="","",IF(COUNTIF($C$1:C844,$D844)+COUNTIF($D$1:D843,$D844)=0,1,0))</f>
        <v/>
      </c>
      <c r="AC844" s="4" t="str">
        <f>IF(AA844=1,SUM($AA$2:AA844)-AA844+SUM($AB$2:AB844)-AB844+1,"")</f>
        <v/>
      </c>
      <c r="AD844" s="4" t="str">
        <f>IF(AB844=1,SUM($AA$2:AA844)+SUM($AB$2:AB844)-AB844+1,"")</f>
        <v/>
      </c>
      <c r="AE844" s="4" t="str">
        <f t="shared" si="80"/>
        <v/>
      </c>
      <c r="AF844" s="4" t="str">
        <f t="shared" si="81"/>
        <v/>
      </c>
      <c r="AG844" s="8">
        <f t="shared" si="82"/>
        <v>0</v>
      </c>
      <c r="AI844" s="8">
        <f t="shared" si="83"/>
        <v>0</v>
      </c>
    </row>
    <row r="845" spans="23:35" ht="15" customHeight="1" x14ac:dyDescent="0.25">
      <c r="W845" s="4" t="str">
        <f>IF($C845="","",SUMPRODUCT(($C$2:C845=C845)+($D$2:D845=C845)))</f>
        <v/>
      </c>
      <c r="X845" s="4" t="str">
        <f>IF($D845="","",SUMPRODUCT(($C$2:C845=D845)+($D$2:D845=D845)))</f>
        <v/>
      </c>
      <c r="Y845" s="4" t="str">
        <f t="shared" si="78"/>
        <v/>
      </c>
      <c r="Z845" s="4" t="str">
        <f t="shared" si="79"/>
        <v/>
      </c>
      <c r="AA845" s="4" t="str">
        <f>IF($C845="","",IF(COUNTIF($C$1:C844,$C845)+COUNTIF($D$1:D844,$C845)=0,1,0))</f>
        <v/>
      </c>
      <c r="AB845" s="4" t="str">
        <f>IF($D845="","",IF(COUNTIF($C$1:C845,$D845)+COUNTIF($D$1:D844,$D845)=0,1,0))</f>
        <v/>
      </c>
      <c r="AC845" s="4" t="str">
        <f>IF(AA845=1,SUM($AA$2:AA845)-AA845+SUM($AB$2:AB845)-AB845+1,"")</f>
        <v/>
      </c>
      <c r="AD845" s="4" t="str">
        <f>IF(AB845=1,SUM($AA$2:AA845)+SUM($AB$2:AB845)-AB845+1,"")</f>
        <v/>
      </c>
      <c r="AE845" s="4" t="str">
        <f t="shared" si="80"/>
        <v/>
      </c>
      <c r="AF845" s="4" t="str">
        <f t="shared" si="81"/>
        <v/>
      </c>
      <c r="AG845" s="8">
        <f t="shared" si="82"/>
        <v>0</v>
      </c>
      <c r="AI845" s="8">
        <f t="shared" si="83"/>
        <v>0</v>
      </c>
    </row>
    <row r="846" spans="23:35" ht="15" customHeight="1" x14ac:dyDescent="0.25">
      <c r="W846" s="4" t="str">
        <f>IF($C846="","",SUMPRODUCT(($C$2:C846=C846)+($D$2:D846=C846)))</f>
        <v/>
      </c>
      <c r="X846" s="4" t="str">
        <f>IF($D846="","",SUMPRODUCT(($C$2:C846=D846)+($D$2:D846=D846)))</f>
        <v/>
      </c>
      <c r="Y846" s="4" t="str">
        <f t="shared" si="78"/>
        <v/>
      </c>
      <c r="Z846" s="4" t="str">
        <f t="shared" si="79"/>
        <v/>
      </c>
      <c r="AA846" s="4" t="str">
        <f>IF($C846="","",IF(COUNTIF($C$1:C845,$C846)+COUNTIF($D$1:D845,$C846)=0,1,0))</f>
        <v/>
      </c>
      <c r="AB846" s="4" t="str">
        <f>IF($D846="","",IF(COUNTIF($C$1:C846,$D846)+COUNTIF($D$1:D845,$D846)=0,1,0))</f>
        <v/>
      </c>
      <c r="AC846" s="4" t="str">
        <f>IF(AA846=1,SUM($AA$2:AA846)-AA846+SUM($AB$2:AB846)-AB846+1,"")</f>
        <v/>
      </c>
      <c r="AD846" s="4" t="str">
        <f>IF(AB846=1,SUM($AA$2:AA846)+SUM($AB$2:AB846)-AB846+1,"")</f>
        <v/>
      </c>
      <c r="AE846" s="4" t="str">
        <f t="shared" si="80"/>
        <v/>
      </c>
      <c r="AF846" s="4" t="str">
        <f t="shared" si="81"/>
        <v/>
      </c>
      <c r="AG846" s="8">
        <f t="shared" si="82"/>
        <v>0</v>
      </c>
      <c r="AI846" s="8">
        <f t="shared" si="83"/>
        <v>0</v>
      </c>
    </row>
    <row r="847" spans="23:35" ht="15" customHeight="1" x14ac:dyDescent="0.25">
      <c r="W847" s="4" t="str">
        <f>IF($C847="","",SUMPRODUCT(($C$2:C847=C847)+($D$2:D847=C847)))</f>
        <v/>
      </c>
      <c r="X847" s="4" t="str">
        <f>IF($D847="","",SUMPRODUCT(($C$2:C847=D847)+($D$2:D847=D847)))</f>
        <v/>
      </c>
      <c r="Y847" s="4" t="str">
        <f t="shared" si="78"/>
        <v/>
      </c>
      <c r="Z847" s="4" t="str">
        <f t="shared" si="79"/>
        <v/>
      </c>
      <c r="AA847" s="4" t="str">
        <f>IF($C847="","",IF(COUNTIF($C$1:C846,$C847)+COUNTIF($D$1:D846,$C847)=0,1,0))</f>
        <v/>
      </c>
      <c r="AB847" s="4" t="str">
        <f>IF($D847="","",IF(COUNTIF($C$1:C847,$D847)+COUNTIF($D$1:D846,$D847)=0,1,0))</f>
        <v/>
      </c>
      <c r="AC847" s="4" t="str">
        <f>IF(AA847=1,SUM($AA$2:AA847)-AA847+SUM($AB$2:AB847)-AB847+1,"")</f>
        <v/>
      </c>
      <c r="AD847" s="4" t="str">
        <f>IF(AB847=1,SUM($AA$2:AA847)+SUM($AB$2:AB847)-AB847+1,"")</f>
        <v/>
      </c>
      <c r="AE847" s="4" t="str">
        <f t="shared" si="80"/>
        <v/>
      </c>
      <c r="AF847" s="4" t="str">
        <f t="shared" si="81"/>
        <v/>
      </c>
      <c r="AG847" s="8">
        <f t="shared" si="82"/>
        <v>0</v>
      </c>
      <c r="AI847" s="8">
        <f t="shared" si="83"/>
        <v>0</v>
      </c>
    </row>
    <row r="848" spans="23:35" ht="15" customHeight="1" x14ac:dyDescent="0.25">
      <c r="W848" s="4" t="str">
        <f>IF($C848="","",SUMPRODUCT(($C$2:C848=C848)+($D$2:D848=C848)))</f>
        <v/>
      </c>
      <c r="X848" s="4" t="str">
        <f>IF($D848="","",SUMPRODUCT(($C$2:C848=D848)+($D$2:D848=D848)))</f>
        <v/>
      </c>
      <c r="Y848" s="4" t="str">
        <f t="shared" si="78"/>
        <v/>
      </c>
      <c r="Z848" s="4" t="str">
        <f t="shared" si="79"/>
        <v/>
      </c>
      <c r="AA848" s="4" t="str">
        <f>IF($C848="","",IF(COUNTIF($C$1:C847,$C848)+COUNTIF($D$1:D847,$C848)=0,1,0))</f>
        <v/>
      </c>
      <c r="AB848" s="4" t="str">
        <f>IF($D848="","",IF(COUNTIF($C$1:C848,$D848)+COUNTIF($D$1:D847,$D848)=0,1,0))</f>
        <v/>
      </c>
      <c r="AC848" s="4" t="str">
        <f>IF(AA848=1,SUM($AA$2:AA848)-AA848+SUM($AB$2:AB848)-AB848+1,"")</f>
        <v/>
      </c>
      <c r="AD848" s="4" t="str">
        <f>IF(AB848=1,SUM($AA$2:AA848)+SUM($AB$2:AB848)-AB848+1,"")</f>
        <v/>
      </c>
      <c r="AE848" s="4" t="str">
        <f t="shared" si="80"/>
        <v/>
      </c>
      <c r="AF848" s="4" t="str">
        <f t="shared" si="81"/>
        <v/>
      </c>
      <c r="AG848" s="8">
        <f t="shared" si="82"/>
        <v>0</v>
      </c>
      <c r="AI848" s="8">
        <f t="shared" si="83"/>
        <v>0</v>
      </c>
    </row>
    <row r="849" spans="23:35" ht="15" customHeight="1" x14ac:dyDescent="0.25">
      <c r="W849" s="4" t="str">
        <f>IF($C849="","",SUMPRODUCT(($C$2:C849=C849)+($D$2:D849=C849)))</f>
        <v/>
      </c>
      <c r="X849" s="4" t="str">
        <f>IF($D849="","",SUMPRODUCT(($C$2:C849=D849)+($D$2:D849=D849)))</f>
        <v/>
      </c>
      <c r="Y849" s="4" t="str">
        <f t="shared" si="78"/>
        <v/>
      </c>
      <c r="Z849" s="4" t="str">
        <f t="shared" si="79"/>
        <v/>
      </c>
      <c r="AA849" s="4" t="str">
        <f>IF($C849="","",IF(COUNTIF($C$1:C848,$C849)+COUNTIF($D$1:D848,$C849)=0,1,0))</f>
        <v/>
      </c>
      <c r="AB849" s="4" t="str">
        <f>IF($D849="","",IF(COUNTIF($C$1:C849,$D849)+COUNTIF($D$1:D848,$D849)=0,1,0))</f>
        <v/>
      </c>
      <c r="AC849" s="4" t="str">
        <f>IF(AA849=1,SUM($AA$2:AA849)-AA849+SUM($AB$2:AB849)-AB849+1,"")</f>
        <v/>
      </c>
      <c r="AD849" s="4" t="str">
        <f>IF(AB849=1,SUM($AA$2:AA849)+SUM($AB$2:AB849)-AB849+1,"")</f>
        <v/>
      </c>
      <c r="AE849" s="4" t="str">
        <f t="shared" si="80"/>
        <v/>
      </c>
      <c r="AF849" s="4" t="str">
        <f t="shared" si="81"/>
        <v/>
      </c>
      <c r="AG849" s="8">
        <f t="shared" si="82"/>
        <v>0</v>
      </c>
      <c r="AI849" s="8">
        <f t="shared" si="83"/>
        <v>0</v>
      </c>
    </row>
    <row r="850" spans="23:35" ht="15" customHeight="1" x14ac:dyDescent="0.25">
      <c r="W850" s="4" t="str">
        <f>IF($C850="","",SUMPRODUCT(($C$2:C850=C850)+($D$2:D850=C850)))</f>
        <v/>
      </c>
      <c r="X850" s="4" t="str">
        <f>IF($D850="","",SUMPRODUCT(($C$2:C850=D850)+($D$2:D850=D850)))</f>
        <v/>
      </c>
      <c r="Y850" s="4" t="str">
        <f t="shared" si="78"/>
        <v/>
      </c>
      <c r="Z850" s="4" t="str">
        <f t="shared" si="79"/>
        <v/>
      </c>
      <c r="AA850" s="4" t="str">
        <f>IF($C850="","",IF(COUNTIF($C$1:C849,$C850)+COUNTIF($D$1:D849,$C850)=0,1,0))</f>
        <v/>
      </c>
      <c r="AB850" s="4" t="str">
        <f>IF($D850="","",IF(COUNTIF($C$1:C850,$D850)+COUNTIF($D$1:D849,$D850)=0,1,0))</f>
        <v/>
      </c>
      <c r="AC850" s="4" t="str">
        <f>IF(AA850=1,SUM($AA$2:AA850)-AA850+SUM($AB$2:AB850)-AB850+1,"")</f>
        <v/>
      </c>
      <c r="AD850" s="4" t="str">
        <f>IF(AB850=1,SUM($AA$2:AA850)+SUM($AB$2:AB850)-AB850+1,"")</f>
        <v/>
      </c>
      <c r="AE850" s="4" t="str">
        <f t="shared" si="80"/>
        <v/>
      </c>
      <c r="AF850" s="4" t="str">
        <f t="shared" si="81"/>
        <v/>
      </c>
      <c r="AG850" s="8">
        <f t="shared" si="82"/>
        <v>0</v>
      </c>
      <c r="AI850" s="8">
        <f t="shared" si="83"/>
        <v>0</v>
      </c>
    </row>
    <row r="851" spans="23:35" ht="15" customHeight="1" x14ac:dyDescent="0.25">
      <c r="W851" s="4" t="str">
        <f>IF($C851="","",SUMPRODUCT(($C$2:C851=C851)+($D$2:D851=C851)))</f>
        <v/>
      </c>
      <c r="X851" s="4" t="str">
        <f>IF($D851="","",SUMPRODUCT(($C$2:C851=D851)+($D$2:D851=D851)))</f>
        <v/>
      </c>
      <c r="Y851" s="4" t="str">
        <f t="shared" si="78"/>
        <v/>
      </c>
      <c r="Z851" s="4" t="str">
        <f t="shared" si="79"/>
        <v/>
      </c>
      <c r="AA851" s="4" t="str">
        <f>IF($C851="","",IF(COUNTIF($C$1:C850,$C851)+COUNTIF($D$1:D850,$C851)=0,1,0))</f>
        <v/>
      </c>
      <c r="AB851" s="4" t="str">
        <f>IF($D851="","",IF(COUNTIF($C$1:C851,$D851)+COUNTIF($D$1:D850,$D851)=0,1,0))</f>
        <v/>
      </c>
      <c r="AC851" s="4" t="str">
        <f>IF(AA851=1,SUM($AA$2:AA851)-AA851+SUM($AB$2:AB851)-AB851+1,"")</f>
        <v/>
      </c>
      <c r="AD851" s="4" t="str">
        <f>IF(AB851=1,SUM($AA$2:AA851)+SUM($AB$2:AB851)-AB851+1,"")</f>
        <v/>
      </c>
      <c r="AE851" s="4" t="str">
        <f t="shared" si="80"/>
        <v/>
      </c>
      <c r="AF851" s="4" t="str">
        <f t="shared" si="81"/>
        <v/>
      </c>
      <c r="AG851" s="8">
        <f t="shared" si="82"/>
        <v>0</v>
      </c>
      <c r="AI851" s="8">
        <f t="shared" si="83"/>
        <v>0</v>
      </c>
    </row>
    <row r="852" spans="23:35" ht="15" customHeight="1" x14ac:dyDescent="0.25">
      <c r="W852" s="4" t="str">
        <f>IF($C852="","",SUMPRODUCT(($C$2:C852=C852)+($D$2:D852=C852)))</f>
        <v/>
      </c>
      <c r="X852" s="4" t="str">
        <f>IF($D852="","",SUMPRODUCT(($C$2:C852=D852)+($D$2:D852=D852)))</f>
        <v/>
      </c>
      <c r="Y852" s="4" t="str">
        <f t="shared" si="78"/>
        <v/>
      </c>
      <c r="Z852" s="4" t="str">
        <f t="shared" si="79"/>
        <v/>
      </c>
      <c r="AA852" s="4" t="str">
        <f>IF($C852="","",IF(COUNTIF($C$1:C851,$C852)+COUNTIF($D$1:D851,$C852)=0,1,0))</f>
        <v/>
      </c>
      <c r="AB852" s="4" t="str">
        <f>IF($D852="","",IF(COUNTIF($C$1:C852,$D852)+COUNTIF($D$1:D851,$D852)=0,1,0))</f>
        <v/>
      </c>
      <c r="AC852" s="4" t="str">
        <f>IF(AA852=1,SUM($AA$2:AA852)-AA852+SUM($AB$2:AB852)-AB852+1,"")</f>
        <v/>
      </c>
      <c r="AD852" s="4" t="str">
        <f>IF(AB852=1,SUM($AA$2:AA852)+SUM($AB$2:AB852)-AB852+1,"")</f>
        <v/>
      </c>
      <c r="AE852" s="4" t="str">
        <f t="shared" si="80"/>
        <v/>
      </c>
      <c r="AF852" s="4" t="str">
        <f t="shared" si="81"/>
        <v/>
      </c>
      <c r="AG852" s="8">
        <f t="shared" si="82"/>
        <v>0</v>
      </c>
      <c r="AI852" s="8">
        <f t="shared" si="83"/>
        <v>0</v>
      </c>
    </row>
    <row r="853" spans="23:35" ht="15" customHeight="1" x14ac:dyDescent="0.25">
      <c r="W853" s="4" t="str">
        <f>IF($C853="","",SUMPRODUCT(($C$2:C853=C853)+($D$2:D853=C853)))</f>
        <v/>
      </c>
      <c r="X853" s="4" t="str">
        <f>IF($D853="","",SUMPRODUCT(($C$2:C853=D853)+($D$2:D853=D853)))</f>
        <v/>
      </c>
      <c r="Y853" s="4" t="str">
        <f t="shared" si="78"/>
        <v/>
      </c>
      <c r="Z853" s="4" t="str">
        <f t="shared" si="79"/>
        <v/>
      </c>
      <c r="AA853" s="4" t="str">
        <f>IF($C853="","",IF(COUNTIF($C$1:C852,$C853)+COUNTIF($D$1:D852,$C853)=0,1,0))</f>
        <v/>
      </c>
      <c r="AB853" s="4" t="str">
        <f>IF($D853="","",IF(COUNTIF($C$1:C853,$D853)+COUNTIF($D$1:D852,$D853)=0,1,0))</f>
        <v/>
      </c>
      <c r="AC853" s="4" t="str">
        <f>IF(AA853=1,SUM($AA$2:AA853)-AA853+SUM($AB$2:AB853)-AB853+1,"")</f>
        <v/>
      </c>
      <c r="AD853" s="4" t="str">
        <f>IF(AB853=1,SUM($AA$2:AA853)+SUM($AB$2:AB853)-AB853+1,"")</f>
        <v/>
      </c>
      <c r="AE853" s="4" t="str">
        <f t="shared" si="80"/>
        <v/>
      </c>
      <c r="AF853" s="4" t="str">
        <f t="shared" si="81"/>
        <v/>
      </c>
      <c r="AG853" s="8">
        <f t="shared" si="82"/>
        <v>0</v>
      </c>
      <c r="AI853" s="8">
        <f t="shared" si="83"/>
        <v>0</v>
      </c>
    </row>
    <row r="854" spans="23:35" ht="15" customHeight="1" x14ac:dyDescent="0.25">
      <c r="W854" s="4" t="str">
        <f>IF($C854="","",SUMPRODUCT(($C$2:C854=C854)+($D$2:D854=C854)))</f>
        <v/>
      </c>
      <c r="X854" s="4" t="str">
        <f>IF($D854="","",SUMPRODUCT(($C$2:C854=D854)+($D$2:D854=D854)))</f>
        <v/>
      </c>
      <c r="Y854" s="4" t="str">
        <f t="shared" si="78"/>
        <v/>
      </c>
      <c r="Z854" s="4" t="str">
        <f t="shared" si="79"/>
        <v/>
      </c>
      <c r="AA854" s="4" t="str">
        <f>IF($C854="","",IF(COUNTIF($C$1:C853,$C854)+COUNTIF($D$1:D853,$C854)=0,1,0))</f>
        <v/>
      </c>
      <c r="AB854" s="4" t="str">
        <f>IF($D854="","",IF(COUNTIF($C$1:C854,$D854)+COUNTIF($D$1:D853,$D854)=0,1,0))</f>
        <v/>
      </c>
      <c r="AC854" s="4" t="str">
        <f>IF(AA854=1,SUM($AA$2:AA854)-AA854+SUM($AB$2:AB854)-AB854+1,"")</f>
        <v/>
      </c>
      <c r="AD854" s="4" t="str">
        <f>IF(AB854=1,SUM($AA$2:AA854)+SUM($AB$2:AB854)-AB854+1,"")</f>
        <v/>
      </c>
      <c r="AE854" s="4" t="str">
        <f t="shared" si="80"/>
        <v/>
      </c>
      <c r="AF854" s="4" t="str">
        <f t="shared" si="81"/>
        <v/>
      </c>
      <c r="AG854" s="8">
        <f t="shared" si="82"/>
        <v>0</v>
      </c>
      <c r="AI854" s="8">
        <f t="shared" si="83"/>
        <v>0</v>
      </c>
    </row>
    <row r="855" spans="23:35" ht="15" customHeight="1" x14ac:dyDescent="0.25">
      <c r="W855" s="4" t="str">
        <f>IF($C855="","",SUMPRODUCT(($C$2:C855=C855)+($D$2:D855=C855)))</f>
        <v/>
      </c>
      <c r="X855" s="4" t="str">
        <f>IF($D855="","",SUMPRODUCT(($C$2:C855=D855)+($D$2:D855=D855)))</f>
        <v/>
      </c>
      <c r="Y855" s="4" t="str">
        <f t="shared" si="78"/>
        <v/>
      </c>
      <c r="Z855" s="4" t="str">
        <f t="shared" si="79"/>
        <v/>
      </c>
      <c r="AA855" s="4" t="str">
        <f>IF($C855="","",IF(COUNTIF($C$1:C854,$C855)+COUNTIF($D$1:D854,$C855)=0,1,0))</f>
        <v/>
      </c>
      <c r="AB855" s="4" t="str">
        <f>IF($D855="","",IF(COUNTIF($C$1:C855,$D855)+COUNTIF($D$1:D854,$D855)=0,1,0))</f>
        <v/>
      </c>
      <c r="AC855" s="4" t="str">
        <f>IF(AA855=1,SUM($AA$2:AA855)-AA855+SUM($AB$2:AB855)-AB855+1,"")</f>
        <v/>
      </c>
      <c r="AD855" s="4" t="str">
        <f>IF(AB855=1,SUM($AA$2:AA855)+SUM($AB$2:AB855)-AB855+1,"")</f>
        <v/>
      </c>
      <c r="AE855" s="4" t="str">
        <f t="shared" si="80"/>
        <v/>
      </c>
      <c r="AF855" s="4" t="str">
        <f t="shared" si="81"/>
        <v/>
      </c>
      <c r="AG855" s="8">
        <f t="shared" si="82"/>
        <v>0</v>
      </c>
      <c r="AI855" s="8">
        <f t="shared" si="83"/>
        <v>0</v>
      </c>
    </row>
    <row r="856" spans="23:35" ht="15" customHeight="1" x14ac:dyDescent="0.25">
      <c r="W856" s="4" t="str">
        <f>IF($C856="","",SUMPRODUCT(($C$2:C856=C856)+($D$2:D856=C856)))</f>
        <v/>
      </c>
      <c r="X856" s="4" t="str">
        <f>IF($D856="","",SUMPRODUCT(($C$2:C856=D856)+($D$2:D856=D856)))</f>
        <v/>
      </c>
      <c r="Y856" s="4" t="str">
        <f t="shared" si="78"/>
        <v/>
      </c>
      <c r="Z856" s="4" t="str">
        <f t="shared" si="79"/>
        <v/>
      </c>
      <c r="AA856" s="4" t="str">
        <f>IF($C856="","",IF(COUNTIF($C$1:C855,$C856)+COUNTIF($D$1:D855,$C856)=0,1,0))</f>
        <v/>
      </c>
      <c r="AB856" s="4" t="str">
        <f>IF($D856="","",IF(COUNTIF($C$1:C856,$D856)+COUNTIF($D$1:D855,$D856)=0,1,0))</f>
        <v/>
      </c>
      <c r="AC856" s="4" t="str">
        <f>IF(AA856=1,SUM($AA$2:AA856)-AA856+SUM($AB$2:AB856)-AB856+1,"")</f>
        <v/>
      </c>
      <c r="AD856" s="4" t="str">
        <f>IF(AB856=1,SUM($AA$2:AA856)+SUM($AB$2:AB856)-AB856+1,"")</f>
        <v/>
      </c>
      <c r="AE856" s="4" t="str">
        <f t="shared" si="80"/>
        <v/>
      </c>
      <c r="AF856" s="4" t="str">
        <f t="shared" si="81"/>
        <v/>
      </c>
      <c r="AG856" s="8">
        <f t="shared" si="82"/>
        <v>0</v>
      </c>
      <c r="AI856" s="8">
        <f t="shared" si="83"/>
        <v>0</v>
      </c>
    </row>
    <row r="857" spans="23:35" ht="15" customHeight="1" x14ac:dyDescent="0.25">
      <c r="W857" s="4" t="str">
        <f>IF($C857="","",SUMPRODUCT(($C$2:C857=C857)+($D$2:D857=C857)))</f>
        <v/>
      </c>
      <c r="X857" s="4" t="str">
        <f>IF($D857="","",SUMPRODUCT(($C$2:C857=D857)+($D$2:D857=D857)))</f>
        <v/>
      </c>
      <c r="Y857" s="4" t="str">
        <f t="shared" si="78"/>
        <v/>
      </c>
      <c r="Z857" s="4" t="str">
        <f t="shared" si="79"/>
        <v/>
      </c>
      <c r="AA857" s="4" t="str">
        <f>IF($C857="","",IF(COUNTIF($C$1:C856,$C857)+COUNTIF($D$1:D856,$C857)=0,1,0))</f>
        <v/>
      </c>
      <c r="AB857" s="4" t="str">
        <f>IF($D857="","",IF(COUNTIF($C$1:C857,$D857)+COUNTIF($D$1:D856,$D857)=0,1,0))</f>
        <v/>
      </c>
      <c r="AC857" s="4" t="str">
        <f>IF(AA857=1,SUM($AA$2:AA857)-AA857+SUM($AB$2:AB857)-AB857+1,"")</f>
        <v/>
      </c>
      <c r="AD857" s="4" t="str">
        <f>IF(AB857=1,SUM($AA$2:AA857)+SUM($AB$2:AB857)-AB857+1,"")</f>
        <v/>
      </c>
      <c r="AE857" s="4" t="str">
        <f t="shared" si="80"/>
        <v/>
      </c>
      <c r="AF857" s="4" t="str">
        <f t="shared" si="81"/>
        <v/>
      </c>
      <c r="AG857" s="8">
        <f t="shared" si="82"/>
        <v>0</v>
      </c>
      <c r="AI857" s="8">
        <f t="shared" si="83"/>
        <v>0</v>
      </c>
    </row>
    <row r="858" spans="23:35" ht="15" customHeight="1" x14ac:dyDescent="0.25">
      <c r="W858" s="4" t="str">
        <f>IF($C858="","",SUMPRODUCT(($C$2:C858=C858)+($D$2:D858=C858)))</f>
        <v/>
      </c>
      <c r="X858" s="4" t="str">
        <f>IF($D858="","",SUMPRODUCT(($C$2:C858=D858)+($D$2:D858=D858)))</f>
        <v/>
      </c>
      <c r="Y858" s="4" t="str">
        <f t="shared" si="78"/>
        <v/>
      </c>
      <c r="Z858" s="4" t="str">
        <f t="shared" si="79"/>
        <v/>
      </c>
      <c r="AA858" s="4" t="str">
        <f>IF($C858="","",IF(COUNTIF($C$1:C857,$C858)+COUNTIF($D$1:D857,$C858)=0,1,0))</f>
        <v/>
      </c>
      <c r="AB858" s="4" t="str">
        <f>IF($D858="","",IF(COUNTIF($C$1:C858,$D858)+COUNTIF($D$1:D857,$D858)=0,1,0))</f>
        <v/>
      </c>
      <c r="AC858" s="4" t="str">
        <f>IF(AA858=1,SUM($AA$2:AA858)-AA858+SUM($AB$2:AB858)-AB858+1,"")</f>
        <v/>
      </c>
      <c r="AD858" s="4" t="str">
        <f>IF(AB858=1,SUM($AA$2:AA858)+SUM($AB$2:AB858)-AB858+1,"")</f>
        <v/>
      </c>
      <c r="AE858" s="4" t="str">
        <f t="shared" si="80"/>
        <v/>
      </c>
      <c r="AF858" s="4" t="str">
        <f t="shared" si="81"/>
        <v/>
      </c>
      <c r="AG858" s="8">
        <f t="shared" si="82"/>
        <v>0</v>
      </c>
      <c r="AI858" s="8">
        <f t="shared" si="83"/>
        <v>0</v>
      </c>
    </row>
    <row r="859" spans="23:35" ht="15" customHeight="1" x14ac:dyDescent="0.25">
      <c r="W859" s="4" t="str">
        <f>IF($C859="","",SUMPRODUCT(($C$2:C859=C859)+($D$2:D859=C859)))</f>
        <v/>
      </c>
      <c r="X859" s="4" t="str">
        <f>IF($D859="","",SUMPRODUCT(($C$2:C859=D859)+($D$2:D859=D859)))</f>
        <v/>
      </c>
      <c r="Y859" s="4" t="str">
        <f t="shared" si="78"/>
        <v/>
      </c>
      <c r="Z859" s="4" t="str">
        <f t="shared" si="79"/>
        <v/>
      </c>
      <c r="AA859" s="4" t="str">
        <f>IF($C859="","",IF(COUNTIF($C$1:C858,$C859)+COUNTIF($D$1:D858,$C859)=0,1,0))</f>
        <v/>
      </c>
      <c r="AB859" s="4" t="str">
        <f>IF($D859="","",IF(COUNTIF($C$1:C859,$D859)+COUNTIF($D$1:D858,$D859)=0,1,0))</f>
        <v/>
      </c>
      <c r="AC859" s="4" t="str">
        <f>IF(AA859=1,SUM($AA$2:AA859)-AA859+SUM($AB$2:AB859)-AB859+1,"")</f>
        <v/>
      </c>
      <c r="AD859" s="4" t="str">
        <f>IF(AB859=1,SUM($AA$2:AA859)+SUM($AB$2:AB859)-AB859+1,"")</f>
        <v/>
      </c>
      <c r="AE859" s="4" t="str">
        <f t="shared" si="80"/>
        <v/>
      </c>
      <c r="AF859" s="4" t="str">
        <f t="shared" si="81"/>
        <v/>
      </c>
      <c r="AG859" s="8">
        <f t="shared" si="82"/>
        <v>0</v>
      </c>
      <c r="AI859" s="8">
        <f t="shared" si="83"/>
        <v>0</v>
      </c>
    </row>
    <row r="860" spans="23:35" ht="15" customHeight="1" x14ac:dyDescent="0.25">
      <c r="W860" s="4" t="str">
        <f>IF($C860="","",SUMPRODUCT(($C$2:C860=C860)+($D$2:D860=C860)))</f>
        <v/>
      </c>
      <c r="X860" s="4" t="str">
        <f>IF($D860="","",SUMPRODUCT(($C$2:C860=D860)+($D$2:D860=D860)))</f>
        <v/>
      </c>
      <c r="Y860" s="4" t="str">
        <f t="shared" si="78"/>
        <v/>
      </c>
      <c r="Z860" s="4" t="str">
        <f t="shared" si="79"/>
        <v/>
      </c>
      <c r="AA860" s="4" t="str">
        <f>IF($C860="","",IF(COUNTIF($C$1:C859,$C860)+COUNTIF($D$1:D859,$C860)=0,1,0))</f>
        <v/>
      </c>
      <c r="AB860" s="4" t="str">
        <f>IF($D860="","",IF(COUNTIF($C$1:C860,$D860)+COUNTIF($D$1:D859,$D860)=0,1,0))</f>
        <v/>
      </c>
      <c r="AC860" s="4" t="str">
        <f>IF(AA860=1,SUM($AA$2:AA860)-AA860+SUM($AB$2:AB860)-AB860+1,"")</f>
        <v/>
      </c>
      <c r="AD860" s="4" t="str">
        <f>IF(AB860=1,SUM($AA$2:AA860)+SUM($AB$2:AB860)-AB860+1,"")</f>
        <v/>
      </c>
      <c r="AE860" s="4" t="str">
        <f t="shared" si="80"/>
        <v/>
      </c>
      <c r="AF860" s="4" t="str">
        <f t="shared" si="81"/>
        <v/>
      </c>
      <c r="AG860" s="8">
        <f t="shared" si="82"/>
        <v>0</v>
      </c>
      <c r="AI860" s="8">
        <f t="shared" si="83"/>
        <v>0</v>
      </c>
    </row>
    <row r="861" spans="23:35" ht="15" customHeight="1" x14ac:dyDescent="0.25">
      <c r="W861" s="4" t="str">
        <f>IF($C861="","",SUMPRODUCT(($C$2:C861=C861)+($D$2:D861=C861)))</f>
        <v/>
      </c>
      <c r="X861" s="4" t="str">
        <f>IF($D861="","",SUMPRODUCT(($C$2:C861=D861)+($D$2:D861=D861)))</f>
        <v/>
      </c>
      <c r="Y861" s="4" t="str">
        <f t="shared" si="78"/>
        <v/>
      </c>
      <c r="Z861" s="4" t="str">
        <f t="shared" si="79"/>
        <v/>
      </c>
      <c r="AA861" s="4" t="str">
        <f>IF($C861="","",IF(COUNTIF($C$1:C860,$C861)+COUNTIF($D$1:D860,$C861)=0,1,0))</f>
        <v/>
      </c>
      <c r="AB861" s="4" t="str">
        <f>IF($D861="","",IF(COUNTIF($C$1:C861,$D861)+COUNTIF($D$1:D860,$D861)=0,1,0))</f>
        <v/>
      </c>
      <c r="AC861" s="4" t="str">
        <f>IF(AA861=1,SUM($AA$2:AA861)-AA861+SUM($AB$2:AB861)-AB861+1,"")</f>
        <v/>
      </c>
      <c r="AD861" s="4" t="str">
        <f>IF(AB861=1,SUM($AA$2:AA861)+SUM($AB$2:AB861)-AB861+1,"")</f>
        <v/>
      </c>
      <c r="AE861" s="4" t="str">
        <f t="shared" si="80"/>
        <v/>
      </c>
      <c r="AF861" s="4" t="str">
        <f t="shared" si="81"/>
        <v/>
      </c>
      <c r="AG861" s="8">
        <f t="shared" si="82"/>
        <v>0</v>
      </c>
      <c r="AI861" s="8">
        <f t="shared" si="83"/>
        <v>0</v>
      </c>
    </row>
    <row r="862" spans="23:35" ht="15" customHeight="1" x14ac:dyDescent="0.25">
      <c r="W862" s="4" t="str">
        <f>IF($C862="","",SUMPRODUCT(($C$2:C862=C862)+($D$2:D862=C862)))</f>
        <v/>
      </c>
      <c r="X862" s="4" t="str">
        <f>IF($D862="","",SUMPRODUCT(($C$2:C862=D862)+($D$2:D862=D862)))</f>
        <v/>
      </c>
      <c r="Y862" s="4" t="str">
        <f t="shared" si="78"/>
        <v/>
      </c>
      <c r="Z862" s="4" t="str">
        <f t="shared" si="79"/>
        <v/>
      </c>
      <c r="AA862" s="4" t="str">
        <f>IF($C862="","",IF(COUNTIF($C$1:C861,$C862)+COUNTIF($D$1:D861,$C862)=0,1,0))</f>
        <v/>
      </c>
      <c r="AB862" s="4" t="str">
        <f>IF($D862="","",IF(COUNTIF($C$1:C862,$D862)+COUNTIF($D$1:D861,$D862)=0,1,0))</f>
        <v/>
      </c>
      <c r="AC862" s="4" t="str">
        <f>IF(AA862=1,SUM($AA$2:AA862)-AA862+SUM($AB$2:AB862)-AB862+1,"")</f>
        <v/>
      </c>
      <c r="AD862" s="4" t="str">
        <f>IF(AB862=1,SUM($AA$2:AA862)+SUM($AB$2:AB862)-AB862+1,"")</f>
        <v/>
      </c>
      <c r="AE862" s="4" t="str">
        <f t="shared" si="80"/>
        <v/>
      </c>
      <c r="AF862" s="4" t="str">
        <f t="shared" si="81"/>
        <v/>
      </c>
      <c r="AG862" s="8">
        <f t="shared" si="82"/>
        <v>0</v>
      </c>
      <c r="AI862" s="8">
        <f t="shared" si="83"/>
        <v>0</v>
      </c>
    </row>
    <row r="863" spans="23:35" ht="15" customHeight="1" x14ac:dyDescent="0.25">
      <c r="W863" s="4" t="str">
        <f>IF($C863="","",SUMPRODUCT(($C$2:C863=C863)+($D$2:D863=C863)))</f>
        <v/>
      </c>
      <c r="X863" s="4" t="str">
        <f>IF($D863="","",SUMPRODUCT(($C$2:C863=D863)+($D$2:D863=D863)))</f>
        <v/>
      </c>
      <c r="Y863" s="4" t="str">
        <f t="shared" si="78"/>
        <v/>
      </c>
      <c r="Z863" s="4" t="str">
        <f t="shared" si="79"/>
        <v/>
      </c>
      <c r="AA863" s="4" t="str">
        <f>IF($C863="","",IF(COUNTIF($C$1:C862,$C863)+COUNTIF($D$1:D862,$C863)=0,1,0))</f>
        <v/>
      </c>
      <c r="AB863" s="4" t="str">
        <f>IF($D863="","",IF(COUNTIF($C$1:C863,$D863)+COUNTIF($D$1:D862,$D863)=0,1,0))</f>
        <v/>
      </c>
      <c r="AC863" s="4" t="str">
        <f>IF(AA863=1,SUM($AA$2:AA863)-AA863+SUM($AB$2:AB863)-AB863+1,"")</f>
        <v/>
      </c>
      <c r="AD863" s="4" t="str">
        <f>IF(AB863=1,SUM($AA$2:AA863)+SUM($AB$2:AB863)-AB863+1,"")</f>
        <v/>
      </c>
      <c r="AE863" s="4" t="str">
        <f t="shared" si="80"/>
        <v/>
      </c>
      <c r="AF863" s="4" t="str">
        <f t="shared" si="81"/>
        <v/>
      </c>
      <c r="AG863" s="8">
        <f t="shared" si="82"/>
        <v>0</v>
      </c>
      <c r="AI863" s="8">
        <f t="shared" si="83"/>
        <v>0</v>
      </c>
    </row>
    <row r="864" spans="23:35" ht="15" customHeight="1" x14ac:dyDescent="0.25">
      <c r="W864" s="4" t="str">
        <f>IF($C864="","",SUMPRODUCT(($C$2:C864=C864)+($D$2:D864=C864)))</f>
        <v/>
      </c>
      <c r="X864" s="4" t="str">
        <f>IF($D864="","",SUMPRODUCT(($C$2:C864=D864)+($D$2:D864=D864)))</f>
        <v/>
      </c>
      <c r="Y864" s="4" t="str">
        <f t="shared" si="78"/>
        <v/>
      </c>
      <c r="Z864" s="4" t="str">
        <f t="shared" si="79"/>
        <v/>
      </c>
      <c r="AA864" s="4" t="str">
        <f>IF($C864="","",IF(COUNTIF($C$1:C863,$C864)+COUNTIF($D$1:D863,$C864)=0,1,0))</f>
        <v/>
      </c>
      <c r="AB864" s="4" t="str">
        <f>IF($D864="","",IF(COUNTIF($C$1:C864,$D864)+COUNTIF($D$1:D863,$D864)=0,1,0))</f>
        <v/>
      </c>
      <c r="AC864" s="4" t="str">
        <f>IF(AA864=1,SUM($AA$2:AA864)-AA864+SUM($AB$2:AB864)-AB864+1,"")</f>
        <v/>
      </c>
      <c r="AD864" s="4" t="str">
        <f>IF(AB864=1,SUM($AA$2:AA864)+SUM($AB$2:AB864)-AB864+1,"")</f>
        <v/>
      </c>
      <c r="AE864" s="4" t="str">
        <f t="shared" si="80"/>
        <v/>
      </c>
      <c r="AF864" s="4" t="str">
        <f t="shared" si="81"/>
        <v/>
      </c>
      <c r="AG864" s="8">
        <f t="shared" si="82"/>
        <v>0</v>
      </c>
      <c r="AI864" s="8">
        <f t="shared" si="83"/>
        <v>0</v>
      </c>
    </row>
    <row r="865" spans="23:35" ht="15" customHeight="1" x14ac:dyDescent="0.25">
      <c r="W865" s="4" t="str">
        <f>IF($C865="","",SUMPRODUCT(($C$2:C865=C865)+($D$2:D865=C865)))</f>
        <v/>
      </c>
      <c r="X865" s="4" t="str">
        <f>IF($D865="","",SUMPRODUCT(($C$2:C865=D865)+($D$2:D865=D865)))</f>
        <v/>
      </c>
      <c r="Y865" s="4" t="str">
        <f t="shared" si="78"/>
        <v/>
      </c>
      <c r="Z865" s="4" t="str">
        <f t="shared" si="79"/>
        <v/>
      </c>
      <c r="AA865" s="4" t="str">
        <f>IF($C865="","",IF(COUNTIF($C$1:C864,$C865)+COUNTIF($D$1:D864,$C865)=0,1,0))</f>
        <v/>
      </c>
      <c r="AB865" s="4" t="str">
        <f>IF($D865="","",IF(COUNTIF($C$1:C865,$D865)+COUNTIF($D$1:D864,$D865)=0,1,0))</f>
        <v/>
      </c>
      <c r="AC865" s="4" t="str">
        <f>IF(AA865=1,SUM($AA$2:AA865)-AA865+SUM($AB$2:AB865)-AB865+1,"")</f>
        <v/>
      </c>
      <c r="AD865" s="4" t="str">
        <f>IF(AB865=1,SUM($AA$2:AA865)+SUM($AB$2:AB865)-AB865+1,"")</f>
        <v/>
      </c>
      <c r="AE865" s="4" t="str">
        <f t="shared" si="80"/>
        <v/>
      </c>
      <c r="AF865" s="4" t="str">
        <f t="shared" si="81"/>
        <v/>
      </c>
      <c r="AG865" s="8">
        <f t="shared" si="82"/>
        <v>0</v>
      </c>
      <c r="AI865" s="8">
        <f t="shared" si="83"/>
        <v>0</v>
      </c>
    </row>
    <row r="866" spans="23:35" ht="15" customHeight="1" x14ac:dyDescent="0.25">
      <c r="W866" s="4" t="str">
        <f>IF($C866="","",SUMPRODUCT(($C$2:C866=C866)+($D$2:D866=C866)))</f>
        <v/>
      </c>
      <c r="X866" s="4" t="str">
        <f>IF($D866="","",SUMPRODUCT(($C$2:C866=D866)+($D$2:D866=D866)))</f>
        <v/>
      </c>
      <c r="Y866" s="4" t="str">
        <f t="shared" si="78"/>
        <v/>
      </c>
      <c r="Z866" s="4" t="str">
        <f t="shared" si="79"/>
        <v/>
      </c>
      <c r="AA866" s="4" t="str">
        <f>IF($C866="","",IF(COUNTIF($C$1:C865,$C866)+COUNTIF($D$1:D865,$C866)=0,1,0))</f>
        <v/>
      </c>
      <c r="AB866" s="4" t="str">
        <f>IF($D866="","",IF(COUNTIF($C$1:C866,$D866)+COUNTIF($D$1:D865,$D866)=0,1,0))</f>
        <v/>
      </c>
      <c r="AC866" s="4" t="str">
        <f>IF(AA866=1,SUM($AA$2:AA866)-AA866+SUM($AB$2:AB866)-AB866+1,"")</f>
        <v/>
      </c>
      <c r="AD866" s="4" t="str">
        <f>IF(AB866=1,SUM($AA$2:AA866)+SUM($AB$2:AB866)-AB866+1,"")</f>
        <v/>
      </c>
      <c r="AE866" s="4" t="str">
        <f t="shared" si="80"/>
        <v/>
      </c>
      <c r="AF866" s="4" t="str">
        <f t="shared" si="81"/>
        <v/>
      </c>
      <c r="AG866" s="8">
        <f t="shared" si="82"/>
        <v>0</v>
      </c>
      <c r="AI866" s="8">
        <f t="shared" si="83"/>
        <v>0</v>
      </c>
    </row>
    <row r="867" spans="23:35" ht="15" customHeight="1" x14ac:dyDescent="0.25">
      <c r="W867" s="4" t="str">
        <f>IF($C867="","",SUMPRODUCT(($C$2:C867=C867)+($D$2:D867=C867)))</f>
        <v/>
      </c>
      <c r="X867" s="4" t="str">
        <f>IF($D867="","",SUMPRODUCT(($C$2:C867=D867)+($D$2:D867=D867)))</f>
        <v/>
      </c>
      <c r="Y867" s="4" t="str">
        <f t="shared" si="78"/>
        <v/>
      </c>
      <c r="Z867" s="4" t="str">
        <f t="shared" si="79"/>
        <v/>
      </c>
      <c r="AA867" s="4" t="str">
        <f>IF($C867="","",IF(COUNTIF($C$1:C866,$C867)+COUNTIF($D$1:D866,$C867)=0,1,0))</f>
        <v/>
      </c>
      <c r="AB867" s="4" t="str">
        <f>IF($D867="","",IF(COUNTIF($C$1:C867,$D867)+COUNTIF($D$1:D866,$D867)=0,1,0))</f>
        <v/>
      </c>
      <c r="AC867" s="4" t="str">
        <f>IF(AA867=1,SUM($AA$2:AA867)-AA867+SUM($AB$2:AB867)-AB867+1,"")</f>
        <v/>
      </c>
      <c r="AD867" s="4" t="str">
        <f>IF(AB867=1,SUM($AA$2:AA867)+SUM($AB$2:AB867)-AB867+1,"")</f>
        <v/>
      </c>
      <c r="AE867" s="4" t="str">
        <f t="shared" si="80"/>
        <v/>
      </c>
      <c r="AF867" s="4" t="str">
        <f t="shared" si="81"/>
        <v/>
      </c>
      <c r="AG867" s="8">
        <f t="shared" si="82"/>
        <v>0</v>
      </c>
      <c r="AI867" s="8">
        <f t="shared" si="83"/>
        <v>0</v>
      </c>
    </row>
    <row r="868" spans="23:35" ht="15" customHeight="1" x14ac:dyDescent="0.25">
      <c r="W868" s="4" t="str">
        <f>IF($C868="","",SUMPRODUCT(($C$2:C868=C868)+($D$2:D868=C868)))</f>
        <v/>
      </c>
      <c r="X868" s="4" t="str">
        <f>IF($D868="","",SUMPRODUCT(($C$2:C868=D868)+($D$2:D868=D868)))</f>
        <v/>
      </c>
      <c r="Y868" s="4" t="str">
        <f t="shared" si="78"/>
        <v/>
      </c>
      <c r="Z868" s="4" t="str">
        <f t="shared" si="79"/>
        <v/>
      </c>
      <c r="AA868" s="4" t="str">
        <f>IF($C868="","",IF(COUNTIF($C$1:C867,$C868)+COUNTIF($D$1:D867,$C868)=0,1,0))</f>
        <v/>
      </c>
      <c r="AB868" s="4" t="str">
        <f>IF($D868="","",IF(COUNTIF($C$1:C868,$D868)+COUNTIF($D$1:D867,$D868)=0,1,0))</f>
        <v/>
      </c>
      <c r="AC868" s="4" t="str">
        <f>IF(AA868=1,SUM($AA$2:AA868)-AA868+SUM($AB$2:AB868)-AB868+1,"")</f>
        <v/>
      </c>
      <c r="AD868" s="4" t="str">
        <f>IF(AB868=1,SUM($AA$2:AA868)+SUM($AB$2:AB868)-AB868+1,"")</f>
        <v/>
      </c>
      <c r="AE868" s="4" t="str">
        <f t="shared" si="80"/>
        <v/>
      </c>
      <c r="AF868" s="4" t="str">
        <f t="shared" si="81"/>
        <v/>
      </c>
      <c r="AG868" s="8">
        <f t="shared" si="82"/>
        <v>0</v>
      </c>
      <c r="AI868" s="8">
        <f t="shared" si="83"/>
        <v>0</v>
      </c>
    </row>
    <row r="869" spans="23:35" ht="15" customHeight="1" x14ac:dyDescent="0.25">
      <c r="W869" s="4" t="str">
        <f>IF($C869="","",SUMPRODUCT(($C$2:C869=C869)+($D$2:D869=C869)))</f>
        <v/>
      </c>
      <c r="X869" s="4" t="str">
        <f>IF($D869="","",SUMPRODUCT(($C$2:C869=D869)+($D$2:D869=D869)))</f>
        <v/>
      </c>
      <c r="Y869" s="4" t="str">
        <f t="shared" si="78"/>
        <v/>
      </c>
      <c r="Z869" s="4" t="str">
        <f t="shared" si="79"/>
        <v/>
      </c>
      <c r="AA869" s="4" t="str">
        <f>IF($C869="","",IF(COUNTIF($C$1:C868,$C869)+COUNTIF($D$1:D868,$C869)=0,1,0))</f>
        <v/>
      </c>
      <c r="AB869" s="4" t="str">
        <f>IF($D869="","",IF(COUNTIF($C$1:C869,$D869)+COUNTIF($D$1:D868,$D869)=0,1,0))</f>
        <v/>
      </c>
      <c r="AC869" s="4" t="str">
        <f>IF(AA869=1,SUM($AA$2:AA869)-AA869+SUM($AB$2:AB869)-AB869+1,"")</f>
        <v/>
      </c>
      <c r="AD869" s="4" t="str">
        <f>IF(AB869=1,SUM($AA$2:AA869)+SUM($AB$2:AB869)-AB869+1,"")</f>
        <v/>
      </c>
      <c r="AE869" s="4" t="str">
        <f t="shared" si="80"/>
        <v/>
      </c>
      <c r="AF869" s="4" t="str">
        <f t="shared" si="81"/>
        <v/>
      </c>
      <c r="AG869" s="8">
        <f t="shared" si="82"/>
        <v>0</v>
      </c>
      <c r="AI869" s="8">
        <f t="shared" si="83"/>
        <v>0</v>
      </c>
    </row>
    <row r="870" spans="23:35" ht="15" customHeight="1" x14ac:dyDescent="0.25">
      <c r="W870" s="4" t="str">
        <f>IF($C870="","",SUMPRODUCT(($C$2:C870=C870)+($D$2:D870=C870)))</f>
        <v/>
      </c>
      <c r="X870" s="4" t="str">
        <f>IF($D870="","",SUMPRODUCT(($C$2:C870=D870)+($D$2:D870=D870)))</f>
        <v/>
      </c>
      <c r="Y870" s="4" t="str">
        <f t="shared" si="78"/>
        <v/>
      </c>
      <c r="Z870" s="4" t="str">
        <f t="shared" si="79"/>
        <v/>
      </c>
      <c r="AA870" s="4" t="str">
        <f>IF($C870="","",IF(COUNTIF($C$1:C869,$C870)+COUNTIF($D$1:D869,$C870)=0,1,0))</f>
        <v/>
      </c>
      <c r="AB870" s="4" t="str">
        <f>IF($D870="","",IF(COUNTIF($C$1:C870,$D870)+COUNTIF($D$1:D869,$D870)=0,1,0))</f>
        <v/>
      </c>
      <c r="AC870" s="4" t="str">
        <f>IF(AA870=1,SUM($AA$2:AA870)-AA870+SUM($AB$2:AB870)-AB870+1,"")</f>
        <v/>
      </c>
      <c r="AD870" s="4" t="str">
        <f>IF(AB870=1,SUM($AA$2:AA870)+SUM($AB$2:AB870)-AB870+1,"")</f>
        <v/>
      </c>
      <c r="AE870" s="4" t="str">
        <f t="shared" si="80"/>
        <v/>
      </c>
      <c r="AF870" s="4" t="str">
        <f t="shared" si="81"/>
        <v/>
      </c>
      <c r="AG870" s="8">
        <f t="shared" si="82"/>
        <v>0</v>
      </c>
      <c r="AI870" s="8">
        <f t="shared" si="83"/>
        <v>0</v>
      </c>
    </row>
    <row r="871" spans="23:35" ht="15" customHeight="1" x14ac:dyDescent="0.25">
      <c r="W871" s="4" t="str">
        <f>IF($C871="","",SUMPRODUCT(($C$2:C871=C871)+($D$2:D871=C871)))</f>
        <v/>
      </c>
      <c r="X871" s="4" t="str">
        <f>IF($D871="","",SUMPRODUCT(($C$2:C871=D871)+($D$2:D871=D871)))</f>
        <v/>
      </c>
      <c r="Y871" s="4" t="str">
        <f t="shared" si="78"/>
        <v/>
      </c>
      <c r="Z871" s="4" t="str">
        <f t="shared" si="79"/>
        <v/>
      </c>
      <c r="AA871" s="4" t="str">
        <f>IF($C871="","",IF(COUNTIF($C$1:C870,$C871)+COUNTIF($D$1:D870,$C871)=0,1,0))</f>
        <v/>
      </c>
      <c r="AB871" s="4" t="str">
        <f>IF($D871="","",IF(COUNTIF($C$1:C871,$D871)+COUNTIF($D$1:D870,$D871)=0,1,0))</f>
        <v/>
      </c>
      <c r="AC871" s="4" t="str">
        <f>IF(AA871=1,SUM($AA$2:AA871)-AA871+SUM($AB$2:AB871)-AB871+1,"")</f>
        <v/>
      </c>
      <c r="AD871" s="4" t="str">
        <f>IF(AB871=1,SUM($AA$2:AA871)+SUM($AB$2:AB871)-AB871+1,"")</f>
        <v/>
      </c>
      <c r="AE871" s="4" t="str">
        <f t="shared" si="80"/>
        <v/>
      </c>
      <c r="AF871" s="4" t="str">
        <f t="shared" si="81"/>
        <v/>
      </c>
      <c r="AG871" s="8">
        <f t="shared" si="82"/>
        <v>0</v>
      </c>
      <c r="AI871" s="8">
        <f t="shared" si="83"/>
        <v>0</v>
      </c>
    </row>
    <row r="872" spans="23:35" ht="15" customHeight="1" x14ac:dyDescent="0.25">
      <c r="W872" s="4" t="str">
        <f>IF($C872="","",SUMPRODUCT(($C$2:C872=C872)+($D$2:D872=C872)))</f>
        <v/>
      </c>
      <c r="X872" s="4" t="str">
        <f>IF($D872="","",SUMPRODUCT(($C$2:C872=D872)+($D$2:D872=D872)))</f>
        <v/>
      </c>
      <c r="Y872" s="4" t="str">
        <f t="shared" si="78"/>
        <v/>
      </c>
      <c r="Z872" s="4" t="str">
        <f t="shared" si="79"/>
        <v/>
      </c>
      <c r="AA872" s="4" t="str">
        <f>IF($C872="","",IF(COUNTIF($C$1:C871,$C872)+COUNTIF($D$1:D871,$C872)=0,1,0))</f>
        <v/>
      </c>
      <c r="AB872" s="4" t="str">
        <f>IF($D872="","",IF(COUNTIF($C$1:C872,$D872)+COUNTIF($D$1:D871,$D872)=0,1,0))</f>
        <v/>
      </c>
      <c r="AC872" s="4" t="str">
        <f>IF(AA872=1,SUM($AA$2:AA872)-AA872+SUM($AB$2:AB872)-AB872+1,"")</f>
        <v/>
      </c>
      <c r="AD872" s="4" t="str">
        <f>IF(AB872=1,SUM($AA$2:AA872)+SUM($AB$2:AB872)-AB872+1,"")</f>
        <v/>
      </c>
      <c r="AE872" s="4" t="str">
        <f t="shared" si="80"/>
        <v/>
      </c>
      <c r="AF872" s="4" t="str">
        <f t="shared" si="81"/>
        <v/>
      </c>
      <c r="AG872" s="8">
        <f t="shared" si="82"/>
        <v>0</v>
      </c>
      <c r="AI872" s="8">
        <f t="shared" si="83"/>
        <v>0</v>
      </c>
    </row>
    <row r="873" spans="23:35" ht="15" customHeight="1" x14ac:dyDescent="0.25">
      <c r="W873" s="4" t="str">
        <f>IF($C873="","",SUMPRODUCT(($C$2:C873=C873)+($D$2:D873=C873)))</f>
        <v/>
      </c>
      <c r="X873" s="4" t="str">
        <f>IF($D873="","",SUMPRODUCT(($C$2:C873=D873)+($D$2:D873=D873)))</f>
        <v/>
      </c>
      <c r="Y873" s="4" t="str">
        <f t="shared" si="78"/>
        <v/>
      </c>
      <c r="Z873" s="4" t="str">
        <f t="shared" si="79"/>
        <v/>
      </c>
      <c r="AA873" s="4" t="str">
        <f>IF($C873="","",IF(COUNTIF($C$1:C872,$C873)+COUNTIF($D$1:D872,$C873)=0,1,0))</f>
        <v/>
      </c>
      <c r="AB873" s="4" t="str">
        <f>IF($D873="","",IF(COUNTIF($C$1:C873,$D873)+COUNTIF($D$1:D872,$D873)=0,1,0))</f>
        <v/>
      </c>
      <c r="AC873" s="4" t="str">
        <f>IF(AA873=1,SUM($AA$2:AA873)-AA873+SUM($AB$2:AB873)-AB873+1,"")</f>
        <v/>
      </c>
      <c r="AD873" s="4" t="str">
        <f>IF(AB873=1,SUM($AA$2:AA873)+SUM($AB$2:AB873)-AB873+1,"")</f>
        <v/>
      </c>
      <c r="AE873" s="4" t="str">
        <f t="shared" si="80"/>
        <v/>
      </c>
      <c r="AF873" s="4" t="str">
        <f t="shared" si="81"/>
        <v/>
      </c>
      <c r="AG873" s="8">
        <f t="shared" si="82"/>
        <v>0</v>
      </c>
      <c r="AI873" s="8">
        <f t="shared" si="83"/>
        <v>0</v>
      </c>
    </row>
    <row r="874" spans="23:35" ht="15" customHeight="1" x14ac:dyDescent="0.25">
      <c r="W874" s="4" t="str">
        <f>IF($C874="","",SUMPRODUCT(($C$2:C874=C874)+($D$2:D874=C874)))</f>
        <v/>
      </c>
      <c r="X874" s="4" t="str">
        <f>IF($D874="","",SUMPRODUCT(($C$2:C874=D874)+($D$2:D874=D874)))</f>
        <v/>
      </c>
      <c r="Y874" s="4" t="str">
        <f t="shared" si="78"/>
        <v/>
      </c>
      <c r="Z874" s="4" t="str">
        <f t="shared" si="79"/>
        <v/>
      </c>
      <c r="AA874" s="4" t="str">
        <f>IF($C874="","",IF(COUNTIF($C$1:C873,$C874)+COUNTIF($D$1:D873,$C874)=0,1,0))</f>
        <v/>
      </c>
      <c r="AB874" s="4" t="str">
        <f>IF($D874="","",IF(COUNTIF($C$1:C874,$D874)+COUNTIF($D$1:D873,$D874)=0,1,0))</f>
        <v/>
      </c>
      <c r="AC874" s="4" t="str">
        <f>IF(AA874=1,SUM($AA$2:AA874)-AA874+SUM($AB$2:AB874)-AB874+1,"")</f>
        <v/>
      </c>
      <c r="AD874" s="4" t="str">
        <f>IF(AB874=1,SUM($AA$2:AA874)+SUM($AB$2:AB874)-AB874+1,"")</f>
        <v/>
      </c>
      <c r="AE874" s="4" t="str">
        <f t="shared" si="80"/>
        <v/>
      </c>
      <c r="AF874" s="4" t="str">
        <f t="shared" si="81"/>
        <v/>
      </c>
      <c r="AG874" s="8">
        <f t="shared" si="82"/>
        <v>0</v>
      </c>
      <c r="AI874" s="8">
        <f t="shared" si="83"/>
        <v>0</v>
      </c>
    </row>
    <row r="875" spans="23:35" ht="15" customHeight="1" x14ac:dyDescent="0.25">
      <c r="W875" s="4" t="str">
        <f>IF($C875="","",SUMPRODUCT(($C$2:C875=C875)+($D$2:D875=C875)))</f>
        <v/>
      </c>
      <c r="X875" s="4" t="str">
        <f>IF($D875="","",SUMPRODUCT(($C$2:C875=D875)+($D$2:D875=D875)))</f>
        <v/>
      </c>
      <c r="Y875" s="4" t="str">
        <f t="shared" si="78"/>
        <v/>
      </c>
      <c r="Z875" s="4" t="str">
        <f t="shared" si="79"/>
        <v/>
      </c>
      <c r="AA875" s="4" t="str">
        <f>IF($C875="","",IF(COUNTIF($C$1:C874,$C875)+COUNTIF($D$1:D874,$C875)=0,1,0))</f>
        <v/>
      </c>
      <c r="AB875" s="4" t="str">
        <f>IF($D875="","",IF(COUNTIF($C$1:C875,$D875)+COUNTIF($D$1:D874,$D875)=0,1,0))</f>
        <v/>
      </c>
      <c r="AC875" s="4" t="str">
        <f>IF(AA875=1,SUM($AA$2:AA875)-AA875+SUM($AB$2:AB875)-AB875+1,"")</f>
        <v/>
      </c>
      <c r="AD875" s="4" t="str">
        <f>IF(AB875=1,SUM($AA$2:AA875)+SUM($AB$2:AB875)-AB875+1,"")</f>
        <v/>
      </c>
      <c r="AE875" s="4" t="str">
        <f t="shared" si="80"/>
        <v/>
      </c>
      <c r="AF875" s="4" t="str">
        <f t="shared" si="81"/>
        <v/>
      </c>
      <c r="AG875" s="8">
        <f t="shared" si="82"/>
        <v>0</v>
      </c>
      <c r="AI875" s="8">
        <f t="shared" si="83"/>
        <v>0</v>
      </c>
    </row>
    <row r="876" spans="23:35" ht="15" customHeight="1" x14ac:dyDescent="0.25">
      <c r="W876" s="4" t="str">
        <f>IF($C876="","",SUMPRODUCT(($C$2:C876=C876)+($D$2:D876=C876)))</f>
        <v/>
      </c>
      <c r="X876" s="4" t="str">
        <f>IF($D876="","",SUMPRODUCT(($C$2:C876=D876)+($D$2:D876=D876)))</f>
        <v/>
      </c>
      <c r="Y876" s="4" t="str">
        <f t="shared" si="78"/>
        <v/>
      </c>
      <c r="Z876" s="4" t="str">
        <f t="shared" si="79"/>
        <v/>
      </c>
      <c r="AA876" s="4" t="str">
        <f>IF($C876="","",IF(COUNTIF($C$1:C875,$C876)+COUNTIF($D$1:D875,$C876)=0,1,0))</f>
        <v/>
      </c>
      <c r="AB876" s="4" t="str">
        <f>IF($D876="","",IF(COUNTIF($C$1:C876,$D876)+COUNTIF($D$1:D875,$D876)=0,1,0))</f>
        <v/>
      </c>
      <c r="AC876" s="4" t="str">
        <f>IF(AA876=1,SUM($AA$2:AA876)-AA876+SUM($AB$2:AB876)-AB876+1,"")</f>
        <v/>
      </c>
      <c r="AD876" s="4" t="str">
        <f>IF(AB876=1,SUM($AA$2:AA876)+SUM($AB$2:AB876)-AB876+1,"")</f>
        <v/>
      </c>
      <c r="AE876" s="4" t="str">
        <f t="shared" si="80"/>
        <v/>
      </c>
      <c r="AF876" s="4" t="str">
        <f t="shared" si="81"/>
        <v/>
      </c>
      <c r="AG876" s="8">
        <f t="shared" si="82"/>
        <v>0</v>
      </c>
      <c r="AI876" s="8">
        <f t="shared" si="83"/>
        <v>0</v>
      </c>
    </row>
    <row r="877" spans="23:35" ht="15" customHeight="1" x14ac:dyDescent="0.25">
      <c r="W877" s="4" t="str">
        <f>IF($C877="","",SUMPRODUCT(($C$2:C877=C877)+($D$2:D877=C877)))</f>
        <v/>
      </c>
      <c r="X877" s="4" t="str">
        <f>IF($D877="","",SUMPRODUCT(($C$2:C877=D877)+($D$2:D877=D877)))</f>
        <v/>
      </c>
      <c r="Y877" s="4" t="str">
        <f t="shared" si="78"/>
        <v/>
      </c>
      <c r="Z877" s="4" t="str">
        <f t="shared" si="79"/>
        <v/>
      </c>
      <c r="AA877" s="4" t="str">
        <f>IF($C877="","",IF(COUNTIF($C$1:C876,$C877)+COUNTIF($D$1:D876,$C877)=0,1,0))</f>
        <v/>
      </c>
      <c r="AB877" s="4" t="str">
        <f>IF($D877="","",IF(COUNTIF($C$1:C877,$D877)+COUNTIF($D$1:D876,$D877)=0,1,0))</f>
        <v/>
      </c>
      <c r="AC877" s="4" t="str">
        <f>IF(AA877=1,SUM($AA$2:AA877)-AA877+SUM($AB$2:AB877)-AB877+1,"")</f>
        <v/>
      </c>
      <c r="AD877" s="4" t="str">
        <f>IF(AB877=1,SUM($AA$2:AA877)+SUM($AB$2:AB877)-AB877+1,"")</f>
        <v/>
      </c>
      <c r="AE877" s="4" t="str">
        <f t="shared" si="80"/>
        <v/>
      </c>
      <c r="AF877" s="4" t="str">
        <f t="shared" si="81"/>
        <v/>
      </c>
      <c r="AG877" s="8">
        <f t="shared" si="82"/>
        <v>0</v>
      </c>
      <c r="AI877" s="8">
        <f t="shared" si="83"/>
        <v>0</v>
      </c>
    </row>
    <row r="878" spans="23:35" ht="15" customHeight="1" x14ac:dyDescent="0.25">
      <c r="W878" s="4" t="str">
        <f>IF($C878="","",SUMPRODUCT(($C$2:C878=C878)+($D$2:D878=C878)))</f>
        <v/>
      </c>
      <c r="X878" s="4" t="str">
        <f>IF($D878="","",SUMPRODUCT(($C$2:C878=D878)+($D$2:D878=D878)))</f>
        <v/>
      </c>
      <c r="Y878" s="4" t="str">
        <f t="shared" si="78"/>
        <v/>
      </c>
      <c r="Z878" s="4" t="str">
        <f t="shared" si="79"/>
        <v/>
      </c>
      <c r="AA878" s="4" t="str">
        <f>IF($C878="","",IF(COUNTIF($C$1:C877,$C878)+COUNTIF($D$1:D877,$C878)=0,1,0))</f>
        <v/>
      </c>
      <c r="AB878" s="4" t="str">
        <f>IF($D878="","",IF(COUNTIF($C$1:C878,$D878)+COUNTIF($D$1:D877,$D878)=0,1,0))</f>
        <v/>
      </c>
      <c r="AC878" s="4" t="str">
        <f>IF(AA878=1,SUM($AA$2:AA878)-AA878+SUM($AB$2:AB878)-AB878+1,"")</f>
        <v/>
      </c>
      <c r="AD878" s="4" t="str">
        <f>IF(AB878=1,SUM($AA$2:AA878)+SUM($AB$2:AB878)-AB878+1,"")</f>
        <v/>
      </c>
      <c r="AE878" s="4" t="str">
        <f t="shared" si="80"/>
        <v/>
      </c>
      <c r="AF878" s="4" t="str">
        <f t="shared" si="81"/>
        <v/>
      </c>
      <c r="AG878" s="8">
        <f t="shared" si="82"/>
        <v>0</v>
      </c>
      <c r="AI878" s="8">
        <f t="shared" si="83"/>
        <v>0</v>
      </c>
    </row>
    <row r="879" spans="23:35" ht="15" customHeight="1" x14ac:dyDescent="0.25">
      <c r="W879" s="4" t="str">
        <f>IF($C879="","",SUMPRODUCT(($C$2:C879=C879)+($D$2:D879=C879)))</f>
        <v/>
      </c>
      <c r="X879" s="4" t="str">
        <f>IF($D879="","",SUMPRODUCT(($C$2:C879=D879)+($D$2:D879=D879)))</f>
        <v/>
      </c>
      <c r="Y879" s="4" t="str">
        <f t="shared" si="78"/>
        <v/>
      </c>
      <c r="Z879" s="4" t="str">
        <f t="shared" si="79"/>
        <v/>
      </c>
      <c r="AA879" s="4" t="str">
        <f>IF($C879="","",IF(COUNTIF($C$1:C878,$C879)+COUNTIF($D$1:D878,$C879)=0,1,0))</f>
        <v/>
      </c>
      <c r="AB879" s="4" t="str">
        <f>IF($D879="","",IF(COUNTIF($C$1:C879,$D879)+COUNTIF($D$1:D878,$D879)=0,1,0))</f>
        <v/>
      </c>
      <c r="AC879" s="4" t="str">
        <f>IF(AA879=1,SUM($AA$2:AA879)-AA879+SUM($AB$2:AB879)-AB879+1,"")</f>
        <v/>
      </c>
      <c r="AD879" s="4" t="str">
        <f>IF(AB879=1,SUM($AA$2:AA879)+SUM($AB$2:AB879)-AB879+1,"")</f>
        <v/>
      </c>
      <c r="AE879" s="4" t="str">
        <f t="shared" si="80"/>
        <v/>
      </c>
      <c r="AF879" s="4" t="str">
        <f t="shared" si="81"/>
        <v/>
      </c>
      <c r="AG879" s="8">
        <f t="shared" si="82"/>
        <v>0</v>
      </c>
      <c r="AI879" s="8">
        <f t="shared" si="83"/>
        <v>0</v>
      </c>
    </row>
    <row r="880" spans="23:35" ht="15" customHeight="1" x14ac:dyDescent="0.25">
      <c r="W880" s="4" t="str">
        <f>IF($C880="","",SUMPRODUCT(($C$2:C880=C880)+($D$2:D880=C880)))</f>
        <v/>
      </c>
      <c r="X880" s="4" t="str">
        <f>IF($D880="","",SUMPRODUCT(($C$2:C880=D880)+($D$2:D880=D880)))</f>
        <v/>
      </c>
      <c r="Y880" s="4" t="str">
        <f t="shared" si="78"/>
        <v/>
      </c>
      <c r="Z880" s="4" t="str">
        <f t="shared" si="79"/>
        <v/>
      </c>
      <c r="AA880" s="4" t="str">
        <f>IF($C880="","",IF(COUNTIF($C$1:C879,$C880)+COUNTIF($D$1:D879,$C880)=0,1,0))</f>
        <v/>
      </c>
      <c r="AB880" s="4" t="str">
        <f>IF($D880="","",IF(COUNTIF($C$1:C880,$D880)+COUNTIF($D$1:D879,$D880)=0,1,0))</f>
        <v/>
      </c>
      <c r="AC880" s="4" t="str">
        <f>IF(AA880=1,SUM($AA$2:AA880)-AA880+SUM($AB$2:AB880)-AB880+1,"")</f>
        <v/>
      </c>
      <c r="AD880" s="4" t="str">
        <f>IF(AB880=1,SUM($AA$2:AA880)+SUM($AB$2:AB880)-AB880+1,"")</f>
        <v/>
      </c>
      <c r="AE880" s="4" t="str">
        <f t="shared" si="80"/>
        <v/>
      </c>
      <c r="AF880" s="4" t="str">
        <f t="shared" si="81"/>
        <v/>
      </c>
      <c r="AG880" s="8">
        <f t="shared" si="82"/>
        <v>0</v>
      </c>
      <c r="AI880" s="8">
        <f t="shared" si="83"/>
        <v>0</v>
      </c>
    </row>
    <row r="881" spans="23:35" ht="15" customHeight="1" x14ac:dyDescent="0.25">
      <c r="W881" s="4" t="str">
        <f>IF($C881="","",SUMPRODUCT(($C$2:C881=C881)+($D$2:D881=C881)))</f>
        <v/>
      </c>
      <c r="X881" s="4" t="str">
        <f>IF($D881="","",SUMPRODUCT(($C$2:C881=D881)+($D$2:D881=D881)))</f>
        <v/>
      </c>
      <c r="Y881" s="4" t="str">
        <f t="shared" si="78"/>
        <v/>
      </c>
      <c r="Z881" s="4" t="str">
        <f t="shared" si="79"/>
        <v/>
      </c>
      <c r="AA881" s="4" t="str">
        <f>IF($C881="","",IF(COUNTIF($C$1:C880,$C881)+COUNTIF($D$1:D880,$C881)=0,1,0))</f>
        <v/>
      </c>
      <c r="AB881" s="4" t="str">
        <f>IF($D881="","",IF(COUNTIF($C$1:C881,$D881)+COUNTIF($D$1:D880,$D881)=0,1,0))</f>
        <v/>
      </c>
      <c r="AC881" s="4" t="str">
        <f>IF(AA881=1,SUM($AA$2:AA881)-AA881+SUM($AB$2:AB881)-AB881+1,"")</f>
        <v/>
      </c>
      <c r="AD881" s="4" t="str">
        <f>IF(AB881=1,SUM($AA$2:AA881)+SUM($AB$2:AB881)-AB881+1,"")</f>
        <v/>
      </c>
      <c r="AE881" s="4" t="str">
        <f t="shared" si="80"/>
        <v/>
      </c>
      <c r="AF881" s="4" t="str">
        <f t="shared" si="81"/>
        <v/>
      </c>
      <c r="AG881" s="8">
        <f t="shared" si="82"/>
        <v>0</v>
      </c>
      <c r="AI881" s="8">
        <f t="shared" si="83"/>
        <v>0</v>
      </c>
    </row>
    <row r="882" spans="23:35" ht="15" customHeight="1" x14ac:dyDescent="0.25">
      <c r="W882" s="4" t="str">
        <f>IF($C882="","",SUMPRODUCT(($C$2:C882=C882)+($D$2:D882=C882)))</f>
        <v/>
      </c>
      <c r="X882" s="4" t="str">
        <f>IF($D882="","",SUMPRODUCT(($C$2:C882=D882)+($D$2:D882=D882)))</f>
        <v/>
      </c>
      <c r="Y882" s="4" t="str">
        <f t="shared" si="78"/>
        <v/>
      </c>
      <c r="Z882" s="4" t="str">
        <f t="shared" si="79"/>
        <v/>
      </c>
      <c r="AA882" s="4" t="str">
        <f>IF($C882="","",IF(COUNTIF($C$1:C881,$C882)+COUNTIF($D$1:D881,$C882)=0,1,0))</f>
        <v/>
      </c>
      <c r="AB882" s="4" t="str">
        <f>IF($D882="","",IF(COUNTIF($C$1:C882,$D882)+COUNTIF($D$1:D881,$D882)=0,1,0))</f>
        <v/>
      </c>
      <c r="AC882" s="4" t="str">
        <f>IF(AA882=1,SUM($AA$2:AA882)-AA882+SUM($AB$2:AB882)-AB882+1,"")</f>
        <v/>
      </c>
      <c r="AD882" s="4" t="str">
        <f>IF(AB882=1,SUM($AA$2:AA882)+SUM($AB$2:AB882)-AB882+1,"")</f>
        <v/>
      </c>
      <c r="AE882" s="4" t="str">
        <f t="shared" si="80"/>
        <v/>
      </c>
      <c r="AF882" s="4" t="str">
        <f t="shared" si="81"/>
        <v/>
      </c>
      <c r="AG882" s="8">
        <f t="shared" si="82"/>
        <v>0</v>
      </c>
      <c r="AI882" s="8">
        <f t="shared" si="83"/>
        <v>0</v>
      </c>
    </row>
    <row r="883" spans="23:35" ht="15" customHeight="1" x14ac:dyDescent="0.25">
      <c r="W883" s="4" t="str">
        <f>IF($C883="","",SUMPRODUCT(($C$2:C883=C883)+($D$2:D883=C883)))</f>
        <v/>
      </c>
      <c r="X883" s="4" t="str">
        <f>IF($D883="","",SUMPRODUCT(($C$2:C883=D883)+($D$2:D883=D883)))</f>
        <v/>
      </c>
      <c r="Y883" s="4" t="str">
        <f t="shared" si="78"/>
        <v/>
      </c>
      <c r="Z883" s="4" t="str">
        <f t="shared" si="79"/>
        <v/>
      </c>
      <c r="AA883" s="4" t="str">
        <f>IF($C883="","",IF(COUNTIF($C$1:C882,$C883)+COUNTIF($D$1:D882,$C883)=0,1,0))</f>
        <v/>
      </c>
      <c r="AB883" s="4" t="str">
        <f>IF($D883="","",IF(COUNTIF($C$1:C883,$D883)+COUNTIF($D$1:D882,$D883)=0,1,0))</f>
        <v/>
      </c>
      <c r="AC883" s="4" t="str">
        <f>IF(AA883=1,SUM($AA$2:AA883)-AA883+SUM($AB$2:AB883)-AB883+1,"")</f>
        <v/>
      </c>
      <c r="AD883" s="4" t="str">
        <f>IF(AB883=1,SUM($AA$2:AA883)+SUM($AB$2:AB883)-AB883+1,"")</f>
        <v/>
      </c>
      <c r="AE883" s="4" t="str">
        <f t="shared" si="80"/>
        <v/>
      </c>
      <c r="AF883" s="4" t="str">
        <f t="shared" si="81"/>
        <v/>
      </c>
      <c r="AG883" s="8">
        <f t="shared" si="82"/>
        <v>0</v>
      </c>
      <c r="AI883" s="8">
        <f t="shared" si="83"/>
        <v>0</v>
      </c>
    </row>
    <row r="884" spans="23:35" ht="15" customHeight="1" x14ac:dyDescent="0.25">
      <c r="W884" s="4" t="str">
        <f>IF($C884="","",SUMPRODUCT(($C$2:C884=C884)+($D$2:D884=C884)))</f>
        <v/>
      </c>
      <c r="X884" s="4" t="str">
        <f>IF($D884="","",SUMPRODUCT(($C$2:C884=D884)+($D$2:D884=D884)))</f>
        <v/>
      </c>
      <c r="Y884" s="4" t="str">
        <f t="shared" si="78"/>
        <v/>
      </c>
      <c r="Z884" s="4" t="str">
        <f t="shared" si="79"/>
        <v/>
      </c>
      <c r="AA884" s="4" t="str">
        <f>IF($C884="","",IF(COUNTIF($C$1:C883,$C884)+COUNTIF($D$1:D883,$C884)=0,1,0))</f>
        <v/>
      </c>
      <c r="AB884" s="4" t="str">
        <f>IF($D884="","",IF(COUNTIF($C$1:C884,$D884)+COUNTIF($D$1:D883,$D884)=0,1,0))</f>
        <v/>
      </c>
      <c r="AC884" s="4" t="str">
        <f>IF(AA884=1,SUM($AA$2:AA884)-AA884+SUM($AB$2:AB884)-AB884+1,"")</f>
        <v/>
      </c>
      <c r="AD884" s="4" t="str">
        <f>IF(AB884=1,SUM($AA$2:AA884)+SUM($AB$2:AB884)-AB884+1,"")</f>
        <v/>
      </c>
      <c r="AE884" s="4" t="str">
        <f t="shared" si="80"/>
        <v/>
      </c>
      <c r="AF884" s="4" t="str">
        <f t="shared" si="81"/>
        <v/>
      </c>
      <c r="AG884" s="8">
        <f t="shared" si="82"/>
        <v>0</v>
      </c>
      <c r="AI884" s="8">
        <f t="shared" si="83"/>
        <v>0</v>
      </c>
    </row>
    <row r="885" spans="23:35" ht="15" customHeight="1" x14ac:dyDescent="0.25">
      <c r="W885" s="4" t="str">
        <f>IF($C885="","",SUMPRODUCT(($C$2:C885=C885)+($D$2:D885=C885)))</f>
        <v/>
      </c>
      <c r="X885" s="4" t="str">
        <f>IF($D885="","",SUMPRODUCT(($C$2:C885=D885)+($D$2:D885=D885)))</f>
        <v/>
      </c>
      <c r="Y885" s="4" t="str">
        <f t="shared" si="78"/>
        <v/>
      </c>
      <c r="Z885" s="4" t="str">
        <f t="shared" si="79"/>
        <v/>
      </c>
      <c r="AA885" s="4" t="str">
        <f>IF($C885="","",IF(COUNTIF($C$1:C884,$C885)+COUNTIF($D$1:D884,$C885)=0,1,0))</f>
        <v/>
      </c>
      <c r="AB885" s="4" t="str">
        <f>IF($D885="","",IF(COUNTIF($C$1:C885,$D885)+COUNTIF($D$1:D884,$D885)=0,1,0))</f>
        <v/>
      </c>
      <c r="AC885" s="4" t="str">
        <f>IF(AA885=1,SUM($AA$2:AA885)-AA885+SUM($AB$2:AB885)-AB885+1,"")</f>
        <v/>
      </c>
      <c r="AD885" s="4" t="str">
        <f>IF(AB885=1,SUM($AA$2:AA885)+SUM($AB$2:AB885)-AB885+1,"")</f>
        <v/>
      </c>
      <c r="AE885" s="4" t="str">
        <f t="shared" si="80"/>
        <v/>
      </c>
      <c r="AF885" s="4" t="str">
        <f t="shared" si="81"/>
        <v/>
      </c>
      <c r="AG885" s="8">
        <f t="shared" si="82"/>
        <v>0</v>
      </c>
      <c r="AI885" s="8">
        <f t="shared" si="83"/>
        <v>0</v>
      </c>
    </row>
    <row r="886" spans="23:35" ht="15" customHeight="1" x14ac:dyDescent="0.25">
      <c r="W886" s="4" t="str">
        <f>IF($C886="","",SUMPRODUCT(($C$2:C886=C886)+($D$2:D886=C886)))</f>
        <v/>
      </c>
      <c r="X886" s="4" t="str">
        <f>IF($D886="","",SUMPRODUCT(($C$2:C886=D886)+($D$2:D886=D886)))</f>
        <v/>
      </c>
      <c r="Y886" s="4" t="str">
        <f t="shared" si="78"/>
        <v/>
      </c>
      <c r="Z886" s="4" t="str">
        <f t="shared" si="79"/>
        <v/>
      </c>
      <c r="AA886" s="4" t="str">
        <f>IF($C886="","",IF(COUNTIF($C$1:C885,$C886)+COUNTIF($D$1:D885,$C886)=0,1,0))</f>
        <v/>
      </c>
      <c r="AB886" s="4" t="str">
        <f>IF($D886="","",IF(COUNTIF($C$1:C886,$D886)+COUNTIF($D$1:D885,$D886)=0,1,0))</f>
        <v/>
      </c>
      <c r="AC886" s="4" t="str">
        <f>IF(AA886=1,SUM($AA$2:AA886)-AA886+SUM($AB$2:AB886)-AB886+1,"")</f>
        <v/>
      </c>
      <c r="AD886" s="4" t="str">
        <f>IF(AB886=1,SUM($AA$2:AA886)+SUM($AB$2:AB886)-AB886+1,"")</f>
        <v/>
      </c>
      <c r="AE886" s="4" t="str">
        <f t="shared" si="80"/>
        <v/>
      </c>
      <c r="AF886" s="4" t="str">
        <f t="shared" si="81"/>
        <v/>
      </c>
      <c r="AG886" s="8">
        <f t="shared" si="82"/>
        <v>0</v>
      </c>
      <c r="AI886" s="8">
        <f t="shared" si="83"/>
        <v>0</v>
      </c>
    </row>
    <row r="887" spans="23:35" ht="15" customHeight="1" x14ac:dyDescent="0.25">
      <c r="W887" s="4" t="str">
        <f>IF($C887="","",SUMPRODUCT(($C$2:C887=C887)+($D$2:D887=C887)))</f>
        <v/>
      </c>
      <c r="X887" s="4" t="str">
        <f>IF($D887="","",SUMPRODUCT(($C$2:C887=D887)+($D$2:D887=D887)))</f>
        <v/>
      </c>
      <c r="Y887" s="4" t="str">
        <f t="shared" si="78"/>
        <v/>
      </c>
      <c r="Z887" s="4" t="str">
        <f t="shared" si="79"/>
        <v/>
      </c>
      <c r="AA887" s="4" t="str">
        <f>IF($C887="","",IF(COUNTIF($C$1:C886,$C887)+COUNTIF($D$1:D886,$C887)=0,1,0))</f>
        <v/>
      </c>
      <c r="AB887" s="4" t="str">
        <f>IF($D887="","",IF(COUNTIF($C$1:C887,$D887)+COUNTIF($D$1:D886,$D887)=0,1,0))</f>
        <v/>
      </c>
      <c r="AC887" s="4" t="str">
        <f>IF(AA887=1,SUM($AA$2:AA887)-AA887+SUM($AB$2:AB887)-AB887+1,"")</f>
        <v/>
      </c>
      <c r="AD887" s="4" t="str">
        <f>IF(AB887=1,SUM($AA$2:AA887)+SUM($AB$2:AB887)-AB887+1,"")</f>
        <v/>
      </c>
      <c r="AE887" s="4" t="str">
        <f t="shared" si="80"/>
        <v/>
      </c>
      <c r="AF887" s="4" t="str">
        <f t="shared" si="81"/>
        <v/>
      </c>
      <c r="AG887" s="8">
        <f t="shared" si="82"/>
        <v>0</v>
      </c>
      <c r="AI887" s="8">
        <f t="shared" si="83"/>
        <v>0</v>
      </c>
    </row>
    <row r="888" spans="23:35" ht="15" customHeight="1" x14ac:dyDescent="0.25">
      <c r="W888" s="4" t="str">
        <f>IF($C888="","",SUMPRODUCT(($C$2:C888=C888)+($D$2:D888=C888)))</f>
        <v/>
      </c>
      <c r="X888" s="4" t="str">
        <f>IF($D888="","",SUMPRODUCT(($C$2:C888=D888)+($D$2:D888=D888)))</f>
        <v/>
      </c>
      <c r="Y888" s="4" t="str">
        <f t="shared" si="78"/>
        <v/>
      </c>
      <c r="Z888" s="4" t="str">
        <f t="shared" si="79"/>
        <v/>
      </c>
      <c r="AA888" s="4" t="str">
        <f>IF($C888="","",IF(COUNTIF($C$1:C887,$C888)+COUNTIF($D$1:D887,$C888)=0,1,0))</f>
        <v/>
      </c>
      <c r="AB888" s="4" t="str">
        <f>IF($D888="","",IF(COUNTIF($C$1:C888,$D888)+COUNTIF($D$1:D887,$D888)=0,1,0))</f>
        <v/>
      </c>
      <c r="AC888" s="4" t="str">
        <f>IF(AA888=1,SUM($AA$2:AA888)-AA888+SUM($AB$2:AB888)-AB888+1,"")</f>
        <v/>
      </c>
      <c r="AD888" s="4" t="str">
        <f>IF(AB888=1,SUM($AA$2:AA888)+SUM($AB$2:AB888)-AB888+1,"")</f>
        <v/>
      </c>
      <c r="AE888" s="4" t="str">
        <f t="shared" si="80"/>
        <v/>
      </c>
      <c r="AF888" s="4" t="str">
        <f t="shared" si="81"/>
        <v/>
      </c>
      <c r="AG888" s="8">
        <f t="shared" si="82"/>
        <v>0</v>
      </c>
      <c r="AI888" s="8">
        <f t="shared" si="83"/>
        <v>0</v>
      </c>
    </row>
    <row r="889" spans="23:35" ht="15" customHeight="1" x14ac:dyDescent="0.25">
      <c r="W889" s="4" t="str">
        <f>IF($C889="","",SUMPRODUCT(($C$2:C889=C889)+($D$2:D889=C889)))</f>
        <v/>
      </c>
      <c r="X889" s="4" t="str">
        <f>IF($D889="","",SUMPRODUCT(($C$2:C889=D889)+($D$2:D889=D889)))</f>
        <v/>
      </c>
      <c r="Y889" s="4" t="str">
        <f t="shared" si="78"/>
        <v/>
      </c>
      <c r="Z889" s="4" t="str">
        <f t="shared" si="79"/>
        <v/>
      </c>
      <c r="AA889" s="4" t="str">
        <f>IF($C889="","",IF(COUNTIF($C$1:C888,$C889)+COUNTIF($D$1:D888,$C889)=0,1,0))</f>
        <v/>
      </c>
      <c r="AB889" s="4" t="str">
        <f>IF($D889="","",IF(COUNTIF($C$1:C889,$D889)+COUNTIF($D$1:D888,$D889)=0,1,0))</f>
        <v/>
      </c>
      <c r="AC889" s="4" t="str">
        <f>IF(AA889=1,SUM($AA$2:AA889)-AA889+SUM($AB$2:AB889)-AB889+1,"")</f>
        <v/>
      </c>
      <c r="AD889" s="4" t="str">
        <f>IF(AB889=1,SUM($AA$2:AA889)+SUM($AB$2:AB889)-AB889+1,"")</f>
        <v/>
      </c>
      <c r="AE889" s="4" t="str">
        <f t="shared" si="80"/>
        <v/>
      </c>
      <c r="AF889" s="4" t="str">
        <f t="shared" si="81"/>
        <v/>
      </c>
      <c r="AG889" s="8">
        <f t="shared" si="82"/>
        <v>0</v>
      </c>
      <c r="AI889" s="8">
        <f t="shared" si="83"/>
        <v>0</v>
      </c>
    </row>
    <row r="890" spans="23:35" ht="15" customHeight="1" x14ac:dyDescent="0.25">
      <c r="W890" s="4" t="str">
        <f>IF($C890="","",SUMPRODUCT(($C$2:C890=C890)+($D$2:D890=C890)))</f>
        <v/>
      </c>
      <c r="X890" s="4" t="str">
        <f>IF($D890="","",SUMPRODUCT(($C$2:C890=D890)+($D$2:D890=D890)))</f>
        <v/>
      </c>
      <c r="Y890" s="4" t="str">
        <f t="shared" si="78"/>
        <v/>
      </c>
      <c r="Z890" s="4" t="str">
        <f t="shared" si="79"/>
        <v/>
      </c>
      <c r="AA890" s="4" t="str">
        <f>IF($C890="","",IF(COUNTIF($C$1:C889,$C890)+COUNTIF($D$1:D889,$C890)=0,1,0))</f>
        <v/>
      </c>
      <c r="AB890" s="4" t="str">
        <f>IF($D890="","",IF(COUNTIF($C$1:C890,$D890)+COUNTIF($D$1:D889,$D890)=0,1,0))</f>
        <v/>
      </c>
      <c r="AC890" s="4" t="str">
        <f>IF(AA890=1,SUM($AA$2:AA890)-AA890+SUM($AB$2:AB890)-AB890+1,"")</f>
        <v/>
      </c>
      <c r="AD890" s="4" t="str">
        <f>IF(AB890=1,SUM($AA$2:AA890)+SUM($AB$2:AB890)-AB890+1,"")</f>
        <v/>
      </c>
      <c r="AE890" s="4" t="str">
        <f t="shared" si="80"/>
        <v/>
      </c>
      <c r="AF890" s="4" t="str">
        <f t="shared" si="81"/>
        <v/>
      </c>
      <c r="AG890" s="8">
        <f t="shared" si="82"/>
        <v>0</v>
      </c>
      <c r="AI890" s="8">
        <f t="shared" si="83"/>
        <v>0</v>
      </c>
    </row>
    <row r="891" spans="23:35" ht="15" customHeight="1" x14ac:dyDescent="0.25">
      <c r="W891" s="4" t="str">
        <f>IF($C891="","",SUMPRODUCT(($C$2:C891=C891)+($D$2:D891=C891)))</f>
        <v/>
      </c>
      <c r="X891" s="4" t="str">
        <f>IF($D891="","",SUMPRODUCT(($C$2:C891=D891)+($D$2:D891=D891)))</f>
        <v/>
      </c>
      <c r="Y891" s="4" t="str">
        <f t="shared" si="78"/>
        <v/>
      </c>
      <c r="Z891" s="4" t="str">
        <f t="shared" si="79"/>
        <v/>
      </c>
      <c r="AA891" s="4" t="str">
        <f>IF($C891="","",IF(COUNTIF($C$1:C890,$C891)+COUNTIF($D$1:D890,$C891)=0,1,0))</f>
        <v/>
      </c>
      <c r="AB891" s="4" t="str">
        <f>IF($D891="","",IF(COUNTIF($C$1:C891,$D891)+COUNTIF($D$1:D890,$D891)=0,1,0))</f>
        <v/>
      </c>
      <c r="AC891" s="4" t="str">
        <f>IF(AA891=1,SUM($AA$2:AA891)-AA891+SUM($AB$2:AB891)-AB891+1,"")</f>
        <v/>
      </c>
      <c r="AD891" s="4" t="str">
        <f>IF(AB891=1,SUM($AA$2:AA891)+SUM($AB$2:AB891)-AB891+1,"")</f>
        <v/>
      </c>
      <c r="AE891" s="4" t="str">
        <f t="shared" si="80"/>
        <v/>
      </c>
      <c r="AF891" s="4" t="str">
        <f t="shared" si="81"/>
        <v/>
      </c>
      <c r="AG891" s="8">
        <f t="shared" si="82"/>
        <v>0</v>
      </c>
      <c r="AI891" s="8">
        <f t="shared" si="83"/>
        <v>0</v>
      </c>
    </row>
    <row r="892" spans="23:35" ht="15" customHeight="1" x14ac:dyDescent="0.25">
      <c r="W892" s="4" t="str">
        <f>IF($C892="","",SUMPRODUCT(($C$2:C892=C892)+($D$2:D892=C892)))</f>
        <v/>
      </c>
      <c r="X892" s="4" t="str">
        <f>IF($D892="","",SUMPRODUCT(($C$2:C892=D892)+($D$2:D892=D892)))</f>
        <v/>
      </c>
      <c r="Y892" s="4" t="str">
        <f t="shared" si="78"/>
        <v/>
      </c>
      <c r="Z892" s="4" t="str">
        <f t="shared" si="79"/>
        <v/>
      </c>
      <c r="AA892" s="4" t="str">
        <f>IF($C892="","",IF(COUNTIF($C$1:C891,$C892)+COUNTIF($D$1:D891,$C892)=0,1,0))</f>
        <v/>
      </c>
      <c r="AB892" s="4" t="str">
        <f>IF($D892="","",IF(COUNTIF($C$1:C892,$D892)+COUNTIF($D$1:D891,$D892)=0,1,0))</f>
        <v/>
      </c>
      <c r="AC892" s="4" t="str">
        <f>IF(AA892=1,SUM($AA$2:AA892)-AA892+SUM($AB$2:AB892)-AB892+1,"")</f>
        <v/>
      </c>
      <c r="AD892" s="4" t="str">
        <f>IF(AB892=1,SUM($AA$2:AA892)+SUM($AB$2:AB892)-AB892+1,"")</f>
        <v/>
      </c>
      <c r="AE892" s="4" t="str">
        <f t="shared" si="80"/>
        <v/>
      </c>
      <c r="AF892" s="4" t="str">
        <f t="shared" si="81"/>
        <v/>
      </c>
      <c r="AG892" s="8">
        <f t="shared" si="82"/>
        <v>0</v>
      </c>
      <c r="AI892" s="8">
        <f t="shared" si="83"/>
        <v>0</v>
      </c>
    </row>
    <row r="893" spans="23:35" ht="15" customHeight="1" x14ac:dyDescent="0.25">
      <c r="W893" s="4" t="str">
        <f>IF($C893="","",SUMPRODUCT(($C$2:C893=C893)+($D$2:D893=C893)))</f>
        <v/>
      </c>
      <c r="X893" s="4" t="str">
        <f>IF($D893="","",SUMPRODUCT(($C$2:C893=D893)+($D$2:D893=D893)))</f>
        <v/>
      </c>
      <c r="Y893" s="4" t="str">
        <f t="shared" si="78"/>
        <v/>
      </c>
      <c r="Z893" s="4" t="str">
        <f t="shared" si="79"/>
        <v/>
      </c>
      <c r="AA893" s="4" t="str">
        <f>IF($C893="","",IF(COUNTIF($C$1:C892,$C893)+COUNTIF($D$1:D892,$C893)=0,1,0))</f>
        <v/>
      </c>
      <c r="AB893" s="4" t="str">
        <f>IF($D893="","",IF(COUNTIF($C$1:C893,$D893)+COUNTIF($D$1:D892,$D893)=0,1,0))</f>
        <v/>
      </c>
      <c r="AC893" s="4" t="str">
        <f>IF(AA893=1,SUM($AA$2:AA893)-AA893+SUM($AB$2:AB893)-AB893+1,"")</f>
        <v/>
      </c>
      <c r="AD893" s="4" t="str">
        <f>IF(AB893=1,SUM($AA$2:AA893)+SUM($AB$2:AB893)-AB893+1,"")</f>
        <v/>
      </c>
      <c r="AE893" s="4" t="str">
        <f t="shared" si="80"/>
        <v/>
      </c>
      <c r="AF893" s="4" t="str">
        <f t="shared" si="81"/>
        <v/>
      </c>
      <c r="AG893" s="8">
        <f t="shared" si="82"/>
        <v>0</v>
      </c>
      <c r="AI893" s="8">
        <f t="shared" si="83"/>
        <v>0</v>
      </c>
    </row>
    <row r="894" spans="23:35" ht="15" customHeight="1" x14ac:dyDescent="0.25">
      <c r="W894" s="4" t="str">
        <f>IF($C894="","",SUMPRODUCT(($C$2:C894=C894)+($D$2:D894=C894)))</f>
        <v/>
      </c>
      <c r="X894" s="4" t="str">
        <f>IF($D894="","",SUMPRODUCT(($C$2:C894=D894)+($D$2:D894=D894)))</f>
        <v/>
      </c>
      <c r="Y894" s="4" t="str">
        <f t="shared" si="78"/>
        <v/>
      </c>
      <c r="Z894" s="4" t="str">
        <f t="shared" si="79"/>
        <v/>
      </c>
      <c r="AA894" s="4" t="str">
        <f>IF($C894="","",IF(COUNTIF($C$1:C893,$C894)+COUNTIF($D$1:D893,$C894)=0,1,0))</f>
        <v/>
      </c>
      <c r="AB894" s="4" t="str">
        <f>IF($D894="","",IF(COUNTIF($C$1:C894,$D894)+COUNTIF($D$1:D893,$D894)=0,1,0))</f>
        <v/>
      </c>
      <c r="AC894" s="4" t="str">
        <f>IF(AA894=1,SUM($AA$2:AA894)-AA894+SUM($AB$2:AB894)-AB894+1,"")</f>
        <v/>
      </c>
      <c r="AD894" s="4" t="str">
        <f>IF(AB894=1,SUM($AA$2:AA894)+SUM($AB$2:AB894)-AB894+1,"")</f>
        <v/>
      </c>
      <c r="AE894" s="4" t="str">
        <f t="shared" si="80"/>
        <v/>
      </c>
      <c r="AF894" s="4" t="str">
        <f t="shared" si="81"/>
        <v/>
      </c>
      <c r="AG894" s="8">
        <f t="shared" si="82"/>
        <v>0</v>
      </c>
      <c r="AI894" s="8">
        <f t="shared" si="83"/>
        <v>0</v>
      </c>
    </row>
    <row r="895" spans="23:35" ht="15" customHeight="1" x14ac:dyDescent="0.25">
      <c r="W895" s="4" t="str">
        <f>IF($C895="","",SUMPRODUCT(($C$2:C895=C895)+($D$2:D895=C895)))</f>
        <v/>
      </c>
      <c r="X895" s="4" t="str">
        <f>IF($D895="","",SUMPRODUCT(($C$2:C895=D895)+($D$2:D895=D895)))</f>
        <v/>
      </c>
      <c r="Y895" s="4" t="str">
        <f t="shared" si="78"/>
        <v/>
      </c>
      <c r="Z895" s="4" t="str">
        <f t="shared" si="79"/>
        <v/>
      </c>
      <c r="AA895" s="4" t="str">
        <f>IF($C895="","",IF(COUNTIF($C$1:C894,$C895)+COUNTIF($D$1:D894,$C895)=0,1,0))</f>
        <v/>
      </c>
      <c r="AB895" s="4" t="str">
        <f>IF($D895="","",IF(COUNTIF($C$1:C895,$D895)+COUNTIF($D$1:D894,$D895)=0,1,0))</f>
        <v/>
      </c>
      <c r="AC895" s="4" t="str">
        <f>IF(AA895=1,SUM($AA$2:AA895)-AA895+SUM($AB$2:AB895)-AB895+1,"")</f>
        <v/>
      </c>
      <c r="AD895" s="4" t="str">
        <f>IF(AB895=1,SUM($AA$2:AA895)+SUM($AB$2:AB895)-AB895+1,"")</f>
        <v/>
      </c>
      <c r="AE895" s="4" t="str">
        <f t="shared" si="80"/>
        <v/>
      </c>
      <c r="AF895" s="4" t="str">
        <f t="shared" si="81"/>
        <v/>
      </c>
      <c r="AG895" s="8">
        <f t="shared" si="82"/>
        <v>0</v>
      </c>
      <c r="AI895" s="8">
        <f t="shared" si="83"/>
        <v>0</v>
      </c>
    </row>
    <row r="896" spans="23:35" ht="15" customHeight="1" x14ac:dyDescent="0.25">
      <c r="W896" s="4" t="str">
        <f>IF($C896="","",SUMPRODUCT(($C$2:C896=C896)+($D$2:D896=C896)))</f>
        <v/>
      </c>
      <c r="X896" s="4" t="str">
        <f>IF($D896="","",SUMPRODUCT(($C$2:C896=D896)+($D$2:D896=D896)))</f>
        <v/>
      </c>
      <c r="Y896" s="4" t="str">
        <f t="shared" si="78"/>
        <v/>
      </c>
      <c r="Z896" s="4" t="str">
        <f t="shared" si="79"/>
        <v/>
      </c>
      <c r="AA896" s="4" t="str">
        <f>IF($C896="","",IF(COUNTIF($C$1:C895,$C896)+COUNTIF($D$1:D895,$C896)=0,1,0))</f>
        <v/>
      </c>
      <c r="AB896" s="4" t="str">
        <f>IF($D896="","",IF(COUNTIF($C$1:C896,$D896)+COUNTIF($D$1:D895,$D896)=0,1,0))</f>
        <v/>
      </c>
      <c r="AC896" s="4" t="str">
        <f>IF(AA896=1,SUM($AA$2:AA896)-AA896+SUM($AB$2:AB896)-AB896+1,"")</f>
        <v/>
      </c>
      <c r="AD896" s="4" t="str">
        <f>IF(AB896=1,SUM($AA$2:AA896)+SUM($AB$2:AB896)-AB896+1,"")</f>
        <v/>
      </c>
      <c r="AE896" s="4" t="str">
        <f t="shared" si="80"/>
        <v/>
      </c>
      <c r="AF896" s="4" t="str">
        <f t="shared" si="81"/>
        <v/>
      </c>
      <c r="AG896" s="8">
        <f t="shared" si="82"/>
        <v>0</v>
      </c>
      <c r="AI896" s="8">
        <f t="shared" si="83"/>
        <v>0</v>
      </c>
    </row>
    <row r="897" spans="23:35" ht="15" customHeight="1" x14ac:dyDescent="0.25">
      <c r="W897" s="4" t="str">
        <f>IF($C897="","",SUMPRODUCT(($C$2:C897=C897)+($D$2:D897=C897)))</f>
        <v/>
      </c>
      <c r="X897" s="4" t="str">
        <f>IF($D897="","",SUMPRODUCT(($C$2:C897=D897)+($D$2:D897=D897)))</f>
        <v/>
      </c>
      <c r="Y897" s="4" t="str">
        <f t="shared" si="78"/>
        <v/>
      </c>
      <c r="Z897" s="4" t="str">
        <f t="shared" si="79"/>
        <v/>
      </c>
      <c r="AA897" s="4" t="str">
        <f>IF($C897="","",IF(COUNTIF($C$1:C896,$C897)+COUNTIF($D$1:D896,$C897)=0,1,0))</f>
        <v/>
      </c>
      <c r="AB897" s="4" t="str">
        <f>IF($D897="","",IF(COUNTIF($C$1:C897,$D897)+COUNTIF($D$1:D896,$D897)=0,1,0))</f>
        <v/>
      </c>
      <c r="AC897" s="4" t="str">
        <f>IF(AA897=1,SUM($AA$2:AA897)-AA897+SUM($AB$2:AB897)-AB897+1,"")</f>
        <v/>
      </c>
      <c r="AD897" s="4" t="str">
        <f>IF(AB897=1,SUM($AA$2:AA897)+SUM($AB$2:AB897)-AB897+1,"")</f>
        <v/>
      </c>
      <c r="AE897" s="4" t="str">
        <f t="shared" si="80"/>
        <v/>
      </c>
      <c r="AF897" s="4" t="str">
        <f t="shared" si="81"/>
        <v/>
      </c>
      <c r="AG897" s="8">
        <f t="shared" si="82"/>
        <v>0</v>
      </c>
      <c r="AI897" s="8">
        <f t="shared" si="83"/>
        <v>0</v>
      </c>
    </row>
    <row r="898" spans="23:35" ht="15" customHeight="1" x14ac:dyDescent="0.25">
      <c r="W898" s="4" t="str">
        <f>IF($C898="","",SUMPRODUCT(($C$2:C898=C898)+($D$2:D898=C898)))</f>
        <v/>
      </c>
      <c r="X898" s="4" t="str">
        <f>IF($D898="","",SUMPRODUCT(($C$2:C898=D898)+($D$2:D898=D898)))</f>
        <v/>
      </c>
      <c r="Y898" s="4" t="str">
        <f t="shared" ref="Y898:Y961" si="84">IF($C898="","",C898&amp;"|"&amp;W898)</f>
        <v/>
      </c>
      <c r="Z898" s="4" t="str">
        <f t="shared" ref="Z898:Z961" si="85">IF($D898="","",D898&amp;"|"&amp;X898)</f>
        <v/>
      </c>
      <c r="AA898" s="4" t="str">
        <f>IF($C898="","",IF(COUNTIF($C$1:C897,$C898)+COUNTIF($D$1:D897,$C898)=0,1,0))</f>
        <v/>
      </c>
      <c r="AB898" s="4" t="str">
        <f>IF($D898="","",IF(COUNTIF($C$1:C898,$D898)+COUNTIF($D$1:D897,$D898)=0,1,0))</f>
        <v/>
      </c>
      <c r="AC898" s="4" t="str">
        <f>IF(AA898=1,SUM($AA$2:AA898)-AA898+SUM($AB$2:AB898)-AB898+1,"")</f>
        <v/>
      </c>
      <c r="AD898" s="4" t="str">
        <f>IF(AB898=1,SUM($AA$2:AA898)+SUM($AB$2:AB898)-AB898+1,"")</f>
        <v/>
      </c>
      <c r="AE898" s="4" t="str">
        <f t="shared" ref="AE898:AE961" si="86">IF(AC898="","","TEAM|"&amp;AC898)</f>
        <v/>
      </c>
      <c r="AF898" s="4" t="str">
        <f t="shared" ref="AF898:AF961" si="87">IF(AD898="","","TEAM|"&amp;AD898)</f>
        <v/>
      </c>
      <c r="AG898" s="8">
        <f t="shared" ref="AG898:AG961" si="88">IF(AH898="",0,LEN(AH898)-LEN(SUBSTITUTE(AH898,"/",""))+1)</f>
        <v>0</v>
      </c>
      <c r="AI898" s="8">
        <f t="shared" ref="AI898:AI961" si="89">IF(AJ898="",0,LEN(AJ898)-LEN(SUBSTITUTE(AJ898,"/",""))+1)</f>
        <v>0</v>
      </c>
    </row>
    <row r="899" spans="23:35" ht="15" customHeight="1" x14ac:dyDescent="0.25">
      <c r="W899" s="4" t="str">
        <f>IF($C899="","",SUMPRODUCT(($C$2:C899=C899)+($D$2:D899=C899)))</f>
        <v/>
      </c>
      <c r="X899" s="4" t="str">
        <f>IF($D899="","",SUMPRODUCT(($C$2:C899=D899)+($D$2:D899=D899)))</f>
        <v/>
      </c>
      <c r="Y899" s="4" t="str">
        <f t="shared" si="84"/>
        <v/>
      </c>
      <c r="Z899" s="4" t="str">
        <f t="shared" si="85"/>
        <v/>
      </c>
      <c r="AA899" s="4" t="str">
        <f>IF($C899="","",IF(COUNTIF($C$1:C898,$C899)+COUNTIF($D$1:D898,$C899)=0,1,0))</f>
        <v/>
      </c>
      <c r="AB899" s="4" t="str">
        <f>IF($D899="","",IF(COUNTIF($C$1:C899,$D899)+COUNTIF($D$1:D898,$D899)=0,1,0))</f>
        <v/>
      </c>
      <c r="AC899" s="4" t="str">
        <f>IF(AA899=1,SUM($AA$2:AA899)-AA899+SUM($AB$2:AB899)-AB899+1,"")</f>
        <v/>
      </c>
      <c r="AD899" s="4" t="str">
        <f>IF(AB899=1,SUM($AA$2:AA899)+SUM($AB$2:AB899)-AB899+1,"")</f>
        <v/>
      </c>
      <c r="AE899" s="4" t="str">
        <f t="shared" si="86"/>
        <v/>
      </c>
      <c r="AF899" s="4" t="str">
        <f t="shared" si="87"/>
        <v/>
      </c>
      <c r="AG899" s="8">
        <f t="shared" si="88"/>
        <v>0</v>
      </c>
      <c r="AI899" s="8">
        <f t="shared" si="89"/>
        <v>0</v>
      </c>
    </row>
    <row r="900" spans="23:35" ht="15" customHeight="1" x14ac:dyDescent="0.25">
      <c r="W900" s="4" t="str">
        <f>IF($C900="","",SUMPRODUCT(($C$2:C900=C900)+($D$2:D900=C900)))</f>
        <v/>
      </c>
      <c r="X900" s="4" t="str">
        <f>IF($D900="","",SUMPRODUCT(($C$2:C900=D900)+($D$2:D900=D900)))</f>
        <v/>
      </c>
      <c r="Y900" s="4" t="str">
        <f t="shared" si="84"/>
        <v/>
      </c>
      <c r="Z900" s="4" t="str">
        <f t="shared" si="85"/>
        <v/>
      </c>
      <c r="AA900" s="4" t="str">
        <f>IF($C900="","",IF(COUNTIF($C$1:C899,$C900)+COUNTIF($D$1:D899,$C900)=0,1,0))</f>
        <v/>
      </c>
      <c r="AB900" s="4" t="str">
        <f>IF($D900="","",IF(COUNTIF($C$1:C900,$D900)+COUNTIF($D$1:D899,$D900)=0,1,0))</f>
        <v/>
      </c>
      <c r="AC900" s="4" t="str">
        <f>IF(AA900=1,SUM($AA$2:AA900)-AA900+SUM($AB$2:AB900)-AB900+1,"")</f>
        <v/>
      </c>
      <c r="AD900" s="4" t="str">
        <f>IF(AB900=1,SUM($AA$2:AA900)+SUM($AB$2:AB900)-AB900+1,"")</f>
        <v/>
      </c>
      <c r="AE900" s="4" t="str">
        <f t="shared" si="86"/>
        <v/>
      </c>
      <c r="AF900" s="4" t="str">
        <f t="shared" si="87"/>
        <v/>
      </c>
      <c r="AG900" s="8">
        <f t="shared" si="88"/>
        <v>0</v>
      </c>
      <c r="AI900" s="8">
        <f t="shared" si="89"/>
        <v>0</v>
      </c>
    </row>
    <row r="901" spans="23:35" ht="15" customHeight="1" x14ac:dyDescent="0.25">
      <c r="W901" s="4" t="str">
        <f>IF($C901="","",SUMPRODUCT(($C$2:C901=C901)+($D$2:D901=C901)))</f>
        <v/>
      </c>
      <c r="X901" s="4" t="str">
        <f>IF($D901="","",SUMPRODUCT(($C$2:C901=D901)+($D$2:D901=D901)))</f>
        <v/>
      </c>
      <c r="Y901" s="4" t="str">
        <f t="shared" si="84"/>
        <v/>
      </c>
      <c r="Z901" s="4" t="str">
        <f t="shared" si="85"/>
        <v/>
      </c>
      <c r="AA901" s="4" t="str">
        <f>IF($C901="","",IF(COUNTIF($C$1:C900,$C901)+COUNTIF($D$1:D900,$C901)=0,1,0))</f>
        <v/>
      </c>
      <c r="AB901" s="4" t="str">
        <f>IF($D901="","",IF(COUNTIF($C$1:C901,$D901)+COUNTIF($D$1:D900,$D901)=0,1,0))</f>
        <v/>
      </c>
      <c r="AC901" s="4" t="str">
        <f>IF(AA901=1,SUM($AA$2:AA901)-AA901+SUM($AB$2:AB901)-AB901+1,"")</f>
        <v/>
      </c>
      <c r="AD901" s="4" t="str">
        <f>IF(AB901=1,SUM($AA$2:AA901)+SUM($AB$2:AB901)-AB901+1,"")</f>
        <v/>
      </c>
      <c r="AE901" s="4" t="str">
        <f t="shared" si="86"/>
        <v/>
      </c>
      <c r="AF901" s="4" t="str">
        <f t="shared" si="87"/>
        <v/>
      </c>
      <c r="AG901" s="8">
        <f t="shared" si="88"/>
        <v>0</v>
      </c>
      <c r="AI901" s="8">
        <f t="shared" si="89"/>
        <v>0</v>
      </c>
    </row>
    <row r="902" spans="23:35" ht="15" customHeight="1" x14ac:dyDescent="0.25">
      <c r="W902" s="4" t="str">
        <f>IF($C902="","",SUMPRODUCT(($C$2:C902=C902)+($D$2:D902=C902)))</f>
        <v/>
      </c>
      <c r="X902" s="4" t="str">
        <f>IF($D902="","",SUMPRODUCT(($C$2:C902=D902)+($D$2:D902=D902)))</f>
        <v/>
      </c>
      <c r="Y902" s="4" t="str">
        <f t="shared" si="84"/>
        <v/>
      </c>
      <c r="Z902" s="4" t="str">
        <f t="shared" si="85"/>
        <v/>
      </c>
      <c r="AA902" s="4" t="str">
        <f>IF($C902="","",IF(COUNTIF($C$1:C901,$C902)+COUNTIF($D$1:D901,$C902)=0,1,0))</f>
        <v/>
      </c>
      <c r="AB902" s="4" t="str">
        <f>IF($D902="","",IF(COUNTIF($C$1:C902,$D902)+COUNTIF($D$1:D901,$D902)=0,1,0))</f>
        <v/>
      </c>
      <c r="AC902" s="4" t="str">
        <f>IF(AA902=1,SUM($AA$2:AA902)-AA902+SUM($AB$2:AB902)-AB902+1,"")</f>
        <v/>
      </c>
      <c r="AD902" s="4" t="str">
        <f>IF(AB902=1,SUM($AA$2:AA902)+SUM($AB$2:AB902)-AB902+1,"")</f>
        <v/>
      </c>
      <c r="AE902" s="4" t="str">
        <f t="shared" si="86"/>
        <v/>
      </c>
      <c r="AF902" s="4" t="str">
        <f t="shared" si="87"/>
        <v/>
      </c>
      <c r="AG902" s="8">
        <f t="shared" si="88"/>
        <v>0</v>
      </c>
      <c r="AI902" s="8">
        <f t="shared" si="89"/>
        <v>0</v>
      </c>
    </row>
    <row r="903" spans="23:35" ht="15" customHeight="1" x14ac:dyDescent="0.25">
      <c r="W903" s="4" t="str">
        <f>IF($C903="","",SUMPRODUCT(($C$2:C903=C903)+($D$2:D903=C903)))</f>
        <v/>
      </c>
      <c r="X903" s="4" t="str">
        <f>IF($D903="","",SUMPRODUCT(($C$2:C903=D903)+($D$2:D903=D903)))</f>
        <v/>
      </c>
      <c r="Y903" s="4" t="str">
        <f t="shared" si="84"/>
        <v/>
      </c>
      <c r="Z903" s="4" t="str">
        <f t="shared" si="85"/>
        <v/>
      </c>
      <c r="AA903" s="4" t="str">
        <f>IF($C903="","",IF(COUNTIF($C$1:C902,$C903)+COUNTIF($D$1:D902,$C903)=0,1,0))</f>
        <v/>
      </c>
      <c r="AB903" s="4" t="str">
        <f>IF($D903="","",IF(COUNTIF($C$1:C903,$D903)+COUNTIF($D$1:D902,$D903)=0,1,0))</f>
        <v/>
      </c>
      <c r="AC903" s="4" t="str">
        <f>IF(AA903=1,SUM($AA$2:AA903)-AA903+SUM($AB$2:AB903)-AB903+1,"")</f>
        <v/>
      </c>
      <c r="AD903" s="4" t="str">
        <f>IF(AB903=1,SUM($AA$2:AA903)+SUM($AB$2:AB903)-AB903+1,"")</f>
        <v/>
      </c>
      <c r="AE903" s="4" t="str">
        <f t="shared" si="86"/>
        <v/>
      </c>
      <c r="AF903" s="4" t="str">
        <f t="shared" si="87"/>
        <v/>
      </c>
      <c r="AG903" s="8">
        <f t="shared" si="88"/>
        <v>0</v>
      </c>
      <c r="AI903" s="8">
        <f t="shared" si="89"/>
        <v>0</v>
      </c>
    </row>
    <row r="904" spans="23:35" ht="15" customHeight="1" x14ac:dyDescent="0.25">
      <c r="W904" s="4" t="str">
        <f>IF($C904="","",SUMPRODUCT(($C$2:C904=C904)+($D$2:D904=C904)))</f>
        <v/>
      </c>
      <c r="X904" s="4" t="str">
        <f>IF($D904="","",SUMPRODUCT(($C$2:C904=D904)+($D$2:D904=D904)))</f>
        <v/>
      </c>
      <c r="Y904" s="4" t="str">
        <f t="shared" si="84"/>
        <v/>
      </c>
      <c r="Z904" s="4" t="str">
        <f t="shared" si="85"/>
        <v/>
      </c>
      <c r="AA904" s="4" t="str">
        <f>IF($C904="","",IF(COUNTIF($C$1:C903,$C904)+COUNTIF($D$1:D903,$C904)=0,1,0))</f>
        <v/>
      </c>
      <c r="AB904" s="4" t="str">
        <f>IF($D904="","",IF(COUNTIF($C$1:C904,$D904)+COUNTIF($D$1:D903,$D904)=0,1,0))</f>
        <v/>
      </c>
      <c r="AC904" s="4" t="str">
        <f>IF(AA904=1,SUM($AA$2:AA904)-AA904+SUM($AB$2:AB904)-AB904+1,"")</f>
        <v/>
      </c>
      <c r="AD904" s="4" t="str">
        <f>IF(AB904=1,SUM($AA$2:AA904)+SUM($AB$2:AB904)-AB904+1,"")</f>
        <v/>
      </c>
      <c r="AE904" s="4" t="str">
        <f t="shared" si="86"/>
        <v/>
      </c>
      <c r="AF904" s="4" t="str">
        <f t="shared" si="87"/>
        <v/>
      </c>
      <c r="AG904" s="8">
        <f t="shared" si="88"/>
        <v>0</v>
      </c>
      <c r="AI904" s="8">
        <f t="shared" si="89"/>
        <v>0</v>
      </c>
    </row>
    <row r="905" spans="23:35" ht="15" customHeight="1" x14ac:dyDescent="0.25">
      <c r="W905" s="4" t="str">
        <f>IF($C905="","",SUMPRODUCT(($C$2:C905=C905)+($D$2:D905=C905)))</f>
        <v/>
      </c>
      <c r="X905" s="4" t="str">
        <f>IF($D905="","",SUMPRODUCT(($C$2:C905=D905)+($D$2:D905=D905)))</f>
        <v/>
      </c>
      <c r="Y905" s="4" t="str">
        <f t="shared" si="84"/>
        <v/>
      </c>
      <c r="Z905" s="4" t="str">
        <f t="shared" si="85"/>
        <v/>
      </c>
      <c r="AA905" s="4" t="str">
        <f>IF($C905="","",IF(COUNTIF($C$1:C904,$C905)+COUNTIF($D$1:D904,$C905)=0,1,0))</f>
        <v/>
      </c>
      <c r="AB905" s="4" t="str">
        <f>IF($D905="","",IF(COUNTIF($C$1:C905,$D905)+COUNTIF($D$1:D904,$D905)=0,1,0))</f>
        <v/>
      </c>
      <c r="AC905" s="4" t="str">
        <f>IF(AA905=1,SUM($AA$2:AA905)-AA905+SUM($AB$2:AB905)-AB905+1,"")</f>
        <v/>
      </c>
      <c r="AD905" s="4" t="str">
        <f>IF(AB905=1,SUM($AA$2:AA905)+SUM($AB$2:AB905)-AB905+1,"")</f>
        <v/>
      </c>
      <c r="AE905" s="4" t="str">
        <f t="shared" si="86"/>
        <v/>
      </c>
      <c r="AF905" s="4" t="str">
        <f t="shared" si="87"/>
        <v/>
      </c>
      <c r="AG905" s="8">
        <f t="shared" si="88"/>
        <v>0</v>
      </c>
      <c r="AI905" s="8">
        <f t="shared" si="89"/>
        <v>0</v>
      </c>
    </row>
    <row r="906" spans="23:35" ht="15" customHeight="1" x14ac:dyDescent="0.25">
      <c r="W906" s="4" t="str">
        <f>IF($C906="","",SUMPRODUCT(($C$2:C906=C906)+($D$2:D906=C906)))</f>
        <v/>
      </c>
      <c r="X906" s="4" t="str">
        <f>IF($D906="","",SUMPRODUCT(($C$2:C906=D906)+($D$2:D906=D906)))</f>
        <v/>
      </c>
      <c r="Y906" s="4" t="str">
        <f t="shared" si="84"/>
        <v/>
      </c>
      <c r="Z906" s="4" t="str">
        <f t="shared" si="85"/>
        <v/>
      </c>
      <c r="AA906" s="4" t="str">
        <f>IF($C906="","",IF(COUNTIF($C$1:C905,$C906)+COUNTIF($D$1:D905,$C906)=0,1,0))</f>
        <v/>
      </c>
      <c r="AB906" s="4" t="str">
        <f>IF($D906="","",IF(COUNTIF($C$1:C906,$D906)+COUNTIF($D$1:D905,$D906)=0,1,0))</f>
        <v/>
      </c>
      <c r="AC906" s="4" t="str">
        <f>IF(AA906=1,SUM($AA$2:AA906)-AA906+SUM($AB$2:AB906)-AB906+1,"")</f>
        <v/>
      </c>
      <c r="AD906" s="4" t="str">
        <f>IF(AB906=1,SUM($AA$2:AA906)+SUM($AB$2:AB906)-AB906+1,"")</f>
        <v/>
      </c>
      <c r="AE906" s="4" t="str">
        <f t="shared" si="86"/>
        <v/>
      </c>
      <c r="AF906" s="4" t="str">
        <f t="shared" si="87"/>
        <v/>
      </c>
      <c r="AG906" s="8">
        <f t="shared" si="88"/>
        <v>0</v>
      </c>
      <c r="AI906" s="8">
        <f t="shared" si="89"/>
        <v>0</v>
      </c>
    </row>
    <row r="907" spans="23:35" ht="15" customHeight="1" x14ac:dyDescent="0.25">
      <c r="W907" s="4" t="str">
        <f>IF($C907="","",SUMPRODUCT(($C$2:C907=C907)+($D$2:D907=C907)))</f>
        <v/>
      </c>
      <c r="X907" s="4" t="str">
        <f>IF($D907="","",SUMPRODUCT(($C$2:C907=D907)+($D$2:D907=D907)))</f>
        <v/>
      </c>
      <c r="Y907" s="4" t="str">
        <f t="shared" si="84"/>
        <v/>
      </c>
      <c r="Z907" s="4" t="str">
        <f t="shared" si="85"/>
        <v/>
      </c>
      <c r="AA907" s="4" t="str">
        <f>IF($C907="","",IF(COUNTIF($C$1:C906,$C907)+COUNTIF($D$1:D906,$C907)=0,1,0))</f>
        <v/>
      </c>
      <c r="AB907" s="4" t="str">
        <f>IF($D907="","",IF(COUNTIF($C$1:C907,$D907)+COUNTIF($D$1:D906,$D907)=0,1,0))</f>
        <v/>
      </c>
      <c r="AC907" s="4" t="str">
        <f>IF(AA907=1,SUM($AA$2:AA907)-AA907+SUM($AB$2:AB907)-AB907+1,"")</f>
        <v/>
      </c>
      <c r="AD907" s="4" t="str">
        <f>IF(AB907=1,SUM($AA$2:AA907)+SUM($AB$2:AB907)-AB907+1,"")</f>
        <v/>
      </c>
      <c r="AE907" s="4" t="str">
        <f t="shared" si="86"/>
        <v/>
      </c>
      <c r="AF907" s="4" t="str">
        <f t="shared" si="87"/>
        <v/>
      </c>
      <c r="AG907" s="8">
        <f t="shared" si="88"/>
        <v>0</v>
      </c>
      <c r="AI907" s="8">
        <f t="shared" si="89"/>
        <v>0</v>
      </c>
    </row>
    <row r="908" spans="23:35" ht="15" customHeight="1" x14ac:dyDescent="0.25">
      <c r="W908" s="4" t="str">
        <f>IF($C908="","",SUMPRODUCT(($C$2:C908=C908)+($D$2:D908=C908)))</f>
        <v/>
      </c>
      <c r="X908" s="4" t="str">
        <f>IF($D908="","",SUMPRODUCT(($C$2:C908=D908)+($D$2:D908=D908)))</f>
        <v/>
      </c>
      <c r="Y908" s="4" t="str">
        <f t="shared" si="84"/>
        <v/>
      </c>
      <c r="Z908" s="4" t="str">
        <f t="shared" si="85"/>
        <v/>
      </c>
      <c r="AA908" s="4" t="str">
        <f>IF($C908="","",IF(COUNTIF($C$1:C907,$C908)+COUNTIF($D$1:D907,$C908)=0,1,0))</f>
        <v/>
      </c>
      <c r="AB908" s="4" t="str">
        <f>IF($D908="","",IF(COUNTIF($C$1:C908,$D908)+COUNTIF($D$1:D907,$D908)=0,1,0))</f>
        <v/>
      </c>
      <c r="AC908" s="4" t="str">
        <f>IF(AA908=1,SUM($AA$2:AA908)-AA908+SUM($AB$2:AB908)-AB908+1,"")</f>
        <v/>
      </c>
      <c r="AD908" s="4" t="str">
        <f>IF(AB908=1,SUM($AA$2:AA908)+SUM($AB$2:AB908)-AB908+1,"")</f>
        <v/>
      </c>
      <c r="AE908" s="4" t="str">
        <f t="shared" si="86"/>
        <v/>
      </c>
      <c r="AF908" s="4" t="str">
        <f t="shared" si="87"/>
        <v/>
      </c>
      <c r="AG908" s="8">
        <f t="shared" si="88"/>
        <v>0</v>
      </c>
      <c r="AI908" s="8">
        <f t="shared" si="89"/>
        <v>0</v>
      </c>
    </row>
    <row r="909" spans="23:35" ht="15" customHeight="1" x14ac:dyDescent="0.25">
      <c r="W909" s="4" t="str">
        <f>IF($C909="","",SUMPRODUCT(($C$2:C909=C909)+($D$2:D909=C909)))</f>
        <v/>
      </c>
      <c r="X909" s="4" t="str">
        <f>IF($D909="","",SUMPRODUCT(($C$2:C909=D909)+($D$2:D909=D909)))</f>
        <v/>
      </c>
      <c r="Y909" s="4" t="str">
        <f t="shared" si="84"/>
        <v/>
      </c>
      <c r="Z909" s="4" t="str">
        <f t="shared" si="85"/>
        <v/>
      </c>
      <c r="AA909" s="4" t="str">
        <f>IF($C909="","",IF(COUNTIF($C$1:C908,$C909)+COUNTIF($D$1:D908,$C909)=0,1,0))</f>
        <v/>
      </c>
      <c r="AB909" s="4" t="str">
        <f>IF($D909="","",IF(COUNTIF($C$1:C909,$D909)+COUNTIF($D$1:D908,$D909)=0,1,0))</f>
        <v/>
      </c>
      <c r="AC909" s="4" t="str">
        <f>IF(AA909=1,SUM($AA$2:AA909)-AA909+SUM($AB$2:AB909)-AB909+1,"")</f>
        <v/>
      </c>
      <c r="AD909" s="4" t="str">
        <f>IF(AB909=1,SUM($AA$2:AA909)+SUM($AB$2:AB909)-AB909+1,"")</f>
        <v/>
      </c>
      <c r="AE909" s="4" t="str">
        <f t="shared" si="86"/>
        <v/>
      </c>
      <c r="AF909" s="4" t="str">
        <f t="shared" si="87"/>
        <v/>
      </c>
      <c r="AG909" s="8">
        <f t="shared" si="88"/>
        <v>0</v>
      </c>
      <c r="AI909" s="8">
        <f t="shared" si="89"/>
        <v>0</v>
      </c>
    </row>
    <row r="910" spans="23:35" ht="15" customHeight="1" x14ac:dyDescent="0.25">
      <c r="W910" s="4" t="str">
        <f>IF($C910="","",SUMPRODUCT(($C$2:C910=C910)+($D$2:D910=C910)))</f>
        <v/>
      </c>
      <c r="X910" s="4" t="str">
        <f>IF($D910="","",SUMPRODUCT(($C$2:C910=D910)+($D$2:D910=D910)))</f>
        <v/>
      </c>
      <c r="Y910" s="4" t="str">
        <f t="shared" si="84"/>
        <v/>
      </c>
      <c r="Z910" s="4" t="str">
        <f t="shared" si="85"/>
        <v/>
      </c>
      <c r="AA910" s="4" t="str">
        <f>IF($C910="","",IF(COUNTIF($C$1:C909,$C910)+COUNTIF($D$1:D909,$C910)=0,1,0))</f>
        <v/>
      </c>
      <c r="AB910" s="4" t="str">
        <f>IF($D910="","",IF(COUNTIF($C$1:C910,$D910)+COUNTIF($D$1:D909,$D910)=0,1,0))</f>
        <v/>
      </c>
      <c r="AC910" s="4" t="str">
        <f>IF(AA910=1,SUM($AA$2:AA910)-AA910+SUM($AB$2:AB910)-AB910+1,"")</f>
        <v/>
      </c>
      <c r="AD910" s="4" t="str">
        <f>IF(AB910=1,SUM($AA$2:AA910)+SUM($AB$2:AB910)-AB910+1,"")</f>
        <v/>
      </c>
      <c r="AE910" s="4" t="str">
        <f t="shared" si="86"/>
        <v/>
      </c>
      <c r="AF910" s="4" t="str">
        <f t="shared" si="87"/>
        <v/>
      </c>
      <c r="AG910" s="8">
        <f t="shared" si="88"/>
        <v>0</v>
      </c>
      <c r="AI910" s="8">
        <f t="shared" si="89"/>
        <v>0</v>
      </c>
    </row>
    <row r="911" spans="23:35" ht="15" customHeight="1" x14ac:dyDescent="0.25">
      <c r="W911" s="4" t="str">
        <f>IF($C911="","",SUMPRODUCT(($C$2:C911=C911)+($D$2:D911=C911)))</f>
        <v/>
      </c>
      <c r="X911" s="4" t="str">
        <f>IF($D911="","",SUMPRODUCT(($C$2:C911=D911)+($D$2:D911=D911)))</f>
        <v/>
      </c>
      <c r="Y911" s="4" t="str">
        <f t="shared" si="84"/>
        <v/>
      </c>
      <c r="Z911" s="4" t="str">
        <f t="shared" si="85"/>
        <v/>
      </c>
      <c r="AA911" s="4" t="str">
        <f>IF($C911="","",IF(COUNTIF($C$1:C910,$C911)+COUNTIF($D$1:D910,$C911)=0,1,0))</f>
        <v/>
      </c>
      <c r="AB911" s="4" t="str">
        <f>IF($D911="","",IF(COUNTIF($C$1:C911,$D911)+COUNTIF($D$1:D910,$D911)=0,1,0))</f>
        <v/>
      </c>
      <c r="AC911" s="4" t="str">
        <f>IF(AA911=1,SUM($AA$2:AA911)-AA911+SUM($AB$2:AB911)-AB911+1,"")</f>
        <v/>
      </c>
      <c r="AD911" s="4" t="str">
        <f>IF(AB911=1,SUM($AA$2:AA911)+SUM($AB$2:AB911)-AB911+1,"")</f>
        <v/>
      </c>
      <c r="AE911" s="4" t="str">
        <f t="shared" si="86"/>
        <v/>
      </c>
      <c r="AF911" s="4" t="str">
        <f t="shared" si="87"/>
        <v/>
      </c>
      <c r="AG911" s="8">
        <f t="shared" si="88"/>
        <v>0</v>
      </c>
      <c r="AI911" s="8">
        <f t="shared" si="89"/>
        <v>0</v>
      </c>
    </row>
    <row r="912" spans="23:35" ht="15" customHeight="1" x14ac:dyDescent="0.25">
      <c r="W912" s="4" t="str">
        <f>IF($C912="","",SUMPRODUCT(($C$2:C912=C912)+($D$2:D912=C912)))</f>
        <v/>
      </c>
      <c r="X912" s="4" t="str">
        <f>IF($D912="","",SUMPRODUCT(($C$2:C912=D912)+($D$2:D912=D912)))</f>
        <v/>
      </c>
      <c r="Y912" s="4" t="str">
        <f t="shared" si="84"/>
        <v/>
      </c>
      <c r="Z912" s="4" t="str">
        <f t="shared" si="85"/>
        <v/>
      </c>
      <c r="AA912" s="4" t="str">
        <f>IF($C912="","",IF(COUNTIF($C$1:C911,$C912)+COUNTIF($D$1:D911,$C912)=0,1,0))</f>
        <v/>
      </c>
      <c r="AB912" s="4" t="str">
        <f>IF($D912="","",IF(COUNTIF($C$1:C912,$D912)+COUNTIF($D$1:D911,$D912)=0,1,0))</f>
        <v/>
      </c>
      <c r="AC912" s="4" t="str">
        <f>IF(AA912=1,SUM($AA$2:AA912)-AA912+SUM($AB$2:AB912)-AB912+1,"")</f>
        <v/>
      </c>
      <c r="AD912" s="4" t="str">
        <f>IF(AB912=1,SUM($AA$2:AA912)+SUM($AB$2:AB912)-AB912+1,"")</f>
        <v/>
      </c>
      <c r="AE912" s="4" t="str">
        <f t="shared" si="86"/>
        <v/>
      </c>
      <c r="AF912" s="4" t="str">
        <f t="shared" si="87"/>
        <v/>
      </c>
      <c r="AG912" s="8">
        <f t="shared" si="88"/>
        <v>0</v>
      </c>
      <c r="AI912" s="8">
        <f t="shared" si="89"/>
        <v>0</v>
      </c>
    </row>
    <row r="913" spans="23:35" ht="15" customHeight="1" x14ac:dyDescent="0.25">
      <c r="W913" s="4" t="str">
        <f>IF($C913="","",SUMPRODUCT(($C$2:C913=C913)+($D$2:D913=C913)))</f>
        <v/>
      </c>
      <c r="X913" s="4" t="str">
        <f>IF($D913="","",SUMPRODUCT(($C$2:C913=D913)+($D$2:D913=D913)))</f>
        <v/>
      </c>
      <c r="Y913" s="4" t="str">
        <f t="shared" si="84"/>
        <v/>
      </c>
      <c r="Z913" s="4" t="str">
        <f t="shared" si="85"/>
        <v/>
      </c>
      <c r="AA913" s="4" t="str">
        <f>IF($C913="","",IF(COUNTIF($C$1:C912,$C913)+COUNTIF($D$1:D912,$C913)=0,1,0))</f>
        <v/>
      </c>
      <c r="AB913" s="4" t="str">
        <f>IF($D913="","",IF(COUNTIF($C$1:C913,$D913)+COUNTIF($D$1:D912,$D913)=0,1,0))</f>
        <v/>
      </c>
      <c r="AC913" s="4" t="str">
        <f>IF(AA913=1,SUM($AA$2:AA913)-AA913+SUM($AB$2:AB913)-AB913+1,"")</f>
        <v/>
      </c>
      <c r="AD913" s="4" t="str">
        <f>IF(AB913=1,SUM($AA$2:AA913)+SUM($AB$2:AB913)-AB913+1,"")</f>
        <v/>
      </c>
      <c r="AE913" s="4" t="str">
        <f t="shared" si="86"/>
        <v/>
      </c>
      <c r="AF913" s="4" t="str">
        <f t="shared" si="87"/>
        <v/>
      </c>
      <c r="AG913" s="8">
        <f t="shared" si="88"/>
        <v>0</v>
      </c>
      <c r="AI913" s="8">
        <f t="shared" si="89"/>
        <v>0</v>
      </c>
    </row>
    <row r="914" spans="23:35" ht="15" customHeight="1" x14ac:dyDescent="0.25">
      <c r="W914" s="4" t="str">
        <f>IF($C914="","",SUMPRODUCT(($C$2:C914=C914)+($D$2:D914=C914)))</f>
        <v/>
      </c>
      <c r="X914" s="4" t="str">
        <f>IF($D914="","",SUMPRODUCT(($C$2:C914=D914)+($D$2:D914=D914)))</f>
        <v/>
      </c>
      <c r="Y914" s="4" t="str">
        <f t="shared" si="84"/>
        <v/>
      </c>
      <c r="Z914" s="4" t="str">
        <f t="shared" si="85"/>
        <v/>
      </c>
      <c r="AA914" s="4" t="str">
        <f>IF($C914="","",IF(COUNTIF($C$1:C913,$C914)+COUNTIF($D$1:D913,$C914)=0,1,0))</f>
        <v/>
      </c>
      <c r="AB914" s="4" t="str">
        <f>IF($D914="","",IF(COUNTIF($C$1:C914,$D914)+COUNTIF($D$1:D913,$D914)=0,1,0))</f>
        <v/>
      </c>
      <c r="AC914" s="4" t="str">
        <f>IF(AA914=1,SUM($AA$2:AA914)-AA914+SUM($AB$2:AB914)-AB914+1,"")</f>
        <v/>
      </c>
      <c r="AD914" s="4" t="str">
        <f>IF(AB914=1,SUM($AA$2:AA914)+SUM($AB$2:AB914)-AB914+1,"")</f>
        <v/>
      </c>
      <c r="AE914" s="4" t="str">
        <f t="shared" si="86"/>
        <v/>
      </c>
      <c r="AF914" s="4" t="str">
        <f t="shared" si="87"/>
        <v/>
      </c>
      <c r="AG914" s="8">
        <f t="shared" si="88"/>
        <v>0</v>
      </c>
      <c r="AI914" s="8">
        <f t="shared" si="89"/>
        <v>0</v>
      </c>
    </row>
    <row r="915" spans="23:35" ht="15" customHeight="1" x14ac:dyDescent="0.25">
      <c r="W915" s="4" t="str">
        <f>IF($C915="","",SUMPRODUCT(($C$2:C915=C915)+($D$2:D915=C915)))</f>
        <v/>
      </c>
      <c r="X915" s="4" t="str">
        <f>IF($D915="","",SUMPRODUCT(($C$2:C915=D915)+($D$2:D915=D915)))</f>
        <v/>
      </c>
      <c r="Y915" s="4" t="str">
        <f t="shared" si="84"/>
        <v/>
      </c>
      <c r="Z915" s="4" t="str">
        <f t="shared" si="85"/>
        <v/>
      </c>
      <c r="AA915" s="4" t="str">
        <f>IF($C915="","",IF(COUNTIF($C$1:C914,$C915)+COUNTIF($D$1:D914,$C915)=0,1,0))</f>
        <v/>
      </c>
      <c r="AB915" s="4" t="str">
        <f>IF($D915="","",IF(COUNTIF($C$1:C915,$D915)+COUNTIF($D$1:D914,$D915)=0,1,0))</f>
        <v/>
      </c>
      <c r="AC915" s="4" t="str">
        <f>IF(AA915=1,SUM($AA$2:AA915)-AA915+SUM($AB$2:AB915)-AB915+1,"")</f>
        <v/>
      </c>
      <c r="AD915" s="4" t="str">
        <f>IF(AB915=1,SUM($AA$2:AA915)+SUM($AB$2:AB915)-AB915+1,"")</f>
        <v/>
      </c>
      <c r="AE915" s="4" t="str">
        <f t="shared" si="86"/>
        <v/>
      </c>
      <c r="AF915" s="4" t="str">
        <f t="shared" si="87"/>
        <v/>
      </c>
      <c r="AG915" s="8">
        <f t="shared" si="88"/>
        <v>0</v>
      </c>
      <c r="AI915" s="8">
        <f t="shared" si="89"/>
        <v>0</v>
      </c>
    </row>
    <row r="916" spans="23:35" ht="15" customHeight="1" x14ac:dyDescent="0.25">
      <c r="W916" s="4" t="str">
        <f>IF($C916="","",SUMPRODUCT(($C$2:C916=C916)+($D$2:D916=C916)))</f>
        <v/>
      </c>
      <c r="X916" s="4" t="str">
        <f>IF($D916="","",SUMPRODUCT(($C$2:C916=D916)+($D$2:D916=D916)))</f>
        <v/>
      </c>
      <c r="Y916" s="4" t="str">
        <f t="shared" si="84"/>
        <v/>
      </c>
      <c r="Z916" s="4" t="str">
        <f t="shared" si="85"/>
        <v/>
      </c>
      <c r="AA916" s="4" t="str">
        <f>IF($C916="","",IF(COUNTIF($C$1:C915,$C916)+COUNTIF($D$1:D915,$C916)=0,1,0))</f>
        <v/>
      </c>
      <c r="AB916" s="4" t="str">
        <f>IF($D916="","",IF(COUNTIF($C$1:C916,$D916)+COUNTIF($D$1:D915,$D916)=0,1,0))</f>
        <v/>
      </c>
      <c r="AC916" s="4" t="str">
        <f>IF(AA916=1,SUM($AA$2:AA916)-AA916+SUM($AB$2:AB916)-AB916+1,"")</f>
        <v/>
      </c>
      <c r="AD916" s="4" t="str">
        <f>IF(AB916=1,SUM($AA$2:AA916)+SUM($AB$2:AB916)-AB916+1,"")</f>
        <v/>
      </c>
      <c r="AE916" s="4" t="str">
        <f t="shared" si="86"/>
        <v/>
      </c>
      <c r="AF916" s="4" t="str">
        <f t="shared" si="87"/>
        <v/>
      </c>
      <c r="AG916" s="8">
        <f t="shared" si="88"/>
        <v>0</v>
      </c>
      <c r="AI916" s="8">
        <f t="shared" si="89"/>
        <v>0</v>
      </c>
    </row>
    <row r="917" spans="23:35" ht="15" customHeight="1" x14ac:dyDescent="0.25">
      <c r="W917" s="4" t="str">
        <f>IF($C917="","",SUMPRODUCT(($C$2:C917=C917)+($D$2:D917=C917)))</f>
        <v/>
      </c>
      <c r="X917" s="4" t="str">
        <f>IF($D917="","",SUMPRODUCT(($C$2:C917=D917)+($D$2:D917=D917)))</f>
        <v/>
      </c>
      <c r="Y917" s="4" t="str">
        <f t="shared" si="84"/>
        <v/>
      </c>
      <c r="Z917" s="4" t="str">
        <f t="shared" si="85"/>
        <v/>
      </c>
      <c r="AA917" s="4" t="str">
        <f>IF($C917="","",IF(COUNTIF($C$1:C916,$C917)+COUNTIF($D$1:D916,$C917)=0,1,0))</f>
        <v/>
      </c>
      <c r="AB917" s="4" t="str">
        <f>IF($D917="","",IF(COUNTIF($C$1:C917,$D917)+COUNTIF($D$1:D916,$D917)=0,1,0))</f>
        <v/>
      </c>
      <c r="AC917" s="4" t="str">
        <f>IF(AA917=1,SUM($AA$2:AA917)-AA917+SUM($AB$2:AB917)-AB917+1,"")</f>
        <v/>
      </c>
      <c r="AD917" s="4" t="str">
        <f>IF(AB917=1,SUM($AA$2:AA917)+SUM($AB$2:AB917)-AB917+1,"")</f>
        <v/>
      </c>
      <c r="AE917" s="4" t="str">
        <f t="shared" si="86"/>
        <v/>
      </c>
      <c r="AF917" s="4" t="str">
        <f t="shared" si="87"/>
        <v/>
      </c>
      <c r="AG917" s="8">
        <f t="shared" si="88"/>
        <v>0</v>
      </c>
      <c r="AI917" s="8">
        <f t="shared" si="89"/>
        <v>0</v>
      </c>
    </row>
    <row r="918" spans="23:35" ht="15" customHeight="1" x14ac:dyDescent="0.25">
      <c r="W918" s="4" t="str">
        <f>IF($C918="","",SUMPRODUCT(($C$2:C918=C918)+($D$2:D918=C918)))</f>
        <v/>
      </c>
      <c r="X918" s="4" t="str">
        <f>IF($D918="","",SUMPRODUCT(($C$2:C918=D918)+($D$2:D918=D918)))</f>
        <v/>
      </c>
      <c r="Y918" s="4" t="str">
        <f t="shared" si="84"/>
        <v/>
      </c>
      <c r="Z918" s="4" t="str">
        <f t="shared" si="85"/>
        <v/>
      </c>
      <c r="AA918" s="4" t="str">
        <f>IF($C918="","",IF(COUNTIF($C$1:C917,$C918)+COUNTIF($D$1:D917,$C918)=0,1,0))</f>
        <v/>
      </c>
      <c r="AB918" s="4" t="str">
        <f>IF($D918="","",IF(COUNTIF($C$1:C918,$D918)+COUNTIF($D$1:D917,$D918)=0,1,0))</f>
        <v/>
      </c>
      <c r="AC918" s="4" t="str">
        <f>IF(AA918=1,SUM($AA$2:AA918)-AA918+SUM($AB$2:AB918)-AB918+1,"")</f>
        <v/>
      </c>
      <c r="AD918" s="4" t="str">
        <f>IF(AB918=1,SUM($AA$2:AA918)+SUM($AB$2:AB918)-AB918+1,"")</f>
        <v/>
      </c>
      <c r="AE918" s="4" t="str">
        <f t="shared" si="86"/>
        <v/>
      </c>
      <c r="AF918" s="4" t="str">
        <f t="shared" si="87"/>
        <v/>
      </c>
      <c r="AG918" s="8">
        <f t="shared" si="88"/>
        <v>0</v>
      </c>
      <c r="AI918" s="8">
        <f t="shared" si="89"/>
        <v>0</v>
      </c>
    </row>
    <row r="919" spans="23:35" ht="15" customHeight="1" x14ac:dyDescent="0.25">
      <c r="W919" s="4" t="str">
        <f>IF($C919="","",SUMPRODUCT(($C$2:C919=C919)+($D$2:D919=C919)))</f>
        <v/>
      </c>
      <c r="X919" s="4" t="str">
        <f>IF($D919="","",SUMPRODUCT(($C$2:C919=D919)+($D$2:D919=D919)))</f>
        <v/>
      </c>
      <c r="Y919" s="4" t="str">
        <f t="shared" si="84"/>
        <v/>
      </c>
      <c r="Z919" s="4" t="str">
        <f t="shared" si="85"/>
        <v/>
      </c>
      <c r="AA919" s="4" t="str">
        <f>IF($C919="","",IF(COUNTIF($C$1:C918,$C919)+COUNTIF($D$1:D918,$C919)=0,1,0))</f>
        <v/>
      </c>
      <c r="AB919" s="4" t="str">
        <f>IF($D919="","",IF(COUNTIF($C$1:C919,$D919)+COUNTIF($D$1:D918,$D919)=0,1,0))</f>
        <v/>
      </c>
      <c r="AC919" s="4" t="str">
        <f>IF(AA919=1,SUM($AA$2:AA919)-AA919+SUM($AB$2:AB919)-AB919+1,"")</f>
        <v/>
      </c>
      <c r="AD919" s="4" t="str">
        <f>IF(AB919=1,SUM($AA$2:AA919)+SUM($AB$2:AB919)-AB919+1,"")</f>
        <v/>
      </c>
      <c r="AE919" s="4" t="str">
        <f t="shared" si="86"/>
        <v/>
      </c>
      <c r="AF919" s="4" t="str">
        <f t="shared" si="87"/>
        <v/>
      </c>
      <c r="AG919" s="8">
        <f t="shared" si="88"/>
        <v>0</v>
      </c>
      <c r="AI919" s="8">
        <f t="shared" si="89"/>
        <v>0</v>
      </c>
    </row>
    <row r="920" spans="23:35" ht="15" customHeight="1" x14ac:dyDescent="0.25">
      <c r="W920" s="4" t="str">
        <f>IF($C920="","",SUMPRODUCT(($C$2:C920=C920)+($D$2:D920=C920)))</f>
        <v/>
      </c>
      <c r="X920" s="4" t="str">
        <f>IF($D920="","",SUMPRODUCT(($C$2:C920=D920)+($D$2:D920=D920)))</f>
        <v/>
      </c>
      <c r="Y920" s="4" t="str">
        <f t="shared" si="84"/>
        <v/>
      </c>
      <c r="Z920" s="4" t="str">
        <f t="shared" si="85"/>
        <v/>
      </c>
      <c r="AA920" s="4" t="str">
        <f>IF($C920="","",IF(COUNTIF($C$1:C919,$C920)+COUNTIF($D$1:D919,$C920)=0,1,0))</f>
        <v/>
      </c>
      <c r="AB920" s="4" t="str">
        <f>IF($D920="","",IF(COUNTIF($C$1:C920,$D920)+COUNTIF($D$1:D919,$D920)=0,1,0))</f>
        <v/>
      </c>
      <c r="AC920" s="4" t="str">
        <f>IF(AA920=1,SUM($AA$2:AA920)-AA920+SUM($AB$2:AB920)-AB920+1,"")</f>
        <v/>
      </c>
      <c r="AD920" s="4" t="str">
        <f>IF(AB920=1,SUM($AA$2:AA920)+SUM($AB$2:AB920)-AB920+1,"")</f>
        <v/>
      </c>
      <c r="AE920" s="4" t="str">
        <f t="shared" si="86"/>
        <v/>
      </c>
      <c r="AF920" s="4" t="str">
        <f t="shared" si="87"/>
        <v/>
      </c>
      <c r="AG920" s="8">
        <f t="shared" si="88"/>
        <v>0</v>
      </c>
      <c r="AI920" s="8">
        <f t="shared" si="89"/>
        <v>0</v>
      </c>
    </row>
    <row r="921" spans="23:35" ht="15" customHeight="1" x14ac:dyDescent="0.25">
      <c r="W921" s="4" t="str">
        <f>IF($C921="","",SUMPRODUCT(($C$2:C921=C921)+($D$2:D921=C921)))</f>
        <v/>
      </c>
      <c r="X921" s="4" t="str">
        <f>IF($D921="","",SUMPRODUCT(($C$2:C921=D921)+($D$2:D921=D921)))</f>
        <v/>
      </c>
      <c r="Y921" s="4" t="str">
        <f t="shared" si="84"/>
        <v/>
      </c>
      <c r="Z921" s="4" t="str">
        <f t="shared" si="85"/>
        <v/>
      </c>
      <c r="AA921" s="4" t="str">
        <f>IF($C921="","",IF(COUNTIF($C$1:C920,$C921)+COUNTIF($D$1:D920,$C921)=0,1,0))</f>
        <v/>
      </c>
      <c r="AB921" s="4" t="str">
        <f>IF($D921="","",IF(COUNTIF($C$1:C921,$D921)+COUNTIF($D$1:D920,$D921)=0,1,0))</f>
        <v/>
      </c>
      <c r="AC921" s="4" t="str">
        <f>IF(AA921=1,SUM($AA$2:AA921)-AA921+SUM($AB$2:AB921)-AB921+1,"")</f>
        <v/>
      </c>
      <c r="AD921" s="4" t="str">
        <f>IF(AB921=1,SUM($AA$2:AA921)+SUM($AB$2:AB921)-AB921+1,"")</f>
        <v/>
      </c>
      <c r="AE921" s="4" t="str">
        <f t="shared" si="86"/>
        <v/>
      </c>
      <c r="AF921" s="4" t="str">
        <f t="shared" si="87"/>
        <v/>
      </c>
      <c r="AG921" s="8">
        <f t="shared" si="88"/>
        <v>0</v>
      </c>
      <c r="AI921" s="8">
        <f t="shared" si="89"/>
        <v>0</v>
      </c>
    </row>
    <row r="922" spans="23:35" ht="15" customHeight="1" x14ac:dyDescent="0.25">
      <c r="W922" s="4" t="str">
        <f>IF($C922="","",SUMPRODUCT(($C$2:C922=C922)+($D$2:D922=C922)))</f>
        <v/>
      </c>
      <c r="X922" s="4" t="str">
        <f>IF($D922="","",SUMPRODUCT(($C$2:C922=D922)+($D$2:D922=D922)))</f>
        <v/>
      </c>
      <c r="Y922" s="4" t="str">
        <f t="shared" si="84"/>
        <v/>
      </c>
      <c r="Z922" s="4" t="str">
        <f t="shared" si="85"/>
        <v/>
      </c>
      <c r="AA922" s="4" t="str">
        <f>IF($C922="","",IF(COUNTIF($C$1:C921,$C922)+COUNTIF($D$1:D921,$C922)=0,1,0))</f>
        <v/>
      </c>
      <c r="AB922" s="4" t="str">
        <f>IF($D922="","",IF(COUNTIF($C$1:C922,$D922)+COUNTIF($D$1:D921,$D922)=0,1,0))</f>
        <v/>
      </c>
      <c r="AC922" s="4" t="str">
        <f>IF(AA922=1,SUM($AA$2:AA922)-AA922+SUM($AB$2:AB922)-AB922+1,"")</f>
        <v/>
      </c>
      <c r="AD922" s="4" t="str">
        <f>IF(AB922=1,SUM($AA$2:AA922)+SUM($AB$2:AB922)-AB922+1,"")</f>
        <v/>
      </c>
      <c r="AE922" s="4" t="str">
        <f t="shared" si="86"/>
        <v/>
      </c>
      <c r="AF922" s="4" t="str">
        <f t="shared" si="87"/>
        <v/>
      </c>
      <c r="AG922" s="8">
        <f t="shared" si="88"/>
        <v>0</v>
      </c>
      <c r="AI922" s="8">
        <f t="shared" si="89"/>
        <v>0</v>
      </c>
    </row>
    <row r="923" spans="23:35" ht="15" customHeight="1" x14ac:dyDescent="0.25">
      <c r="W923" s="4" t="str">
        <f>IF($C923="","",SUMPRODUCT(($C$2:C923=C923)+($D$2:D923=C923)))</f>
        <v/>
      </c>
      <c r="X923" s="4" t="str">
        <f>IF($D923="","",SUMPRODUCT(($C$2:C923=D923)+($D$2:D923=D923)))</f>
        <v/>
      </c>
      <c r="Y923" s="4" t="str">
        <f t="shared" si="84"/>
        <v/>
      </c>
      <c r="Z923" s="4" t="str">
        <f t="shared" si="85"/>
        <v/>
      </c>
      <c r="AA923" s="4" t="str">
        <f>IF($C923="","",IF(COUNTIF($C$1:C922,$C923)+COUNTIF($D$1:D922,$C923)=0,1,0))</f>
        <v/>
      </c>
      <c r="AB923" s="4" t="str">
        <f>IF($D923="","",IF(COUNTIF($C$1:C923,$D923)+COUNTIF($D$1:D922,$D923)=0,1,0))</f>
        <v/>
      </c>
      <c r="AC923" s="4" t="str">
        <f>IF(AA923=1,SUM($AA$2:AA923)-AA923+SUM($AB$2:AB923)-AB923+1,"")</f>
        <v/>
      </c>
      <c r="AD923" s="4" t="str">
        <f>IF(AB923=1,SUM($AA$2:AA923)+SUM($AB$2:AB923)-AB923+1,"")</f>
        <v/>
      </c>
      <c r="AE923" s="4" t="str">
        <f t="shared" si="86"/>
        <v/>
      </c>
      <c r="AF923" s="4" t="str">
        <f t="shared" si="87"/>
        <v/>
      </c>
      <c r="AG923" s="8">
        <f t="shared" si="88"/>
        <v>0</v>
      </c>
      <c r="AI923" s="8">
        <f t="shared" si="89"/>
        <v>0</v>
      </c>
    </row>
    <row r="924" spans="23:35" ht="15" customHeight="1" x14ac:dyDescent="0.25">
      <c r="W924" s="4" t="str">
        <f>IF($C924="","",SUMPRODUCT(($C$2:C924=C924)+($D$2:D924=C924)))</f>
        <v/>
      </c>
      <c r="X924" s="4" t="str">
        <f>IF($D924="","",SUMPRODUCT(($C$2:C924=D924)+($D$2:D924=D924)))</f>
        <v/>
      </c>
      <c r="Y924" s="4" t="str">
        <f t="shared" si="84"/>
        <v/>
      </c>
      <c r="Z924" s="4" t="str">
        <f t="shared" si="85"/>
        <v/>
      </c>
      <c r="AA924" s="4" t="str">
        <f>IF($C924="","",IF(COUNTIF($C$1:C923,$C924)+COUNTIF($D$1:D923,$C924)=0,1,0))</f>
        <v/>
      </c>
      <c r="AB924" s="4" t="str">
        <f>IF($D924="","",IF(COUNTIF($C$1:C924,$D924)+COUNTIF($D$1:D923,$D924)=0,1,0))</f>
        <v/>
      </c>
      <c r="AC924" s="4" t="str">
        <f>IF(AA924=1,SUM($AA$2:AA924)-AA924+SUM($AB$2:AB924)-AB924+1,"")</f>
        <v/>
      </c>
      <c r="AD924" s="4" t="str">
        <f>IF(AB924=1,SUM($AA$2:AA924)+SUM($AB$2:AB924)-AB924+1,"")</f>
        <v/>
      </c>
      <c r="AE924" s="4" t="str">
        <f t="shared" si="86"/>
        <v/>
      </c>
      <c r="AF924" s="4" t="str">
        <f t="shared" si="87"/>
        <v/>
      </c>
      <c r="AG924" s="8">
        <f t="shared" si="88"/>
        <v>0</v>
      </c>
      <c r="AI924" s="8">
        <f t="shared" si="89"/>
        <v>0</v>
      </c>
    </row>
    <row r="925" spans="23:35" ht="15" customHeight="1" x14ac:dyDescent="0.25">
      <c r="W925" s="4" t="str">
        <f>IF($C925="","",SUMPRODUCT(($C$2:C925=C925)+($D$2:D925=C925)))</f>
        <v/>
      </c>
      <c r="X925" s="4" t="str">
        <f>IF($D925="","",SUMPRODUCT(($C$2:C925=D925)+($D$2:D925=D925)))</f>
        <v/>
      </c>
      <c r="Y925" s="4" t="str">
        <f t="shared" si="84"/>
        <v/>
      </c>
      <c r="Z925" s="4" t="str">
        <f t="shared" si="85"/>
        <v/>
      </c>
      <c r="AA925" s="4" t="str">
        <f>IF($C925="","",IF(COUNTIF($C$1:C924,$C925)+COUNTIF($D$1:D924,$C925)=0,1,0))</f>
        <v/>
      </c>
      <c r="AB925" s="4" t="str">
        <f>IF($D925="","",IF(COUNTIF($C$1:C925,$D925)+COUNTIF($D$1:D924,$D925)=0,1,0))</f>
        <v/>
      </c>
      <c r="AC925" s="4" t="str">
        <f>IF(AA925=1,SUM($AA$2:AA925)-AA925+SUM($AB$2:AB925)-AB925+1,"")</f>
        <v/>
      </c>
      <c r="AD925" s="4" t="str">
        <f>IF(AB925=1,SUM($AA$2:AA925)+SUM($AB$2:AB925)-AB925+1,"")</f>
        <v/>
      </c>
      <c r="AE925" s="4" t="str">
        <f t="shared" si="86"/>
        <v/>
      </c>
      <c r="AF925" s="4" t="str">
        <f t="shared" si="87"/>
        <v/>
      </c>
      <c r="AG925" s="8">
        <f t="shared" si="88"/>
        <v>0</v>
      </c>
      <c r="AI925" s="8">
        <f t="shared" si="89"/>
        <v>0</v>
      </c>
    </row>
    <row r="926" spans="23:35" ht="15" customHeight="1" x14ac:dyDescent="0.25">
      <c r="W926" s="4" t="str">
        <f>IF($C926="","",SUMPRODUCT(($C$2:C926=C926)+($D$2:D926=C926)))</f>
        <v/>
      </c>
      <c r="X926" s="4" t="str">
        <f>IF($D926="","",SUMPRODUCT(($C$2:C926=D926)+($D$2:D926=D926)))</f>
        <v/>
      </c>
      <c r="Y926" s="4" t="str">
        <f t="shared" si="84"/>
        <v/>
      </c>
      <c r="Z926" s="4" t="str">
        <f t="shared" si="85"/>
        <v/>
      </c>
      <c r="AA926" s="4" t="str">
        <f>IF($C926="","",IF(COUNTIF($C$1:C925,$C926)+COUNTIF($D$1:D925,$C926)=0,1,0))</f>
        <v/>
      </c>
      <c r="AB926" s="4" t="str">
        <f>IF($D926="","",IF(COUNTIF($C$1:C926,$D926)+COUNTIF($D$1:D925,$D926)=0,1,0))</f>
        <v/>
      </c>
      <c r="AC926" s="4" t="str">
        <f>IF(AA926=1,SUM($AA$2:AA926)-AA926+SUM($AB$2:AB926)-AB926+1,"")</f>
        <v/>
      </c>
      <c r="AD926" s="4" t="str">
        <f>IF(AB926=1,SUM($AA$2:AA926)+SUM($AB$2:AB926)-AB926+1,"")</f>
        <v/>
      </c>
      <c r="AE926" s="4" t="str">
        <f t="shared" si="86"/>
        <v/>
      </c>
      <c r="AF926" s="4" t="str">
        <f t="shared" si="87"/>
        <v/>
      </c>
      <c r="AG926" s="8">
        <f t="shared" si="88"/>
        <v>0</v>
      </c>
      <c r="AI926" s="8">
        <f t="shared" si="89"/>
        <v>0</v>
      </c>
    </row>
    <row r="927" spans="23:35" ht="15" customHeight="1" x14ac:dyDescent="0.25">
      <c r="W927" s="4" t="str">
        <f>IF($C927="","",SUMPRODUCT(($C$2:C927=C927)+($D$2:D927=C927)))</f>
        <v/>
      </c>
      <c r="X927" s="4" t="str">
        <f>IF($D927="","",SUMPRODUCT(($C$2:C927=D927)+($D$2:D927=D927)))</f>
        <v/>
      </c>
      <c r="Y927" s="4" t="str">
        <f t="shared" si="84"/>
        <v/>
      </c>
      <c r="Z927" s="4" t="str">
        <f t="shared" si="85"/>
        <v/>
      </c>
      <c r="AA927" s="4" t="str">
        <f>IF($C927="","",IF(COUNTIF($C$1:C926,$C927)+COUNTIF($D$1:D926,$C927)=0,1,0))</f>
        <v/>
      </c>
      <c r="AB927" s="4" t="str">
        <f>IF($D927="","",IF(COUNTIF($C$1:C927,$D927)+COUNTIF($D$1:D926,$D927)=0,1,0))</f>
        <v/>
      </c>
      <c r="AC927" s="4" t="str">
        <f>IF(AA927=1,SUM($AA$2:AA927)-AA927+SUM($AB$2:AB927)-AB927+1,"")</f>
        <v/>
      </c>
      <c r="AD927" s="4" t="str">
        <f>IF(AB927=1,SUM($AA$2:AA927)+SUM($AB$2:AB927)-AB927+1,"")</f>
        <v/>
      </c>
      <c r="AE927" s="4" t="str">
        <f t="shared" si="86"/>
        <v/>
      </c>
      <c r="AF927" s="4" t="str">
        <f t="shared" si="87"/>
        <v/>
      </c>
      <c r="AG927" s="8">
        <f t="shared" si="88"/>
        <v>0</v>
      </c>
      <c r="AI927" s="8">
        <f t="shared" si="89"/>
        <v>0</v>
      </c>
    </row>
    <row r="928" spans="23:35" ht="15" customHeight="1" x14ac:dyDescent="0.25">
      <c r="W928" s="4" t="str">
        <f>IF($C928="","",SUMPRODUCT(($C$2:C928=C928)+($D$2:D928=C928)))</f>
        <v/>
      </c>
      <c r="X928" s="4" t="str">
        <f>IF($D928="","",SUMPRODUCT(($C$2:C928=D928)+($D$2:D928=D928)))</f>
        <v/>
      </c>
      <c r="Y928" s="4" t="str">
        <f t="shared" si="84"/>
        <v/>
      </c>
      <c r="Z928" s="4" t="str">
        <f t="shared" si="85"/>
        <v/>
      </c>
      <c r="AA928" s="4" t="str">
        <f>IF($C928="","",IF(COUNTIF($C$1:C927,$C928)+COUNTIF($D$1:D927,$C928)=0,1,0))</f>
        <v/>
      </c>
      <c r="AB928" s="4" t="str">
        <f>IF($D928="","",IF(COUNTIF($C$1:C928,$D928)+COUNTIF($D$1:D927,$D928)=0,1,0))</f>
        <v/>
      </c>
      <c r="AC928" s="4" t="str">
        <f>IF(AA928=1,SUM($AA$2:AA928)-AA928+SUM($AB$2:AB928)-AB928+1,"")</f>
        <v/>
      </c>
      <c r="AD928" s="4" t="str">
        <f>IF(AB928=1,SUM($AA$2:AA928)+SUM($AB$2:AB928)-AB928+1,"")</f>
        <v/>
      </c>
      <c r="AE928" s="4" t="str">
        <f t="shared" si="86"/>
        <v/>
      </c>
      <c r="AF928" s="4" t="str">
        <f t="shared" si="87"/>
        <v/>
      </c>
      <c r="AG928" s="8">
        <f t="shared" si="88"/>
        <v>0</v>
      </c>
      <c r="AI928" s="8">
        <f t="shared" si="89"/>
        <v>0</v>
      </c>
    </row>
    <row r="929" spans="23:35" ht="15" customHeight="1" x14ac:dyDescent="0.25">
      <c r="W929" s="4" t="str">
        <f>IF($C929="","",SUMPRODUCT(($C$2:C929=C929)+($D$2:D929=C929)))</f>
        <v/>
      </c>
      <c r="X929" s="4" t="str">
        <f>IF($D929="","",SUMPRODUCT(($C$2:C929=D929)+($D$2:D929=D929)))</f>
        <v/>
      </c>
      <c r="Y929" s="4" t="str">
        <f t="shared" si="84"/>
        <v/>
      </c>
      <c r="Z929" s="4" t="str">
        <f t="shared" si="85"/>
        <v/>
      </c>
      <c r="AA929" s="4" t="str">
        <f>IF($C929="","",IF(COUNTIF($C$1:C928,$C929)+COUNTIF($D$1:D928,$C929)=0,1,0))</f>
        <v/>
      </c>
      <c r="AB929" s="4" t="str">
        <f>IF($D929="","",IF(COUNTIF($C$1:C929,$D929)+COUNTIF($D$1:D928,$D929)=0,1,0))</f>
        <v/>
      </c>
      <c r="AC929" s="4" t="str">
        <f>IF(AA929=1,SUM($AA$2:AA929)-AA929+SUM($AB$2:AB929)-AB929+1,"")</f>
        <v/>
      </c>
      <c r="AD929" s="4" t="str">
        <f>IF(AB929=1,SUM($AA$2:AA929)+SUM($AB$2:AB929)-AB929+1,"")</f>
        <v/>
      </c>
      <c r="AE929" s="4" t="str">
        <f t="shared" si="86"/>
        <v/>
      </c>
      <c r="AF929" s="4" t="str">
        <f t="shared" si="87"/>
        <v/>
      </c>
      <c r="AG929" s="8">
        <f t="shared" si="88"/>
        <v>0</v>
      </c>
      <c r="AI929" s="8">
        <f t="shared" si="89"/>
        <v>0</v>
      </c>
    </row>
    <row r="930" spans="23:35" ht="15" customHeight="1" x14ac:dyDescent="0.25">
      <c r="W930" s="4" t="str">
        <f>IF($C930="","",SUMPRODUCT(($C$2:C930=C930)+($D$2:D930=C930)))</f>
        <v/>
      </c>
      <c r="X930" s="4" t="str">
        <f>IF($D930="","",SUMPRODUCT(($C$2:C930=D930)+($D$2:D930=D930)))</f>
        <v/>
      </c>
      <c r="Y930" s="4" t="str">
        <f t="shared" si="84"/>
        <v/>
      </c>
      <c r="Z930" s="4" t="str">
        <f t="shared" si="85"/>
        <v/>
      </c>
      <c r="AA930" s="4" t="str">
        <f>IF($C930="","",IF(COUNTIF($C$1:C929,$C930)+COUNTIF($D$1:D929,$C930)=0,1,0))</f>
        <v/>
      </c>
      <c r="AB930" s="4" t="str">
        <f>IF($D930="","",IF(COUNTIF($C$1:C930,$D930)+COUNTIF($D$1:D929,$D930)=0,1,0))</f>
        <v/>
      </c>
      <c r="AC930" s="4" t="str">
        <f>IF(AA930=1,SUM($AA$2:AA930)-AA930+SUM($AB$2:AB930)-AB930+1,"")</f>
        <v/>
      </c>
      <c r="AD930" s="4" t="str">
        <f>IF(AB930=1,SUM($AA$2:AA930)+SUM($AB$2:AB930)-AB930+1,"")</f>
        <v/>
      </c>
      <c r="AE930" s="4" t="str">
        <f t="shared" si="86"/>
        <v/>
      </c>
      <c r="AF930" s="4" t="str">
        <f t="shared" si="87"/>
        <v/>
      </c>
      <c r="AG930" s="8">
        <f t="shared" si="88"/>
        <v>0</v>
      </c>
      <c r="AI930" s="8">
        <f t="shared" si="89"/>
        <v>0</v>
      </c>
    </row>
    <row r="931" spans="23:35" ht="15" customHeight="1" x14ac:dyDescent="0.25">
      <c r="W931" s="4" t="str">
        <f>IF($C931="","",SUMPRODUCT(($C$2:C931=C931)+($D$2:D931=C931)))</f>
        <v/>
      </c>
      <c r="X931" s="4" t="str">
        <f>IF($D931="","",SUMPRODUCT(($C$2:C931=D931)+($D$2:D931=D931)))</f>
        <v/>
      </c>
      <c r="Y931" s="4" t="str">
        <f t="shared" si="84"/>
        <v/>
      </c>
      <c r="Z931" s="4" t="str">
        <f t="shared" si="85"/>
        <v/>
      </c>
      <c r="AA931" s="4" t="str">
        <f>IF($C931="","",IF(COUNTIF($C$1:C930,$C931)+COUNTIF($D$1:D930,$C931)=0,1,0))</f>
        <v/>
      </c>
      <c r="AB931" s="4" t="str">
        <f>IF($D931="","",IF(COUNTIF($C$1:C931,$D931)+COUNTIF($D$1:D930,$D931)=0,1,0))</f>
        <v/>
      </c>
      <c r="AC931" s="4" t="str">
        <f>IF(AA931=1,SUM($AA$2:AA931)-AA931+SUM($AB$2:AB931)-AB931+1,"")</f>
        <v/>
      </c>
      <c r="AD931" s="4" t="str">
        <f>IF(AB931=1,SUM($AA$2:AA931)+SUM($AB$2:AB931)-AB931+1,"")</f>
        <v/>
      </c>
      <c r="AE931" s="4" t="str">
        <f t="shared" si="86"/>
        <v/>
      </c>
      <c r="AF931" s="4" t="str">
        <f t="shared" si="87"/>
        <v/>
      </c>
      <c r="AG931" s="8">
        <f t="shared" si="88"/>
        <v>0</v>
      </c>
      <c r="AI931" s="8">
        <f t="shared" si="89"/>
        <v>0</v>
      </c>
    </row>
    <row r="932" spans="23:35" ht="15" customHeight="1" x14ac:dyDescent="0.25">
      <c r="W932" s="4" t="str">
        <f>IF($C932="","",SUMPRODUCT(($C$2:C932=C932)+($D$2:D932=C932)))</f>
        <v/>
      </c>
      <c r="X932" s="4" t="str">
        <f>IF($D932="","",SUMPRODUCT(($C$2:C932=D932)+($D$2:D932=D932)))</f>
        <v/>
      </c>
      <c r="Y932" s="4" t="str">
        <f t="shared" si="84"/>
        <v/>
      </c>
      <c r="Z932" s="4" t="str">
        <f t="shared" si="85"/>
        <v/>
      </c>
      <c r="AA932" s="4" t="str">
        <f>IF($C932="","",IF(COUNTIF($C$1:C931,$C932)+COUNTIF($D$1:D931,$C932)=0,1,0))</f>
        <v/>
      </c>
      <c r="AB932" s="4" t="str">
        <f>IF($D932="","",IF(COUNTIF($C$1:C932,$D932)+COUNTIF($D$1:D931,$D932)=0,1,0))</f>
        <v/>
      </c>
      <c r="AC932" s="4" t="str">
        <f>IF(AA932=1,SUM($AA$2:AA932)-AA932+SUM($AB$2:AB932)-AB932+1,"")</f>
        <v/>
      </c>
      <c r="AD932" s="4" t="str">
        <f>IF(AB932=1,SUM($AA$2:AA932)+SUM($AB$2:AB932)-AB932+1,"")</f>
        <v/>
      </c>
      <c r="AE932" s="4" t="str">
        <f t="shared" si="86"/>
        <v/>
      </c>
      <c r="AF932" s="4" t="str">
        <f t="shared" si="87"/>
        <v/>
      </c>
      <c r="AG932" s="8">
        <f t="shared" si="88"/>
        <v>0</v>
      </c>
      <c r="AI932" s="8">
        <f t="shared" si="89"/>
        <v>0</v>
      </c>
    </row>
    <row r="933" spans="23:35" ht="15" customHeight="1" x14ac:dyDescent="0.25">
      <c r="W933" s="4" t="str">
        <f>IF($C933="","",SUMPRODUCT(($C$2:C933=C933)+($D$2:D933=C933)))</f>
        <v/>
      </c>
      <c r="X933" s="4" t="str">
        <f>IF($D933="","",SUMPRODUCT(($C$2:C933=D933)+($D$2:D933=D933)))</f>
        <v/>
      </c>
      <c r="Y933" s="4" t="str">
        <f t="shared" si="84"/>
        <v/>
      </c>
      <c r="Z933" s="4" t="str">
        <f t="shared" si="85"/>
        <v/>
      </c>
      <c r="AA933" s="4" t="str">
        <f>IF($C933="","",IF(COUNTIF($C$1:C932,$C933)+COUNTIF($D$1:D932,$C933)=0,1,0))</f>
        <v/>
      </c>
      <c r="AB933" s="4" t="str">
        <f>IF($D933="","",IF(COUNTIF($C$1:C933,$D933)+COUNTIF($D$1:D932,$D933)=0,1,0))</f>
        <v/>
      </c>
      <c r="AC933" s="4" t="str">
        <f>IF(AA933=1,SUM($AA$2:AA933)-AA933+SUM($AB$2:AB933)-AB933+1,"")</f>
        <v/>
      </c>
      <c r="AD933" s="4" t="str">
        <f>IF(AB933=1,SUM($AA$2:AA933)+SUM($AB$2:AB933)-AB933+1,"")</f>
        <v/>
      </c>
      <c r="AE933" s="4" t="str">
        <f t="shared" si="86"/>
        <v/>
      </c>
      <c r="AF933" s="4" t="str">
        <f t="shared" si="87"/>
        <v/>
      </c>
      <c r="AG933" s="8">
        <f t="shared" si="88"/>
        <v>0</v>
      </c>
      <c r="AI933" s="8">
        <f t="shared" si="89"/>
        <v>0</v>
      </c>
    </row>
    <row r="934" spans="23:35" ht="15" customHeight="1" x14ac:dyDescent="0.25">
      <c r="W934" s="4" t="str">
        <f>IF($C934="","",SUMPRODUCT(($C$2:C934=C934)+($D$2:D934=C934)))</f>
        <v/>
      </c>
      <c r="X934" s="4" t="str">
        <f>IF($D934="","",SUMPRODUCT(($C$2:C934=D934)+($D$2:D934=D934)))</f>
        <v/>
      </c>
      <c r="Y934" s="4" t="str">
        <f t="shared" si="84"/>
        <v/>
      </c>
      <c r="Z934" s="4" t="str">
        <f t="shared" si="85"/>
        <v/>
      </c>
      <c r="AA934" s="4" t="str">
        <f>IF($C934="","",IF(COUNTIF($C$1:C933,$C934)+COUNTIF($D$1:D933,$C934)=0,1,0))</f>
        <v/>
      </c>
      <c r="AB934" s="4" t="str">
        <f>IF($D934="","",IF(COUNTIF($C$1:C934,$D934)+COUNTIF($D$1:D933,$D934)=0,1,0))</f>
        <v/>
      </c>
      <c r="AC934" s="4" t="str">
        <f>IF(AA934=1,SUM($AA$2:AA934)-AA934+SUM($AB$2:AB934)-AB934+1,"")</f>
        <v/>
      </c>
      <c r="AD934" s="4" t="str">
        <f>IF(AB934=1,SUM($AA$2:AA934)+SUM($AB$2:AB934)-AB934+1,"")</f>
        <v/>
      </c>
      <c r="AE934" s="4" t="str">
        <f t="shared" si="86"/>
        <v/>
      </c>
      <c r="AF934" s="4" t="str">
        <f t="shared" si="87"/>
        <v/>
      </c>
      <c r="AG934" s="8">
        <f t="shared" si="88"/>
        <v>0</v>
      </c>
      <c r="AI934" s="8">
        <f t="shared" si="89"/>
        <v>0</v>
      </c>
    </row>
    <row r="935" spans="23:35" ht="15" customHeight="1" x14ac:dyDescent="0.25">
      <c r="W935" s="4" t="str">
        <f>IF($C935="","",SUMPRODUCT(($C$2:C935=C935)+($D$2:D935=C935)))</f>
        <v/>
      </c>
      <c r="X935" s="4" t="str">
        <f>IF($D935="","",SUMPRODUCT(($C$2:C935=D935)+($D$2:D935=D935)))</f>
        <v/>
      </c>
      <c r="Y935" s="4" t="str">
        <f t="shared" si="84"/>
        <v/>
      </c>
      <c r="Z935" s="4" t="str">
        <f t="shared" si="85"/>
        <v/>
      </c>
      <c r="AA935" s="4" t="str">
        <f>IF($C935="","",IF(COUNTIF($C$1:C934,$C935)+COUNTIF($D$1:D934,$C935)=0,1,0))</f>
        <v/>
      </c>
      <c r="AB935" s="4" t="str">
        <f>IF($D935="","",IF(COUNTIF($C$1:C935,$D935)+COUNTIF($D$1:D934,$D935)=0,1,0))</f>
        <v/>
      </c>
      <c r="AC935" s="4" t="str">
        <f>IF(AA935=1,SUM($AA$2:AA935)-AA935+SUM($AB$2:AB935)-AB935+1,"")</f>
        <v/>
      </c>
      <c r="AD935" s="4" t="str">
        <f>IF(AB935=1,SUM($AA$2:AA935)+SUM($AB$2:AB935)-AB935+1,"")</f>
        <v/>
      </c>
      <c r="AE935" s="4" t="str">
        <f t="shared" si="86"/>
        <v/>
      </c>
      <c r="AF935" s="4" t="str">
        <f t="shared" si="87"/>
        <v/>
      </c>
      <c r="AG935" s="8">
        <f t="shared" si="88"/>
        <v>0</v>
      </c>
      <c r="AI935" s="8">
        <f t="shared" si="89"/>
        <v>0</v>
      </c>
    </row>
    <row r="936" spans="23:35" ht="15" customHeight="1" x14ac:dyDescent="0.25">
      <c r="W936" s="4" t="str">
        <f>IF($C936="","",SUMPRODUCT(($C$2:C936=C936)+($D$2:D936=C936)))</f>
        <v/>
      </c>
      <c r="X936" s="4" t="str">
        <f>IF($D936="","",SUMPRODUCT(($C$2:C936=D936)+($D$2:D936=D936)))</f>
        <v/>
      </c>
      <c r="Y936" s="4" t="str">
        <f t="shared" si="84"/>
        <v/>
      </c>
      <c r="Z936" s="4" t="str">
        <f t="shared" si="85"/>
        <v/>
      </c>
      <c r="AA936" s="4" t="str">
        <f>IF($C936="","",IF(COUNTIF($C$1:C935,$C936)+COUNTIF($D$1:D935,$C936)=0,1,0))</f>
        <v/>
      </c>
      <c r="AB936" s="4" t="str">
        <f>IF($D936="","",IF(COUNTIF($C$1:C936,$D936)+COUNTIF($D$1:D935,$D936)=0,1,0))</f>
        <v/>
      </c>
      <c r="AC936" s="4" t="str">
        <f>IF(AA936=1,SUM($AA$2:AA936)-AA936+SUM($AB$2:AB936)-AB936+1,"")</f>
        <v/>
      </c>
      <c r="AD936" s="4" t="str">
        <f>IF(AB936=1,SUM($AA$2:AA936)+SUM($AB$2:AB936)-AB936+1,"")</f>
        <v/>
      </c>
      <c r="AE936" s="4" t="str">
        <f t="shared" si="86"/>
        <v/>
      </c>
      <c r="AF936" s="4" t="str">
        <f t="shared" si="87"/>
        <v/>
      </c>
      <c r="AG936" s="8">
        <f t="shared" si="88"/>
        <v>0</v>
      </c>
      <c r="AI936" s="8">
        <f t="shared" si="89"/>
        <v>0</v>
      </c>
    </row>
    <row r="937" spans="23:35" ht="15" customHeight="1" x14ac:dyDescent="0.25">
      <c r="W937" s="4" t="str">
        <f>IF($C937="","",SUMPRODUCT(($C$2:C937=C937)+($D$2:D937=C937)))</f>
        <v/>
      </c>
      <c r="X937" s="4" t="str">
        <f>IF($D937="","",SUMPRODUCT(($C$2:C937=D937)+($D$2:D937=D937)))</f>
        <v/>
      </c>
      <c r="Y937" s="4" t="str">
        <f t="shared" si="84"/>
        <v/>
      </c>
      <c r="Z937" s="4" t="str">
        <f t="shared" si="85"/>
        <v/>
      </c>
      <c r="AA937" s="4" t="str">
        <f>IF($C937="","",IF(COUNTIF($C$1:C936,$C937)+COUNTIF($D$1:D936,$C937)=0,1,0))</f>
        <v/>
      </c>
      <c r="AB937" s="4" t="str">
        <f>IF($D937="","",IF(COUNTIF($C$1:C937,$D937)+COUNTIF($D$1:D936,$D937)=0,1,0))</f>
        <v/>
      </c>
      <c r="AC937" s="4" t="str">
        <f>IF(AA937=1,SUM($AA$2:AA937)-AA937+SUM($AB$2:AB937)-AB937+1,"")</f>
        <v/>
      </c>
      <c r="AD937" s="4" t="str">
        <f>IF(AB937=1,SUM($AA$2:AA937)+SUM($AB$2:AB937)-AB937+1,"")</f>
        <v/>
      </c>
      <c r="AE937" s="4" t="str">
        <f t="shared" si="86"/>
        <v/>
      </c>
      <c r="AF937" s="4" t="str">
        <f t="shared" si="87"/>
        <v/>
      </c>
      <c r="AG937" s="8">
        <f t="shared" si="88"/>
        <v>0</v>
      </c>
      <c r="AI937" s="8">
        <f t="shared" si="89"/>
        <v>0</v>
      </c>
    </row>
    <row r="938" spans="23:35" ht="15" customHeight="1" x14ac:dyDescent="0.25">
      <c r="W938" s="4" t="str">
        <f>IF($C938="","",SUMPRODUCT(($C$2:C938=C938)+($D$2:D938=C938)))</f>
        <v/>
      </c>
      <c r="X938" s="4" t="str">
        <f>IF($D938="","",SUMPRODUCT(($C$2:C938=D938)+($D$2:D938=D938)))</f>
        <v/>
      </c>
      <c r="Y938" s="4" t="str">
        <f t="shared" si="84"/>
        <v/>
      </c>
      <c r="Z938" s="4" t="str">
        <f t="shared" si="85"/>
        <v/>
      </c>
      <c r="AA938" s="4" t="str">
        <f>IF($C938="","",IF(COUNTIF($C$1:C937,$C938)+COUNTIF($D$1:D937,$C938)=0,1,0))</f>
        <v/>
      </c>
      <c r="AB938" s="4" t="str">
        <f>IF($D938="","",IF(COUNTIF($C$1:C938,$D938)+COUNTIF($D$1:D937,$D938)=0,1,0))</f>
        <v/>
      </c>
      <c r="AC938" s="4" t="str">
        <f>IF(AA938=1,SUM($AA$2:AA938)-AA938+SUM($AB$2:AB938)-AB938+1,"")</f>
        <v/>
      </c>
      <c r="AD938" s="4" t="str">
        <f>IF(AB938=1,SUM($AA$2:AA938)+SUM($AB$2:AB938)-AB938+1,"")</f>
        <v/>
      </c>
      <c r="AE938" s="4" t="str">
        <f t="shared" si="86"/>
        <v/>
      </c>
      <c r="AF938" s="4" t="str">
        <f t="shared" si="87"/>
        <v/>
      </c>
      <c r="AG938" s="8">
        <f t="shared" si="88"/>
        <v>0</v>
      </c>
      <c r="AI938" s="8">
        <f t="shared" si="89"/>
        <v>0</v>
      </c>
    </row>
    <row r="939" spans="23:35" ht="15" customHeight="1" x14ac:dyDescent="0.25">
      <c r="W939" s="4" t="str">
        <f>IF($C939="","",SUMPRODUCT(($C$2:C939=C939)+($D$2:D939=C939)))</f>
        <v/>
      </c>
      <c r="X939" s="4" t="str">
        <f>IF($D939="","",SUMPRODUCT(($C$2:C939=D939)+($D$2:D939=D939)))</f>
        <v/>
      </c>
      <c r="Y939" s="4" t="str">
        <f t="shared" si="84"/>
        <v/>
      </c>
      <c r="Z939" s="4" t="str">
        <f t="shared" si="85"/>
        <v/>
      </c>
      <c r="AA939" s="4" t="str">
        <f>IF($C939="","",IF(COUNTIF($C$1:C938,$C939)+COUNTIF($D$1:D938,$C939)=0,1,0))</f>
        <v/>
      </c>
      <c r="AB939" s="4" t="str">
        <f>IF($D939="","",IF(COUNTIF($C$1:C939,$D939)+COUNTIF($D$1:D938,$D939)=0,1,0))</f>
        <v/>
      </c>
      <c r="AC939" s="4" t="str">
        <f>IF(AA939=1,SUM($AA$2:AA939)-AA939+SUM($AB$2:AB939)-AB939+1,"")</f>
        <v/>
      </c>
      <c r="AD939" s="4" t="str">
        <f>IF(AB939=1,SUM($AA$2:AA939)+SUM($AB$2:AB939)-AB939+1,"")</f>
        <v/>
      </c>
      <c r="AE939" s="4" t="str">
        <f t="shared" si="86"/>
        <v/>
      </c>
      <c r="AF939" s="4" t="str">
        <f t="shared" si="87"/>
        <v/>
      </c>
      <c r="AG939" s="8">
        <f t="shared" si="88"/>
        <v>0</v>
      </c>
      <c r="AI939" s="8">
        <f t="shared" si="89"/>
        <v>0</v>
      </c>
    </row>
    <row r="940" spans="23:35" ht="15" customHeight="1" x14ac:dyDescent="0.25">
      <c r="W940" s="4" t="str">
        <f>IF($C940="","",SUMPRODUCT(($C$2:C940=C940)+($D$2:D940=C940)))</f>
        <v/>
      </c>
      <c r="X940" s="4" t="str">
        <f>IF($D940="","",SUMPRODUCT(($C$2:C940=D940)+($D$2:D940=D940)))</f>
        <v/>
      </c>
      <c r="Y940" s="4" t="str">
        <f t="shared" si="84"/>
        <v/>
      </c>
      <c r="Z940" s="4" t="str">
        <f t="shared" si="85"/>
        <v/>
      </c>
      <c r="AA940" s="4" t="str">
        <f>IF($C940="","",IF(COUNTIF($C$1:C939,$C940)+COUNTIF($D$1:D939,$C940)=0,1,0))</f>
        <v/>
      </c>
      <c r="AB940" s="4" t="str">
        <f>IF($D940="","",IF(COUNTIF($C$1:C940,$D940)+COUNTIF($D$1:D939,$D940)=0,1,0))</f>
        <v/>
      </c>
      <c r="AC940" s="4" t="str">
        <f>IF(AA940=1,SUM($AA$2:AA940)-AA940+SUM($AB$2:AB940)-AB940+1,"")</f>
        <v/>
      </c>
      <c r="AD940" s="4" t="str">
        <f>IF(AB940=1,SUM($AA$2:AA940)+SUM($AB$2:AB940)-AB940+1,"")</f>
        <v/>
      </c>
      <c r="AE940" s="4" t="str">
        <f t="shared" si="86"/>
        <v/>
      </c>
      <c r="AF940" s="4" t="str">
        <f t="shared" si="87"/>
        <v/>
      </c>
      <c r="AG940" s="8">
        <f t="shared" si="88"/>
        <v>0</v>
      </c>
      <c r="AI940" s="8">
        <f t="shared" si="89"/>
        <v>0</v>
      </c>
    </row>
    <row r="941" spans="23:35" ht="15" customHeight="1" x14ac:dyDescent="0.25">
      <c r="W941" s="4" t="str">
        <f>IF($C941="","",SUMPRODUCT(($C$2:C941=C941)+($D$2:D941=C941)))</f>
        <v/>
      </c>
      <c r="X941" s="4" t="str">
        <f>IF($D941="","",SUMPRODUCT(($C$2:C941=D941)+($D$2:D941=D941)))</f>
        <v/>
      </c>
      <c r="Y941" s="4" t="str">
        <f t="shared" si="84"/>
        <v/>
      </c>
      <c r="Z941" s="4" t="str">
        <f t="shared" si="85"/>
        <v/>
      </c>
      <c r="AA941" s="4" t="str">
        <f>IF($C941="","",IF(COUNTIF($C$1:C940,$C941)+COUNTIF($D$1:D940,$C941)=0,1,0))</f>
        <v/>
      </c>
      <c r="AB941" s="4" t="str">
        <f>IF($D941="","",IF(COUNTIF($C$1:C941,$D941)+COUNTIF($D$1:D940,$D941)=0,1,0))</f>
        <v/>
      </c>
      <c r="AC941" s="4" t="str">
        <f>IF(AA941=1,SUM($AA$2:AA941)-AA941+SUM($AB$2:AB941)-AB941+1,"")</f>
        <v/>
      </c>
      <c r="AD941" s="4" t="str">
        <f>IF(AB941=1,SUM($AA$2:AA941)+SUM($AB$2:AB941)-AB941+1,"")</f>
        <v/>
      </c>
      <c r="AE941" s="4" t="str">
        <f t="shared" si="86"/>
        <v/>
      </c>
      <c r="AF941" s="4" t="str">
        <f t="shared" si="87"/>
        <v/>
      </c>
      <c r="AG941" s="8">
        <f t="shared" si="88"/>
        <v>0</v>
      </c>
      <c r="AI941" s="8">
        <f t="shared" si="89"/>
        <v>0</v>
      </c>
    </row>
    <row r="942" spans="23:35" ht="15" customHeight="1" x14ac:dyDescent="0.25">
      <c r="W942" s="4" t="str">
        <f>IF($C942="","",SUMPRODUCT(($C$2:C942=C942)+($D$2:D942=C942)))</f>
        <v/>
      </c>
      <c r="X942" s="4" t="str">
        <f>IF($D942="","",SUMPRODUCT(($C$2:C942=D942)+($D$2:D942=D942)))</f>
        <v/>
      </c>
      <c r="Y942" s="4" t="str">
        <f t="shared" si="84"/>
        <v/>
      </c>
      <c r="Z942" s="4" t="str">
        <f t="shared" si="85"/>
        <v/>
      </c>
      <c r="AA942" s="4" t="str">
        <f>IF($C942="","",IF(COUNTIF($C$1:C941,$C942)+COUNTIF($D$1:D941,$C942)=0,1,0))</f>
        <v/>
      </c>
      <c r="AB942" s="4" t="str">
        <f>IF($D942="","",IF(COUNTIF($C$1:C942,$D942)+COUNTIF($D$1:D941,$D942)=0,1,0))</f>
        <v/>
      </c>
      <c r="AC942" s="4" t="str">
        <f>IF(AA942=1,SUM($AA$2:AA942)-AA942+SUM($AB$2:AB942)-AB942+1,"")</f>
        <v/>
      </c>
      <c r="AD942" s="4" t="str">
        <f>IF(AB942=1,SUM($AA$2:AA942)+SUM($AB$2:AB942)-AB942+1,"")</f>
        <v/>
      </c>
      <c r="AE942" s="4" t="str">
        <f t="shared" si="86"/>
        <v/>
      </c>
      <c r="AF942" s="4" t="str">
        <f t="shared" si="87"/>
        <v/>
      </c>
      <c r="AG942" s="8">
        <f t="shared" si="88"/>
        <v>0</v>
      </c>
      <c r="AI942" s="8">
        <f t="shared" si="89"/>
        <v>0</v>
      </c>
    </row>
    <row r="943" spans="23:35" ht="15" customHeight="1" x14ac:dyDescent="0.25">
      <c r="W943" s="4" t="str">
        <f>IF($C943="","",SUMPRODUCT(($C$2:C943=C943)+($D$2:D943=C943)))</f>
        <v/>
      </c>
      <c r="X943" s="4" t="str">
        <f>IF($D943="","",SUMPRODUCT(($C$2:C943=D943)+($D$2:D943=D943)))</f>
        <v/>
      </c>
      <c r="Y943" s="4" t="str">
        <f t="shared" si="84"/>
        <v/>
      </c>
      <c r="Z943" s="4" t="str">
        <f t="shared" si="85"/>
        <v/>
      </c>
      <c r="AA943" s="4" t="str">
        <f>IF($C943="","",IF(COUNTIF($C$1:C942,$C943)+COUNTIF($D$1:D942,$C943)=0,1,0))</f>
        <v/>
      </c>
      <c r="AB943" s="4" t="str">
        <f>IF($D943="","",IF(COUNTIF($C$1:C943,$D943)+COUNTIF($D$1:D942,$D943)=0,1,0))</f>
        <v/>
      </c>
      <c r="AC943" s="4" t="str">
        <f>IF(AA943=1,SUM($AA$2:AA943)-AA943+SUM($AB$2:AB943)-AB943+1,"")</f>
        <v/>
      </c>
      <c r="AD943" s="4" t="str">
        <f>IF(AB943=1,SUM($AA$2:AA943)+SUM($AB$2:AB943)-AB943+1,"")</f>
        <v/>
      </c>
      <c r="AE943" s="4" t="str">
        <f t="shared" si="86"/>
        <v/>
      </c>
      <c r="AF943" s="4" t="str">
        <f t="shared" si="87"/>
        <v/>
      </c>
      <c r="AG943" s="8">
        <f t="shared" si="88"/>
        <v>0</v>
      </c>
      <c r="AI943" s="8">
        <f t="shared" si="89"/>
        <v>0</v>
      </c>
    </row>
    <row r="944" spans="23:35" ht="15" customHeight="1" x14ac:dyDescent="0.25">
      <c r="W944" s="4" t="str">
        <f>IF($C944="","",SUMPRODUCT(($C$2:C944=C944)+($D$2:D944=C944)))</f>
        <v/>
      </c>
      <c r="X944" s="4" t="str">
        <f>IF($D944="","",SUMPRODUCT(($C$2:C944=D944)+($D$2:D944=D944)))</f>
        <v/>
      </c>
      <c r="Y944" s="4" t="str">
        <f t="shared" si="84"/>
        <v/>
      </c>
      <c r="Z944" s="4" t="str">
        <f t="shared" si="85"/>
        <v/>
      </c>
      <c r="AA944" s="4" t="str">
        <f>IF($C944="","",IF(COUNTIF($C$1:C943,$C944)+COUNTIF($D$1:D943,$C944)=0,1,0))</f>
        <v/>
      </c>
      <c r="AB944" s="4" t="str">
        <f>IF($D944="","",IF(COUNTIF($C$1:C944,$D944)+COUNTIF($D$1:D943,$D944)=0,1,0))</f>
        <v/>
      </c>
      <c r="AC944" s="4" t="str">
        <f>IF(AA944=1,SUM($AA$2:AA944)-AA944+SUM($AB$2:AB944)-AB944+1,"")</f>
        <v/>
      </c>
      <c r="AD944" s="4" t="str">
        <f>IF(AB944=1,SUM($AA$2:AA944)+SUM($AB$2:AB944)-AB944+1,"")</f>
        <v/>
      </c>
      <c r="AE944" s="4" t="str">
        <f t="shared" si="86"/>
        <v/>
      </c>
      <c r="AF944" s="4" t="str">
        <f t="shared" si="87"/>
        <v/>
      </c>
      <c r="AG944" s="8">
        <f t="shared" si="88"/>
        <v>0</v>
      </c>
      <c r="AI944" s="8">
        <f t="shared" si="89"/>
        <v>0</v>
      </c>
    </row>
    <row r="945" spans="23:35" ht="15" customHeight="1" x14ac:dyDescent="0.25">
      <c r="W945" s="4" t="str">
        <f>IF($C945="","",SUMPRODUCT(($C$2:C945=C945)+($D$2:D945=C945)))</f>
        <v/>
      </c>
      <c r="X945" s="4" t="str">
        <f>IF($D945="","",SUMPRODUCT(($C$2:C945=D945)+($D$2:D945=D945)))</f>
        <v/>
      </c>
      <c r="Y945" s="4" t="str">
        <f t="shared" si="84"/>
        <v/>
      </c>
      <c r="Z945" s="4" t="str">
        <f t="shared" si="85"/>
        <v/>
      </c>
      <c r="AA945" s="4" t="str">
        <f>IF($C945="","",IF(COUNTIF($C$1:C944,$C945)+COUNTIF($D$1:D944,$C945)=0,1,0))</f>
        <v/>
      </c>
      <c r="AB945" s="4" t="str">
        <f>IF($D945="","",IF(COUNTIF($C$1:C945,$D945)+COUNTIF($D$1:D944,$D945)=0,1,0))</f>
        <v/>
      </c>
      <c r="AC945" s="4" t="str">
        <f>IF(AA945=1,SUM($AA$2:AA945)-AA945+SUM($AB$2:AB945)-AB945+1,"")</f>
        <v/>
      </c>
      <c r="AD945" s="4" t="str">
        <f>IF(AB945=1,SUM($AA$2:AA945)+SUM($AB$2:AB945)-AB945+1,"")</f>
        <v/>
      </c>
      <c r="AE945" s="4" t="str">
        <f t="shared" si="86"/>
        <v/>
      </c>
      <c r="AF945" s="4" t="str">
        <f t="shared" si="87"/>
        <v/>
      </c>
      <c r="AG945" s="8">
        <f t="shared" si="88"/>
        <v>0</v>
      </c>
      <c r="AI945" s="8">
        <f t="shared" si="89"/>
        <v>0</v>
      </c>
    </row>
    <row r="946" spans="23:35" ht="15" customHeight="1" x14ac:dyDescent="0.25">
      <c r="W946" s="4" t="str">
        <f>IF($C946="","",SUMPRODUCT(($C$2:C946=C946)+($D$2:D946=C946)))</f>
        <v/>
      </c>
      <c r="X946" s="4" t="str">
        <f>IF($D946="","",SUMPRODUCT(($C$2:C946=D946)+($D$2:D946=D946)))</f>
        <v/>
      </c>
      <c r="Y946" s="4" t="str">
        <f t="shared" si="84"/>
        <v/>
      </c>
      <c r="Z946" s="4" t="str">
        <f t="shared" si="85"/>
        <v/>
      </c>
      <c r="AA946" s="4" t="str">
        <f>IF($C946="","",IF(COUNTIF($C$1:C945,$C946)+COUNTIF($D$1:D945,$C946)=0,1,0))</f>
        <v/>
      </c>
      <c r="AB946" s="4" t="str">
        <f>IF($D946="","",IF(COUNTIF($C$1:C946,$D946)+COUNTIF($D$1:D945,$D946)=0,1,0))</f>
        <v/>
      </c>
      <c r="AC946" s="4" t="str">
        <f>IF(AA946=1,SUM($AA$2:AA946)-AA946+SUM($AB$2:AB946)-AB946+1,"")</f>
        <v/>
      </c>
      <c r="AD946" s="4" t="str">
        <f>IF(AB946=1,SUM($AA$2:AA946)+SUM($AB$2:AB946)-AB946+1,"")</f>
        <v/>
      </c>
      <c r="AE946" s="4" t="str">
        <f t="shared" si="86"/>
        <v/>
      </c>
      <c r="AF946" s="4" t="str">
        <f t="shared" si="87"/>
        <v/>
      </c>
      <c r="AG946" s="8">
        <f t="shared" si="88"/>
        <v>0</v>
      </c>
      <c r="AI946" s="8">
        <f t="shared" si="89"/>
        <v>0</v>
      </c>
    </row>
    <row r="947" spans="23:35" ht="15" customHeight="1" x14ac:dyDescent="0.25">
      <c r="W947" s="4" t="str">
        <f>IF($C947="","",SUMPRODUCT(($C$2:C947=C947)+($D$2:D947=C947)))</f>
        <v/>
      </c>
      <c r="X947" s="4" t="str">
        <f>IF($D947="","",SUMPRODUCT(($C$2:C947=D947)+($D$2:D947=D947)))</f>
        <v/>
      </c>
      <c r="Y947" s="4" t="str">
        <f t="shared" si="84"/>
        <v/>
      </c>
      <c r="Z947" s="4" t="str">
        <f t="shared" si="85"/>
        <v/>
      </c>
      <c r="AA947" s="4" t="str">
        <f>IF($C947="","",IF(COUNTIF($C$1:C946,$C947)+COUNTIF($D$1:D946,$C947)=0,1,0))</f>
        <v/>
      </c>
      <c r="AB947" s="4" t="str">
        <f>IF($D947="","",IF(COUNTIF($C$1:C947,$D947)+COUNTIF($D$1:D946,$D947)=0,1,0))</f>
        <v/>
      </c>
      <c r="AC947" s="4" t="str">
        <f>IF(AA947=1,SUM($AA$2:AA947)-AA947+SUM($AB$2:AB947)-AB947+1,"")</f>
        <v/>
      </c>
      <c r="AD947" s="4" t="str">
        <f>IF(AB947=1,SUM($AA$2:AA947)+SUM($AB$2:AB947)-AB947+1,"")</f>
        <v/>
      </c>
      <c r="AE947" s="4" t="str">
        <f t="shared" si="86"/>
        <v/>
      </c>
      <c r="AF947" s="4" t="str">
        <f t="shared" si="87"/>
        <v/>
      </c>
      <c r="AG947" s="8">
        <f t="shared" si="88"/>
        <v>0</v>
      </c>
      <c r="AI947" s="8">
        <f t="shared" si="89"/>
        <v>0</v>
      </c>
    </row>
    <row r="948" spans="23:35" ht="15" customHeight="1" x14ac:dyDescent="0.25">
      <c r="W948" s="4" t="str">
        <f>IF($C948="","",SUMPRODUCT(($C$2:C948=C948)+($D$2:D948=C948)))</f>
        <v/>
      </c>
      <c r="X948" s="4" t="str">
        <f>IF($D948="","",SUMPRODUCT(($C$2:C948=D948)+($D$2:D948=D948)))</f>
        <v/>
      </c>
      <c r="Y948" s="4" t="str">
        <f t="shared" si="84"/>
        <v/>
      </c>
      <c r="Z948" s="4" t="str">
        <f t="shared" si="85"/>
        <v/>
      </c>
      <c r="AA948" s="4" t="str">
        <f>IF($C948="","",IF(COUNTIF($C$1:C947,$C948)+COUNTIF($D$1:D947,$C948)=0,1,0))</f>
        <v/>
      </c>
      <c r="AB948" s="4" t="str">
        <f>IF($D948="","",IF(COUNTIF($C$1:C948,$D948)+COUNTIF($D$1:D947,$D948)=0,1,0))</f>
        <v/>
      </c>
      <c r="AC948" s="4" t="str">
        <f>IF(AA948=1,SUM($AA$2:AA948)-AA948+SUM($AB$2:AB948)-AB948+1,"")</f>
        <v/>
      </c>
      <c r="AD948" s="4" t="str">
        <f>IF(AB948=1,SUM($AA$2:AA948)+SUM($AB$2:AB948)-AB948+1,"")</f>
        <v/>
      </c>
      <c r="AE948" s="4" t="str">
        <f t="shared" si="86"/>
        <v/>
      </c>
      <c r="AF948" s="4" t="str">
        <f t="shared" si="87"/>
        <v/>
      </c>
      <c r="AG948" s="8">
        <f t="shared" si="88"/>
        <v>0</v>
      </c>
      <c r="AI948" s="8">
        <f t="shared" si="89"/>
        <v>0</v>
      </c>
    </row>
    <row r="949" spans="23:35" ht="15" customHeight="1" x14ac:dyDescent="0.25">
      <c r="W949" s="4" t="str">
        <f>IF($C949="","",SUMPRODUCT(($C$2:C949=C949)+($D$2:D949=C949)))</f>
        <v/>
      </c>
      <c r="X949" s="4" t="str">
        <f>IF($D949="","",SUMPRODUCT(($C$2:C949=D949)+($D$2:D949=D949)))</f>
        <v/>
      </c>
      <c r="Y949" s="4" t="str">
        <f t="shared" si="84"/>
        <v/>
      </c>
      <c r="Z949" s="4" t="str">
        <f t="shared" si="85"/>
        <v/>
      </c>
      <c r="AA949" s="4" t="str">
        <f>IF($C949="","",IF(COUNTIF($C$1:C948,$C949)+COUNTIF($D$1:D948,$C949)=0,1,0))</f>
        <v/>
      </c>
      <c r="AB949" s="4" t="str">
        <f>IF($D949="","",IF(COUNTIF($C$1:C949,$D949)+COUNTIF($D$1:D948,$D949)=0,1,0))</f>
        <v/>
      </c>
      <c r="AC949" s="4" t="str">
        <f>IF(AA949=1,SUM($AA$2:AA949)-AA949+SUM($AB$2:AB949)-AB949+1,"")</f>
        <v/>
      </c>
      <c r="AD949" s="4" t="str">
        <f>IF(AB949=1,SUM($AA$2:AA949)+SUM($AB$2:AB949)-AB949+1,"")</f>
        <v/>
      </c>
      <c r="AE949" s="4" t="str">
        <f t="shared" si="86"/>
        <v/>
      </c>
      <c r="AF949" s="4" t="str">
        <f t="shared" si="87"/>
        <v/>
      </c>
      <c r="AG949" s="8">
        <f t="shared" si="88"/>
        <v>0</v>
      </c>
      <c r="AI949" s="8">
        <f t="shared" si="89"/>
        <v>0</v>
      </c>
    </row>
    <row r="950" spans="23:35" ht="15" customHeight="1" x14ac:dyDescent="0.25">
      <c r="W950" s="4" t="str">
        <f>IF($C950="","",SUMPRODUCT(($C$2:C950=C950)+($D$2:D950=C950)))</f>
        <v/>
      </c>
      <c r="X950" s="4" t="str">
        <f>IF($D950="","",SUMPRODUCT(($C$2:C950=D950)+($D$2:D950=D950)))</f>
        <v/>
      </c>
      <c r="Y950" s="4" t="str">
        <f t="shared" si="84"/>
        <v/>
      </c>
      <c r="Z950" s="4" t="str">
        <f t="shared" si="85"/>
        <v/>
      </c>
      <c r="AA950" s="4" t="str">
        <f>IF($C950="","",IF(COUNTIF($C$1:C949,$C950)+COUNTIF($D$1:D949,$C950)=0,1,0))</f>
        <v/>
      </c>
      <c r="AB950" s="4" t="str">
        <f>IF($D950="","",IF(COUNTIF($C$1:C950,$D950)+COUNTIF($D$1:D949,$D950)=0,1,0))</f>
        <v/>
      </c>
      <c r="AC950" s="4" t="str">
        <f>IF(AA950=1,SUM($AA$2:AA950)-AA950+SUM($AB$2:AB950)-AB950+1,"")</f>
        <v/>
      </c>
      <c r="AD950" s="4" t="str">
        <f>IF(AB950=1,SUM($AA$2:AA950)+SUM($AB$2:AB950)-AB950+1,"")</f>
        <v/>
      </c>
      <c r="AE950" s="4" t="str">
        <f t="shared" si="86"/>
        <v/>
      </c>
      <c r="AF950" s="4" t="str">
        <f t="shared" si="87"/>
        <v/>
      </c>
      <c r="AG950" s="8">
        <f t="shared" si="88"/>
        <v>0</v>
      </c>
      <c r="AI950" s="8">
        <f t="shared" si="89"/>
        <v>0</v>
      </c>
    </row>
    <row r="951" spans="23:35" ht="15" customHeight="1" x14ac:dyDescent="0.25">
      <c r="W951" s="4" t="str">
        <f>IF($C951="","",SUMPRODUCT(($C$2:C951=C951)+($D$2:D951=C951)))</f>
        <v/>
      </c>
      <c r="X951" s="4" t="str">
        <f>IF($D951="","",SUMPRODUCT(($C$2:C951=D951)+($D$2:D951=D951)))</f>
        <v/>
      </c>
      <c r="Y951" s="4" t="str">
        <f t="shared" si="84"/>
        <v/>
      </c>
      <c r="Z951" s="4" t="str">
        <f t="shared" si="85"/>
        <v/>
      </c>
      <c r="AA951" s="4" t="str">
        <f>IF($C951="","",IF(COUNTIF($C$1:C950,$C951)+COUNTIF($D$1:D950,$C951)=0,1,0))</f>
        <v/>
      </c>
      <c r="AB951" s="4" t="str">
        <f>IF($D951="","",IF(COUNTIF($C$1:C951,$D951)+COUNTIF($D$1:D950,$D951)=0,1,0))</f>
        <v/>
      </c>
      <c r="AC951" s="4" t="str">
        <f>IF(AA951=1,SUM($AA$2:AA951)-AA951+SUM($AB$2:AB951)-AB951+1,"")</f>
        <v/>
      </c>
      <c r="AD951" s="4" t="str">
        <f>IF(AB951=1,SUM($AA$2:AA951)+SUM($AB$2:AB951)-AB951+1,"")</f>
        <v/>
      </c>
      <c r="AE951" s="4" t="str">
        <f t="shared" si="86"/>
        <v/>
      </c>
      <c r="AF951" s="4" t="str">
        <f t="shared" si="87"/>
        <v/>
      </c>
      <c r="AG951" s="8">
        <f t="shared" si="88"/>
        <v>0</v>
      </c>
      <c r="AI951" s="8">
        <f t="shared" si="89"/>
        <v>0</v>
      </c>
    </row>
    <row r="952" spans="23:35" ht="15" customHeight="1" x14ac:dyDescent="0.25">
      <c r="W952" s="4" t="str">
        <f>IF($C952="","",SUMPRODUCT(($C$2:C952=C952)+($D$2:D952=C952)))</f>
        <v/>
      </c>
      <c r="X952" s="4" t="str">
        <f>IF($D952="","",SUMPRODUCT(($C$2:C952=D952)+($D$2:D952=D952)))</f>
        <v/>
      </c>
      <c r="Y952" s="4" t="str">
        <f t="shared" si="84"/>
        <v/>
      </c>
      <c r="Z952" s="4" t="str">
        <f t="shared" si="85"/>
        <v/>
      </c>
      <c r="AA952" s="4" t="str">
        <f>IF($C952="","",IF(COUNTIF($C$1:C951,$C952)+COUNTIF($D$1:D951,$C952)=0,1,0))</f>
        <v/>
      </c>
      <c r="AB952" s="4" t="str">
        <f>IF($D952="","",IF(COUNTIF($C$1:C952,$D952)+COUNTIF($D$1:D951,$D952)=0,1,0))</f>
        <v/>
      </c>
      <c r="AC952" s="4" t="str">
        <f>IF(AA952=1,SUM($AA$2:AA952)-AA952+SUM($AB$2:AB952)-AB952+1,"")</f>
        <v/>
      </c>
      <c r="AD952" s="4" t="str">
        <f>IF(AB952=1,SUM($AA$2:AA952)+SUM($AB$2:AB952)-AB952+1,"")</f>
        <v/>
      </c>
      <c r="AE952" s="4" t="str">
        <f t="shared" si="86"/>
        <v/>
      </c>
      <c r="AF952" s="4" t="str">
        <f t="shared" si="87"/>
        <v/>
      </c>
      <c r="AG952" s="8">
        <f t="shared" si="88"/>
        <v>0</v>
      </c>
      <c r="AI952" s="8">
        <f t="shared" si="89"/>
        <v>0</v>
      </c>
    </row>
    <row r="953" spans="23:35" ht="15" customHeight="1" x14ac:dyDescent="0.25">
      <c r="W953" s="4" t="str">
        <f>IF($C953="","",SUMPRODUCT(($C$2:C953=C953)+($D$2:D953=C953)))</f>
        <v/>
      </c>
      <c r="X953" s="4" t="str">
        <f>IF($D953="","",SUMPRODUCT(($C$2:C953=D953)+($D$2:D953=D953)))</f>
        <v/>
      </c>
      <c r="Y953" s="4" t="str">
        <f t="shared" si="84"/>
        <v/>
      </c>
      <c r="Z953" s="4" t="str">
        <f t="shared" si="85"/>
        <v/>
      </c>
      <c r="AA953" s="4" t="str">
        <f>IF($C953="","",IF(COUNTIF($C$1:C952,$C953)+COUNTIF($D$1:D952,$C953)=0,1,0))</f>
        <v/>
      </c>
      <c r="AB953" s="4" t="str">
        <f>IF($D953="","",IF(COUNTIF($C$1:C953,$D953)+COUNTIF($D$1:D952,$D953)=0,1,0))</f>
        <v/>
      </c>
      <c r="AC953" s="4" t="str">
        <f>IF(AA953=1,SUM($AA$2:AA953)-AA953+SUM($AB$2:AB953)-AB953+1,"")</f>
        <v/>
      </c>
      <c r="AD953" s="4" t="str">
        <f>IF(AB953=1,SUM($AA$2:AA953)+SUM($AB$2:AB953)-AB953+1,"")</f>
        <v/>
      </c>
      <c r="AE953" s="4" t="str">
        <f t="shared" si="86"/>
        <v/>
      </c>
      <c r="AF953" s="4" t="str">
        <f t="shared" si="87"/>
        <v/>
      </c>
      <c r="AG953" s="8">
        <f t="shared" si="88"/>
        <v>0</v>
      </c>
      <c r="AI953" s="8">
        <f t="shared" si="89"/>
        <v>0</v>
      </c>
    </row>
    <row r="954" spans="23:35" ht="15" customHeight="1" x14ac:dyDescent="0.25">
      <c r="W954" s="4" t="str">
        <f>IF($C954="","",SUMPRODUCT(($C$2:C954=C954)+($D$2:D954=C954)))</f>
        <v/>
      </c>
      <c r="X954" s="4" t="str">
        <f>IF($D954="","",SUMPRODUCT(($C$2:C954=D954)+($D$2:D954=D954)))</f>
        <v/>
      </c>
      <c r="Y954" s="4" t="str">
        <f t="shared" si="84"/>
        <v/>
      </c>
      <c r="Z954" s="4" t="str">
        <f t="shared" si="85"/>
        <v/>
      </c>
      <c r="AA954" s="4" t="str">
        <f>IF($C954="","",IF(COUNTIF($C$1:C953,$C954)+COUNTIF($D$1:D953,$C954)=0,1,0))</f>
        <v/>
      </c>
      <c r="AB954" s="4" t="str">
        <f>IF($D954="","",IF(COUNTIF($C$1:C954,$D954)+COUNTIF($D$1:D953,$D954)=0,1,0))</f>
        <v/>
      </c>
      <c r="AC954" s="4" t="str">
        <f>IF(AA954=1,SUM($AA$2:AA954)-AA954+SUM($AB$2:AB954)-AB954+1,"")</f>
        <v/>
      </c>
      <c r="AD954" s="4" t="str">
        <f>IF(AB954=1,SUM($AA$2:AA954)+SUM($AB$2:AB954)-AB954+1,"")</f>
        <v/>
      </c>
      <c r="AE954" s="4" t="str">
        <f t="shared" si="86"/>
        <v/>
      </c>
      <c r="AF954" s="4" t="str">
        <f t="shared" si="87"/>
        <v/>
      </c>
      <c r="AG954" s="8">
        <f t="shared" si="88"/>
        <v>0</v>
      </c>
      <c r="AI954" s="8">
        <f t="shared" si="89"/>
        <v>0</v>
      </c>
    </row>
    <row r="955" spans="23:35" ht="15" customHeight="1" x14ac:dyDescent="0.25">
      <c r="W955" s="4" t="str">
        <f>IF($C955="","",SUMPRODUCT(($C$2:C955=C955)+($D$2:D955=C955)))</f>
        <v/>
      </c>
      <c r="X955" s="4" t="str">
        <f>IF($D955="","",SUMPRODUCT(($C$2:C955=D955)+($D$2:D955=D955)))</f>
        <v/>
      </c>
      <c r="Y955" s="4" t="str">
        <f t="shared" si="84"/>
        <v/>
      </c>
      <c r="Z955" s="4" t="str">
        <f t="shared" si="85"/>
        <v/>
      </c>
      <c r="AA955" s="4" t="str">
        <f>IF($C955="","",IF(COUNTIF($C$1:C954,$C955)+COUNTIF($D$1:D954,$C955)=0,1,0))</f>
        <v/>
      </c>
      <c r="AB955" s="4" t="str">
        <f>IF($D955="","",IF(COUNTIF($C$1:C955,$D955)+COUNTIF($D$1:D954,$D955)=0,1,0))</f>
        <v/>
      </c>
      <c r="AC955" s="4" t="str">
        <f>IF(AA955=1,SUM($AA$2:AA955)-AA955+SUM($AB$2:AB955)-AB955+1,"")</f>
        <v/>
      </c>
      <c r="AD955" s="4" t="str">
        <f>IF(AB955=1,SUM($AA$2:AA955)+SUM($AB$2:AB955)-AB955+1,"")</f>
        <v/>
      </c>
      <c r="AE955" s="4" t="str">
        <f t="shared" si="86"/>
        <v/>
      </c>
      <c r="AF955" s="4" t="str">
        <f t="shared" si="87"/>
        <v/>
      </c>
      <c r="AG955" s="8">
        <f t="shared" si="88"/>
        <v>0</v>
      </c>
      <c r="AI955" s="8">
        <f t="shared" si="89"/>
        <v>0</v>
      </c>
    </row>
    <row r="956" spans="23:35" ht="15" customHeight="1" x14ac:dyDescent="0.25">
      <c r="W956" s="4" t="str">
        <f>IF($C956="","",SUMPRODUCT(($C$2:C956=C956)+($D$2:D956=C956)))</f>
        <v/>
      </c>
      <c r="X956" s="4" t="str">
        <f>IF($D956="","",SUMPRODUCT(($C$2:C956=D956)+($D$2:D956=D956)))</f>
        <v/>
      </c>
      <c r="Y956" s="4" t="str">
        <f t="shared" si="84"/>
        <v/>
      </c>
      <c r="Z956" s="4" t="str">
        <f t="shared" si="85"/>
        <v/>
      </c>
      <c r="AA956" s="4" t="str">
        <f>IF($C956="","",IF(COUNTIF($C$1:C955,$C956)+COUNTIF($D$1:D955,$C956)=0,1,0))</f>
        <v/>
      </c>
      <c r="AB956" s="4" t="str">
        <f>IF($D956="","",IF(COUNTIF($C$1:C956,$D956)+COUNTIF($D$1:D955,$D956)=0,1,0))</f>
        <v/>
      </c>
      <c r="AC956" s="4" t="str">
        <f>IF(AA956=1,SUM($AA$2:AA956)-AA956+SUM($AB$2:AB956)-AB956+1,"")</f>
        <v/>
      </c>
      <c r="AD956" s="4" t="str">
        <f>IF(AB956=1,SUM($AA$2:AA956)+SUM($AB$2:AB956)-AB956+1,"")</f>
        <v/>
      </c>
      <c r="AE956" s="4" t="str">
        <f t="shared" si="86"/>
        <v/>
      </c>
      <c r="AF956" s="4" t="str">
        <f t="shared" si="87"/>
        <v/>
      </c>
      <c r="AG956" s="8">
        <f t="shared" si="88"/>
        <v>0</v>
      </c>
      <c r="AI956" s="8">
        <f t="shared" si="89"/>
        <v>0</v>
      </c>
    </row>
    <row r="957" spans="23:35" ht="15" customHeight="1" x14ac:dyDescent="0.25">
      <c r="W957" s="4" t="str">
        <f>IF($C957="","",SUMPRODUCT(($C$2:C957=C957)+($D$2:D957=C957)))</f>
        <v/>
      </c>
      <c r="X957" s="4" t="str">
        <f>IF($D957="","",SUMPRODUCT(($C$2:C957=D957)+($D$2:D957=D957)))</f>
        <v/>
      </c>
      <c r="Y957" s="4" t="str">
        <f t="shared" si="84"/>
        <v/>
      </c>
      <c r="Z957" s="4" t="str">
        <f t="shared" si="85"/>
        <v/>
      </c>
      <c r="AA957" s="4" t="str">
        <f>IF($C957="","",IF(COUNTIF($C$1:C956,$C957)+COUNTIF($D$1:D956,$C957)=0,1,0))</f>
        <v/>
      </c>
      <c r="AB957" s="4" t="str">
        <f>IF($D957="","",IF(COUNTIF($C$1:C957,$D957)+COUNTIF($D$1:D956,$D957)=0,1,0))</f>
        <v/>
      </c>
      <c r="AC957" s="4" t="str">
        <f>IF(AA957=1,SUM($AA$2:AA957)-AA957+SUM($AB$2:AB957)-AB957+1,"")</f>
        <v/>
      </c>
      <c r="AD957" s="4" t="str">
        <f>IF(AB957=1,SUM($AA$2:AA957)+SUM($AB$2:AB957)-AB957+1,"")</f>
        <v/>
      </c>
      <c r="AE957" s="4" t="str">
        <f t="shared" si="86"/>
        <v/>
      </c>
      <c r="AF957" s="4" t="str">
        <f t="shared" si="87"/>
        <v/>
      </c>
      <c r="AG957" s="8">
        <f t="shared" si="88"/>
        <v>0</v>
      </c>
      <c r="AI957" s="8">
        <f t="shared" si="89"/>
        <v>0</v>
      </c>
    </row>
    <row r="958" spans="23:35" ht="15" customHeight="1" x14ac:dyDescent="0.25">
      <c r="W958" s="4" t="str">
        <f>IF($C958="","",SUMPRODUCT(($C$2:C958=C958)+($D$2:D958=C958)))</f>
        <v/>
      </c>
      <c r="X958" s="4" t="str">
        <f>IF($D958="","",SUMPRODUCT(($C$2:C958=D958)+($D$2:D958=D958)))</f>
        <v/>
      </c>
      <c r="Y958" s="4" t="str">
        <f t="shared" si="84"/>
        <v/>
      </c>
      <c r="Z958" s="4" t="str">
        <f t="shared" si="85"/>
        <v/>
      </c>
      <c r="AA958" s="4" t="str">
        <f>IF($C958="","",IF(COUNTIF($C$1:C957,$C958)+COUNTIF($D$1:D957,$C958)=0,1,0))</f>
        <v/>
      </c>
      <c r="AB958" s="4" t="str">
        <f>IF($D958="","",IF(COUNTIF($C$1:C958,$D958)+COUNTIF($D$1:D957,$D958)=0,1,0))</f>
        <v/>
      </c>
      <c r="AC958" s="4" t="str">
        <f>IF(AA958=1,SUM($AA$2:AA958)-AA958+SUM($AB$2:AB958)-AB958+1,"")</f>
        <v/>
      </c>
      <c r="AD958" s="4" t="str">
        <f>IF(AB958=1,SUM($AA$2:AA958)+SUM($AB$2:AB958)-AB958+1,"")</f>
        <v/>
      </c>
      <c r="AE958" s="4" t="str">
        <f t="shared" si="86"/>
        <v/>
      </c>
      <c r="AF958" s="4" t="str">
        <f t="shared" si="87"/>
        <v/>
      </c>
      <c r="AG958" s="8">
        <f t="shared" si="88"/>
        <v>0</v>
      </c>
      <c r="AI958" s="8">
        <f t="shared" si="89"/>
        <v>0</v>
      </c>
    </row>
    <row r="959" spans="23:35" ht="15" customHeight="1" x14ac:dyDescent="0.25">
      <c r="W959" s="4" t="str">
        <f>IF($C959="","",SUMPRODUCT(($C$2:C959=C959)+($D$2:D959=C959)))</f>
        <v/>
      </c>
      <c r="X959" s="4" t="str">
        <f>IF($D959="","",SUMPRODUCT(($C$2:C959=D959)+($D$2:D959=D959)))</f>
        <v/>
      </c>
      <c r="Y959" s="4" t="str">
        <f t="shared" si="84"/>
        <v/>
      </c>
      <c r="Z959" s="4" t="str">
        <f t="shared" si="85"/>
        <v/>
      </c>
      <c r="AA959" s="4" t="str">
        <f>IF($C959="","",IF(COUNTIF($C$1:C958,$C959)+COUNTIF($D$1:D958,$C959)=0,1,0))</f>
        <v/>
      </c>
      <c r="AB959" s="4" t="str">
        <f>IF($D959="","",IF(COUNTIF($C$1:C959,$D959)+COUNTIF($D$1:D958,$D959)=0,1,0))</f>
        <v/>
      </c>
      <c r="AC959" s="4" t="str">
        <f>IF(AA959=1,SUM($AA$2:AA959)-AA959+SUM($AB$2:AB959)-AB959+1,"")</f>
        <v/>
      </c>
      <c r="AD959" s="4" t="str">
        <f>IF(AB959=1,SUM($AA$2:AA959)+SUM($AB$2:AB959)-AB959+1,"")</f>
        <v/>
      </c>
      <c r="AE959" s="4" t="str">
        <f t="shared" si="86"/>
        <v/>
      </c>
      <c r="AF959" s="4" t="str">
        <f t="shared" si="87"/>
        <v/>
      </c>
      <c r="AG959" s="8">
        <f t="shared" si="88"/>
        <v>0</v>
      </c>
      <c r="AI959" s="8">
        <f t="shared" si="89"/>
        <v>0</v>
      </c>
    </row>
    <row r="960" spans="23:35" ht="15" customHeight="1" x14ac:dyDescent="0.25">
      <c r="W960" s="4" t="str">
        <f>IF($C960="","",SUMPRODUCT(($C$2:C960=C960)+($D$2:D960=C960)))</f>
        <v/>
      </c>
      <c r="X960" s="4" t="str">
        <f>IF($D960="","",SUMPRODUCT(($C$2:C960=D960)+($D$2:D960=D960)))</f>
        <v/>
      </c>
      <c r="Y960" s="4" t="str">
        <f t="shared" si="84"/>
        <v/>
      </c>
      <c r="Z960" s="4" t="str">
        <f t="shared" si="85"/>
        <v/>
      </c>
      <c r="AA960" s="4" t="str">
        <f>IF($C960="","",IF(COUNTIF($C$1:C959,$C960)+COUNTIF($D$1:D959,$C960)=0,1,0))</f>
        <v/>
      </c>
      <c r="AB960" s="4" t="str">
        <f>IF($D960="","",IF(COUNTIF($C$1:C960,$D960)+COUNTIF($D$1:D959,$D960)=0,1,0))</f>
        <v/>
      </c>
      <c r="AC960" s="4" t="str">
        <f>IF(AA960=1,SUM($AA$2:AA960)-AA960+SUM($AB$2:AB960)-AB960+1,"")</f>
        <v/>
      </c>
      <c r="AD960" s="4" t="str">
        <f>IF(AB960=1,SUM($AA$2:AA960)+SUM($AB$2:AB960)-AB960+1,"")</f>
        <v/>
      </c>
      <c r="AE960" s="4" t="str">
        <f t="shared" si="86"/>
        <v/>
      </c>
      <c r="AF960" s="4" t="str">
        <f t="shared" si="87"/>
        <v/>
      </c>
      <c r="AG960" s="8">
        <f t="shared" si="88"/>
        <v>0</v>
      </c>
      <c r="AI960" s="8">
        <f t="shared" si="89"/>
        <v>0</v>
      </c>
    </row>
    <row r="961" spans="23:35" ht="15" customHeight="1" x14ac:dyDescent="0.25">
      <c r="W961" s="4" t="str">
        <f>IF($C961="","",SUMPRODUCT(($C$2:C961=C961)+($D$2:D961=C961)))</f>
        <v/>
      </c>
      <c r="X961" s="4" t="str">
        <f>IF($D961="","",SUMPRODUCT(($C$2:C961=D961)+($D$2:D961=D961)))</f>
        <v/>
      </c>
      <c r="Y961" s="4" t="str">
        <f t="shared" si="84"/>
        <v/>
      </c>
      <c r="Z961" s="4" t="str">
        <f t="shared" si="85"/>
        <v/>
      </c>
      <c r="AA961" s="4" t="str">
        <f>IF($C961="","",IF(COUNTIF($C$1:C960,$C961)+COUNTIF($D$1:D960,$C961)=0,1,0))</f>
        <v/>
      </c>
      <c r="AB961" s="4" t="str">
        <f>IF($D961="","",IF(COUNTIF($C$1:C961,$D961)+COUNTIF($D$1:D960,$D961)=0,1,0))</f>
        <v/>
      </c>
      <c r="AC961" s="4" t="str">
        <f>IF(AA961=1,SUM($AA$2:AA961)-AA961+SUM($AB$2:AB961)-AB961+1,"")</f>
        <v/>
      </c>
      <c r="AD961" s="4" t="str">
        <f>IF(AB961=1,SUM($AA$2:AA961)+SUM($AB$2:AB961)-AB961+1,"")</f>
        <v/>
      </c>
      <c r="AE961" s="4" t="str">
        <f t="shared" si="86"/>
        <v/>
      </c>
      <c r="AF961" s="4" t="str">
        <f t="shared" si="87"/>
        <v/>
      </c>
      <c r="AG961" s="8">
        <f t="shared" si="88"/>
        <v>0</v>
      </c>
      <c r="AI961" s="8">
        <f t="shared" si="89"/>
        <v>0</v>
      </c>
    </row>
    <row r="962" spans="23:35" ht="15" customHeight="1" x14ac:dyDescent="0.25">
      <c r="W962" s="4" t="str">
        <f>IF($C962="","",SUMPRODUCT(($C$2:C962=C962)+($D$2:D962=C962)))</f>
        <v/>
      </c>
      <c r="X962" s="4" t="str">
        <f>IF($D962="","",SUMPRODUCT(($C$2:C962=D962)+($D$2:D962=D962)))</f>
        <v/>
      </c>
      <c r="Y962" s="4" t="str">
        <f t="shared" ref="Y962:Y1001" si="90">IF($C962="","",C962&amp;"|"&amp;W962)</f>
        <v/>
      </c>
      <c r="Z962" s="4" t="str">
        <f t="shared" ref="Z962:Z1001" si="91">IF($D962="","",D962&amp;"|"&amp;X962)</f>
        <v/>
      </c>
      <c r="AA962" s="4" t="str">
        <f>IF($C962="","",IF(COUNTIF($C$1:C961,$C962)+COUNTIF($D$1:D961,$C962)=0,1,0))</f>
        <v/>
      </c>
      <c r="AB962" s="4" t="str">
        <f>IF($D962="","",IF(COUNTIF($C$1:C962,$D962)+COUNTIF($D$1:D961,$D962)=0,1,0))</f>
        <v/>
      </c>
      <c r="AC962" s="4" t="str">
        <f>IF(AA962=1,SUM($AA$2:AA962)-AA962+SUM($AB$2:AB962)-AB962+1,"")</f>
        <v/>
      </c>
      <c r="AD962" s="4" t="str">
        <f>IF(AB962=1,SUM($AA$2:AA962)+SUM($AB$2:AB962)-AB962+1,"")</f>
        <v/>
      </c>
      <c r="AE962" s="4" t="str">
        <f t="shared" ref="AE962:AE1001" si="92">IF(AC962="","","TEAM|"&amp;AC962)</f>
        <v/>
      </c>
      <c r="AF962" s="4" t="str">
        <f t="shared" ref="AF962:AF1001" si="93">IF(AD962="","","TEAM|"&amp;AD962)</f>
        <v/>
      </c>
      <c r="AG962" s="8">
        <f t="shared" ref="AG962:AG1025" si="94">IF(AH962="",0,LEN(AH962)-LEN(SUBSTITUTE(AH962,"/",""))+1)</f>
        <v>0</v>
      </c>
      <c r="AI962" s="8">
        <f t="shared" ref="AI962:AI1025" si="95">IF(AJ962="",0,LEN(AJ962)-LEN(SUBSTITUTE(AJ962,"/",""))+1)</f>
        <v>0</v>
      </c>
    </row>
    <row r="963" spans="23:35" ht="15" customHeight="1" x14ac:dyDescent="0.25">
      <c r="W963" s="4" t="str">
        <f>IF($C963="","",SUMPRODUCT(($C$2:C963=C963)+($D$2:D963=C963)))</f>
        <v/>
      </c>
      <c r="X963" s="4" t="str">
        <f>IF($D963="","",SUMPRODUCT(($C$2:C963=D963)+($D$2:D963=D963)))</f>
        <v/>
      </c>
      <c r="Y963" s="4" t="str">
        <f t="shared" si="90"/>
        <v/>
      </c>
      <c r="Z963" s="4" t="str">
        <f t="shared" si="91"/>
        <v/>
      </c>
      <c r="AA963" s="4" t="str">
        <f>IF($C963="","",IF(COUNTIF($C$1:C962,$C963)+COUNTIF($D$1:D962,$C963)=0,1,0))</f>
        <v/>
      </c>
      <c r="AB963" s="4" t="str">
        <f>IF($D963="","",IF(COUNTIF($C$1:C963,$D963)+COUNTIF($D$1:D962,$D963)=0,1,0))</f>
        <v/>
      </c>
      <c r="AC963" s="4" t="str">
        <f>IF(AA963=1,SUM($AA$2:AA963)-AA963+SUM($AB$2:AB963)-AB963+1,"")</f>
        <v/>
      </c>
      <c r="AD963" s="4" t="str">
        <f>IF(AB963=1,SUM($AA$2:AA963)+SUM($AB$2:AB963)-AB963+1,"")</f>
        <v/>
      </c>
      <c r="AE963" s="4" t="str">
        <f t="shared" si="92"/>
        <v/>
      </c>
      <c r="AF963" s="4" t="str">
        <f t="shared" si="93"/>
        <v/>
      </c>
      <c r="AG963" s="8">
        <f t="shared" si="94"/>
        <v>0</v>
      </c>
      <c r="AI963" s="8">
        <f t="shared" si="95"/>
        <v>0</v>
      </c>
    </row>
    <row r="964" spans="23:35" ht="15" customHeight="1" x14ac:dyDescent="0.25">
      <c r="W964" s="4" t="str">
        <f>IF($C964="","",SUMPRODUCT(($C$2:C964=C964)+($D$2:D964=C964)))</f>
        <v/>
      </c>
      <c r="X964" s="4" t="str">
        <f>IF($D964="","",SUMPRODUCT(($C$2:C964=D964)+($D$2:D964=D964)))</f>
        <v/>
      </c>
      <c r="Y964" s="4" t="str">
        <f t="shared" si="90"/>
        <v/>
      </c>
      <c r="Z964" s="4" t="str">
        <f t="shared" si="91"/>
        <v/>
      </c>
      <c r="AA964" s="4" t="str">
        <f>IF($C964="","",IF(COUNTIF($C$1:C963,$C964)+COUNTIF($D$1:D963,$C964)=0,1,0))</f>
        <v/>
      </c>
      <c r="AB964" s="4" t="str">
        <f>IF($D964="","",IF(COUNTIF($C$1:C964,$D964)+COUNTIF($D$1:D963,$D964)=0,1,0))</f>
        <v/>
      </c>
      <c r="AC964" s="4" t="str">
        <f>IF(AA964=1,SUM($AA$2:AA964)-AA964+SUM($AB$2:AB964)-AB964+1,"")</f>
        <v/>
      </c>
      <c r="AD964" s="4" t="str">
        <f>IF(AB964=1,SUM($AA$2:AA964)+SUM($AB$2:AB964)-AB964+1,"")</f>
        <v/>
      </c>
      <c r="AE964" s="4" t="str">
        <f t="shared" si="92"/>
        <v/>
      </c>
      <c r="AF964" s="4" t="str">
        <f t="shared" si="93"/>
        <v/>
      </c>
      <c r="AG964" s="8">
        <f t="shared" si="94"/>
        <v>0</v>
      </c>
      <c r="AI964" s="8">
        <f t="shared" si="95"/>
        <v>0</v>
      </c>
    </row>
    <row r="965" spans="23:35" ht="15" customHeight="1" x14ac:dyDescent="0.25">
      <c r="W965" s="4" t="str">
        <f>IF($C965="","",SUMPRODUCT(($C$2:C965=C965)+($D$2:D965=C965)))</f>
        <v/>
      </c>
      <c r="X965" s="4" t="str">
        <f>IF($D965="","",SUMPRODUCT(($C$2:C965=D965)+($D$2:D965=D965)))</f>
        <v/>
      </c>
      <c r="Y965" s="4" t="str">
        <f t="shared" si="90"/>
        <v/>
      </c>
      <c r="Z965" s="4" t="str">
        <f t="shared" si="91"/>
        <v/>
      </c>
      <c r="AA965" s="4" t="str">
        <f>IF($C965="","",IF(COUNTIF($C$1:C964,$C965)+COUNTIF($D$1:D964,$C965)=0,1,0))</f>
        <v/>
      </c>
      <c r="AB965" s="4" t="str">
        <f>IF($D965="","",IF(COUNTIF($C$1:C965,$D965)+COUNTIF($D$1:D964,$D965)=0,1,0))</f>
        <v/>
      </c>
      <c r="AC965" s="4" t="str">
        <f>IF(AA965=1,SUM($AA$2:AA965)-AA965+SUM($AB$2:AB965)-AB965+1,"")</f>
        <v/>
      </c>
      <c r="AD965" s="4" t="str">
        <f>IF(AB965=1,SUM($AA$2:AA965)+SUM($AB$2:AB965)-AB965+1,"")</f>
        <v/>
      </c>
      <c r="AE965" s="4" t="str">
        <f t="shared" si="92"/>
        <v/>
      </c>
      <c r="AF965" s="4" t="str">
        <f t="shared" si="93"/>
        <v/>
      </c>
      <c r="AG965" s="8">
        <f t="shared" si="94"/>
        <v>0</v>
      </c>
      <c r="AI965" s="8">
        <f t="shared" si="95"/>
        <v>0</v>
      </c>
    </row>
    <row r="966" spans="23:35" ht="15" customHeight="1" x14ac:dyDescent="0.25">
      <c r="W966" s="4" t="str">
        <f>IF($C966="","",SUMPRODUCT(($C$2:C966=C966)+($D$2:D966=C966)))</f>
        <v/>
      </c>
      <c r="X966" s="4" t="str">
        <f>IF($D966="","",SUMPRODUCT(($C$2:C966=D966)+($D$2:D966=D966)))</f>
        <v/>
      </c>
      <c r="Y966" s="4" t="str">
        <f t="shared" si="90"/>
        <v/>
      </c>
      <c r="Z966" s="4" t="str">
        <f t="shared" si="91"/>
        <v/>
      </c>
      <c r="AA966" s="4" t="str">
        <f>IF($C966="","",IF(COUNTIF($C$1:C965,$C966)+COUNTIF($D$1:D965,$C966)=0,1,0))</f>
        <v/>
      </c>
      <c r="AB966" s="4" t="str">
        <f>IF($D966="","",IF(COUNTIF($C$1:C966,$D966)+COUNTIF($D$1:D965,$D966)=0,1,0))</f>
        <v/>
      </c>
      <c r="AC966" s="4" t="str">
        <f>IF(AA966=1,SUM($AA$2:AA966)-AA966+SUM($AB$2:AB966)-AB966+1,"")</f>
        <v/>
      </c>
      <c r="AD966" s="4" t="str">
        <f>IF(AB966=1,SUM($AA$2:AA966)+SUM($AB$2:AB966)-AB966+1,"")</f>
        <v/>
      </c>
      <c r="AE966" s="4" t="str">
        <f t="shared" si="92"/>
        <v/>
      </c>
      <c r="AF966" s="4" t="str">
        <f t="shared" si="93"/>
        <v/>
      </c>
      <c r="AG966" s="8">
        <f t="shared" si="94"/>
        <v>0</v>
      </c>
      <c r="AI966" s="8">
        <f t="shared" si="95"/>
        <v>0</v>
      </c>
    </row>
    <row r="967" spans="23:35" ht="15" customHeight="1" x14ac:dyDescent="0.25">
      <c r="W967" s="4" t="str">
        <f>IF($C967="","",SUMPRODUCT(($C$2:C967=C967)+($D$2:D967=C967)))</f>
        <v/>
      </c>
      <c r="X967" s="4" t="str">
        <f>IF($D967="","",SUMPRODUCT(($C$2:C967=D967)+($D$2:D967=D967)))</f>
        <v/>
      </c>
      <c r="Y967" s="4" t="str">
        <f t="shared" si="90"/>
        <v/>
      </c>
      <c r="Z967" s="4" t="str">
        <f t="shared" si="91"/>
        <v/>
      </c>
      <c r="AA967" s="4" t="str">
        <f>IF($C967="","",IF(COUNTIF($C$1:C966,$C967)+COUNTIF($D$1:D966,$C967)=0,1,0))</f>
        <v/>
      </c>
      <c r="AB967" s="4" t="str">
        <f>IF($D967="","",IF(COUNTIF($C$1:C967,$D967)+COUNTIF($D$1:D966,$D967)=0,1,0))</f>
        <v/>
      </c>
      <c r="AC967" s="4" t="str">
        <f>IF(AA967=1,SUM($AA$2:AA967)-AA967+SUM($AB$2:AB967)-AB967+1,"")</f>
        <v/>
      </c>
      <c r="AD967" s="4" t="str">
        <f>IF(AB967=1,SUM($AA$2:AA967)+SUM($AB$2:AB967)-AB967+1,"")</f>
        <v/>
      </c>
      <c r="AE967" s="4" t="str">
        <f t="shared" si="92"/>
        <v/>
      </c>
      <c r="AF967" s="4" t="str">
        <f t="shared" si="93"/>
        <v/>
      </c>
      <c r="AG967" s="8">
        <f t="shared" si="94"/>
        <v>0</v>
      </c>
      <c r="AI967" s="8">
        <f t="shared" si="95"/>
        <v>0</v>
      </c>
    </row>
    <row r="968" spans="23:35" ht="15" customHeight="1" x14ac:dyDescent="0.25">
      <c r="W968" s="4" t="str">
        <f>IF($C968="","",SUMPRODUCT(($C$2:C968=C968)+($D$2:D968=C968)))</f>
        <v/>
      </c>
      <c r="X968" s="4" t="str">
        <f>IF($D968="","",SUMPRODUCT(($C$2:C968=D968)+($D$2:D968=D968)))</f>
        <v/>
      </c>
      <c r="Y968" s="4" t="str">
        <f t="shared" si="90"/>
        <v/>
      </c>
      <c r="Z968" s="4" t="str">
        <f t="shared" si="91"/>
        <v/>
      </c>
      <c r="AA968" s="4" t="str">
        <f>IF($C968="","",IF(COUNTIF($C$1:C967,$C968)+COUNTIF($D$1:D967,$C968)=0,1,0))</f>
        <v/>
      </c>
      <c r="AB968" s="4" t="str">
        <f>IF($D968="","",IF(COUNTIF($C$1:C968,$D968)+COUNTIF($D$1:D967,$D968)=0,1,0))</f>
        <v/>
      </c>
      <c r="AC968" s="4" t="str">
        <f>IF(AA968=1,SUM($AA$2:AA968)-AA968+SUM($AB$2:AB968)-AB968+1,"")</f>
        <v/>
      </c>
      <c r="AD968" s="4" t="str">
        <f>IF(AB968=1,SUM($AA$2:AA968)+SUM($AB$2:AB968)-AB968+1,"")</f>
        <v/>
      </c>
      <c r="AE968" s="4" t="str">
        <f t="shared" si="92"/>
        <v/>
      </c>
      <c r="AF968" s="4" t="str">
        <f t="shared" si="93"/>
        <v/>
      </c>
      <c r="AG968" s="8">
        <f t="shared" si="94"/>
        <v>0</v>
      </c>
      <c r="AI968" s="8">
        <f t="shared" si="95"/>
        <v>0</v>
      </c>
    </row>
    <row r="969" spans="23:35" ht="15" customHeight="1" x14ac:dyDescent="0.25">
      <c r="W969" s="4" t="str">
        <f>IF($C969="","",SUMPRODUCT(($C$2:C969=C969)+($D$2:D969=C969)))</f>
        <v/>
      </c>
      <c r="X969" s="4" t="str">
        <f>IF($D969="","",SUMPRODUCT(($C$2:C969=D969)+($D$2:D969=D969)))</f>
        <v/>
      </c>
      <c r="Y969" s="4" t="str">
        <f t="shared" si="90"/>
        <v/>
      </c>
      <c r="Z969" s="4" t="str">
        <f t="shared" si="91"/>
        <v/>
      </c>
      <c r="AA969" s="4" t="str">
        <f>IF($C969="","",IF(COUNTIF($C$1:C968,$C969)+COUNTIF($D$1:D968,$C969)=0,1,0))</f>
        <v/>
      </c>
      <c r="AB969" s="4" t="str">
        <f>IF($D969="","",IF(COUNTIF($C$1:C969,$D969)+COUNTIF($D$1:D968,$D969)=0,1,0))</f>
        <v/>
      </c>
      <c r="AC969" s="4" t="str">
        <f>IF(AA969=1,SUM($AA$2:AA969)-AA969+SUM($AB$2:AB969)-AB969+1,"")</f>
        <v/>
      </c>
      <c r="AD969" s="4" t="str">
        <f>IF(AB969=1,SUM($AA$2:AA969)+SUM($AB$2:AB969)-AB969+1,"")</f>
        <v/>
      </c>
      <c r="AE969" s="4" t="str">
        <f t="shared" si="92"/>
        <v/>
      </c>
      <c r="AF969" s="4" t="str">
        <f t="shared" si="93"/>
        <v/>
      </c>
      <c r="AG969" s="8">
        <f t="shared" si="94"/>
        <v>0</v>
      </c>
      <c r="AI969" s="8">
        <f t="shared" si="95"/>
        <v>0</v>
      </c>
    </row>
    <row r="970" spans="23:35" ht="15" customHeight="1" x14ac:dyDescent="0.25">
      <c r="W970" s="4" t="str">
        <f>IF($C970="","",SUMPRODUCT(($C$2:C970=C970)+($D$2:D970=C970)))</f>
        <v/>
      </c>
      <c r="X970" s="4" t="str">
        <f>IF($D970="","",SUMPRODUCT(($C$2:C970=D970)+($D$2:D970=D970)))</f>
        <v/>
      </c>
      <c r="Y970" s="4" t="str">
        <f t="shared" si="90"/>
        <v/>
      </c>
      <c r="Z970" s="4" t="str">
        <f t="shared" si="91"/>
        <v/>
      </c>
      <c r="AA970" s="4" t="str">
        <f>IF($C970="","",IF(COUNTIF($C$1:C969,$C970)+COUNTIF($D$1:D969,$C970)=0,1,0))</f>
        <v/>
      </c>
      <c r="AB970" s="4" t="str">
        <f>IF($D970="","",IF(COUNTIF($C$1:C970,$D970)+COUNTIF($D$1:D969,$D970)=0,1,0))</f>
        <v/>
      </c>
      <c r="AC970" s="4" t="str">
        <f>IF(AA970=1,SUM($AA$2:AA970)-AA970+SUM($AB$2:AB970)-AB970+1,"")</f>
        <v/>
      </c>
      <c r="AD970" s="4" t="str">
        <f>IF(AB970=1,SUM($AA$2:AA970)+SUM($AB$2:AB970)-AB970+1,"")</f>
        <v/>
      </c>
      <c r="AE970" s="4" t="str">
        <f t="shared" si="92"/>
        <v/>
      </c>
      <c r="AF970" s="4" t="str">
        <f t="shared" si="93"/>
        <v/>
      </c>
      <c r="AG970" s="8">
        <f t="shared" si="94"/>
        <v>0</v>
      </c>
      <c r="AI970" s="8">
        <f t="shared" si="95"/>
        <v>0</v>
      </c>
    </row>
    <row r="971" spans="23:35" ht="15" customHeight="1" x14ac:dyDescent="0.25">
      <c r="W971" s="4" t="str">
        <f>IF($C971="","",SUMPRODUCT(($C$2:C971=C971)+($D$2:D971=C971)))</f>
        <v/>
      </c>
      <c r="X971" s="4" t="str">
        <f>IF($D971="","",SUMPRODUCT(($C$2:C971=D971)+($D$2:D971=D971)))</f>
        <v/>
      </c>
      <c r="Y971" s="4" t="str">
        <f t="shared" si="90"/>
        <v/>
      </c>
      <c r="Z971" s="4" t="str">
        <f t="shared" si="91"/>
        <v/>
      </c>
      <c r="AA971" s="4" t="str">
        <f>IF($C971="","",IF(COUNTIF($C$1:C970,$C971)+COUNTIF($D$1:D970,$C971)=0,1,0))</f>
        <v/>
      </c>
      <c r="AB971" s="4" t="str">
        <f>IF($D971="","",IF(COUNTIF($C$1:C971,$D971)+COUNTIF($D$1:D970,$D971)=0,1,0))</f>
        <v/>
      </c>
      <c r="AC971" s="4" t="str">
        <f>IF(AA971=1,SUM($AA$2:AA971)-AA971+SUM($AB$2:AB971)-AB971+1,"")</f>
        <v/>
      </c>
      <c r="AD971" s="4" t="str">
        <f>IF(AB971=1,SUM($AA$2:AA971)+SUM($AB$2:AB971)-AB971+1,"")</f>
        <v/>
      </c>
      <c r="AE971" s="4" t="str">
        <f t="shared" si="92"/>
        <v/>
      </c>
      <c r="AF971" s="4" t="str">
        <f t="shared" si="93"/>
        <v/>
      </c>
      <c r="AG971" s="8">
        <f t="shared" si="94"/>
        <v>0</v>
      </c>
      <c r="AI971" s="8">
        <f t="shared" si="95"/>
        <v>0</v>
      </c>
    </row>
    <row r="972" spans="23:35" ht="15" customHeight="1" x14ac:dyDescent="0.25">
      <c r="W972" s="4" t="str">
        <f>IF($C972="","",SUMPRODUCT(($C$2:C972=C972)+($D$2:D972=C972)))</f>
        <v/>
      </c>
      <c r="X972" s="4" t="str">
        <f>IF($D972="","",SUMPRODUCT(($C$2:C972=D972)+($D$2:D972=D972)))</f>
        <v/>
      </c>
      <c r="Y972" s="4" t="str">
        <f t="shared" si="90"/>
        <v/>
      </c>
      <c r="Z972" s="4" t="str">
        <f t="shared" si="91"/>
        <v/>
      </c>
      <c r="AA972" s="4" t="str">
        <f>IF($C972="","",IF(COUNTIF($C$1:C971,$C972)+COUNTIF($D$1:D971,$C972)=0,1,0))</f>
        <v/>
      </c>
      <c r="AB972" s="4" t="str">
        <f>IF($D972="","",IF(COUNTIF($C$1:C972,$D972)+COUNTIF($D$1:D971,$D972)=0,1,0))</f>
        <v/>
      </c>
      <c r="AC972" s="4" t="str">
        <f>IF(AA972=1,SUM($AA$2:AA972)-AA972+SUM($AB$2:AB972)-AB972+1,"")</f>
        <v/>
      </c>
      <c r="AD972" s="4" t="str">
        <f>IF(AB972=1,SUM($AA$2:AA972)+SUM($AB$2:AB972)-AB972+1,"")</f>
        <v/>
      </c>
      <c r="AE972" s="4" t="str">
        <f t="shared" si="92"/>
        <v/>
      </c>
      <c r="AF972" s="4" t="str">
        <f t="shared" si="93"/>
        <v/>
      </c>
      <c r="AG972" s="8">
        <f t="shared" si="94"/>
        <v>0</v>
      </c>
      <c r="AI972" s="8">
        <f t="shared" si="95"/>
        <v>0</v>
      </c>
    </row>
    <row r="973" spans="23:35" ht="15" customHeight="1" x14ac:dyDescent="0.25">
      <c r="W973" s="4" t="str">
        <f>IF($C973="","",SUMPRODUCT(($C$2:C973=C973)+($D$2:D973=C973)))</f>
        <v/>
      </c>
      <c r="X973" s="4" t="str">
        <f>IF($D973="","",SUMPRODUCT(($C$2:C973=D973)+($D$2:D973=D973)))</f>
        <v/>
      </c>
      <c r="Y973" s="4" t="str">
        <f t="shared" si="90"/>
        <v/>
      </c>
      <c r="Z973" s="4" t="str">
        <f t="shared" si="91"/>
        <v/>
      </c>
      <c r="AA973" s="4" t="str">
        <f>IF($C973="","",IF(COUNTIF($C$1:C972,$C973)+COUNTIF($D$1:D972,$C973)=0,1,0))</f>
        <v/>
      </c>
      <c r="AB973" s="4" t="str">
        <f>IF($D973="","",IF(COUNTIF($C$1:C973,$D973)+COUNTIF($D$1:D972,$D973)=0,1,0))</f>
        <v/>
      </c>
      <c r="AC973" s="4" t="str">
        <f>IF(AA973=1,SUM($AA$2:AA973)-AA973+SUM($AB$2:AB973)-AB973+1,"")</f>
        <v/>
      </c>
      <c r="AD973" s="4" t="str">
        <f>IF(AB973=1,SUM($AA$2:AA973)+SUM($AB$2:AB973)-AB973+1,"")</f>
        <v/>
      </c>
      <c r="AE973" s="4" t="str">
        <f t="shared" si="92"/>
        <v/>
      </c>
      <c r="AF973" s="4" t="str">
        <f t="shared" si="93"/>
        <v/>
      </c>
      <c r="AG973" s="8">
        <f t="shared" si="94"/>
        <v>0</v>
      </c>
      <c r="AI973" s="8">
        <f t="shared" si="95"/>
        <v>0</v>
      </c>
    </row>
    <row r="974" spans="23:35" ht="15" customHeight="1" x14ac:dyDescent="0.25">
      <c r="W974" s="4" t="str">
        <f>IF($C974="","",SUMPRODUCT(($C$2:C974=C974)+($D$2:D974=C974)))</f>
        <v/>
      </c>
      <c r="X974" s="4" t="str">
        <f>IF($D974="","",SUMPRODUCT(($C$2:C974=D974)+($D$2:D974=D974)))</f>
        <v/>
      </c>
      <c r="Y974" s="4" t="str">
        <f t="shared" si="90"/>
        <v/>
      </c>
      <c r="Z974" s="4" t="str">
        <f t="shared" si="91"/>
        <v/>
      </c>
      <c r="AA974" s="4" t="str">
        <f>IF($C974="","",IF(COUNTIF($C$1:C973,$C974)+COUNTIF($D$1:D973,$C974)=0,1,0))</f>
        <v/>
      </c>
      <c r="AB974" s="4" t="str">
        <f>IF($D974="","",IF(COUNTIF($C$1:C974,$D974)+COUNTIF($D$1:D973,$D974)=0,1,0))</f>
        <v/>
      </c>
      <c r="AC974" s="4" t="str">
        <f>IF(AA974=1,SUM($AA$2:AA974)-AA974+SUM($AB$2:AB974)-AB974+1,"")</f>
        <v/>
      </c>
      <c r="AD974" s="4" t="str">
        <f>IF(AB974=1,SUM($AA$2:AA974)+SUM($AB$2:AB974)-AB974+1,"")</f>
        <v/>
      </c>
      <c r="AE974" s="4" t="str">
        <f t="shared" si="92"/>
        <v/>
      </c>
      <c r="AF974" s="4" t="str">
        <f t="shared" si="93"/>
        <v/>
      </c>
      <c r="AG974" s="8">
        <f t="shared" si="94"/>
        <v>0</v>
      </c>
      <c r="AI974" s="8">
        <f t="shared" si="95"/>
        <v>0</v>
      </c>
    </row>
    <row r="975" spans="23:35" ht="15" customHeight="1" x14ac:dyDescent="0.25">
      <c r="W975" s="4" t="str">
        <f>IF($C975="","",SUMPRODUCT(($C$2:C975=C975)+($D$2:D975=C975)))</f>
        <v/>
      </c>
      <c r="X975" s="4" t="str">
        <f>IF($D975="","",SUMPRODUCT(($C$2:C975=D975)+($D$2:D975=D975)))</f>
        <v/>
      </c>
      <c r="Y975" s="4" t="str">
        <f t="shared" si="90"/>
        <v/>
      </c>
      <c r="Z975" s="4" t="str">
        <f t="shared" si="91"/>
        <v/>
      </c>
      <c r="AA975" s="4" t="str">
        <f>IF($C975="","",IF(COUNTIF($C$1:C974,$C975)+COUNTIF($D$1:D974,$C975)=0,1,0))</f>
        <v/>
      </c>
      <c r="AB975" s="4" t="str">
        <f>IF($D975="","",IF(COUNTIF($C$1:C975,$D975)+COUNTIF($D$1:D974,$D975)=0,1,0))</f>
        <v/>
      </c>
      <c r="AC975" s="4" t="str">
        <f>IF(AA975=1,SUM($AA$2:AA975)-AA975+SUM($AB$2:AB975)-AB975+1,"")</f>
        <v/>
      </c>
      <c r="AD975" s="4" t="str">
        <f>IF(AB975=1,SUM($AA$2:AA975)+SUM($AB$2:AB975)-AB975+1,"")</f>
        <v/>
      </c>
      <c r="AE975" s="4" t="str">
        <f t="shared" si="92"/>
        <v/>
      </c>
      <c r="AF975" s="4" t="str">
        <f t="shared" si="93"/>
        <v/>
      </c>
      <c r="AG975" s="8">
        <f t="shared" si="94"/>
        <v>0</v>
      </c>
      <c r="AI975" s="8">
        <f t="shared" si="95"/>
        <v>0</v>
      </c>
    </row>
    <row r="976" spans="23:35" ht="15" customHeight="1" x14ac:dyDescent="0.25">
      <c r="W976" s="4" t="str">
        <f>IF($C976="","",SUMPRODUCT(($C$2:C976=C976)+($D$2:D976=C976)))</f>
        <v/>
      </c>
      <c r="X976" s="4" t="str">
        <f>IF($D976="","",SUMPRODUCT(($C$2:C976=D976)+($D$2:D976=D976)))</f>
        <v/>
      </c>
      <c r="Y976" s="4" t="str">
        <f t="shared" si="90"/>
        <v/>
      </c>
      <c r="Z976" s="4" t="str">
        <f t="shared" si="91"/>
        <v/>
      </c>
      <c r="AA976" s="4" t="str">
        <f>IF($C976="","",IF(COUNTIF($C$1:C975,$C976)+COUNTIF($D$1:D975,$C976)=0,1,0))</f>
        <v/>
      </c>
      <c r="AB976" s="4" t="str">
        <f>IF($D976="","",IF(COUNTIF($C$1:C976,$D976)+COUNTIF($D$1:D975,$D976)=0,1,0))</f>
        <v/>
      </c>
      <c r="AC976" s="4" t="str">
        <f>IF(AA976=1,SUM($AA$2:AA976)-AA976+SUM($AB$2:AB976)-AB976+1,"")</f>
        <v/>
      </c>
      <c r="AD976" s="4" t="str">
        <f>IF(AB976=1,SUM($AA$2:AA976)+SUM($AB$2:AB976)-AB976+1,"")</f>
        <v/>
      </c>
      <c r="AE976" s="4" t="str">
        <f t="shared" si="92"/>
        <v/>
      </c>
      <c r="AF976" s="4" t="str">
        <f t="shared" si="93"/>
        <v/>
      </c>
      <c r="AG976" s="8">
        <f t="shared" si="94"/>
        <v>0</v>
      </c>
      <c r="AI976" s="8">
        <f t="shared" si="95"/>
        <v>0</v>
      </c>
    </row>
    <row r="977" spans="23:35" ht="15" customHeight="1" x14ac:dyDescent="0.25">
      <c r="W977" s="4" t="str">
        <f>IF($C977="","",SUMPRODUCT(($C$2:C977=C977)+($D$2:D977=C977)))</f>
        <v/>
      </c>
      <c r="X977" s="4" t="str">
        <f>IF($D977="","",SUMPRODUCT(($C$2:C977=D977)+($D$2:D977=D977)))</f>
        <v/>
      </c>
      <c r="Y977" s="4" t="str">
        <f t="shared" si="90"/>
        <v/>
      </c>
      <c r="Z977" s="4" t="str">
        <f t="shared" si="91"/>
        <v/>
      </c>
      <c r="AA977" s="4" t="str">
        <f>IF($C977="","",IF(COUNTIF($C$1:C976,$C977)+COUNTIF($D$1:D976,$C977)=0,1,0))</f>
        <v/>
      </c>
      <c r="AB977" s="4" t="str">
        <f>IF($D977="","",IF(COUNTIF($C$1:C977,$D977)+COUNTIF($D$1:D976,$D977)=0,1,0))</f>
        <v/>
      </c>
      <c r="AC977" s="4" t="str">
        <f>IF(AA977=1,SUM($AA$2:AA977)-AA977+SUM($AB$2:AB977)-AB977+1,"")</f>
        <v/>
      </c>
      <c r="AD977" s="4" t="str">
        <f>IF(AB977=1,SUM($AA$2:AA977)+SUM($AB$2:AB977)-AB977+1,"")</f>
        <v/>
      </c>
      <c r="AE977" s="4" t="str">
        <f t="shared" si="92"/>
        <v/>
      </c>
      <c r="AF977" s="4" t="str">
        <f t="shared" si="93"/>
        <v/>
      </c>
      <c r="AG977" s="8">
        <f t="shared" si="94"/>
        <v>0</v>
      </c>
      <c r="AI977" s="8">
        <f t="shared" si="95"/>
        <v>0</v>
      </c>
    </row>
    <row r="978" spans="23:35" ht="15" customHeight="1" x14ac:dyDescent="0.25">
      <c r="W978" s="4" t="str">
        <f>IF($C978="","",SUMPRODUCT(($C$2:C978=C978)+($D$2:D978=C978)))</f>
        <v/>
      </c>
      <c r="X978" s="4" t="str">
        <f>IF($D978="","",SUMPRODUCT(($C$2:C978=D978)+($D$2:D978=D978)))</f>
        <v/>
      </c>
      <c r="Y978" s="4" t="str">
        <f t="shared" si="90"/>
        <v/>
      </c>
      <c r="Z978" s="4" t="str">
        <f t="shared" si="91"/>
        <v/>
      </c>
      <c r="AA978" s="4" t="str">
        <f>IF($C978="","",IF(COUNTIF($C$1:C977,$C978)+COUNTIF($D$1:D977,$C978)=0,1,0))</f>
        <v/>
      </c>
      <c r="AB978" s="4" t="str">
        <f>IF($D978="","",IF(COUNTIF($C$1:C978,$D978)+COUNTIF($D$1:D977,$D978)=0,1,0))</f>
        <v/>
      </c>
      <c r="AC978" s="4" t="str">
        <f>IF(AA978=1,SUM($AA$2:AA978)-AA978+SUM($AB$2:AB978)-AB978+1,"")</f>
        <v/>
      </c>
      <c r="AD978" s="4" t="str">
        <f>IF(AB978=1,SUM($AA$2:AA978)+SUM($AB$2:AB978)-AB978+1,"")</f>
        <v/>
      </c>
      <c r="AE978" s="4" t="str">
        <f t="shared" si="92"/>
        <v/>
      </c>
      <c r="AF978" s="4" t="str">
        <f t="shared" si="93"/>
        <v/>
      </c>
      <c r="AG978" s="8">
        <f t="shared" si="94"/>
        <v>0</v>
      </c>
      <c r="AI978" s="8">
        <f t="shared" si="95"/>
        <v>0</v>
      </c>
    </row>
    <row r="979" spans="23:35" ht="15" customHeight="1" x14ac:dyDescent="0.25">
      <c r="W979" s="4" t="str">
        <f>IF($C979="","",SUMPRODUCT(($C$2:C979=C979)+($D$2:D979=C979)))</f>
        <v/>
      </c>
      <c r="X979" s="4" t="str">
        <f>IF($D979="","",SUMPRODUCT(($C$2:C979=D979)+($D$2:D979=D979)))</f>
        <v/>
      </c>
      <c r="Y979" s="4" t="str">
        <f t="shared" si="90"/>
        <v/>
      </c>
      <c r="Z979" s="4" t="str">
        <f t="shared" si="91"/>
        <v/>
      </c>
      <c r="AA979" s="4" t="str">
        <f>IF($C979="","",IF(COUNTIF($C$1:C978,$C979)+COUNTIF($D$1:D978,$C979)=0,1,0))</f>
        <v/>
      </c>
      <c r="AB979" s="4" t="str">
        <f>IF($D979="","",IF(COUNTIF($C$1:C979,$D979)+COUNTIF($D$1:D978,$D979)=0,1,0))</f>
        <v/>
      </c>
      <c r="AC979" s="4" t="str">
        <f>IF(AA979=1,SUM($AA$2:AA979)-AA979+SUM($AB$2:AB979)-AB979+1,"")</f>
        <v/>
      </c>
      <c r="AD979" s="4" t="str">
        <f>IF(AB979=1,SUM($AA$2:AA979)+SUM($AB$2:AB979)-AB979+1,"")</f>
        <v/>
      </c>
      <c r="AE979" s="4" t="str">
        <f t="shared" si="92"/>
        <v/>
      </c>
      <c r="AF979" s="4" t="str">
        <f t="shared" si="93"/>
        <v/>
      </c>
      <c r="AG979" s="8">
        <f t="shared" si="94"/>
        <v>0</v>
      </c>
      <c r="AI979" s="8">
        <f t="shared" si="95"/>
        <v>0</v>
      </c>
    </row>
    <row r="980" spans="23:35" ht="15" customHeight="1" x14ac:dyDescent="0.25">
      <c r="W980" s="4" t="str">
        <f>IF($C980="","",SUMPRODUCT(($C$2:C980=C980)+($D$2:D980=C980)))</f>
        <v/>
      </c>
      <c r="X980" s="4" t="str">
        <f>IF($D980="","",SUMPRODUCT(($C$2:C980=D980)+($D$2:D980=D980)))</f>
        <v/>
      </c>
      <c r="Y980" s="4" t="str">
        <f t="shared" si="90"/>
        <v/>
      </c>
      <c r="Z980" s="4" t="str">
        <f t="shared" si="91"/>
        <v/>
      </c>
      <c r="AA980" s="4" t="str">
        <f>IF($C980="","",IF(COUNTIF($C$1:C979,$C980)+COUNTIF($D$1:D979,$C980)=0,1,0))</f>
        <v/>
      </c>
      <c r="AB980" s="4" t="str">
        <f>IF($D980="","",IF(COUNTIF($C$1:C980,$D980)+COUNTIF($D$1:D979,$D980)=0,1,0))</f>
        <v/>
      </c>
      <c r="AC980" s="4" t="str">
        <f>IF(AA980=1,SUM($AA$2:AA980)-AA980+SUM($AB$2:AB980)-AB980+1,"")</f>
        <v/>
      </c>
      <c r="AD980" s="4" t="str">
        <f>IF(AB980=1,SUM($AA$2:AA980)+SUM($AB$2:AB980)-AB980+1,"")</f>
        <v/>
      </c>
      <c r="AE980" s="4" t="str">
        <f t="shared" si="92"/>
        <v/>
      </c>
      <c r="AF980" s="4" t="str">
        <f t="shared" si="93"/>
        <v/>
      </c>
      <c r="AG980" s="8">
        <f t="shared" si="94"/>
        <v>0</v>
      </c>
      <c r="AI980" s="8">
        <f t="shared" si="95"/>
        <v>0</v>
      </c>
    </row>
    <row r="981" spans="23:35" ht="15" customHeight="1" x14ac:dyDescent="0.25">
      <c r="W981" s="4" t="str">
        <f>IF($C981="","",SUMPRODUCT(($C$2:C981=C981)+($D$2:D981=C981)))</f>
        <v/>
      </c>
      <c r="X981" s="4" t="str">
        <f>IF($D981="","",SUMPRODUCT(($C$2:C981=D981)+($D$2:D981=D981)))</f>
        <v/>
      </c>
      <c r="Y981" s="4" t="str">
        <f t="shared" si="90"/>
        <v/>
      </c>
      <c r="Z981" s="4" t="str">
        <f t="shared" si="91"/>
        <v/>
      </c>
      <c r="AA981" s="4" t="str">
        <f>IF($C981="","",IF(COUNTIF($C$1:C980,$C981)+COUNTIF($D$1:D980,$C981)=0,1,0))</f>
        <v/>
      </c>
      <c r="AB981" s="4" t="str">
        <f>IF($D981="","",IF(COUNTIF($C$1:C981,$D981)+COUNTIF($D$1:D980,$D981)=0,1,0))</f>
        <v/>
      </c>
      <c r="AC981" s="4" t="str">
        <f>IF(AA981=1,SUM($AA$2:AA981)-AA981+SUM($AB$2:AB981)-AB981+1,"")</f>
        <v/>
      </c>
      <c r="AD981" s="4" t="str">
        <f>IF(AB981=1,SUM($AA$2:AA981)+SUM($AB$2:AB981)-AB981+1,"")</f>
        <v/>
      </c>
      <c r="AE981" s="4" t="str">
        <f t="shared" si="92"/>
        <v/>
      </c>
      <c r="AF981" s="4" t="str">
        <f t="shared" si="93"/>
        <v/>
      </c>
      <c r="AG981" s="8">
        <f t="shared" si="94"/>
        <v>0</v>
      </c>
      <c r="AI981" s="8">
        <f t="shared" si="95"/>
        <v>0</v>
      </c>
    </row>
    <row r="982" spans="23:35" ht="15" customHeight="1" x14ac:dyDescent="0.25">
      <c r="W982" s="4" t="str">
        <f>IF($C982="","",SUMPRODUCT(($C$2:C982=C982)+($D$2:D982=C982)))</f>
        <v/>
      </c>
      <c r="X982" s="4" t="str">
        <f>IF($D982="","",SUMPRODUCT(($C$2:C982=D982)+($D$2:D982=D982)))</f>
        <v/>
      </c>
      <c r="Y982" s="4" t="str">
        <f t="shared" si="90"/>
        <v/>
      </c>
      <c r="Z982" s="4" t="str">
        <f t="shared" si="91"/>
        <v/>
      </c>
      <c r="AA982" s="4" t="str">
        <f>IF($C982="","",IF(COUNTIF($C$1:C981,$C982)+COUNTIF($D$1:D981,$C982)=0,1,0))</f>
        <v/>
      </c>
      <c r="AB982" s="4" t="str">
        <f>IF($D982="","",IF(COUNTIF($C$1:C982,$D982)+COUNTIF($D$1:D981,$D982)=0,1,0))</f>
        <v/>
      </c>
      <c r="AC982" s="4" t="str">
        <f>IF(AA982=1,SUM($AA$2:AA982)-AA982+SUM($AB$2:AB982)-AB982+1,"")</f>
        <v/>
      </c>
      <c r="AD982" s="4" t="str">
        <f>IF(AB982=1,SUM($AA$2:AA982)+SUM($AB$2:AB982)-AB982+1,"")</f>
        <v/>
      </c>
      <c r="AE982" s="4" t="str">
        <f t="shared" si="92"/>
        <v/>
      </c>
      <c r="AF982" s="4" t="str">
        <f t="shared" si="93"/>
        <v/>
      </c>
      <c r="AG982" s="8">
        <f t="shared" si="94"/>
        <v>0</v>
      </c>
      <c r="AI982" s="8">
        <f t="shared" si="95"/>
        <v>0</v>
      </c>
    </row>
    <row r="983" spans="23:35" ht="15" customHeight="1" x14ac:dyDescent="0.25">
      <c r="W983" s="4" t="str">
        <f>IF($C983="","",SUMPRODUCT(($C$2:C983=C983)+($D$2:D983=C983)))</f>
        <v/>
      </c>
      <c r="X983" s="4" t="str">
        <f>IF($D983="","",SUMPRODUCT(($C$2:C983=D983)+($D$2:D983=D983)))</f>
        <v/>
      </c>
      <c r="Y983" s="4" t="str">
        <f t="shared" si="90"/>
        <v/>
      </c>
      <c r="Z983" s="4" t="str">
        <f t="shared" si="91"/>
        <v/>
      </c>
      <c r="AA983" s="4" t="str">
        <f>IF($C983="","",IF(COUNTIF($C$1:C982,$C983)+COUNTIF($D$1:D982,$C983)=0,1,0))</f>
        <v/>
      </c>
      <c r="AB983" s="4" t="str">
        <f>IF($D983="","",IF(COUNTIF($C$1:C983,$D983)+COUNTIF($D$1:D982,$D983)=0,1,0))</f>
        <v/>
      </c>
      <c r="AC983" s="4" t="str">
        <f>IF(AA983=1,SUM($AA$2:AA983)-AA983+SUM($AB$2:AB983)-AB983+1,"")</f>
        <v/>
      </c>
      <c r="AD983" s="4" t="str">
        <f>IF(AB983=1,SUM($AA$2:AA983)+SUM($AB$2:AB983)-AB983+1,"")</f>
        <v/>
      </c>
      <c r="AE983" s="4" t="str">
        <f t="shared" si="92"/>
        <v/>
      </c>
      <c r="AF983" s="4" t="str">
        <f t="shared" si="93"/>
        <v/>
      </c>
      <c r="AG983" s="8">
        <f t="shared" si="94"/>
        <v>0</v>
      </c>
      <c r="AI983" s="8">
        <f t="shared" si="95"/>
        <v>0</v>
      </c>
    </row>
    <row r="984" spans="23:35" ht="15" customHeight="1" x14ac:dyDescent="0.25">
      <c r="W984" s="4" t="str">
        <f>IF($C984="","",SUMPRODUCT(($C$2:C984=C984)+($D$2:D984=C984)))</f>
        <v/>
      </c>
      <c r="X984" s="4" t="str">
        <f>IF($D984="","",SUMPRODUCT(($C$2:C984=D984)+($D$2:D984=D984)))</f>
        <v/>
      </c>
      <c r="Y984" s="4" t="str">
        <f t="shared" si="90"/>
        <v/>
      </c>
      <c r="Z984" s="4" t="str">
        <f t="shared" si="91"/>
        <v/>
      </c>
      <c r="AA984" s="4" t="str">
        <f>IF($C984="","",IF(COUNTIF($C$1:C983,$C984)+COUNTIF($D$1:D983,$C984)=0,1,0))</f>
        <v/>
      </c>
      <c r="AB984" s="4" t="str">
        <f>IF($D984="","",IF(COUNTIF($C$1:C984,$D984)+COUNTIF($D$1:D983,$D984)=0,1,0))</f>
        <v/>
      </c>
      <c r="AC984" s="4" t="str">
        <f>IF(AA984=1,SUM($AA$2:AA984)-AA984+SUM($AB$2:AB984)-AB984+1,"")</f>
        <v/>
      </c>
      <c r="AD984" s="4" t="str">
        <f>IF(AB984=1,SUM($AA$2:AA984)+SUM($AB$2:AB984)-AB984+1,"")</f>
        <v/>
      </c>
      <c r="AE984" s="4" t="str">
        <f t="shared" si="92"/>
        <v/>
      </c>
      <c r="AF984" s="4" t="str">
        <f t="shared" si="93"/>
        <v/>
      </c>
      <c r="AG984" s="8">
        <f t="shared" si="94"/>
        <v>0</v>
      </c>
      <c r="AI984" s="8">
        <f t="shared" si="95"/>
        <v>0</v>
      </c>
    </row>
    <row r="985" spans="23:35" ht="15" customHeight="1" x14ac:dyDescent="0.25">
      <c r="W985" s="4" t="str">
        <f>IF($C985="","",SUMPRODUCT(($C$2:C985=C985)+($D$2:D985=C985)))</f>
        <v/>
      </c>
      <c r="X985" s="4" t="str">
        <f>IF($D985="","",SUMPRODUCT(($C$2:C985=D985)+($D$2:D985=D985)))</f>
        <v/>
      </c>
      <c r="Y985" s="4" t="str">
        <f t="shared" si="90"/>
        <v/>
      </c>
      <c r="Z985" s="4" t="str">
        <f t="shared" si="91"/>
        <v/>
      </c>
      <c r="AA985" s="4" t="str">
        <f>IF($C985="","",IF(COUNTIF($C$1:C984,$C985)+COUNTIF($D$1:D984,$C985)=0,1,0))</f>
        <v/>
      </c>
      <c r="AB985" s="4" t="str">
        <f>IF($D985="","",IF(COUNTIF($C$1:C985,$D985)+COUNTIF($D$1:D984,$D985)=0,1,0))</f>
        <v/>
      </c>
      <c r="AC985" s="4" t="str">
        <f>IF(AA985=1,SUM($AA$2:AA985)-AA985+SUM($AB$2:AB985)-AB985+1,"")</f>
        <v/>
      </c>
      <c r="AD985" s="4" t="str">
        <f>IF(AB985=1,SUM($AA$2:AA985)+SUM($AB$2:AB985)-AB985+1,"")</f>
        <v/>
      </c>
      <c r="AE985" s="4" t="str">
        <f t="shared" si="92"/>
        <v/>
      </c>
      <c r="AF985" s="4" t="str">
        <f t="shared" si="93"/>
        <v/>
      </c>
      <c r="AG985" s="8">
        <f t="shared" si="94"/>
        <v>0</v>
      </c>
      <c r="AI985" s="8">
        <f t="shared" si="95"/>
        <v>0</v>
      </c>
    </row>
    <row r="986" spans="23:35" ht="15" customHeight="1" x14ac:dyDescent="0.25">
      <c r="W986" s="4" t="str">
        <f>IF($C986="","",SUMPRODUCT(($C$2:C986=C986)+($D$2:D986=C986)))</f>
        <v/>
      </c>
      <c r="X986" s="4" t="str">
        <f>IF($D986="","",SUMPRODUCT(($C$2:C986=D986)+($D$2:D986=D986)))</f>
        <v/>
      </c>
      <c r="Y986" s="4" t="str">
        <f t="shared" si="90"/>
        <v/>
      </c>
      <c r="Z986" s="4" t="str">
        <f t="shared" si="91"/>
        <v/>
      </c>
      <c r="AA986" s="4" t="str">
        <f>IF($C986="","",IF(COUNTIF($C$1:C985,$C986)+COUNTIF($D$1:D985,$C986)=0,1,0))</f>
        <v/>
      </c>
      <c r="AB986" s="4" t="str">
        <f>IF($D986="","",IF(COUNTIF($C$1:C986,$D986)+COUNTIF($D$1:D985,$D986)=0,1,0))</f>
        <v/>
      </c>
      <c r="AC986" s="4" t="str">
        <f>IF(AA986=1,SUM($AA$2:AA986)-AA986+SUM($AB$2:AB986)-AB986+1,"")</f>
        <v/>
      </c>
      <c r="AD986" s="4" t="str">
        <f>IF(AB986=1,SUM($AA$2:AA986)+SUM($AB$2:AB986)-AB986+1,"")</f>
        <v/>
      </c>
      <c r="AE986" s="4" t="str">
        <f t="shared" si="92"/>
        <v/>
      </c>
      <c r="AF986" s="4" t="str">
        <f t="shared" si="93"/>
        <v/>
      </c>
      <c r="AG986" s="8">
        <f t="shared" si="94"/>
        <v>0</v>
      </c>
      <c r="AI986" s="8">
        <f t="shared" si="95"/>
        <v>0</v>
      </c>
    </row>
    <row r="987" spans="23:35" ht="15" customHeight="1" x14ac:dyDescent="0.25">
      <c r="W987" s="4" t="str">
        <f>IF($C987="","",SUMPRODUCT(($C$2:C987=C987)+($D$2:D987=C987)))</f>
        <v/>
      </c>
      <c r="X987" s="4" t="str">
        <f>IF($D987="","",SUMPRODUCT(($C$2:C987=D987)+($D$2:D987=D987)))</f>
        <v/>
      </c>
      <c r="Y987" s="4" t="str">
        <f t="shared" si="90"/>
        <v/>
      </c>
      <c r="Z987" s="4" t="str">
        <f t="shared" si="91"/>
        <v/>
      </c>
      <c r="AA987" s="4" t="str">
        <f>IF($C987="","",IF(COUNTIF($C$1:C986,$C987)+COUNTIF($D$1:D986,$C987)=0,1,0))</f>
        <v/>
      </c>
      <c r="AB987" s="4" t="str">
        <f>IF($D987="","",IF(COUNTIF($C$1:C987,$D987)+COUNTIF($D$1:D986,$D987)=0,1,0))</f>
        <v/>
      </c>
      <c r="AC987" s="4" t="str">
        <f>IF(AA987=1,SUM($AA$2:AA987)-AA987+SUM($AB$2:AB987)-AB987+1,"")</f>
        <v/>
      </c>
      <c r="AD987" s="4" t="str">
        <f>IF(AB987=1,SUM($AA$2:AA987)+SUM($AB$2:AB987)-AB987+1,"")</f>
        <v/>
      </c>
      <c r="AE987" s="4" t="str">
        <f t="shared" si="92"/>
        <v/>
      </c>
      <c r="AF987" s="4" t="str">
        <f t="shared" si="93"/>
        <v/>
      </c>
      <c r="AG987" s="8">
        <f t="shared" si="94"/>
        <v>0</v>
      </c>
      <c r="AI987" s="8">
        <f t="shared" si="95"/>
        <v>0</v>
      </c>
    </row>
    <row r="988" spans="23:35" ht="15" customHeight="1" x14ac:dyDescent="0.25">
      <c r="W988" s="4" t="str">
        <f>IF($C988="","",SUMPRODUCT(($C$2:C988=C988)+($D$2:D988=C988)))</f>
        <v/>
      </c>
      <c r="X988" s="4" t="str">
        <f>IF($D988="","",SUMPRODUCT(($C$2:C988=D988)+($D$2:D988=D988)))</f>
        <v/>
      </c>
      <c r="Y988" s="4" t="str">
        <f t="shared" si="90"/>
        <v/>
      </c>
      <c r="Z988" s="4" t="str">
        <f t="shared" si="91"/>
        <v/>
      </c>
      <c r="AA988" s="4" t="str">
        <f>IF($C988="","",IF(COUNTIF($C$1:C987,$C988)+COUNTIF($D$1:D987,$C988)=0,1,0))</f>
        <v/>
      </c>
      <c r="AB988" s="4" t="str">
        <f>IF($D988="","",IF(COUNTIF($C$1:C988,$D988)+COUNTIF($D$1:D987,$D988)=0,1,0))</f>
        <v/>
      </c>
      <c r="AC988" s="4" t="str">
        <f>IF(AA988=1,SUM($AA$2:AA988)-AA988+SUM($AB$2:AB988)-AB988+1,"")</f>
        <v/>
      </c>
      <c r="AD988" s="4" t="str">
        <f>IF(AB988=1,SUM($AA$2:AA988)+SUM($AB$2:AB988)-AB988+1,"")</f>
        <v/>
      </c>
      <c r="AE988" s="4" t="str">
        <f t="shared" si="92"/>
        <v/>
      </c>
      <c r="AF988" s="4" t="str">
        <f t="shared" si="93"/>
        <v/>
      </c>
      <c r="AG988" s="8">
        <f t="shared" si="94"/>
        <v>0</v>
      </c>
      <c r="AI988" s="8">
        <f t="shared" si="95"/>
        <v>0</v>
      </c>
    </row>
    <row r="989" spans="23:35" ht="15" customHeight="1" x14ac:dyDescent="0.25">
      <c r="W989" s="4" t="str">
        <f>IF($C989="","",SUMPRODUCT(($C$2:C989=C989)+($D$2:D989=C989)))</f>
        <v/>
      </c>
      <c r="X989" s="4" t="str">
        <f>IF($D989="","",SUMPRODUCT(($C$2:C989=D989)+($D$2:D989=D989)))</f>
        <v/>
      </c>
      <c r="Y989" s="4" t="str">
        <f t="shared" si="90"/>
        <v/>
      </c>
      <c r="Z989" s="4" t="str">
        <f t="shared" si="91"/>
        <v/>
      </c>
      <c r="AA989" s="4" t="str">
        <f>IF($C989="","",IF(COUNTIF($C$1:C988,$C989)+COUNTIF($D$1:D988,$C989)=0,1,0))</f>
        <v/>
      </c>
      <c r="AB989" s="4" t="str">
        <f>IF($D989="","",IF(COUNTIF($C$1:C989,$D989)+COUNTIF($D$1:D988,$D989)=0,1,0))</f>
        <v/>
      </c>
      <c r="AC989" s="4" t="str">
        <f>IF(AA989=1,SUM($AA$2:AA989)-AA989+SUM($AB$2:AB989)-AB989+1,"")</f>
        <v/>
      </c>
      <c r="AD989" s="4" t="str">
        <f>IF(AB989=1,SUM($AA$2:AA989)+SUM($AB$2:AB989)-AB989+1,"")</f>
        <v/>
      </c>
      <c r="AE989" s="4" t="str">
        <f t="shared" si="92"/>
        <v/>
      </c>
      <c r="AF989" s="4" t="str">
        <f t="shared" si="93"/>
        <v/>
      </c>
      <c r="AG989" s="8">
        <f t="shared" si="94"/>
        <v>0</v>
      </c>
      <c r="AI989" s="8">
        <f t="shared" si="95"/>
        <v>0</v>
      </c>
    </row>
    <row r="990" spans="23:35" ht="15" customHeight="1" x14ac:dyDescent="0.25">
      <c r="W990" s="4" t="str">
        <f>IF($C990="","",SUMPRODUCT(($C$2:C990=C990)+($D$2:D990=C990)))</f>
        <v/>
      </c>
      <c r="X990" s="4" t="str">
        <f>IF($D990="","",SUMPRODUCT(($C$2:C990=D990)+($D$2:D990=D990)))</f>
        <v/>
      </c>
      <c r="Y990" s="4" t="str">
        <f t="shared" si="90"/>
        <v/>
      </c>
      <c r="Z990" s="4" t="str">
        <f t="shared" si="91"/>
        <v/>
      </c>
      <c r="AA990" s="4" t="str">
        <f>IF($C990="","",IF(COUNTIF($C$1:C989,$C990)+COUNTIF($D$1:D989,$C990)=0,1,0))</f>
        <v/>
      </c>
      <c r="AB990" s="4" t="str">
        <f>IF($D990="","",IF(COUNTIF($C$1:C990,$D990)+COUNTIF($D$1:D989,$D990)=0,1,0))</f>
        <v/>
      </c>
      <c r="AC990" s="4" t="str">
        <f>IF(AA990=1,SUM($AA$2:AA990)-AA990+SUM($AB$2:AB990)-AB990+1,"")</f>
        <v/>
      </c>
      <c r="AD990" s="4" t="str">
        <f>IF(AB990=1,SUM($AA$2:AA990)+SUM($AB$2:AB990)-AB990+1,"")</f>
        <v/>
      </c>
      <c r="AE990" s="4" t="str">
        <f t="shared" si="92"/>
        <v/>
      </c>
      <c r="AF990" s="4" t="str">
        <f t="shared" si="93"/>
        <v/>
      </c>
      <c r="AG990" s="8">
        <f t="shared" si="94"/>
        <v>0</v>
      </c>
      <c r="AI990" s="8">
        <f t="shared" si="95"/>
        <v>0</v>
      </c>
    </row>
    <row r="991" spans="23:35" ht="15" customHeight="1" x14ac:dyDescent="0.25">
      <c r="W991" s="4" t="str">
        <f>IF($C991="","",SUMPRODUCT(($C$2:C991=C991)+($D$2:D991=C991)))</f>
        <v/>
      </c>
      <c r="X991" s="4" t="str">
        <f>IF($D991="","",SUMPRODUCT(($C$2:C991=D991)+($D$2:D991=D991)))</f>
        <v/>
      </c>
      <c r="Y991" s="4" t="str">
        <f t="shared" si="90"/>
        <v/>
      </c>
      <c r="Z991" s="4" t="str">
        <f t="shared" si="91"/>
        <v/>
      </c>
      <c r="AA991" s="4" t="str">
        <f>IF($C991="","",IF(COUNTIF($C$1:C990,$C991)+COUNTIF($D$1:D990,$C991)=0,1,0))</f>
        <v/>
      </c>
      <c r="AB991" s="4" t="str">
        <f>IF($D991="","",IF(COUNTIF($C$1:C991,$D991)+COUNTIF($D$1:D990,$D991)=0,1,0))</f>
        <v/>
      </c>
      <c r="AC991" s="4" t="str">
        <f>IF(AA991=1,SUM($AA$2:AA991)-AA991+SUM($AB$2:AB991)-AB991+1,"")</f>
        <v/>
      </c>
      <c r="AD991" s="4" t="str">
        <f>IF(AB991=1,SUM($AA$2:AA991)+SUM($AB$2:AB991)-AB991+1,"")</f>
        <v/>
      </c>
      <c r="AE991" s="4" t="str">
        <f t="shared" si="92"/>
        <v/>
      </c>
      <c r="AF991" s="4" t="str">
        <f t="shared" si="93"/>
        <v/>
      </c>
      <c r="AG991" s="8">
        <f t="shared" si="94"/>
        <v>0</v>
      </c>
      <c r="AI991" s="8">
        <f t="shared" si="95"/>
        <v>0</v>
      </c>
    </row>
    <row r="992" spans="23:35" ht="15" customHeight="1" x14ac:dyDescent="0.25">
      <c r="W992" s="4" t="str">
        <f>IF($C992="","",SUMPRODUCT(($C$2:C992=C992)+($D$2:D992=C992)))</f>
        <v/>
      </c>
      <c r="X992" s="4" t="str">
        <f>IF($D992="","",SUMPRODUCT(($C$2:C992=D992)+($D$2:D992=D992)))</f>
        <v/>
      </c>
      <c r="Y992" s="4" t="str">
        <f t="shared" si="90"/>
        <v/>
      </c>
      <c r="Z992" s="4" t="str">
        <f t="shared" si="91"/>
        <v/>
      </c>
      <c r="AA992" s="4" t="str">
        <f>IF($C992="","",IF(COUNTIF($C$1:C991,$C992)+COUNTIF($D$1:D991,$C992)=0,1,0))</f>
        <v/>
      </c>
      <c r="AB992" s="4" t="str">
        <f>IF($D992="","",IF(COUNTIF($C$1:C992,$D992)+COUNTIF($D$1:D991,$D992)=0,1,0))</f>
        <v/>
      </c>
      <c r="AC992" s="4" t="str">
        <f>IF(AA992=1,SUM($AA$2:AA992)-AA992+SUM($AB$2:AB992)-AB992+1,"")</f>
        <v/>
      </c>
      <c r="AD992" s="4" t="str">
        <f>IF(AB992=1,SUM($AA$2:AA992)+SUM($AB$2:AB992)-AB992+1,"")</f>
        <v/>
      </c>
      <c r="AE992" s="4" t="str">
        <f t="shared" si="92"/>
        <v/>
      </c>
      <c r="AF992" s="4" t="str">
        <f t="shared" si="93"/>
        <v/>
      </c>
      <c r="AG992" s="8">
        <f t="shared" si="94"/>
        <v>0</v>
      </c>
      <c r="AI992" s="8">
        <f t="shared" si="95"/>
        <v>0</v>
      </c>
    </row>
    <row r="993" spans="23:35" ht="15" customHeight="1" x14ac:dyDescent="0.25">
      <c r="W993" s="4" t="str">
        <f>IF($C993="","",SUMPRODUCT(($C$2:C993=C993)+($D$2:D993=C993)))</f>
        <v/>
      </c>
      <c r="X993" s="4" t="str">
        <f>IF($D993="","",SUMPRODUCT(($C$2:C993=D993)+($D$2:D993=D993)))</f>
        <v/>
      </c>
      <c r="Y993" s="4" t="str">
        <f t="shared" si="90"/>
        <v/>
      </c>
      <c r="Z993" s="4" t="str">
        <f t="shared" si="91"/>
        <v/>
      </c>
      <c r="AA993" s="4" t="str">
        <f>IF($C993="","",IF(COUNTIF($C$1:C992,$C993)+COUNTIF($D$1:D992,$C993)=0,1,0))</f>
        <v/>
      </c>
      <c r="AB993" s="4" t="str">
        <f>IF($D993="","",IF(COUNTIF($C$1:C993,$D993)+COUNTIF($D$1:D992,$D993)=0,1,0))</f>
        <v/>
      </c>
      <c r="AC993" s="4" t="str">
        <f>IF(AA993=1,SUM($AA$2:AA993)-AA993+SUM($AB$2:AB993)-AB993+1,"")</f>
        <v/>
      </c>
      <c r="AD993" s="4" t="str">
        <f>IF(AB993=1,SUM($AA$2:AA993)+SUM($AB$2:AB993)-AB993+1,"")</f>
        <v/>
      </c>
      <c r="AE993" s="4" t="str">
        <f t="shared" si="92"/>
        <v/>
      </c>
      <c r="AF993" s="4" t="str">
        <f t="shared" si="93"/>
        <v/>
      </c>
      <c r="AG993" s="8">
        <f t="shared" si="94"/>
        <v>0</v>
      </c>
      <c r="AI993" s="8">
        <f t="shared" si="95"/>
        <v>0</v>
      </c>
    </row>
    <row r="994" spans="23:35" ht="15" customHeight="1" x14ac:dyDescent="0.25">
      <c r="W994" s="4" t="str">
        <f>IF($C994="","",SUMPRODUCT(($C$2:C994=C994)+($D$2:D994=C994)))</f>
        <v/>
      </c>
      <c r="X994" s="4" t="str">
        <f>IF($D994="","",SUMPRODUCT(($C$2:C994=D994)+($D$2:D994=D994)))</f>
        <v/>
      </c>
      <c r="Y994" s="4" t="str">
        <f t="shared" si="90"/>
        <v/>
      </c>
      <c r="Z994" s="4" t="str">
        <f t="shared" si="91"/>
        <v/>
      </c>
      <c r="AA994" s="4" t="str">
        <f>IF($C994="","",IF(COUNTIF($C$1:C993,$C994)+COUNTIF($D$1:D993,$C994)=0,1,0))</f>
        <v/>
      </c>
      <c r="AB994" s="4" t="str">
        <f>IF($D994="","",IF(COUNTIF($C$1:C994,$D994)+COUNTIF($D$1:D993,$D994)=0,1,0))</f>
        <v/>
      </c>
      <c r="AC994" s="4" t="str">
        <f>IF(AA994=1,SUM($AA$2:AA994)-AA994+SUM($AB$2:AB994)-AB994+1,"")</f>
        <v/>
      </c>
      <c r="AD994" s="4" t="str">
        <f>IF(AB994=1,SUM($AA$2:AA994)+SUM($AB$2:AB994)-AB994+1,"")</f>
        <v/>
      </c>
      <c r="AE994" s="4" t="str">
        <f t="shared" si="92"/>
        <v/>
      </c>
      <c r="AF994" s="4" t="str">
        <f t="shared" si="93"/>
        <v/>
      </c>
      <c r="AG994" s="8">
        <f t="shared" si="94"/>
        <v>0</v>
      </c>
      <c r="AI994" s="8">
        <f t="shared" si="95"/>
        <v>0</v>
      </c>
    </row>
    <row r="995" spans="23:35" ht="15" customHeight="1" x14ac:dyDescent="0.25">
      <c r="W995" s="4" t="str">
        <f>IF($C995="","",SUMPRODUCT(($C$2:C995=C995)+($D$2:D995=C995)))</f>
        <v/>
      </c>
      <c r="X995" s="4" t="str">
        <f>IF($D995="","",SUMPRODUCT(($C$2:C995=D995)+($D$2:D995=D995)))</f>
        <v/>
      </c>
      <c r="Y995" s="4" t="str">
        <f t="shared" si="90"/>
        <v/>
      </c>
      <c r="Z995" s="4" t="str">
        <f t="shared" si="91"/>
        <v/>
      </c>
      <c r="AA995" s="4" t="str">
        <f>IF($C995="","",IF(COUNTIF($C$1:C994,$C995)+COUNTIF($D$1:D994,$C995)=0,1,0))</f>
        <v/>
      </c>
      <c r="AB995" s="4" t="str">
        <f>IF($D995="","",IF(COUNTIF($C$1:C995,$D995)+COUNTIF($D$1:D994,$D995)=0,1,0))</f>
        <v/>
      </c>
      <c r="AC995" s="4" t="str">
        <f>IF(AA995=1,SUM($AA$2:AA995)-AA995+SUM($AB$2:AB995)-AB995+1,"")</f>
        <v/>
      </c>
      <c r="AD995" s="4" t="str">
        <f>IF(AB995=1,SUM($AA$2:AA995)+SUM($AB$2:AB995)-AB995+1,"")</f>
        <v/>
      </c>
      <c r="AE995" s="4" t="str">
        <f t="shared" si="92"/>
        <v/>
      </c>
      <c r="AF995" s="4" t="str">
        <f t="shared" si="93"/>
        <v/>
      </c>
      <c r="AG995" s="8">
        <f t="shared" si="94"/>
        <v>0</v>
      </c>
      <c r="AI995" s="8">
        <f t="shared" si="95"/>
        <v>0</v>
      </c>
    </row>
    <row r="996" spans="23:35" ht="15" customHeight="1" x14ac:dyDescent="0.25">
      <c r="W996" s="4" t="str">
        <f>IF($C996="","",SUMPRODUCT(($C$2:C996=C996)+($D$2:D996=C996)))</f>
        <v/>
      </c>
      <c r="X996" s="4" t="str">
        <f>IF($D996="","",SUMPRODUCT(($C$2:C996=D996)+($D$2:D996=D996)))</f>
        <v/>
      </c>
      <c r="Y996" s="4" t="str">
        <f t="shared" si="90"/>
        <v/>
      </c>
      <c r="Z996" s="4" t="str">
        <f t="shared" si="91"/>
        <v/>
      </c>
      <c r="AA996" s="4" t="str">
        <f>IF($C996="","",IF(COUNTIF($C$1:C995,$C996)+COUNTIF($D$1:D995,$C996)=0,1,0))</f>
        <v/>
      </c>
      <c r="AB996" s="4" t="str">
        <f>IF($D996="","",IF(COUNTIF($C$1:C996,$D996)+COUNTIF($D$1:D995,$D996)=0,1,0))</f>
        <v/>
      </c>
      <c r="AC996" s="4" t="str">
        <f>IF(AA996=1,SUM($AA$2:AA996)-AA996+SUM($AB$2:AB996)-AB996+1,"")</f>
        <v/>
      </c>
      <c r="AD996" s="4" t="str">
        <f>IF(AB996=1,SUM($AA$2:AA996)+SUM($AB$2:AB996)-AB996+1,"")</f>
        <v/>
      </c>
      <c r="AE996" s="4" t="str">
        <f t="shared" si="92"/>
        <v/>
      </c>
      <c r="AF996" s="4" t="str">
        <f t="shared" si="93"/>
        <v/>
      </c>
      <c r="AG996" s="8">
        <f t="shared" si="94"/>
        <v>0</v>
      </c>
      <c r="AI996" s="8">
        <f t="shared" si="95"/>
        <v>0</v>
      </c>
    </row>
    <row r="997" spans="23:35" ht="15" customHeight="1" x14ac:dyDescent="0.25">
      <c r="W997" s="4" t="str">
        <f>IF($C997="","",SUMPRODUCT(($C$2:C997=C997)+($D$2:D997=C997)))</f>
        <v/>
      </c>
      <c r="X997" s="4" t="str">
        <f>IF($D997="","",SUMPRODUCT(($C$2:C997=D997)+($D$2:D997=D997)))</f>
        <v/>
      </c>
      <c r="Y997" s="4" t="str">
        <f t="shared" si="90"/>
        <v/>
      </c>
      <c r="Z997" s="4" t="str">
        <f t="shared" si="91"/>
        <v/>
      </c>
      <c r="AA997" s="4" t="str">
        <f>IF($C997="","",IF(COUNTIF($C$1:C996,$C997)+COUNTIF($D$1:D996,$C997)=0,1,0))</f>
        <v/>
      </c>
      <c r="AB997" s="4" t="str">
        <f>IF($D997="","",IF(COUNTIF($C$1:C997,$D997)+COUNTIF($D$1:D996,$D997)=0,1,0))</f>
        <v/>
      </c>
      <c r="AC997" s="4" t="str">
        <f>IF(AA997=1,SUM($AA$2:AA997)-AA997+SUM($AB$2:AB997)-AB997+1,"")</f>
        <v/>
      </c>
      <c r="AD997" s="4" t="str">
        <f>IF(AB997=1,SUM($AA$2:AA997)+SUM($AB$2:AB997)-AB997+1,"")</f>
        <v/>
      </c>
      <c r="AE997" s="4" t="str">
        <f t="shared" si="92"/>
        <v/>
      </c>
      <c r="AF997" s="4" t="str">
        <f t="shared" si="93"/>
        <v/>
      </c>
      <c r="AG997" s="8">
        <f t="shared" si="94"/>
        <v>0</v>
      </c>
      <c r="AI997" s="8">
        <f t="shared" si="95"/>
        <v>0</v>
      </c>
    </row>
    <row r="998" spans="23:35" ht="15" customHeight="1" x14ac:dyDescent="0.25">
      <c r="W998" s="4" t="str">
        <f>IF($C998="","",SUMPRODUCT(($C$2:C998=C998)+($D$2:D998=C998)))</f>
        <v/>
      </c>
      <c r="X998" s="4" t="str">
        <f>IF($D998="","",SUMPRODUCT(($C$2:C998=D998)+($D$2:D998=D998)))</f>
        <v/>
      </c>
      <c r="Y998" s="4" t="str">
        <f t="shared" si="90"/>
        <v/>
      </c>
      <c r="Z998" s="4" t="str">
        <f t="shared" si="91"/>
        <v/>
      </c>
      <c r="AA998" s="4" t="str">
        <f>IF($C998="","",IF(COUNTIF($C$1:C997,$C998)+COUNTIF($D$1:D997,$C998)=0,1,0))</f>
        <v/>
      </c>
      <c r="AB998" s="4" t="str">
        <f>IF($D998="","",IF(COUNTIF($C$1:C998,$D998)+COUNTIF($D$1:D997,$D998)=0,1,0))</f>
        <v/>
      </c>
      <c r="AC998" s="4" t="str">
        <f>IF(AA998=1,SUM($AA$2:AA998)-AA998+SUM($AB$2:AB998)-AB998+1,"")</f>
        <v/>
      </c>
      <c r="AD998" s="4" t="str">
        <f>IF(AB998=1,SUM($AA$2:AA998)+SUM($AB$2:AB998)-AB998+1,"")</f>
        <v/>
      </c>
      <c r="AE998" s="4" t="str">
        <f t="shared" si="92"/>
        <v/>
      </c>
      <c r="AF998" s="4" t="str">
        <f t="shared" si="93"/>
        <v/>
      </c>
      <c r="AG998" s="8">
        <f t="shared" si="94"/>
        <v>0</v>
      </c>
      <c r="AI998" s="8">
        <f t="shared" si="95"/>
        <v>0</v>
      </c>
    </row>
    <row r="999" spans="23:35" ht="15" customHeight="1" x14ac:dyDescent="0.25">
      <c r="W999" s="4" t="str">
        <f>IF($C999="","",SUMPRODUCT(($C$2:C999=C999)+($D$2:D999=C999)))</f>
        <v/>
      </c>
      <c r="X999" s="4" t="str">
        <f>IF($D999="","",SUMPRODUCT(($C$2:C999=D999)+($D$2:D999=D999)))</f>
        <v/>
      </c>
      <c r="Y999" s="4" t="str">
        <f t="shared" si="90"/>
        <v/>
      </c>
      <c r="Z999" s="4" t="str">
        <f t="shared" si="91"/>
        <v/>
      </c>
      <c r="AA999" s="4" t="str">
        <f>IF($C999="","",IF(COUNTIF($C$1:C998,$C999)+COUNTIF($D$1:D998,$C999)=0,1,0))</f>
        <v/>
      </c>
      <c r="AB999" s="4" t="str">
        <f>IF($D999="","",IF(COUNTIF($C$1:C999,$D999)+COUNTIF($D$1:D998,$D999)=0,1,0))</f>
        <v/>
      </c>
      <c r="AC999" s="4" t="str">
        <f>IF(AA999=1,SUM($AA$2:AA999)-AA999+SUM($AB$2:AB999)-AB999+1,"")</f>
        <v/>
      </c>
      <c r="AD999" s="4" t="str">
        <f>IF(AB999=1,SUM($AA$2:AA999)+SUM($AB$2:AB999)-AB999+1,"")</f>
        <v/>
      </c>
      <c r="AE999" s="4" t="str">
        <f t="shared" si="92"/>
        <v/>
      </c>
      <c r="AF999" s="4" t="str">
        <f t="shared" si="93"/>
        <v/>
      </c>
      <c r="AG999" s="8">
        <f t="shared" si="94"/>
        <v>0</v>
      </c>
      <c r="AI999" s="8">
        <f t="shared" si="95"/>
        <v>0</v>
      </c>
    </row>
    <row r="1000" spans="23:35" ht="15" customHeight="1" x14ac:dyDescent="0.25">
      <c r="W1000" s="4" t="str">
        <f>IF($C1000="","",SUMPRODUCT(($C$2:C1000=C1000)+($D$2:D1000=C1000)))</f>
        <v/>
      </c>
      <c r="X1000" s="4" t="str">
        <f>IF($D1000="","",SUMPRODUCT(($C$2:C1000=D1000)+($D$2:D1000=D1000)))</f>
        <v/>
      </c>
      <c r="Y1000" s="4" t="str">
        <f t="shared" si="90"/>
        <v/>
      </c>
      <c r="Z1000" s="4" t="str">
        <f t="shared" si="91"/>
        <v/>
      </c>
      <c r="AA1000" s="4" t="str">
        <f>IF($C1000="","",IF(COUNTIF($C$1:C999,$C1000)+COUNTIF($D$1:D999,$C1000)=0,1,0))</f>
        <v/>
      </c>
      <c r="AB1000" s="4" t="str">
        <f>IF($D1000="","",IF(COUNTIF($C$1:C1000,$D1000)+COUNTIF($D$1:D999,$D1000)=0,1,0))</f>
        <v/>
      </c>
      <c r="AC1000" s="4" t="str">
        <f>IF(AA1000=1,SUM($AA$2:AA1000)-AA1000+SUM($AB$2:AB1000)-AB1000+1,"")</f>
        <v/>
      </c>
      <c r="AD1000" s="4" t="str">
        <f>IF(AB1000=1,SUM($AA$2:AA1000)+SUM($AB$2:AB1000)-AB1000+1,"")</f>
        <v/>
      </c>
      <c r="AE1000" s="4" t="str">
        <f t="shared" si="92"/>
        <v/>
      </c>
      <c r="AF1000" s="4" t="str">
        <f t="shared" si="93"/>
        <v/>
      </c>
      <c r="AG1000" s="8">
        <f t="shared" si="94"/>
        <v>0</v>
      </c>
      <c r="AI1000" s="8">
        <f t="shared" si="95"/>
        <v>0</v>
      </c>
    </row>
    <row r="1001" spans="23:35" ht="15" customHeight="1" x14ac:dyDescent="0.25">
      <c r="W1001" s="4" t="str">
        <f>IF($C1001="","",SUMPRODUCT(($C$2:C1001=C1001)+($D$2:D1001=C1001)))</f>
        <v/>
      </c>
      <c r="X1001" s="4" t="str">
        <f>IF($D1001="","",SUMPRODUCT(($C$2:C1001=D1001)+($D$2:D1001=D1001)))</f>
        <v/>
      </c>
      <c r="Y1001" s="4" t="str">
        <f t="shared" si="90"/>
        <v/>
      </c>
      <c r="Z1001" s="4" t="str">
        <f t="shared" si="91"/>
        <v/>
      </c>
      <c r="AA1001" s="4" t="str">
        <f>IF($C1001="","",IF(COUNTIF($C$1:C1000,$C1001)+COUNTIF($D$1:D1000,$C1001)=0,1,0))</f>
        <v/>
      </c>
      <c r="AB1001" s="4" t="str">
        <f>IF($D1001="","",IF(COUNTIF($C$1:C1001,$D1001)+COUNTIF($D$1:D1000,$D1001)=0,1,0))</f>
        <v/>
      </c>
      <c r="AC1001" s="4" t="str">
        <f>IF(AA1001=1,SUM($AA$2:AA1001)-AA1001+SUM($AB$2:AB1001)-AB1001+1,"")</f>
        <v/>
      </c>
      <c r="AD1001" s="4" t="str">
        <f>IF(AB1001=1,SUM($AA$2:AA1001)+SUM($AB$2:AB1001)-AB1001+1,"")</f>
        <v/>
      </c>
      <c r="AE1001" s="4" t="str">
        <f t="shared" si="92"/>
        <v/>
      </c>
      <c r="AF1001" s="4" t="str">
        <f t="shared" si="93"/>
        <v/>
      </c>
      <c r="AG1001" s="8">
        <f t="shared" si="94"/>
        <v>0</v>
      </c>
      <c r="AI1001" s="8">
        <f t="shared" si="95"/>
        <v>0</v>
      </c>
    </row>
    <row r="1002" spans="23:35" x14ac:dyDescent="0.25">
      <c r="AG1002" s="8">
        <f t="shared" si="94"/>
        <v>0</v>
      </c>
      <c r="AI1002" s="8">
        <f t="shared" si="95"/>
        <v>0</v>
      </c>
    </row>
    <row r="1003" spans="23:35" x14ac:dyDescent="0.25">
      <c r="AG1003" s="8">
        <f t="shared" si="94"/>
        <v>0</v>
      </c>
      <c r="AI1003" s="8">
        <f t="shared" si="95"/>
        <v>0</v>
      </c>
    </row>
    <row r="1004" spans="23:35" x14ac:dyDescent="0.25">
      <c r="AG1004" s="8">
        <f t="shared" si="94"/>
        <v>0</v>
      </c>
      <c r="AI1004" s="8">
        <f t="shared" si="95"/>
        <v>0</v>
      </c>
    </row>
    <row r="1005" spans="23:35" x14ac:dyDescent="0.25">
      <c r="AG1005" s="8">
        <f t="shared" si="94"/>
        <v>0</v>
      </c>
      <c r="AI1005" s="8">
        <f t="shared" si="95"/>
        <v>0</v>
      </c>
    </row>
    <row r="1006" spans="23:35" x14ac:dyDescent="0.25">
      <c r="AG1006" s="8">
        <f t="shared" si="94"/>
        <v>0</v>
      </c>
      <c r="AI1006" s="8">
        <f t="shared" si="95"/>
        <v>0</v>
      </c>
    </row>
    <row r="1007" spans="23:35" x14ac:dyDescent="0.25">
      <c r="AG1007" s="8">
        <f t="shared" si="94"/>
        <v>0</v>
      </c>
      <c r="AI1007" s="8">
        <f t="shared" si="95"/>
        <v>0</v>
      </c>
    </row>
    <row r="1008" spans="23:35" x14ac:dyDescent="0.25">
      <c r="AG1008" s="8">
        <f t="shared" si="94"/>
        <v>0</v>
      </c>
      <c r="AI1008" s="8">
        <f t="shared" si="95"/>
        <v>0</v>
      </c>
    </row>
    <row r="1009" spans="33:35" x14ac:dyDescent="0.25">
      <c r="AG1009" s="8">
        <f t="shared" si="94"/>
        <v>0</v>
      </c>
      <c r="AI1009" s="8">
        <f t="shared" si="95"/>
        <v>0</v>
      </c>
    </row>
    <row r="1010" spans="33:35" x14ac:dyDescent="0.25">
      <c r="AG1010" s="8">
        <f t="shared" si="94"/>
        <v>0</v>
      </c>
      <c r="AI1010" s="8">
        <f t="shared" si="95"/>
        <v>0</v>
      </c>
    </row>
    <row r="1011" spans="33:35" x14ac:dyDescent="0.25">
      <c r="AG1011" s="8">
        <f t="shared" si="94"/>
        <v>0</v>
      </c>
      <c r="AI1011" s="8">
        <f t="shared" si="95"/>
        <v>0</v>
      </c>
    </row>
    <row r="1012" spans="33:35" x14ac:dyDescent="0.25">
      <c r="AG1012" s="8">
        <f t="shared" si="94"/>
        <v>0</v>
      </c>
      <c r="AI1012" s="8">
        <f t="shared" si="95"/>
        <v>0</v>
      </c>
    </row>
    <row r="1013" spans="33:35" x14ac:dyDescent="0.25">
      <c r="AG1013" s="8">
        <f t="shared" si="94"/>
        <v>0</v>
      </c>
      <c r="AI1013" s="8">
        <f t="shared" si="95"/>
        <v>0</v>
      </c>
    </row>
    <row r="1014" spans="33:35" x14ac:dyDescent="0.25">
      <c r="AG1014" s="8">
        <f t="shared" si="94"/>
        <v>0</v>
      </c>
      <c r="AI1014" s="8">
        <f t="shared" si="95"/>
        <v>0</v>
      </c>
    </row>
    <row r="1015" spans="33:35" x14ac:dyDescent="0.25">
      <c r="AG1015" s="8">
        <f t="shared" si="94"/>
        <v>0</v>
      </c>
      <c r="AI1015" s="8">
        <f t="shared" si="95"/>
        <v>0</v>
      </c>
    </row>
    <row r="1016" spans="33:35" x14ac:dyDescent="0.25">
      <c r="AG1016" s="8">
        <f t="shared" si="94"/>
        <v>0</v>
      </c>
      <c r="AI1016" s="8">
        <f t="shared" si="95"/>
        <v>0</v>
      </c>
    </row>
    <row r="1017" spans="33:35" x14ac:dyDescent="0.25">
      <c r="AG1017" s="8">
        <f t="shared" si="94"/>
        <v>0</v>
      </c>
      <c r="AI1017" s="8">
        <f t="shared" si="95"/>
        <v>0</v>
      </c>
    </row>
    <row r="1018" spans="33:35" x14ac:dyDescent="0.25">
      <c r="AG1018" s="8">
        <f t="shared" si="94"/>
        <v>0</v>
      </c>
      <c r="AI1018" s="8">
        <f t="shared" si="95"/>
        <v>0</v>
      </c>
    </row>
    <row r="1019" spans="33:35" x14ac:dyDescent="0.25">
      <c r="AG1019" s="8">
        <f t="shared" si="94"/>
        <v>0</v>
      </c>
      <c r="AI1019" s="8">
        <f t="shared" si="95"/>
        <v>0</v>
      </c>
    </row>
    <row r="1020" spans="33:35" x14ac:dyDescent="0.25">
      <c r="AG1020" s="8">
        <f t="shared" si="94"/>
        <v>0</v>
      </c>
      <c r="AI1020" s="8">
        <f t="shared" si="95"/>
        <v>0</v>
      </c>
    </row>
    <row r="1021" spans="33:35" x14ac:dyDescent="0.25">
      <c r="AG1021" s="8">
        <f t="shared" si="94"/>
        <v>0</v>
      </c>
      <c r="AI1021" s="8">
        <f t="shared" si="95"/>
        <v>0</v>
      </c>
    </row>
    <row r="1022" spans="33:35" x14ac:dyDescent="0.25">
      <c r="AG1022" s="8">
        <f t="shared" si="94"/>
        <v>0</v>
      </c>
      <c r="AI1022" s="8">
        <f t="shared" si="95"/>
        <v>0</v>
      </c>
    </row>
    <row r="1023" spans="33:35" x14ac:dyDescent="0.25">
      <c r="AG1023" s="8">
        <f t="shared" si="94"/>
        <v>0</v>
      </c>
      <c r="AI1023" s="8">
        <f t="shared" si="95"/>
        <v>0</v>
      </c>
    </row>
    <row r="1024" spans="33:35" x14ac:dyDescent="0.25">
      <c r="AG1024" s="8">
        <f t="shared" si="94"/>
        <v>0</v>
      </c>
      <c r="AI1024" s="8">
        <f t="shared" si="95"/>
        <v>0</v>
      </c>
    </row>
    <row r="1025" spans="33:35" x14ac:dyDescent="0.25">
      <c r="AG1025" s="8">
        <f t="shared" si="94"/>
        <v>0</v>
      </c>
      <c r="AI1025" s="8">
        <f t="shared" si="95"/>
        <v>0</v>
      </c>
    </row>
    <row r="1026" spans="33:35" x14ac:dyDescent="0.25">
      <c r="AG1026" s="8">
        <f t="shared" ref="AG1026:AG1089" si="96">IF(AH1026="",0,LEN(AH1026)-LEN(SUBSTITUTE(AH1026,"/",""))+1)</f>
        <v>0</v>
      </c>
      <c r="AI1026" s="8">
        <f t="shared" ref="AI1026:AI1089" si="97">IF(AJ1026="",0,LEN(AJ1026)-LEN(SUBSTITUTE(AJ1026,"/",""))+1)</f>
        <v>0</v>
      </c>
    </row>
    <row r="1027" spans="33:35" x14ac:dyDescent="0.25">
      <c r="AG1027" s="8">
        <f t="shared" si="96"/>
        <v>0</v>
      </c>
      <c r="AI1027" s="8">
        <f t="shared" si="97"/>
        <v>0</v>
      </c>
    </row>
    <row r="1028" spans="33:35" x14ac:dyDescent="0.25">
      <c r="AG1028" s="8">
        <f t="shared" si="96"/>
        <v>0</v>
      </c>
      <c r="AI1028" s="8">
        <f t="shared" si="97"/>
        <v>0</v>
      </c>
    </row>
    <row r="1029" spans="33:35" x14ac:dyDescent="0.25">
      <c r="AG1029" s="8">
        <f t="shared" si="96"/>
        <v>0</v>
      </c>
      <c r="AI1029" s="8">
        <f t="shared" si="97"/>
        <v>0</v>
      </c>
    </row>
    <row r="1030" spans="33:35" x14ac:dyDescent="0.25">
      <c r="AG1030" s="8">
        <f t="shared" si="96"/>
        <v>0</v>
      </c>
      <c r="AI1030" s="8">
        <f t="shared" si="97"/>
        <v>0</v>
      </c>
    </row>
    <row r="1031" spans="33:35" x14ac:dyDescent="0.25">
      <c r="AG1031" s="8">
        <f t="shared" si="96"/>
        <v>0</v>
      </c>
      <c r="AI1031" s="8">
        <f t="shared" si="97"/>
        <v>0</v>
      </c>
    </row>
    <row r="1032" spans="33:35" x14ac:dyDescent="0.25">
      <c r="AG1032" s="8">
        <f t="shared" si="96"/>
        <v>0</v>
      </c>
      <c r="AI1032" s="8">
        <f t="shared" si="97"/>
        <v>0</v>
      </c>
    </row>
    <row r="1033" spans="33:35" x14ac:dyDescent="0.25">
      <c r="AG1033" s="8">
        <f t="shared" si="96"/>
        <v>0</v>
      </c>
      <c r="AI1033" s="8">
        <f t="shared" si="97"/>
        <v>0</v>
      </c>
    </row>
    <row r="1034" spans="33:35" x14ac:dyDescent="0.25">
      <c r="AG1034" s="8">
        <f t="shared" si="96"/>
        <v>0</v>
      </c>
      <c r="AI1034" s="8">
        <f t="shared" si="97"/>
        <v>0</v>
      </c>
    </row>
    <row r="1035" spans="33:35" x14ac:dyDescent="0.25">
      <c r="AG1035" s="8">
        <f t="shared" si="96"/>
        <v>0</v>
      </c>
      <c r="AI1035" s="8">
        <f t="shared" si="97"/>
        <v>0</v>
      </c>
    </row>
    <row r="1036" spans="33:35" x14ac:dyDescent="0.25">
      <c r="AG1036" s="8">
        <f t="shared" si="96"/>
        <v>0</v>
      </c>
      <c r="AI1036" s="8">
        <f t="shared" si="97"/>
        <v>0</v>
      </c>
    </row>
    <row r="1037" spans="33:35" x14ac:dyDescent="0.25">
      <c r="AG1037" s="8">
        <f t="shared" si="96"/>
        <v>0</v>
      </c>
      <c r="AI1037" s="8">
        <f t="shared" si="97"/>
        <v>0</v>
      </c>
    </row>
    <row r="1038" spans="33:35" x14ac:dyDescent="0.25">
      <c r="AG1038" s="8">
        <f t="shared" si="96"/>
        <v>0</v>
      </c>
      <c r="AI1038" s="8">
        <f t="shared" si="97"/>
        <v>0</v>
      </c>
    </row>
    <row r="1039" spans="33:35" x14ac:dyDescent="0.25">
      <c r="AG1039" s="8">
        <f t="shared" si="96"/>
        <v>0</v>
      </c>
      <c r="AI1039" s="8">
        <f t="shared" si="97"/>
        <v>0</v>
      </c>
    </row>
    <row r="1040" spans="33:35" x14ac:dyDescent="0.25">
      <c r="AG1040" s="8">
        <f t="shared" si="96"/>
        <v>0</v>
      </c>
      <c r="AI1040" s="8">
        <f t="shared" si="97"/>
        <v>0</v>
      </c>
    </row>
    <row r="1041" spans="33:35" x14ac:dyDescent="0.25">
      <c r="AG1041" s="8">
        <f t="shared" si="96"/>
        <v>0</v>
      </c>
      <c r="AI1041" s="8">
        <f t="shared" si="97"/>
        <v>0</v>
      </c>
    </row>
    <row r="1042" spans="33:35" x14ac:dyDescent="0.25">
      <c r="AG1042" s="8">
        <f t="shared" si="96"/>
        <v>0</v>
      </c>
      <c r="AI1042" s="8">
        <f t="shared" si="97"/>
        <v>0</v>
      </c>
    </row>
    <row r="1043" spans="33:35" x14ac:dyDescent="0.25">
      <c r="AG1043" s="8">
        <f t="shared" si="96"/>
        <v>0</v>
      </c>
      <c r="AI1043" s="8">
        <f t="shared" si="97"/>
        <v>0</v>
      </c>
    </row>
    <row r="1044" spans="33:35" x14ac:dyDescent="0.25">
      <c r="AG1044" s="8">
        <f t="shared" si="96"/>
        <v>0</v>
      </c>
      <c r="AI1044" s="8">
        <f t="shared" si="97"/>
        <v>0</v>
      </c>
    </row>
    <row r="1045" spans="33:35" x14ac:dyDescent="0.25">
      <c r="AG1045" s="8">
        <f t="shared" si="96"/>
        <v>0</v>
      </c>
      <c r="AI1045" s="8">
        <f t="shared" si="97"/>
        <v>0</v>
      </c>
    </row>
    <row r="1046" spans="33:35" x14ac:dyDescent="0.25">
      <c r="AG1046" s="8">
        <f t="shared" si="96"/>
        <v>0</v>
      </c>
      <c r="AI1046" s="8">
        <f t="shared" si="97"/>
        <v>0</v>
      </c>
    </row>
    <row r="1047" spans="33:35" x14ac:dyDescent="0.25">
      <c r="AG1047" s="8">
        <f t="shared" si="96"/>
        <v>0</v>
      </c>
      <c r="AI1047" s="8">
        <f t="shared" si="97"/>
        <v>0</v>
      </c>
    </row>
    <row r="1048" spans="33:35" x14ac:dyDescent="0.25">
      <c r="AG1048" s="8">
        <f t="shared" si="96"/>
        <v>0</v>
      </c>
      <c r="AI1048" s="8">
        <f t="shared" si="97"/>
        <v>0</v>
      </c>
    </row>
    <row r="1049" spans="33:35" x14ac:dyDescent="0.25">
      <c r="AG1049" s="8">
        <f t="shared" si="96"/>
        <v>0</v>
      </c>
      <c r="AI1049" s="8">
        <f t="shared" si="97"/>
        <v>0</v>
      </c>
    </row>
    <row r="1050" spans="33:35" x14ac:dyDescent="0.25">
      <c r="AG1050" s="8">
        <f t="shared" si="96"/>
        <v>0</v>
      </c>
      <c r="AI1050" s="8">
        <f t="shared" si="97"/>
        <v>0</v>
      </c>
    </row>
    <row r="1051" spans="33:35" x14ac:dyDescent="0.25">
      <c r="AG1051" s="8">
        <f t="shared" si="96"/>
        <v>0</v>
      </c>
      <c r="AI1051" s="8">
        <f t="shared" si="97"/>
        <v>0</v>
      </c>
    </row>
    <row r="1052" spans="33:35" x14ac:dyDescent="0.25">
      <c r="AG1052" s="8">
        <f t="shared" si="96"/>
        <v>0</v>
      </c>
      <c r="AI1052" s="8">
        <f t="shared" si="97"/>
        <v>0</v>
      </c>
    </row>
    <row r="1053" spans="33:35" x14ac:dyDescent="0.25">
      <c r="AG1053" s="8">
        <f t="shared" si="96"/>
        <v>0</v>
      </c>
      <c r="AI1053" s="8">
        <f t="shared" si="97"/>
        <v>0</v>
      </c>
    </row>
    <row r="1054" spans="33:35" x14ac:dyDescent="0.25">
      <c r="AG1054" s="8">
        <f t="shared" si="96"/>
        <v>0</v>
      </c>
      <c r="AI1054" s="8">
        <f t="shared" si="97"/>
        <v>0</v>
      </c>
    </row>
    <row r="1055" spans="33:35" x14ac:dyDescent="0.25">
      <c r="AG1055" s="8">
        <f t="shared" si="96"/>
        <v>0</v>
      </c>
      <c r="AI1055" s="8">
        <f t="shared" si="97"/>
        <v>0</v>
      </c>
    </row>
    <row r="1056" spans="33:35" x14ac:dyDescent="0.25">
      <c r="AG1056" s="8">
        <f t="shared" si="96"/>
        <v>0</v>
      </c>
      <c r="AI1056" s="8">
        <f t="shared" si="97"/>
        <v>0</v>
      </c>
    </row>
    <row r="1057" spans="33:35" x14ac:dyDescent="0.25">
      <c r="AG1057" s="8">
        <f t="shared" si="96"/>
        <v>0</v>
      </c>
      <c r="AI1057" s="8">
        <f t="shared" si="97"/>
        <v>0</v>
      </c>
    </row>
    <row r="1058" spans="33:35" x14ac:dyDescent="0.25">
      <c r="AG1058" s="8">
        <f t="shared" si="96"/>
        <v>0</v>
      </c>
      <c r="AI1058" s="8">
        <f t="shared" si="97"/>
        <v>0</v>
      </c>
    </row>
    <row r="1059" spans="33:35" x14ac:dyDescent="0.25">
      <c r="AG1059" s="8">
        <f t="shared" si="96"/>
        <v>0</v>
      </c>
      <c r="AI1059" s="8">
        <f t="shared" si="97"/>
        <v>0</v>
      </c>
    </row>
    <row r="1060" spans="33:35" x14ac:dyDescent="0.25">
      <c r="AG1060" s="8">
        <f t="shared" si="96"/>
        <v>0</v>
      </c>
      <c r="AI1060" s="8">
        <f t="shared" si="97"/>
        <v>0</v>
      </c>
    </row>
    <row r="1061" spans="33:35" x14ac:dyDescent="0.25">
      <c r="AG1061" s="8">
        <f t="shared" si="96"/>
        <v>0</v>
      </c>
      <c r="AI1061" s="8">
        <f t="shared" si="97"/>
        <v>0</v>
      </c>
    </row>
    <row r="1062" spans="33:35" x14ac:dyDescent="0.25">
      <c r="AG1062" s="8">
        <f t="shared" si="96"/>
        <v>0</v>
      </c>
      <c r="AI1062" s="8">
        <f t="shared" si="97"/>
        <v>0</v>
      </c>
    </row>
    <row r="1063" spans="33:35" x14ac:dyDescent="0.25">
      <c r="AG1063" s="8">
        <f t="shared" si="96"/>
        <v>0</v>
      </c>
      <c r="AI1063" s="8">
        <f t="shared" si="97"/>
        <v>0</v>
      </c>
    </row>
    <row r="1064" spans="33:35" x14ac:dyDescent="0.25">
      <c r="AG1064" s="8">
        <f t="shared" si="96"/>
        <v>0</v>
      </c>
      <c r="AI1064" s="8">
        <f t="shared" si="97"/>
        <v>0</v>
      </c>
    </row>
    <row r="1065" spans="33:35" x14ac:dyDescent="0.25">
      <c r="AG1065" s="8">
        <f t="shared" si="96"/>
        <v>0</v>
      </c>
      <c r="AI1065" s="8">
        <f t="shared" si="97"/>
        <v>0</v>
      </c>
    </row>
    <row r="1066" spans="33:35" x14ac:dyDescent="0.25">
      <c r="AG1066" s="8">
        <f t="shared" si="96"/>
        <v>0</v>
      </c>
      <c r="AI1066" s="8">
        <f t="shared" si="97"/>
        <v>0</v>
      </c>
    </row>
    <row r="1067" spans="33:35" x14ac:dyDescent="0.25">
      <c r="AG1067" s="8">
        <f t="shared" si="96"/>
        <v>0</v>
      </c>
      <c r="AI1067" s="8">
        <f t="shared" si="97"/>
        <v>0</v>
      </c>
    </row>
    <row r="1068" spans="33:35" x14ac:dyDescent="0.25">
      <c r="AG1068" s="8">
        <f t="shared" si="96"/>
        <v>0</v>
      </c>
      <c r="AI1068" s="8">
        <f t="shared" si="97"/>
        <v>0</v>
      </c>
    </row>
    <row r="1069" spans="33:35" x14ac:dyDescent="0.25">
      <c r="AG1069" s="8">
        <f t="shared" si="96"/>
        <v>0</v>
      </c>
      <c r="AI1069" s="8">
        <f t="shared" si="97"/>
        <v>0</v>
      </c>
    </row>
    <row r="1070" spans="33:35" x14ac:dyDescent="0.25">
      <c r="AG1070" s="8">
        <f t="shared" si="96"/>
        <v>0</v>
      </c>
      <c r="AI1070" s="8">
        <f t="shared" si="97"/>
        <v>0</v>
      </c>
    </row>
    <row r="1071" spans="33:35" x14ac:dyDescent="0.25">
      <c r="AG1071" s="8">
        <f t="shared" si="96"/>
        <v>0</v>
      </c>
      <c r="AI1071" s="8">
        <f t="shared" si="97"/>
        <v>0</v>
      </c>
    </row>
    <row r="1072" spans="33:35" x14ac:dyDescent="0.25">
      <c r="AG1072" s="8">
        <f t="shared" si="96"/>
        <v>0</v>
      </c>
      <c r="AI1072" s="8">
        <f t="shared" si="97"/>
        <v>0</v>
      </c>
    </row>
    <row r="1073" spans="33:35" x14ac:dyDescent="0.25">
      <c r="AG1073" s="8">
        <f t="shared" si="96"/>
        <v>0</v>
      </c>
      <c r="AI1073" s="8">
        <f t="shared" si="97"/>
        <v>0</v>
      </c>
    </row>
    <row r="1074" spans="33:35" x14ac:dyDescent="0.25">
      <c r="AG1074" s="8">
        <f t="shared" si="96"/>
        <v>0</v>
      </c>
      <c r="AI1074" s="8">
        <f t="shared" si="97"/>
        <v>0</v>
      </c>
    </row>
    <row r="1075" spans="33:35" x14ac:dyDescent="0.25">
      <c r="AG1075" s="8">
        <f t="shared" si="96"/>
        <v>0</v>
      </c>
      <c r="AI1075" s="8">
        <f t="shared" si="97"/>
        <v>0</v>
      </c>
    </row>
    <row r="1076" spans="33:35" x14ac:dyDescent="0.25">
      <c r="AG1076" s="8">
        <f t="shared" si="96"/>
        <v>0</v>
      </c>
      <c r="AI1076" s="8">
        <f t="shared" si="97"/>
        <v>0</v>
      </c>
    </row>
    <row r="1077" spans="33:35" x14ac:dyDescent="0.25">
      <c r="AG1077" s="8">
        <f t="shared" si="96"/>
        <v>0</v>
      </c>
      <c r="AI1077" s="8">
        <f t="shared" si="97"/>
        <v>0</v>
      </c>
    </row>
    <row r="1078" spans="33:35" x14ac:dyDescent="0.25">
      <c r="AG1078" s="8">
        <f t="shared" si="96"/>
        <v>0</v>
      </c>
      <c r="AI1078" s="8">
        <f t="shared" si="97"/>
        <v>0</v>
      </c>
    </row>
    <row r="1079" spans="33:35" x14ac:dyDescent="0.25">
      <c r="AG1079" s="8">
        <f t="shared" si="96"/>
        <v>0</v>
      </c>
      <c r="AI1079" s="8">
        <f t="shared" si="97"/>
        <v>0</v>
      </c>
    </row>
    <row r="1080" spans="33:35" x14ac:dyDescent="0.25">
      <c r="AG1080" s="8">
        <f t="shared" si="96"/>
        <v>0</v>
      </c>
      <c r="AI1080" s="8">
        <f t="shared" si="97"/>
        <v>0</v>
      </c>
    </row>
    <row r="1081" spans="33:35" x14ac:dyDescent="0.25">
      <c r="AG1081" s="8">
        <f t="shared" si="96"/>
        <v>0</v>
      </c>
      <c r="AI1081" s="8">
        <f t="shared" si="97"/>
        <v>0</v>
      </c>
    </row>
    <row r="1082" spans="33:35" x14ac:dyDescent="0.25">
      <c r="AG1082" s="8">
        <f t="shared" si="96"/>
        <v>0</v>
      </c>
      <c r="AI1082" s="8">
        <f t="shared" si="97"/>
        <v>0</v>
      </c>
    </row>
    <row r="1083" spans="33:35" x14ac:dyDescent="0.25">
      <c r="AG1083" s="8">
        <f t="shared" si="96"/>
        <v>0</v>
      </c>
      <c r="AI1083" s="8">
        <f t="shared" si="97"/>
        <v>0</v>
      </c>
    </row>
    <row r="1084" spans="33:35" x14ac:dyDescent="0.25">
      <c r="AG1084" s="8">
        <f t="shared" si="96"/>
        <v>0</v>
      </c>
      <c r="AI1084" s="8">
        <f t="shared" si="97"/>
        <v>0</v>
      </c>
    </row>
    <row r="1085" spans="33:35" x14ac:dyDescent="0.25">
      <c r="AG1085" s="8">
        <f t="shared" si="96"/>
        <v>0</v>
      </c>
      <c r="AI1085" s="8">
        <f t="shared" si="97"/>
        <v>0</v>
      </c>
    </row>
    <row r="1086" spans="33:35" x14ac:dyDescent="0.25">
      <c r="AG1086" s="8">
        <f t="shared" si="96"/>
        <v>0</v>
      </c>
      <c r="AI1086" s="8">
        <f t="shared" si="97"/>
        <v>0</v>
      </c>
    </row>
    <row r="1087" spans="33:35" x14ac:dyDescent="0.25">
      <c r="AG1087" s="8">
        <f t="shared" si="96"/>
        <v>0</v>
      </c>
      <c r="AI1087" s="8">
        <f t="shared" si="97"/>
        <v>0</v>
      </c>
    </row>
    <row r="1088" spans="33:35" x14ac:dyDescent="0.25">
      <c r="AG1088" s="8">
        <f t="shared" si="96"/>
        <v>0</v>
      </c>
      <c r="AI1088" s="8">
        <f t="shared" si="97"/>
        <v>0</v>
      </c>
    </row>
    <row r="1089" spans="33:35" x14ac:dyDescent="0.25">
      <c r="AG1089" s="8">
        <f t="shared" si="96"/>
        <v>0</v>
      </c>
      <c r="AI1089" s="8">
        <f t="shared" si="97"/>
        <v>0</v>
      </c>
    </row>
    <row r="1090" spans="33:35" x14ac:dyDescent="0.25">
      <c r="AG1090" s="8">
        <f t="shared" ref="AG1090:AG1153" si="98">IF(AH1090="",0,LEN(AH1090)-LEN(SUBSTITUTE(AH1090,"/",""))+1)</f>
        <v>0</v>
      </c>
      <c r="AI1090" s="8">
        <f t="shared" ref="AI1090:AI1153" si="99">IF(AJ1090="",0,LEN(AJ1090)-LEN(SUBSTITUTE(AJ1090,"/",""))+1)</f>
        <v>0</v>
      </c>
    </row>
    <row r="1091" spans="33:35" x14ac:dyDescent="0.25">
      <c r="AG1091" s="8">
        <f t="shared" si="98"/>
        <v>0</v>
      </c>
      <c r="AI1091" s="8">
        <f t="shared" si="99"/>
        <v>0</v>
      </c>
    </row>
    <row r="1092" spans="33:35" x14ac:dyDescent="0.25">
      <c r="AG1092" s="8">
        <f t="shared" si="98"/>
        <v>0</v>
      </c>
      <c r="AI1092" s="8">
        <f t="shared" si="99"/>
        <v>0</v>
      </c>
    </row>
    <row r="1093" spans="33:35" x14ac:dyDescent="0.25">
      <c r="AG1093" s="8">
        <f t="shared" si="98"/>
        <v>0</v>
      </c>
      <c r="AI1093" s="8">
        <f t="shared" si="99"/>
        <v>0</v>
      </c>
    </row>
    <row r="1094" spans="33:35" x14ac:dyDescent="0.25">
      <c r="AG1094" s="8">
        <f t="shared" si="98"/>
        <v>0</v>
      </c>
      <c r="AI1094" s="8">
        <f t="shared" si="99"/>
        <v>0</v>
      </c>
    </row>
    <row r="1095" spans="33:35" x14ac:dyDescent="0.25">
      <c r="AG1095" s="8">
        <f t="shared" si="98"/>
        <v>0</v>
      </c>
      <c r="AI1095" s="8">
        <f t="shared" si="99"/>
        <v>0</v>
      </c>
    </row>
    <row r="1096" spans="33:35" x14ac:dyDescent="0.25">
      <c r="AG1096" s="8">
        <f t="shared" si="98"/>
        <v>0</v>
      </c>
      <c r="AI1096" s="8">
        <f t="shared" si="99"/>
        <v>0</v>
      </c>
    </row>
    <row r="1097" spans="33:35" x14ac:dyDescent="0.25">
      <c r="AG1097" s="8">
        <f t="shared" si="98"/>
        <v>0</v>
      </c>
      <c r="AI1097" s="8">
        <f t="shared" si="99"/>
        <v>0</v>
      </c>
    </row>
    <row r="1098" spans="33:35" x14ac:dyDescent="0.25">
      <c r="AG1098" s="8">
        <f t="shared" si="98"/>
        <v>0</v>
      </c>
      <c r="AI1098" s="8">
        <f t="shared" si="99"/>
        <v>0</v>
      </c>
    </row>
    <row r="1099" spans="33:35" x14ac:dyDescent="0.25">
      <c r="AG1099" s="8">
        <f t="shared" si="98"/>
        <v>0</v>
      </c>
      <c r="AI1099" s="8">
        <f t="shared" si="99"/>
        <v>0</v>
      </c>
    </row>
    <row r="1100" spans="33:35" x14ac:dyDescent="0.25">
      <c r="AG1100" s="8">
        <f t="shared" si="98"/>
        <v>0</v>
      </c>
      <c r="AI1100" s="8">
        <f t="shared" si="99"/>
        <v>0</v>
      </c>
    </row>
    <row r="1101" spans="33:35" x14ac:dyDescent="0.25">
      <c r="AG1101" s="8">
        <f t="shared" si="98"/>
        <v>0</v>
      </c>
      <c r="AI1101" s="8">
        <f t="shared" si="99"/>
        <v>0</v>
      </c>
    </row>
    <row r="1102" spans="33:35" x14ac:dyDescent="0.25">
      <c r="AG1102" s="8">
        <f t="shared" si="98"/>
        <v>0</v>
      </c>
      <c r="AI1102" s="8">
        <f t="shared" si="99"/>
        <v>0</v>
      </c>
    </row>
    <row r="1103" spans="33:35" x14ac:dyDescent="0.25">
      <c r="AG1103" s="8">
        <f t="shared" si="98"/>
        <v>0</v>
      </c>
      <c r="AI1103" s="8">
        <f t="shared" si="99"/>
        <v>0</v>
      </c>
    </row>
    <row r="1104" spans="33:35" x14ac:dyDescent="0.25">
      <c r="AG1104" s="8">
        <f t="shared" si="98"/>
        <v>0</v>
      </c>
      <c r="AI1104" s="8">
        <f t="shared" si="99"/>
        <v>0</v>
      </c>
    </row>
    <row r="1105" spans="33:35" x14ac:dyDescent="0.25">
      <c r="AG1105" s="8">
        <f t="shared" si="98"/>
        <v>0</v>
      </c>
      <c r="AI1105" s="8">
        <f t="shared" si="99"/>
        <v>0</v>
      </c>
    </row>
    <row r="1106" spans="33:35" x14ac:dyDescent="0.25">
      <c r="AG1106" s="8">
        <f t="shared" si="98"/>
        <v>0</v>
      </c>
      <c r="AI1106" s="8">
        <f t="shared" si="99"/>
        <v>0</v>
      </c>
    </row>
    <row r="1107" spans="33:35" x14ac:dyDescent="0.25">
      <c r="AG1107" s="8">
        <f t="shared" si="98"/>
        <v>0</v>
      </c>
      <c r="AI1107" s="8">
        <f t="shared" si="99"/>
        <v>0</v>
      </c>
    </row>
    <row r="1108" spans="33:35" x14ac:dyDescent="0.25">
      <c r="AG1108" s="8">
        <f t="shared" si="98"/>
        <v>0</v>
      </c>
      <c r="AI1108" s="8">
        <f t="shared" si="99"/>
        <v>0</v>
      </c>
    </row>
    <row r="1109" spans="33:35" x14ac:dyDescent="0.25">
      <c r="AG1109" s="8">
        <f t="shared" si="98"/>
        <v>0</v>
      </c>
      <c r="AI1109" s="8">
        <f t="shared" si="99"/>
        <v>0</v>
      </c>
    </row>
    <row r="1110" spans="33:35" x14ac:dyDescent="0.25">
      <c r="AG1110" s="8">
        <f t="shared" si="98"/>
        <v>0</v>
      </c>
      <c r="AI1110" s="8">
        <f t="shared" si="99"/>
        <v>0</v>
      </c>
    </row>
    <row r="1111" spans="33:35" x14ac:dyDescent="0.25">
      <c r="AG1111" s="8">
        <f t="shared" si="98"/>
        <v>0</v>
      </c>
      <c r="AI1111" s="8">
        <f t="shared" si="99"/>
        <v>0</v>
      </c>
    </row>
    <row r="1112" spans="33:35" x14ac:dyDescent="0.25">
      <c r="AG1112" s="8">
        <f t="shared" si="98"/>
        <v>0</v>
      </c>
      <c r="AI1112" s="8">
        <f t="shared" si="99"/>
        <v>0</v>
      </c>
    </row>
    <row r="1113" spans="33:35" x14ac:dyDescent="0.25">
      <c r="AG1113" s="8">
        <f t="shared" si="98"/>
        <v>0</v>
      </c>
      <c r="AI1113" s="8">
        <f t="shared" si="99"/>
        <v>0</v>
      </c>
    </row>
    <row r="1114" spans="33:35" x14ac:dyDescent="0.25">
      <c r="AG1114" s="8">
        <f t="shared" si="98"/>
        <v>0</v>
      </c>
      <c r="AI1114" s="8">
        <f t="shared" si="99"/>
        <v>0</v>
      </c>
    </row>
    <row r="1115" spans="33:35" x14ac:dyDescent="0.25">
      <c r="AG1115" s="8">
        <f t="shared" si="98"/>
        <v>0</v>
      </c>
      <c r="AI1115" s="8">
        <f t="shared" si="99"/>
        <v>0</v>
      </c>
    </row>
    <row r="1116" spans="33:35" x14ac:dyDescent="0.25">
      <c r="AG1116" s="8">
        <f t="shared" si="98"/>
        <v>0</v>
      </c>
      <c r="AI1116" s="8">
        <f t="shared" si="99"/>
        <v>0</v>
      </c>
    </row>
    <row r="1117" spans="33:35" x14ac:dyDescent="0.25">
      <c r="AG1117" s="8">
        <f t="shared" si="98"/>
        <v>0</v>
      </c>
      <c r="AI1117" s="8">
        <f t="shared" si="99"/>
        <v>0</v>
      </c>
    </row>
    <row r="1118" spans="33:35" x14ac:dyDescent="0.25">
      <c r="AG1118" s="8">
        <f t="shared" si="98"/>
        <v>0</v>
      </c>
      <c r="AI1118" s="8">
        <f t="shared" si="99"/>
        <v>0</v>
      </c>
    </row>
    <row r="1119" spans="33:35" x14ac:dyDescent="0.25">
      <c r="AG1119" s="8">
        <f t="shared" si="98"/>
        <v>0</v>
      </c>
      <c r="AI1119" s="8">
        <f t="shared" si="99"/>
        <v>0</v>
      </c>
    </row>
    <row r="1120" spans="33:35" x14ac:dyDescent="0.25">
      <c r="AG1120" s="8">
        <f t="shared" si="98"/>
        <v>0</v>
      </c>
      <c r="AI1120" s="8">
        <f t="shared" si="99"/>
        <v>0</v>
      </c>
    </row>
    <row r="1121" spans="33:35" x14ac:dyDescent="0.25">
      <c r="AG1121" s="8">
        <f t="shared" si="98"/>
        <v>0</v>
      </c>
      <c r="AI1121" s="8">
        <f t="shared" si="99"/>
        <v>0</v>
      </c>
    </row>
    <row r="1122" spans="33:35" x14ac:dyDescent="0.25">
      <c r="AG1122" s="8">
        <f t="shared" si="98"/>
        <v>0</v>
      </c>
      <c r="AI1122" s="8">
        <f t="shared" si="99"/>
        <v>0</v>
      </c>
    </row>
    <row r="1123" spans="33:35" x14ac:dyDescent="0.25">
      <c r="AG1123" s="8">
        <f t="shared" si="98"/>
        <v>0</v>
      </c>
      <c r="AI1123" s="8">
        <f t="shared" si="99"/>
        <v>0</v>
      </c>
    </row>
    <row r="1124" spans="33:35" x14ac:dyDescent="0.25">
      <c r="AG1124" s="8">
        <f t="shared" si="98"/>
        <v>0</v>
      </c>
      <c r="AI1124" s="8">
        <f t="shared" si="99"/>
        <v>0</v>
      </c>
    </row>
    <row r="1125" spans="33:35" x14ac:dyDescent="0.25">
      <c r="AG1125" s="8">
        <f t="shared" si="98"/>
        <v>0</v>
      </c>
      <c r="AI1125" s="8">
        <f t="shared" si="99"/>
        <v>0</v>
      </c>
    </row>
    <row r="1126" spans="33:35" x14ac:dyDescent="0.25">
      <c r="AG1126" s="8">
        <f t="shared" si="98"/>
        <v>0</v>
      </c>
      <c r="AI1126" s="8">
        <f t="shared" si="99"/>
        <v>0</v>
      </c>
    </row>
    <row r="1127" spans="33:35" x14ac:dyDescent="0.25">
      <c r="AG1127" s="8">
        <f t="shared" si="98"/>
        <v>0</v>
      </c>
      <c r="AI1127" s="8">
        <f t="shared" si="99"/>
        <v>0</v>
      </c>
    </row>
    <row r="1128" spans="33:35" x14ac:dyDescent="0.25">
      <c r="AG1128" s="8">
        <f t="shared" si="98"/>
        <v>0</v>
      </c>
      <c r="AI1128" s="8">
        <f t="shared" si="99"/>
        <v>0</v>
      </c>
    </row>
    <row r="1129" spans="33:35" x14ac:dyDescent="0.25">
      <c r="AG1129" s="8">
        <f t="shared" si="98"/>
        <v>0</v>
      </c>
      <c r="AI1129" s="8">
        <f t="shared" si="99"/>
        <v>0</v>
      </c>
    </row>
    <row r="1130" spans="33:35" x14ac:dyDescent="0.25">
      <c r="AG1130" s="8">
        <f t="shared" si="98"/>
        <v>0</v>
      </c>
      <c r="AI1130" s="8">
        <f t="shared" si="99"/>
        <v>0</v>
      </c>
    </row>
    <row r="1131" spans="33:35" x14ac:dyDescent="0.25">
      <c r="AG1131" s="8">
        <f t="shared" si="98"/>
        <v>0</v>
      </c>
      <c r="AI1131" s="8">
        <f t="shared" si="99"/>
        <v>0</v>
      </c>
    </row>
    <row r="1132" spans="33:35" x14ac:dyDescent="0.25">
      <c r="AG1132" s="8">
        <f t="shared" si="98"/>
        <v>0</v>
      </c>
      <c r="AI1132" s="8">
        <f t="shared" si="99"/>
        <v>0</v>
      </c>
    </row>
    <row r="1133" spans="33:35" x14ac:dyDescent="0.25">
      <c r="AG1133" s="8">
        <f t="shared" si="98"/>
        <v>0</v>
      </c>
      <c r="AI1133" s="8">
        <f t="shared" si="99"/>
        <v>0</v>
      </c>
    </row>
    <row r="1134" spans="33:35" x14ac:dyDescent="0.25">
      <c r="AG1134" s="8">
        <f t="shared" si="98"/>
        <v>0</v>
      </c>
      <c r="AI1134" s="8">
        <f t="shared" si="99"/>
        <v>0</v>
      </c>
    </row>
    <row r="1135" spans="33:35" x14ac:dyDescent="0.25">
      <c r="AG1135" s="8">
        <f t="shared" si="98"/>
        <v>0</v>
      </c>
      <c r="AI1135" s="8">
        <f t="shared" si="99"/>
        <v>0</v>
      </c>
    </row>
    <row r="1136" spans="33:35" x14ac:dyDescent="0.25">
      <c r="AG1136" s="8">
        <f t="shared" si="98"/>
        <v>0</v>
      </c>
      <c r="AI1136" s="8">
        <f t="shared" si="99"/>
        <v>0</v>
      </c>
    </row>
    <row r="1137" spans="33:35" x14ac:dyDescent="0.25">
      <c r="AG1137" s="8">
        <f t="shared" si="98"/>
        <v>0</v>
      </c>
      <c r="AI1137" s="8">
        <f t="shared" si="99"/>
        <v>0</v>
      </c>
    </row>
    <row r="1138" spans="33:35" x14ac:dyDescent="0.25">
      <c r="AG1138" s="8">
        <f t="shared" si="98"/>
        <v>0</v>
      </c>
      <c r="AI1138" s="8">
        <f t="shared" si="99"/>
        <v>0</v>
      </c>
    </row>
    <row r="1139" spans="33:35" x14ac:dyDescent="0.25">
      <c r="AG1139" s="8">
        <f t="shared" si="98"/>
        <v>0</v>
      </c>
      <c r="AI1139" s="8">
        <f t="shared" si="99"/>
        <v>0</v>
      </c>
    </row>
    <row r="1140" spans="33:35" x14ac:dyDescent="0.25">
      <c r="AG1140" s="8">
        <f t="shared" si="98"/>
        <v>0</v>
      </c>
      <c r="AI1140" s="8">
        <f t="shared" si="99"/>
        <v>0</v>
      </c>
    </row>
    <row r="1141" spans="33:35" x14ac:dyDescent="0.25">
      <c r="AG1141" s="8">
        <f t="shared" si="98"/>
        <v>0</v>
      </c>
      <c r="AI1141" s="8">
        <f t="shared" si="99"/>
        <v>0</v>
      </c>
    </row>
    <row r="1142" spans="33:35" x14ac:dyDescent="0.25">
      <c r="AG1142" s="8">
        <f t="shared" si="98"/>
        <v>0</v>
      </c>
      <c r="AI1142" s="8">
        <f t="shared" si="99"/>
        <v>0</v>
      </c>
    </row>
    <row r="1143" spans="33:35" x14ac:dyDescent="0.25">
      <c r="AG1143" s="8">
        <f t="shared" si="98"/>
        <v>0</v>
      </c>
      <c r="AI1143" s="8">
        <f t="shared" si="99"/>
        <v>0</v>
      </c>
    </row>
    <row r="1144" spans="33:35" x14ac:dyDescent="0.25">
      <c r="AG1144" s="8">
        <f t="shared" si="98"/>
        <v>0</v>
      </c>
      <c r="AI1144" s="8">
        <f t="shared" si="99"/>
        <v>0</v>
      </c>
    </row>
    <row r="1145" spans="33:35" x14ac:dyDescent="0.25">
      <c r="AG1145" s="8">
        <f t="shared" si="98"/>
        <v>0</v>
      </c>
      <c r="AI1145" s="8">
        <f t="shared" si="99"/>
        <v>0</v>
      </c>
    </row>
    <row r="1146" spans="33:35" x14ac:dyDescent="0.25">
      <c r="AG1146" s="8">
        <f t="shared" si="98"/>
        <v>0</v>
      </c>
      <c r="AI1146" s="8">
        <f t="shared" si="99"/>
        <v>0</v>
      </c>
    </row>
    <row r="1147" spans="33:35" x14ac:dyDescent="0.25">
      <c r="AG1147" s="8">
        <f t="shared" si="98"/>
        <v>0</v>
      </c>
      <c r="AI1147" s="8">
        <f t="shared" si="99"/>
        <v>0</v>
      </c>
    </row>
    <row r="1148" spans="33:35" x14ac:dyDescent="0.25">
      <c r="AG1148" s="8">
        <f t="shared" si="98"/>
        <v>0</v>
      </c>
      <c r="AI1148" s="8">
        <f t="shared" si="99"/>
        <v>0</v>
      </c>
    </row>
    <row r="1149" spans="33:35" x14ac:dyDescent="0.25">
      <c r="AG1149" s="8">
        <f t="shared" si="98"/>
        <v>0</v>
      </c>
      <c r="AI1149" s="8">
        <f t="shared" si="99"/>
        <v>0</v>
      </c>
    </row>
    <row r="1150" spans="33:35" x14ac:dyDescent="0.25">
      <c r="AG1150" s="8">
        <f t="shared" si="98"/>
        <v>0</v>
      </c>
      <c r="AI1150" s="8">
        <f t="shared" si="99"/>
        <v>0</v>
      </c>
    </row>
    <row r="1151" spans="33:35" x14ac:dyDescent="0.25">
      <c r="AG1151" s="8">
        <f t="shared" si="98"/>
        <v>0</v>
      </c>
      <c r="AI1151" s="8">
        <f t="shared" si="99"/>
        <v>0</v>
      </c>
    </row>
    <row r="1152" spans="33:35" x14ac:dyDescent="0.25">
      <c r="AG1152" s="8">
        <f t="shared" si="98"/>
        <v>0</v>
      </c>
      <c r="AI1152" s="8">
        <f t="shared" si="99"/>
        <v>0</v>
      </c>
    </row>
    <row r="1153" spans="33:35" x14ac:dyDescent="0.25">
      <c r="AG1153" s="8">
        <f t="shared" si="98"/>
        <v>0</v>
      </c>
      <c r="AI1153" s="8">
        <f t="shared" si="99"/>
        <v>0</v>
      </c>
    </row>
    <row r="1154" spans="33:35" x14ac:dyDescent="0.25">
      <c r="AG1154" s="8">
        <f t="shared" ref="AG1154:AG1217" si="100">IF(AH1154="",0,LEN(AH1154)-LEN(SUBSTITUTE(AH1154,"/",""))+1)</f>
        <v>0</v>
      </c>
      <c r="AI1154" s="8">
        <f t="shared" ref="AI1154:AI1217" si="101">IF(AJ1154="",0,LEN(AJ1154)-LEN(SUBSTITUTE(AJ1154,"/",""))+1)</f>
        <v>0</v>
      </c>
    </row>
    <row r="1155" spans="33:35" x14ac:dyDescent="0.25">
      <c r="AG1155" s="8">
        <f t="shared" si="100"/>
        <v>0</v>
      </c>
      <c r="AI1155" s="8">
        <f t="shared" si="101"/>
        <v>0</v>
      </c>
    </row>
    <row r="1156" spans="33:35" x14ac:dyDescent="0.25">
      <c r="AG1156" s="8">
        <f t="shared" si="100"/>
        <v>0</v>
      </c>
      <c r="AI1156" s="8">
        <f t="shared" si="101"/>
        <v>0</v>
      </c>
    </row>
    <row r="1157" spans="33:35" x14ac:dyDescent="0.25">
      <c r="AG1157" s="8">
        <f t="shared" si="100"/>
        <v>0</v>
      </c>
      <c r="AI1157" s="8">
        <f t="shared" si="101"/>
        <v>0</v>
      </c>
    </row>
    <row r="1158" spans="33:35" x14ac:dyDescent="0.25">
      <c r="AG1158" s="8">
        <f t="shared" si="100"/>
        <v>0</v>
      </c>
      <c r="AI1158" s="8">
        <f t="shared" si="101"/>
        <v>0</v>
      </c>
    </row>
    <row r="1159" spans="33:35" x14ac:dyDescent="0.25">
      <c r="AG1159" s="8">
        <f t="shared" si="100"/>
        <v>0</v>
      </c>
      <c r="AI1159" s="8">
        <f t="shared" si="101"/>
        <v>0</v>
      </c>
    </row>
    <row r="1160" spans="33:35" x14ac:dyDescent="0.25">
      <c r="AG1160" s="8">
        <f t="shared" si="100"/>
        <v>0</v>
      </c>
      <c r="AI1160" s="8">
        <f t="shared" si="101"/>
        <v>0</v>
      </c>
    </row>
    <row r="1161" spans="33:35" x14ac:dyDescent="0.25">
      <c r="AG1161" s="8">
        <f t="shared" si="100"/>
        <v>0</v>
      </c>
      <c r="AI1161" s="8">
        <f t="shared" si="101"/>
        <v>0</v>
      </c>
    </row>
    <row r="1162" spans="33:35" x14ac:dyDescent="0.25">
      <c r="AG1162" s="8">
        <f t="shared" si="100"/>
        <v>0</v>
      </c>
      <c r="AI1162" s="8">
        <f t="shared" si="101"/>
        <v>0</v>
      </c>
    </row>
    <row r="1163" spans="33:35" x14ac:dyDescent="0.25">
      <c r="AG1163" s="8">
        <f t="shared" si="100"/>
        <v>0</v>
      </c>
      <c r="AI1163" s="8">
        <f t="shared" si="101"/>
        <v>0</v>
      </c>
    </row>
    <row r="1164" spans="33:35" x14ac:dyDescent="0.25">
      <c r="AG1164" s="8">
        <f t="shared" si="100"/>
        <v>0</v>
      </c>
      <c r="AI1164" s="8">
        <f t="shared" si="101"/>
        <v>0</v>
      </c>
    </row>
    <row r="1165" spans="33:35" x14ac:dyDescent="0.25">
      <c r="AG1165" s="8">
        <f t="shared" si="100"/>
        <v>0</v>
      </c>
      <c r="AI1165" s="8">
        <f t="shared" si="101"/>
        <v>0</v>
      </c>
    </row>
    <row r="1166" spans="33:35" x14ac:dyDescent="0.25">
      <c r="AG1166" s="8">
        <f t="shared" si="100"/>
        <v>0</v>
      </c>
      <c r="AI1166" s="8">
        <f t="shared" si="101"/>
        <v>0</v>
      </c>
    </row>
    <row r="1167" spans="33:35" x14ac:dyDescent="0.25">
      <c r="AG1167" s="8">
        <f t="shared" si="100"/>
        <v>0</v>
      </c>
      <c r="AI1167" s="8">
        <f t="shared" si="101"/>
        <v>0</v>
      </c>
    </row>
    <row r="1168" spans="33:35" x14ac:dyDescent="0.25">
      <c r="AG1168" s="8">
        <f t="shared" si="100"/>
        <v>0</v>
      </c>
      <c r="AI1168" s="8">
        <f t="shared" si="101"/>
        <v>0</v>
      </c>
    </row>
    <row r="1169" spans="33:35" x14ac:dyDescent="0.25">
      <c r="AG1169" s="8">
        <f t="shared" si="100"/>
        <v>0</v>
      </c>
      <c r="AI1169" s="8">
        <f t="shared" si="101"/>
        <v>0</v>
      </c>
    </row>
    <row r="1170" spans="33:35" x14ac:dyDescent="0.25">
      <c r="AG1170" s="8">
        <f t="shared" si="100"/>
        <v>0</v>
      </c>
      <c r="AI1170" s="8">
        <f t="shared" si="101"/>
        <v>0</v>
      </c>
    </row>
    <row r="1171" spans="33:35" x14ac:dyDescent="0.25">
      <c r="AG1171" s="8">
        <f t="shared" si="100"/>
        <v>0</v>
      </c>
      <c r="AI1171" s="8">
        <f t="shared" si="101"/>
        <v>0</v>
      </c>
    </row>
    <row r="1172" spans="33:35" x14ac:dyDescent="0.25">
      <c r="AG1172" s="8">
        <f t="shared" si="100"/>
        <v>0</v>
      </c>
      <c r="AI1172" s="8">
        <f t="shared" si="101"/>
        <v>0</v>
      </c>
    </row>
    <row r="1173" spans="33:35" x14ac:dyDescent="0.25">
      <c r="AG1173" s="8">
        <f t="shared" si="100"/>
        <v>0</v>
      </c>
      <c r="AI1173" s="8">
        <f t="shared" si="101"/>
        <v>0</v>
      </c>
    </row>
    <row r="1174" spans="33:35" x14ac:dyDescent="0.25">
      <c r="AG1174" s="8">
        <f t="shared" si="100"/>
        <v>0</v>
      </c>
      <c r="AI1174" s="8">
        <f t="shared" si="101"/>
        <v>0</v>
      </c>
    </row>
    <row r="1175" spans="33:35" x14ac:dyDescent="0.25">
      <c r="AG1175" s="8">
        <f t="shared" si="100"/>
        <v>0</v>
      </c>
      <c r="AI1175" s="8">
        <f t="shared" si="101"/>
        <v>0</v>
      </c>
    </row>
    <row r="1176" spans="33:35" x14ac:dyDescent="0.25">
      <c r="AG1176" s="8">
        <f t="shared" si="100"/>
        <v>0</v>
      </c>
      <c r="AI1176" s="8">
        <f t="shared" si="101"/>
        <v>0</v>
      </c>
    </row>
    <row r="1177" spans="33:35" x14ac:dyDescent="0.25">
      <c r="AG1177" s="8">
        <f t="shared" si="100"/>
        <v>0</v>
      </c>
      <c r="AI1177" s="8">
        <f t="shared" si="101"/>
        <v>0</v>
      </c>
    </row>
    <row r="1178" spans="33:35" x14ac:dyDescent="0.25">
      <c r="AG1178" s="8">
        <f t="shared" si="100"/>
        <v>0</v>
      </c>
      <c r="AI1178" s="8">
        <f t="shared" si="101"/>
        <v>0</v>
      </c>
    </row>
    <row r="1179" spans="33:35" x14ac:dyDescent="0.25">
      <c r="AG1179" s="8">
        <f t="shared" si="100"/>
        <v>0</v>
      </c>
      <c r="AI1179" s="8">
        <f t="shared" si="101"/>
        <v>0</v>
      </c>
    </row>
    <row r="1180" spans="33:35" x14ac:dyDescent="0.25">
      <c r="AG1180" s="8">
        <f t="shared" si="100"/>
        <v>0</v>
      </c>
      <c r="AI1180" s="8">
        <f t="shared" si="101"/>
        <v>0</v>
      </c>
    </row>
    <row r="1181" spans="33:35" x14ac:dyDescent="0.25">
      <c r="AG1181" s="8">
        <f t="shared" si="100"/>
        <v>0</v>
      </c>
      <c r="AI1181" s="8">
        <f t="shared" si="101"/>
        <v>0</v>
      </c>
    </row>
    <row r="1182" spans="33:35" x14ac:dyDescent="0.25">
      <c r="AG1182" s="8">
        <f t="shared" si="100"/>
        <v>0</v>
      </c>
      <c r="AI1182" s="8">
        <f t="shared" si="101"/>
        <v>0</v>
      </c>
    </row>
    <row r="1183" spans="33:35" x14ac:dyDescent="0.25">
      <c r="AG1183" s="8">
        <f t="shared" si="100"/>
        <v>0</v>
      </c>
      <c r="AI1183" s="8">
        <f t="shared" si="101"/>
        <v>0</v>
      </c>
    </row>
    <row r="1184" spans="33:35" x14ac:dyDescent="0.25">
      <c r="AG1184" s="8">
        <f t="shared" si="100"/>
        <v>0</v>
      </c>
      <c r="AI1184" s="8">
        <f t="shared" si="101"/>
        <v>0</v>
      </c>
    </row>
    <row r="1185" spans="33:35" x14ac:dyDescent="0.25">
      <c r="AG1185" s="8">
        <f t="shared" si="100"/>
        <v>0</v>
      </c>
      <c r="AI1185" s="8">
        <f t="shared" si="101"/>
        <v>0</v>
      </c>
    </row>
    <row r="1186" spans="33:35" x14ac:dyDescent="0.25">
      <c r="AG1186" s="8">
        <f t="shared" si="100"/>
        <v>0</v>
      </c>
      <c r="AI1186" s="8">
        <f t="shared" si="101"/>
        <v>0</v>
      </c>
    </row>
    <row r="1187" spans="33:35" x14ac:dyDescent="0.25">
      <c r="AG1187" s="8">
        <f t="shared" si="100"/>
        <v>0</v>
      </c>
      <c r="AI1187" s="8">
        <f t="shared" si="101"/>
        <v>0</v>
      </c>
    </row>
    <row r="1188" spans="33:35" x14ac:dyDescent="0.25">
      <c r="AG1188" s="8">
        <f t="shared" si="100"/>
        <v>0</v>
      </c>
      <c r="AI1188" s="8">
        <f t="shared" si="101"/>
        <v>0</v>
      </c>
    </row>
    <row r="1189" spans="33:35" x14ac:dyDescent="0.25">
      <c r="AG1189" s="8">
        <f t="shared" si="100"/>
        <v>0</v>
      </c>
      <c r="AI1189" s="8">
        <f t="shared" si="101"/>
        <v>0</v>
      </c>
    </row>
    <row r="1190" spans="33:35" x14ac:dyDescent="0.25">
      <c r="AG1190" s="8">
        <f t="shared" si="100"/>
        <v>0</v>
      </c>
      <c r="AI1190" s="8">
        <f t="shared" si="101"/>
        <v>0</v>
      </c>
    </row>
    <row r="1191" spans="33:35" x14ac:dyDescent="0.25">
      <c r="AG1191" s="8">
        <f t="shared" si="100"/>
        <v>0</v>
      </c>
      <c r="AI1191" s="8">
        <f t="shared" si="101"/>
        <v>0</v>
      </c>
    </row>
    <row r="1192" spans="33:35" x14ac:dyDescent="0.25">
      <c r="AG1192" s="8">
        <f t="shared" si="100"/>
        <v>0</v>
      </c>
      <c r="AI1192" s="8">
        <f t="shared" si="101"/>
        <v>0</v>
      </c>
    </row>
    <row r="1193" spans="33:35" x14ac:dyDescent="0.25">
      <c r="AG1193" s="8">
        <f t="shared" si="100"/>
        <v>0</v>
      </c>
      <c r="AI1193" s="8">
        <f t="shared" si="101"/>
        <v>0</v>
      </c>
    </row>
    <row r="1194" spans="33:35" x14ac:dyDescent="0.25">
      <c r="AG1194" s="8">
        <f t="shared" si="100"/>
        <v>0</v>
      </c>
      <c r="AI1194" s="8">
        <f t="shared" si="101"/>
        <v>0</v>
      </c>
    </row>
    <row r="1195" spans="33:35" x14ac:dyDescent="0.25">
      <c r="AG1195" s="8">
        <f t="shared" si="100"/>
        <v>0</v>
      </c>
      <c r="AI1195" s="8">
        <f t="shared" si="101"/>
        <v>0</v>
      </c>
    </row>
    <row r="1196" spans="33:35" x14ac:dyDescent="0.25">
      <c r="AG1196" s="8">
        <f t="shared" si="100"/>
        <v>0</v>
      </c>
      <c r="AI1196" s="8">
        <f t="shared" si="101"/>
        <v>0</v>
      </c>
    </row>
    <row r="1197" spans="33:35" x14ac:dyDescent="0.25">
      <c r="AG1197" s="8">
        <f t="shared" si="100"/>
        <v>0</v>
      </c>
      <c r="AI1197" s="8">
        <f t="shared" si="101"/>
        <v>0</v>
      </c>
    </row>
    <row r="1198" spans="33:35" x14ac:dyDescent="0.25">
      <c r="AG1198" s="8">
        <f t="shared" si="100"/>
        <v>0</v>
      </c>
      <c r="AI1198" s="8">
        <f t="shared" si="101"/>
        <v>0</v>
      </c>
    </row>
    <row r="1199" spans="33:35" x14ac:dyDescent="0.25">
      <c r="AG1199" s="8">
        <f t="shared" si="100"/>
        <v>0</v>
      </c>
      <c r="AI1199" s="8">
        <f t="shared" si="101"/>
        <v>0</v>
      </c>
    </row>
    <row r="1200" spans="33:35" x14ac:dyDescent="0.25">
      <c r="AG1200" s="8">
        <f t="shared" si="100"/>
        <v>0</v>
      </c>
      <c r="AI1200" s="8">
        <f t="shared" si="101"/>
        <v>0</v>
      </c>
    </row>
    <row r="1201" spans="33:35" x14ac:dyDescent="0.25">
      <c r="AG1201" s="8">
        <f t="shared" si="100"/>
        <v>0</v>
      </c>
      <c r="AI1201" s="8">
        <f t="shared" si="101"/>
        <v>0</v>
      </c>
    </row>
    <row r="1202" spans="33:35" x14ac:dyDescent="0.25">
      <c r="AG1202" s="8">
        <f t="shared" si="100"/>
        <v>0</v>
      </c>
      <c r="AI1202" s="8">
        <f t="shared" si="101"/>
        <v>0</v>
      </c>
    </row>
    <row r="1203" spans="33:35" x14ac:dyDescent="0.25">
      <c r="AG1203" s="8">
        <f t="shared" si="100"/>
        <v>0</v>
      </c>
      <c r="AI1203" s="8">
        <f t="shared" si="101"/>
        <v>0</v>
      </c>
    </row>
    <row r="1204" spans="33:35" x14ac:dyDescent="0.25">
      <c r="AG1204" s="8">
        <f t="shared" si="100"/>
        <v>0</v>
      </c>
      <c r="AI1204" s="8">
        <f t="shared" si="101"/>
        <v>0</v>
      </c>
    </row>
    <row r="1205" spans="33:35" x14ac:dyDescent="0.25">
      <c r="AG1205" s="8">
        <f t="shared" si="100"/>
        <v>0</v>
      </c>
      <c r="AI1205" s="8">
        <f t="shared" si="101"/>
        <v>0</v>
      </c>
    </row>
    <row r="1206" spans="33:35" x14ac:dyDescent="0.25">
      <c r="AG1206" s="8">
        <f t="shared" si="100"/>
        <v>0</v>
      </c>
      <c r="AI1206" s="8">
        <f t="shared" si="101"/>
        <v>0</v>
      </c>
    </row>
    <row r="1207" spans="33:35" x14ac:dyDescent="0.25">
      <c r="AG1207" s="8">
        <f t="shared" si="100"/>
        <v>0</v>
      </c>
      <c r="AI1207" s="8">
        <f t="shared" si="101"/>
        <v>0</v>
      </c>
    </row>
    <row r="1208" spans="33:35" x14ac:dyDescent="0.25">
      <c r="AG1208" s="8">
        <f t="shared" si="100"/>
        <v>0</v>
      </c>
      <c r="AI1208" s="8">
        <f t="shared" si="101"/>
        <v>0</v>
      </c>
    </row>
    <row r="1209" spans="33:35" x14ac:dyDescent="0.25">
      <c r="AG1209" s="8">
        <f t="shared" si="100"/>
        <v>0</v>
      </c>
      <c r="AI1209" s="8">
        <f t="shared" si="101"/>
        <v>0</v>
      </c>
    </row>
    <row r="1210" spans="33:35" x14ac:dyDescent="0.25">
      <c r="AG1210" s="8">
        <f t="shared" si="100"/>
        <v>0</v>
      </c>
      <c r="AI1210" s="8">
        <f t="shared" si="101"/>
        <v>0</v>
      </c>
    </row>
    <row r="1211" spans="33:35" x14ac:dyDescent="0.25">
      <c r="AG1211" s="8">
        <f t="shared" si="100"/>
        <v>0</v>
      </c>
      <c r="AI1211" s="8">
        <f t="shared" si="101"/>
        <v>0</v>
      </c>
    </row>
    <row r="1212" spans="33:35" x14ac:dyDescent="0.25">
      <c r="AG1212" s="8">
        <f t="shared" si="100"/>
        <v>0</v>
      </c>
      <c r="AI1212" s="8">
        <f t="shared" si="101"/>
        <v>0</v>
      </c>
    </row>
    <row r="1213" spans="33:35" x14ac:dyDescent="0.25">
      <c r="AG1213" s="8">
        <f t="shared" si="100"/>
        <v>0</v>
      </c>
      <c r="AI1213" s="8">
        <f t="shared" si="101"/>
        <v>0</v>
      </c>
    </row>
    <row r="1214" spans="33:35" x14ac:dyDescent="0.25">
      <c r="AG1214" s="8">
        <f t="shared" si="100"/>
        <v>0</v>
      </c>
      <c r="AI1214" s="8">
        <f t="shared" si="101"/>
        <v>0</v>
      </c>
    </row>
    <row r="1215" spans="33:35" x14ac:dyDescent="0.25">
      <c r="AG1215" s="8">
        <f t="shared" si="100"/>
        <v>0</v>
      </c>
      <c r="AI1215" s="8">
        <f t="shared" si="101"/>
        <v>0</v>
      </c>
    </row>
    <row r="1216" spans="33:35" x14ac:dyDescent="0.25">
      <c r="AG1216" s="8">
        <f t="shared" si="100"/>
        <v>0</v>
      </c>
      <c r="AI1216" s="8">
        <f t="shared" si="101"/>
        <v>0</v>
      </c>
    </row>
    <row r="1217" spans="33:35" x14ac:dyDescent="0.25">
      <c r="AG1217" s="8">
        <f t="shared" si="100"/>
        <v>0</v>
      </c>
      <c r="AI1217" s="8">
        <f t="shared" si="101"/>
        <v>0</v>
      </c>
    </row>
    <row r="1218" spans="33:35" x14ac:dyDescent="0.25">
      <c r="AG1218" s="8">
        <f t="shared" ref="AG1218:AG1281" si="102">IF(AH1218="",0,LEN(AH1218)-LEN(SUBSTITUTE(AH1218,"/",""))+1)</f>
        <v>0</v>
      </c>
      <c r="AI1218" s="8">
        <f t="shared" ref="AI1218:AI1281" si="103">IF(AJ1218="",0,LEN(AJ1218)-LEN(SUBSTITUTE(AJ1218,"/",""))+1)</f>
        <v>0</v>
      </c>
    </row>
    <row r="1219" spans="33:35" x14ac:dyDescent="0.25">
      <c r="AG1219" s="8">
        <f t="shared" si="102"/>
        <v>0</v>
      </c>
      <c r="AI1219" s="8">
        <f t="shared" si="103"/>
        <v>0</v>
      </c>
    </row>
    <row r="1220" spans="33:35" x14ac:dyDescent="0.25">
      <c r="AG1220" s="8">
        <f t="shared" si="102"/>
        <v>0</v>
      </c>
      <c r="AI1220" s="8">
        <f t="shared" si="103"/>
        <v>0</v>
      </c>
    </row>
    <row r="1221" spans="33:35" x14ac:dyDescent="0.25">
      <c r="AG1221" s="8">
        <f t="shared" si="102"/>
        <v>0</v>
      </c>
      <c r="AI1221" s="8">
        <f t="shared" si="103"/>
        <v>0</v>
      </c>
    </row>
    <row r="1222" spans="33:35" x14ac:dyDescent="0.25">
      <c r="AG1222" s="8">
        <f t="shared" si="102"/>
        <v>0</v>
      </c>
      <c r="AI1222" s="8">
        <f t="shared" si="103"/>
        <v>0</v>
      </c>
    </row>
    <row r="1223" spans="33:35" x14ac:dyDescent="0.25">
      <c r="AG1223" s="8">
        <f t="shared" si="102"/>
        <v>0</v>
      </c>
      <c r="AI1223" s="8">
        <f t="shared" si="103"/>
        <v>0</v>
      </c>
    </row>
    <row r="1224" spans="33:35" x14ac:dyDescent="0.25">
      <c r="AG1224" s="8">
        <f t="shared" si="102"/>
        <v>0</v>
      </c>
      <c r="AI1224" s="8">
        <f t="shared" si="103"/>
        <v>0</v>
      </c>
    </row>
    <row r="1225" spans="33:35" x14ac:dyDescent="0.25">
      <c r="AG1225" s="8">
        <f t="shared" si="102"/>
        <v>0</v>
      </c>
      <c r="AI1225" s="8">
        <f t="shared" si="103"/>
        <v>0</v>
      </c>
    </row>
    <row r="1226" spans="33:35" x14ac:dyDescent="0.25">
      <c r="AG1226" s="8">
        <f t="shared" si="102"/>
        <v>0</v>
      </c>
      <c r="AI1226" s="8">
        <f t="shared" si="103"/>
        <v>0</v>
      </c>
    </row>
    <row r="1227" spans="33:35" x14ac:dyDescent="0.25">
      <c r="AG1227" s="8">
        <f t="shared" si="102"/>
        <v>0</v>
      </c>
      <c r="AI1227" s="8">
        <f t="shared" si="103"/>
        <v>0</v>
      </c>
    </row>
    <row r="1228" spans="33:35" x14ac:dyDescent="0.25">
      <c r="AG1228" s="8">
        <f t="shared" si="102"/>
        <v>0</v>
      </c>
      <c r="AI1228" s="8">
        <f t="shared" si="103"/>
        <v>0</v>
      </c>
    </row>
    <row r="1229" spans="33:35" x14ac:dyDescent="0.25">
      <c r="AG1229" s="8">
        <f t="shared" si="102"/>
        <v>0</v>
      </c>
      <c r="AI1229" s="8">
        <f t="shared" si="103"/>
        <v>0</v>
      </c>
    </row>
    <row r="1230" spans="33:35" x14ac:dyDescent="0.25">
      <c r="AG1230" s="8">
        <f t="shared" si="102"/>
        <v>0</v>
      </c>
      <c r="AI1230" s="8">
        <f t="shared" si="103"/>
        <v>0</v>
      </c>
    </row>
    <row r="1231" spans="33:35" x14ac:dyDescent="0.25">
      <c r="AG1231" s="8">
        <f t="shared" si="102"/>
        <v>0</v>
      </c>
      <c r="AI1231" s="8">
        <f t="shared" si="103"/>
        <v>0</v>
      </c>
    </row>
    <row r="1232" spans="33:35" x14ac:dyDescent="0.25">
      <c r="AG1232" s="8">
        <f t="shared" si="102"/>
        <v>0</v>
      </c>
      <c r="AI1232" s="8">
        <f t="shared" si="103"/>
        <v>0</v>
      </c>
    </row>
    <row r="1233" spans="33:35" x14ac:dyDescent="0.25">
      <c r="AG1233" s="8">
        <f t="shared" si="102"/>
        <v>0</v>
      </c>
      <c r="AI1233" s="8">
        <f t="shared" si="103"/>
        <v>0</v>
      </c>
    </row>
    <row r="1234" spans="33:35" x14ac:dyDescent="0.25">
      <c r="AG1234" s="8">
        <f t="shared" si="102"/>
        <v>0</v>
      </c>
      <c r="AI1234" s="8">
        <f t="shared" si="103"/>
        <v>0</v>
      </c>
    </row>
    <row r="1235" spans="33:35" x14ac:dyDescent="0.25">
      <c r="AG1235" s="8">
        <f t="shared" si="102"/>
        <v>0</v>
      </c>
      <c r="AI1235" s="8">
        <f t="shared" si="103"/>
        <v>0</v>
      </c>
    </row>
    <row r="1236" spans="33:35" x14ac:dyDescent="0.25">
      <c r="AG1236" s="8">
        <f t="shared" si="102"/>
        <v>0</v>
      </c>
      <c r="AI1236" s="8">
        <f t="shared" si="103"/>
        <v>0</v>
      </c>
    </row>
    <row r="1237" spans="33:35" x14ac:dyDescent="0.25">
      <c r="AG1237" s="8">
        <f t="shared" si="102"/>
        <v>0</v>
      </c>
      <c r="AI1237" s="8">
        <f t="shared" si="103"/>
        <v>0</v>
      </c>
    </row>
    <row r="1238" spans="33:35" x14ac:dyDescent="0.25">
      <c r="AG1238" s="8">
        <f t="shared" si="102"/>
        <v>0</v>
      </c>
      <c r="AI1238" s="8">
        <f t="shared" si="103"/>
        <v>0</v>
      </c>
    </row>
    <row r="1239" spans="33:35" x14ac:dyDescent="0.25">
      <c r="AG1239" s="8">
        <f t="shared" si="102"/>
        <v>0</v>
      </c>
      <c r="AI1239" s="8">
        <f t="shared" si="103"/>
        <v>0</v>
      </c>
    </row>
    <row r="1240" spans="33:35" x14ac:dyDescent="0.25">
      <c r="AG1240" s="8">
        <f t="shared" si="102"/>
        <v>0</v>
      </c>
      <c r="AI1240" s="8">
        <f t="shared" si="103"/>
        <v>0</v>
      </c>
    </row>
    <row r="1241" spans="33:35" x14ac:dyDescent="0.25">
      <c r="AG1241" s="8">
        <f t="shared" si="102"/>
        <v>0</v>
      </c>
      <c r="AI1241" s="8">
        <f t="shared" si="103"/>
        <v>0</v>
      </c>
    </row>
    <row r="1242" spans="33:35" x14ac:dyDescent="0.25">
      <c r="AG1242" s="8">
        <f t="shared" si="102"/>
        <v>0</v>
      </c>
      <c r="AI1242" s="8">
        <f t="shared" si="103"/>
        <v>0</v>
      </c>
    </row>
    <row r="1243" spans="33:35" x14ac:dyDescent="0.25">
      <c r="AG1243" s="8">
        <f t="shared" si="102"/>
        <v>0</v>
      </c>
      <c r="AI1243" s="8">
        <f t="shared" si="103"/>
        <v>0</v>
      </c>
    </row>
    <row r="1244" spans="33:35" x14ac:dyDescent="0.25">
      <c r="AG1244" s="8">
        <f t="shared" si="102"/>
        <v>0</v>
      </c>
      <c r="AI1244" s="8">
        <f t="shared" si="103"/>
        <v>0</v>
      </c>
    </row>
    <row r="1245" spans="33:35" x14ac:dyDescent="0.25">
      <c r="AG1245" s="8">
        <f t="shared" si="102"/>
        <v>0</v>
      </c>
      <c r="AI1245" s="8">
        <f t="shared" si="103"/>
        <v>0</v>
      </c>
    </row>
    <row r="1246" spans="33:35" x14ac:dyDescent="0.25">
      <c r="AG1246" s="8">
        <f t="shared" si="102"/>
        <v>0</v>
      </c>
      <c r="AI1246" s="8">
        <f t="shared" si="103"/>
        <v>0</v>
      </c>
    </row>
    <row r="1247" spans="33:35" x14ac:dyDescent="0.25">
      <c r="AG1247" s="8">
        <f t="shared" si="102"/>
        <v>0</v>
      </c>
      <c r="AI1247" s="8">
        <f t="shared" si="103"/>
        <v>0</v>
      </c>
    </row>
    <row r="1248" spans="33:35" x14ac:dyDescent="0.25">
      <c r="AG1248" s="8">
        <f t="shared" si="102"/>
        <v>0</v>
      </c>
      <c r="AI1248" s="8">
        <f t="shared" si="103"/>
        <v>0</v>
      </c>
    </row>
    <row r="1249" spans="33:35" x14ac:dyDescent="0.25">
      <c r="AG1249" s="8">
        <f t="shared" si="102"/>
        <v>0</v>
      </c>
      <c r="AI1249" s="8">
        <f t="shared" si="103"/>
        <v>0</v>
      </c>
    </row>
    <row r="1250" spans="33:35" x14ac:dyDescent="0.25">
      <c r="AG1250" s="8">
        <f t="shared" si="102"/>
        <v>0</v>
      </c>
      <c r="AI1250" s="8">
        <f t="shared" si="103"/>
        <v>0</v>
      </c>
    </row>
    <row r="1251" spans="33:35" x14ac:dyDescent="0.25">
      <c r="AG1251" s="8">
        <f t="shared" si="102"/>
        <v>0</v>
      </c>
      <c r="AI1251" s="8">
        <f t="shared" si="103"/>
        <v>0</v>
      </c>
    </row>
    <row r="1252" spans="33:35" x14ac:dyDescent="0.25">
      <c r="AG1252" s="8">
        <f t="shared" si="102"/>
        <v>0</v>
      </c>
      <c r="AI1252" s="8">
        <f t="shared" si="103"/>
        <v>0</v>
      </c>
    </row>
    <row r="1253" spans="33:35" x14ac:dyDescent="0.25">
      <c r="AG1253" s="8">
        <f t="shared" si="102"/>
        <v>0</v>
      </c>
      <c r="AI1253" s="8">
        <f t="shared" si="103"/>
        <v>0</v>
      </c>
    </row>
    <row r="1254" spans="33:35" x14ac:dyDescent="0.25">
      <c r="AG1254" s="8">
        <f t="shared" si="102"/>
        <v>0</v>
      </c>
      <c r="AI1254" s="8">
        <f t="shared" si="103"/>
        <v>0</v>
      </c>
    </row>
    <row r="1255" spans="33:35" x14ac:dyDescent="0.25">
      <c r="AG1255" s="8">
        <f t="shared" si="102"/>
        <v>0</v>
      </c>
      <c r="AI1255" s="8">
        <f t="shared" si="103"/>
        <v>0</v>
      </c>
    </row>
    <row r="1256" spans="33:35" x14ac:dyDescent="0.25">
      <c r="AG1256" s="8">
        <f t="shared" si="102"/>
        <v>0</v>
      </c>
      <c r="AI1256" s="8">
        <f t="shared" si="103"/>
        <v>0</v>
      </c>
    </row>
    <row r="1257" spans="33:35" x14ac:dyDescent="0.25">
      <c r="AG1257" s="8">
        <f t="shared" si="102"/>
        <v>0</v>
      </c>
      <c r="AI1257" s="8">
        <f t="shared" si="103"/>
        <v>0</v>
      </c>
    </row>
    <row r="1258" spans="33:35" x14ac:dyDescent="0.25">
      <c r="AG1258" s="8">
        <f t="shared" si="102"/>
        <v>0</v>
      </c>
      <c r="AI1258" s="8">
        <f t="shared" si="103"/>
        <v>0</v>
      </c>
    </row>
    <row r="1259" spans="33:35" x14ac:dyDescent="0.25">
      <c r="AG1259" s="8">
        <f t="shared" si="102"/>
        <v>0</v>
      </c>
      <c r="AI1259" s="8">
        <f t="shared" si="103"/>
        <v>0</v>
      </c>
    </row>
    <row r="1260" spans="33:35" x14ac:dyDescent="0.25">
      <c r="AG1260" s="8">
        <f t="shared" si="102"/>
        <v>0</v>
      </c>
      <c r="AI1260" s="8">
        <f t="shared" si="103"/>
        <v>0</v>
      </c>
    </row>
    <row r="1261" spans="33:35" x14ac:dyDescent="0.25">
      <c r="AG1261" s="8">
        <f t="shared" si="102"/>
        <v>0</v>
      </c>
      <c r="AI1261" s="8">
        <f t="shared" si="103"/>
        <v>0</v>
      </c>
    </row>
    <row r="1262" spans="33:35" x14ac:dyDescent="0.25">
      <c r="AG1262" s="8">
        <f t="shared" si="102"/>
        <v>0</v>
      </c>
      <c r="AI1262" s="8">
        <f t="shared" si="103"/>
        <v>0</v>
      </c>
    </row>
    <row r="1263" spans="33:35" x14ac:dyDescent="0.25">
      <c r="AG1263" s="8">
        <f t="shared" si="102"/>
        <v>0</v>
      </c>
      <c r="AI1263" s="8">
        <f t="shared" si="103"/>
        <v>0</v>
      </c>
    </row>
    <row r="1264" spans="33:35" x14ac:dyDescent="0.25">
      <c r="AG1264" s="8">
        <f t="shared" si="102"/>
        <v>0</v>
      </c>
      <c r="AI1264" s="8">
        <f t="shared" si="103"/>
        <v>0</v>
      </c>
    </row>
    <row r="1265" spans="33:35" x14ac:dyDescent="0.25">
      <c r="AG1265" s="8">
        <f t="shared" si="102"/>
        <v>0</v>
      </c>
      <c r="AI1265" s="8">
        <f t="shared" si="103"/>
        <v>0</v>
      </c>
    </row>
    <row r="1266" spans="33:35" x14ac:dyDescent="0.25">
      <c r="AG1266" s="8">
        <f t="shared" si="102"/>
        <v>0</v>
      </c>
      <c r="AI1266" s="8">
        <f t="shared" si="103"/>
        <v>0</v>
      </c>
    </row>
    <row r="1267" spans="33:35" x14ac:dyDescent="0.25">
      <c r="AG1267" s="8">
        <f t="shared" si="102"/>
        <v>0</v>
      </c>
      <c r="AI1267" s="8">
        <f t="shared" si="103"/>
        <v>0</v>
      </c>
    </row>
    <row r="1268" spans="33:35" x14ac:dyDescent="0.25">
      <c r="AG1268" s="8">
        <f t="shared" si="102"/>
        <v>0</v>
      </c>
      <c r="AI1268" s="8">
        <f t="shared" si="103"/>
        <v>0</v>
      </c>
    </row>
    <row r="1269" spans="33:35" x14ac:dyDescent="0.25">
      <c r="AG1269" s="8">
        <f t="shared" si="102"/>
        <v>0</v>
      </c>
      <c r="AI1269" s="8">
        <f t="shared" si="103"/>
        <v>0</v>
      </c>
    </row>
    <row r="1270" spans="33:35" x14ac:dyDescent="0.25">
      <c r="AG1270" s="8">
        <f t="shared" si="102"/>
        <v>0</v>
      </c>
      <c r="AI1270" s="8">
        <f t="shared" si="103"/>
        <v>0</v>
      </c>
    </row>
    <row r="1271" spans="33:35" x14ac:dyDescent="0.25">
      <c r="AG1271" s="8">
        <f t="shared" si="102"/>
        <v>0</v>
      </c>
      <c r="AI1271" s="8">
        <f t="shared" si="103"/>
        <v>0</v>
      </c>
    </row>
    <row r="1272" spans="33:35" x14ac:dyDescent="0.25">
      <c r="AG1272" s="8">
        <f t="shared" si="102"/>
        <v>0</v>
      </c>
      <c r="AI1272" s="8">
        <f t="shared" si="103"/>
        <v>0</v>
      </c>
    </row>
    <row r="1273" spans="33:35" x14ac:dyDescent="0.25">
      <c r="AG1273" s="8">
        <f t="shared" si="102"/>
        <v>0</v>
      </c>
      <c r="AI1273" s="8">
        <f t="shared" si="103"/>
        <v>0</v>
      </c>
    </row>
    <row r="1274" spans="33:35" x14ac:dyDescent="0.25">
      <c r="AG1274" s="8">
        <f t="shared" si="102"/>
        <v>0</v>
      </c>
      <c r="AI1274" s="8">
        <f t="shared" si="103"/>
        <v>0</v>
      </c>
    </row>
    <row r="1275" spans="33:35" x14ac:dyDescent="0.25">
      <c r="AG1275" s="8">
        <f t="shared" si="102"/>
        <v>0</v>
      </c>
      <c r="AI1275" s="8">
        <f t="shared" si="103"/>
        <v>0</v>
      </c>
    </row>
    <row r="1276" spans="33:35" x14ac:dyDescent="0.25">
      <c r="AG1276" s="8">
        <f t="shared" si="102"/>
        <v>0</v>
      </c>
      <c r="AI1276" s="8">
        <f t="shared" si="103"/>
        <v>0</v>
      </c>
    </row>
    <row r="1277" spans="33:35" x14ac:dyDescent="0.25">
      <c r="AG1277" s="8">
        <f t="shared" si="102"/>
        <v>0</v>
      </c>
      <c r="AI1277" s="8">
        <f t="shared" si="103"/>
        <v>0</v>
      </c>
    </row>
    <row r="1278" spans="33:35" x14ac:dyDescent="0.25">
      <c r="AG1278" s="8">
        <f t="shared" si="102"/>
        <v>0</v>
      </c>
      <c r="AI1278" s="8">
        <f t="shared" si="103"/>
        <v>0</v>
      </c>
    </row>
    <row r="1279" spans="33:35" x14ac:dyDescent="0.25">
      <c r="AG1279" s="8">
        <f t="shared" si="102"/>
        <v>0</v>
      </c>
      <c r="AI1279" s="8">
        <f t="shared" si="103"/>
        <v>0</v>
      </c>
    </row>
    <row r="1280" spans="33:35" x14ac:dyDescent="0.25">
      <c r="AG1280" s="8">
        <f t="shared" si="102"/>
        <v>0</v>
      </c>
      <c r="AI1280" s="8">
        <f t="shared" si="103"/>
        <v>0</v>
      </c>
    </row>
    <row r="1281" spans="33:35" x14ac:dyDescent="0.25">
      <c r="AG1281" s="8">
        <f t="shared" si="102"/>
        <v>0</v>
      </c>
      <c r="AI1281" s="8">
        <f t="shared" si="103"/>
        <v>0</v>
      </c>
    </row>
    <row r="1282" spans="33:35" x14ac:dyDescent="0.25">
      <c r="AG1282" s="8">
        <f t="shared" ref="AG1282:AG1345" si="104">IF(AH1282="",0,LEN(AH1282)-LEN(SUBSTITUTE(AH1282,"/",""))+1)</f>
        <v>0</v>
      </c>
      <c r="AI1282" s="8">
        <f t="shared" ref="AI1282:AI1345" si="105">IF(AJ1282="",0,LEN(AJ1282)-LEN(SUBSTITUTE(AJ1282,"/",""))+1)</f>
        <v>0</v>
      </c>
    </row>
    <row r="1283" spans="33:35" x14ac:dyDescent="0.25">
      <c r="AG1283" s="8">
        <f t="shared" si="104"/>
        <v>0</v>
      </c>
      <c r="AI1283" s="8">
        <f t="shared" si="105"/>
        <v>0</v>
      </c>
    </row>
    <row r="1284" spans="33:35" x14ac:dyDescent="0.25">
      <c r="AG1284" s="8">
        <f t="shared" si="104"/>
        <v>0</v>
      </c>
      <c r="AI1284" s="8">
        <f t="shared" si="105"/>
        <v>0</v>
      </c>
    </row>
    <row r="1285" spans="33:35" x14ac:dyDescent="0.25">
      <c r="AG1285" s="8">
        <f t="shared" si="104"/>
        <v>0</v>
      </c>
      <c r="AI1285" s="8">
        <f t="shared" si="105"/>
        <v>0</v>
      </c>
    </row>
    <row r="1286" spans="33:35" x14ac:dyDescent="0.25">
      <c r="AG1286" s="8">
        <f t="shared" si="104"/>
        <v>0</v>
      </c>
      <c r="AI1286" s="8">
        <f t="shared" si="105"/>
        <v>0</v>
      </c>
    </row>
    <row r="1287" spans="33:35" x14ac:dyDescent="0.25">
      <c r="AG1287" s="8">
        <f t="shared" si="104"/>
        <v>0</v>
      </c>
      <c r="AI1287" s="8">
        <f t="shared" si="105"/>
        <v>0</v>
      </c>
    </row>
    <row r="1288" spans="33:35" x14ac:dyDescent="0.25">
      <c r="AG1288" s="8">
        <f t="shared" si="104"/>
        <v>0</v>
      </c>
      <c r="AI1288" s="8">
        <f t="shared" si="105"/>
        <v>0</v>
      </c>
    </row>
    <row r="1289" spans="33:35" x14ac:dyDescent="0.25">
      <c r="AG1289" s="8">
        <f t="shared" si="104"/>
        <v>0</v>
      </c>
      <c r="AI1289" s="8">
        <f t="shared" si="105"/>
        <v>0</v>
      </c>
    </row>
    <row r="1290" spans="33:35" x14ac:dyDescent="0.25">
      <c r="AG1290" s="8">
        <f t="shared" si="104"/>
        <v>0</v>
      </c>
      <c r="AI1290" s="8">
        <f t="shared" si="105"/>
        <v>0</v>
      </c>
    </row>
    <row r="1291" spans="33:35" x14ac:dyDescent="0.25">
      <c r="AG1291" s="8">
        <f t="shared" si="104"/>
        <v>0</v>
      </c>
      <c r="AI1291" s="8">
        <f t="shared" si="105"/>
        <v>0</v>
      </c>
    </row>
    <row r="1292" spans="33:35" x14ac:dyDescent="0.25">
      <c r="AG1292" s="8">
        <f t="shared" si="104"/>
        <v>0</v>
      </c>
      <c r="AI1292" s="8">
        <f t="shared" si="105"/>
        <v>0</v>
      </c>
    </row>
    <row r="1293" spans="33:35" x14ac:dyDescent="0.25">
      <c r="AG1293" s="8">
        <f t="shared" si="104"/>
        <v>0</v>
      </c>
      <c r="AI1293" s="8">
        <f t="shared" si="105"/>
        <v>0</v>
      </c>
    </row>
    <row r="1294" spans="33:35" x14ac:dyDescent="0.25">
      <c r="AG1294" s="8">
        <f t="shared" si="104"/>
        <v>0</v>
      </c>
      <c r="AI1294" s="8">
        <f t="shared" si="105"/>
        <v>0</v>
      </c>
    </row>
    <row r="1295" spans="33:35" x14ac:dyDescent="0.25">
      <c r="AG1295" s="8">
        <f t="shared" si="104"/>
        <v>0</v>
      </c>
      <c r="AI1295" s="8">
        <f t="shared" si="105"/>
        <v>0</v>
      </c>
    </row>
    <row r="1296" spans="33:35" x14ac:dyDescent="0.25">
      <c r="AG1296" s="8">
        <f t="shared" si="104"/>
        <v>0</v>
      </c>
      <c r="AI1296" s="8">
        <f t="shared" si="105"/>
        <v>0</v>
      </c>
    </row>
    <row r="1297" spans="33:35" x14ac:dyDescent="0.25">
      <c r="AG1297" s="8">
        <f t="shared" si="104"/>
        <v>0</v>
      </c>
      <c r="AI1297" s="8">
        <f t="shared" si="105"/>
        <v>0</v>
      </c>
    </row>
    <row r="1298" spans="33:35" x14ac:dyDescent="0.25">
      <c r="AG1298" s="8">
        <f t="shared" si="104"/>
        <v>0</v>
      </c>
      <c r="AI1298" s="8">
        <f t="shared" si="105"/>
        <v>0</v>
      </c>
    </row>
    <row r="1299" spans="33:35" x14ac:dyDescent="0.25">
      <c r="AG1299" s="8">
        <f t="shared" si="104"/>
        <v>0</v>
      </c>
      <c r="AI1299" s="8">
        <f t="shared" si="105"/>
        <v>0</v>
      </c>
    </row>
    <row r="1300" spans="33:35" x14ac:dyDescent="0.25">
      <c r="AG1300" s="8">
        <f t="shared" si="104"/>
        <v>0</v>
      </c>
      <c r="AI1300" s="8">
        <f t="shared" si="105"/>
        <v>0</v>
      </c>
    </row>
    <row r="1301" spans="33:35" x14ac:dyDescent="0.25">
      <c r="AG1301" s="8">
        <f t="shared" si="104"/>
        <v>0</v>
      </c>
      <c r="AI1301" s="8">
        <f t="shared" si="105"/>
        <v>0</v>
      </c>
    </row>
    <row r="1302" spans="33:35" x14ac:dyDescent="0.25">
      <c r="AG1302" s="8">
        <f t="shared" si="104"/>
        <v>0</v>
      </c>
      <c r="AI1302" s="8">
        <f t="shared" si="105"/>
        <v>0</v>
      </c>
    </row>
    <row r="1303" spans="33:35" x14ac:dyDescent="0.25">
      <c r="AG1303" s="8">
        <f t="shared" si="104"/>
        <v>0</v>
      </c>
      <c r="AI1303" s="8">
        <f t="shared" si="105"/>
        <v>0</v>
      </c>
    </row>
    <row r="1304" spans="33:35" x14ac:dyDescent="0.25">
      <c r="AG1304" s="8">
        <f t="shared" si="104"/>
        <v>0</v>
      </c>
      <c r="AI1304" s="8">
        <f t="shared" si="105"/>
        <v>0</v>
      </c>
    </row>
    <row r="1305" spans="33:35" x14ac:dyDescent="0.25">
      <c r="AG1305" s="8">
        <f t="shared" si="104"/>
        <v>0</v>
      </c>
      <c r="AI1305" s="8">
        <f t="shared" si="105"/>
        <v>0</v>
      </c>
    </row>
    <row r="1306" spans="33:35" x14ac:dyDescent="0.25">
      <c r="AG1306" s="8">
        <f t="shared" si="104"/>
        <v>0</v>
      </c>
      <c r="AI1306" s="8">
        <f t="shared" si="105"/>
        <v>0</v>
      </c>
    </row>
    <row r="1307" spans="33:35" x14ac:dyDescent="0.25">
      <c r="AG1307" s="8">
        <f t="shared" si="104"/>
        <v>0</v>
      </c>
      <c r="AI1307" s="8">
        <f t="shared" si="105"/>
        <v>0</v>
      </c>
    </row>
    <row r="1308" spans="33:35" x14ac:dyDescent="0.25">
      <c r="AG1308" s="8">
        <f t="shared" si="104"/>
        <v>0</v>
      </c>
      <c r="AI1308" s="8">
        <f t="shared" si="105"/>
        <v>0</v>
      </c>
    </row>
    <row r="1309" spans="33:35" x14ac:dyDescent="0.25">
      <c r="AG1309" s="8">
        <f t="shared" si="104"/>
        <v>0</v>
      </c>
      <c r="AI1309" s="8">
        <f t="shared" si="105"/>
        <v>0</v>
      </c>
    </row>
    <row r="1310" spans="33:35" x14ac:dyDescent="0.25">
      <c r="AG1310" s="8">
        <f t="shared" si="104"/>
        <v>0</v>
      </c>
      <c r="AI1310" s="8">
        <f t="shared" si="105"/>
        <v>0</v>
      </c>
    </row>
    <row r="1311" spans="33:35" x14ac:dyDescent="0.25">
      <c r="AG1311" s="8">
        <f t="shared" si="104"/>
        <v>0</v>
      </c>
      <c r="AI1311" s="8">
        <f t="shared" si="105"/>
        <v>0</v>
      </c>
    </row>
    <row r="1312" spans="33:35" x14ac:dyDescent="0.25">
      <c r="AG1312" s="8">
        <f t="shared" si="104"/>
        <v>0</v>
      </c>
      <c r="AI1312" s="8">
        <f t="shared" si="105"/>
        <v>0</v>
      </c>
    </row>
    <row r="1313" spans="33:35" x14ac:dyDescent="0.25">
      <c r="AG1313" s="8">
        <f t="shared" si="104"/>
        <v>0</v>
      </c>
      <c r="AI1313" s="8">
        <f t="shared" si="105"/>
        <v>0</v>
      </c>
    </row>
    <row r="1314" spans="33:35" x14ac:dyDescent="0.25">
      <c r="AG1314" s="8">
        <f t="shared" si="104"/>
        <v>0</v>
      </c>
      <c r="AI1314" s="8">
        <f t="shared" si="105"/>
        <v>0</v>
      </c>
    </row>
    <row r="1315" spans="33:35" x14ac:dyDescent="0.25">
      <c r="AG1315" s="8">
        <f t="shared" si="104"/>
        <v>0</v>
      </c>
      <c r="AI1315" s="8">
        <f t="shared" si="105"/>
        <v>0</v>
      </c>
    </row>
    <row r="1316" spans="33:35" x14ac:dyDescent="0.25">
      <c r="AG1316" s="8">
        <f t="shared" si="104"/>
        <v>0</v>
      </c>
      <c r="AI1316" s="8">
        <f t="shared" si="105"/>
        <v>0</v>
      </c>
    </row>
    <row r="1317" spans="33:35" x14ac:dyDescent="0.25">
      <c r="AG1317" s="8">
        <f t="shared" si="104"/>
        <v>0</v>
      </c>
      <c r="AI1317" s="8">
        <f t="shared" si="105"/>
        <v>0</v>
      </c>
    </row>
    <row r="1318" spans="33:35" x14ac:dyDescent="0.25">
      <c r="AG1318" s="8">
        <f t="shared" si="104"/>
        <v>0</v>
      </c>
      <c r="AI1318" s="8">
        <f t="shared" si="105"/>
        <v>0</v>
      </c>
    </row>
    <row r="1319" spans="33:35" x14ac:dyDescent="0.25">
      <c r="AG1319" s="8">
        <f t="shared" si="104"/>
        <v>0</v>
      </c>
      <c r="AI1319" s="8">
        <f t="shared" si="105"/>
        <v>0</v>
      </c>
    </row>
    <row r="1320" spans="33:35" x14ac:dyDescent="0.25">
      <c r="AG1320" s="8">
        <f t="shared" si="104"/>
        <v>0</v>
      </c>
      <c r="AI1320" s="8">
        <f t="shared" si="105"/>
        <v>0</v>
      </c>
    </row>
    <row r="1321" spans="33:35" x14ac:dyDescent="0.25">
      <c r="AG1321" s="8">
        <f t="shared" si="104"/>
        <v>0</v>
      </c>
      <c r="AI1321" s="8">
        <f t="shared" si="105"/>
        <v>0</v>
      </c>
    </row>
    <row r="1322" spans="33:35" x14ac:dyDescent="0.25">
      <c r="AG1322" s="8">
        <f t="shared" si="104"/>
        <v>0</v>
      </c>
      <c r="AI1322" s="8">
        <f t="shared" si="105"/>
        <v>0</v>
      </c>
    </row>
    <row r="1323" spans="33:35" x14ac:dyDescent="0.25">
      <c r="AG1323" s="8">
        <f t="shared" si="104"/>
        <v>0</v>
      </c>
      <c r="AI1323" s="8">
        <f t="shared" si="105"/>
        <v>0</v>
      </c>
    </row>
    <row r="1324" spans="33:35" x14ac:dyDescent="0.25">
      <c r="AG1324" s="8">
        <f t="shared" si="104"/>
        <v>0</v>
      </c>
      <c r="AI1324" s="8">
        <f t="shared" si="105"/>
        <v>0</v>
      </c>
    </row>
    <row r="1325" spans="33:35" x14ac:dyDescent="0.25">
      <c r="AG1325" s="8">
        <f t="shared" si="104"/>
        <v>0</v>
      </c>
      <c r="AI1325" s="8">
        <f t="shared" si="105"/>
        <v>0</v>
      </c>
    </row>
    <row r="1326" spans="33:35" x14ac:dyDescent="0.25">
      <c r="AG1326" s="8">
        <f t="shared" si="104"/>
        <v>0</v>
      </c>
      <c r="AI1326" s="8">
        <f t="shared" si="105"/>
        <v>0</v>
      </c>
    </row>
    <row r="1327" spans="33:35" x14ac:dyDescent="0.25">
      <c r="AG1327" s="8">
        <f t="shared" si="104"/>
        <v>0</v>
      </c>
      <c r="AI1327" s="8">
        <f t="shared" si="105"/>
        <v>0</v>
      </c>
    </row>
    <row r="1328" spans="33:35" x14ac:dyDescent="0.25">
      <c r="AG1328" s="8">
        <f t="shared" si="104"/>
        <v>0</v>
      </c>
      <c r="AI1328" s="8">
        <f t="shared" si="105"/>
        <v>0</v>
      </c>
    </row>
    <row r="1329" spans="33:35" x14ac:dyDescent="0.25">
      <c r="AG1329" s="8">
        <f t="shared" si="104"/>
        <v>0</v>
      </c>
      <c r="AI1329" s="8">
        <f t="shared" si="105"/>
        <v>0</v>
      </c>
    </row>
    <row r="1330" spans="33:35" x14ac:dyDescent="0.25">
      <c r="AG1330" s="8">
        <f t="shared" si="104"/>
        <v>0</v>
      </c>
      <c r="AI1330" s="8">
        <f t="shared" si="105"/>
        <v>0</v>
      </c>
    </row>
    <row r="1331" spans="33:35" x14ac:dyDescent="0.25">
      <c r="AG1331" s="8">
        <f t="shared" si="104"/>
        <v>0</v>
      </c>
      <c r="AI1331" s="8">
        <f t="shared" si="105"/>
        <v>0</v>
      </c>
    </row>
    <row r="1332" spans="33:35" x14ac:dyDescent="0.25">
      <c r="AG1332" s="8">
        <f t="shared" si="104"/>
        <v>0</v>
      </c>
      <c r="AI1332" s="8">
        <f t="shared" si="105"/>
        <v>0</v>
      </c>
    </row>
    <row r="1333" spans="33:35" x14ac:dyDescent="0.25">
      <c r="AG1333" s="8">
        <f t="shared" si="104"/>
        <v>0</v>
      </c>
      <c r="AI1333" s="8">
        <f t="shared" si="105"/>
        <v>0</v>
      </c>
    </row>
    <row r="1334" spans="33:35" x14ac:dyDescent="0.25">
      <c r="AG1334" s="8">
        <f t="shared" si="104"/>
        <v>0</v>
      </c>
      <c r="AI1334" s="8">
        <f t="shared" si="105"/>
        <v>0</v>
      </c>
    </row>
    <row r="1335" spans="33:35" x14ac:dyDescent="0.25">
      <c r="AG1335" s="8">
        <f t="shared" si="104"/>
        <v>0</v>
      </c>
      <c r="AI1335" s="8">
        <f t="shared" si="105"/>
        <v>0</v>
      </c>
    </row>
    <row r="1336" spans="33:35" x14ac:dyDescent="0.25">
      <c r="AG1336" s="8">
        <f t="shared" si="104"/>
        <v>0</v>
      </c>
      <c r="AI1336" s="8">
        <f t="shared" si="105"/>
        <v>0</v>
      </c>
    </row>
    <row r="1337" spans="33:35" x14ac:dyDescent="0.25">
      <c r="AG1337" s="8">
        <f t="shared" si="104"/>
        <v>0</v>
      </c>
      <c r="AI1337" s="8">
        <f t="shared" si="105"/>
        <v>0</v>
      </c>
    </row>
    <row r="1338" spans="33:35" x14ac:dyDescent="0.25">
      <c r="AG1338" s="8">
        <f t="shared" si="104"/>
        <v>0</v>
      </c>
      <c r="AI1338" s="8">
        <f t="shared" si="105"/>
        <v>0</v>
      </c>
    </row>
    <row r="1339" spans="33:35" x14ac:dyDescent="0.25">
      <c r="AG1339" s="8">
        <f t="shared" si="104"/>
        <v>0</v>
      </c>
      <c r="AI1339" s="8">
        <f t="shared" si="105"/>
        <v>0</v>
      </c>
    </row>
    <row r="1340" spans="33:35" x14ac:dyDescent="0.25">
      <c r="AG1340" s="8">
        <f t="shared" si="104"/>
        <v>0</v>
      </c>
      <c r="AI1340" s="8">
        <f t="shared" si="105"/>
        <v>0</v>
      </c>
    </row>
    <row r="1341" spans="33:35" x14ac:dyDescent="0.25">
      <c r="AG1341" s="8">
        <f t="shared" si="104"/>
        <v>0</v>
      </c>
      <c r="AI1341" s="8">
        <f t="shared" si="105"/>
        <v>0</v>
      </c>
    </row>
    <row r="1342" spans="33:35" x14ac:dyDescent="0.25">
      <c r="AG1342" s="8">
        <f t="shared" si="104"/>
        <v>0</v>
      </c>
      <c r="AI1342" s="8">
        <f t="shared" si="105"/>
        <v>0</v>
      </c>
    </row>
    <row r="1343" spans="33:35" x14ac:dyDescent="0.25">
      <c r="AG1343" s="8">
        <f t="shared" si="104"/>
        <v>0</v>
      </c>
      <c r="AI1343" s="8">
        <f t="shared" si="105"/>
        <v>0</v>
      </c>
    </row>
    <row r="1344" spans="33:35" x14ac:dyDescent="0.25">
      <c r="AG1344" s="8">
        <f t="shared" si="104"/>
        <v>0</v>
      </c>
      <c r="AI1344" s="8">
        <f t="shared" si="105"/>
        <v>0</v>
      </c>
    </row>
    <row r="1345" spans="33:35" x14ac:dyDescent="0.25">
      <c r="AG1345" s="8">
        <f t="shared" si="104"/>
        <v>0</v>
      </c>
      <c r="AI1345" s="8">
        <f t="shared" si="105"/>
        <v>0</v>
      </c>
    </row>
    <row r="1346" spans="33:35" x14ac:dyDescent="0.25">
      <c r="AG1346" s="8">
        <f t="shared" ref="AG1346:AG1401" si="106">IF(AH1346="",0,LEN(AH1346)-LEN(SUBSTITUTE(AH1346,"/",""))+1)</f>
        <v>0</v>
      </c>
      <c r="AI1346" s="8">
        <f t="shared" ref="AI1346:AI1401" si="107">IF(AJ1346="",0,LEN(AJ1346)-LEN(SUBSTITUTE(AJ1346,"/",""))+1)</f>
        <v>0</v>
      </c>
    </row>
    <row r="1347" spans="33:35" x14ac:dyDescent="0.25">
      <c r="AG1347" s="8">
        <f t="shared" si="106"/>
        <v>0</v>
      </c>
      <c r="AI1347" s="8">
        <f t="shared" si="107"/>
        <v>0</v>
      </c>
    </row>
    <row r="1348" spans="33:35" x14ac:dyDescent="0.25">
      <c r="AG1348" s="8">
        <f t="shared" si="106"/>
        <v>0</v>
      </c>
      <c r="AI1348" s="8">
        <f t="shared" si="107"/>
        <v>0</v>
      </c>
    </row>
    <row r="1349" spans="33:35" x14ac:dyDescent="0.25">
      <c r="AG1349" s="8">
        <f t="shared" si="106"/>
        <v>0</v>
      </c>
      <c r="AI1349" s="8">
        <f t="shared" si="107"/>
        <v>0</v>
      </c>
    </row>
    <row r="1350" spans="33:35" x14ac:dyDescent="0.25">
      <c r="AG1350" s="8">
        <f t="shared" si="106"/>
        <v>0</v>
      </c>
      <c r="AI1350" s="8">
        <f t="shared" si="107"/>
        <v>0</v>
      </c>
    </row>
    <row r="1351" spans="33:35" x14ac:dyDescent="0.25">
      <c r="AG1351" s="8">
        <f t="shared" si="106"/>
        <v>0</v>
      </c>
      <c r="AI1351" s="8">
        <f t="shared" si="107"/>
        <v>0</v>
      </c>
    </row>
    <row r="1352" spans="33:35" x14ac:dyDescent="0.25">
      <c r="AG1352" s="8">
        <f t="shared" si="106"/>
        <v>0</v>
      </c>
      <c r="AI1352" s="8">
        <f t="shared" si="107"/>
        <v>0</v>
      </c>
    </row>
    <row r="1353" spans="33:35" x14ac:dyDescent="0.25">
      <c r="AG1353" s="8">
        <f t="shared" si="106"/>
        <v>0</v>
      </c>
      <c r="AI1353" s="8">
        <f t="shared" si="107"/>
        <v>0</v>
      </c>
    </row>
    <row r="1354" spans="33:35" x14ac:dyDescent="0.25">
      <c r="AG1354" s="8">
        <f t="shared" si="106"/>
        <v>0</v>
      </c>
      <c r="AI1354" s="8">
        <f t="shared" si="107"/>
        <v>0</v>
      </c>
    </row>
    <row r="1355" spans="33:35" x14ac:dyDescent="0.25">
      <c r="AG1355" s="8">
        <f t="shared" si="106"/>
        <v>0</v>
      </c>
      <c r="AI1355" s="8">
        <f t="shared" si="107"/>
        <v>0</v>
      </c>
    </row>
    <row r="1356" spans="33:35" x14ac:dyDescent="0.25">
      <c r="AG1356" s="8">
        <f t="shared" si="106"/>
        <v>0</v>
      </c>
      <c r="AI1356" s="8">
        <f t="shared" si="107"/>
        <v>0</v>
      </c>
    </row>
    <row r="1357" spans="33:35" x14ac:dyDescent="0.25">
      <c r="AG1357" s="8">
        <f t="shared" si="106"/>
        <v>0</v>
      </c>
      <c r="AI1357" s="8">
        <f t="shared" si="107"/>
        <v>0</v>
      </c>
    </row>
    <row r="1358" spans="33:35" x14ac:dyDescent="0.25">
      <c r="AG1358" s="8">
        <f t="shared" si="106"/>
        <v>0</v>
      </c>
      <c r="AI1358" s="8">
        <f t="shared" si="107"/>
        <v>0</v>
      </c>
    </row>
    <row r="1359" spans="33:35" x14ac:dyDescent="0.25">
      <c r="AG1359" s="8">
        <f t="shared" si="106"/>
        <v>0</v>
      </c>
      <c r="AI1359" s="8">
        <f t="shared" si="107"/>
        <v>0</v>
      </c>
    </row>
    <row r="1360" spans="33:35" x14ac:dyDescent="0.25">
      <c r="AG1360" s="8">
        <f t="shared" si="106"/>
        <v>0</v>
      </c>
      <c r="AI1360" s="8">
        <f t="shared" si="107"/>
        <v>0</v>
      </c>
    </row>
    <row r="1361" spans="33:35" x14ac:dyDescent="0.25">
      <c r="AG1361" s="8">
        <f t="shared" si="106"/>
        <v>0</v>
      </c>
      <c r="AI1361" s="8">
        <f t="shared" si="107"/>
        <v>0</v>
      </c>
    </row>
    <row r="1362" spans="33:35" x14ac:dyDescent="0.25">
      <c r="AG1362" s="8">
        <f t="shared" si="106"/>
        <v>0</v>
      </c>
      <c r="AI1362" s="8">
        <f t="shared" si="107"/>
        <v>0</v>
      </c>
    </row>
    <row r="1363" spans="33:35" x14ac:dyDescent="0.25">
      <c r="AG1363" s="8">
        <f t="shared" si="106"/>
        <v>0</v>
      </c>
      <c r="AI1363" s="8">
        <f t="shared" si="107"/>
        <v>0</v>
      </c>
    </row>
    <row r="1364" spans="33:35" x14ac:dyDescent="0.25">
      <c r="AG1364" s="8">
        <f t="shared" si="106"/>
        <v>0</v>
      </c>
      <c r="AI1364" s="8">
        <f t="shared" si="107"/>
        <v>0</v>
      </c>
    </row>
    <row r="1365" spans="33:35" x14ac:dyDescent="0.25">
      <c r="AG1365" s="8">
        <f t="shared" si="106"/>
        <v>0</v>
      </c>
      <c r="AI1365" s="8">
        <f t="shared" si="107"/>
        <v>0</v>
      </c>
    </row>
    <row r="1366" spans="33:35" x14ac:dyDescent="0.25">
      <c r="AG1366" s="8">
        <f t="shared" si="106"/>
        <v>0</v>
      </c>
      <c r="AI1366" s="8">
        <f t="shared" si="107"/>
        <v>0</v>
      </c>
    </row>
    <row r="1367" spans="33:35" x14ac:dyDescent="0.25">
      <c r="AG1367" s="8">
        <f t="shared" si="106"/>
        <v>0</v>
      </c>
      <c r="AI1367" s="8">
        <f t="shared" si="107"/>
        <v>0</v>
      </c>
    </row>
    <row r="1368" spans="33:35" x14ac:dyDescent="0.25">
      <c r="AG1368" s="8">
        <f t="shared" si="106"/>
        <v>0</v>
      </c>
      <c r="AI1368" s="8">
        <f t="shared" si="107"/>
        <v>0</v>
      </c>
    </row>
    <row r="1369" spans="33:35" x14ac:dyDescent="0.25">
      <c r="AG1369" s="8">
        <f t="shared" si="106"/>
        <v>0</v>
      </c>
      <c r="AI1369" s="8">
        <f t="shared" si="107"/>
        <v>0</v>
      </c>
    </row>
    <row r="1370" spans="33:35" x14ac:dyDescent="0.25">
      <c r="AG1370" s="8">
        <f t="shared" si="106"/>
        <v>0</v>
      </c>
      <c r="AI1370" s="8">
        <f t="shared" si="107"/>
        <v>0</v>
      </c>
    </row>
    <row r="1371" spans="33:35" x14ac:dyDescent="0.25">
      <c r="AG1371" s="8">
        <f t="shared" si="106"/>
        <v>0</v>
      </c>
      <c r="AI1371" s="8">
        <f t="shared" si="107"/>
        <v>0</v>
      </c>
    </row>
    <row r="1372" spans="33:35" x14ac:dyDescent="0.25">
      <c r="AG1372" s="8">
        <f t="shared" si="106"/>
        <v>0</v>
      </c>
      <c r="AI1372" s="8">
        <f t="shared" si="107"/>
        <v>0</v>
      </c>
    </row>
    <row r="1373" spans="33:35" x14ac:dyDescent="0.25">
      <c r="AG1373" s="8">
        <f t="shared" si="106"/>
        <v>0</v>
      </c>
      <c r="AI1373" s="8">
        <f t="shared" si="107"/>
        <v>0</v>
      </c>
    </row>
    <row r="1374" spans="33:35" x14ac:dyDescent="0.25">
      <c r="AG1374" s="8">
        <f t="shared" si="106"/>
        <v>0</v>
      </c>
      <c r="AI1374" s="8">
        <f t="shared" si="107"/>
        <v>0</v>
      </c>
    </row>
    <row r="1375" spans="33:35" x14ac:dyDescent="0.25">
      <c r="AG1375" s="8">
        <f t="shared" si="106"/>
        <v>0</v>
      </c>
      <c r="AI1375" s="8">
        <f t="shared" si="107"/>
        <v>0</v>
      </c>
    </row>
    <row r="1376" spans="33:35" x14ac:dyDescent="0.25">
      <c r="AG1376" s="8">
        <f t="shared" si="106"/>
        <v>0</v>
      </c>
      <c r="AI1376" s="8">
        <f t="shared" si="107"/>
        <v>0</v>
      </c>
    </row>
    <row r="1377" spans="33:35" x14ac:dyDescent="0.25">
      <c r="AG1377" s="8">
        <f t="shared" si="106"/>
        <v>0</v>
      </c>
      <c r="AI1377" s="8">
        <f t="shared" si="107"/>
        <v>0</v>
      </c>
    </row>
    <row r="1378" spans="33:35" x14ac:dyDescent="0.25">
      <c r="AG1378" s="8">
        <f t="shared" si="106"/>
        <v>0</v>
      </c>
      <c r="AI1378" s="8">
        <f t="shared" si="107"/>
        <v>0</v>
      </c>
    </row>
    <row r="1379" spans="33:35" x14ac:dyDescent="0.25">
      <c r="AG1379" s="8">
        <f t="shared" si="106"/>
        <v>0</v>
      </c>
      <c r="AI1379" s="8">
        <f t="shared" si="107"/>
        <v>0</v>
      </c>
    </row>
    <row r="1380" spans="33:35" x14ac:dyDescent="0.25">
      <c r="AG1380" s="8">
        <f t="shared" si="106"/>
        <v>0</v>
      </c>
      <c r="AI1380" s="8">
        <f t="shared" si="107"/>
        <v>0</v>
      </c>
    </row>
    <row r="1381" spans="33:35" x14ac:dyDescent="0.25">
      <c r="AG1381" s="8">
        <f t="shared" si="106"/>
        <v>0</v>
      </c>
      <c r="AI1381" s="8">
        <f t="shared" si="107"/>
        <v>0</v>
      </c>
    </row>
    <row r="1382" spans="33:35" x14ac:dyDescent="0.25">
      <c r="AG1382" s="8">
        <f t="shared" si="106"/>
        <v>0</v>
      </c>
      <c r="AI1382" s="8">
        <f t="shared" si="107"/>
        <v>0</v>
      </c>
    </row>
    <row r="1383" spans="33:35" x14ac:dyDescent="0.25">
      <c r="AG1383" s="8">
        <f t="shared" si="106"/>
        <v>0</v>
      </c>
      <c r="AI1383" s="8">
        <f t="shared" si="107"/>
        <v>0</v>
      </c>
    </row>
    <row r="1384" spans="33:35" x14ac:dyDescent="0.25">
      <c r="AG1384" s="8">
        <f t="shared" si="106"/>
        <v>0</v>
      </c>
      <c r="AI1384" s="8">
        <f t="shared" si="107"/>
        <v>0</v>
      </c>
    </row>
    <row r="1385" spans="33:35" x14ac:dyDescent="0.25">
      <c r="AG1385" s="8">
        <f t="shared" si="106"/>
        <v>0</v>
      </c>
      <c r="AI1385" s="8">
        <f t="shared" si="107"/>
        <v>0</v>
      </c>
    </row>
    <row r="1386" spans="33:35" x14ac:dyDescent="0.25">
      <c r="AG1386" s="8">
        <f t="shared" si="106"/>
        <v>0</v>
      </c>
      <c r="AI1386" s="8">
        <f t="shared" si="107"/>
        <v>0</v>
      </c>
    </row>
    <row r="1387" spans="33:35" x14ac:dyDescent="0.25">
      <c r="AG1387" s="8">
        <f t="shared" si="106"/>
        <v>0</v>
      </c>
      <c r="AI1387" s="8">
        <f t="shared" si="107"/>
        <v>0</v>
      </c>
    </row>
    <row r="1388" spans="33:35" x14ac:dyDescent="0.25">
      <c r="AG1388" s="8">
        <f t="shared" si="106"/>
        <v>0</v>
      </c>
      <c r="AI1388" s="8">
        <f t="shared" si="107"/>
        <v>0</v>
      </c>
    </row>
    <row r="1389" spans="33:35" x14ac:dyDescent="0.25">
      <c r="AG1389" s="8">
        <f t="shared" si="106"/>
        <v>0</v>
      </c>
      <c r="AI1389" s="8">
        <f t="shared" si="107"/>
        <v>0</v>
      </c>
    </row>
    <row r="1390" spans="33:35" x14ac:dyDescent="0.25">
      <c r="AG1390" s="8">
        <f t="shared" si="106"/>
        <v>0</v>
      </c>
      <c r="AI1390" s="8">
        <f t="shared" si="107"/>
        <v>0</v>
      </c>
    </row>
    <row r="1391" spans="33:35" x14ac:dyDescent="0.25">
      <c r="AG1391" s="8">
        <f t="shared" si="106"/>
        <v>0</v>
      </c>
      <c r="AI1391" s="8">
        <f t="shared" si="107"/>
        <v>0</v>
      </c>
    </row>
    <row r="1392" spans="33:35" x14ac:dyDescent="0.25">
      <c r="AG1392" s="8">
        <f t="shared" si="106"/>
        <v>0</v>
      </c>
      <c r="AI1392" s="8">
        <f t="shared" si="107"/>
        <v>0</v>
      </c>
    </row>
    <row r="1393" spans="33:35" x14ac:dyDescent="0.25">
      <c r="AG1393" s="8">
        <f t="shared" si="106"/>
        <v>0</v>
      </c>
      <c r="AI1393" s="8">
        <f t="shared" si="107"/>
        <v>0</v>
      </c>
    </row>
    <row r="1394" spans="33:35" x14ac:dyDescent="0.25">
      <c r="AG1394" s="8">
        <f t="shared" si="106"/>
        <v>0</v>
      </c>
      <c r="AI1394" s="8">
        <f t="shared" si="107"/>
        <v>0</v>
      </c>
    </row>
    <row r="1395" spans="33:35" x14ac:dyDescent="0.25">
      <c r="AG1395" s="8">
        <f t="shared" si="106"/>
        <v>0</v>
      </c>
      <c r="AI1395" s="8">
        <f t="shared" si="107"/>
        <v>0</v>
      </c>
    </row>
    <row r="1396" spans="33:35" x14ac:dyDescent="0.25">
      <c r="AG1396" s="8">
        <f t="shared" si="106"/>
        <v>0</v>
      </c>
      <c r="AI1396" s="8">
        <f t="shared" si="107"/>
        <v>0</v>
      </c>
    </row>
    <row r="1397" spans="33:35" x14ac:dyDescent="0.25">
      <c r="AG1397" s="8">
        <f t="shared" si="106"/>
        <v>0</v>
      </c>
      <c r="AI1397" s="8">
        <f t="shared" si="107"/>
        <v>0</v>
      </c>
    </row>
    <row r="1398" spans="33:35" x14ac:dyDescent="0.25">
      <c r="AG1398" s="8">
        <f t="shared" si="106"/>
        <v>0</v>
      </c>
      <c r="AI1398" s="8">
        <f t="shared" si="107"/>
        <v>0</v>
      </c>
    </row>
    <row r="1399" spans="33:35" x14ac:dyDescent="0.25">
      <c r="AG1399" s="8">
        <f t="shared" si="106"/>
        <v>0</v>
      </c>
      <c r="AI1399" s="8">
        <f t="shared" si="107"/>
        <v>0</v>
      </c>
    </row>
    <row r="1400" spans="33:35" x14ac:dyDescent="0.25">
      <c r="AG1400" s="8">
        <f t="shared" si="106"/>
        <v>0</v>
      </c>
      <c r="AI1400" s="8">
        <f t="shared" si="107"/>
        <v>0</v>
      </c>
    </row>
    <row r="1401" spans="33:35" x14ac:dyDescent="0.25">
      <c r="AG1401" s="8">
        <f t="shared" si="106"/>
        <v>0</v>
      </c>
      <c r="AI1401" s="8">
        <f t="shared" si="107"/>
        <v>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61"/>
  <sheetViews>
    <sheetView zoomScaleNormal="100" workbookViewId="0">
      <pane ySplit="1" topLeftCell="A2" activePane="bottomLeft" state="frozen"/>
      <selection pane="bottomLeft" activeCell="L3" sqref="L3"/>
    </sheetView>
  </sheetViews>
  <sheetFormatPr baseColWidth="10" defaultColWidth="9.140625" defaultRowHeight="15" x14ac:dyDescent="0.25"/>
  <cols>
    <col min="1" max="11" width="20.7109375" style="7" customWidth="1"/>
    <col min="13" max="27" width="10" style="7" hidden="1" customWidth="1"/>
    <col min="28" max="46" width="13" style="7" hidden="1" customWidth="1"/>
  </cols>
  <sheetData>
    <row r="1" spans="1:46" ht="15" customHeight="1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M1" s="5" t="s">
        <v>74</v>
      </c>
      <c r="N1" s="5" t="s">
        <v>75</v>
      </c>
    </row>
    <row r="2" spans="1:46" ht="15" customHeight="1" x14ac:dyDescent="0.25">
      <c r="A2" s="8">
        <f>IF(COUNT($X$2:$X$61)&gt;=1,1,"")</f>
        <v>1</v>
      </c>
      <c r="B2" s="8" t="str">
        <f t="shared" ref="B2:B33" si="0">IF($A2="","",INDEX($N$2:$N$61,MATCH($A2,$X$2:$X$61,0)))</f>
        <v>Pachuca</v>
      </c>
      <c r="C2" s="8">
        <f t="shared" ref="C2:C33" si="1">IF($A2="","",INDEX($O$2:$O$61,MATCH($A2,$X$2:$X$61,0)))</f>
        <v>1</v>
      </c>
      <c r="D2" s="8">
        <f t="shared" ref="D2:D33" si="2">IF($A2="","",INDEX($P$2:$P$61,MATCH($A2,$X$2:$X$61,0)))</f>
        <v>1</v>
      </c>
      <c r="E2" s="8">
        <f t="shared" ref="E2:E33" si="3">IF($A2="","",INDEX($Q$2:$Q$61,MATCH($A2,$X$2:$X$61,0)))</f>
        <v>0</v>
      </c>
      <c r="F2" s="8">
        <f t="shared" ref="F2:F33" si="4">IF($A2="","",INDEX($R$2:$R$61,MATCH($A2,$X$2:$X$61,0)))</f>
        <v>0</v>
      </c>
      <c r="G2" s="8">
        <f t="shared" ref="G2:G33" si="5">IF($A2="","",INDEX($S$2:$S$61,MATCH($A2,$X$2:$X$61,0)))</f>
        <v>3</v>
      </c>
      <c r="H2" s="8">
        <f t="shared" ref="H2:H33" si="6">IF($A2="","",INDEX($T$2:$T$61,MATCH($A2,$X$2:$X$61,0)))</f>
        <v>0</v>
      </c>
      <c r="I2" s="8">
        <f t="shared" ref="I2:I33" si="7">IF($A2="","",INDEX($U$2:$U$61,MATCH($A2,$X$2:$X$61,0)))</f>
        <v>3</v>
      </c>
      <c r="J2" s="8">
        <f t="shared" ref="J2:J33" si="8">IF($A2="","",INDEX($V$2:$V$61,MATCH($A2,$X$2:$X$61,0)))</f>
        <v>3</v>
      </c>
      <c r="K2" s="8" t="str">
        <f t="shared" ref="K2:K33" si="9">IF($A2="","",INDEX($AN$2:$AN$61,MATCH($A2,$X$2:$X$61,0)))</f>
        <v>V</v>
      </c>
      <c r="M2" s="6"/>
      <c r="N2" s="4" t="str">
        <f>IFERROR(INDEX(Partidos!$C$2:$C$1401,MATCH("TEAM|1",Partidos!$AE$2:$AE$1401,0)),IFERROR(INDEX(Partidos!$D$2:$D$1401,MATCH("TEAM|1",Partidos!$AF$2:$AF$1401,0)),""))</f>
        <v>Necaxa</v>
      </c>
      <c r="O2" s="4">
        <f>IF(N2="","",COUNTIF(Partidos!$C$2:$C$1401,N2)+COUNTIF(Partidos!$D$2:$D$1401,N2))</f>
        <v>1</v>
      </c>
      <c r="P2" s="4">
        <f>IF(N2="","",SUMPRODUCT((Partidos!$C$2:$C$1401=N2)*(Partidos!$E$2:$E$1401&gt;Partidos!$F$2:$F$1401))+SUMPRODUCT((Partidos!$D$2:$D$1401=N2)*(Partidos!$F$2:$F$1401&gt;Partidos!$E$2:$E$1401)))</f>
        <v>1</v>
      </c>
      <c r="Q2" s="4">
        <f>IF(N2="","",SUMPRODUCT((((Partidos!$C$2:$C$1401=N2)+(Partidos!$D$2:$D$1401=N2)))*(Partidos!$E$2:$E$1401=Partidos!$F$2:$F$1401)*(Partidos!$C$2:$C$1401&lt;&gt;"")))</f>
        <v>0</v>
      </c>
      <c r="R2" s="4">
        <f t="shared" ref="R2:R33" si="10">IF(N2="","",O2-P2-Q2)</f>
        <v>0</v>
      </c>
      <c r="S2" s="4">
        <f>IF(N2="","",SUMIF(Partidos!$C$2:$C$1401,N2,Partidos!$E$2:$E$1401)+SUMIF(Partidos!$D$2:$D$1401,N2,Partidos!$F$2:$F$1401))</f>
        <v>2</v>
      </c>
      <c r="T2" s="4">
        <f>IF(N2="","",SUMIF(Partidos!$C$2:$C$1401,N2,Partidos!$F$2:$F$1401)+SUMIF(Partidos!$D$2:$D$1401,N2,Partidos!$E$2:$E$1401))</f>
        <v>1</v>
      </c>
      <c r="U2" s="4">
        <f t="shared" ref="U2:U33" si="11">IF(N2="","",S2-T2)</f>
        <v>1</v>
      </c>
      <c r="V2" s="4">
        <f t="shared" ref="V2:V33" si="12">IF(N2="","",P2*3+Q2)</f>
        <v>3</v>
      </c>
      <c r="W2" s="4">
        <f t="shared" ref="W2:W33" si="13">IF(N2="","",V2*1000000+U2*1000+S2+(ROW()*0.0000001))</f>
        <v>3001002.0000001998</v>
      </c>
      <c r="X2" s="4">
        <f t="shared" ref="X2:X33" si="14">IF(N2="","",RANK(W2,$W$2:$W$61))</f>
        <v>7</v>
      </c>
      <c r="Y2" s="4">
        <f t="shared" ref="Y2:Y33" si="15">IF(N2="","",O2-4)</f>
        <v>-3</v>
      </c>
      <c r="Z2" s="4">
        <f t="shared" ref="Z2:Z33" si="16">IF(N2="","",O2-3)</f>
        <v>-2</v>
      </c>
      <c r="AA2" s="4">
        <f t="shared" ref="AA2:AA33" si="17">IF(N2="","",O2-2)</f>
        <v>-1</v>
      </c>
      <c r="AB2" s="4">
        <f t="shared" ref="AB2:AB33" si="18">IF(N2="","",O2-1)</f>
        <v>0</v>
      </c>
      <c r="AC2" s="4">
        <f t="shared" ref="AC2:AC33" si="19">IF(N2="","",O2-0)</f>
        <v>1</v>
      </c>
      <c r="AD2" s="4" t="str">
        <f>IF(OR(N2="",Y2=""),"",IF(Y2&lt;1,"",IFERROR(MATCH($N2&amp;"|"&amp;Y2,Partidos!$Y:$Y,0),IFERROR(MATCH($N2&amp;"|"&amp;Y2,Partidos!$Z:$Z,0),""))))</f>
        <v/>
      </c>
      <c r="AE2" s="4" t="str">
        <f>IF(OR(N2="",Z2=""),"",IF(Z2&lt;1,"",IFERROR(MATCH($N2&amp;"|"&amp;Z2,Partidos!$Y:$Y,0),IFERROR(MATCH($N2&amp;"|"&amp;Z2,Partidos!$Z:$Z,0),""))))</f>
        <v/>
      </c>
      <c r="AF2" s="4" t="str">
        <f>IF(OR(N2="",AA2=""),"",IF(AA2&lt;1,"",IFERROR(MATCH($N2&amp;"|"&amp;AA2,Partidos!$Y:$Y,0),IFERROR(MATCH($N2&amp;"|"&amp;AA2,Partidos!$Z:$Z,0),""))))</f>
        <v/>
      </c>
      <c r="AG2" s="4" t="str">
        <f>IF(OR(N2="",AB2=""),"",IF(AB2&lt;1,"",IFERROR(MATCH($N2&amp;"|"&amp;AB2,Partidos!$Y:$Y,0),IFERROR(MATCH($N2&amp;"|"&amp;AB2,Partidos!$Z:$Z,0),""))))</f>
        <v/>
      </c>
      <c r="AH2" s="4">
        <f>IF(OR(N2="",AC2=""),"",IF(AC2&lt;1,"",IFERROR(MATCH($N2&amp;"|"&amp;AC2,Partidos!$Y:$Y,0),IFERROR(MATCH($N2&amp;"|"&amp;AC2,Partidos!$Z:$Z,0),""))))</f>
        <v>2</v>
      </c>
      <c r="AI2" s="4" t="str">
        <f>IF(AD2="","",IF(INDEX(Partidos!$C:$C,AD2)=$N2,IF(INDEX(Partidos!$E:$E,AD2)&gt;INDEX(Partidos!$F:$F,AD2),"V",IF(INDEX(Partidos!$E:$E,AD2)=INDEX(Partidos!$F:$F,AD2),"E","P")),IF(INDEX(Partidos!$F:$F,AD2)&gt;INDEX(Partidos!$E:$E,AD2),"V",IF(INDEX(Partidos!$F:$F,AD2)=INDEX(Partidos!$E:$E,AD2),"E","P"))))</f>
        <v/>
      </c>
      <c r="AJ2" s="4" t="str">
        <f>IF(AE2="","",IF(INDEX(Partidos!$C:$C,AE2)=$N2,IF(INDEX(Partidos!$E:$E,AE2)&gt;INDEX(Partidos!$F:$F,AE2),"V",IF(INDEX(Partidos!$E:$E,AE2)=INDEX(Partidos!$F:$F,AE2),"E","P")),IF(INDEX(Partidos!$F:$F,AE2)&gt;INDEX(Partidos!$E:$E,AE2),"V",IF(INDEX(Partidos!$F:$F,AE2)=INDEX(Partidos!$E:$E,AE2),"E","P"))))</f>
        <v/>
      </c>
      <c r="AK2" s="4" t="str">
        <f>IF(AF2="","",IF(INDEX(Partidos!$C:$C,AF2)=$N2,IF(INDEX(Partidos!$E:$E,AF2)&gt;INDEX(Partidos!$F:$F,AF2),"V",IF(INDEX(Partidos!$E:$E,AF2)=INDEX(Partidos!$F:$F,AF2),"E","P")),IF(INDEX(Partidos!$F:$F,AF2)&gt;INDEX(Partidos!$E:$E,AF2),"V",IF(INDEX(Partidos!$F:$F,AF2)=INDEX(Partidos!$E:$E,AF2),"E","P"))))</f>
        <v/>
      </c>
      <c r="AL2" s="4" t="str">
        <f>IF(AG2="","",IF(INDEX(Partidos!$C:$C,AG2)=$N2,IF(INDEX(Partidos!$E:$E,AG2)&gt;INDEX(Partidos!$F:$F,AG2),"V",IF(INDEX(Partidos!$E:$E,AG2)=INDEX(Partidos!$F:$F,AG2),"E","P")),IF(INDEX(Partidos!$F:$F,AG2)&gt;INDEX(Partidos!$E:$E,AG2),"V",IF(INDEX(Partidos!$F:$F,AG2)=INDEX(Partidos!$E:$E,AG2),"E","P"))))</f>
        <v/>
      </c>
      <c r="AM2" s="4" t="str">
        <f>IF(AH2="","",IF(INDEX(Partidos!$C:$C,AH2)=$N2,IF(INDEX(Partidos!$E:$E,AH2)&gt;INDEX(Partidos!$F:$F,AH2),"V",IF(INDEX(Partidos!$E:$E,AH2)=INDEX(Partidos!$F:$F,AH2),"E","P")),IF(INDEX(Partidos!$F:$F,AH2)&gt;INDEX(Partidos!$E:$E,AH2),"V",IF(INDEX(Partidos!$F:$F,AH2)=INDEX(Partidos!$E:$E,AH2),"E","P"))))</f>
        <v>V</v>
      </c>
      <c r="AN2" s="4" t="str">
        <f t="shared" ref="AN2:AN33" si="20">IF(N2="","",_xlfn.TEXTJOIN("-",TRUE(),AI2:AM2))</f>
        <v>V</v>
      </c>
      <c r="AO2" s="4">
        <f t="shared" ref="AO2:AO33" si="21">IF(N2="","",RANK(S2,$S$2:$S$61,0))</f>
        <v>6</v>
      </c>
      <c r="AP2" s="4" t="str">
        <f>IF(AO2=1,SUMPRODUCT(($AO$2:AO2=1)*1),"")</f>
        <v/>
      </c>
      <c r="AQ2" s="4" t="str">
        <f t="shared" ref="AQ2:AQ33" si="22">IF(AO2=1,"GF|"&amp;AP2,"")</f>
        <v/>
      </c>
      <c r="AR2" s="4">
        <f t="shared" ref="AR2:AR33" si="23">IF(N2="","",RANK(T2,$T$2:$T$61,1))</f>
        <v>5</v>
      </c>
      <c r="AS2" s="4" t="str">
        <f>IF(AR2=1,SUMPRODUCT(($AR$2:AR2=1)*1),"")</f>
        <v/>
      </c>
      <c r="AT2" s="4" t="str">
        <f t="shared" ref="AT2:AT33" si="24">IF(AR2=1,"GC|"&amp;AS2,"")</f>
        <v/>
      </c>
    </row>
    <row r="3" spans="1:46" ht="15" customHeight="1" x14ac:dyDescent="0.25">
      <c r="A3" s="8">
        <f>IF(COUNT($X$2:$X$61)&gt;=2,2,"")</f>
        <v>2</v>
      </c>
      <c r="B3" s="8" t="str">
        <f t="shared" si="0"/>
        <v>Tijuana</v>
      </c>
      <c r="C3" s="8">
        <f t="shared" si="1"/>
        <v>1</v>
      </c>
      <c r="D3" s="8">
        <f t="shared" si="2"/>
        <v>1</v>
      </c>
      <c r="E3" s="8">
        <f t="shared" si="3"/>
        <v>0</v>
      </c>
      <c r="F3" s="8">
        <f t="shared" si="4"/>
        <v>0</v>
      </c>
      <c r="G3" s="8">
        <f t="shared" si="5"/>
        <v>3</v>
      </c>
      <c r="H3" s="8">
        <f t="shared" si="6"/>
        <v>1</v>
      </c>
      <c r="I3" s="8">
        <f t="shared" si="7"/>
        <v>2</v>
      </c>
      <c r="J3" s="8">
        <f t="shared" si="8"/>
        <v>3</v>
      </c>
      <c r="K3" s="8" t="str">
        <f t="shared" si="9"/>
        <v>V</v>
      </c>
      <c r="M3" s="6"/>
      <c r="N3" s="4" t="str">
        <f>IFERROR(INDEX(Partidos!$C$2:$C$1401,MATCH("TEAM|2",Partidos!$AE$2:$AE$1401,0)),IFERROR(INDEX(Partidos!$D$2:$D$1401,MATCH("TEAM|2",Partidos!$AF$2:$AF$1401,0)),""))</f>
        <v>Atlante</v>
      </c>
      <c r="O3" s="4">
        <f>IF(N3="","",COUNTIF(Partidos!$C$2:$C$1401,N3)+COUNTIF(Partidos!$D$2:$D$1401,N3))</f>
        <v>1</v>
      </c>
      <c r="P3" s="4">
        <f>IF(N3="","",SUMPRODUCT((Partidos!$C$2:$C$1401=N3)*(Partidos!$E$2:$E$1401&gt;Partidos!$F$2:$F$1401))+SUMPRODUCT((Partidos!$D$2:$D$1401=N3)*(Partidos!$F$2:$F$1401&gt;Partidos!$E$2:$E$1401)))</f>
        <v>0</v>
      </c>
      <c r="Q3" s="4">
        <f>IF(N3="","",SUMPRODUCT((((Partidos!$C$2:$C$1401=N3)+(Partidos!$D$2:$D$1401=N3)))*(Partidos!$E$2:$E$1401=Partidos!$F$2:$F$1401)*(Partidos!$C$2:$C$1401&lt;&gt;"")))</f>
        <v>0</v>
      </c>
      <c r="R3" s="4">
        <f t="shared" si="10"/>
        <v>1</v>
      </c>
      <c r="S3" s="4">
        <f>IF(N3="","",SUMIF(Partidos!$C$2:$C$1401,N3,Partidos!$E$2:$E$1401)+SUMIF(Partidos!$D$2:$D$1401,N3,Partidos!$F$2:$F$1401))</f>
        <v>1</v>
      </c>
      <c r="T3" s="4">
        <f>IF(N3="","",SUMIF(Partidos!$C$2:$C$1401,N3,Partidos!$F$2:$F$1401)+SUMIF(Partidos!$D$2:$D$1401,N3,Partidos!$E$2:$E$1401))</f>
        <v>2</v>
      </c>
      <c r="U3" s="4">
        <f t="shared" si="11"/>
        <v>-1</v>
      </c>
      <c r="V3" s="4">
        <f t="shared" si="12"/>
        <v>0</v>
      </c>
      <c r="W3" s="4">
        <f t="shared" si="13"/>
        <v>-998.99999969999999</v>
      </c>
      <c r="X3" s="4">
        <f t="shared" si="14"/>
        <v>13</v>
      </c>
      <c r="Y3" s="4">
        <f t="shared" si="15"/>
        <v>-3</v>
      </c>
      <c r="Z3" s="4">
        <f t="shared" si="16"/>
        <v>-2</v>
      </c>
      <c r="AA3" s="4">
        <f t="shared" si="17"/>
        <v>-1</v>
      </c>
      <c r="AB3" s="4">
        <f t="shared" si="18"/>
        <v>0</v>
      </c>
      <c r="AC3" s="4">
        <f t="shared" si="19"/>
        <v>1</v>
      </c>
      <c r="AD3" s="4" t="str">
        <f>IF(OR(N3="",Y3=""),"",IF(Y3&lt;1,"",IFERROR(MATCH($N3&amp;"|"&amp;Y3,Partidos!$Y:$Y,0),IFERROR(MATCH($N3&amp;"|"&amp;Y3,Partidos!$Z:$Z,0),""))))</f>
        <v/>
      </c>
      <c r="AE3" s="4" t="str">
        <f>IF(OR(N3="",Z3=""),"",IF(Z3&lt;1,"",IFERROR(MATCH($N3&amp;"|"&amp;Z3,Partidos!$Y:$Y,0),IFERROR(MATCH($N3&amp;"|"&amp;Z3,Partidos!$Z:$Z,0),""))))</f>
        <v/>
      </c>
      <c r="AF3" s="4" t="str">
        <f>IF(OR(N3="",AA3=""),"",IF(AA3&lt;1,"",IFERROR(MATCH($N3&amp;"|"&amp;AA3,Partidos!$Y:$Y,0),IFERROR(MATCH($N3&amp;"|"&amp;AA3,Partidos!$Z:$Z,0),""))))</f>
        <v/>
      </c>
      <c r="AG3" s="4" t="str">
        <f>IF(OR(N3="",AB3=""),"",IF(AB3&lt;1,"",IFERROR(MATCH($N3&amp;"|"&amp;AB3,Partidos!$Y:$Y,0),IFERROR(MATCH($N3&amp;"|"&amp;AB3,Partidos!$Z:$Z,0),""))))</f>
        <v/>
      </c>
      <c r="AH3" s="4">
        <f>IF(OR(N3="",AC3=""),"",IF(AC3&lt;1,"",IFERROR(MATCH($N3&amp;"|"&amp;AC3,Partidos!$Y:$Y,0),IFERROR(MATCH($N3&amp;"|"&amp;AC3,Partidos!$Z:$Z,0),""))))</f>
        <v>2</v>
      </c>
      <c r="AI3" s="4" t="str">
        <f>IF(AD3="","",IF(INDEX(Partidos!$C:$C,AD3)=$N3,IF(INDEX(Partidos!$E:$E,AD3)&gt;INDEX(Partidos!$F:$F,AD3),"V",IF(INDEX(Partidos!$E:$E,AD3)=INDEX(Partidos!$F:$F,AD3),"E","P")),IF(INDEX(Partidos!$F:$F,AD3)&gt;INDEX(Partidos!$E:$E,AD3),"V",IF(INDEX(Partidos!$F:$F,AD3)=INDEX(Partidos!$E:$E,AD3),"E","P"))))</f>
        <v/>
      </c>
      <c r="AJ3" s="4" t="str">
        <f>IF(AE3="","",IF(INDEX(Partidos!$C:$C,AE3)=$N3,IF(INDEX(Partidos!$E:$E,AE3)&gt;INDEX(Partidos!$F:$F,AE3),"V",IF(INDEX(Partidos!$E:$E,AE3)=INDEX(Partidos!$F:$F,AE3),"E","P")),IF(INDEX(Partidos!$F:$F,AE3)&gt;INDEX(Partidos!$E:$E,AE3),"V",IF(INDEX(Partidos!$F:$F,AE3)=INDEX(Partidos!$E:$E,AE3),"E","P"))))</f>
        <v/>
      </c>
      <c r="AK3" s="4" t="str">
        <f>IF(AF3="","",IF(INDEX(Partidos!$C:$C,AF3)=$N3,IF(INDEX(Partidos!$E:$E,AF3)&gt;INDEX(Partidos!$F:$F,AF3),"V",IF(INDEX(Partidos!$E:$E,AF3)=INDEX(Partidos!$F:$F,AF3),"E","P")),IF(INDEX(Partidos!$F:$F,AF3)&gt;INDEX(Partidos!$E:$E,AF3),"V",IF(INDEX(Partidos!$F:$F,AF3)=INDEX(Partidos!$E:$E,AF3),"E","P"))))</f>
        <v/>
      </c>
      <c r="AL3" s="4" t="str">
        <f>IF(AG3="","",IF(INDEX(Partidos!$C:$C,AG3)=$N3,IF(INDEX(Partidos!$E:$E,AG3)&gt;INDEX(Partidos!$F:$F,AG3),"V",IF(INDEX(Partidos!$E:$E,AG3)=INDEX(Partidos!$F:$F,AG3),"E","P")),IF(INDEX(Partidos!$F:$F,AG3)&gt;INDEX(Partidos!$E:$E,AG3),"V",IF(INDEX(Partidos!$F:$F,AG3)=INDEX(Partidos!$E:$E,AG3),"E","P"))))</f>
        <v/>
      </c>
      <c r="AM3" s="4" t="str">
        <f>IF(AH3="","",IF(INDEX(Partidos!$C:$C,AH3)=$N3,IF(INDEX(Partidos!$E:$E,AH3)&gt;INDEX(Partidos!$F:$F,AH3),"V",IF(INDEX(Partidos!$E:$E,AH3)=INDEX(Partidos!$F:$F,AH3),"E","P")),IF(INDEX(Partidos!$F:$F,AH3)&gt;INDEX(Partidos!$E:$E,AH3),"V",IF(INDEX(Partidos!$F:$F,AH3)=INDEX(Partidos!$E:$E,AH3),"E","P"))))</f>
        <v>P</v>
      </c>
      <c r="AN3" s="4" t="str">
        <f t="shared" si="20"/>
        <v>P</v>
      </c>
      <c r="AO3" s="4">
        <f t="shared" si="21"/>
        <v>11</v>
      </c>
      <c r="AP3" s="4" t="str">
        <f>IF(AO3=1,SUMPRODUCT(($AO$2:AO3=1)*1),"")</f>
        <v/>
      </c>
      <c r="AQ3" s="4" t="str">
        <f t="shared" si="22"/>
        <v/>
      </c>
      <c r="AR3" s="4">
        <f t="shared" si="23"/>
        <v>9</v>
      </c>
      <c r="AS3" s="4" t="str">
        <f>IF(AR3=1,SUMPRODUCT(($AR$2:AR3=1)*1),"")</f>
        <v/>
      </c>
      <c r="AT3" s="4" t="str">
        <f t="shared" si="24"/>
        <v/>
      </c>
    </row>
    <row r="4" spans="1:46" ht="15" customHeight="1" x14ac:dyDescent="0.25">
      <c r="A4" s="8">
        <f>IF(COUNT($X$2:$X$61)&gt;=3,3,"")</f>
        <v>3</v>
      </c>
      <c r="B4" s="8" t="str">
        <f t="shared" si="0"/>
        <v>Toluca</v>
      </c>
      <c r="C4" s="8">
        <f t="shared" si="1"/>
        <v>1</v>
      </c>
      <c r="D4" s="8">
        <f t="shared" si="2"/>
        <v>1</v>
      </c>
      <c r="E4" s="8">
        <f t="shared" si="3"/>
        <v>0</v>
      </c>
      <c r="F4" s="8">
        <f t="shared" si="4"/>
        <v>0</v>
      </c>
      <c r="G4" s="8">
        <f t="shared" si="5"/>
        <v>2</v>
      </c>
      <c r="H4" s="8">
        <f t="shared" si="6"/>
        <v>0</v>
      </c>
      <c r="I4" s="8">
        <f t="shared" si="7"/>
        <v>2</v>
      </c>
      <c r="J4" s="8">
        <f t="shared" si="8"/>
        <v>3</v>
      </c>
      <c r="K4" s="8" t="str">
        <f t="shared" si="9"/>
        <v>V</v>
      </c>
      <c r="M4" s="6"/>
      <c r="N4" s="4" t="str">
        <f>IFERROR(INDEX(Partidos!$C$2:$C$1401,MATCH("TEAM|3",Partidos!$AE$2:$AE$1401,0)),IFERROR(INDEX(Partidos!$D$2:$D$1401,MATCH("TEAM|3",Partidos!$AF$2:$AF$1401,0)),""))</f>
        <v>Tijuana</v>
      </c>
      <c r="O4" s="4">
        <f>IF(N4="","",COUNTIF(Partidos!$C$2:$C$1401,N4)+COUNTIF(Partidos!$D$2:$D$1401,N4))</f>
        <v>1</v>
      </c>
      <c r="P4" s="4">
        <f>IF(N4="","",SUMPRODUCT((Partidos!$C$2:$C$1401=N4)*(Partidos!$E$2:$E$1401&gt;Partidos!$F$2:$F$1401))+SUMPRODUCT((Partidos!$D$2:$D$1401=N4)*(Partidos!$F$2:$F$1401&gt;Partidos!$E$2:$E$1401)))</f>
        <v>1</v>
      </c>
      <c r="Q4" s="4">
        <f>IF(N4="","",SUMPRODUCT((((Partidos!$C$2:$C$1401=N4)+(Partidos!$D$2:$D$1401=N4)))*(Partidos!$E$2:$E$1401=Partidos!$F$2:$F$1401)*(Partidos!$C$2:$C$1401&lt;&gt;"")))</f>
        <v>0</v>
      </c>
      <c r="R4" s="4">
        <f t="shared" si="10"/>
        <v>0</v>
      </c>
      <c r="S4" s="4">
        <f>IF(N4="","",SUMIF(Partidos!$C$2:$C$1401,N4,Partidos!$E$2:$E$1401)+SUMIF(Partidos!$D$2:$D$1401,N4,Partidos!$F$2:$F$1401))</f>
        <v>3</v>
      </c>
      <c r="T4" s="4">
        <f>IF(N4="","",SUMIF(Partidos!$C$2:$C$1401,N4,Partidos!$F$2:$F$1401)+SUMIF(Partidos!$D$2:$D$1401,N4,Partidos!$E$2:$E$1401))</f>
        <v>1</v>
      </c>
      <c r="U4" s="4">
        <f t="shared" si="11"/>
        <v>2</v>
      </c>
      <c r="V4" s="4">
        <f t="shared" si="12"/>
        <v>3</v>
      </c>
      <c r="W4" s="4">
        <f t="shared" si="13"/>
        <v>3002003.0000004</v>
      </c>
      <c r="X4" s="4">
        <f t="shared" si="14"/>
        <v>2</v>
      </c>
      <c r="Y4" s="4">
        <f t="shared" si="15"/>
        <v>-3</v>
      </c>
      <c r="Z4" s="4">
        <f t="shared" si="16"/>
        <v>-2</v>
      </c>
      <c r="AA4" s="4">
        <f t="shared" si="17"/>
        <v>-1</v>
      </c>
      <c r="AB4" s="4">
        <f t="shared" si="18"/>
        <v>0</v>
      </c>
      <c r="AC4" s="4">
        <f t="shared" si="19"/>
        <v>1</v>
      </c>
      <c r="AD4" s="4" t="str">
        <f>IF(OR(N4="",Y4=""),"",IF(Y4&lt;1,"",IFERROR(MATCH($N4&amp;"|"&amp;Y4,Partidos!$Y:$Y,0),IFERROR(MATCH($N4&amp;"|"&amp;Y4,Partidos!$Z:$Z,0),""))))</f>
        <v/>
      </c>
      <c r="AE4" s="4" t="str">
        <f>IF(OR(N4="",Z4=""),"",IF(Z4&lt;1,"",IFERROR(MATCH($N4&amp;"|"&amp;Z4,Partidos!$Y:$Y,0),IFERROR(MATCH($N4&amp;"|"&amp;Z4,Partidos!$Z:$Z,0),""))))</f>
        <v/>
      </c>
      <c r="AF4" s="4" t="str">
        <f>IF(OR(N4="",AA4=""),"",IF(AA4&lt;1,"",IFERROR(MATCH($N4&amp;"|"&amp;AA4,Partidos!$Y:$Y,0),IFERROR(MATCH($N4&amp;"|"&amp;AA4,Partidos!$Z:$Z,0),""))))</f>
        <v/>
      </c>
      <c r="AG4" s="4" t="str">
        <f>IF(OR(N4="",AB4=""),"",IF(AB4&lt;1,"",IFERROR(MATCH($N4&amp;"|"&amp;AB4,Partidos!$Y:$Y,0),IFERROR(MATCH($N4&amp;"|"&amp;AB4,Partidos!$Z:$Z,0),""))))</f>
        <v/>
      </c>
      <c r="AH4" s="4">
        <f>IF(OR(N4="",AC4=""),"",IF(AC4&lt;1,"",IFERROR(MATCH($N4&amp;"|"&amp;AC4,Partidos!$Y:$Y,0),IFERROR(MATCH($N4&amp;"|"&amp;AC4,Partidos!$Z:$Z,0),""))))</f>
        <v>3</v>
      </c>
      <c r="AI4" s="4" t="str">
        <f>IF(AD4="","",IF(INDEX(Partidos!$C:$C,AD4)=$N4,IF(INDEX(Partidos!$E:$E,AD4)&gt;INDEX(Partidos!$F:$F,AD4),"V",IF(INDEX(Partidos!$E:$E,AD4)=INDEX(Partidos!$F:$F,AD4),"E","P")),IF(INDEX(Partidos!$F:$F,AD4)&gt;INDEX(Partidos!$E:$E,AD4),"V",IF(INDEX(Partidos!$F:$F,AD4)=INDEX(Partidos!$E:$E,AD4),"E","P"))))</f>
        <v/>
      </c>
      <c r="AJ4" s="4" t="str">
        <f>IF(AE4="","",IF(INDEX(Partidos!$C:$C,AE4)=$N4,IF(INDEX(Partidos!$E:$E,AE4)&gt;INDEX(Partidos!$F:$F,AE4),"V",IF(INDEX(Partidos!$E:$E,AE4)=INDEX(Partidos!$F:$F,AE4),"E","P")),IF(INDEX(Partidos!$F:$F,AE4)&gt;INDEX(Partidos!$E:$E,AE4),"V",IF(INDEX(Partidos!$F:$F,AE4)=INDEX(Partidos!$E:$E,AE4),"E","P"))))</f>
        <v/>
      </c>
      <c r="AK4" s="4" t="str">
        <f>IF(AF4="","",IF(INDEX(Partidos!$C:$C,AF4)=$N4,IF(INDEX(Partidos!$E:$E,AF4)&gt;INDEX(Partidos!$F:$F,AF4),"V",IF(INDEX(Partidos!$E:$E,AF4)=INDEX(Partidos!$F:$F,AF4),"E","P")),IF(INDEX(Partidos!$F:$F,AF4)&gt;INDEX(Partidos!$E:$E,AF4),"V",IF(INDEX(Partidos!$F:$F,AF4)=INDEX(Partidos!$E:$E,AF4),"E","P"))))</f>
        <v/>
      </c>
      <c r="AL4" s="4" t="str">
        <f>IF(AG4="","",IF(INDEX(Partidos!$C:$C,AG4)=$N4,IF(INDEX(Partidos!$E:$E,AG4)&gt;INDEX(Partidos!$F:$F,AG4),"V",IF(INDEX(Partidos!$E:$E,AG4)=INDEX(Partidos!$F:$F,AG4),"E","P")),IF(INDEX(Partidos!$F:$F,AG4)&gt;INDEX(Partidos!$E:$E,AG4),"V",IF(INDEX(Partidos!$F:$F,AG4)=INDEX(Partidos!$E:$E,AG4),"E","P"))))</f>
        <v/>
      </c>
      <c r="AM4" s="4" t="str">
        <f>IF(AH4="","",IF(INDEX(Partidos!$C:$C,AH4)=$N4,IF(INDEX(Partidos!$E:$E,AH4)&gt;INDEX(Partidos!$F:$F,AH4),"V",IF(INDEX(Partidos!$E:$E,AH4)=INDEX(Partidos!$F:$F,AH4),"E","P")),IF(INDEX(Partidos!$F:$F,AH4)&gt;INDEX(Partidos!$E:$E,AH4),"V",IF(INDEX(Partidos!$F:$F,AH4)=INDEX(Partidos!$E:$E,AH4),"E","P"))))</f>
        <v>V</v>
      </c>
      <c r="AN4" s="4" t="str">
        <f t="shared" si="20"/>
        <v>V</v>
      </c>
      <c r="AO4" s="4">
        <f t="shared" si="21"/>
        <v>1</v>
      </c>
      <c r="AP4" s="4">
        <f>IF(AO4=1,SUMPRODUCT(($AO$2:AO4=1)*1),"")</f>
        <v>1</v>
      </c>
      <c r="AQ4" s="4" t="str">
        <f t="shared" si="22"/>
        <v>GF|1</v>
      </c>
      <c r="AR4" s="4">
        <f t="shared" si="23"/>
        <v>5</v>
      </c>
      <c r="AS4" s="4" t="str">
        <f>IF(AR4=1,SUMPRODUCT(($AR$2:AR4=1)*1),"")</f>
        <v/>
      </c>
      <c r="AT4" s="4" t="str">
        <f t="shared" si="24"/>
        <v/>
      </c>
    </row>
    <row r="5" spans="1:46" ht="15" customHeight="1" x14ac:dyDescent="0.25">
      <c r="A5" s="8">
        <f>IF(COUNT($X$2:$X$61)&gt;=4,4,"")</f>
        <v>4</v>
      </c>
      <c r="B5" s="8" t="str">
        <f t="shared" si="0"/>
        <v>Monterrey</v>
      </c>
      <c r="C5" s="8">
        <f t="shared" si="1"/>
        <v>1</v>
      </c>
      <c r="D5" s="8">
        <f t="shared" si="2"/>
        <v>1</v>
      </c>
      <c r="E5" s="8">
        <f t="shared" si="3"/>
        <v>0</v>
      </c>
      <c r="F5" s="8">
        <f t="shared" si="4"/>
        <v>0</v>
      </c>
      <c r="G5" s="8">
        <f t="shared" si="5"/>
        <v>3</v>
      </c>
      <c r="H5" s="8">
        <f t="shared" si="6"/>
        <v>2</v>
      </c>
      <c r="I5" s="8">
        <f t="shared" si="7"/>
        <v>1</v>
      </c>
      <c r="J5" s="8">
        <f t="shared" si="8"/>
        <v>3</v>
      </c>
      <c r="K5" s="8" t="str">
        <f t="shared" si="9"/>
        <v>V</v>
      </c>
      <c r="M5" s="6"/>
      <c r="N5" s="4" t="str">
        <f>IFERROR(INDEX(Partidos!$C$2:$C$1401,MATCH("TEAM|4",Partidos!$AE$2:$AE$1401,0)),IFERROR(INDEX(Partidos!$D$2:$D$1401,MATCH("TEAM|4",Partidos!$AF$2:$AF$1401,0)),""))</f>
        <v>Tigres UANL</v>
      </c>
      <c r="O5" s="4">
        <f>IF(N5="","",COUNTIF(Partidos!$C$2:$C$1401,N5)+COUNTIF(Partidos!$D$2:$D$1401,N5))</f>
        <v>1</v>
      </c>
      <c r="P5" s="4">
        <f>IF(N5="","",SUMPRODUCT((Partidos!$C$2:$C$1401=N5)*(Partidos!$E$2:$E$1401&gt;Partidos!$F$2:$F$1401))+SUMPRODUCT((Partidos!$D$2:$D$1401=N5)*(Partidos!$F$2:$F$1401&gt;Partidos!$E$2:$E$1401)))</f>
        <v>0</v>
      </c>
      <c r="Q5" s="4">
        <f>IF(N5="","",SUMPRODUCT((((Partidos!$C$2:$C$1401=N5)+(Partidos!$D$2:$D$1401=N5)))*(Partidos!$E$2:$E$1401=Partidos!$F$2:$F$1401)*(Partidos!$C$2:$C$1401&lt;&gt;"")))</f>
        <v>0</v>
      </c>
      <c r="R5" s="4">
        <f t="shared" si="10"/>
        <v>1</v>
      </c>
      <c r="S5" s="4">
        <f>IF(N5="","",SUMIF(Partidos!$C$2:$C$1401,N5,Partidos!$E$2:$E$1401)+SUMIF(Partidos!$D$2:$D$1401,N5,Partidos!$F$2:$F$1401))</f>
        <v>1</v>
      </c>
      <c r="T5" s="4">
        <f>IF(N5="","",SUMIF(Partidos!$C$2:$C$1401,N5,Partidos!$F$2:$F$1401)+SUMIF(Partidos!$D$2:$D$1401,N5,Partidos!$E$2:$E$1401))</f>
        <v>3</v>
      </c>
      <c r="U5" s="4">
        <f t="shared" si="11"/>
        <v>-2</v>
      </c>
      <c r="V5" s="4">
        <f t="shared" si="12"/>
        <v>0</v>
      </c>
      <c r="W5" s="4">
        <f t="shared" si="13"/>
        <v>-1998.9999995000001</v>
      </c>
      <c r="X5" s="4">
        <f t="shared" si="14"/>
        <v>16</v>
      </c>
      <c r="Y5" s="4">
        <f t="shared" si="15"/>
        <v>-3</v>
      </c>
      <c r="Z5" s="4">
        <f t="shared" si="16"/>
        <v>-2</v>
      </c>
      <c r="AA5" s="4">
        <f t="shared" si="17"/>
        <v>-1</v>
      </c>
      <c r="AB5" s="4">
        <f t="shared" si="18"/>
        <v>0</v>
      </c>
      <c r="AC5" s="4">
        <f t="shared" si="19"/>
        <v>1</v>
      </c>
      <c r="AD5" s="4" t="str">
        <f>IF(OR(N5="",Y5=""),"",IF(Y5&lt;1,"",IFERROR(MATCH($N5&amp;"|"&amp;Y5,Partidos!$Y:$Y,0),IFERROR(MATCH($N5&amp;"|"&amp;Y5,Partidos!$Z:$Z,0),""))))</f>
        <v/>
      </c>
      <c r="AE5" s="4" t="str">
        <f>IF(OR(N5="",Z5=""),"",IF(Z5&lt;1,"",IFERROR(MATCH($N5&amp;"|"&amp;Z5,Partidos!$Y:$Y,0),IFERROR(MATCH($N5&amp;"|"&amp;Z5,Partidos!$Z:$Z,0),""))))</f>
        <v/>
      </c>
      <c r="AF5" s="4" t="str">
        <f>IF(OR(N5="",AA5=""),"",IF(AA5&lt;1,"",IFERROR(MATCH($N5&amp;"|"&amp;AA5,Partidos!$Y:$Y,0),IFERROR(MATCH($N5&amp;"|"&amp;AA5,Partidos!$Z:$Z,0),""))))</f>
        <v/>
      </c>
      <c r="AG5" s="4" t="str">
        <f>IF(OR(N5="",AB5=""),"",IF(AB5&lt;1,"",IFERROR(MATCH($N5&amp;"|"&amp;AB5,Partidos!$Y:$Y,0),IFERROR(MATCH($N5&amp;"|"&amp;AB5,Partidos!$Z:$Z,0),""))))</f>
        <v/>
      </c>
      <c r="AH5" s="4">
        <f>IF(OR(N5="",AC5=""),"",IF(AC5&lt;1,"",IFERROR(MATCH($N5&amp;"|"&amp;AC5,Partidos!$Y:$Y,0),IFERROR(MATCH($N5&amp;"|"&amp;AC5,Partidos!$Z:$Z,0),""))))</f>
        <v>3</v>
      </c>
      <c r="AI5" s="4" t="str">
        <f>IF(AD5="","",IF(INDEX(Partidos!$C:$C,AD5)=$N5,IF(INDEX(Partidos!$E:$E,AD5)&gt;INDEX(Partidos!$F:$F,AD5),"V",IF(INDEX(Partidos!$E:$E,AD5)=INDEX(Partidos!$F:$F,AD5),"E","P")),IF(INDEX(Partidos!$F:$F,AD5)&gt;INDEX(Partidos!$E:$E,AD5),"V",IF(INDEX(Partidos!$F:$F,AD5)=INDEX(Partidos!$E:$E,AD5),"E","P"))))</f>
        <v/>
      </c>
      <c r="AJ5" s="4" t="str">
        <f>IF(AE5="","",IF(INDEX(Partidos!$C:$C,AE5)=$N5,IF(INDEX(Partidos!$E:$E,AE5)&gt;INDEX(Partidos!$F:$F,AE5),"V",IF(INDEX(Partidos!$E:$E,AE5)=INDEX(Partidos!$F:$F,AE5),"E","P")),IF(INDEX(Partidos!$F:$F,AE5)&gt;INDEX(Partidos!$E:$E,AE5),"V",IF(INDEX(Partidos!$F:$F,AE5)=INDEX(Partidos!$E:$E,AE5),"E","P"))))</f>
        <v/>
      </c>
      <c r="AK5" s="4" t="str">
        <f>IF(AF5="","",IF(INDEX(Partidos!$C:$C,AF5)=$N5,IF(INDEX(Partidos!$E:$E,AF5)&gt;INDEX(Partidos!$F:$F,AF5),"V",IF(INDEX(Partidos!$E:$E,AF5)=INDEX(Partidos!$F:$F,AF5),"E","P")),IF(INDEX(Partidos!$F:$F,AF5)&gt;INDEX(Partidos!$E:$E,AF5),"V",IF(INDEX(Partidos!$F:$F,AF5)=INDEX(Partidos!$E:$E,AF5),"E","P"))))</f>
        <v/>
      </c>
      <c r="AL5" s="4" t="str">
        <f>IF(AG5="","",IF(INDEX(Partidos!$C:$C,AG5)=$N5,IF(INDEX(Partidos!$E:$E,AG5)&gt;INDEX(Partidos!$F:$F,AG5),"V",IF(INDEX(Partidos!$E:$E,AG5)=INDEX(Partidos!$F:$F,AG5),"E","P")),IF(INDEX(Partidos!$F:$F,AG5)&gt;INDEX(Partidos!$E:$E,AG5),"V",IF(INDEX(Partidos!$F:$F,AG5)=INDEX(Partidos!$E:$E,AG5),"E","P"))))</f>
        <v/>
      </c>
      <c r="AM5" s="4" t="str">
        <f>IF(AH5="","",IF(INDEX(Partidos!$C:$C,AH5)=$N5,IF(INDEX(Partidos!$E:$E,AH5)&gt;INDEX(Partidos!$F:$F,AH5),"V",IF(INDEX(Partidos!$E:$E,AH5)=INDEX(Partidos!$F:$F,AH5),"E","P")),IF(INDEX(Partidos!$F:$F,AH5)&gt;INDEX(Partidos!$E:$E,AH5),"V",IF(INDEX(Partidos!$F:$F,AH5)=INDEX(Partidos!$E:$E,AH5),"E","P"))))</f>
        <v>P</v>
      </c>
      <c r="AN5" s="4" t="str">
        <f t="shared" si="20"/>
        <v>P</v>
      </c>
      <c r="AO5" s="4">
        <f t="shared" si="21"/>
        <v>11</v>
      </c>
      <c r="AP5" s="4" t="str">
        <f>IF(AO5=1,SUMPRODUCT(($AO$2:AO5=1)*1),"")</f>
        <v/>
      </c>
      <c r="AQ5" s="4" t="str">
        <f t="shared" si="22"/>
        <v/>
      </c>
      <c r="AR5" s="4">
        <f t="shared" si="23"/>
        <v>14</v>
      </c>
      <c r="AS5" s="4" t="str">
        <f>IF(AR5=1,SUMPRODUCT(($AR$2:AR5=1)*1),"")</f>
        <v/>
      </c>
      <c r="AT5" s="4" t="str">
        <f t="shared" si="24"/>
        <v/>
      </c>
    </row>
    <row r="6" spans="1:46" ht="15" customHeight="1" x14ac:dyDescent="0.25">
      <c r="A6" s="8">
        <f>IF(COUNT($X$2:$X$61)&gt;=5,5,"")</f>
        <v>5</v>
      </c>
      <c r="B6" s="8" t="str">
        <f t="shared" si="0"/>
        <v>Cruz Azul</v>
      </c>
      <c r="C6" s="8">
        <f t="shared" si="1"/>
        <v>1</v>
      </c>
      <c r="D6" s="8">
        <f t="shared" si="2"/>
        <v>1</v>
      </c>
      <c r="E6" s="8">
        <f t="shared" si="3"/>
        <v>0</v>
      </c>
      <c r="F6" s="8">
        <f t="shared" si="4"/>
        <v>0</v>
      </c>
      <c r="G6" s="8">
        <f t="shared" si="5"/>
        <v>3</v>
      </c>
      <c r="H6" s="8">
        <f t="shared" si="6"/>
        <v>2</v>
      </c>
      <c r="I6" s="8">
        <f t="shared" si="7"/>
        <v>1</v>
      </c>
      <c r="J6" s="8">
        <f t="shared" si="8"/>
        <v>3</v>
      </c>
      <c r="K6" s="8" t="str">
        <f t="shared" si="9"/>
        <v>V</v>
      </c>
      <c r="M6" s="6"/>
      <c r="N6" s="4" t="str">
        <f>IFERROR(INDEX(Partidos!$C$2:$C$1401,MATCH("TEAM|5",Partidos!$AE$2:$AE$1401,0)),IFERROR(INDEX(Partidos!$D$2:$D$1401,MATCH("TEAM|5",Partidos!$AF$2:$AF$1401,0)),""))</f>
        <v>León</v>
      </c>
      <c r="O6" s="4">
        <f>IF(N6="","",COUNTIF(Partidos!$C$2:$C$1401,N6)+COUNTIF(Partidos!$D$2:$D$1401,N6))</f>
        <v>1</v>
      </c>
      <c r="P6" s="4">
        <f>IF(N6="","",SUMPRODUCT((Partidos!$C$2:$C$1401=N6)*(Partidos!$E$2:$E$1401&gt;Partidos!$F$2:$F$1401))+SUMPRODUCT((Partidos!$D$2:$D$1401=N6)*(Partidos!$F$2:$F$1401&gt;Partidos!$E$2:$E$1401)))</f>
        <v>0</v>
      </c>
      <c r="Q6" s="4">
        <f>IF(N6="","",SUMPRODUCT((((Partidos!$C$2:$C$1401=N6)+(Partidos!$D$2:$D$1401=N6)))*(Partidos!$E$2:$E$1401=Partidos!$F$2:$F$1401)*(Partidos!$C$2:$C$1401&lt;&gt;"")))</f>
        <v>0</v>
      </c>
      <c r="R6" s="4">
        <f t="shared" si="10"/>
        <v>1</v>
      </c>
      <c r="S6" s="4">
        <f>IF(N6="","",SUMIF(Partidos!$C$2:$C$1401,N6,Partidos!$E$2:$E$1401)+SUMIF(Partidos!$D$2:$D$1401,N6,Partidos!$F$2:$F$1401))</f>
        <v>2</v>
      </c>
      <c r="T6" s="4">
        <f>IF(N6="","",SUMIF(Partidos!$C$2:$C$1401,N6,Partidos!$F$2:$F$1401)+SUMIF(Partidos!$D$2:$D$1401,N6,Partidos!$E$2:$E$1401))</f>
        <v>3</v>
      </c>
      <c r="U6" s="4">
        <f t="shared" si="11"/>
        <v>-1</v>
      </c>
      <c r="V6" s="4">
        <f t="shared" si="12"/>
        <v>0</v>
      </c>
      <c r="W6" s="4">
        <f t="shared" si="13"/>
        <v>-997.99999939999998</v>
      </c>
      <c r="X6" s="4">
        <f t="shared" si="14"/>
        <v>12</v>
      </c>
      <c r="Y6" s="4">
        <f t="shared" si="15"/>
        <v>-3</v>
      </c>
      <c r="Z6" s="4">
        <f t="shared" si="16"/>
        <v>-2</v>
      </c>
      <c r="AA6" s="4">
        <f t="shared" si="17"/>
        <v>-1</v>
      </c>
      <c r="AB6" s="4">
        <f t="shared" si="18"/>
        <v>0</v>
      </c>
      <c r="AC6" s="4">
        <f t="shared" si="19"/>
        <v>1</v>
      </c>
      <c r="AD6" s="4" t="str">
        <f>IF(OR(N6="",Y6=""),"",IF(Y6&lt;1,"",IFERROR(MATCH($N6&amp;"|"&amp;Y6,Partidos!$Y:$Y,0),IFERROR(MATCH($N6&amp;"|"&amp;Y6,Partidos!$Z:$Z,0),""))))</f>
        <v/>
      </c>
      <c r="AE6" s="4" t="str">
        <f>IF(OR(N6="",Z6=""),"",IF(Z6&lt;1,"",IFERROR(MATCH($N6&amp;"|"&amp;Z6,Partidos!$Y:$Y,0),IFERROR(MATCH($N6&amp;"|"&amp;Z6,Partidos!$Z:$Z,0),""))))</f>
        <v/>
      </c>
      <c r="AF6" s="4" t="str">
        <f>IF(OR(N6="",AA6=""),"",IF(AA6&lt;1,"",IFERROR(MATCH($N6&amp;"|"&amp;AA6,Partidos!$Y:$Y,0),IFERROR(MATCH($N6&amp;"|"&amp;AA6,Partidos!$Z:$Z,0),""))))</f>
        <v/>
      </c>
      <c r="AG6" s="4" t="str">
        <f>IF(OR(N6="",AB6=""),"",IF(AB6&lt;1,"",IFERROR(MATCH($N6&amp;"|"&amp;AB6,Partidos!$Y:$Y,0),IFERROR(MATCH($N6&amp;"|"&amp;AB6,Partidos!$Z:$Z,0),""))))</f>
        <v/>
      </c>
      <c r="AH6" s="4">
        <f>IF(OR(N6="",AC6=""),"",IF(AC6&lt;1,"",IFERROR(MATCH($N6&amp;"|"&amp;AC6,Partidos!$Y:$Y,0),IFERROR(MATCH($N6&amp;"|"&amp;AC6,Partidos!$Z:$Z,0),""))))</f>
        <v>4</v>
      </c>
      <c r="AI6" s="4" t="str">
        <f>IF(AD6="","",IF(INDEX(Partidos!$C:$C,AD6)=$N6,IF(INDEX(Partidos!$E:$E,AD6)&gt;INDEX(Partidos!$F:$F,AD6),"V",IF(INDEX(Partidos!$E:$E,AD6)=INDEX(Partidos!$F:$F,AD6),"E","P")),IF(INDEX(Partidos!$F:$F,AD6)&gt;INDEX(Partidos!$E:$E,AD6),"V",IF(INDEX(Partidos!$F:$F,AD6)=INDEX(Partidos!$E:$E,AD6),"E","P"))))</f>
        <v/>
      </c>
      <c r="AJ6" s="4" t="str">
        <f>IF(AE6="","",IF(INDEX(Partidos!$C:$C,AE6)=$N6,IF(INDEX(Partidos!$E:$E,AE6)&gt;INDEX(Partidos!$F:$F,AE6),"V",IF(INDEX(Partidos!$E:$E,AE6)=INDEX(Partidos!$F:$F,AE6),"E","P")),IF(INDEX(Partidos!$F:$F,AE6)&gt;INDEX(Partidos!$E:$E,AE6),"V",IF(INDEX(Partidos!$F:$F,AE6)=INDEX(Partidos!$E:$E,AE6),"E","P"))))</f>
        <v/>
      </c>
      <c r="AK6" s="4" t="str">
        <f>IF(AF6="","",IF(INDEX(Partidos!$C:$C,AF6)=$N6,IF(INDEX(Partidos!$E:$E,AF6)&gt;INDEX(Partidos!$F:$F,AF6),"V",IF(INDEX(Partidos!$E:$E,AF6)=INDEX(Partidos!$F:$F,AF6),"E","P")),IF(INDEX(Partidos!$F:$F,AF6)&gt;INDEX(Partidos!$E:$E,AF6),"V",IF(INDEX(Partidos!$F:$F,AF6)=INDEX(Partidos!$E:$E,AF6),"E","P"))))</f>
        <v/>
      </c>
      <c r="AL6" s="4" t="str">
        <f>IF(AG6="","",IF(INDEX(Partidos!$C:$C,AG6)=$N6,IF(INDEX(Partidos!$E:$E,AG6)&gt;INDEX(Partidos!$F:$F,AG6),"V",IF(INDEX(Partidos!$E:$E,AG6)=INDEX(Partidos!$F:$F,AG6),"E","P")),IF(INDEX(Partidos!$F:$F,AG6)&gt;INDEX(Partidos!$E:$E,AG6),"V",IF(INDEX(Partidos!$F:$F,AG6)=INDEX(Partidos!$E:$E,AG6),"E","P"))))</f>
        <v/>
      </c>
      <c r="AM6" s="4" t="str">
        <f>IF(AH6="","",IF(INDEX(Partidos!$C:$C,AH6)=$N6,IF(INDEX(Partidos!$E:$E,AH6)&gt;INDEX(Partidos!$F:$F,AH6),"V",IF(INDEX(Partidos!$E:$E,AH6)=INDEX(Partidos!$F:$F,AH6),"E","P")),IF(INDEX(Partidos!$F:$F,AH6)&gt;INDEX(Partidos!$E:$E,AH6),"V",IF(INDEX(Partidos!$F:$F,AH6)=INDEX(Partidos!$E:$E,AH6),"E","P"))))</f>
        <v>P</v>
      </c>
      <c r="AN6" s="4" t="str">
        <f t="shared" si="20"/>
        <v>P</v>
      </c>
      <c r="AO6" s="4">
        <f t="shared" si="21"/>
        <v>6</v>
      </c>
      <c r="AP6" s="4" t="str">
        <f>IF(AO6=1,SUMPRODUCT(($AO$2:AO6=1)*1),"")</f>
        <v/>
      </c>
      <c r="AQ6" s="4" t="str">
        <f t="shared" si="22"/>
        <v/>
      </c>
      <c r="AR6" s="4">
        <f t="shared" si="23"/>
        <v>14</v>
      </c>
      <c r="AS6" s="4" t="str">
        <f>IF(AR6=1,SUMPRODUCT(($AR$2:AR6=1)*1),"")</f>
        <v/>
      </c>
      <c r="AT6" s="4" t="str">
        <f t="shared" si="24"/>
        <v/>
      </c>
    </row>
    <row r="7" spans="1:46" ht="15" customHeight="1" x14ac:dyDescent="0.25">
      <c r="A7" s="8">
        <f>IF(COUNT($X$2:$X$61)&gt;=6,6,"")</f>
        <v>6</v>
      </c>
      <c r="B7" s="8" t="str">
        <f t="shared" si="0"/>
        <v>Atlas</v>
      </c>
      <c r="C7" s="8">
        <f t="shared" si="1"/>
        <v>1</v>
      </c>
      <c r="D7" s="8">
        <f t="shared" si="2"/>
        <v>1</v>
      </c>
      <c r="E7" s="8">
        <f t="shared" si="3"/>
        <v>0</v>
      </c>
      <c r="F7" s="8">
        <f t="shared" si="4"/>
        <v>0</v>
      </c>
      <c r="G7" s="8">
        <f t="shared" si="5"/>
        <v>3</v>
      </c>
      <c r="H7" s="8">
        <f t="shared" si="6"/>
        <v>2</v>
      </c>
      <c r="I7" s="8">
        <f t="shared" si="7"/>
        <v>1</v>
      </c>
      <c r="J7" s="8">
        <f t="shared" si="8"/>
        <v>3</v>
      </c>
      <c r="K7" s="8" t="str">
        <f t="shared" si="9"/>
        <v>V</v>
      </c>
      <c r="M7" s="6"/>
      <c r="N7" s="4" t="str">
        <f>IFERROR(INDEX(Partidos!$C$2:$C$1401,MATCH("TEAM|6",Partidos!$AE$2:$AE$1401,0)),IFERROR(INDEX(Partidos!$D$2:$D$1401,MATCH("TEAM|6",Partidos!$AF$2:$AF$1401,0)),""))</f>
        <v>Atlas</v>
      </c>
      <c r="O7" s="4">
        <f>IF(N7="","",COUNTIF(Partidos!$C$2:$C$1401,N7)+COUNTIF(Partidos!$D$2:$D$1401,N7))</f>
        <v>1</v>
      </c>
      <c r="P7" s="4">
        <f>IF(N7="","",SUMPRODUCT((Partidos!$C$2:$C$1401=N7)*(Partidos!$E$2:$E$1401&gt;Partidos!$F$2:$F$1401))+SUMPRODUCT((Partidos!$D$2:$D$1401=N7)*(Partidos!$F$2:$F$1401&gt;Partidos!$E$2:$E$1401)))</f>
        <v>1</v>
      </c>
      <c r="Q7" s="4">
        <f>IF(N7="","",SUMPRODUCT((((Partidos!$C$2:$C$1401=N7)+(Partidos!$D$2:$D$1401=N7)))*(Partidos!$E$2:$E$1401=Partidos!$F$2:$F$1401)*(Partidos!$C$2:$C$1401&lt;&gt;"")))</f>
        <v>0</v>
      </c>
      <c r="R7" s="4">
        <f t="shared" si="10"/>
        <v>0</v>
      </c>
      <c r="S7" s="4">
        <f>IF(N7="","",SUMIF(Partidos!$C$2:$C$1401,N7,Partidos!$E$2:$E$1401)+SUMIF(Partidos!$D$2:$D$1401,N7,Partidos!$F$2:$F$1401))</f>
        <v>3</v>
      </c>
      <c r="T7" s="4">
        <f>IF(N7="","",SUMIF(Partidos!$C$2:$C$1401,N7,Partidos!$F$2:$F$1401)+SUMIF(Partidos!$D$2:$D$1401,N7,Partidos!$E$2:$E$1401))</f>
        <v>2</v>
      </c>
      <c r="U7" s="4">
        <f t="shared" si="11"/>
        <v>1</v>
      </c>
      <c r="V7" s="4">
        <f t="shared" si="12"/>
        <v>3</v>
      </c>
      <c r="W7" s="4">
        <f t="shared" si="13"/>
        <v>3001003.0000006999</v>
      </c>
      <c r="X7" s="4">
        <f t="shared" si="14"/>
        <v>6</v>
      </c>
      <c r="Y7" s="4">
        <f t="shared" si="15"/>
        <v>-3</v>
      </c>
      <c r="Z7" s="4">
        <f t="shared" si="16"/>
        <v>-2</v>
      </c>
      <c r="AA7" s="4">
        <f t="shared" si="17"/>
        <v>-1</v>
      </c>
      <c r="AB7" s="4">
        <f t="shared" si="18"/>
        <v>0</v>
      </c>
      <c r="AC7" s="4">
        <f t="shared" si="19"/>
        <v>1</v>
      </c>
      <c r="AD7" s="4" t="str">
        <f>IF(OR(N7="",Y7=""),"",IF(Y7&lt;1,"",IFERROR(MATCH($N7&amp;"|"&amp;Y7,Partidos!$Y:$Y,0),IFERROR(MATCH($N7&amp;"|"&amp;Y7,Partidos!$Z:$Z,0),""))))</f>
        <v/>
      </c>
      <c r="AE7" s="4" t="str">
        <f>IF(OR(N7="",Z7=""),"",IF(Z7&lt;1,"",IFERROR(MATCH($N7&amp;"|"&amp;Z7,Partidos!$Y:$Y,0),IFERROR(MATCH($N7&amp;"|"&amp;Z7,Partidos!$Z:$Z,0),""))))</f>
        <v/>
      </c>
      <c r="AF7" s="4" t="str">
        <f>IF(OR(N7="",AA7=""),"",IF(AA7&lt;1,"",IFERROR(MATCH($N7&amp;"|"&amp;AA7,Partidos!$Y:$Y,0),IFERROR(MATCH($N7&amp;"|"&amp;AA7,Partidos!$Z:$Z,0),""))))</f>
        <v/>
      </c>
      <c r="AG7" s="4" t="str">
        <f>IF(OR(N7="",AB7=""),"",IF(AB7&lt;1,"",IFERROR(MATCH($N7&amp;"|"&amp;AB7,Partidos!$Y:$Y,0),IFERROR(MATCH($N7&amp;"|"&amp;AB7,Partidos!$Z:$Z,0),""))))</f>
        <v/>
      </c>
      <c r="AH7" s="4">
        <f>IF(OR(N7="",AC7=""),"",IF(AC7&lt;1,"",IFERROR(MATCH($N7&amp;"|"&amp;AC7,Partidos!$Y:$Y,0),IFERROR(MATCH($N7&amp;"|"&amp;AC7,Partidos!$Z:$Z,0),""))))</f>
        <v>4</v>
      </c>
      <c r="AI7" s="4" t="str">
        <f>IF(AD7="","",IF(INDEX(Partidos!$C:$C,AD7)=$N7,IF(INDEX(Partidos!$E:$E,AD7)&gt;INDEX(Partidos!$F:$F,AD7),"V",IF(INDEX(Partidos!$E:$E,AD7)=INDEX(Partidos!$F:$F,AD7),"E","P")),IF(INDEX(Partidos!$F:$F,AD7)&gt;INDEX(Partidos!$E:$E,AD7),"V",IF(INDEX(Partidos!$F:$F,AD7)=INDEX(Partidos!$E:$E,AD7),"E","P"))))</f>
        <v/>
      </c>
      <c r="AJ7" s="4" t="str">
        <f>IF(AE7="","",IF(INDEX(Partidos!$C:$C,AE7)=$N7,IF(INDEX(Partidos!$E:$E,AE7)&gt;INDEX(Partidos!$F:$F,AE7),"V",IF(INDEX(Partidos!$E:$E,AE7)=INDEX(Partidos!$F:$F,AE7),"E","P")),IF(INDEX(Partidos!$F:$F,AE7)&gt;INDEX(Partidos!$E:$E,AE7),"V",IF(INDEX(Partidos!$F:$F,AE7)=INDEX(Partidos!$E:$E,AE7),"E","P"))))</f>
        <v/>
      </c>
      <c r="AK7" s="4" t="str">
        <f>IF(AF7="","",IF(INDEX(Partidos!$C:$C,AF7)=$N7,IF(INDEX(Partidos!$E:$E,AF7)&gt;INDEX(Partidos!$F:$F,AF7),"V",IF(INDEX(Partidos!$E:$E,AF7)=INDEX(Partidos!$F:$F,AF7),"E","P")),IF(INDEX(Partidos!$F:$F,AF7)&gt;INDEX(Partidos!$E:$E,AF7),"V",IF(INDEX(Partidos!$F:$F,AF7)=INDEX(Partidos!$E:$E,AF7),"E","P"))))</f>
        <v/>
      </c>
      <c r="AL7" s="4" t="str">
        <f>IF(AG7="","",IF(INDEX(Partidos!$C:$C,AG7)=$N7,IF(INDEX(Partidos!$E:$E,AG7)&gt;INDEX(Partidos!$F:$F,AG7),"V",IF(INDEX(Partidos!$E:$E,AG7)=INDEX(Partidos!$F:$F,AG7),"E","P")),IF(INDEX(Partidos!$F:$F,AG7)&gt;INDEX(Partidos!$E:$E,AG7),"V",IF(INDEX(Partidos!$F:$F,AG7)=INDEX(Partidos!$E:$E,AG7),"E","P"))))</f>
        <v/>
      </c>
      <c r="AM7" s="4" t="str">
        <f>IF(AH7="","",IF(INDEX(Partidos!$C:$C,AH7)=$N7,IF(INDEX(Partidos!$E:$E,AH7)&gt;INDEX(Partidos!$F:$F,AH7),"V",IF(INDEX(Partidos!$E:$E,AH7)=INDEX(Partidos!$F:$F,AH7),"E","P")),IF(INDEX(Partidos!$F:$F,AH7)&gt;INDEX(Partidos!$E:$E,AH7),"V",IF(INDEX(Partidos!$F:$F,AH7)=INDEX(Partidos!$E:$E,AH7),"E","P"))))</f>
        <v>V</v>
      </c>
      <c r="AN7" s="4" t="str">
        <f t="shared" si="20"/>
        <v>V</v>
      </c>
      <c r="AO7" s="4">
        <f t="shared" si="21"/>
        <v>1</v>
      </c>
      <c r="AP7" s="4">
        <f>IF(AO7=1,SUMPRODUCT(($AO$2:AO7=1)*1),"")</f>
        <v>2</v>
      </c>
      <c r="AQ7" s="4" t="str">
        <f t="shared" si="22"/>
        <v>GF|2</v>
      </c>
      <c r="AR7" s="4">
        <f t="shared" si="23"/>
        <v>9</v>
      </c>
      <c r="AS7" s="4" t="str">
        <f>IF(AR7=1,SUMPRODUCT(($AR$2:AR7=1)*1),"")</f>
        <v/>
      </c>
      <c r="AT7" s="4" t="str">
        <f t="shared" si="24"/>
        <v/>
      </c>
    </row>
    <row r="8" spans="1:46" ht="15" customHeight="1" x14ac:dyDescent="0.25">
      <c r="A8" s="8">
        <f>IF(COUNT($X$2:$X$61)&gt;=7,7,"")</f>
        <v>7</v>
      </c>
      <c r="B8" s="8" t="str">
        <f t="shared" si="0"/>
        <v>Necaxa</v>
      </c>
      <c r="C8" s="8">
        <f t="shared" si="1"/>
        <v>1</v>
      </c>
      <c r="D8" s="8">
        <f t="shared" si="2"/>
        <v>1</v>
      </c>
      <c r="E8" s="8">
        <f t="shared" si="3"/>
        <v>0</v>
      </c>
      <c r="F8" s="8">
        <f t="shared" si="4"/>
        <v>0</v>
      </c>
      <c r="G8" s="8">
        <f t="shared" si="5"/>
        <v>2</v>
      </c>
      <c r="H8" s="8">
        <f t="shared" si="6"/>
        <v>1</v>
      </c>
      <c r="I8" s="8">
        <f t="shared" si="7"/>
        <v>1</v>
      </c>
      <c r="J8" s="8">
        <f t="shared" si="8"/>
        <v>3</v>
      </c>
      <c r="K8" s="8" t="str">
        <f t="shared" si="9"/>
        <v>V</v>
      </c>
      <c r="M8" s="6"/>
      <c r="N8" s="4" t="str">
        <f>IFERROR(INDEX(Partidos!$C$2:$C$1401,MATCH("TEAM|7",Partidos!$AE$2:$AE$1401,0)),IFERROR(INDEX(Partidos!$D$2:$D$1401,MATCH("TEAM|7",Partidos!$AF$2:$AF$1401,0)),""))</f>
        <v>Atlético de San Luis</v>
      </c>
      <c r="O8" s="4">
        <f>IF(N8="","",COUNTIF(Partidos!$C$2:$C$1401,N8)+COUNTIF(Partidos!$D$2:$D$1401,N8))</f>
        <v>1</v>
      </c>
      <c r="P8" s="4">
        <f>IF(N8="","",SUMPRODUCT((Partidos!$C$2:$C$1401=N8)*(Partidos!$E$2:$E$1401&gt;Partidos!$F$2:$F$1401))+SUMPRODUCT((Partidos!$D$2:$D$1401=N8)*(Partidos!$F$2:$F$1401&gt;Partidos!$E$2:$E$1401)))</f>
        <v>0</v>
      </c>
      <c r="Q8" s="4">
        <f>IF(N8="","",SUMPRODUCT((((Partidos!$C$2:$C$1401=N8)+(Partidos!$D$2:$D$1401=N8)))*(Partidos!$E$2:$E$1401=Partidos!$F$2:$F$1401)*(Partidos!$C$2:$C$1401&lt;&gt;"")))</f>
        <v>0</v>
      </c>
      <c r="R8" s="4">
        <f t="shared" si="10"/>
        <v>1</v>
      </c>
      <c r="S8" s="4">
        <f>IF(N8="","",SUMIF(Partidos!$C$2:$C$1401,N8,Partidos!$E$2:$E$1401)+SUMIF(Partidos!$D$2:$D$1401,N8,Partidos!$F$2:$F$1401))</f>
        <v>2</v>
      </c>
      <c r="T8" s="4">
        <f>IF(N8="","",SUMIF(Partidos!$C$2:$C$1401,N8,Partidos!$F$2:$F$1401)+SUMIF(Partidos!$D$2:$D$1401,N8,Partidos!$E$2:$E$1401))</f>
        <v>3</v>
      </c>
      <c r="U8" s="4">
        <f t="shared" si="11"/>
        <v>-1</v>
      </c>
      <c r="V8" s="4">
        <f t="shared" si="12"/>
        <v>0</v>
      </c>
      <c r="W8" s="4">
        <f t="shared" si="13"/>
        <v>-997.99999920000005</v>
      </c>
      <c r="X8" s="4">
        <f t="shared" si="14"/>
        <v>11</v>
      </c>
      <c r="Y8" s="4">
        <f t="shared" si="15"/>
        <v>-3</v>
      </c>
      <c r="Z8" s="4">
        <f t="shared" si="16"/>
        <v>-2</v>
      </c>
      <c r="AA8" s="4">
        <f t="shared" si="17"/>
        <v>-1</v>
      </c>
      <c r="AB8" s="4">
        <f t="shared" si="18"/>
        <v>0</v>
      </c>
      <c r="AC8" s="4">
        <f t="shared" si="19"/>
        <v>1</v>
      </c>
      <c r="AD8" s="4" t="str">
        <f>IF(OR(N8="",Y8=""),"",IF(Y8&lt;1,"",IFERROR(MATCH($N8&amp;"|"&amp;Y8,Partidos!$Y:$Y,0),IFERROR(MATCH($N8&amp;"|"&amp;Y8,Partidos!$Z:$Z,0),""))))</f>
        <v/>
      </c>
      <c r="AE8" s="4" t="str">
        <f>IF(OR(N8="",Z8=""),"",IF(Z8&lt;1,"",IFERROR(MATCH($N8&amp;"|"&amp;Z8,Partidos!$Y:$Y,0),IFERROR(MATCH($N8&amp;"|"&amp;Z8,Partidos!$Z:$Z,0),""))))</f>
        <v/>
      </c>
      <c r="AF8" s="4" t="str">
        <f>IF(OR(N8="",AA8=""),"",IF(AA8&lt;1,"",IFERROR(MATCH($N8&amp;"|"&amp;AA8,Partidos!$Y:$Y,0),IFERROR(MATCH($N8&amp;"|"&amp;AA8,Partidos!$Z:$Z,0),""))))</f>
        <v/>
      </c>
      <c r="AG8" s="4" t="str">
        <f>IF(OR(N8="",AB8=""),"",IF(AB8&lt;1,"",IFERROR(MATCH($N8&amp;"|"&amp;AB8,Partidos!$Y:$Y,0),IFERROR(MATCH($N8&amp;"|"&amp;AB8,Partidos!$Z:$Z,0),""))))</f>
        <v/>
      </c>
      <c r="AH8" s="4">
        <f>IF(OR(N8="",AC8=""),"",IF(AC8&lt;1,"",IFERROR(MATCH($N8&amp;"|"&amp;AC8,Partidos!$Y:$Y,0),IFERROR(MATCH($N8&amp;"|"&amp;AC8,Partidos!$Z:$Z,0),""))))</f>
        <v>5</v>
      </c>
      <c r="AI8" s="4" t="str">
        <f>IF(AD8="","",IF(INDEX(Partidos!$C:$C,AD8)=$N8,IF(INDEX(Partidos!$E:$E,AD8)&gt;INDEX(Partidos!$F:$F,AD8),"V",IF(INDEX(Partidos!$E:$E,AD8)=INDEX(Partidos!$F:$F,AD8),"E","P")),IF(INDEX(Partidos!$F:$F,AD8)&gt;INDEX(Partidos!$E:$E,AD8),"V",IF(INDEX(Partidos!$F:$F,AD8)=INDEX(Partidos!$E:$E,AD8),"E","P"))))</f>
        <v/>
      </c>
      <c r="AJ8" s="4" t="str">
        <f>IF(AE8="","",IF(INDEX(Partidos!$C:$C,AE8)=$N8,IF(INDEX(Partidos!$E:$E,AE8)&gt;INDEX(Partidos!$F:$F,AE8),"V",IF(INDEX(Partidos!$E:$E,AE8)=INDEX(Partidos!$F:$F,AE8),"E","P")),IF(INDEX(Partidos!$F:$F,AE8)&gt;INDEX(Partidos!$E:$E,AE8),"V",IF(INDEX(Partidos!$F:$F,AE8)=INDEX(Partidos!$E:$E,AE8),"E","P"))))</f>
        <v/>
      </c>
      <c r="AK8" s="4" t="str">
        <f>IF(AF8="","",IF(INDEX(Partidos!$C:$C,AF8)=$N8,IF(INDEX(Partidos!$E:$E,AF8)&gt;INDEX(Partidos!$F:$F,AF8),"V",IF(INDEX(Partidos!$E:$E,AF8)=INDEX(Partidos!$F:$F,AF8),"E","P")),IF(INDEX(Partidos!$F:$F,AF8)&gt;INDEX(Partidos!$E:$E,AF8),"V",IF(INDEX(Partidos!$F:$F,AF8)=INDEX(Partidos!$E:$E,AF8),"E","P"))))</f>
        <v/>
      </c>
      <c r="AL8" s="4" t="str">
        <f>IF(AG8="","",IF(INDEX(Partidos!$C:$C,AG8)=$N8,IF(INDEX(Partidos!$E:$E,AG8)&gt;INDEX(Partidos!$F:$F,AG8),"V",IF(INDEX(Partidos!$E:$E,AG8)=INDEX(Partidos!$F:$F,AG8),"E","P")),IF(INDEX(Partidos!$F:$F,AG8)&gt;INDEX(Partidos!$E:$E,AG8),"V",IF(INDEX(Partidos!$F:$F,AG8)=INDEX(Partidos!$E:$E,AG8),"E","P"))))</f>
        <v/>
      </c>
      <c r="AM8" s="4" t="str">
        <f>IF(AH8="","",IF(INDEX(Partidos!$C:$C,AH8)=$N8,IF(INDEX(Partidos!$E:$E,AH8)&gt;INDEX(Partidos!$F:$F,AH8),"V",IF(INDEX(Partidos!$E:$E,AH8)=INDEX(Partidos!$F:$F,AH8),"E","P")),IF(INDEX(Partidos!$F:$F,AH8)&gt;INDEX(Partidos!$E:$E,AH8),"V",IF(INDEX(Partidos!$F:$F,AH8)=INDEX(Partidos!$E:$E,AH8),"E","P"))))</f>
        <v>P</v>
      </c>
      <c r="AN8" s="4" t="str">
        <f t="shared" si="20"/>
        <v>P</v>
      </c>
      <c r="AO8" s="4">
        <f t="shared" si="21"/>
        <v>6</v>
      </c>
      <c r="AP8" s="4" t="str">
        <f>IF(AO8=1,SUMPRODUCT(($AO$2:AO8=1)*1),"")</f>
        <v/>
      </c>
      <c r="AQ8" s="4" t="str">
        <f t="shared" si="22"/>
        <v/>
      </c>
      <c r="AR8" s="4">
        <f t="shared" si="23"/>
        <v>14</v>
      </c>
      <c r="AS8" s="4" t="str">
        <f>IF(AR8=1,SUMPRODUCT(($AR$2:AR8=1)*1),"")</f>
        <v/>
      </c>
      <c r="AT8" s="4" t="str">
        <f t="shared" si="24"/>
        <v/>
      </c>
    </row>
    <row r="9" spans="1:46" ht="15" customHeight="1" x14ac:dyDescent="0.25">
      <c r="A9" s="8">
        <f>IF(COUNT($X$2:$X$61)&gt;=8,8,"")</f>
        <v>8</v>
      </c>
      <c r="B9" s="8" t="str">
        <f t="shared" si="0"/>
        <v>Club América</v>
      </c>
      <c r="C9" s="8">
        <f t="shared" si="1"/>
        <v>1</v>
      </c>
      <c r="D9" s="8">
        <f t="shared" si="2"/>
        <v>1</v>
      </c>
      <c r="E9" s="8">
        <f t="shared" si="3"/>
        <v>0</v>
      </c>
      <c r="F9" s="8">
        <f t="shared" si="4"/>
        <v>0</v>
      </c>
      <c r="G9" s="8">
        <f t="shared" si="5"/>
        <v>1</v>
      </c>
      <c r="H9" s="8">
        <f t="shared" si="6"/>
        <v>0</v>
      </c>
      <c r="I9" s="8">
        <f t="shared" si="7"/>
        <v>1</v>
      </c>
      <c r="J9" s="8">
        <f t="shared" si="8"/>
        <v>3</v>
      </c>
      <c r="K9" s="8" t="str">
        <f t="shared" si="9"/>
        <v>V</v>
      </c>
      <c r="M9" s="6"/>
      <c r="N9" s="4" t="str">
        <f>IFERROR(INDEX(Partidos!$C$2:$C$1401,MATCH("TEAM|8",Partidos!$AE$2:$AE$1401,0)),IFERROR(INDEX(Partidos!$D$2:$D$1401,MATCH("TEAM|8",Partidos!$AF$2:$AF$1401,0)),""))</f>
        <v>Cruz Azul</v>
      </c>
      <c r="O9" s="4">
        <f>IF(N9="","",COUNTIF(Partidos!$C$2:$C$1401,N9)+COUNTIF(Partidos!$D$2:$D$1401,N9))</f>
        <v>1</v>
      </c>
      <c r="P9" s="4">
        <f>IF(N9="","",SUMPRODUCT((Partidos!$C$2:$C$1401=N9)*(Partidos!$E$2:$E$1401&gt;Partidos!$F$2:$F$1401))+SUMPRODUCT((Partidos!$D$2:$D$1401=N9)*(Partidos!$F$2:$F$1401&gt;Partidos!$E$2:$E$1401)))</f>
        <v>1</v>
      </c>
      <c r="Q9" s="4">
        <f>IF(N9="","",SUMPRODUCT((((Partidos!$C$2:$C$1401=N9)+(Partidos!$D$2:$D$1401=N9)))*(Partidos!$E$2:$E$1401=Partidos!$F$2:$F$1401)*(Partidos!$C$2:$C$1401&lt;&gt;"")))</f>
        <v>0</v>
      </c>
      <c r="R9" s="4">
        <f t="shared" si="10"/>
        <v>0</v>
      </c>
      <c r="S9" s="4">
        <f>IF(N9="","",SUMIF(Partidos!$C$2:$C$1401,N9,Partidos!$E$2:$E$1401)+SUMIF(Partidos!$D$2:$D$1401,N9,Partidos!$F$2:$F$1401))</f>
        <v>3</v>
      </c>
      <c r="T9" s="4">
        <f>IF(N9="","",SUMIF(Partidos!$C$2:$C$1401,N9,Partidos!$F$2:$F$1401)+SUMIF(Partidos!$D$2:$D$1401,N9,Partidos!$E$2:$E$1401))</f>
        <v>2</v>
      </c>
      <c r="U9" s="4">
        <f t="shared" si="11"/>
        <v>1</v>
      </c>
      <c r="V9" s="4">
        <f t="shared" si="12"/>
        <v>3</v>
      </c>
      <c r="W9" s="4">
        <f t="shared" si="13"/>
        <v>3001003.0000009001</v>
      </c>
      <c r="X9" s="4">
        <f t="shared" si="14"/>
        <v>5</v>
      </c>
      <c r="Y9" s="4">
        <f t="shared" si="15"/>
        <v>-3</v>
      </c>
      <c r="Z9" s="4">
        <f t="shared" si="16"/>
        <v>-2</v>
      </c>
      <c r="AA9" s="4">
        <f t="shared" si="17"/>
        <v>-1</v>
      </c>
      <c r="AB9" s="4">
        <f t="shared" si="18"/>
        <v>0</v>
      </c>
      <c r="AC9" s="4">
        <f t="shared" si="19"/>
        <v>1</v>
      </c>
      <c r="AD9" s="4" t="str">
        <f>IF(OR(N9="",Y9=""),"",IF(Y9&lt;1,"",IFERROR(MATCH($N9&amp;"|"&amp;Y9,Partidos!$Y:$Y,0),IFERROR(MATCH($N9&amp;"|"&amp;Y9,Partidos!$Z:$Z,0),""))))</f>
        <v/>
      </c>
      <c r="AE9" s="4" t="str">
        <f>IF(OR(N9="",Z9=""),"",IF(Z9&lt;1,"",IFERROR(MATCH($N9&amp;"|"&amp;Z9,Partidos!$Y:$Y,0),IFERROR(MATCH($N9&amp;"|"&amp;Z9,Partidos!$Z:$Z,0),""))))</f>
        <v/>
      </c>
      <c r="AF9" s="4" t="str">
        <f>IF(OR(N9="",AA9=""),"",IF(AA9&lt;1,"",IFERROR(MATCH($N9&amp;"|"&amp;AA9,Partidos!$Y:$Y,0),IFERROR(MATCH($N9&amp;"|"&amp;AA9,Partidos!$Z:$Z,0),""))))</f>
        <v/>
      </c>
      <c r="AG9" s="4" t="str">
        <f>IF(OR(N9="",AB9=""),"",IF(AB9&lt;1,"",IFERROR(MATCH($N9&amp;"|"&amp;AB9,Partidos!$Y:$Y,0),IFERROR(MATCH($N9&amp;"|"&amp;AB9,Partidos!$Z:$Z,0),""))))</f>
        <v/>
      </c>
      <c r="AH9" s="4">
        <f>IF(OR(N9="",AC9=""),"",IF(AC9&lt;1,"",IFERROR(MATCH($N9&amp;"|"&amp;AC9,Partidos!$Y:$Y,0),IFERROR(MATCH($N9&amp;"|"&amp;AC9,Partidos!$Z:$Z,0),""))))</f>
        <v>5</v>
      </c>
      <c r="AI9" s="4" t="str">
        <f>IF(AD9="","",IF(INDEX(Partidos!$C:$C,AD9)=$N9,IF(INDEX(Partidos!$E:$E,AD9)&gt;INDEX(Partidos!$F:$F,AD9),"V",IF(INDEX(Partidos!$E:$E,AD9)=INDEX(Partidos!$F:$F,AD9),"E","P")),IF(INDEX(Partidos!$F:$F,AD9)&gt;INDEX(Partidos!$E:$E,AD9),"V",IF(INDEX(Partidos!$F:$F,AD9)=INDEX(Partidos!$E:$E,AD9),"E","P"))))</f>
        <v/>
      </c>
      <c r="AJ9" s="4" t="str">
        <f>IF(AE9="","",IF(INDEX(Partidos!$C:$C,AE9)=$N9,IF(INDEX(Partidos!$E:$E,AE9)&gt;INDEX(Partidos!$F:$F,AE9),"V",IF(INDEX(Partidos!$E:$E,AE9)=INDEX(Partidos!$F:$F,AE9),"E","P")),IF(INDEX(Partidos!$F:$F,AE9)&gt;INDEX(Partidos!$E:$E,AE9),"V",IF(INDEX(Partidos!$F:$F,AE9)=INDEX(Partidos!$E:$E,AE9),"E","P"))))</f>
        <v/>
      </c>
      <c r="AK9" s="4" t="str">
        <f>IF(AF9="","",IF(INDEX(Partidos!$C:$C,AF9)=$N9,IF(INDEX(Partidos!$E:$E,AF9)&gt;INDEX(Partidos!$F:$F,AF9),"V",IF(INDEX(Partidos!$E:$E,AF9)=INDEX(Partidos!$F:$F,AF9),"E","P")),IF(INDEX(Partidos!$F:$F,AF9)&gt;INDEX(Partidos!$E:$E,AF9),"V",IF(INDEX(Partidos!$F:$F,AF9)=INDEX(Partidos!$E:$E,AF9),"E","P"))))</f>
        <v/>
      </c>
      <c r="AL9" s="4" t="str">
        <f>IF(AG9="","",IF(INDEX(Partidos!$C:$C,AG9)=$N9,IF(INDEX(Partidos!$E:$E,AG9)&gt;INDEX(Partidos!$F:$F,AG9),"V",IF(INDEX(Partidos!$E:$E,AG9)=INDEX(Partidos!$F:$F,AG9),"E","P")),IF(INDEX(Partidos!$F:$F,AG9)&gt;INDEX(Partidos!$E:$E,AG9),"V",IF(INDEX(Partidos!$F:$F,AG9)=INDEX(Partidos!$E:$E,AG9),"E","P"))))</f>
        <v/>
      </c>
      <c r="AM9" s="4" t="str">
        <f>IF(AH9="","",IF(INDEX(Partidos!$C:$C,AH9)=$N9,IF(INDEX(Partidos!$E:$E,AH9)&gt;INDEX(Partidos!$F:$F,AH9),"V",IF(INDEX(Partidos!$E:$E,AH9)=INDEX(Partidos!$F:$F,AH9),"E","P")),IF(INDEX(Partidos!$F:$F,AH9)&gt;INDEX(Partidos!$E:$E,AH9),"V",IF(INDEX(Partidos!$F:$F,AH9)=INDEX(Partidos!$E:$E,AH9),"E","P"))))</f>
        <v>V</v>
      </c>
      <c r="AN9" s="4" t="str">
        <f t="shared" si="20"/>
        <v>V</v>
      </c>
      <c r="AO9" s="4">
        <f t="shared" si="21"/>
        <v>1</v>
      </c>
      <c r="AP9" s="4">
        <f>IF(AO9=1,SUMPRODUCT(($AO$2:AO9=1)*1),"")</f>
        <v>3</v>
      </c>
      <c r="AQ9" s="4" t="str">
        <f t="shared" si="22"/>
        <v>GF|3</v>
      </c>
      <c r="AR9" s="4">
        <f t="shared" si="23"/>
        <v>9</v>
      </c>
      <c r="AS9" s="4" t="str">
        <f>IF(AR9=1,SUMPRODUCT(($AR$2:AR9=1)*1),"")</f>
        <v/>
      </c>
      <c r="AT9" s="4" t="str">
        <f t="shared" si="24"/>
        <v/>
      </c>
    </row>
    <row r="10" spans="1:46" ht="15" customHeight="1" x14ac:dyDescent="0.25">
      <c r="A10" s="8">
        <f>IF(COUNT($X$2:$X$61)&gt;=9,9,"")</f>
        <v>9</v>
      </c>
      <c r="B10" s="8" t="str">
        <f t="shared" si="0"/>
        <v>Puebla</v>
      </c>
      <c r="C10" s="8">
        <f t="shared" si="1"/>
        <v>1</v>
      </c>
      <c r="D10" s="8">
        <f t="shared" si="2"/>
        <v>1</v>
      </c>
      <c r="E10" s="8">
        <f t="shared" si="3"/>
        <v>0</v>
      </c>
      <c r="F10" s="8">
        <f t="shared" si="4"/>
        <v>0</v>
      </c>
      <c r="G10" s="8">
        <f t="shared" si="5"/>
        <v>1</v>
      </c>
      <c r="H10" s="8">
        <f t="shared" si="6"/>
        <v>0</v>
      </c>
      <c r="I10" s="8">
        <f t="shared" si="7"/>
        <v>1</v>
      </c>
      <c r="J10" s="8">
        <f t="shared" si="8"/>
        <v>3</v>
      </c>
      <c r="K10" s="8" t="str">
        <f t="shared" si="9"/>
        <v>V</v>
      </c>
      <c r="M10" s="6"/>
      <c r="N10" s="4" t="str">
        <f>IFERROR(INDEX(Partidos!$C$2:$C$1401,MATCH("TEAM|9",Partidos!$AE$2:$AE$1401,0)),IFERROR(INDEX(Partidos!$D$2:$D$1401,MATCH("TEAM|9",Partidos!$AF$2:$AF$1401,0)),""))</f>
        <v>Juárez</v>
      </c>
      <c r="O10" s="4">
        <f>IF(N10="","",COUNTIF(Partidos!$C$2:$C$1401,N10)+COUNTIF(Partidos!$D$2:$D$1401,N10))</f>
        <v>1</v>
      </c>
      <c r="P10" s="4">
        <f>IF(N10="","",SUMPRODUCT((Partidos!$C$2:$C$1401=N10)*(Partidos!$E$2:$E$1401&gt;Partidos!$F$2:$F$1401))+SUMPRODUCT((Partidos!$D$2:$D$1401=N10)*(Partidos!$F$2:$F$1401&gt;Partidos!$E$2:$E$1401)))</f>
        <v>0</v>
      </c>
      <c r="Q10" s="4">
        <f>IF(N10="","",SUMPRODUCT((((Partidos!$C$2:$C$1401=N10)+(Partidos!$D$2:$D$1401=N10)))*(Partidos!$E$2:$E$1401=Partidos!$F$2:$F$1401)*(Partidos!$C$2:$C$1401&lt;&gt;"")))</f>
        <v>0</v>
      </c>
      <c r="R10" s="4">
        <f t="shared" si="10"/>
        <v>1</v>
      </c>
      <c r="S10" s="4">
        <f>IF(N10="","",SUMIF(Partidos!$C$2:$C$1401,N10,Partidos!$E$2:$E$1401)+SUMIF(Partidos!$D$2:$D$1401,N10,Partidos!$F$2:$F$1401))</f>
        <v>0</v>
      </c>
      <c r="T10" s="4">
        <f>IF(N10="","",SUMIF(Partidos!$C$2:$C$1401,N10,Partidos!$F$2:$F$1401)+SUMIF(Partidos!$D$2:$D$1401,N10,Partidos!$E$2:$E$1401))</f>
        <v>1</v>
      </c>
      <c r="U10" s="4">
        <f t="shared" si="11"/>
        <v>-1</v>
      </c>
      <c r="V10" s="4">
        <f t="shared" si="12"/>
        <v>0</v>
      </c>
      <c r="W10" s="4">
        <f t="shared" si="13"/>
        <v>-999.999999</v>
      </c>
      <c r="X10" s="4">
        <f t="shared" si="14"/>
        <v>15</v>
      </c>
      <c r="Y10" s="4">
        <f t="shared" si="15"/>
        <v>-3</v>
      </c>
      <c r="Z10" s="4">
        <f t="shared" si="16"/>
        <v>-2</v>
      </c>
      <c r="AA10" s="4">
        <f t="shared" si="17"/>
        <v>-1</v>
      </c>
      <c r="AB10" s="4">
        <f t="shared" si="18"/>
        <v>0</v>
      </c>
      <c r="AC10" s="4">
        <f t="shared" si="19"/>
        <v>1</v>
      </c>
      <c r="AD10" s="4" t="str">
        <f>IF(OR(N10="",Y10=""),"",IF(Y10&lt;1,"",IFERROR(MATCH($N10&amp;"|"&amp;Y10,Partidos!$Y:$Y,0),IFERROR(MATCH($N10&amp;"|"&amp;Y10,Partidos!$Z:$Z,0),""))))</f>
        <v/>
      </c>
      <c r="AE10" s="4" t="str">
        <f>IF(OR(N10="",Z10=""),"",IF(Z10&lt;1,"",IFERROR(MATCH($N10&amp;"|"&amp;Z10,Partidos!$Y:$Y,0),IFERROR(MATCH($N10&amp;"|"&amp;Z10,Partidos!$Z:$Z,0),""))))</f>
        <v/>
      </c>
      <c r="AF10" s="4" t="str">
        <f>IF(OR(N10="",AA10=""),"",IF(AA10&lt;1,"",IFERROR(MATCH($N10&amp;"|"&amp;AA10,Partidos!$Y:$Y,0),IFERROR(MATCH($N10&amp;"|"&amp;AA10,Partidos!$Z:$Z,0),""))))</f>
        <v/>
      </c>
      <c r="AG10" s="4" t="str">
        <f>IF(OR(N10="",AB10=""),"",IF(AB10&lt;1,"",IFERROR(MATCH($N10&amp;"|"&amp;AB10,Partidos!$Y:$Y,0),IFERROR(MATCH($N10&amp;"|"&amp;AB10,Partidos!$Z:$Z,0),""))))</f>
        <v/>
      </c>
      <c r="AH10" s="4">
        <f>IF(OR(N10="",AC10=""),"",IF(AC10&lt;1,"",IFERROR(MATCH($N10&amp;"|"&amp;AC10,Partidos!$Y:$Y,0),IFERROR(MATCH($N10&amp;"|"&amp;AC10,Partidos!$Z:$Z,0),""))))</f>
        <v>6</v>
      </c>
      <c r="AI10" s="4" t="str">
        <f>IF(AD10="","",IF(INDEX(Partidos!$C:$C,AD10)=$N10,IF(INDEX(Partidos!$E:$E,AD10)&gt;INDEX(Partidos!$F:$F,AD10),"V",IF(INDEX(Partidos!$E:$E,AD10)=INDEX(Partidos!$F:$F,AD10),"E","P")),IF(INDEX(Partidos!$F:$F,AD10)&gt;INDEX(Partidos!$E:$E,AD10),"V",IF(INDEX(Partidos!$F:$F,AD10)=INDEX(Partidos!$E:$E,AD10),"E","P"))))</f>
        <v/>
      </c>
      <c r="AJ10" s="4" t="str">
        <f>IF(AE10="","",IF(INDEX(Partidos!$C:$C,AE10)=$N10,IF(INDEX(Partidos!$E:$E,AE10)&gt;INDEX(Partidos!$F:$F,AE10),"V",IF(INDEX(Partidos!$E:$E,AE10)=INDEX(Partidos!$F:$F,AE10),"E","P")),IF(INDEX(Partidos!$F:$F,AE10)&gt;INDEX(Partidos!$E:$E,AE10),"V",IF(INDEX(Partidos!$F:$F,AE10)=INDEX(Partidos!$E:$E,AE10),"E","P"))))</f>
        <v/>
      </c>
      <c r="AK10" s="4" t="str">
        <f>IF(AF10="","",IF(INDEX(Partidos!$C:$C,AF10)=$N10,IF(INDEX(Partidos!$E:$E,AF10)&gt;INDEX(Partidos!$F:$F,AF10),"V",IF(INDEX(Partidos!$E:$E,AF10)=INDEX(Partidos!$F:$F,AF10),"E","P")),IF(INDEX(Partidos!$F:$F,AF10)&gt;INDEX(Partidos!$E:$E,AF10),"V",IF(INDEX(Partidos!$F:$F,AF10)=INDEX(Partidos!$E:$E,AF10),"E","P"))))</f>
        <v/>
      </c>
      <c r="AL10" s="4" t="str">
        <f>IF(AG10="","",IF(INDEX(Partidos!$C:$C,AG10)=$N10,IF(INDEX(Partidos!$E:$E,AG10)&gt;INDEX(Partidos!$F:$F,AG10),"V",IF(INDEX(Partidos!$E:$E,AG10)=INDEX(Partidos!$F:$F,AG10),"E","P")),IF(INDEX(Partidos!$F:$F,AG10)&gt;INDEX(Partidos!$E:$E,AG10),"V",IF(INDEX(Partidos!$F:$F,AG10)=INDEX(Partidos!$E:$E,AG10),"E","P"))))</f>
        <v/>
      </c>
      <c r="AM10" s="4" t="str">
        <f>IF(AH10="","",IF(INDEX(Partidos!$C:$C,AH10)=$N10,IF(INDEX(Partidos!$E:$E,AH10)&gt;INDEX(Partidos!$F:$F,AH10),"V",IF(INDEX(Partidos!$E:$E,AH10)=INDEX(Partidos!$F:$F,AH10),"E","P")),IF(INDEX(Partidos!$F:$F,AH10)&gt;INDEX(Partidos!$E:$E,AH10),"V",IF(INDEX(Partidos!$F:$F,AH10)=INDEX(Partidos!$E:$E,AH10),"E","P"))))</f>
        <v>P</v>
      </c>
      <c r="AN10" s="4" t="str">
        <f t="shared" si="20"/>
        <v>P</v>
      </c>
      <c r="AO10" s="4">
        <f t="shared" si="21"/>
        <v>15</v>
      </c>
      <c r="AP10" s="4" t="str">
        <f>IF(AO10=1,SUMPRODUCT(($AO$2:AO10=1)*1),"")</f>
        <v/>
      </c>
      <c r="AQ10" s="4" t="str">
        <f t="shared" si="22"/>
        <v/>
      </c>
      <c r="AR10" s="4">
        <f t="shared" si="23"/>
        <v>5</v>
      </c>
      <c r="AS10" s="4" t="str">
        <f>IF(AR10=1,SUMPRODUCT(($AR$2:AR10=1)*1),"")</f>
        <v/>
      </c>
      <c r="AT10" s="4" t="str">
        <f t="shared" si="24"/>
        <v/>
      </c>
    </row>
    <row r="11" spans="1:46" ht="15" customHeight="1" x14ac:dyDescent="0.25">
      <c r="A11" s="8">
        <f>IF(COUNT($X$2:$X$61)&gt;=10,10,"")</f>
        <v>10</v>
      </c>
      <c r="B11" s="8" t="str">
        <f t="shared" si="0"/>
        <v>Santos Laguna</v>
      </c>
      <c r="C11" s="8">
        <f t="shared" si="1"/>
        <v>1</v>
      </c>
      <c r="D11" s="8">
        <f t="shared" si="2"/>
        <v>0</v>
      </c>
      <c r="E11" s="8">
        <f t="shared" si="3"/>
        <v>0</v>
      </c>
      <c r="F11" s="8">
        <f t="shared" si="4"/>
        <v>1</v>
      </c>
      <c r="G11" s="8">
        <f t="shared" si="5"/>
        <v>2</v>
      </c>
      <c r="H11" s="8">
        <f t="shared" si="6"/>
        <v>3</v>
      </c>
      <c r="I11" s="8">
        <f t="shared" si="7"/>
        <v>-1</v>
      </c>
      <c r="J11" s="8">
        <f t="shared" si="8"/>
        <v>0</v>
      </c>
      <c r="K11" s="8" t="str">
        <f t="shared" si="9"/>
        <v>P</v>
      </c>
      <c r="M11" s="6"/>
      <c r="N11" s="4" t="str">
        <f>IFERROR(INDEX(Partidos!$C$2:$C$1401,MATCH("TEAM|10",Partidos!$AE$2:$AE$1401,0)),IFERROR(INDEX(Partidos!$D$2:$D$1401,MATCH("TEAM|10",Partidos!$AF$2:$AF$1401,0)),""))</f>
        <v>Puebla</v>
      </c>
      <c r="O11" s="4">
        <f>IF(N11="","",COUNTIF(Partidos!$C$2:$C$1401,N11)+COUNTIF(Partidos!$D$2:$D$1401,N11))</f>
        <v>1</v>
      </c>
      <c r="P11" s="4">
        <f>IF(N11="","",SUMPRODUCT((Partidos!$C$2:$C$1401=N11)*(Partidos!$E$2:$E$1401&gt;Partidos!$F$2:$F$1401))+SUMPRODUCT((Partidos!$D$2:$D$1401=N11)*(Partidos!$F$2:$F$1401&gt;Partidos!$E$2:$E$1401)))</f>
        <v>1</v>
      </c>
      <c r="Q11" s="4">
        <f>IF(N11="","",SUMPRODUCT((((Partidos!$C$2:$C$1401=N11)+(Partidos!$D$2:$D$1401=N11)))*(Partidos!$E$2:$E$1401=Partidos!$F$2:$F$1401)*(Partidos!$C$2:$C$1401&lt;&gt;"")))</f>
        <v>0</v>
      </c>
      <c r="R11" s="4">
        <f t="shared" si="10"/>
        <v>0</v>
      </c>
      <c r="S11" s="4">
        <f>IF(N11="","",SUMIF(Partidos!$C$2:$C$1401,N11,Partidos!$E$2:$E$1401)+SUMIF(Partidos!$D$2:$D$1401,N11,Partidos!$F$2:$F$1401))</f>
        <v>1</v>
      </c>
      <c r="T11" s="4">
        <f>IF(N11="","",SUMIF(Partidos!$C$2:$C$1401,N11,Partidos!$F$2:$F$1401)+SUMIF(Partidos!$D$2:$D$1401,N11,Partidos!$E$2:$E$1401))</f>
        <v>0</v>
      </c>
      <c r="U11" s="4">
        <f t="shared" si="11"/>
        <v>1</v>
      </c>
      <c r="V11" s="4">
        <f t="shared" si="12"/>
        <v>3</v>
      </c>
      <c r="W11" s="4">
        <f t="shared" si="13"/>
        <v>3001001.0000010999</v>
      </c>
      <c r="X11" s="4">
        <f t="shared" si="14"/>
        <v>9</v>
      </c>
      <c r="Y11" s="4">
        <f t="shared" si="15"/>
        <v>-3</v>
      </c>
      <c r="Z11" s="4">
        <f t="shared" si="16"/>
        <v>-2</v>
      </c>
      <c r="AA11" s="4">
        <f t="shared" si="17"/>
        <v>-1</v>
      </c>
      <c r="AB11" s="4">
        <f t="shared" si="18"/>
        <v>0</v>
      </c>
      <c r="AC11" s="4">
        <f t="shared" si="19"/>
        <v>1</v>
      </c>
      <c r="AD11" s="4" t="str">
        <f>IF(OR(N11="",Y11=""),"",IF(Y11&lt;1,"",IFERROR(MATCH($N11&amp;"|"&amp;Y11,Partidos!$Y:$Y,0),IFERROR(MATCH($N11&amp;"|"&amp;Y11,Partidos!$Z:$Z,0),""))))</f>
        <v/>
      </c>
      <c r="AE11" s="4" t="str">
        <f>IF(OR(N11="",Z11=""),"",IF(Z11&lt;1,"",IFERROR(MATCH($N11&amp;"|"&amp;Z11,Partidos!$Y:$Y,0),IFERROR(MATCH($N11&amp;"|"&amp;Z11,Partidos!$Z:$Z,0),""))))</f>
        <v/>
      </c>
      <c r="AF11" s="4" t="str">
        <f>IF(OR(N11="",AA11=""),"",IF(AA11&lt;1,"",IFERROR(MATCH($N11&amp;"|"&amp;AA11,Partidos!$Y:$Y,0),IFERROR(MATCH($N11&amp;"|"&amp;AA11,Partidos!$Z:$Z,0),""))))</f>
        <v/>
      </c>
      <c r="AG11" s="4" t="str">
        <f>IF(OR(N11="",AB11=""),"",IF(AB11&lt;1,"",IFERROR(MATCH($N11&amp;"|"&amp;AB11,Partidos!$Y:$Y,0),IFERROR(MATCH($N11&amp;"|"&amp;AB11,Partidos!$Z:$Z,0),""))))</f>
        <v/>
      </c>
      <c r="AH11" s="4">
        <f>IF(OR(N11="",AC11=""),"",IF(AC11&lt;1,"",IFERROR(MATCH($N11&amp;"|"&amp;AC11,Partidos!$Y:$Y,0),IFERROR(MATCH($N11&amp;"|"&amp;AC11,Partidos!$Z:$Z,0),""))))</f>
        <v>6</v>
      </c>
      <c r="AI11" s="4" t="str">
        <f>IF(AD11="","",IF(INDEX(Partidos!$C:$C,AD11)=$N11,IF(INDEX(Partidos!$E:$E,AD11)&gt;INDEX(Partidos!$F:$F,AD11),"V",IF(INDEX(Partidos!$E:$E,AD11)=INDEX(Partidos!$F:$F,AD11),"E","P")),IF(INDEX(Partidos!$F:$F,AD11)&gt;INDEX(Partidos!$E:$E,AD11),"V",IF(INDEX(Partidos!$F:$F,AD11)=INDEX(Partidos!$E:$E,AD11),"E","P"))))</f>
        <v/>
      </c>
      <c r="AJ11" s="4" t="str">
        <f>IF(AE11="","",IF(INDEX(Partidos!$C:$C,AE11)=$N11,IF(INDEX(Partidos!$E:$E,AE11)&gt;INDEX(Partidos!$F:$F,AE11),"V",IF(INDEX(Partidos!$E:$E,AE11)=INDEX(Partidos!$F:$F,AE11),"E","P")),IF(INDEX(Partidos!$F:$F,AE11)&gt;INDEX(Partidos!$E:$E,AE11),"V",IF(INDEX(Partidos!$F:$F,AE11)=INDEX(Partidos!$E:$E,AE11),"E","P"))))</f>
        <v/>
      </c>
      <c r="AK11" s="4" t="str">
        <f>IF(AF11="","",IF(INDEX(Partidos!$C:$C,AF11)=$N11,IF(INDEX(Partidos!$E:$E,AF11)&gt;INDEX(Partidos!$F:$F,AF11),"V",IF(INDEX(Partidos!$E:$E,AF11)=INDEX(Partidos!$F:$F,AF11),"E","P")),IF(INDEX(Partidos!$F:$F,AF11)&gt;INDEX(Partidos!$E:$E,AF11),"V",IF(INDEX(Partidos!$F:$F,AF11)=INDEX(Partidos!$E:$E,AF11),"E","P"))))</f>
        <v/>
      </c>
      <c r="AL11" s="4" t="str">
        <f>IF(AG11="","",IF(INDEX(Partidos!$C:$C,AG11)=$N11,IF(INDEX(Partidos!$E:$E,AG11)&gt;INDEX(Partidos!$F:$F,AG11),"V",IF(INDEX(Partidos!$E:$E,AG11)=INDEX(Partidos!$F:$F,AG11),"E","P")),IF(INDEX(Partidos!$F:$F,AG11)&gt;INDEX(Partidos!$E:$E,AG11),"V",IF(INDEX(Partidos!$F:$F,AG11)=INDEX(Partidos!$E:$E,AG11),"E","P"))))</f>
        <v/>
      </c>
      <c r="AM11" s="4" t="str">
        <f>IF(AH11="","",IF(INDEX(Partidos!$C:$C,AH11)=$N11,IF(INDEX(Partidos!$E:$E,AH11)&gt;INDEX(Partidos!$F:$F,AH11),"V",IF(INDEX(Partidos!$E:$E,AH11)=INDEX(Partidos!$F:$F,AH11),"E","P")),IF(INDEX(Partidos!$F:$F,AH11)&gt;INDEX(Partidos!$E:$E,AH11),"V",IF(INDEX(Partidos!$F:$F,AH11)=INDEX(Partidos!$E:$E,AH11),"E","P"))))</f>
        <v>V</v>
      </c>
      <c r="AN11" s="4" t="str">
        <f t="shared" si="20"/>
        <v>V</v>
      </c>
      <c r="AO11" s="4">
        <f t="shared" si="21"/>
        <v>11</v>
      </c>
      <c r="AP11" s="4" t="str">
        <f>IF(AO11=1,SUMPRODUCT(($AO$2:AO11=1)*1),"")</f>
        <v/>
      </c>
      <c r="AQ11" s="4" t="str">
        <f t="shared" si="22"/>
        <v/>
      </c>
      <c r="AR11" s="4">
        <f t="shared" si="23"/>
        <v>1</v>
      </c>
      <c r="AS11" s="4">
        <f>IF(AR11=1,SUMPRODUCT(($AR$2:AR11=1)*1),"")</f>
        <v>1</v>
      </c>
      <c r="AT11" s="4" t="str">
        <f t="shared" si="24"/>
        <v>GC|1</v>
      </c>
    </row>
    <row r="12" spans="1:46" ht="15" customHeight="1" x14ac:dyDescent="0.25">
      <c r="A12" s="8">
        <f>IF(COUNT($X$2:$X$61)&gt;=11,11,"")</f>
        <v>11</v>
      </c>
      <c r="B12" s="8" t="str">
        <f t="shared" si="0"/>
        <v>Atlético de San Luis</v>
      </c>
      <c r="C12" s="8">
        <f t="shared" si="1"/>
        <v>1</v>
      </c>
      <c r="D12" s="8">
        <f t="shared" si="2"/>
        <v>0</v>
      </c>
      <c r="E12" s="8">
        <f t="shared" si="3"/>
        <v>0</v>
      </c>
      <c r="F12" s="8">
        <f t="shared" si="4"/>
        <v>1</v>
      </c>
      <c r="G12" s="8">
        <f t="shared" si="5"/>
        <v>2</v>
      </c>
      <c r="H12" s="8">
        <f t="shared" si="6"/>
        <v>3</v>
      </c>
      <c r="I12" s="8">
        <f t="shared" si="7"/>
        <v>-1</v>
      </c>
      <c r="J12" s="8">
        <f t="shared" si="8"/>
        <v>0</v>
      </c>
      <c r="K12" s="8" t="str">
        <f t="shared" si="9"/>
        <v>P</v>
      </c>
      <c r="M12" s="6"/>
      <c r="N12" s="4" t="str">
        <f>IFERROR(INDEX(Partidos!$C$2:$C$1401,MATCH("TEAM|11",Partidos!$AE$2:$AE$1401,0)),IFERROR(INDEX(Partidos!$D$2:$D$1401,MATCH("TEAM|11",Partidos!$AF$2:$AF$1401,0)),""))</f>
        <v>Pumas UNAM</v>
      </c>
      <c r="O12" s="4">
        <f>IF(N12="","",COUNTIF(Partidos!$C$2:$C$1401,N12)+COUNTIF(Partidos!$D$2:$D$1401,N12))</f>
        <v>1</v>
      </c>
      <c r="P12" s="4">
        <f>IF(N12="","",SUMPRODUCT((Partidos!$C$2:$C$1401=N12)*(Partidos!$E$2:$E$1401&gt;Partidos!$F$2:$F$1401))+SUMPRODUCT((Partidos!$D$2:$D$1401=N12)*(Partidos!$F$2:$F$1401&gt;Partidos!$E$2:$E$1401)))</f>
        <v>0</v>
      </c>
      <c r="Q12" s="4">
        <f>IF(N12="","",SUMPRODUCT((((Partidos!$C$2:$C$1401=N12)+(Partidos!$D$2:$D$1401=N12)))*(Partidos!$E$2:$E$1401=Partidos!$F$2:$F$1401)*(Partidos!$C$2:$C$1401&lt;&gt;"")))</f>
        <v>0</v>
      </c>
      <c r="R12" s="4">
        <f t="shared" si="10"/>
        <v>1</v>
      </c>
      <c r="S12" s="4">
        <f>IF(N12="","",SUMIF(Partidos!$C$2:$C$1401,N12,Partidos!$E$2:$E$1401)+SUMIF(Partidos!$D$2:$D$1401,N12,Partidos!$F$2:$F$1401))</f>
        <v>0</v>
      </c>
      <c r="T12" s="4">
        <f>IF(N12="","",SUMIF(Partidos!$C$2:$C$1401,N12,Partidos!$F$2:$F$1401)+SUMIF(Partidos!$D$2:$D$1401,N12,Partidos!$E$2:$E$1401))</f>
        <v>3</v>
      </c>
      <c r="U12" s="4">
        <f t="shared" si="11"/>
        <v>-3</v>
      </c>
      <c r="V12" s="4">
        <f t="shared" si="12"/>
        <v>0</v>
      </c>
      <c r="W12" s="4">
        <f t="shared" si="13"/>
        <v>-2999.9999988</v>
      </c>
      <c r="X12" s="4">
        <f t="shared" si="14"/>
        <v>18</v>
      </c>
      <c r="Y12" s="4">
        <f t="shared" si="15"/>
        <v>-3</v>
      </c>
      <c r="Z12" s="4">
        <f t="shared" si="16"/>
        <v>-2</v>
      </c>
      <c r="AA12" s="4">
        <f t="shared" si="17"/>
        <v>-1</v>
      </c>
      <c r="AB12" s="4">
        <f t="shared" si="18"/>
        <v>0</v>
      </c>
      <c r="AC12" s="4">
        <f t="shared" si="19"/>
        <v>1</v>
      </c>
      <c r="AD12" s="4" t="str">
        <f>IF(OR(N12="",Y12=""),"",IF(Y12&lt;1,"",IFERROR(MATCH($N12&amp;"|"&amp;Y12,Partidos!$Y:$Y,0),IFERROR(MATCH($N12&amp;"|"&amp;Y12,Partidos!$Z:$Z,0),""))))</f>
        <v/>
      </c>
      <c r="AE12" s="4" t="str">
        <f>IF(OR(N12="",Z12=""),"",IF(Z12&lt;1,"",IFERROR(MATCH($N12&amp;"|"&amp;Z12,Partidos!$Y:$Y,0),IFERROR(MATCH($N12&amp;"|"&amp;Z12,Partidos!$Z:$Z,0),""))))</f>
        <v/>
      </c>
      <c r="AF12" s="4" t="str">
        <f>IF(OR(N12="",AA12=""),"",IF(AA12&lt;1,"",IFERROR(MATCH($N12&amp;"|"&amp;AA12,Partidos!$Y:$Y,0),IFERROR(MATCH($N12&amp;"|"&amp;AA12,Partidos!$Z:$Z,0),""))))</f>
        <v/>
      </c>
      <c r="AG12" s="4" t="str">
        <f>IF(OR(N12="",AB12=""),"",IF(AB12&lt;1,"",IFERROR(MATCH($N12&amp;"|"&amp;AB12,Partidos!$Y:$Y,0),IFERROR(MATCH($N12&amp;"|"&amp;AB12,Partidos!$Z:$Z,0),""))))</f>
        <v/>
      </c>
      <c r="AH12" s="4">
        <f>IF(OR(N12="",AC12=""),"",IF(AC12&lt;1,"",IFERROR(MATCH($N12&amp;"|"&amp;AC12,Partidos!$Y:$Y,0),IFERROR(MATCH($N12&amp;"|"&amp;AC12,Partidos!$Z:$Z,0),""))))</f>
        <v>7</v>
      </c>
      <c r="AI12" s="4" t="str">
        <f>IF(AD12="","",IF(INDEX(Partidos!$C:$C,AD12)=$N12,IF(INDEX(Partidos!$E:$E,AD12)&gt;INDEX(Partidos!$F:$F,AD12),"V",IF(INDEX(Partidos!$E:$E,AD12)=INDEX(Partidos!$F:$F,AD12),"E","P")),IF(INDEX(Partidos!$F:$F,AD12)&gt;INDEX(Partidos!$E:$E,AD12),"V",IF(INDEX(Partidos!$F:$F,AD12)=INDEX(Partidos!$E:$E,AD12),"E","P"))))</f>
        <v/>
      </c>
      <c r="AJ12" s="4" t="str">
        <f>IF(AE12="","",IF(INDEX(Partidos!$C:$C,AE12)=$N12,IF(INDEX(Partidos!$E:$E,AE12)&gt;INDEX(Partidos!$F:$F,AE12),"V",IF(INDEX(Partidos!$E:$E,AE12)=INDEX(Partidos!$F:$F,AE12),"E","P")),IF(INDEX(Partidos!$F:$F,AE12)&gt;INDEX(Partidos!$E:$E,AE12),"V",IF(INDEX(Partidos!$F:$F,AE12)=INDEX(Partidos!$E:$E,AE12),"E","P"))))</f>
        <v/>
      </c>
      <c r="AK12" s="4" t="str">
        <f>IF(AF12="","",IF(INDEX(Partidos!$C:$C,AF12)=$N12,IF(INDEX(Partidos!$E:$E,AF12)&gt;INDEX(Partidos!$F:$F,AF12),"V",IF(INDEX(Partidos!$E:$E,AF12)=INDEX(Partidos!$F:$F,AF12),"E","P")),IF(INDEX(Partidos!$F:$F,AF12)&gt;INDEX(Partidos!$E:$E,AF12),"V",IF(INDEX(Partidos!$F:$F,AF12)=INDEX(Partidos!$E:$E,AF12),"E","P"))))</f>
        <v/>
      </c>
      <c r="AL12" s="4" t="str">
        <f>IF(AG12="","",IF(INDEX(Partidos!$C:$C,AG12)=$N12,IF(INDEX(Partidos!$E:$E,AG12)&gt;INDEX(Partidos!$F:$F,AG12),"V",IF(INDEX(Partidos!$E:$E,AG12)=INDEX(Partidos!$F:$F,AG12),"E","P")),IF(INDEX(Partidos!$F:$F,AG12)&gt;INDEX(Partidos!$E:$E,AG12),"V",IF(INDEX(Partidos!$F:$F,AG12)=INDEX(Partidos!$E:$E,AG12),"E","P"))))</f>
        <v/>
      </c>
      <c r="AM12" s="4" t="str">
        <f>IF(AH12="","",IF(INDEX(Partidos!$C:$C,AH12)=$N12,IF(INDEX(Partidos!$E:$E,AH12)&gt;INDEX(Partidos!$F:$F,AH12),"V",IF(INDEX(Partidos!$E:$E,AH12)=INDEX(Partidos!$F:$F,AH12),"E","P")),IF(INDEX(Partidos!$F:$F,AH12)&gt;INDEX(Partidos!$E:$E,AH12),"V",IF(INDEX(Partidos!$F:$F,AH12)=INDEX(Partidos!$E:$E,AH12),"E","P"))))</f>
        <v>P</v>
      </c>
      <c r="AN12" s="4" t="str">
        <f t="shared" si="20"/>
        <v>P</v>
      </c>
      <c r="AO12" s="4">
        <f t="shared" si="21"/>
        <v>15</v>
      </c>
      <c r="AP12" s="4" t="str">
        <f>IF(AO12=1,SUMPRODUCT(($AO$2:AO12=1)*1),"")</f>
        <v/>
      </c>
      <c r="AQ12" s="4" t="str">
        <f t="shared" si="22"/>
        <v/>
      </c>
      <c r="AR12" s="4">
        <f t="shared" si="23"/>
        <v>14</v>
      </c>
      <c r="AS12" s="4" t="str">
        <f>IF(AR12=1,SUMPRODUCT(($AR$2:AR12=1)*1),"")</f>
        <v/>
      </c>
      <c r="AT12" s="4" t="str">
        <f t="shared" si="24"/>
        <v/>
      </c>
    </row>
    <row r="13" spans="1:46" ht="15" customHeight="1" x14ac:dyDescent="0.25">
      <c r="A13" s="8">
        <f>IF(COUNT($X$2:$X$61)&gt;=12,12,"")</f>
        <v>12</v>
      </c>
      <c r="B13" s="8" t="str">
        <f t="shared" si="0"/>
        <v>León</v>
      </c>
      <c r="C13" s="8">
        <f t="shared" si="1"/>
        <v>1</v>
      </c>
      <c r="D13" s="8">
        <f t="shared" si="2"/>
        <v>0</v>
      </c>
      <c r="E13" s="8">
        <f t="shared" si="3"/>
        <v>0</v>
      </c>
      <c r="F13" s="8">
        <f t="shared" si="4"/>
        <v>1</v>
      </c>
      <c r="G13" s="8">
        <f t="shared" si="5"/>
        <v>2</v>
      </c>
      <c r="H13" s="8">
        <f t="shared" si="6"/>
        <v>3</v>
      </c>
      <c r="I13" s="8">
        <f t="shared" si="7"/>
        <v>-1</v>
      </c>
      <c r="J13" s="8">
        <f t="shared" si="8"/>
        <v>0</v>
      </c>
      <c r="K13" s="8" t="str">
        <f t="shared" si="9"/>
        <v>P</v>
      </c>
      <c r="M13" s="6"/>
      <c r="N13" s="4" t="str">
        <f>IFERROR(INDEX(Partidos!$C$2:$C$1401,MATCH("TEAM|12",Partidos!$AE$2:$AE$1401,0)),IFERROR(INDEX(Partidos!$D$2:$D$1401,MATCH("TEAM|12",Partidos!$AF$2:$AF$1401,0)),""))</f>
        <v>Pachuca</v>
      </c>
      <c r="O13" s="4">
        <f>IF(N13="","",COUNTIF(Partidos!$C$2:$C$1401,N13)+COUNTIF(Partidos!$D$2:$D$1401,N13))</f>
        <v>1</v>
      </c>
      <c r="P13" s="4">
        <f>IF(N13="","",SUMPRODUCT((Partidos!$C$2:$C$1401=N13)*(Partidos!$E$2:$E$1401&gt;Partidos!$F$2:$F$1401))+SUMPRODUCT((Partidos!$D$2:$D$1401=N13)*(Partidos!$F$2:$F$1401&gt;Partidos!$E$2:$E$1401)))</f>
        <v>1</v>
      </c>
      <c r="Q13" s="4">
        <f>IF(N13="","",SUMPRODUCT((((Partidos!$C$2:$C$1401=N13)+(Partidos!$D$2:$D$1401=N13)))*(Partidos!$E$2:$E$1401=Partidos!$F$2:$F$1401)*(Partidos!$C$2:$C$1401&lt;&gt;"")))</f>
        <v>0</v>
      </c>
      <c r="R13" s="4">
        <f t="shared" si="10"/>
        <v>0</v>
      </c>
      <c r="S13" s="4">
        <f>IF(N13="","",SUMIF(Partidos!$C$2:$C$1401,N13,Partidos!$E$2:$E$1401)+SUMIF(Partidos!$D$2:$D$1401,N13,Partidos!$F$2:$F$1401))</f>
        <v>3</v>
      </c>
      <c r="T13" s="4">
        <f>IF(N13="","",SUMIF(Partidos!$C$2:$C$1401,N13,Partidos!$F$2:$F$1401)+SUMIF(Partidos!$D$2:$D$1401,N13,Partidos!$E$2:$E$1401))</f>
        <v>0</v>
      </c>
      <c r="U13" s="4">
        <f t="shared" si="11"/>
        <v>3</v>
      </c>
      <c r="V13" s="4">
        <f t="shared" si="12"/>
        <v>3</v>
      </c>
      <c r="W13" s="4">
        <f t="shared" si="13"/>
        <v>3003003.0000013001</v>
      </c>
      <c r="X13" s="4">
        <f t="shared" si="14"/>
        <v>1</v>
      </c>
      <c r="Y13" s="4">
        <f t="shared" si="15"/>
        <v>-3</v>
      </c>
      <c r="Z13" s="4">
        <f t="shared" si="16"/>
        <v>-2</v>
      </c>
      <c r="AA13" s="4">
        <f t="shared" si="17"/>
        <v>-1</v>
      </c>
      <c r="AB13" s="4">
        <f t="shared" si="18"/>
        <v>0</v>
      </c>
      <c r="AC13" s="4">
        <f t="shared" si="19"/>
        <v>1</v>
      </c>
      <c r="AD13" s="4" t="str">
        <f>IF(OR(N13="",Y13=""),"",IF(Y13&lt;1,"",IFERROR(MATCH($N13&amp;"|"&amp;Y13,Partidos!$Y:$Y,0),IFERROR(MATCH($N13&amp;"|"&amp;Y13,Partidos!$Z:$Z,0),""))))</f>
        <v/>
      </c>
      <c r="AE13" s="4" t="str">
        <f>IF(OR(N13="",Z13=""),"",IF(Z13&lt;1,"",IFERROR(MATCH($N13&amp;"|"&amp;Z13,Partidos!$Y:$Y,0),IFERROR(MATCH($N13&amp;"|"&amp;Z13,Partidos!$Z:$Z,0),""))))</f>
        <v/>
      </c>
      <c r="AF13" s="4" t="str">
        <f>IF(OR(N13="",AA13=""),"",IF(AA13&lt;1,"",IFERROR(MATCH($N13&amp;"|"&amp;AA13,Partidos!$Y:$Y,0),IFERROR(MATCH($N13&amp;"|"&amp;AA13,Partidos!$Z:$Z,0),""))))</f>
        <v/>
      </c>
      <c r="AG13" s="4" t="str">
        <f>IF(OR(N13="",AB13=""),"",IF(AB13&lt;1,"",IFERROR(MATCH($N13&amp;"|"&amp;AB13,Partidos!$Y:$Y,0),IFERROR(MATCH($N13&amp;"|"&amp;AB13,Partidos!$Z:$Z,0),""))))</f>
        <v/>
      </c>
      <c r="AH13" s="4">
        <f>IF(OR(N13="",AC13=""),"",IF(AC13&lt;1,"",IFERROR(MATCH($N13&amp;"|"&amp;AC13,Partidos!$Y:$Y,0),IFERROR(MATCH($N13&amp;"|"&amp;AC13,Partidos!$Z:$Z,0),""))))</f>
        <v>7</v>
      </c>
      <c r="AI13" s="4" t="str">
        <f>IF(AD13="","",IF(INDEX(Partidos!$C:$C,AD13)=$N13,IF(INDEX(Partidos!$E:$E,AD13)&gt;INDEX(Partidos!$F:$F,AD13),"V",IF(INDEX(Partidos!$E:$E,AD13)=INDEX(Partidos!$F:$F,AD13),"E","P")),IF(INDEX(Partidos!$F:$F,AD13)&gt;INDEX(Partidos!$E:$E,AD13),"V",IF(INDEX(Partidos!$F:$F,AD13)=INDEX(Partidos!$E:$E,AD13),"E","P"))))</f>
        <v/>
      </c>
      <c r="AJ13" s="4" t="str">
        <f>IF(AE13="","",IF(INDEX(Partidos!$C:$C,AE13)=$N13,IF(INDEX(Partidos!$E:$E,AE13)&gt;INDEX(Partidos!$F:$F,AE13),"V",IF(INDEX(Partidos!$E:$E,AE13)=INDEX(Partidos!$F:$F,AE13),"E","P")),IF(INDEX(Partidos!$F:$F,AE13)&gt;INDEX(Partidos!$E:$E,AE13),"V",IF(INDEX(Partidos!$F:$F,AE13)=INDEX(Partidos!$E:$E,AE13),"E","P"))))</f>
        <v/>
      </c>
      <c r="AK13" s="4" t="str">
        <f>IF(AF13="","",IF(INDEX(Partidos!$C:$C,AF13)=$N13,IF(INDEX(Partidos!$E:$E,AF13)&gt;INDEX(Partidos!$F:$F,AF13),"V",IF(INDEX(Partidos!$E:$E,AF13)=INDEX(Partidos!$F:$F,AF13),"E","P")),IF(INDEX(Partidos!$F:$F,AF13)&gt;INDEX(Partidos!$E:$E,AF13),"V",IF(INDEX(Partidos!$F:$F,AF13)=INDEX(Partidos!$E:$E,AF13),"E","P"))))</f>
        <v/>
      </c>
      <c r="AL13" s="4" t="str">
        <f>IF(AG13="","",IF(INDEX(Partidos!$C:$C,AG13)=$N13,IF(INDEX(Partidos!$E:$E,AG13)&gt;INDEX(Partidos!$F:$F,AG13),"V",IF(INDEX(Partidos!$E:$E,AG13)=INDEX(Partidos!$F:$F,AG13),"E","P")),IF(INDEX(Partidos!$F:$F,AG13)&gt;INDEX(Partidos!$E:$E,AG13),"V",IF(INDEX(Partidos!$F:$F,AG13)=INDEX(Partidos!$E:$E,AG13),"E","P"))))</f>
        <v/>
      </c>
      <c r="AM13" s="4" t="str">
        <f>IF(AH13="","",IF(INDEX(Partidos!$C:$C,AH13)=$N13,IF(INDEX(Partidos!$E:$E,AH13)&gt;INDEX(Partidos!$F:$F,AH13),"V",IF(INDEX(Partidos!$E:$E,AH13)=INDEX(Partidos!$F:$F,AH13),"E","P")),IF(INDEX(Partidos!$F:$F,AH13)&gt;INDEX(Partidos!$E:$E,AH13),"V",IF(INDEX(Partidos!$F:$F,AH13)=INDEX(Partidos!$E:$E,AH13),"E","P"))))</f>
        <v>V</v>
      </c>
      <c r="AN13" s="4" t="str">
        <f t="shared" si="20"/>
        <v>V</v>
      </c>
      <c r="AO13" s="4">
        <f t="shared" si="21"/>
        <v>1</v>
      </c>
      <c r="AP13" s="4">
        <f>IF(AO13=1,SUMPRODUCT(($AO$2:AO13=1)*1),"")</f>
        <v>4</v>
      </c>
      <c r="AQ13" s="4" t="str">
        <f t="shared" si="22"/>
        <v>GF|4</v>
      </c>
      <c r="AR13" s="4">
        <f t="shared" si="23"/>
        <v>1</v>
      </c>
      <c r="AS13" s="4">
        <f>IF(AR13=1,SUMPRODUCT(($AR$2:AR13=1)*1),"")</f>
        <v>2</v>
      </c>
      <c r="AT13" s="4" t="str">
        <f t="shared" si="24"/>
        <v>GC|2</v>
      </c>
    </row>
    <row r="14" spans="1:46" ht="15" customHeight="1" x14ac:dyDescent="0.25">
      <c r="A14" s="8">
        <f>IF(COUNT($X$2:$X$61)&gt;=13,13,"")</f>
        <v>13</v>
      </c>
      <c r="B14" s="8" t="str">
        <f t="shared" si="0"/>
        <v>Atlante</v>
      </c>
      <c r="C14" s="8">
        <f t="shared" si="1"/>
        <v>1</v>
      </c>
      <c r="D14" s="8">
        <f t="shared" si="2"/>
        <v>0</v>
      </c>
      <c r="E14" s="8">
        <f t="shared" si="3"/>
        <v>0</v>
      </c>
      <c r="F14" s="8">
        <f t="shared" si="4"/>
        <v>1</v>
      </c>
      <c r="G14" s="8">
        <f t="shared" si="5"/>
        <v>1</v>
      </c>
      <c r="H14" s="8">
        <f t="shared" si="6"/>
        <v>2</v>
      </c>
      <c r="I14" s="8">
        <f t="shared" si="7"/>
        <v>-1</v>
      </c>
      <c r="J14" s="8">
        <f t="shared" si="8"/>
        <v>0</v>
      </c>
      <c r="K14" s="8" t="str">
        <f t="shared" si="9"/>
        <v>P</v>
      </c>
      <c r="M14" s="6"/>
      <c r="N14" s="4" t="str">
        <f>IFERROR(INDEX(Partidos!$C$2:$C$1401,MATCH("TEAM|13",Partidos!$AE$2:$AE$1401,0)),IFERROR(INDEX(Partidos!$D$2:$D$1401,MATCH("TEAM|13",Partidos!$AF$2:$AF$1401,0)),""))</f>
        <v>Monterrey</v>
      </c>
      <c r="O14" s="4">
        <f>IF(N14="","",COUNTIF(Partidos!$C$2:$C$1401,N14)+COUNTIF(Partidos!$D$2:$D$1401,N14))</f>
        <v>1</v>
      </c>
      <c r="P14" s="4">
        <f>IF(N14="","",SUMPRODUCT((Partidos!$C$2:$C$1401=N14)*(Partidos!$E$2:$E$1401&gt;Partidos!$F$2:$F$1401))+SUMPRODUCT((Partidos!$D$2:$D$1401=N14)*(Partidos!$F$2:$F$1401&gt;Partidos!$E$2:$E$1401)))</f>
        <v>1</v>
      </c>
      <c r="Q14" s="4">
        <f>IF(N14="","",SUMPRODUCT((((Partidos!$C$2:$C$1401=N14)+(Partidos!$D$2:$D$1401=N14)))*(Partidos!$E$2:$E$1401=Partidos!$F$2:$F$1401)*(Partidos!$C$2:$C$1401&lt;&gt;"")))</f>
        <v>0</v>
      </c>
      <c r="R14" s="4">
        <f t="shared" si="10"/>
        <v>0</v>
      </c>
      <c r="S14" s="4">
        <f>IF(N14="","",SUMIF(Partidos!$C$2:$C$1401,N14,Partidos!$E$2:$E$1401)+SUMIF(Partidos!$D$2:$D$1401,N14,Partidos!$F$2:$F$1401))</f>
        <v>3</v>
      </c>
      <c r="T14" s="4">
        <f>IF(N14="","",SUMIF(Partidos!$C$2:$C$1401,N14,Partidos!$F$2:$F$1401)+SUMIF(Partidos!$D$2:$D$1401,N14,Partidos!$E$2:$E$1401))</f>
        <v>2</v>
      </c>
      <c r="U14" s="4">
        <f t="shared" si="11"/>
        <v>1</v>
      </c>
      <c r="V14" s="4">
        <f t="shared" si="12"/>
        <v>3</v>
      </c>
      <c r="W14" s="4">
        <f t="shared" si="13"/>
        <v>3001003.0000013998</v>
      </c>
      <c r="X14" s="4">
        <f t="shared" si="14"/>
        <v>4</v>
      </c>
      <c r="Y14" s="4">
        <f t="shared" si="15"/>
        <v>-3</v>
      </c>
      <c r="Z14" s="4">
        <f t="shared" si="16"/>
        <v>-2</v>
      </c>
      <c r="AA14" s="4">
        <f t="shared" si="17"/>
        <v>-1</v>
      </c>
      <c r="AB14" s="4">
        <f t="shared" si="18"/>
        <v>0</v>
      </c>
      <c r="AC14" s="4">
        <f t="shared" si="19"/>
        <v>1</v>
      </c>
      <c r="AD14" s="4" t="str">
        <f>IF(OR(N14="",Y14=""),"",IF(Y14&lt;1,"",IFERROR(MATCH($N14&amp;"|"&amp;Y14,Partidos!$Y:$Y,0),IFERROR(MATCH($N14&amp;"|"&amp;Y14,Partidos!$Z:$Z,0),""))))</f>
        <v/>
      </c>
      <c r="AE14" s="4" t="str">
        <f>IF(OR(N14="",Z14=""),"",IF(Z14&lt;1,"",IFERROR(MATCH($N14&amp;"|"&amp;Z14,Partidos!$Y:$Y,0),IFERROR(MATCH($N14&amp;"|"&amp;Z14,Partidos!$Z:$Z,0),""))))</f>
        <v/>
      </c>
      <c r="AF14" s="4" t="str">
        <f>IF(OR(N14="",AA14=""),"",IF(AA14&lt;1,"",IFERROR(MATCH($N14&amp;"|"&amp;AA14,Partidos!$Y:$Y,0),IFERROR(MATCH($N14&amp;"|"&amp;AA14,Partidos!$Z:$Z,0),""))))</f>
        <v/>
      </c>
      <c r="AG14" s="4" t="str">
        <f>IF(OR(N14="",AB14=""),"",IF(AB14&lt;1,"",IFERROR(MATCH($N14&amp;"|"&amp;AB14,Partidos!$Y:$Y,0),IFERROR(MATCH($N14&amp;"|"&amp;AB14,Partidos!$Z:$Z,0),""))))</f>
        <v/>
      </c>
      <c r="AH14" s="4">
        <f>IF(OR(N14="",AC14=""),"",IF(AC14&lt;1,"",IFERROR(MATCH($N14&amp;"|"&amp;AC14,Partidos!$Y:$Y,0),IFERROR(MATCH($N14&amp;"|"&amp;AC14,Partidos!$Z:$Z,0),""))))</f>
        <v>8</v>
      </c>
      <c r="AI14" s="4" t="str">
        <f>IF(AD14="","",IF(INDEX(Partidos!$C:$C,AD14)=$N14,IF(INDEX(Partidos!$E:$E,AD14)&gt;INDEX(Partidos!$F:$F,AD14),"V",IF(INDEX(Partidos!$E:$E,AD14)=INDEX(Partidos!$F:$F,AD14),"E","P")),IF(INDEX(Partidos!$F:$F,AD14)&gt;INDEX(Partidos!$E:$E,AD14),"V",IF(INDEX(Partidos!$F:$F,AD14)=INDEX(Partidos!$E:$E,AD14),"E","P"))))</f>
        <v/>
      </c>
      <c r="AJ14" s="4" t="str">
        <f>IF(AE14="","",IF(INDEX(Partidos!$C:$C,AE14)=$N14,IF(INDEX(Partidos!$E:$E,AE14)&gt;INDEX(Partidos!$F:$F,AE14),"V",IF(INDEX(Partidos!$E:$E,AE14)=INDEX(Partidos!$F:$F,AE14),"E","P")),IF(INDEX(Partidos!$F:$F,AE14)&gt;INDEX(Partidos!$E:$E,AE14),"V",IF(INDEX(Partidos!$F:$F,AE14)=INDEX(Partidos!$E:$E,AE14),"E","P"))))</f>
        <v/>
      </c>
      <c r="AK14" s="4" t="str">
        <f>IF(AF14="","",IF(INDEX(Partidos!$C:$C,AF14)=$N14,IF(INDEX(Partidos!$E:$E,AF14)&gt;INDEX(Partidos!$F:$F,AF14),"V",IF(INDEX(Partidos!$E:$E,AF14)=INDEX(Partidos!$F:$F,AF14),"E","P")),IF(INDEX(Partidos!$F:$F,AF14)&gt;INDEX(Partidos!$E:$E,AF14),"V",IF(INDEX(Partidos!$F:$F,AF14)=INDEX(Partidos!$E:$E,AF14),"E","P"))))</f>
        <v/>
      </c>
      <c r="AL14" s="4" t="str">
        <f>IF(AG14="","",IF(INDEX(Partidos!$C:$C,AG14)=$N14,IF(INDEX(Partidos!$E:$E,AG14)&gt;INDEX(Partidos!$F:$F,AG14),"V",IF(INDEX(Partidos!$E:$E,AG14)=INDEX(Partidos!$F:$F,AG14),"E","P")),IF(INDEX(Partidos!$F:$F,AG14)&gt;INDEX(Partidos!$E:$E,AG14),"V",IF(INDEX(Partidos!$F:$F,AG14)=INDEX(Partidos!$E:$E,AG14),"E","P"))))</f>
        <v/>
      </c>
      <c r="AM14" s="4" t="str">
        <f>IF(AH14="","",IF(INDEX(Partidos!$C:$C,AH14)=$N14,IF(INDEX(Partidos!$E:$E,AH14)&gt;INDEX(Partidos!$F:$F,AH14),"V",IF(INDEX(Partidos!$E:$E,AH14)=INDEX(Partidos!$F:$F,AH14),"E","P")),IF(INDEX(Partidos!$F:$F,AH14)&gt;INDEX(Partidos!$E:$E,AH14),"V",IF(INDEX(Partidos!$F:$F,AH14)=INDEX(Partidos!$E:$E,AH14),"E","P"))))</f>
        <v>V</v>
      </c>
      <c r="AN14" s="4" t="str">
        <f t="shared" si="20"/>
        <v>V</v>
      </c>
      <c r="AO14" s="4">
        <f t="shared" si="21"/>
        <v>1</v>
      </c>
      <c r="AP14" s="4">
        <f>IF(AO14=1,SUMPRODUCT(($AO$2:AO14=1)*1),"")</f>
        <v>5</v>
      </c>
      <c r="AQ14" s="4" t="str">
        <f t="shared" si="22"/>
        <v>GF|5</v>
      </c>
      <c r="AR14" s="4">
        <f t="shared" si="23"/>
        <v>9</v>
      </c>
      <c r="AS14" s="4" t="str">
        <f>IF(AR14=1,SUMPRODUCT(($AR$2:AR14=1)*1),"")</f>
        <v/>
      </c>
      <c r="AT14" s="4" t="str">
        <f t="shared" si="24"/>
        <v/>
      </c>
    </row>
    <row r="15" spans="1:46" ht="15" customHeight="1" x14ac:dyDescent="0.25">
      <c r="A15" s="8">
        <f>IF(COUNT($X$2:$X$61)&gt;=14,14,"")</f>
        <v>14</v>
      </c>
      <c r="B15" s="8" t="str">
        <f t="shared" si="0"/>
        <v>Querétaro</v>
      </c>
      <c r="C15" s="8">
        <f t="shared" si="1"/>
        <v>1</v>
      </c>
      <c r="D15" s="8">
        <f t="shared" si="2"/>
        <v>0</v>
      </c>
      <c r="E15" s="8">
        <f t="shared" si="3"/>
        <v>0</v>
      </c>
      <c r="F15" s="8">
        <f t="shared" si="4"/>
        <v>1</v>
      </c>
      <c r="G15" s="8">
        <f t="shared" si="5"/>
        <v>0</v>
      </c>
      <c r="H15" s="8">
        <f t="shared" si="6"/>
        <v>1</v>
      </c>
      <c r="I15" s="8">
        <f t="shared" si="7"/>
        <v>-1</v>
      </c>
      <c r="J15" s="8">
        <f t="shared" si="8"/>
        <v>0</v>
      </c>
      <c r="K15" s="8" t="str">
        <f t="shared" si="9"/>
        <v>P</v>
      </c>
      <c r="M15" s="6"/>
      <c r="N15" s="4" t="str">
        <f>IFERROR(INDEX(Partidos!$C$2:$C$1401,MATCH("TEAM|14",Partidos!$AE$2:$AE$1401,0)),IFERROR(INDEX(Partidos!$D$2:$D$1401,MATCH("TEAM|14",Partidos!$AF$2:$AF$1401,0)),""))</f>
        <v>Santos Laguna</v>
      </c>
      <c r="O15" s="4">
        <f>IF(N15="","",COUNTIF(Partidos!$C$2:$C$1401,N15)+COUNTIF(Partidos!$D$2:$D$1401,N15))</f>
        <v>1</v>
      </c>
      <c r="P15" s="4">
        <f>IF(N15="","",SUMPRODUCT((Partidos!$C$2:$C$1401=N15)*(Partidos!$E$2:$E$1401&gt;Partidos!$F$2:$F$1401))+SUMPRODUCT((Partidos!$D$2:$D$1401=N15)*(Partidos!$F$2:$F$1401&gt;Partidos!$E$2:$E$1401)))</f>
        <v>0</v>
      </c>
      <c r="Q15" s="4">
        <f>IF(N15="","",SUMPRODUCT((((Partidos!$C$2:$C$1401=N15)+(Partidos!$D$2:$D$1401=N15)))*(Partidos!$E$2:$E$1401=Partidos!$F$2:$F$1401)*(Partidos!$C$2:$C$1401&lt;&gt;"")))</f>
        <v>0</v>
      </c>
      <c r="R15" s="4">
        <f t="shared" si="10"/>
        <v>1</v>
      </c>
      <c r="S15" s="4">
        <f>IF(N15="","",SUMIF(Partidos!$C$2:$C$1401,N15,Partidos!$E$2:$E$1401)+SUMIF(Partidos!$D$2:$D$1401,N15,Partidos!$F$2:$F$1401))</f>
        <v>2</v>
      </c>
      <c r="T15" s="4">
        <f>IF(N15="","",SUMIF(Partidos!$C$2:$C$1401,N15,Partidos!$F$2:$F$1401)+SUMIF(Partidos!$D$2:$D$1401,N15,Partidos!$E$2:$E$1401))</f>
        <v>3</v>
      </c>
      <c r="U15" s="4">
        <f t="shared" si="11"/>
        <v>-1</v>
      </c>
      <c r="V15" s="4">
        <f t="shared" si="12"/>
        <v>0</v>
      </c>
      <c r="W15" s="4">
        <f t="shared" si="13"/>
        <v>-997.99999849999995</v>
      </c>
      <c r="X15" s="4">
        <f t="shared" si="14"/>
        <v>10</v>
      </c>
      <c r="Y15" s="4">
        <f t="shared" si="15"/>
        <v>-3</v>
      </c>
      <c r="Z15" s="4">
        <f t="shared" si="16"/>
        <v>-2</v>
      </c>
      <c r="AA15" s="4">
        <f t="shared" si="17"/>
        <v>-1</v>
      </c>
      <c r="AB15" s="4">
        <f t="shared" si="18"/>
        <v>0</v>
      </c>
      <c r="AC15" s="4">
        <f t="shared" si="19"/>
        <v>1</v>
      </c>
      <c r="AD15" s="4" t="str">
        <f>IF(OR(N15="",Y15=""),"",IF(Y15&lt;1,"",IFERROR(MATCH($N15&amp;"|"&amp;Y15,Partidos!$Y:$Y,0),IFERROR(MATCH($N15&amp;"|"&amp;Y15,Partidos!$Z:$Z,0),""))))</f>
        <v/>
      </c>
      <c r="AE15" s="4" t="str">
        <f>IF(OR(N15="",Z15=""),"",IF(Z15&lt;1,"",IFERROR(MATCH($N15&amp;"|"&amp;Z15,Partidos!$Y:$Y,0),IFERROR(MATCH($N15&amp;"|"&amp;Z15,Partidos!$Z:$Z,0),""))))</f>
        <v/>
      </c>
      <c r="AF15" s="4" t="str">
        <f>IF(OR(N15="",AA15=""),"",IF(AA15&lt;1,"",IFERROR(MATCH($N15&amp;"|"&amp;AA15,Partidos!$Y:$Y,0),IFERROR(MATCH($N15&amp;"|"&amp;AA15,Partidos!$Z:$Z,0),""))))</f>
        <v/>
      </c>
      <c r="AG15" s="4" t="str">
        <f>IF(OR(N15="",AB15=""),"",IF(AB15&lt;1,"",IFERROR(MATCH($N15&amp;"|"&amp;AB15,Partidos!$Y:$Y,0),IFERROR(MATCH($N15&amp;"|"&amp;AB15,Partidos!$Z:$Z,0),""))))</f>
        <v/>
      </c>
      <c r="AH15" s="4">
        <f>IF(OR(N15="",AC15=""),"",IF(AC15&lt;1,"",IFERROR(MATCH($N15&amp;"|"&amp;AC15,Partidos!$Y:$Y,0),IFERROR(MATCH($N15&amp;"|"&amp;AC15,Partidos!$Z:$Z,0),""))))</f>
        <v>8</v>
      </c>
      <c r="AI15" s="4" t="str">
        <f>IF(AD15="","",IF(INDEX(Partidos!$C:$C,AD15)=$N15,IF(INDEX(Partidos!$E:$E,AD15)&gt;INDEX(Partidos!$F:$F,AD15),"V",IF(INDEX(Partidos!$E:$E,AD15)=INDEX(Partidos!$F:$F,AD15),"E","P")),IF(INDEX(Partidos!$F:$F,AD15)&gt;INDEX(Partidos!$E:$E,AD15),"V",IF(INDEX(Partidos!$F:$F,AD15)=INDEX(Partidos!$E:$E,AD15),"E","P"))))</f>
        <v/>
      </c>
      <c r="AJ15" s="4" t="str">
        <f>IF(AE15="","",IF(INDEX(Partidos!$C:$C,AE15)=$N15,IF(INDEX(Partidos!$E:$E,AE15)&gt;INDEX(Partidos!$F:$F,AE15),"V",IF(INDEX(Partidos!$E:$E,AE15)=INDEX(Partidos!$F:$F,AE15),"E","P")),IF(INDEX(Partidos!$F:$F,AE15)&gt;INDEX(Partidos!$E:$E,AE15),"V",IF(INDEX(Partidos!$F:$F,AE15)=INDEX(Partidos!$E:$E,AE15),"E","P"))))</f>
        <v/>
      </c>
      <c r="AK15" s="4" t="str">
        <f>IF(AF15="","",IF(INDEX(Partidos!$C:$C,AF15)=$N15,IF(INDEX(Partidos!$E:$E,AF15)&gt;INDEX(Partidos!$F:$F,AF15),"V",IF(INDEX(Partidos!$E:$E,AF15)=INDEX(Partidos!$F:$F,AF15),"E","P")),IF(INDEX(Partidos!$F:$F,AF15)&gt;INDEX(Partidos!$E:$E,AF15),"V",IF(INDEX(Partidos!$F:$F,AF15)=INDEX(Partidos!$E:$E,AF15),"E","P"))))</f>
        <v/>
      </c>
      <c r="AL15" s="4" t="str">
        <f>IF(AG15="","",IF(INDEX(Partidos!$C:$C,AG15)=$N15,IF(INDEX(Partidos!$E:$E,AG15)&gt;INDEX(Partidos!$F:$F,AG15),"V",IF(INDEX(Partidos!$E:$E,AG15)=INDEX(Partidos!$F:$F,AG15),"E","P")),IF(INDEX(Partidos!$F:$F,AG15)&gt;INDEX(Partidos!$E:$E,AG15),"V",IF(INDEX(Partidos!$F:$F,AG15)=INDEX(Partidos!$E:$E,AG15),"E","P"))))</f>
        <v/>
      </c>
      <c r="AM15" s="4" t="str">
        <f>IF(AH15="","",IF(INDEX(Partidos!$C:$C,AH15)=$N15,IF(INDEX(Partidos!$E:$E,AH15)&gt;INDEX(Partidos!$F:$F,AH15),"V",IF(INDEX(Partidos!$E:$E,AH15)=INDEX(Partidos!$F:$F,AH15),"E","P")),IF(INDEX(Partidos!$F:$F,AH15)&gt;INDEX(Partidos!$E:$E,AH15),"V",IF(INDEX(Partidos!$F:$F,AH15)=INDEX(Partidos!$E:$E,AH15),"E","P"))))</f>
        <v>P</v>
      </c>
      <c r="AN15" s="4" t="str">
        <f t="shared" si="20"/>
        <v>P</v>
      </c>
      <c r="AO15" s="4">
        <f t="shared" si="21"/>
        <v>6</v>
      </c>
      <c r="AP15" s="4" t="str">
        <f>IF(AO15=1,SUMPRODUCT(($AO$2:AO15=1)*1),"")</f>
        <v/>
      </c>
      <c r="AQ15" s="4" t="str">
        <f t="shared" si="22"/>
        <v/>
      </c>
      <c r="AR15" s="4">
        <f t="shared" si="23"/>
        <v>14</v>
      </c>
      <c r="AS15" s="4" t="str">
        <f>IF(AR15=1,SUMPRODUCT(($AR$2:AR15=1)*1),"")</f>
        <v/>
      </c>
      <c r="AT15" s="4" t="str">
        <f t="shared" si="24"/>
        <v/>
      </c>
    </row>
    <row r="16" spans="1:46" ht="15" customHeight="1" x14ac:dyDescent="0.25">
      <c r="A16" s="8">
        <f>IF(COUNT($X$2:$X$61)&gt;=15,15,"")</f>
        <v>15</v>
      </c>
      <c r="B16" s="8" t="str">
        <f t="shared" si="0"/>
        <v>Juárez</v>
      </c>
      <c r="C16" s="8">
        <f t="shared" si="1"/>
        <v>1</v>
      </c>
      <c r="D16" s="8">
        <f t="shared" si="2"/>
        <v>0</v>
      </c>
      <c r="E16" s="8">
        <f t="shared" si="3"/>
        <v>0</v>
      </c>
      <c r="F16" s="8">
        <f t="shared" si="4"/>
        <v>1</v>
      </c>
      <c r="G16" s="8">
        <f t="shared" si="5"/>
        <v>0</v>
      </c>
      <c r="H16" s="8">
        <f t="shared" si="6"/>
        <v>1</v>
      </c>
      <c r="I16" s="8">
        <f t="shared" si="7"/>
        <v>-1</v>
      </c>
      <c r="J16" s="8">
        <f t="shared" si="8"/>
        <v>0</v>
      </c>
      <c r="K16" s="8" t="str">
        <f t="shared" si="9"/>
        <v>P</v>
      </c>
      <c r="M16" s="6"/>
      <c r="N16" s="4" t="str">
        <f>IFERROR(INDEX(Partidos!$C$2:$C$1401,MATCH("TEAM|15",Partidos!$AE$2:$AE$1401,0)),IFERROR(INDEX(Partidos!$D$2:$D$1401,MATCH("TEAM|15",Partidos!$AF$2:$AF$1401,0)),""))</f>
        <v>Guadalajara</v>
      </c>
      <c r="O16" s="4">
        <f>IF(N16="","",COUNTIF(Partidos!$C$2:$C$1401,N16)+COUNTIF(Partidos!$D$2:$D$1401,N16))</f>
        <v>1</v>
      </c>
      <c r="P16" s="4">
        <f>IF(N16="","",SUMPRODUCT((Partidos!$C$2:$C$1401=N16)*(Partidos!$E$2:$E$1401&gt;Partidos!$F$2:$F$1401))+SUMPRODUCT((Partidos!$D$2:$D$1401=N16)*(Partidos!$F$2:$F$1401&gt;Partidos!$E$2:$E$1401)))</f>
        <v>0</v>
      </c>
      <c r="Q16" s="4">
        <f>IF(N16="","",SUMPRODUCT((((Partidos!$C$2:$C$1401=N16)+(Partidos!$D$2:$D$1401=N16)))*(Partidos!$E$2:$E$1401=Partidos!$F$2:$F$1401)*(Partidos!$C$2:$C$1401&lt;&gt;"")))</f>
        <v>0</v>
      </c>
      <c r="R16" s="4">
        <f t="shared" si="10"/>
        <v>1</v>
      </c>
      <c r="S16" s="4">
        <f>IF(N16="","",SUMIF(Partidos!$C$2:$C$1401,N16,Partidos!$E$2:$E$1401)+SUMIF(Partidos!$D$2:$D$1401,N16,Partidos!$F$2:$F$1401))</f>
        <v>0</v>
      </c>
      <c r="T16" s="4">
        <f>IF(N16="","",SUMIF(Partidos!$C$2:$C$1401,N16,Partidos!$F$2:$F$1401)+SUMIF(Partidos!$D$2:$D$1401,N16,Partidos!$E$2:$E$1401))</f>
        <v>2</v>
      </c>
      <c r="U16" s="4">
        <f t="shared" si="11"/>
        <v>-2</v>
      </c>
      <c r="V16" s="4">
        <f t="shared" si="12"/>
        <v>0</v>
      </c>
      <c r="W16" s="4">
        <f t="shared" si="13"/>
        <v>-1999.9999984000001</v>
      </c>
      <c r="X16" s="4">
        <f t="shared" si="14"/>
        <v>17</v>
      </c>
      <c r="Y16" s="4">
        <f t="shared" si="15"/>
        <v>-3</v>
      </c>
      <c r="Z16" s="4">
        <f t="shared" si="16"/>
        <v>-2</v>
      </c>
      <c r="AA16" s="4">
        <f t="shared" si="17"/>
        <v>-1</v>
      </c>
      <c r="AB16" s="4">
        <f t="shared" si="18"/>
        <v>0</v>
      </c>
      <c r="AC16" s="4">
        <f t="shared" si="19"/>
        <v>1</v>
      </c>
      <c r="AD16" s="4" t="str">
        <f>IF(OR(N16="",Y16=""),"",IF(Y16&lt;1,"",IFERROR(MATCH($N16&amp;"|"&amp;Y16,Partidos!$Y:$Y,0),IFERROR(MATCH($N16&amp;"|"&amp;Y16,Partidos!$Z:$Z,0),""))))</f>
        <v/>
      </c>
      <c r="AE16" s="4" t="str">
        <f>IF(OR(N16="",Z16=""),"",IF(Z16&lt;1,"",IFERROR(MATCH($N16&amp;"|"&amp;Z16,Partidos!$Y:$Y,0),IFERROR(MATCH($N16&amp;"|"&amp;Z16,Partidos!$Z:$Z,0),""))))</f>
        <v/>
      </c>
      <c r="AF16" s="4" t="str">
        <f>IF(OR(N16="",AA16=""),"",IF(AA16&lt;1,"",IFERROR(MATCH($N16&amp;"|"&amp;AA16,Partidos!$Y:$Y,0),IFERROR(MATCH($N16&amp;"|"&amp;AA16,Partidos!$Z:$Z,0),""))))</f>
        <v/>
      </c>
      <c r="AG16" s="4" t="str">
        <f>IF(OR(N16="",AB16=""),"",IF(AB16&lt;1,"",IFERROR(MATCH($N16&amp;"|"&amp;AB16,Partidos!$Y:$Y,0),IFERROR(MATCH($N16&amp;"|"&amp;AB16,Partidos!$Z:$Z,0),""))))</f>
        <v/>
      </c>
      <c r="AH16" s="4">
        <f>IF(OR(N16="",AC16=""),"",IF(AC16&lt;1,"",IFERROR(MATCH($N16&amp;"|"&amp;AC16,Partidos!$Y:$Y,0),IFERROR(MATCH($N16&amp;"|"&amp;AC16,Partidos!$Z:$Z,0),""))))</f>
        <v>9</v>
      </c>
      <c r="AI16" s="4" t="str">
        <f>IF(AD16="","",IF(INDEX(Partidos!$C:$C,AD16)=$N16,IF(INDEX(Partidos!$E:$E,AD16)&gt;INDEX(Partidos!$F:$F,AD16),"V",IF(INDEX(Partidos!$E:$E,AD16)=INDEX(Partidos!$F:$F,AD16),"E","P")),IF(INDEX(Partidos!$F:$F,AD16)&gt;INDEX(Partidos!$E:$E,AD16),"V",IF(INDEX(Partidos!$F:$F,AD16)=INDEX(Partidos!$E:$E,AD16),"E","P"))))</f>
        <v/>
      </c>
      <c r="AJ16" s="4" t="str">
        <f>IF(AE16="","",IF(INDEX(Partidos!$C:$C,AE16)=$N16,IF(INDEX(Partidos!$E:$E,AE16)&gt;INDEX(Partidos!$F:$F,AE16),"V",IF(INDEX(Partidos!$E:$E,AE16)=INDEX(Partidos!$F:$F,AE16),"E","P")),IF(INDEX(Partidos!$F:$F,AE16)&gt;INDEX(Partidos!$E:$E,AE16),"V",IF(INDEX(Partidos!$F:$F,AE16)=INDEX(Partidos!$E:$E,AE16),"E","P"))))</f>
        <v/>
      </c>
      <c r="AK16" s="4" t="str">
        <f>IF(AF16="","",IF(INDEX(Partidos!$C:$C,AF16)=$N16,IF(INDEX(Partidos!$E:$E,AF16)&gt;INDEX(Partidos!$F:$F,AF16),"V",IF(INDEX(Partidos!$E:$E,AF16)=INDEX(Partidos!$F:$F,AF16),"E","P")),IF(INDEX(Partidos!$F:$F,AF16)&gt;INDEX(Partidos!$E:$E,AF16),"V",IF(INDEX(Partidos!$F:$F,AF16)=INDEX(Partidos!$E:$E,AF16),"E","P"))))</f>
        <v/>
      </c>
      <c r="AL16" s="4" t="str">
        <f>IF(AG16="","",IF(INDEX(Partidos!$C:$C,AG16)=$N16,IF(INDEX(Partidos!$E:$E,AG16)&gt;INDEX(Partidos!$F:$F,AG16),"V",IF(INDEX(Partidos!$E:$E,AG16)=INDEX(Partidos!$F:$F,AG16),"E","P")),IF(INDEX(Partidos!$F:$F,AG16)&gt;INDEX(Partidos!$E:$E,AG16),"V",IF(INDEX(Partidos!$F:$F,AG16)=INDEX(Partidos!$E:$E,AG16),"E","P"))))</f>
        <v/>
      </c>
      <c r="AM16" s="4" t="str">
        <f>IF(AH16="","",IF(INDEX(Partidos!$C:$C,AH16)=$N16,IF(INDEX(Partidos!$E:$E,AH16)&gt;INDEX(Partidos!$F:$F,AH16),"V",IF(INDEX(Partidos!$E:$E,AH16)=INDEX(Partidos!$F:$F,AH16),"E","P")),IF(INDEX(Partidos!$F:$F,AH16)&gt;INDEX(Partidos!$E:$E,AH16),"V",IF(INDEX(Partidos!$F:$F,AH16)=INDEX(Partidos!$E:$E,AH16),"E","P"))))</f>
        <v>P</v>
      </c>
      <c r="AN16" s="4" t="str">
        <f t="shared" si="20"/>
        <v>P</v>
      </c>
      <c r="AO16" s="4">
        <f t="shared" si="21"/>
        <v>15</v>
      </c>
      <c r="AP16" s="4" t="str">
        <f>IF(AO16=1,SUMPRODUCT(($AO$2:AO16=1)*1),"")</f>
        <v/>
      </c>
      <c r="AQ16" s="4" t="str">
        <f t="shared" si="22"/>
        <v/>
      </c>
      <c r="AR16" s="4">
        <f t="shared" si="23"/>
        <v>9</v>
      </c>
      <c r="AS16" s="4" t="str">
        <f>IF(AR16=1,SUMPRODUCT(($AR$2:AR16=1)*1),"")</f>
        <v/>
      </c>
      <c r="AT16" s="4" t="str">
        <f t="shared" si="24"/>
        <v/>
      </c>
    </row>
    <row r="17" spans="1:46" ht="15" customHeight="1" x14ac:dyDescent="0.25">
      <c r="A17" s="8">
        <f>IF(COUNT($X$2:$X$61)&gt;=16,16,"")</f>
        <v>16</v>
      </c>
      <c r="B17" s="8" t="str">
        <f t="shared" si="0"/>
        <v>Tigres UANL</v>
      </c>
      <c r="C17" s="8">
        <f t="shared" si="1"/>
        <v>1</v>
      </c>
      <c r="D17" s="8">
        <f t="shared" si="2"/>
        <v>0</v>
      </c>
      <c r="E17" s="8">
        <f t="shared" si="3"/>
        <v>0</v>
      </c>
      <c r="F17" s="8">
        <f t="shared" si="4"/>
        <v>1</v>
      </c>
      <c r="G17" s="8">
        <f t="shared" si="5"/>
        <v>1</v>
      </c>
      <c r="H17" s="8">
        <f t="shared" si="6"/>
        <v>3</v>
      </c>
      <c r="I17" s="8">
        <f t="shared" si="7"/>
        <v>-2</v>
      </c>
      <c r="J17" s="8">
        <f t="shared" si="8"/>
        <v>0</v>
      </c>
      <c r="K17" s="8" t="str">
        <f t="shared" si="9"/>
        <v>P</v>
      </c>
      <c r="M17" s="6"/>
      <c r="N17" s="4" t="str">
        <f>IFERROR(INDEX(Partidos!$C$2:$C$1401,MATCH("TEAM|16",Partidos!$AE$2:$AE$1401,0)),IFERROR(INDEX(Partidos!$D$2:$D$1401,MATCH("TEAM|16",Partidos!$AF$2:$AF$1401,0)),""))</f>
        <v>Toluca</v>
      </c>
      <c r="O17" s="4">
        <f>IF(N17="","",COUNTIF(Partidos!$C$2:$C$1401,N17)+COUNTIF(Partidos!$D$2:$D$1401,N17))</f>
        <v>1</v>
      </c>
      <c r="P17" s="4">
        <f>IF(N17="","",SUMPRODUCT((Partidos!$C$2:$C$1401=N17)*(Partidos!$E$2:$E$1401&gt;Partidos!$F$2:$F$1401))+SUMPRODUCT((Partidos!$D$2:$D$1401=N17)*(Partidos!$F$2:$F$1401&gt;Partidos!$E$2:$E$1401)))</f>
        <v>1</v>
      </c>
      <c r="Q17" s="4">
        <f>IF(N17="","",SUMPRODUCT((((Partidos!$C$2:$C$1401=N17)+(Partidos!$D$2:$D$1401=N17)))*(Partidos!$E$2:$E$1401=Partidos!$F$2:$F$1401)*(Partidos!$C$2:$C$1401&lt;&gt;"")))</f>
        <v>0</v>
      </c>
      <c r="R17" s="4">
        <f t="shared" si="10"/>
        <v>0</v>
      </c>
      <c r="S17" s="4">
        <f>IF(N17="","",SUMIF(Partidos!$C$2:$C$1401,N17,Partidos!$E$2:$E$1401)+SUMIF(Partidos!$D$2:$D$1401,N17,Partidos!$F$2:$F$1401))</f>
        <v>2</v>
      </c>
      <c r="T17" s="4">
        <f>IF(N17="","",SUMIF(Partidos!$C$2:$C$1401,N17,Partidos!$F$2:$F$1401)+SUMIF(Partidos!$D$2:$D$1401,N17,Partidos!$E$2:$E$1401))</f>
        <v>0</v>
      </c>
      <c r="U17" s="4">
        <f t="shared" si="11"/>
        <v>2</v>
      </c>
      <c r="V17" s="4">
        <f t="shared" si="12"/>
        <v>3</v>
      </c>
      <c r="W17" s="4">
        <f t="shared" si="13"/>
        <v>3002002.0000017001</v>
      </c>
      <c r="X17" s="4">
        <f t="shared" si="14"/>
        <v>3</v>
      </c>
      <c r="Y17" s="4">
        <f t="shared" si="15"/>
        <v>-3</v>
      </c>
      <c r="Z17" s="4">
        <f t="shared" si="16"/>
        <v>-2</v>
      </c>
      <c r="AA17" s="4">
        <f t="shared" si="17"/>
        <v>-1</v>
      </c>
      <c r="AB17" s="4">
        <f t="shared" si="18"/>
        <v>0</v>
      </c>
      <c r="AC17" s="4">
        <f t="shared" si="19"/>
        <v>1</v>
      </c>
      <c r="AD17" s="4" t="str">
        <f>IF(OR(N17="",Y17=""),"",IF(Y17&lt;1,"",IFERROR(MATCH($N17&amp;"|"&amp;Y17,Partidos!$Y:$Y,0),IFERROR(MATCH($N17&amp;"|"&amp;Y17,Partidos!$Z:$Z,0),""))))</f>
        <v/>
      </c>
      <c r="AE17" s="4" t="str">
        <f>IF(OR(N17="",Z17=""),"",IF(Z17&lt;1,"",IFERROR(MATCH($N17&amp;"|"&amp;Z17,Partidos!$Y:$Y,0),IFERROR(MATCH($N17&amp;"|"&amp;Z17,Partidos!$Z:$Z,0),""))))</f>
        <v/>
      </c>
      <c r="AF17" s="4" t="str">
        <f>IF(OR(N17="",AA17=""),"",IF(AA17&lt;1,"",IFERROR(MATCH($N17&amp;"|"&amp;AA17,Partidos!$Y:$Y,0),IFERROR(MATCH($N17&amp;"|"&amp;AA17,Partidos!$Z:$Z,0),""))))</f>
        <v/>
      </c>
      <c r="AG17" s="4" t="str">
        <f>IF(OR(N17="",AB17=""),"",IF(AB17&lt;1,"",IFERROR(MATCH($N17&amp;"|"&amp;AB17,Partidos!$Y:$Y,0),IFERROR(MATCH($N17&amp;"|"&amp;AB17,Partidos!$Z:$Z,0),""))))</f>
        <v/>
      </c>
      <c r="AH17" s="4">
        <f>IF(OR(N17="",AC17=""),"",IF(AC17&lt;1,"",IFERROR(MATCH($N17&amp;"|"&amp;AC17,Partidos!$Y:$Y,0),IFERROR(MATCH($N17&amp;"|"&amp;AC17,Partidos!$Z:$Z,0),""))))</f>
        <v>9</v>
      </c>
      <c r="AI17" s="4" t="str">
        <f>IF(AD17="","",IF(INDEX(Partidos!$C:$C,AD17)=$N17,IF(INDEX(Partidos!$E:$E,AD17)&gt;INDEX(Partidos!$F:$F,AD17),"V",IF(INDEX(Partidos!$E:$E,AD17)=INDEX(Partidos!$F:$F,AD17),"E","P")),IF(INDEX(Partidos!$F:$F,AD17)&gt;INDEX(Partidos!$E:$E,AD17),"V",IF(INDEX(Partidos!$F:$F,AD17)=INDEX(Partidos!$E:$E,AD17),"E","P"))))</f>
        <v/>
      </c>
      <c r="AJ17" s="4" t="str">
        <f>IF(AE17="","",IF(INDEX(Partidos!$C:$C,AE17)=$N17,IF(INDEX(Partidos!$E:$E,AE17)&gt;INDEX(Partidos!$F:$F,AE17),"V",IF(INDEX(Partidos!$E:$E,AE17)=INDEX(Partidos!$F:$F,AE17),"E","P")),IF(INDEX(Partidos!$F:$F,AE17)&gt;INDEX(Partidos!$E:$E,AE17),"V",IF(INDEX(Partidos!$F:$F,AE17)=INDEX(Partidos!$E:$E,AE17),"E","P"))))</f>
        <v/>
      </c>
      <c r="AK17" s="4" t="str">
        <f>IF(AF17="","",IF(INDEX(Partidos!$C:$C,AF17)=$N17,IF(INDEX(Partidos!$E:$E,AF17)&gt;INDEX(Partidos!$F:$F,AF17),"V",IF(INDEX(Partidos!$E:$E,AF17)=INDEX(Partidos!$F:$F,AF17),"E","P")),IF(INDEX(Partidos!$F:$F,AF17)&gt;INDEX(Partidos!$E:$E,AF17),"V",IF(INDEX(Partidos!$F:$F,AF17)=INDEX(Partidos!$E:$E,AF17),"E","P"))))</f>
        <v/>
      </c>
      <c r="AL17" s="4" t="str">
        <f>IF(AG17="","",IF(INDEX(Partidos!$C:$C,AG17)=$N17,IF(INDEX(Partidos!$E:$E,AG17)&gt;INDEX(Partidos!$F:$F,AG17),"V",IF(INDEX(Partidos!$E:$E,AG17)=INDEX(Partidos!$F:$F,AG17),"E","P")),IF(INDEX(Partidos!$F:$F,AG17)&gt;INDEX(Partidos!$E:$E,AG17),"V",IF(INDEX(Partidos!$F:$F,AG17)=INDEX(Partidos!$E:$E,AG17),"E","P"))))</f>
        <v/>
      </c>
      <c r="AM17" s="4" t="str">
        <f>IF(AH17="","",IF(INDEX(Partidos!$C:$C,AH17)=$N17,IF(INDEX(Partidos!$E:$E,AH17)&gt;INDEX(Partidos!$F:$F,AH17),"V",IF(INDEX(Partidos!$E:$E,AH17)=INDEX(Partidos!$F:$F,AH17),"E","P")),IF(INDEX(Partidos!$F:$F,AH17)&gt;INDEX(Partidos!$E:$E,AH17),"V",IF(INDEX(Partidos!$F:$F,AH17)=INDEX(Partidos!$E:$E,AH17),"E","P"))))</f>
        <v>V</v>
      </c>
      <c r="AN17" s="4" t="str">
        <f t="shared" si="20"/>
        <v>V</v>
      </c>
      <c r="AO17" s="4">
        <f t="shared" si="21"/>
        <v>6</v>
      </c>
      <c r="AP17" s="4" t="str">
        <f>IF(AO17=1,SUMPRODUCT(($AO$2:AO17=1)*1),"")</f>
        <v/>
      </c>
      <c r="AQ17" s="4" t="str">
        <f t="shared" si="22"/>
        <v/>
      </c>
      <c r="AR17" s="4">
        <f t="shared" si="23"/>
        <v>1</v>
      </c>
      <c r="AS17" s="4">
        <f>IF(AR17=1,SUMPRODUCT(($AR$2:AR17=1)*1),"")</f>
        <v>3</v>
      </c>
      <c r="AT17" s="4" t="str">
        <f t="shared" si="24"/>
        <v>GC|3</v>
      </c>
    </row>
    <row r="18" spans="1:46" ht="15" customHeight="1" x14ac:dyDescent="0.25">
      <c r="A18" s="8">
        <f>IF(COUNT($X$2:$X$61)&gt;=17,17,"")</f>
        <v>17</v>
      </c>
      <c r="B18" s="8" t="str">
        <f t="shared" si="0"/>
        <v>Guadalajara</v>
      </c>
      <c r="C18" s="8">
        <f t="shared" si="1"/>
        <v>1</v>
      </c>
      <c r="D18" s="8">
        <f t="shared" si="2"/>
        <v>0</v>
      </c>
      <c r="E18" s="8">
        <f t="shared" si="3"/>
        <v>0</v>
      </c>
      <c r="F18" s="8">
        <f t="shared" si="4"/>
        <v>1</v>
      </c>
      <c r="G18" s="8">
        <f t="shared" si="5"/>
        <v>0</v>
      </c>
      <c r="H18" s="8">
        <f t="shared" si="6"/>
        <v>2</v>
      </c>
      <c r="I18" s="8">
        <f t="shared" si="7"/>
        <v>-2</v>
      </c>
      <c r="J18" s="8">
        <f t="shared" si="8"/>
        <v>0</v>
      </c>
      <c r="K18" s="8" t="str">
        <f t="shared" si="9"/>
        <v>P</v>
      </c>
      <c r="M18" s="6"/>
      <c r="N18" s="4" t="str">
        <f>IFERROR(INDEX(Partidos!$C$2:$C$1401,MATCH("TEAM|17",Partidos!$AE$2:$AE$1401,0)),IFERROR(INDEX(Partidos!$D$2:$D$1401,MATCH("TEAM|17",Partidos!$AF$2:$AF$1401,0)),""))</f>
        <v>Querétaro</v>
      </c>
      <c r="O18" s="4">
        <f>IF(N18="","",COUNTIF(Partidos!$C$2:$C$1401,N18)+COUNTIF(Partidos!$D$2:$D$1401,N18))</f>
        <v>1</v>
      </c>
      <c r="P18" s="4">
        <f>IF(N18="","",SUMPRODUCT((Partidos!$C$2:$C$1401=N18)*(Partidos!$E$2:$E$1401&gt;Partidos!$F$2:$F$1401))+SUMPRODUCT((Partidos!$D$2:$D$1401=N18)*(Partidos!$F$2:$F$1401&gt;Partidos!$E$2:$E$1401)))</f>
        <v>0</v>
      </c>
      <c r="Q18" s="4">
        <f>IF(N18="","",SUMPRODUCT((((Partidos!$C$2:$C$1401=N18)+(Partidos!$D$2:$D$1401=N18)))*(Partidos!$E$2:$E$1401=Partidos!$F$2:$F$1401)*(Partidos!$C$2:$C$1401&lt;&gt;"")))</f>
        <v>0</v>
      </c>
      <c r="R18" s="4">
        <f t="shared" si="10"/>
        <v>1</v>
      </c>
      <c r="S18" s="4">
        <f>IF(N18="","",SUMIF(Partidos!$C$2:$C$1401,N18,Partidos!$E$2:$E$1401)+SUMIF(Partidos!$D$2:$D$1401,N18,Partidos!$F$2:$F$1401))</f>
        <v>0</v>
      </c>
      <c r="T18" s="4">
        <f>IF(N18="","",SUMIF(Partidos!$C$2:$C$1401,N18,Partidos!$F$2:$F$1401)+SUMIF(Partidos!$D$2:$D$1401,N18,Partidos!$E$2:$E$1401))</f>
        <v>1</v>
      </c>
      <c r="U18" s="4">
        <f t="shared" si="11"/>
        <v>-1</v>
      </c>
      <c r="V18" s="4">
        <f t="shared" si="12"/>
        <v>0</v>
      </c>
      <c r="W18" s="4">
        <f t="shared" si="13"/>
        <v>-999.99999820000005</v>
      </c>
      <c r="X18" s="4">
        <f t="shared" si="14"/>
        <v>14</v>
      </c>
      <c r="Y18" s="4">
        <f t="shared" si="15"/>
        <v>-3</v>
      </c>
      <c r="Z18" s="4">
        <f t="shared" si="16"/>
        <v>-2</v>
      </c>
      <c r="AA18" s="4">
        <f t="shared" si="17"/>
        <v>-1</v>
      </c>
      <c r="AB18" s="4">
        <f t="shared" si="18"/>
        <v>0</v>
      </c>
      <c r="AC18" s="4">
        <f t="shared" si="19"/>
        <v>1</v>
      </c>
      <c r="AD18" s="4" t="str">
        <f>IF(OR(N18="",Y18=""),"",IF(Y18&lt;1,"",IFERROR(MATCH($N18&amp;"|"&amp;Y18,Partidos!$Y:$Y,0),IFERROR(MATCH($N18&amp;"|"&amp;Y18,Partidos!$Z:$Z,0),""))))</f>
        <v/>
      </c>
      <c r="AE18" s="4" t="str">
        <f>IF(OR(N18="",Z18=""),"",IF(Z18&lt;1,"",IFERROR(MATCH($N18&amp;"|"&amp;Z18,Partidos!$Y:$Y,0),IFERROR(MATCH($N18&amp;"|"&amp;Z18,Partidos!$Z:$Z,0),""))))</f>
        <v/>
      </c>
      <c r="AF18" s="4" t="str">
        <f>IF(OR(N18="",AA18=""),"",IF(AA18&lt;1,"",IFERROR(MATCH($N18&amp;"|"&amp;AA18,Partidos!$Y:$Y,0),IFERROR(MATCH($N18&amp;"|"&amp;AA18,Partidos!$Z:$Z,0),""))))</f>
        <v/>
      </c>
      <c r="AG18" s="4" t="str">
        <f>IF(OR(N18="",AB18=""),"",IF(AB18&lt;1,"",IFERROR(MATCH($N18&amp;"|"&amp;AB18,Partidos!$Y:$Y,0),IFERROR(MATCH($N18&amp;"|"&amp;AB18,Partidos!$Z:$Z,0),""))))</f>
        <v/>
      </c>
      <c r="AH18" s="4">
        <f>IF(OR(N18="",AC18=""),"",IF(AC18&lt;1,"",IFERROR(MATCH($N18&amp;"|"&amp;AC18,Partidos!$Y:$Y,0),IFERROR(MATCH($N18&amp;"|"&amp;AC18,Partidos!$Z:$Z,0),""))))</f>
        <v>10</v>
      </c>
      <c r="AI18" s="4" t="str">
        <f>IF(AD18="","",IF(INDEX(Partidos!$C:$C,AD18)=$N18,IF(INDEX(Partidos!$E:$E,AD18)&gt;INDEX(Partidos!$F:$F,AD18),"V",IF(INDEX(Partidos!$E:$E,AD18)=INDEX(Partidos!$F:$F,AD18),"E","P")),IF(INDEX(Partidos!$F:$F,AD18)&gt;INDEX(Partidos!$E:$E,AD18),"V",IF(INDEX(Partidos!$F:$F,AD18)=INDEX(Partidos!$E:$E,AD18),"E","P"))))</f>
        <v/>
      </c>
      <c r="AJ18" s="4" t="str">
        <f>IF(AE18="","",IF(INDEX(Partidos!$C:$C,AE18)=$N18,IF(INDEX(Partidos!$E:$E,AE18)&gt;INDEX(Partidos!$F:$F,AE18),"V",IF(INDEX(Partidos!$E:$E,AE18)=INDEX(Partidos!$F:$F,AE18),"E","P")),IF(INDEX(Partidos!$F:$F,AE18)&gt;INDEX(Partidos!$E:$E,AE18),"V",IF(INDEX(Partidos!$F:$F,AE18)=INDEX(Partidos!$E:$E,AE18),"E","P"))))</f>
        <v/>
      </c>
      <c r="AK18" s="4" t="str">
        <f>IF(AF18="","",IF(INDEX(Partidos!$C:$C,AF18)=$N18,IF(INDEX(Partidos!$E:$E,AF18)&gt;INDEX(Partidos!$F:$F,AF18),"V",IF(INDEX(Partidos!$E:$E,AF18)=INDEX(Partidos!$F:$F,AF18),"E","P")),IF(INDEX(Partidos!$F:$F,AF18)&gt;INDEX(Partidos!$E:$E,AF18),"V",IF(INDEX(Partidos!$F:$F,AF18)=INDEX(Partidos!$E:$E,AF18),"E","P"))))</f>
        <v/>
      </c>
      <c r="AL18" s="4" t="str">
        <f>IF(AG18="","",IF(INDEX(Partidos!$C:$C,AG18)=$N18,IF(INDEX(Partidos!$E:$E,AG18)&gt;INDEX(Partidos!$F:$F,AG18),"V",IF(INDEX(Partidos!$E:$E,AG18)=INDEX(Partidos!$F:$F,AG18),"E","P")),IF(INDEX(Partidos!$F:$F,AG18)&gt;INDEX(Partidos!$E:$E,AG18),"V",IF(INDEX(Partidos!$F:$F,AG18)=INDEX(Partidos!$E:$E,AG18),"E","P"))))</f>
        <v/>
      </c>
      <c r="AM18" s="4" t="str">
        <f>IF(AH18="","",IF(INDEX(Partidos!$C:$C,AH18)=$N18,IF(INDEX(Partidos!$E:$E,AH18)&gt;INDEX(Partidos!$F:$F,AH18),"V",IF(INDEX(Partidos!$E:$E,AH18)=INDEX(Partidos!$F:$F,AH18),"E","P")),IF(INDEX(Partidos!$F:$F,AH18)&gt;INDEX(Partidos!$E:$E,AH18),"V",IF(INDEX(Partidos!$F:$F,AH18)=INDEX(Partidos!$E:$E,AH18),"E","P"))))</f>
        <v>P</v>
      </c>
      <c r="AN18" s="4" t="str">
        <f t="shared" si="20"/>
        <v>P</v>
      </c>
      <c r="AO18" s="4">
        <f t="shared" si="21"/>
        <v>15</v>
      </c>
      <c r="AP18" s="4" t="str">
        <f>IF(AO18=1,SUMPRODUCT(($AO$2:AO18=1)*1),"")</f>
        <v/>
      </c>
      <c r="AQ18" s="4" t="str">
        <f t="shared" si="22"/>
        <v/>
      </c>
      <c r="AR18" s="4">
        <f t="shared" si="23"/>
        <v>5</v>
      </c>
      <c r="AS18" s="4" t="str">
        <f>IF(AR18=1,SUMPRODUCT(($AR$2:AR18=1)*1),"")</f>
        <v/>
      </c>
      <c r="AT18" s="4" t="str">
        <f t="shared" si="24"/>
        <v/>
      </c>
    </row>
    <row r="19" spans="1:46" ht="15" customHeight="1" x14ac:dyDescent="0.25">
      <c r="A19" s="8">
        <f>IF(COUNT($X$2:$X$61)&gt;=18,18,"")</f>
        <v>18</v>
      </c>
      <c r="B19" s="8" t="str">
        <f t="shared" si="0"/>
        <v>Pumas UNAM</v>
      </c>
      <c r="C19" s="8">
        <f t="shared" si="1"/>
        <v>1</v>
      </c>
      <c r="D19" s="8">
        <f t="shared" si="2"/>
        <v>0</v>
      </c>
      <c r="E19" s="8">
        <f t="shared" si="3"/>
        <v>0</v>
      </c>
      <c r="F19" s="8">
        <f t="shared" si="4"/>
        <v>1</v>
      </c>
      <c r="G19" s="8">
        <f t="shared" si="5"/>
        <v>0</v>
      </c>
      <c r="H19" s="8">
        <f t="shared" si="6"/>
        <v>3</v>
      </c>
      <c r="I19" s="8">
        <f t="shared" si="7"/>
        <v>-3</v>
      </c>
      <c r="J19" s="8">
        <f t="shared" si="8"/>
        <v>0</v>
      </c>
      <c r="K19" s="8" t="str">
        <f t="shared" si="9"/>
        <v>P</v>
      </c>
      <c r="M19" s="6"/>
      <c r="N19" s="4" t="str">
        <f>IFERROR(INDEX(Partidos!$C$2:$C$1401,MATCH("TEAM|18",Partidos!$AE$2:$AE$1401,0)),IFERROR(INDEX(Partidos!$D$2:$D$1401,MATCH("TEAM|18",Partidos!$AF$2:$AF$1401,0)),""))</f>
        <v>Club América</v>
      </c>
      <c r="O19" s="4">
        <f>IF(N19="","",COUNTIF(Partidos!$C$2:$C$1401,N19)+COUNTIF(Partidos!$D$2:$D$1401,N19))</f>
        <v>1</v>
      </c>
      <c r="P19" s="4">
        <f>IF(N19="","",SUMPRODUCT((Partidos!$C$2:$C$1401=N19)*(Partidos!$E$2:$E$1401&gt;Partidos!$F$2:$F$1401))+SUMPRODUCT((Partidos!$D$2:$D$1401=N19)*(Partidos!$F$2:$F$1401&gt;Partidos!$E$2:$E$1401)))</f>
        <v>1</v>
      </c>
      <c r="Q19" s="4">
        <f>IF(N19="","",SUMPRODUCT((((Partidos!$C$2:$C$1401=N19)+(Partidos!$D$2:$D$1401=N19)))*(Partidos!$E$2:$E$1401=Partidos!$F$2:$F$1401)*(Partidos!$C$2:$C$1401&lt;&gt;"")))</f>
        <v>0</v>
      </c>
      <c r="R19" s="4">
        <f t="shared" si="10"/>
        <v>0</v>
      </c>
      <c r="S19" s="4">
        <f>IF(N19="","",SUMIF(Partidos!$C$2:$C$1401,N19,Partidos!$E$2:$E$1401)+SUMIF(Partidos!$D$2:$D$1401,N19,Partidos!$F$2:$F$1401))</f>
        <v>1</v>
      </c>
      <c r="T19" s="4">
        <f>IF(N19="","",SUMIF(Partidos!$C$2:$C$1401,N19,Partidos!$F$2:$F$1401)+SUMIF(Partidos!$D$2:$D$1401,N19,Partidos!$E$2:$E$1401))</f>
        <v>0</v>
      </c>
      <c r="U19" s="4">
        <f t="shared" si="11"/>
        <v>1</v>
      </c>
      <c r="V19" s="4">
        <f t="shared" si="12"/>
        <v>3</v>
      </c>
      <c r="W19" s="4">
        <f t="shared" si="13"/>
        <v>3001001.0000018999</v>
      </c>
      <c r="X19" s="4">
        <f t="shared" si="14"/>
        <v>8</v>
      </c>
      <c r="Y19" s="4">
        <f t="shared" si="15"/>
        <v>-3</v>
      </c>
      <c r="Z19" s="4">
        <f t="shared" si="16"/>
        <v>-2</v>
      </c>
      <c r="AA19" s="4">
        <f t="shared" si="17"/>
        <v>-1</v>
      </c>
      <c r="AB19" s="4">
        <f t="shared" si="18"/>
        <v>0</v>
      </c>
      <c r="AC19" s="4">
        <f t="shared" si="19"/>
        <v>1</v>
      </c>
      <c r="AD19" s="4" t="str">
        <f>IF(OR(N19="",Y19=""),"",IF(Y19&lt;1,"",IFERROR(MATCH($N19&amp;"|"&amp;Y19,Partidos!$Y:$Y,0),IFERROR(MATCH($N19&amp;"|"&amp;Y19,Partidos!$Z:$Z,0),""))))</f>
        <v/>
      </c>
      <c r="AE19" s="4" t="str">
        <f>IF(OR(N19="",Z19=""),"",IF(Z19&lt;1,"",IFERROR(MATCH($N19&amp;"|"&amp;Z19,Partidos!$Y:$Y,0),IFERROR(MATCH($N19&amp;"|"&amp;Z19,Partidos!$Z:$Z,0),""))))</f>
        <v/>
      </c>
      <c r="AF19" s="4" t="str">
        <f>IF(OR(N19="",AA19=""),"",IF(AA19&lt;1,"",IFERROR(MATCH($N19&amp;"|"&amp;AA19,Partidos!$Y:$Y,0),IFERROR(MATCH($N19&amp;"|"&amp;AA19,Partidos!$Z:$Z,0),""))))</f>
        <v/>
      </c>
      <c r="AG19" s="4" t="str">
        <f>IF(OR(N19="",AB19=""),"",IF(AB19&lt;1,"",IFERROR(MATCH($N19&amp;"|"&amp;AB19,Partidos!$Y:$Y,0),IFERROR(MATCH($N19&amp;"|"&amp;AB19,Partidos!$Z:$Z,0),""))))</f>
        <v/>
      </c>
      <c r="AH19" s="4">
        <f>IF(OR(N19="",AC19=""),"",IF(AC19&lt;1,"",IFERROR(MATCH($N19&amp;"|"&amp;AC19,Partidos!$Y:$Y,0),IFERROR(MATCH($N19&amp;"|"&amp;AC19,Partidos!$Z:$Z,0),""))))</f>
        <v>10</v>
      </c>
      <c r="AI19" s="4" t="str">
        <f>IF(AD19="","",IF(INDEX(Partidos!$C:$C,AD19)=$N19,IF(INDEX(Partidos!$E:$E,AD19)&gt;INDEX(Partidos!$F:$F,AD19),"V",IF(INDEX(Partidos!$E:$E,AD19)=INDEX(Partidos!$F:$F,AD19),"E","P")),IF(INDEX(Partidos!$F:$F,AD19)&gt;INDEX(Partidos!$E:$E,AD19),"V",IF(INDEX(Partidos!$F:$F,AD19)=INDEX(Partidos!$E:$E,AD19),"E","P"))))</f>
        <v/>
      </c>
      <c r="AJ19" s="4" t="str">
        <f>IF(AE19="","",IF(INDEX(Partidos!$C:$C,AE19)=$N19,IF(INDEX(Partidos!$E:$E,AE19)&gt;INDEX(Partidos!$F:$F,AE19),"V",IF(INDEX(Partidos!$E:$E,AE19)=INDEX(Partidos!$F:$F,AE19),"E","P")),IF(INDEX(Partidos!$F:$F,AE19)&gt;INDEX(Partidos!$E:$E,AE19),"V",IF(INDEX(Partidos!$F:$F,AE19)=INDEX(Partidos!$E:$E,AE19),"E","P"))))</f>
        <v/>
      </c>
      <c r="AK19" s="4" t="str">
        <f>IF(AF19="","",IF(INDEX(Partidos!$C:$C,AF19)=$N19,IF(INDEX(Partidos!$E:$E,AF19)&gt;INDEX(Partidos!$F:$F,AF19),"V",IF(INDEX(Partidos!$E:$E,AF19)=INDEX(Partidos!$F:$F,AF19),"E","P")),IF(INDEX(Partidos!$F:$F,AF19)&gt;INDEX(Partidos!$E:$E,AF19),"V",IF(INDEX(Partidos!$F:$F,AF19)=INDEX(Partidos!$E:$E,AF19),"E","P"))))</f>
        <v/>
      </c>
      <c r="AL19" s="4" t="str">
        <f>IF(AG19="","",IF(INDEX(Partidos!$C:$C,AG19)=$N19,IF(INDEX(Partidos!$E:$E,AG19)&gt;INDEX(Partidos!$F:$F,AG19),"V",IF(INDEX(Partidos!$E:$E,AG19)=INDEX(Partidos!$F:$F,AG19),"E","P")),IF(INDEX(Partidos!$F:$F,AG19)&gt;INDEX(Partidos!$E:$E,AG19),"V",IF(INDEX(Partidos!$F:$F,AG19)=INDEX(Partidos!$E:$E,AG19),"E","P"))))</f>
        <v/>
      </c>
      <c r="AM19" s="4" t="str">
        <f>IF(AH19="","",IF(INDEX(Partidos!$C:$C,AH19)=$N19,IF(INDEX(Partidos!$E:$E,AH19)&gt;INDEX(Partidos!$F:$F,AH19),"V",IF(INDEX(Partidos!$E:$E,AH19)=INDEX(Partidos!$F:$F,AH19),"E","P")),IF(INDEX(Partidos!$F:$F,AH19)&gt;INDEX(Partidos!$E:$E,AH19),"V",IF(INDEX(Partidos!$F:$F,AH19)=INDEX(Partidos!$E:$E,AH19),"E","P"))))</f>
        <v>V</v>
      </c>
      <c r="AN19" s="4" t="str">
        <f t="shared" si="20"/>
        <v>V</v>
      </c>
      <c r="AO19" s="4">
        <f t="shared" si="21"/>
        <v>11</v>
      </c>
      <c r="AP19" s="4" t="str">
        <f>IF(AO19=1,SUMPRODUCT(($AO$2:AO19=1)*1),"")</f>
        <v/>
      </c>
      <c r="AQ19" s="4" t="str">
        <f t="shared" si="22"/>
        <v/>
      </c>
      <c r="AR19" s="4">
        <f t="shared" si="23"/>
        <v>1</v>
      </c>
      <c r="AS19" s="4">
        <f>IF(AR19=1,SUMPRODUCT(($AR$2:AR19=1)*1),"")</f>
        <v>4</v>
      </c>
      <c r="AT19" s="4" t="str">
        <f t="shared" si="24"/>
        <v>GC|4</v>
      </c>
    </row>
    <row r="20" spans="1:46" ht="15" customHeight="1" x14ac:dyDescent="0.25">
      <c r="A20" s="8" t="str">
        <f>IF(COUNT($X$2:$X$61)&gt;=19,19,"")</f>
        <v/>
      </c>
      <c r="B20" s="8" t="str">
        <f t="shared" si="0"/>
        <v/>
      </c>
      <c r="C20" s="8" t="str">
        <f t="shared" si="1"/>
        <v/>
      </c>
      <c r="D20" s="8" t="str">
        <f t="shared" si="2"/>
        <v/>
      </c>
      <c r="E20" s="8" t="str">
        <f t="shared" si="3"/>
        <v/>
      </c>
      <c r="F20" s="8" t="str">
        <f t="shared" si="4"/>
        <v/>
      </c>
      <c r="G20" s="8" t="str">
        <f t="shared" si="5"/>
        <v/>
      </c>
      <c r="H20" s="8" t="str">
        <f t="shared" si="6"/>
        <v/>
      </c>
      <c r="I20" s="8" t="str">
        <f t="shared" si="7"/>
        <v/>
      </c>
      <c r="J20" s="8" t="str">
        <f t="shared" si="8"/>
        <v/>
      </c>
      <c r="K20" s="8" t="str">
        <f t="shared" si="9"/>
        <v/>
      </c>
      <c r="M20" s="6"/>
      <c r="N20" s="4" t="str">
        <f>IFERROR(INDEX(Partidos!$C$2:$C$1401,MATCH("TEAM|19",Partidos!$AE$2:$AE$1401,0)),IFERROR(INDEX(Partidos!$D$2:$D$1401,MATCH("TEAM|19",Partidos!$AF$2:$AF$1401,0)),""))</f>
        <v/>
      </c>
      <c r="O20" s="4" t="str">
        <f>IF(N20="","",COUNTIF(Partidos!$C$2:$C$1401,N20)+COUNTIF(Partidos!$D$2:$D$1401,N20))</f>
        <v/>
      </c>
      <c r="P20" s="4" t="str">
        <f>IF(N20="","",SUMPRODUCT((Partidos!$C$2:$C$1401=N20)*(Partidos!$E$2:$E$1401&gt;Partidos!$F$2:$F$1401))+SUMPRODUCT((Partidos!$D$2:$D$1401=N20)*(Partidos!$F$2:$F$1401&gt;Partidos!$E$2:$E$1401)))</f>
        <v/>
      </c>
      <c r="Q20" s="4" t="str">
        <f>IF(N20="","",SUMPRODUCT((((Partidos!$C$2:$C$1401=N20)+(Partidos!$D$2:$D$1401=N20)))*(Partidos!$E$2:$E$1401=Partidos!$F$2:$F$1401)*(Partidos!$C$2:$C$1401&lt;&gt;"")))</f>
        <v/>
      </c>
      <c r="R20" s="4" t="str">
        <f t="shared" si="10"/>
        <v/>
      </c>
      <c r="S20" s="4" t="str">
        <f>IF(N20="","",SUMIF(Partidos!$C$2:$C$1401,N20,Partidos!$E$2:$E$1401)+SUMIF(Partidos!$D$2:$D$1401,N20,Partidos!$F$2:$F$1401))</f>
        <v/>
      </c>
      <c r="T20" s="4" t="str">
        <f>IF(N20="","",SUMIF(Partidos!$C$2:$C$1401,N20,Partidos!$F$2:$F$1401)+SUMIF(Partidos!$D$2:$D$1401,N20,Partidos!$E$2:$E$1401))</f>
        <v/>
      </c>
      <c r="U20" s="4" t="str">
        <f t="shared" si="11"/>
        <v/>
      </c>
      <c r="V20" s="4" t="str">
        <f t="shared" si="12"/>
        <v/>
      </c>
      <c r="W20" s="4" t="str">
        <f t="shared" si="13"/>
        <v/>
      </c>
      <c r="X20" s="4" t="str">
        <f t="shared" si="14"/>
        <v/>
      </c>
      <c r="Y20" s="4" t="str">
        <f t="shared" si="15"/>
        <v/>
      </c>
      <c r="Z20" s="4" t="str">
        <f t="shared" si="16"/>
        <v/>
      </c>
      <c r="AA20" s="4" t="str">
        <f t="shared" si="17"/>
        <v/>
      </c>
      <c r="AB20" s="4" t="str">
        <f t="shared" si="18"/>
        <v/>
      </c>
      <c r="AC20" s="4" t="str">
        <f t="shared" si="19"/>
        <v/>
      </c>
      <c r="AD20" s="4" t="str">
        <f>IF(OR(N20="",Y20=""),"",IF(Y20&lt;1,"",IFERROR(MATCH($N20&amp;"|"&amp;Y20,Partidos!$Y:$Y,0),IFERROR(MATCH($N20&amp;"|"&amp;Y20,Partidos!$Z:$Z,0),""))))</f>
        <v/>
      </c>
      <c r="AE20" s="4" t="str">
        <f>IF(OR(N20="",Z20=""),"",IF(Z20&lt;1,"",IFERROR(MATCH($N20&amp;"|"&amp;Z20,Partidos!$Y:$Y,0),IFERROR(MATCH($N20&amp;"|"&amp;Z20,Partidos!$Z:$Z,0),""))))</f>
        <v/>
      </c>
      <c r="AF20" s="4" t="str">
        <f>IF(OR(N20="",AA20=""),"",IF(AA20&lt;1,"",IFERROR(MATCH($N20&amp;"|"&amp;AA20,Partidos!$Y:$Y,0),IFERROR(MATCH($N20&amp;"|"&amp;AA20,Partidos!$Z:$Z,0),""))))</f>
        <v/>
      </c>
      <c r="AG20" s="4" t="str">
        <f>IF(OR(N20="",AB20=""),"",IF(AB20&lt;1,"",IFERROR(MATCH($N20&amp;"|"&amp;AB20,Partidos!$Y:$Y,0),IFERROR(MATCH($N20&amp;"|"&amp;AB20,Partidos!$Z:$Z,0),""))))</f>
        <v/>
      </c>
      <c r="AH20" s="4" t="str">
        <f>IF(OR(N20="",AC20=""),"",IF(AC20&lt;1,"",IFERROR(MATCH($N20&amp;"|"&amp;AC20,Partidos!$Y:$Y,0),IFERROR(MATCH($N20&amp;"|"&amp;AC20,Partidos!$Z:$Z,0),""))))</f>
        <v/>
      </c>
      <c r="AI20" s="4" t="str">
        <f>IF(AD20="","",IF(INDEX(Partidos!$C:$C,AD20)=$N20,IF(INDEX(Partidos!$E:$E,AD20)&gt;INDEX(Partidos!$F:$F,AD20),"V",IF(INDEX(Partidos!$E:$E,AD20)=INDEX(Partidos!$F:$F,AD20),"E","P")),IF(INDEX(Partidos!$F:$F,AD20)&gt;INDEX(Partidos!$E:$E,AD20),"V",IF(INDEX(Partidos!$F:$F,AD20)=INDEX(Partidos!$E:$E,AD20),"E","P"))))</f>
        <v/>
      </c>
      <c r="AJ20" s="4" t="str">
        <f>IF(AE20="","",IF(INDEX(Partidos!$C:$C,AE20)=$N20,IF(INDEX(Partidos!$E:$E,AE20)&gt;INDEX(Partidos!$F:$F,AE20),"V",IF(INDEX(Partidos!$E:$E,AE20)=INDEX(Partidos!$F:$F,AE20),"E","P")),IF(INDEX(Partidos!$F:$F,AE20)&gt;INDEX(Partidos!$E:$E,AE20),"V",IF(INDEX(Partidos!$F:$F,AE20)=INDEX(Partidos!$E:$E,AE20),"E","P"))))</f>
        <v/>
      </c>
      <c r="AK20" s="4" t="str">
        <f>IF(AF20="","",IF(INDEX(Partidos!$C:$C,AF20)=$N20,IF(INDEX(Partidos!$E:$E,AF20)&gt;INDEX(Partidos!$F:$F,AF20),"V",IF(INDEX(Partidos!$E:$E,AF20)=INDEX(Partidos!$F:$F,AF20),"E","P")),IF(INDEX(Partidos!$F:$F,AF20)&gt;INDEX(Partidos!$E:$E,AF20),"V",IF(INDEX(Partidos!$F:$F,AF20)=INDEX(Partidos!$E:$E,AF20),"E","P"))))</f>
        <v/>
      </c>
      <c r="AL20" s="4" t="str">
        <f>IF(AG20="","",IF(INDEX(Partidos!$C:$C,AG20)=$N20,IF(INDEX(Partidos!$E:$E,AG20)&gt;INDEX(Partidos!$F:$F,AG20),"V",IF(INDEX(Partidos!$E:$E,AG20)=INDEX(Partidos!$F:$F,AG20),"E","P")),IF(INDEX(Partidos!$F:$F,AG20)&gt;INDEX(Partidos!$E:$E,AG20),"V",IF(INDEX(Partidos!$F:$F,AG20)=INDEX(Partidos!$E:$E,AG20),"E","P"))))</f>
        <v/>
      </c>
      <c r="AM20" s="4" t="str">
        <f>IF(AH20="","",IF(INDEX(Partidos!$C:$C,AH20)=$N20,IF(INDEX(Partidos!$E:$E,AH20)&gt;INDEX(Partidos!$F:$F,AH20),"V",IF(INDEX(Partidos!$E:$E,AH20)=INDEX(Partidos!$F:$F,AH20),"E","P")),IF(INDEX(Partidos!$F:$F,AH20)&gt;INDEX(Partidos!$E:$E,AH20),"V",IF(INDEX(Partidos!$F:$F,AH20)=INDEX(Partidos!$E:$E,AH20),"E","P"))))</f>
        <v/>
      </c>
      <c r="AN20" s="4" t="str">
        <f t="shared" si="20"/>
        <v/>
      </c>
      <c r="AO20" s="4" t="str">
        <f t="shared" si="21"/>
        <v/>
      </c>
      <c r="AP20" s="4" t="str">
        <f>IF(AO20=1,SUMPRODUCT(($AO$2:AO20=1)*1),"")</f>
        <v/>
      </c>
      <c r="AQ20" s="4" t="str">
        <f t="shared" si="22"/>
        <v/>
      </c>
      <c r="AR20" s="4" t="str">
        <f t="shared" si="23"/>
        <v/>
      </c>
      <c r="AS20" s="4" t="str">
        <f>IF(AR20=1,SUMPRODUCT(($AR$2:AR20=1)*1),"")</f>
        <v/>
      </c>
      <c r="AT20" s="4" t="str">
        <f t="shared" si="24"/>
        <v/>
      </c>
    </row>
    <row r="21" spans="1:46" ht="15" customHeight="1" x14ac:dyDescent="0.25">
      <c r="A21" s="8" t="str">
        <f>IF(COUNT($X$2:$X$61)&gt;=20,20,"")</f>
        <v/>
      </c>
      <c r="B21" s="8" t="str">
        <f t="shared" si="0"/>
        <v/>
      </c>
      <c r="C21" s="8" t="str">
        <f t="shared" si="1"/>
        <v/>
      </c>
      <c r="D21" s="8" t="str">
        <f t="shared" si="2"/>
        <v/>
      </c>
      <c r="E21" s="8" t="str">
        <f t="shared" si="3"/>
        <v/>
      </c>
      <c r="F21" s="8" t="str">
        <f t="shared" si="4"/>
        <v/>
      </c>
      <c r="G21" s="8" t="str">
        <f t="shared" si="5"/>
        <v/>
      </c>
      <c r="H21" s="8" t="str">
        <f t="shared" si="6"/>
        <v/>
      </c>
      <c r="I21" s="8" t="str">
        <f t="shared" si="7"/>
        <v/>
      </c>
      <c r="J21" s="8" t="str">
        <f t="shared" si="8"/>
        <v/>
      </c>
      <c r="K21" s="8" t="str">
        <f t="shared" si="9"/>
        <v/>
      </c>
      <c r="M21" s="6"/>
      <c r="N21" s="4" t="str">
        <f>IFERROR(INDEX(Partidos!$C$2:$C$1401,MATCH("TEAM|20",Partidos!$AE$2:$AE$1401,0)),IFERROR(INDEX(Partidos!$D$2:$D$1401,MATCH("TEAM|20",Partidos!$AF$2:$AF$1401,0)),""))</f>
        <v/>
      </c>
      <c r="O21" s="4" t="str">
        <f>IF(N21="","",COUNTIF(Partidos!$C$2:$C$1401,N21)+COUNTIF(Partidos!$D$2:$D$1401,N21))</f>
        <v/>
      </c>
      <c r="P21" s="4" t="str">
        <f>IF(N21="","",SUMPRODUCT((Partidos!$C$2:$C$1401=N21)*(Partidos!$E$2:$E$1401&gt;Partidos!$F$2:$F$1401))+SUMPRODUCT((Partidos!$D$2:$D$1401=N21)*(Partidos!$F$2:$F$1401&gt;Partidos!$E$2:$E$1401)))</f>
        <v/>
      </c>
      <c r="Q21" s="4" t="str">
        <f>IF(N21="","",SUMPRODUCT((((Partidos!$C$2:$C$1401=N21)+(Partidos!$D$2:$D$1401=N21)))*(Partidos!$E$2:$E$1401=Partidos!$F$2:$F$1401)*(Partidos!$C$2:$C$1401&lt;&gt;"")))</f>
        <v/>
      </c>
      <c r="R21" s="4" t="str">
        <f t="shared" si="10"/>
        <v/>
      </c>
      <c r="S21" s="4" t="str">
        <f>IF(N21="","",SUMIF(Partidos!$C$2:$C$1401,N21,Partidos!$E$2:$E$1401)+SUMIF(Partidos!$D$2:$D$1401,N21,Partidos!$F$2:$F$1401))</f>
        <v/>
      </c>
      <c r="T21" s="4" t="str">
        <f>IF(N21="","",SUMIF(Partidos!$C$2:$C$1401,N21,Partidos!$F$2:$F$1401)+SUMIF(Partidos!$D$2:$D$1401,N21,Partidos!$E$2:$E$1401))</f>
        <v/>
      </c>
      <c r="U21" s="4" t="str">
        <f t="shared" si="11"/>
        <v/>
      </c>
      <c r="V21" s="4" t="str">
        <f t="shared" si="12"/>
        <v/>
      </c>
      <c r="W21" s="4" t="str">
        <f t="shared" si="13"/>
        <v/>
      </c>
      <c r="X21" s="4" t="str">
        <f t="shared" si="14"/>
        <v/>
      </c>
      <c r="Y21" s="4" t="str">
        <f t="shared" si="15"/>
        <v/>
      </c>
      <c r="Z21" s="4" t="str">
        <f t="shared" si="16"/>
        <v/>
      </c>
      <c r="AA21" s="4" t="str">
        <f t="shared" si="17"/>
        <v/>
      </c>
      <c r="AB21" s="4" t="str">
        <f t="shared" si="18"/>
        <v/>
      </c>
      <c r="AC21" s="4" t="str">
        <f t="shared" si="19"/>
        <v/>
      </c>
      <c r="AD21" s="4" t="str">
        <f>IF(OR(N21="",Y21=""),"",IF(Y21&lt;1,"",IFERROR(MATCH($N21&amp;"|"&amp;Y21,Partidos!$Y:$Y,0),IFERROR(MATCH($N21&amp;"|"&amp;Y21,Partidos!$Z:$Z,0),""))))</f>
        <v/>
      </c>
      <c r="AE21" s="4" t="str">
        <f>IF(OR(N21="",Z21=""),"",IF(Z21&lt;1,"",IFERROR(MATCH($N21&amp;"|"&amp;Z21,Partidos!$Y:$Y,0),IFERROR(MATCH($N21&amp;"|"&amp;Z21,Partidos!$Z:$Z,0),""))))</f>
        <v/>
      </c>
      <c r="AF21" s="4" t="str">
        <f>IF(OR(N21="",AA21=""),"",IF(AA21&lt;1,"",IFERROR(MATCH($N21&amp;"|"&amp;AA21,Partidos!$Y:$Y,0),IFERROR(MATCH($N21&amp;"|"&amp;AA21,Partidos!$Z:$Z,0),""))))</f>
        <v/>
      </c>
      <c r="AG21" s="4" t="str">
        <f>IF(OR(N21="",AB21=""),"",IF(AB21&lt;1,"",IFERROR(MATCH($N21&amp;"|"&amp;AB21,Partidos!$Y:$Y,0),IFERROR(MATCH($N21&amp;"|"&amp;AB21,Partidos!$Z:$Z,0),""))))</f>
        <v/>
      </c>
      <c r="AH21" s="4" t="str">
        <f>IF(OR(N21="",AC21=""),"",IF(AC21&lt;1,"",IFERROR(MATCH($N21&amp;"|"&amp;AC21,Partidos!$Y:$Y,0),IFERROR(MATCH($N21&amp;"|"&amp;AC21,Partidos!$Z:$Z,0),""))))</f>
        <v/>
      </c>
      <c r="AI21" s="4" t="str">
        <f>IF(AD21="","",IF(INDEX(Partidos!$C:$C,AD21)=$N21,IF(INDEX(Partidos!$E:$E,AD21)&gt;INDEX(Partidos!$F:$F,AD21),"V",IF(INDEX(Partidos!$E:$E,AD21)=INDEX(Partidos!$F:$F,AD21),"E","P")),IF(INDEX(Partidos!$F:$F,AD21)&gt;INDEX(Partidos!$E:$E,AD21),"V",IF(INDEX(Partidos!$F:$F,AD21)=INDEX(Partidos!$E:$E,AD21),"E","P"))))</f>
        <v/>
      </c>
      <c r="AJ21" s="4" t="str">
        <f>IF(AE21="","",IF(INDEX(Partidos!$C:$C,AE21)=$N21,IF(INDEX(Partidos!$E:$E,AE21)&gt;INDEX(Partidos!$F:$F,AE21),"V",IF(INDEX(Partidos!$E:$E,AE21)=INDEX(Partidos!$F:$F,AE21),"E","P")),IF(INDEX(Partidos!$F:$F,AE21)&gt;INDEX(Partidos!$E:$E,AE21),"V",IF(INDEX(Partidos!$F:$F,AE21)=INDEX(Partidos!$E:$E,AE21),"E","P"))))</f>
        <v/>
      </c>
      <c r="AK21" s="4" t="str">
        <f>IF(AF21="","",IF(INDEX(Partidos!$C:$C,AF21)=$N21,IF(INDEX(Partidos!$E:$E,AF21)&gt;INDEX(Partidos!$F:$F,AF21),"V",IF(INDEX(Partidos!$E:$E,AF21)=INDEX(Partidos!$F:$F,AF21),"E","P")),IF(INDEX(Partidos!$F:$F,AF21)&gt;INDEX(Partidos!$E:$E,AF21),"V",IF(INDEX(Partidos!$F:$F,AF21)=INDEX(Partidos!$E:$E,AF21),"E","P"))))</f>
        <v/>
      </c>
      <c r="AL21" s="4" t="str">
        <f>IF(AG21="","",IF(INDEX(Partidos!$C:$C,AG21)=$N21,IF(INDEX(Partidos!$E:$E,AG21)&gt;INDEX(Partidos!$F:$F,AG21),"V",IF(INDEX(Partidos!$E:$E,AG21)=INDEX(Partidos!$F:$F,AG21),"E","P")),IF(INDEX(Partidos!$F:$F,AG21)&gt;INDEX(Partidos!$E:$E,AG21),"V",IF(INDEX(Partidos!$F:$F,AG21)=INDEX(Partidos!$E:$E,AG21),"E","P"))))</f>
        <v/>
      </c>
      <c r="AM21" s="4" t="str">
        <f>IF(AH21="","",IF(INDEX(Partidos!$C:$C,AH21)=$N21,IF(INDEX(Partidos!$E:$E,AH21)&gt;INDEX(Partidos!$F:$F,AH21),"V",IF(INDEX(Partidos!$E:$E,AH21)=INDEX(Partidos!$F:$F,AH21),"E","P")),IF(INDEX(Partidos!$F:$F,AH21)&gt;INDEX(Partidos!$E:$E,AH21),"V",IF(INDEX(Partidos!$F:$F,AH21)=INDEX(Partidos!$E:$E,AH21),"E","P"))))</f>
        <v/>
      </c>
      <c r="AN21" s="4" t="str">
        <f t="shared" si="20"/>
        <v/>
      </c>
      <c r="AO21" s="4" t="str">
        <f t="shared" si="21"/>
        <v/>
      </c>
      <c r="AP21" s="4" t="str">
        <f>IF(AO21=1,SUMPRODUCT(($AO$2:AO21=1)*1),"")</f>
        <v/>
      </c>
      <c r="AQ21" s="4" t="str">
        <f t="shared" si="22"/>
        <v/>
      </c>
      <c r="AR21" s="4" t="str">
        <f t="shared" si="23"/>
        <v/>
      </c>
      <c r="AS21" s="4" t="str">
        <f>IF(AR21=1,SUMPRODUCT(($AR$2:AR21=1)*1),"")</f>
        <v/>
      </c>
      <c r="AT21" s="4" t="str">
        <f t="shared" si="24"/>
        <v/>
      </c>
    </row>
    <row r="22" spans="1:46" ht="15" customHeight="1" x14ac:dyDescent="0.25">
      <c r="A22" s="8" t="str">
        <f>IF(COUNT($X$2:$X$61)&gt;=21,21,"")</f>
        <v/>
      </c>
      <c r="B22" s="8" t="str">
        <f t="shared" si="0"/>
        <v/>
      </c>
      <c r="C22" s="8" t="str">
        <f t="shared" si="1"/>
        <v/>
      </c>
      <c r="D22" s="8" t="str">
        <f t="shared" si="2"/>
        <v/>
      </c>
      <c r="E22" s="8" t="str">
        <f t="shared" si="3"/>
        <v/>
      </c>
      <c r="F22" s="8" t="str">
        <f t="shared" si="4"/>
        <v/>
      </c>
      <c r="G22" s="8" t="str">
        <f t="shared" si="5"/>
        <v/>
      </c>
      <c r="H22" s="8" t="str">
        <f t="shared" si="6"/>
        <v/>
      </c>
      <c r="I22" s="8" t="str">
        <f t="shared" si="7"/>
        <v/>
      </c>
      <c r="J22" s="8" t="str">
        <f t="shared" si="8"/>
        <v/>
      </c>
      <c r="K22" s="8" t="str">
        <f t="shared" si="9"/>
        <v/>
      </c>
      <c r="N22" s="4" t="str">
        <f>IFERROR(INDEX(Partidos!$C$2:$C$1401,MATCH("TEAM|21",Partidos!$AE$2:$AE$1401,0)),IFERROR(INDEX(Partidos!$D$2:$D$1401,MATCH("TEAM|21",Partidos!$AF$2:$AF$1401,0)),""))</f>
        <v/>
      </c>
      <c r="O22" s="4" t="str">
        <f>IF(N22="","",COUNTIF(Partidos!$C$2:$C$1401,N22)+COUNTIF(Partidos!$D$2:$D$1401,N22))</f>
        <v/>
      </c>
      <c r="P22" s="4" t="str">
        <f>IF(N22="","",SUMPRODUCT((Partidos!$C$2:$C$1401=N22)*(Partidos!$E$2:$E$1401&gt;Partidos!$F$2:$F$1401))+SUMPRODUCT((Partidos!$D$2:$D$1401=N22)*(Partidos!$F$2:$F$1401&gt;Partidos!$E$2:$E$1401)))</f>
        <v/>
      </c>
      <c r="Q22" s="4" t="str">
        <f>IF(N22="","",SUMPRODUCT((((Partidos!$C$2:$C$1401=N22)+(Partidos!$D$2:$D$1401=N22)))*(Partidos!$E$2:$E$1401=Partidos!$F$2:$F$1401)*(Partidos!$C$2:$C$1401&lt;&gt;"")))</f>
        <v/>
      </c>
      <c r="R22" s="4" t="str">
        <f t="shared" si="10"/>
        <v/>
      </c>
      <c r="S22" s="4" t="str">
        <f>IF(N22="","",SUMIF(Partidos!$C$2:$C$1401,N22,Partidos!$E$2:$E$1401)+SUMIF(Partidos!$D$2:$D$1401,N22,Partidos!$F$2:$F$1401))</f>
        <v/>
      </c>
      <c r="T22" s="4" t="str">
        <f>IF(N22="","",SUMIF(Partidos!$C$2:$C$1401,N22,Partidos!$F$2:$F$1401)+SUMIF(Partidos!$D$2:$D$1401,N22,Partidos!$E$2:$E$1401))</f>
        <v/>
      </c>
      <c r="U22" s="4" t="str">
        <f t="shared" si="11"/>
        <v/>
      </c>
      <c r="V22" s="4" t="str">
        <f t="shared" si="12"/>
        <v/>
      </c>
      <c r="W22" s="4" t="str">
        <f t="shared" si="13"/>
        <v/>
      </c>
      <c r="X22" s="4" t="str">
        <f t="shared" si="14"/>
        <v/>
      </c>
      <c r="Y22" s="4" t="str">
        <f t="shared" si="15"/>
        <v/>
      </c>
      <c r="Z22" s="4" t="str">
        <f t="shared" si="16"/>
        <v/>
      </c>
      <c r="AA22" s="4" t="str">
        <f t="shared" si="17"/>
        <v/>
      </c>
      <c r="AB22" s="4" t="str">
        <f t="shared" si="18"/>
        <v/>
      </c>
      <c r="AC22" s="4" t="str">
        <f t="shared" si="19"/>
        <v/>
      </c>
      <c r="AD22" s="4" t="str">
        <f>IF(OR(N22="",Y22=""),"",IF(Y22&lt;1,"",IFERROR(MATCH($N22&amp;"|"&amp;Y22,Partidos!$Y:$Y,0),IFERROR(MATCH($N22&amp;"|"&amp;Y22,Partidos!$Z:$Z,0),""))))</f>
        <v/>
      </c>
      <c r="AE22" s="4" t="str">
        <f>IF(OR(N22="",Z22=""),"",IF(Z22&lt;1,"",IFERROR(MATCH($N22&amp;"|"&amp;Z22,Partidos!$Y:$Y,0),IFERROR(MATCH($N22&amp;"|"&amp;Z22,Partidos!$Z:$Z,0),""))))</f>
        <v/>
      </c>
      <c r="AF22" s="4" t="str">
        <f>IF(OR(N22="",AA22=""),"",IF(AA22&lt;1,"",IFERROR(MATCH($N22&amp;"|"&amp;AA22,Partidos!$Y:$Y,0),IFERROR(MATCH($N22&amp;"|"&amp;AA22,Partidos!$Z:$Z,0),""))))</f>
        <v/>
      </c>
      <c r="AG22" s="4" t="str">
        <f>IF(OR(N22="",AB22=""),"",IF(AB22&lt;1,"",IFERROR(MATCH($N22&amp;"|"&amp;AB22,Partidos!$Y:$Y,0),IFERROR(MATCH($N22&amp;"|"&amp;AB22,Partidos!$Z:$Z,0),""))))</f>
        <v/>
      </c>
      <c r="AH22" s="4" t="str">
        <f>IF(OR(N22="",AC22=""),"",IF(AC22&lt;1,"",IFERROR(MATCH($N22&amp;"|"&amp;AC22,Partidos!$Y:$Y,0),IFERROR(MATCH($N22&amp;"|"&amp;AC22,Partidos!$Z:$Z,0),""))))</f>
        <v/>
      </c>
      <c r="AI22" s="4" t="str">
        <f>IF(AD22="","",IF(INDEX(Partidos!$C:$C,AD22)=$N22,IF(INDEX(Partidos!$E:$E,AD22)&gt;INDEX(Partidos!$F:$F,AD22),"V",IF(INDEX(Partidos!$E:$E,AD22)=INDEX(Partidos!$F:$F,AD22),"E","P")),IF(INDEX(Partidos!$F:$F,AD22)&gt;INDEX(Partidos!$E:$E,AD22),"V",IF(INDEX(Partidos!$F:$F,AD22)=INDEX(Partidos!$E:$E,AD22),"E","P"))))</f>
        <v/>
      </c>
      <c r="AJ22" s="4" t="str">
        <f>IF(AE22="","",IF(INDEX(Partidos!$C:$C,AE22)=$N22,IF(INDEX(Partidos!$E:$E,AE22)&gt;INDEX(Partidos!$F:$F,AE22),"V",IF(INDEX(Partidos!$E:$E,AE22)=INDEX(Partidos!$F:$F,AE22),"E","P")),IF(INDEX(Partidos!$F:$F,AE22)&gt;INDEX(Partidos!$E:$E,AE22),"V",IF(INDEX(Partidos!$F:$F,AE22)=INDEX(Partidos!$E:$E,AE22),"E","P"))))</f>
        <v/>
      </c>
      <c r="AK22" s="4" t="str">
        <f>IF(AF22="","",IF(INDEX(Partidos!$C:$C,AF22)=$N22,IF(INDEX(Partidos!$E:$E,AF22)&gt;INDEX(Partidos!$F:$F,AF22),"V",IF(INDEX(Partidos!$E:$E,AF22)=INDEX(Partidos!$F:$F,AF22),"E","P")),IF(INDEX(Partidos!$F:$F,AF22)&gt;INDEX(Partidos!$E:$E,AF22),"V",IF(INDEX(Partidos!$F:$F,AF22)=INDEX(Partidos!$E:$E,AF22),"E","P"))))</f>
        <v/>
      </c>
      <c r="AL22" s="4" t="str">
        <f>IF(AG22="","",IF(INDEX(Partidos!$C:$C,AG22)=$N22,IF(INDEX(Partidos!$E:$E,AG22)&gt;INDEX(Partidos!$F:$F,AG22),"V",IF(INDEX(Partidos!$E:$E,AG22)=INDEX(Partidos!$F:$F,AG22),"E","P")),IF(INDEX(Partidos!$F:$F,AG22)&gt;INDEX(Partidos!$E:$E,AG22),"V",IF(INDEX(Partidos!$F:$F,AG22)=INDEX(Partidos!$E:$E,AG22),"E","P"))))</f>
        <v/>
      </c>
      <c r="AM22" s="4" t="str">
        <f>IF(AH22="","",IF(INDEX(Partidos!$C:$C,AH22)=$N22,IF(INDEX(Partidos!$E:$E,AH22)&gt;INDEX(Partidos!$F:$F,AH22),"V",IF(INDEX(Partidos!$E:$E,AH22)=INDEX(Partidos!$F:$F,AH22),"E","P")),IF(INDEX(Partidos!$F:$F,AH22)&gt;INDEX(Partidos!$E:$E,AH22),"V",IF(INDEX(Partidos!$F:$F,AH22)=INDEX(Partidos!$E:$E,AH22),"E","P"))))</f>
        <v/>
      </c>
      <c r="AN22" s="4" t="str">
        <f t="shared" si="20"/>
        <v/>
      </c>
      <c r="AO22" s="4" t="str">
        <f t="shared" si="21"/>
        <v/>
      </c>
      <c r="AP22" s="4" t="str">
        <f>IF(AO22=1,SUMPRODUCT(($AO$2:AO22=1)*1),"")</f>
        <v/>
      </c>
      <c r="AQ22" s="4" t="str">
        <f t="shared" si="22"/>
        <v/>
      </c>
      <c r="AR22" s="4" t="str">
        <f t="shared" si="23"/>
        <v/>
      </c>
      <c r="AS22" s="4" t="str">
        <f>IF(AR22=1,SUMPRODUCT(($AR$2:AR22=1)*1),"")</f>
        <v/>
      </c>
      <c r="AT22" s="4" t="str">
        <f t="shared" si="24"/>
        <v/>
      </c>
    </row>
    <row r="23" spans="1:46" ht="15" customHeight="1" x14ac:dyDescent="0.25">
      <c r="A23" s="8" t="str">
        <f>IF(COUNT($X$2:$X$61)&gt;=22,22,"")</f>
        <v/>
      </c>
      <c r="B23" s="8" t="str">
        <f t="shared" si="0"/>
        <v/>
      </c>
      <c r="C23" s="8" t="str">
        <f t="shared" si="1"/>
        <v/>
      </c>
      <c r="D23" s="8" t="str">
        <f t="shared" si="2"/>
        <v/>
      </c>
      <c r="E23" s="8" t="str">
        <f t="shared" si="3"/>
        <v/>
      </c>
      <c r="F23" s="8" t="str">
        <f t="shared" si="4"/>
        <v/>
      </c>
      <c r="G23" s="8" t="str">
        <f t="shared" si="5"/>
        <v/>
      </c>
      <c r="H23" s="8" t="str">
        <f t="shared" si="6"/>
        <v/>
      </c>
      <c r="I23" s="8" t="str">
        <f t="shared" si="7"/>
        <v/>
      </c>
      <c r="J23" s="8" t="str">
        <f t="shared" si="8"/>
        <v/>
      </c>
      <c r="K23" s="8" t="str">
        <f t="shared" si="9"/>
        <v/>
      </c>
      <c r="N23" s="4" t="str">
        <f>IFERROR(INDEX(Partidos!$C$2:$C$1401,MATCH("TEAM|22",Partidos!$AE$2:$AE$1401,0)),IFERROR(INDEX(Partidos!$D$2:$D$1401,MATCH("TEAM|22",Partidos!$AF$2:$AF$1401,0)),""))</f>
        <v/>
      </c>
      <c r="O23" s="4" t="str">
        <f>IF(N23="","",COUNTIF(Partidos!$C$2:$C$1401,N23)+COUNTIF(Partidos!$D$2:$D$1401,N23))</f>
        <v/>
      </c>
      <c r="P23" s="4" t="str">
        <f>IF(N23="","",SUMPRODUCT((Partidos!$C$2:$C$1401=N23)*(Partidos!$E$2:$E$1401&gt;Partidos!$F$2:$F$1401))+SUMPRODUCT((Partidos!$D$2:$D$1401=N23)*(Partidos!$F$2:$F$1401&gt;Partidos!$E$2:$E$1401)))</f>
        <v/>
      </c>
      <c r="Q23" s="4" t="str">
        <f>IF(N23="","",SUMPRODUCT((((Partidos!$C$2:$C$1401=N23)+(Partidos!$D$2:$D$1401=N23)))*(Partidos!$E$2:$E$1401=Partidos!$F$2:$F$1401)*(Partidos!$C$2:$C$1401&lt;&gt;"")))</f>
        <v/>
      </c>
      <c r="R23" s="4" t="str">
        <f t="shared" si="10"/>
        <v/>
      </c>
      <c r="S23" s="4" t="str">
        <f>IF(N23="","",SUMIF(Partidos!$C$2:$C$1401,N23,Partidos!$E$2:$E$1401)+SUMIF(Partidos!$D$2:$D$1401,N23,Partidos!$F$2:$F$1401))</f>
        <v/>
      </c>
      <c r="T23" s="4" t="str">
        <f>IF(N23="","",SUMIF(Partidos!$C$2:$C$1401,N23,Partidos!$F$2:$F$1401)+SUMIF(Partidos!$D$2:$D$1401,N23,Partidos!$E$2:$E$1401))</f>
        <v/>
      </c>
      <c r="U23" s="4" t="str">
        <f t="shared" si="11"/>
        <v/>
      </c>
      <c r="V23" s="4" t="str">
        <f t="shared" si="12"/>
        <v/>
      </c>
      <c r="W23" s="4" t="str">
        <f t="shared" si="13"/>
        <v/>
      </c>
      <c r="X23" s="4" t="str">
        <f t="shared" si="14"/>
        <v/>
      </c>
      <c r="Y23" s="4" t="str">
        <f t="shared" si="15"/>
        <v/>
      </c>
      <c r="Z23" s="4" t="str">
        <f t="shared" si="16"/>
        <v/>
      </c>
      <c r="AA23" s="4" t="str">
        <f t="shared" si="17"/>
        <v/>
      </c>
      <c r="AB23" s="4" t="str">
        <f t="shared" si="18"/>
        <v/>
      </c>
      <c r="AC23" s="4" t="str">
        <f t="shared" si="19"/>
        <v/>
      </c>
      <c r="AD23" s="4" t="str">
        <f>IF(OR(N23="",Y23=""),"",IF(Y23&lt;1,"",IFERROR(MATCH($N23&amp;"|"&amp;Y23,Partidos!$Y:$Y,0),IFERROR(MATCH($N23&amp;"|"&amp;Y23,Partidos!$Z:$Z,0),""))))</f>
        <v/>
      </c>
      <c r="AE23" s="4" t="str">
        <f>IF(OR(N23="",Z23=""),"",IF(Z23&lt;1,"",IFERROR(MATCH($N23&amp;"|"&amp;Z23,Partidos!$Y:$Y,0),IFERROR(MATCH($N23&amp;"|"&amp;Z23,Partidos!$Z:$Z,0),""))))</f>
        <v/>
      </c>
      <c r="AF23" s="4" t="str">
        <f>IF(OR(N23="",AA23=""),"",IF(AA23&lt;1,"",IFERROR(MATCH($N23&amp;"|"&amp;AA23,Partidos!$Y:$Y,0),IFERROR(MATCH($N23&amp;"|"&amp;AA23,Partidos!$Z:$Z,0),""))))</f>
        <v/>
      </c>
      <c r="AG23" s="4" t="str">
        <f>IF(OR(N23="",AB23=""),"",IF(AB23&lt;1,"",IFERROR(MATCH($N23&amp;"|"&amp;AB23,Partidos!$Y:$Y,0),IFERROR(MATCH($N23&amp;"|"&amp;AB23,Partidos!$Z:$Z,0),""))))</f>
        <v/>
      </c>
      <c r="AH23" s="4" t="str">
        <f>IF(OR(N23="",AC23=""),"",IF(AC23&lt;1,"",IFERROR(MATCH($N23&amp;"|"&amp;AC23,Partidos!$Y:$Y,0),IFERROR(MATCH($N23&amp;"|"&amp;AC23,Partidos!$Z:$Z,0),""))))</f>
        <v/>
      </c>
      <c r="AI23" s="4" t="str">
        <f>IF(AD23="","",IF(INDEX(Partidos!$C:$C,AD23)=$N23,IF(INDEX(Partidos!$E:$E,AD23)&gt;INDEX(Partidos!$F:$F,AD23),"V",IF(INDEX(Partidos!$E:$E,AD23)=INDEX(Partidos!$F:$F,AD23),"E","P")),IF(INDEX(Partidos!$F:$F,AD23)&gt;INDEX(Partidos!$E:$E,AD23),"V",IF(INDEX(Partidos!$F:$F,AD23)=INDEX(Partidos!$E:$E,AD23),"E","P"))))</f>
        <v/>
      </c>
      <c r="AJ23" s="4" t="str">
        <f>IF(AE23="","",IF(INDEX(Partidos!$C:$C,AE23)=$N23,IF(INDEX(Partidos!$E:$E,AE23)&gt;INDEX(Partidos!$F:$F,AE23),"V",IF(INDEX(Partidos!$E:$E,AE23)=INDEX(Partidos!$F:$F,AE23),"E","P")),IF(INDEX(Partidos!$F:$F,AE23)&gt;INDEX(Partidos!$E:$E,AE23),"V",IF(INDEX(Partidos!$F:$F,AE23)=INDEX(Partidos!$E:$E,AE23),"E","P"))))</f>
        <v/>
      </c>
      <c r="AK23" s="4" t="str">
        <f>IF(AF23="","",IF(INDEX(Partidos!$C:$C,AF23)=$N23,IF(INDEX(Partidos!$E:$E,AF23)&gt;INDEX(Partidos!$F:$F,AF23),"V",IF(INDEX(Partidos!$E:$E,AF23)=INDEX(Partidos!$F:$F,AF23),"E","P")),IF(INDEX(Partidos!$F:$F,AF23)&gt;INDEX(Partidos!$E:$E,AF23),"V",IF(INDEX(Partidos!$F:$F,AF23)=INDEX(Partidos!$E:$E,AF23),"E","P"))))</f>
        <v/>
      </c>
      <c r="AL23" s="4" t="str">
        <f>IF(AG23="","",IF(INDEX(Partidos!$C:$C,AG23)=$N23,IF(INDEX(Partidos!$E:$E,AG23)&gt;INDEX(Partidos!$F:$F,AG23),"V",IF(INDEX(Partidos!$E:$E,AG23)=INDEX(Partidos!$F:$F,AG23),"E","P")),IF(INDEX(Partidos!$F:$F,AG23)&gt;INDEX(Partidos!$E:$E,AG23),"V",IF(INDEX(Partidos!$F:$F,AG23)=INDEX(Partidos!$E:$E,AG23),"E","P"))))</f>
        <v/>
      </c>
      <c r="AM23" s="4" t="str">
        <f>IF(AH23="","",IF(INDEX(Partidos!$C:$C,AH23)=$N23,IF(INDEX(Partidos!$E:$E,AH23)&gt;INDEX(Partidos!$F:$F,AH23),"V",IF(INDEX(Partidos!$E:$E,AH23)=INDEX(Partidos!$F:$F,AH23),"E","P")),IF(INDEX(Partidos!$F:$F,AH23)&gt;INDEX(Partidos!$E:$E,AH23),"V",IF(INDEX(Partidos!$F:$F,AH23)=INDEX(Partidos!$E:$E,AH23),"E","P"))))</f>
        <v/>
      </c>
      <c r="AN23" s="4" t="str">
        <f t="shared" si="20"/>
        <v/>
      </c>
      <c r="AO23" s="4" t="str">
        <f t="shared" si="21"/>
        <v/>
      </c>
      <c r="AP23" s="4" t="str">
        <f>IF(AO23=1,SUMPRODUCT(($AO$2:AO23=1)*1),"")</f>
        <v/>
      </c>
      <c r="AQ23" s="4" t="str">
        <f t="shared" si="22"/>
        <v/>
      </c>
      <c r="AR23" s="4" t="str">
        <f t="shared" si="23"/>
        <v/>
      </c>
      <c r="AS23" s="4" t="str">
        <f>IF(AR23=1,SUMPRODUCT(($AR$2:AR23=1)*1),"")</f>
        <v/>
      </c>
      <c r="AT23" s="4" t="str">
        <f t="shared" si="24"/>
        <v/>
      </c>
    </row>
    <row r="24" spans="1:46" ht="15" customHeight="1" x14ac:dyDescent="0.25">
      <c r="A24" s="8" t="str">
        <f>IF(COUNT($X$2:$X$61)&gt;=23,23,"")</f>
        <v/>
      </c>
      <c r="B24" s="8" t="str">
        <f t="shared" si="0"/>
        <v/>
      </c>
      <c r="C24" s="8" t="str">
        <f t="shared" si="1"/>
        <v/>
      </c>
      <c r="D24" s="8" t="str">
        <f t="shared" si="2"/>
        <v/>
      </c>
      <c r="E24" s="8" t="str">
        <f t="shared" si="3"/>
        <v/>
      </c>
      <c r="F24" s="8" t="str">
        <f t="shared" si="4"/>
        <v/>
      </c>
      <c r="G24" s="8" t="str">
        <f t="shared" si="5"/>
        <v/>
      </c>
      <c r="H24" s="8" t="str">
        <f t="shared" si="6"/>
        <v/>
      </c>
      <c r="I24" s="8" t="str">
        <f t="shared" si="7"/>
        <v/>
      </c>
      <c r="J24" s="8" t="str">
        <f t="shared" si="8"/>
        <v/>
      </c>
      <c r="K24" s="8" t="str">
        <f t="shared" si="9"/>
        <v/>
      </c>
      <c r="N24" s="4" t="str">
        <f>IFERROR(INDEX(Partidos!$C$2:$C$1401,MATCH("TEAM|23",Partidos!$AE$2:$AE$1401,0)),IFERROR(INDEX(Partidos!$D$2:$D$1401,MATCH("TEAM|23",Partidos!$AF$2:$AF$1401,0)),""))</f>
        <v/>
      </c>
      <c r="O24" s="4" t="str">
        <f>IF(N24="","",COUNTIF(Partidos!$C$2:$C$1401,N24)+COUNTIF(Partidos!$D$2:$D$1401,N24))</f>
        <v/>
      </c>
      <c r="P24" s="4" t="str">
        <f>IF(N24="","",SUMPRODUCT((Partidos!$C$2:$C$1401=N24)*(Partidos!$E$2:$E$1401&gt;Partidos!$F$2:$F$1401))+SUMPRODUCT((Partidos!$D$2:$D$1401=N24)*(Partidos!$F$2:$F$1401&gt;Partidos!$E$2:$E$1401)))</f>
        <v/>
      </c>
      <c r="Q24" s="4" t="str">
        <f>IF(N24="","",SUMPRODUCT((((Partidos!$C$2:$C$1401=N24)+(Partidos!$D$2:$D$1401=N24)))*(Partidos!$E$2:$E$1401=Partidos!$F$2:$F$1401)*(Partidos!$C$2:$C$1401&lt;&gt;"")))</f>
        <v/>
      </c>
      <c r="R24" s="4" t="str">
        <f t="shared" si="10"/>
        <v/>
      </c>
      <c r="S24" s="4" t="str">
        <f>IF(N24="","",SUMIF(Partidos!$C$2:$C$1401,N24,Partidos!$E$2:$E$1401)+SUMIF(Partidos!$D$2:$D$1401,N24,Partidos!$F$2:$F$1401))</f>
        <v/>
      </c>
      <c r="T24" s="4" t="str">
        <f>IF(N24="","",SUMIF(Partidos!$C$2:$C$1401,N24,Partidos!$F$2:$F$1401)+SUMIF(Partidos!$D$2:$D$1401,N24,Partidos!$E$2:$E$1401))</f>
        <v/>
      </c>
      <c r="U24" s="4" t="str">
        <f t="shared" si="11"/>
        <v/>
      </c>
      <c r="V24" s="4" t="str">
        <f t="shared" si="12"/>
        <v/>
      </c>
      <c r="W24" s="4" t="str">
        <f t="shared" si="13"/>
        <v/>
      </c>
      <c r="X24" s="4" t="str">
        <f t="shared" si="14"/>
        <v/>
      </c>
      <c r="Y24" s="4" t="str">
        <f t="shared" si="15"/>
        <v/>
      </c>
      <c r="Z24" s="4" t="str">
        <f t="shared" si="16"/>
        <v/>
      </c>
      <c r="AA24" s="4" t="str">
        <f t="shared" si="17"/>
        <v/>
      </c>
      <c r="AB24" s="4" t="str">
        <f t="shared" si="18"/>
        <v/>
      </c>
      <c r="AC24" s="4" t="str">
        <f t="shared" si="19"/>
        <v/>
      </c>
      <c r="AD24" s="4" t="str">
        <f>IF(OR(N24="",Y24=""),"",IF(Y24&lt;1,"",IFERROR(MATCH($N24&amp;"|"&amp;Y24,Partidos!$Y:$Y,0),IFERROR(MATCH($N24&amp;"|"&amp;Y24,Partidos!$Z:$Z,0),""))))</f>
        <v/>
      </c>
      <c r="AE24" s="4" t="str">
        <f>IF(OR(N24="",Z24=""),"",IF(Z24&lt;1,"",IFERROR(MATCH($N24&amp;"|"&amp;Z24,Partidos!$Y:$Y,0),IFERROR(MATCH($N24&amp;"|"&amp;Z24,Partidos!$Z:$Z,0),""))))</f>
        <v/>
      </c>
      <c r="AF24" s="4" t="str">
        <f>IF(OR(N24="",AA24=""),"",IF(AA24&lt;1,"",IFERROR(MATCH($N24&amp;"|"&amp;AA24,Partidos!$Y:$Y,0),IFERROR(MATCH($N24&amp;"|"&amp;AA24,Partidos!$Z:$Z,0),""))))</f>
        <v/>
      </c>
      <c r="AG24" s="4" t="str">
        <f>IF(OR(N24="",AB24=""),"",IF(AB24&lt;1,"",IFERROR(MATCH($N24&amp;"|"&amp;AB24,Partidos!$Y:$Y,0),IFERROR(MATCH($N24&amp;"|"&amp;AB24,Partidos!$Z:$Z,0),""))))</f>
        <v/>
      </c>
      <c r="AH24" s="4" t="str">
        <f>IF(OR(N24="",AC24=""),"",IF(AC24&lt;1,"",IFERROR(MATCH($N24&amp;"|"&amp;AC24,Partidos!$Y:$Y,0),IFERROR(MATCH($N24&amp;"|"&amp;AC24,Partidos!$Z:$Z,0),""))))</f>
        <v/>
      </c>
      <c r="AI24" s="4" t="str">
        <f>IF(AD24="","",IF(INDEX(Partidos!$C:$C,AD24)=$N24,IF(INDEX(Partidos!$E:$E,AD24)&gt;INDEX(Partidos!$F:$F,AD24),"V",IF(INDEX(Partidos!$E:$E,AD24)=INDEX(Partidos!$F:$F,AD24),"E","P")),IF(INDEX(Partidos!$F:$F,AD24)&gt;INDEX(Partidos!$E:$E,AD24),"V",IF(INDEX(Partidos!$F:$F,AD24)=INDEX(Partidos!$E:$E,AD24),"E","P"))))</f>
        <v/>
      </c>
      <c r="AJ24" s="4" t="str">
        <f>IF(AE24="","",IF(INDEX(Partidos!$C:$C,AE24)=$N24,IF(INDEX(Partidos!$E:$E,AE24)&gt;INDEX(Partidos!$F:$F,AE24),"V",IF(INDEX(Partidos!$E:$E,AE24)=INDEX(Partidos!$F:$F,AE24),"E","P")),IF(INDEX(Partidos!$F:$F,AE24)&gt;INDEX(Partidos!$E:$E,AE24),"V",IF(INDEX(Partidos!$F:$F,AE24)=INDEX(Partidos!$E:$E,AE24),"E","P"))))</f>
        <v/>
      </c>
      <c r="AK24" s="4" t="str">
        <f>IF(AF24="","",IF(INDEX(Partidos!$C:$C,AF24)=$N24,IF(INDEX(Partidos!$E:$E,AF24)&gt;INDEX(Partidos!$F:$F,AF24),"V",IF(INDEX(Partidos!$E:$E,AF24)=INDEX(Partidos!$F:$F,AF24),"E","P")),IF(INDEX(Partidos!$F:$F,AF24)&gt;INDEX(Partidos!$E:$E,AF24),"V",IF(INDEX(Partidos!$F:$F,AF24)=INDEX(Partidos!$E:$E,AF24),"E","P"))))</f>
        <v/>
      </c>
      <c r="AL24" s="4" t="str">
        <f>IF(AG24="","",IF(INDEX(Partidos!$C:$C,AG24)=$N24,IF(INDEX(Partidos!$E:$E,AG24)&gt;INDEX(Partidos!$F:$F,AG24),"V",IF(INDEX(Partidos!$E:$E,AG24)=INDEX(Partidos!$F:$F,AG24),"E","P")),IF(INDEX(Partidos!$F:$F,AG24)&gt;INDEX(Partidos!$E:$E,AG24),"V",IF(INDEX(Partidos!$F:$F,AG24)=INDEX(Partidos!$E:$E,AG24),"E","P"))))</f>
        <v/>
      </c>
      <c r="AM24" s="4" t="str">
        <f>IF(AH24="","",IF(INDEX(Partidos!$C:$C,AH24)=$N24,IF(INDEX(Partidos!$E:$E,AH24)&gt;INDEX(Partidos!$F:$F,AH24),"V",IF(INDEX(Partidos!$E:$E,AH24)=INDEX(Partidos!$F:$F,AH24),"E","P")),IF(INDEX(Partidos!$F:$F,AH24)&gt;INDEX(Partidos!$E:$E,AH24),"V",IF(INDEX(Partidos!$F:$F,AH24)=INDEX(Partidos!$E:$E,AH24),"E","P"))))</f>
        <v/>
      </c>
      <c r="AN24" s="4" t="str">
        <f t="shared" si="20"/>
        <v/>
      </c>
      <c r="AO24" s="4" t="str">
        <f t="shared" si="21"/>
        <v/>
      </c>
      <c r="AP24" s="4" t="str">
        <f>IF(AO24=1,SUMPRODUCT(($AO$2:AO24=1)*1),"")</f>
        <v/>
      </c>
      <c r="AQ24" s="4" t="str">
        <f t="shared" si="22"/>
        <v/>
      </c>
      <c r="AR24" s="4" t="str">
        <f t="shared" si="23"/>
        <v/>
      </c>
      <c r="AS24" s="4" t="str">
        <f>IF(AR24=1,SUMPRODUCT(($AR$2:AR24=1)*1),"")</f>
        <v/>
      </c>
      <c r="AT24" s="4" t="str">
        <f t="shared" si="24"/>
        <v/>
      </c>
    </row>
    <row r="25" spans="1:46" ht="15" customHeight="1" x14ac:dyDescent="0.25">
      <c r="A25" s="8" t="str">
        <f>IF(COUNT($X$2:$X$61)&gt;=24,24,"")</f>
        <v/>
      </c>
      <c r="B25" s="8" t="str">
        <f t="shared" si="0"/>
        <v/>
      </c>
      <c r="C25" s="8" t="str">
        <f t="shared" si="1"/>
        <v/>
      </c>
      <c r="D25" s="8" t="str">
        <f t="shared" si="2"/>
        <v/>
      </c>
      <c r="E25" s="8" t="str">
        <f t="shared" si="3"/>
        <v/>
      </c>
      <c r="F25" s="8" t="str">
        <f t="shared" si="4"/>
        <v/>
      </c>
      <c r="G25" s="8" t="str">
        <f t="shared" si="5"/>
        <v/>
      </c>
      <c r="H25" s="8" t="str">
        <f t="shared" si="6"/>
        <v/>
      </c>
      <c r="I25" s="8" t="str">
        <f t="shared" si="7"/>
        <v/>
      </c>
      <c r="J25" s="8" t="str">
        <f t="shared" si="8"/>
        <v/>
      </c>
      <c r="K25" s="8" t="str">
        <f t="shared" si="9"/>
        <v/>
      </c>
      <c r="N25" s="4" t="str">
        <f>IFERROR(INDEX(Partidos!$C$2:$C$1401,MATCH("TEAM|24",Partidos!$AE$2:$AE$1401,0)),IFERROR(INDEX(Partidos!$D$2:$D$1401,MATCH("TEAM|24",Partidos!$AF$2:$AF$1401,0)),""))</f>
        <v/>
      </c>
      <c r="O25" s="4" t="str">
        <f>IF(N25="","",COUNTIF(Partidos!$C$2:$C$1401,N25)+COUNTIF(Partidos!$D$2:$D$1401,N25))</f>
        <v/>
      </c>
      <c r="P25" s="4" t="str">
        <f>IF(N25="","",SUMPRODUCT((Partidos!$C$2:$C$1401=N25)*(Partidos!$E$2:$E$1401&gt;Partidos!$F$2:$F$1401))+SUMPRODUCT((Partidos!$D$2:$D$1401=N25)*(Partidos!$F$2:$F$1401&gt;Partidos!$E$2:$E$1401)))</f>
        <v/>
      </c>
      <c r="Q25" s="4" t="str">
        <f>IF(N25="","",SUMPRODUCT((((Partidos!$C$2:$C$1401=N25)+(Partidos!$D$2:$D$1401=N25)))*(Partidos!$E$2:$E$1401=Partidos!$F$2:$F$1401)*(Partidos!$C$2:$C$1401&lt;&gt;"")))</f>
        <v/>
      </c>
      <c r="R25" s="4" t="str">
        <f t="shared" si="10"/>
        <v/>
      </c>
      <c r="S25" s="4" t="str">
        <f>IF(N25="","",SUMIF(Partidos!$C$2:$C$1401,N25,Partidos!$E$2:$E$1401)+SUMIF(Partidos!$D$2:$D$1401,N25,Partidos!$F$2:$F$1401))</f>
        <v/>
      </c>
      <c r="T25" s="4" t="str">
        <f>IF(N25="","",SUMIF(Partidos!$C$2:$C$1401,N25,Partidos!$F$2:$F$1401)+SUMIF(Partidos!$D$2:$D$1401,N25,Partidos!$E$2:$E$1401))</f>
        <v/>
      </c>
      <c r="U25" s="4" t="str">
        <f t="shared" si="11"/>
        <v/>
      </c>
      <c r="V25" s="4" t="str">
        <f t="shared" si="12"/>
        <v/>
      </c>
      <c r="W25" s="4" t="str">
        <f t="shared" si="13"/>
        <v/>
      </c>
      <c r="X25" s="4" t="str">
        <f t="shared" si="14"/>
        <v/>
      </c>
      <c r="Y25" s="4" t="str">
        <f t="shared" si="15"/>
        <v/>
      </c>
      <c r="Z25" s="4" t="str">
        <f t="shared" si="16"/>
        <v/>
      </c>
      <c r="AA25" s="4" t="str">
        <f t="shared" si="17"/>
        <v/>
      </c>
      <c r="AB25" s="4" t="str">
        <f t="shared" si="18"/>
        <v/>
      </c>
      <c r="AC25" s="4" t="str">
        <f t="shared" si="19"/>
        <v/>
      </c>
      <c r="AD25" s="4" t="str">
        <f>IF(OR(N25="",Y25=""),"",IF(Y25&lt;1,"",IFERROR(MATCH($N25&amp;"|"&amp;Y25,Partidos!$Y:$Y,0),IFERROR(MATCH($N25&amp;"|"&amp;Y25,Partidos!$Z:$Z,0),""))))</f>
        <v/>
      </c>
      <c r="AE25" s="4" t="str">
        <f>IF(OR(N25="",Z25=""),"",IF(Z25&lt;1,"",IFERROR(MATCH($N25&amp;"|"&amp;Z25,Partidos!$Y:$Y,0),IFERROR(MATCH($N25&amp;"|"&amp;Z25,Partidos!$Z:$Z,0),""))))</f>
        <v/>
      </c>
      <c r="AF25" s="4" t="str">
        <f>IF(OR(N25="",AA25=""),"",IF(AA25&lt;1,"",IFERROR(MATCH($N25&amp;"|"&amp;AA25,Partidos!$Y:$Y,0),IFERROR(MATCH($N25&amp;"|"&amp;AA25,Partidos!$Z:$Z,0),""))))</f>
        <v/>
      </c>
      <c r="AG25" s="4" t="str">
        <f>IF(OR(N25="",AB25=""),"",IF(AB25&lt;1,"",IFERROR(MATCH($N25&amp;"|"&amp;AB25,Partidos!$Y:$Y,0),IFERROR(MATCH($N25&amp;"|"&amp;AB25,Partidos!$Z:$Z,0),""))))</f>
        <v/>
      </c>
      <c r="AH25" s="4" t="str">
        <f>IF(OR(N25="",AC25=""),"",IF(AC25&lt;1,"",IFERROR(MATCH($N25&amp;"|"&amp;AC25,Partidos!$Y:$Y,0),IFERROR(MATCH($N25&amp;"|"&amp;AC25,Partidos!$Z:$Z,0),""))))</f>
        <v/>
      </c>
      <c r="AI25" s="4" t="str">
        <f>IF(AD25="","",IF(INDEX(Partidos!$C:$C,AD25)=$N25,IF(INDEX(Partidos!$E:$E,AD25)&gt;INDEX(Partidos!$F:$F,AD25),"V",IF(INDEX(Partidos!$E:$E,AD25)=INDEX(Partidos!$F:$F,AD25),"E","P")),IF(INDEX(Partidos!$F:$F,AD25)&gt;INDEX(Partidos!$E:$E,AD25),"V",IF(INDEX(Partidos!$F:$F,AD25)=INDEX(Partidos!$E:$E,AD25),"E","P"))))</f>
        <v/>
      </c>
      <c r="AJ25" s="4" t="str">
        <f>IF(AE25="","",IF(INDEX(Partidos!$C:$C,AE25)=$N25,IF(INDEX(Partidos!$E:$E,AE25)&gt;INDEX(Partidos!$F:$F,AE25),"V",IF(INDEX(Partidos!$E:$E,AE25)=INDEX(Partidos!$F:$F,AE25),"E","P")),IF(INDEX(Partidos!$F:$F,AE25)&gt;INDEX(Partidos!$E:$E,AE25),"V",IF(INDEX(Partidos!$F:$F,AE25)=INDEX(Partidos!$E:$E,AE25),"E","P"))))</f>
        <v/>
      </c>
      <c r="AK25" s="4" t="str">
        <f>IF(AF25="","",IF(INDEX(Partidos!$C:$C,AF25)=$N25,IF(INDEX(Partidos!$E:$E,AF25)&gt;INDEX(Partidos!$F:$F,AF25),"V",IF(INDEX(Partidos!$E:$E,AF25)=INDEX(Partidos!$F:$F,AF25),"E","P")),IF(INDEX(Partidos!$F:$F,AF25)&gt;INDEX(Partidos!$E:$E,AF25),"V",IF(INDEX(Partidos!$F:$F,AF25)=INDEX(Partidos!$E:$E,AF25),"E","P"))))</f>
        <v/>
      </c>
      <c r="AL25" s="4" t="str">
        <f>IF(AG25="","",IF(INDEX(Partidos!$C:$C,AG25)=$N25,IF(INDEX(Partidos!$E:$E,AG25)&gt;INDEX(Partidos!$F:$F,AG25),"V",IF(INDEX(Partidos!$E:$E,AG25)=INDEX(Partidos!$F:$F,AG25),"E","P")),IF(INDEX(Partidos!$F:$F,AG25)&gt;INDEX(Partidos!$E:$E,AG25),"V",IF(INDEX(Partidos!$F:$F,AG25)=INDEX(Partidos!$E:$E,AG25),"E","P"))))</f>
        <v/>
      </c>
      <c r="AM25" s="4" t="str">
        <f>IF(AH25="","",IF(INDEX(Partidos!$C:$C,AH25)=$N25,IF(INDEX(Partidos!$E:$E,AH25)&gt;INDEX(Partidos!$F:$F,AH25),"V",IF(INDEX(Partidos!$E:$E,AH25)=INDEX(Partidos!$F:$F,AH25),"E","P")),IF(INDEX(Partidos!$F:$F,AH25)&gt;INDEX(Partidos!$E:$E,AH25),"V",IF(INDEX(Partidos!$F:$F,AH25)=INDEX(Partidos!$E:$E,AH25),"E","P"))))</f>
        <v/>
      </c>
      <c r="AN25" s="4" t="str">
        <f t="shared" si="20"/>
        <v/>
      </c>
      <c r="AO25" s="4" t="str">
        <f t="shared" si="21"/>
        <v/>
      </c>
      <c r="AP25" s="4" t="str">
        <f>IF(AO25=1,SUMPRODUCT(($AO$2:AO25=1)*1),"")</f>
        <v/>
      </c>
      <c r="AQ25" s="4" t="str">
        <f t="shared" si="22"/>
        <v/>
      </c>
      <c r="AR25" s="4" t="str">
        <f t="shared" si="23"/>
        <v/>
      </c>
      <c r="AS25" s="4" t="str">
        <f>IF(AR25=1,SUMPRODUCT(($AR$2:AR25=1)*1),"")</f>
        <v/>
      </c>
      <c r="AT25" s="4" t="str">
        <f t="shared" si="24"/>
        <v/>
      </c>
    </row>
    <row r="26" spans="1:46" ht="15" customHeight="1" x14ac:dyDescent="0.25">
      <c r="A26" s="8" t="str">
        <f>IF(COUNT($X$2:$X$61)&gt;=25,25,"")</f>
        <v/>
      </c>
      <c r="B26" s="8" t="str">
        <f t="shared" si="0"/>
        <v/>
      </c>
      <c r="C26" s="8" t="str">
        <f t="shared" si="1"/>
        <v/>
      </c>
      <c r="D26" s="8" t="str">
        <f t="shared" si="2"/>
        <v/>
      </c>
      <c r="E26" s="8" t="str">
        <f t="shared" si="3"/>
        <v/>
      </c>
      <c r="F26" s="8" t="str">
        <f t="shared" si="4"/>
        <v/>
      </c>
      <c r="G26" s="8" t="str">
        <f t="shared" si="5"/>
        <v/>
      </c>
      <c r="H26" s="8" t="str">
        <f t="shared" si="6"/>
        <v/>
      </c>
      <c r="I26" s="8" t="str">
        <f t="shared" si="7"/>
        <v/>
      </c>
      <c r="J26" s="8" t="str">
        <f t="shared" si="8"/>
        <v/>
      </c>
      <c r="K26" s="8" t="str">
        <f t="shared" si="9"/>
        <v/>
      </c>
      <c r="N26" s="4" t="str">
        <f>IFERROR(INDEX(Partidos!$C$2:$C$1401,MATCH("TEAM|25",Partidos!$AE$2:$AE$1401,0)),IFERROR(INDEX(Partidos!$D$2:$D$1401,MATCH("TEAM|25",Partidos!$AF$2:$AF$1401,0)),""))</f>
        <v/>
      </c>
      <c r="O26" s="4" t="str">
        <f>IF(N26="","",COUNTIF(Partidos!$C$2:$C$1401,N26)+COUNTIF(Partidos!$D$2:$D$1401,N26))</f>
        <v/>
      </c>
      <c r="P26" s="4" t="str">
        <f>IF(N26="","",SUMPRODUCT((Partidos!$C$2:$C$1401=N26)*(Partidos!$E$2:$E$1401&gt;Partidos!$F$2:$F$1401))+SUMPRODUCT((Partidos!$D$2:$D$1401=N26)*(Partidos!$F$2:$F$1401&gt;Partidos!$E$2:$E$1401)))</f>
        <v/>
      </c>
      <c r="Q26" s="4" t="str">
        <f>IF(N26="","",SUMPRODUCT((((Partidos!$C$2:$C$1401=N26)+(Partidos!$D$2:$D$1401=N26)))*(Partidos!$E$2:$E$1401=Partidos!$F$2:$F$1401)*(Partidos!$C$2:$C$1401&lt;&gt;"")))</f>
        <v/>
      </c>
      <c r="R26" s="4" t="str">
        <f t="shared" si="10"/>
        <v/>
      </c>
      <c r="S26" s="4" t="str">
        <f>IF(N26="","",SUMIF(Partidos!$C$2:$C$1401,N26,Partidos!$E$2:$E$1401)+SUMIF(Partidos!$D$2:$D$1401,N26,Partidos!$F$2:$F$1401))</f>
        <v/>
      </c>
      <c r="T26" s="4" t="str">
        <f>IF(N26="","",SUMIF(Partidos!$C$2:$C$1401,N26,Partidos!$F$2:$F$1401)+SUMIF(Partidos!$D$2:$D$1401,N26,Partidos!$E$2:$E$1401))</f>
        <v/>
      </c>
      <c r="U26" s="4" t="str">
        <f t="shared" si="11"/>
        <v/>
      </c>
      <c r="V26" s="4" t="str">
        <f t="shared" si="12"/>
        <v/>
      </c>
      <c r="W26" s="4" t="str">
        <f t="shared" si="13"/>
        <v/>
      </c>
      <c r="X26" s="4" t="str">
        <f t="shared" si="14"/>
        <v/>
      </c>
      <c r="Y26" s="4" t="str">
        <f t="shared" si="15"/>
        <v/>
      </c>
      <c r="Z26" s="4" t="str">
        <f t="shared" si="16"/>
        <v/>
      </c>
      <c r="AA26" s="4" t="str">
        <f t="shared" si="17"/>
        <v/>
      </c>
      <c r="AB26" s="4" t="str">
        <f t="shared" si="18"/>
        <v/>
      </c>
      <c r="AC26" s="4" t="str">
        <f t="shared" si="19"/>
        <v/>
      </c>
      <c r="AD26" s="4" t="str">
        <f>IF(OR(N26="",Y26=""),"",IF(Y26&lt;1,"",IFERROR(MATCH($N26&amp;"|"&amp;Y26,Partidos!$Y:$Y,0),IFERROR(MATCH($N26&amp;"|"&amp;Y26,Partidos!$Z:$Z,0),""))))</f>
        <v/>
      </c>
      <c r="AE26" s="4" t="str">
        <f>IF(OR(N26="",Z26=""),"",IF(Z26&lt;1,"",IFERROR(MATCH($N26&amp;"|"&amp;Z26,Partidos!$Y:$Y,0),IFERROR(MATCH($N26&amp;"|"&amp;Z26,Partidos!$Z:$Z,0),""))))</f>
        <v/>
      </c>
      <c r="AF26" s="4" t="str">
        <f>IF(OR(N26="",AA26=""),"",IF(AA26&lt;1,"",IFERROR(MATCH($N26&amp;"|"&amp;AA26,Partidos!$Y:$Y,0),IFERROR(MATCH($N26&amp;"|"&amp;AA26,Partidos!$Z:$Z,0),""))))</f>
        <v/>
      </c>
      <c r="AG26" s="4" t="str">
        <f>IF(OR(N26="",AB26=""),"",IF(AB26&lt;1,"",IFERROR(MATCH($N26&amp;"|"&amp;AB26,Partidos!$Y:$Y,0),IFERROR(MATCH($N26&amp;"|"&amp;AB26,Partidos!$Z:$Z,0),""))))</f>
        <v/>
      </c>
      <c r="AH26" s="4" t="str">
        <f>IF(OR(N26="",AC26=""),"",IF(AC26&lt;1,"",IFERROR(MATCH($N26&amp;"|"&amp;AC26,Partidos!$Y:$Y,0),IFERROR(MATCH($N26&amp;"|"&amp;AC26,Partidos!$Z:$Z,0),""))))</f>
        <v/>
      </c>
      <c r="AI26" s="4" t="str">
        <f>IF(AD26="","",IF(INDEX(Partidos!$C:$C,AD26)=$N26,IF(INDEX(Partidos!$E:$E,AD26)&gt;INDEX(Partidos!$F:$F,AD26),"V",IF(INDEX(Partidos!$E:$E,AD26)=INDEX(Partidos!$F:$F,AD26),"E","P")),IF(INDEX(Partidos!$F:$F,AD26)&gt;INDEX(Partidos!$E:$E,AD26),"V",IF(INDEX(Partidos!$F:$F,AD26)=INDEX(Partidos!$E:$E,AD26),"E","P"))))</f>
        <v/>
      </c>
      <c r="AJ26" s="4" t="str">
        <f>IF(AE26="","",IF(INDEX(Partidos!$C:$C,AE26)=$N26,IF(INDEX(Partidos!$E:$E,AE26)&gt;INDEX(Partidos!$F:$F,AE26),"V",IF(INDEX(Partidos!$E:$E,AE26)=INDEX(Partidos!$F:$F,AE26),"E","P")),IF(INDEX(Partidos!$F:$F,AE26)&gt;INDEX(Partidos!$E:$E,AE26),"V",IF(INDEX(Partidos!$F:$F,AE26)=INDEX(Partidos!$E:$E,AE26),"E","P"))))</f>
        <v/>
      </c>
      <c r="AK26" s="4" t="str">
        <f>IF(AF26="","",IF(INDEX(Partidos!$C:$C,AF26)=$N26,IF(INDEX(Partidos!$E:$E,AF26)&gt;INDEX(Partidos!$F:$F,AF26),"V",IF(INDEX(Partidos!$E:$E,AF26)=INDEX(Partidos!$F:$F,AF26),"E","P")),IF(INDEX(Partidos!$F:$F,AF26)&gt;INDEX(Partidos!$E:$E,AF26),"V",IF(INDEX(Partidos!$F:$F,AF26)=INDEX(Partidos!$E:$E,AF26),"E","P"))))</f>
        <v/>
      </c>
      <c r="AL26" s="4" t="str">
        <f>IF(AG26="","",IF(INDEX(Partidos!$C:$C,AG26)=$N26,IF(INDEX(Partidos!$E:$E,AG26)&gt;INDEX(Partidos!$F:$F,AG26),"V",IF(INDEX(Partidos!$E:$E,AG26)=INDEX(Partidos!$F:$F,AG26),"E","P")),IF(INDEX(Partidos!$F:$F,AG26)&gt;INDEX(Partidos!$E:$E,AG26),"V",IF(INDEX(Partidos!$F:$F,AG26)=INDEX(Partidos!$E:$E,AG26),"E","P"))))</f>
        <v/>
      </c>
      <c r="AM26" s="4" t="str">
        <f>IF(AH26="","",IF(INDEX(Partidos!$C:$C,AH26)=$N26,IF(INDEX(Partidos!$E:$E,AH26)&gt;INDEX(Partidos!$F:$F,AH26),"V",IF(INDEX(Partidos!$E:$E,AH26)=INDEX(Partidos!$F:$F,AH26),"E","P")),IF(INDEX(Partidos!$F:$F,AH26)&gt;INDEX(Partidos!$E:$E,AH26),"V",IF(INDEX(Partidos!$F:$F,AH26)=INDEX(Partidos!$E:$E,AH26),"E","P"))))</f>
        <v/>
      </c>
      <c r="AN26" s="4" t="str">
        <f t="shared" si="20"/>
        <v/>
      </c>
      <c r="AO26" s="4" t="str">
        <f t="shared" si="21"/>
        <v/>
      </c>
      <c r="AP26" s="4" t="str">
        <f>IF(AO26=1,SUMPRODUCT(($AO$2:AO26=1)*1),"")</f>
        <v/>
      </c>
      <c r="AQ26" s="4" t="str">
        <f t="shared" si="22"/>
        <v/>
      </c>
      <c r="AR26" s="4" t="str">
        <f t="shared" si="23"/>
        <v/>
      </c>
      <c r="AS26" s="4" t="str">
        <f>IF(AR26=1,SUMPRODUCT(($AR$2:AR26=1)*1),"")</f>
        <v/>
      </c>
      <c r="AT26" s="4" t="str">
        <f t="shared" si="24"/>
        <v/>
      </c>
    </row>
    <row r="27" spans="1:46" ht="15" customHeight="1" x14ac:dyDescent="0.25">
      <c r="A27" s="8" t="str">
        <f>IF(COUNT($X$2:$X$61)&gt;=26,26,"")</f>
        <v/>
      </c>
      <c r="B27" s="8" t="str">
        <f t="shared" si="0"/>
        <v/>
      </c>
      <c r="C27" s="8" t="str">
        <f t="shared" si="1"/>
        <v/>
      </c>
      <c r="D27" s="8" t="str">
        <f t="shared" si="2"/>
        <v/>
      </c>
      <c r="E27" s="8" t="str">
        <f t="shared" si="3"/>
        <v/>
      </c>
      <c r="F27" s="8" t="str">
        <f t="shared" si="4"/>
        <v/>
      </c>
      <c r="G27" s="8" t="str">
        <f t="shared" si="5"/>
        <v/>
      </c>
      <c r="H27" s="8" t="str">
        <f t="shared" si="6"/>
        <v/>
      </c>
      <c r="I27" s="8" t="str">
        <f t="shared" si="7"/>
        <v/>
      </c>
      <c r="J27" s="8" t="str">
        <f t="shared" si="8"/>
        <v/>
      </c>
      <c r="K27" s="8" t="str">
        <f t="shared" si="9"/>
        <v/>
      </c>
      <c r="N27" s="4" t="str">
        <f>IFERROR(INDEX(Partidos!$C$2:$C$1401,MATCH("TEAM|26",Partidos!$AE$2:$AE$1401,0)),IFERROR(INDEX(Partidos!$D$2:$D$1401,MATCH("TEAM|26",Partidos!$AF$2:$AF$1401,0)),""))</f>
        <v/>
      </c>
      <c r="O27" s="4" t="str">
        <f>IF(N27="","",COUNTIF(Partidos!$C$2:$C$1401,N27)+COUNTIF(Partidos!$D$2:$D$1401,N27))</f>
        <v/>
      </c>
      <c r="P27" s="4" t="str">
        <f>IF(N27="","",SUMPRODUCT((Partidos!$C$2:$C$1401=N27)*(Partidos!$E$2:$E$1401&gt;Partidos!$F$2:$F$1401))+SUMPRODUCT((Partidos!$D$2:$D$1401=N27)*(Partidos!$F$2:$F$1401&gt;Partidos!$E$2:$E$1401)))</f>
        <v/>
      </c>
      <c r="Q27" s="4" t="str">
        <f>IF(N27="","",SUMPRODUCT((((Partidos!$C$2:$C$1401=N27)+(Partidos!$D$2:$D$1401=N27)))*(Partidos!$E$2:$E$1401=Partidos!$F$2:$F$1401)*(Partidos!$C$2:$C$1401&lt;&gt;"")))</f>
        <v/>
      </c>
      <c r="R27" s="4" t="str">
        <f t="shared" si="10"/>
        <v/>
      </c>
      <c r="S27" s="4" t="str">
        <f>IF(N27="","",SUMIF(Partidos!$C$2:$C$1401,N27,Partidos!$E$2:$E$1401)+SUMIF(Partidos!$D$2:$D$1401,N27,Partidos!$F$2:$F$1401))</f>
        <v/>
      </c>
      <c r="T27" s="4" t="str">
        <f>IF(N27="","",SUMIF(Partidos!$C$2:$C$1401,N27,Partidos!$F$2:$F$1401)+SUMIF(Partidos!$D$2:$D$1401,N27,Partidos!$E$2:$E$1401))</f>
        <v/>
      </c>
      <c r="U27" s="4" t="str">
        <f t="shared" si="11"/>
        <v/>
      </c>
      <c r="V27" s="4" t="str">
        <f t="shared" si="12"/>
        <v/>
      </c>
      <c r="W27" s="4" t="str">
        <f t="shared" si="13"/>
        <v/>
      </c>
      <c r="X27" s="4" t="str">
        <f t="shared" si="14"/>
        <v/>
      </c>
      <c r="Y27" s="4" t="str">
        <f t="shared" si="15"/>
        <v/>
      </c>
      <c r="Z27" s="4" t="str">
        <f t="shared" si="16"/>
        <v/>
      </c>
      <c r="AA27" s="4" t="str">
        <f t="shared" si="17"/>
        <v/>
      </c>
      <c r="AB27" s="4" t="str">
        <f t="shared" si="18"/>
        <v/>
      </c>
      <c r="AC27" s="4" t="str">
        <f t="shared" si="19"/>
        <v/>
      </c>
      <c r="AD27" s="4" t="str">
        <f>IF(OR(N27="",Y27=""),"",IF(Y27&lt;1,"",IFERROR(MATCH($N27&amp;"|"&amp;Y27,Partidos!$Y:$Y,0),IFERROR(MATCH($N27&amp;"|"&amp;Y27,Partidos!$Z:$Z,0),""))))</f>
        <v/>
      </c>
      <c r="AE27" s="4" t="str">
        <f>IF(OR(N27="",Z27=""),"",IF(Z27&lt;1,"",IFERROR(MATCH($N27&amp;"|"&amp;Z27,Partidos!$Y:$Y,0),IFERROR(MATCH($N27&amp;"|"&amp;Z27,Partidos!$Z:$Z,0),""))))</f>
        <v/>
      </c>
      <c r="AF27" s="4" t="str">
        <f>IF(OR(N27="",AA27=""),"",IF(AA27&lt;1,"",IFERROR(MATCH($N27&amp;"|"&amp;AA27,Partidos!$Y:$Y,0),IFERROR(MATCH($N27&amp;"|"&amp;AA27,Partidos!$Z:$Z,0),""))))</f>
        <v/>
      </c>
      <c r="AG27" s="4" t="str">
        <f>IF(OR(N27="",AB27=""),"",IF(AB27&lt;1,"",IFERROR(MATCH($N27&amp;"|"&amp;AB27,Partidos!$Y:$Y,0),IFERROR(MATCH($N27&amp;"|"&amp;AB27,Partidos!$Z:$Z,0),""))))</f>
        <v/>
      </c>
      <c r="AH27" s="4" t="str">
        <f>IF(OR(N27="",AC27=""),"",IF(AC27&lt;1,"",IFERROR(MATCH($N27&amp;"|"&amp;AC27,Partidos!$Y:$Y,0),IFERROR(MATCH($N27&amp;"|"&amp;AC27,Partidos!$Z:$Z,0),""))))</f>
        <v/>
      </c>
      <c r="AI27" s="4" t="str">
        <f>IF(AD27="","",IF(INDEX(Partidos!$C:$C,AD27)=$N27,IF(INDEX(Partidos!$E:$E,AD27)&gt;INDEX(Partidos!$F:$F,AD27),"V",IF(INDEX(Partidos!$E:$E,AD27)=INDEX(Partidos!$F:$F,AD27),"E","P")),IF(INDEX(Partidos!$F:$F,AD27)&gt;INDEX(Partidos!$E:$E,AD27),"V",IF(INDEX(Partidos!$F:$F,AD27)=INDEX(Partidos!$E:$E,AD27),"E","P"))))</f>
        <v/>
      </c>
      <c r="AJ27" s="4" t="str">
        <f>IF(AE27="","",IF(INDEX(Partidos!$C:$C,AE27)=$N27,IF(INDEX(Partidos!$E:$E,AE27)&gt;INDEX(Partidos!$F:$F,AE27),"V",IF(INDEX(Partidos!$E:$E,AE27)=INDEX(Partidos!$F:$F,AE27),"E","P")),IF(INDEX(Partidos!$F:$F,AE27)&gt;INDEX(Partidos!$E:$E,AE27),"V",IF(INDEX(Partidos!$F:$F,AE27)=INDEX(Partidos!$E:$E,AE27),"E","P"))))</f>
        <v/>
      </c>
      <c r="AK27" s="4" t="str">
        <f>IF(AF27="","",IF(INDEX(Partidos!$C:$C,AF27)=$N27,IF(INDEX(Partidos!$E:$E,AF27)&gt;INDEX(Partidos!$F:$F,AF27),"V",IF(INDEX(Partidos!$E:$E,AF27)=INDEX(Partidos!$F:$F,AF27),"E","P")),IF(INDEX(Partidos!$F:$F,AF27)&gt;INDEX(Partidos!$E:$E,AF27),"V",IF(INDEX(Partidos!$F:$F,AF27)=INDEX(Partidos!$E:$E,AF27),"E","P"))))</f>
        <v/>
      </c>
      <c r="AL27" s="4" t="str">
        <f>IF(AG27="","",IF(INDEX(Partidos!$C:$C,AG27)=$N27,IF(INDEX(Partidos!$E:$E,AG27)&gt;INDEX(Partidos!$F:$F,AG27),"V",IF(INDEX(Partidos!$E:$E,AG27)=INDEX(Partidos!$F:$F,AG27),"E","P")),IF(INDEX(Partidos!$F:$F,AG27)&gt;INDEX(Partidos!$E:$E,AG27),"V",IF(INDEX(Partidos!$F:$F,AG27)=INDEX(Partidos!$E:$E,AG27),"E","P"))))</f>
        <v/>
      </c>
      <c r="AM27" s="4" t="str">
        <f>IF(AH27="","",IF(INDEX(Partidos!$C:$C,AH27)=$N27,IF(INDEX(Partidos!$E:$E,AH27)&gt;INDEX(Partidos!$F:$F,AH27),"V",IF(INDEX(Partidos!$E:$E,AH27)=INDEX(Partidos!$F:$F,AH27),"E","P")),IF(INDEX(Partidos!$F:$F,AH27)&gt;INDEX(Partidos!$E:$E,AH27),"V",IF(INDEX(Partidos!$F:$F,AH27)=INDEX(Partidos!$E:$E,AH27),"E","P"))))</f>
        <v/>
      </c>
      <c r="AN27" s="4" t="str">
        <f t="shared" si="20"/>
        <v/>
      </c>
      <c r="AO27" s="4" t="str">
        <f t="shared" si="21"/>
        <v/>
      </c>
      <c r="AP27" s="4" t="str">
        <f>IF(AO27=1,SUMPRODUCT(($AO$2:AO27=1)*1),"")</f>
        <v/>
      </c>
      <c r="AQ27" s="4" t="str">
        <f t="shared" si="22"/>
        <v/>
      </c>
      <c r="AR27" s="4" t="str">
        <f t="shared" si="23"/>
        <v/>
      </c>
      <c r="AS27" s="4" t="str">
        <f>IF(AR27=1,SUMPRODUCT(($AR$2:AR27=1)*1),"")</f>
        <v/>
      </c>
      <c r="AT27" s="4" t="str">
        <f t="shared" si="24"/>
        <v/>
      </c>
    </row>
    <row r="28" spans="1:46" ht="15" customHeight="1" x14ac:dyDescent="0.25">
      <c r="A28" s="8" t="str">
        <f>IF(COUNT($X$2:$X$61)&gt;=27,27,"")</f>
        <v/>
      </c>
      <c r="B28" s="8" t="str">
        <f t="shared" si="0"/>
        <v/>
      </c>
      <c r="C28" s="8" t="str">
        <f t="shared" si="1"/>
        <v/>
      </c>
      <c r="D28" s="8" t="str">
        <f t="shared" si="2"/>
        <v/>
      </c>
      <c r="E28" s="8" t="str">
        <f t="shared" si="3"/>
        <v/>
      </c>
      <c r="F28" s="8" t="str">
        <f t="shared" si="4"/>
        <v/>
      </c>
      <c r="G28" s="8" t="str">
        <f t="shared" si="5"/>
        <v/>
      </c>
      <c r="H28" s="8" t="str">
        <f t="shared" si="6"/>
        <v/>
      </c>
      <c r="I28" s="8" t="str">
        <f t="shared" si="7"/>
        <v/>
      </c>
      <c r="J28" s="8" t="str">
        <f t="shared" si="8"/>
        <v/>
      </c>
      <c r="K28" s="8" t="str">
        <f t="shared" si="9"/>
        <v/>
      </c>
      <c r="N28" s="4" t="str">
        <f>IFERROR(INDEX(Partidos!$C$2:$C$1401,MATCH("TEAM|27",Partidos!$AE$2:$AE$1401,0)),IFERROR(INDEX(Partidos!$D$2:$D$1401,MATCH("TEAM|27",Partidos!$AF$2:$AF$1401,0)),""))</f>
        <v/>
      </c>
      <c r="O28" s="4" t="str">
        <f>IF(N28="","",COUNTIF(Partidos!$C$2:$C$1401,N28)+COUNTIF(Partidos!$D$2:$D$1401,N28))</f>
        <v/>
      </c>
      <c r="P28" s="4" t="str">
        <f>IF(N28="","",SUMPRODUCT((Partidos!$C$2:$C$1401=N28)*(Partidos!$E$2:$E$1401&gt;Partidos!$F$2:$F$1401))+SUMPRODUCT((Partidos!$D$2:$D$1401=N28)*(Partidos!$F$2:$F$1401&gt;Partidos!$E$2:$E$1401)))</f>
        <v/>
      </c>
      <c r="Q28" s="4" t="str">
        <f>IF(N28="","",SUMPRODUCT((((Partidos!$C$2:$C$1401=N28)+(Partidos!$D$2:$D$1401=N28)))*(Partidos!$E$2:$E$1401=Partidos!$F$2:$F$1401)*(Partidos!$C$2:$C$1401&lt;&gt;"")))</f>
        <v/>
      </c>
      <c r="R28" s="4" t="str">
        <f t="shared" si="10"/>
        <v/>
      </c>
      <c r="S28" s="4" t="str">
        <f>IF(N28="","",SUMIF(Partidos!$C$2:$C$1401,N28,Partidos!$E$2:$E$1401)+SUMIF(Partidos!$D$2:$D$1401,N28,Partidos!$F$2:$F$1401))</f>
        <v/>
      </c>
      <c r="T28" s="4" t="str">
        <f>IF(N28="","",SUMIF(Partidos!$C$2:$C$1401,N28,Partidos!$F$2:$F$1401)+SUMIF(Partidos!$D$2:$D$1401,N28,Partidos!$E$2:$E$1401))</f>
        <v/>
      </c>
      <c r="U28" s="4" t="str">
        <f t="shared" si="11"/>
        <v/>
      </c>
      <c r="V28" s="4" t="str">
        <f t="shared" si="12"/>
        <v/>
      </c>
      <c r="W28" s="4" t="str">
        <f t="shared" si="13"/>
        <v/>
      </c>
      <c r="X28" s="4" t="str">
        <f t="shared" si="14"/>
        <v/>
      </c>
      <c r="Y28" s="4" t="str">
        <f t="shared" si="15"/>
        <v/>
      </c>
      <c r="Z28" s="4" t="str">
        <f t="shared" si="16"/>
        <v/>
      </c>
      <c r="AA28" s="4" t="str">
        <f t="shared" si="17"/>
        <v/>
      </c>
      <c r="AB28" s="4" t="str">
        <f t="shared" si="18"/>
        <v/>
      </c>
      <c r="AC28" s="4" t="str">
        <f t="shared" si="19"/>
        <v/>
      </c>
      <c r="AD28" s="4" t="str">
        <f>IF(OR(N28="",Y28=""),"",IF(Y28&lt;1,"",IFERROR(MATCH($N28&amp;"|"&amp;Y28,Partidos!$Y:$Y,0),IFERROR(MATCH($N28&amp;"|"&amp;Y28,Partidos!$Z:$Z,0),""))))</f>
        <v/>
      </c>
      <c r="AE28" s="4" t="str">
        <f>IF(OR(N28="",Z28=""),"",IF(Z28&lt;1,"",IFERROR(MATCH($N28&amp;"|"&amp;Z28,Partidos!$Y:$Y,0),IFERROR(MATCH($N28&amp;"|"&amp;Z28,Partidos!$Z:$Z,0),""))))</f>
        <v/>
      </c>
      <c r="AF28" s="4" t="str">
        <f>IF(OR(N28="",AA28=""),"",IF(AA28&lt;1,"",IFERROR(MATCH($N28&amp;"|"&amp;AA28,Partidos!$Y:$Y,0),IFERROR(MATCH($N28&amp;"|"&amp;AA28,Partidos!$Z:$Z,0),""))))</f>
        <v/>
      </c>
      <c r="AG28" s="4" t="str">
        <f>IF(OR(N28="",AB28=""),"",IF(AB28&lt;1,"",IFERROR(MATCH($N28&amp;"|"&amp;AB28,Partidos!$Y:$Y,0),IFERROR(MATCH($N28&amp;"|"&amp;AB28,Partidos!$Z:$Z,0),""))))</f>
        <v/>
      </c>
      <c r="AH28" s="4" t="str">
        <f>IF(OR(N28="",AC28=""),"",IF(AC28&lt;1,"",IFERROR(MATCH($N28&amp;"|"&amp;AC28,Partidos!$Y:$Y,0),IFERROR(MATCH($N28&amp;"|"&amp;AC28,Partidos!$Z:$Z,0),""))))</f>
        <v/>
      </c>
      <c r="AI28" s="4" t="str">
        <f>IF(AD28="","",IF(INDEX(Partidos!$C:$C,AD28)=$N28,IF(INDEX(Partidos!$E:$E,AD28)&gt;INDEX(Partidos!$F:$F,AD28),"V",IF(INDEX(Partidos!$E:$E,AD28)=INDEX(Partidos!$F:$F,AD28),"E","P")),IF(INDEX(Partidos!$F:$F,AD28)&gt;INDEX(Partidos!$E:$E,AD28),"V",IF(INDEX(Partidos!$F:$F,AD28)=INDEX(Partidos!$E:$E,AD28),"E","P"))))</f>
        <v/>
      </c>
      <c r="AJ28" s="4" t="str">
        <f>IF(AE28="","",IF(INDEX(Partidos!$C:$C,AE28)=$N28,IF(INDEX(Partidos!$E:$E,AE28)&gt;INDEX(Partidos!$F:$F,AE28),"V",IF(INDEX(Partidos!$E:$E,AE28)=INDEX(Partidos!$F:$F,AE28),"E","P")),IF(INDEX(Partidos!$F:$F,AE28)&gt;INDEX(Partidos!$E:$E,AE28),"V",IF(INDEX(Partidos!$F:$F,AE28)=INDEX(Partidos!$E:$E,AE28),"E","P"))))</f>
        <v/>
      </c>
      <c r="AK28" s="4" t="str">
        <f>IF(AF28="","",IF(INDEX(Partidos!$C:$C,AF28)=$N28,IF(INDEX(Partidos!$E:$E,AF28)&gt;INDEX(Partidos!$F:$F,AF28),"V",IF(INDEX(Partidos!$E:$E,AF28)=INDEX(Partidos!$F:$F,AF28),"E","P")),IF(INDEX(Partidos!$F:$F,AF28)&gt;INDEX(Partidos!$E:$E,AF28),"V",IF(INDEX(Partidos!$F:$F,AF28)=INDEX(Partidos!$E:$E,AF28),"E","P"))))</f>
        <v/>
      </c>
      <c r="AL28" s="4" t="str">
        <f>IF(AG28="","",IF(INDEX(Partidos!$C:$C,AG28)=$N28,IF(INDEX(Partidos!$E:$E,AG28)&gt;INDEX(Partidos!$F:$F,AG28),"V",IF(INDEX(Partidos!$E:$E,AG28)=INDEX(Partidos!$F:$F,AG28),"E","P")),IF(INDEX(Partidos!$F:$F,AG28)&gt;INDEX(Partidos!$E:$E,AG28),"V",IF(INDEX(Partidos!$F:$F,AG28)=INDEX(Partidos!$E:$E,AG28),"E","P"))))</f>
        <v/>
      </c>
      <c r="AM28" s="4" t="str">
        <f>IF(AH28="","",IF(INDEX(Partidos!$C:$C,AH28)=$N28,IF(INDEX(Partidos!$E:$E,AH28)&gt;INDEX(Partidos!$F:$F,AH28),"V",IF(INDEX(Partidos!$E:$E,AH28)=INDEX(Partidos!$F:$F,AH28),"E","P")),IF(INDEX(Partidos!$F:$F,AH28)&gt;INDEX(Partidos!$E:$E,AH28),"V",IF(INDEX(Partidos!$F:$F,AH28)=INDEX(Partidos!$E:$E,AH28),"E","P"))))</f>
        <v/>
      </c>
      <c r="AN28" s="4" t="str">
        <f t="shared" si="20"/>
        <v/>
      </c>
      <c r="AO28" s="4" t="str">
        <f t="shared" si="21"/>
        <v/>
      </c>
      <c r="AP28" s="4" t="str">
        <f>IF(AO28=1,SUMPRODUCT(($AO$2:AO28=1)*1),"")</f>
        <v/>
      </c>
      <c r="AQ28" s="4" t="str">
        <f t="shared" si="22"/>
        <v/>
      </c>
      <c r="AR28" s="4" t="str">
        <f t="shared" si="23"/>
        <v/>
      </c>
      <c r="AS28" s="4" t="str">
        <f>IF(AR28=1,SUMPRODUCT(($AR$2:AR28=1)*1),"")</f>
        <v/>
      </c>
      <c r="AT28" s="4" t="str">
        <f t="shared" si="24"/>
        <v/>
      </c>
    </row>
    <row r="29" spans="1:46" ht="15" customHeight="1" x14ac:dyDescent="0.25">
      <c r="A29" s="8" t="str">
        <f>IF(COUNT($X$2:$X$61)&gt;=28,28,"")</f>
        <v/>
      </c>
      <c r="B29" s="8" t="str">
        <f t="shared" si="0"/>
        <v/>
      </c>
      <c r="C29" s="8" t="str">
        <f t="shared" si="1"/>
        <v/>
      </c>
      <c r="D29" s="8" t="str">
        <f t="shared" si="2"/>
        <v/>
      </c>
      <c r="E29" s="8" t="str">
        <f t="shared" si="3"/>
        <v/>
      </c>
      <c r="F29" s="8" t="str">
        <f t="shared" si="4"/>
        <v/>
      </c>
      <c r="G29" s="8" t="str">
        <f t="shared" si="5"/>
        <v/>
      </c>
      <c r="H29" s="8" t="str">
        <f t="shared" si="6"/>
        <v/>
      </c>
      <c r="I29" s="8" t="str">
        <f t="shared" si="7"/>
        <v/>
      </c>
      <c r="J29" s="8" t="str">
        <f t="shared" si="8"/>
        <v/>
      </c>
      <c r="K29" s="8" t="str">
        <f t="shared" si="9"/>
        <v/>
      </c>
      <c r="N29" s="4" t="str">
        <f>IFERROR(INDEX(Partidos!$C$2:$C$1401,MATCH("TEAM|28",Partidos!$AE$2:$AE$1401,0)),IFERROR(INDEX(Partidos!$D$2:$D$1401,MATCH("TEAM|28",Partidos!$AF$2:$AF$1401,0)),""))</f>
        <v/>
      </c>
      <c r="O29" s="4" t="str">
        <f>IF(N29="","",COUNTIF(Partidos!$C$2:$C$1401,N29)+COUNTIF(Partidos!$D$2:$D$1401,N29))</f>
        <v/>
      </c>
      <c r="P29" s="4" t="str">
        <f>IF(N29="","",SUMPRODUCT((Partidos!$C$2:$C$1401=N29)*(Partidos!$E$2:$E$1401&gt;Partidos!$F$2:$F$1401))+SUMPRODUCT((Partidos!$D$2:$D$1401=N29)*(Partidos!$F$2:$F$1401&gt;Partidos!$E$2:$E$1401)))</f>
        <v/>
      </c>
      <c r="Q29" s="4" t="str">
        <f>IF(N29="","",SUMPRODUCT((((Partidos!$C$2:$C$1401=N29)+(Partidos!$D$2:$D$1401=N29)))*(Partidos!$E$2:$E$1401=Partidos!$F$2:$F$1401)*(Partidos!$C$2:$C$1401&lt;&gt;"")))</f>
        <v/>
      </c>
      <c r="R29" s="4" t="str">
        <f t="shared" si="10"/>
        <v/>
      </c>
      <c r="S29" s="4" t="str">
        <f>IF(N29="","",SUMIF(Partidos!$C$2:$C$1401,N29,Partidos!$E$2:$E$1401)+SUMIF(Partidos!$D$2:$D$1401,N29,Partidos!$F$2:$F$1401))</f>
        <v/>
      </c>
      <c r="T29" s="4" t="str">
        <f>IF(N29="","",SUMIF(Partidos!$C$2:$C$1401,N29,Partidos!$F$2:$F$1401)+SUMIF(Partidos!$D$2:$D$1401,N29,Partidos!$E$2:$E$1401))</f>
        <v/>
      </c>
      <c r="U29" s="4" t="str">
        <f t="shared" si="11"/>
        <v/>
      </c>
      <c r="V29" s="4" t="str">
        <f t="shared" si="12"/>
        <v/>
      </c>
      <c r="W29" s="4" t="str">
        <f t="shared" si="13"/>
        <v/>
      </c>
      <c r="X29" s="4" t="str">
        <f t="shared" si="14"/>
        <v/>
      </c>
      <c r="Y29" s="4" t="str">
        <f t="shared" si="15"/>
        <v/>
      </c>
      <c r="Z29" s="4" t="str">
        <f t="shared" si="16"/>
        <v/>
      </c>
      <c r="AA29" s="4" t="str">
        <f t="shared" si="17"/>
        <v/>
      </c>
      <c r="AB29" s="4" t="str">
        <f t="shared" si="18"/>
        <v/>
      </c>
      <c r="AC29" s="4" t="str">
        <f t="shared" si="19"/>
        <v/>
      </c>
      <c r="AD29" s="4" t="str">
        <f>IF(OR(N29="",Y29=""),"",IF(Y29&lt;1,"",IFERROR(MATCH($N29&amp;"|"&amp;Y29,Partidos!$Y:$Y,0),IFERROR(MATCH($N29&amp;"|"&amp;Y29,Partidos!$Z:$Z,0),""))))</f>
        <v/>
      </c>
      <c r="AE29" s="4" t="str">
        <f>IF(OR(N29="",Z29=""),"",IF(Z29&lt;1,"",IFERROR(MATCH($N29&amp;"|"&amp;Z29,Partidos!$Y:$Y,0),IFERROR(MATCH($N29&amp;"|"&amp;Z29,Partidos!$Z:$Z,0),""))))</f>
        <v/>
      </c>
      <c r="AF29" s="4" t="str">
        <f>IF(OR(N29="",AA29=""),"",IF(AA29&lt;1,"",IFERROR(MATCH($N29&amp;"|"&amp;AA29,Partidos!$Y:$Y,0),IFERROR(MATCH($N29&amp;"|"&amp;AA29,Partidos!$Z:$Z,0),""))))</f>
        <v/>
      </c>
      <c r="AG29" s="4" t="str">
        <f>IF(OR(N29="",AB29=""),"",IF(AB29&lt;1,"",IFERROR(MATCH($N29&amp;"|"&amp;AB29,Partidos!$Y:$Y,0),IFERROR(MATCH($N29&amp;"|"&amp;AB29,Partidos!$Z:$Z,0),""))))</f>
        <v/>
      </c>
      <c r="AH29" s="4" t="str">
        <f>IF(OR(N29="",AC29=""),"",IF(AC29&lt;1,"",IFERROR(MATCH($N29&amp;"|"&amp;AC29,Partidos!$Y:$Y,0),IFERROR(MATCH($N29&amp;"|"&amp;AC29,Partidos!$Z:$Z,0),""))))</f>
        <v/>
      </c>
      <c r="AI29" s="4" t="str">
        <f>IF(AD29="","",IF(INDEX(Partidos!$C:$C,AD29)=$N29,IF(INDEX(Partidos!$E:$E,AD29)&gt;INDEX(Partidos!$F:$F,AD29),"V",IF(INDEX(Partidos!$E:$E,AD29)=INDEX(Partidos!$F:$F,AD29),"E","P")),IF(INDEX(Partidos!$F:$F,AD29)&gt;INDEX(Partidos!$E:$E,AD29),"V",IF(INDEX(Partidos!$F:$F,AD29)=INDEX(Partidos!$E:$E,AD29),"E","P"))))</f>
        <v/>
      </c>
      <c r="AJ29" s="4" t="str">
        <f>IF(AE29="","",IF(INDEX(Partidos!$C:$C,AE29)=$N29,IF(INDEX(Partidos!$E:$E,AE29)&gt;INDEX(Partidos!$F:$F,AE29),"V",IF(INDEX(Partidos!$E:$E,AE29)=INDEX(Partidos!$F:$F,AE29),"E","P")),IF(INDEX(Partidos!$F:$F,AE29)&gt;INDEX(Partidos!$E:$E,AE29),"V",IF(INDEX(Partidos!$F:$F,AE29)=INDEX(Partidos!$E:$E,AE29),"E","P"))))</f>
        <v/>
      </c>
      <c r="AK29" s="4" t="str">
        <f>IF(AF29="","",IF(INDEX(Partidos!$C:$C,AF29)=$N29,IF(INDEX(Partidos!$E:$E,AF29)&gt;INDEX(Partidos!$F:$F,AF29),"V",IF(INDEX(Partidos!$E:$E,AF29)=INDEX(Partidos!$F:$F,AF29),"E","P")),IF(INDEX(Partidos!$F:$F,AF29)&gt;INDEX(Partidos!$E:$E,AF29),"V",IF(INDEX(Partidos!$F:$F,AF29)=INDEX(Partidos!$E:$E,AF29),"E","P"))))</f>
        <v/>
      </c>
      <c r="AL29" s="4" t="str">
        <f>IF(AG29="","",IF(INDEX(Partidos!$C:$C,AG29)=$N29,IF(INDEX(Partidos!$E:$E,AG29)&gt;INDEX(Partidos!$F:$F,AG29),"V",IF(INDEX(Partidos!$E:$E,AG29)=INDEX(Partidos!$F:$F,AG29),"E","P")),IF(INDEX(Partidos!$F:$F,AG29)&gt;INDEX(Partidos!$E:$E,AG29),"V",IF(INDEX(Partidos!$F:$F,AG29)=INDEX(Partidos!$E:$E,AG29),"E","P"))))</f>
        <v/>
      </c>
      <c r="AM29" s="4" t="str">
        <f>IF(AH29="","",IF(INDEX(Partidos!$C:$C,AH29)=$N29,IF(INDEX(Partidos!$E:$E,AH29)&gt;INDEX(Partidos!$F:$F,AH29),"V",IF(INDEX(Partidos!$E:$E,AH29)=INDEX(Partidos!$F:$F,AH29),"E","P")),IF(INDEX(Partidos!$F:$F,AH29)&gt;INDEX(Partidos!$E:$E,AH29),"V",IF(INDEX(Partidos!$F:$F,AH29)=INDEX(Partidos!$E:$E,AH29),"E","P"))))</f>
        <v/>
      </c>
      <c r="AN29" s="4" t="str">
        <f t="shared" si="20"/>
        <v/>
      </c>
      <c r="AO29" s="4" t="str">
        <f t="shared" si="21"/>
        <v/>
      </c>
      <c r="AP29" s="4" t="str">
        <f>IF(AO29=1,SUMPRODUCT(($AO$2:AO29=1)*1),"")</f>
        <v/>
      </c>
      <c r="AQ29" s="4" t="str">
        <f t="shared" si="22"/>
        <v/>
      </c>
      <c r="AR29" s="4" t="str">
        <f t="shared" si="23"/>
        <v/>
      </c>
      <c r="AS29" s="4" t="str">
        <f>IF(AR29=1,SUMPRODUCT(($AR$2:AR29=1)*1),"")</f>
        <v/>
      </c>
      <c r="AT29" s="4" t="str">
        <f t="shared" si="24"/>
        <v/>
      </c>
    </row>
    <row r="30" spans="1:46" ht="15" customHeight="1" x14ac:dyDescent="0.25">
      <c r="A30" s="8" t="str">
        <f>IF(COUNT($X$2:$X$61)&gt;=29,29,"")</f>
        <v/>
      </c>
      <c r="B30" s="8" t="str">
        <f t="shared" si="0"/>
        <v/>
      </c>
      <c r="C30" s="8" t="str">
        <f t="shared" si="1"/>
        <v/>
      </c>
      <c r="D30" s="8" t="str">
        <f t="shared" si="2"/>
        <v/>
      </c>
      <c r="E30" s="8" t="str">
        <f t="shared" si="3"/>
        <v/>
      </c>
      <c r="F30" s="8" t="str">
        <f t="shared" si="4"/>
        <v/>
      </c>
      <c r="G30" s="8" t="str">
        <f t="shared" si="5"/>
        <v/>
      </c>
      <c r="H30" s="8" t="str">
        <f t="shared" si="6"/>
        <v/>
      </c>
      <c r="I30" s="8" t="str">
        <f t="shared" si="7"/>
        <v/>
      </c>
      <c r="J30" s="8" t="str">
        <f t="shared" si="8"/>
        <v/>
      </c>
      <c r="K30" s="8" t="str">
        <f t="shared" si="9"/>
        <v/>
      </c>
      <c r="N30" s="4" t="str">
        <f>IFERROR(INDEX(Partidos!$C$2:$C$1401,MATCH("TEAM|29",Partidos!$AE$2:$AE$1401,0)),IFERROR(INDEX(Partidos!$D$2:$D$1401,MATCH("TEAM|29",Partidos!$AF$2:$AF$1401,0)),""))</f>
        <v/>
      </c>
      <c r="O30" s="4" t="str">
        <f>IF(N30="","",COUNTIF(Partidos!$C$2:$C$1401,N30)+COUNTIF(Partidos!$D$2:$D$1401,N30))</f>
        <v/>
      </c>
      <c r="P30" s="4" t="str">
        <f>IF(N30="","",SUMPRODUCT((Partidos!$C$2:$C$1401=N30)*(Partidos!$E$2:$E$1401&gt;Partidos!$F$2:$F$1401))+SUMPRODUCT((Partidos!$D$2:$D$1401=N30)*(Partidos!$F$2:$F$1401&gt;Partidos!$E$2:$E$1401)))</f>
        <v/>
      </c>
      <c r="Q30" s="4" t="str">
        <f>IF(N30="","",SUMPRODUCT((((Partidos!$C$2:$C$1401=N30)+(Partidos!$D$2:$D$1401=N30)))*(Partidos!$E$2:$E$1401=Partidos!$F$2:$F$1401)*(Partidos!$C$2:$C$1401&lt;&gt;"")))</f>
        <v/>
      </c>
      <c r="R30" s="4" t="str">
        <f t="shared" si="10"/>
        <v/>
      </c>
      <c r="S30" s="4" t="str">
        <f>IF(N30="","",SUMIF(Partidos!$C$2:$C$1401,N30,Partidos!$E$2:$E$1401)+SUMIF(Partidos!$D$2:$D$1401,N30,Partidos!$F$2:$F$1401))</f>
        <v/>
      </c>
      <c r="T30" s="4" t="str">
        <f>IF(N30="","",SUMIF(Partidos!$C$2:$C$1401,N30,Partidos!$F$2:$F$1401)+SUMIF(Partidos!$D$2:$D$1401,N30,Partidos!$E$2:$E$1401))</f>
        <v/>
      </c>
      <c r="U30" s="4" t="str">
        <f t="shared" si="11"/>
        <v/>
      </c>
      <c r="V30" s="4" t="str">
        <f t="shared" si="12"/>
        <v/>
      </c>
      <c r="W30" s="4" t="str">
        <f t="shared" si="13"/>
        <v/>
      </c>
      <c r="X30" s="4" t="str">
        <f t="shared" si="14"/>
        <v/>
      </c>
      <c r="Y30" s="4" t="str">
        <f t="shared" si="15"/>
        <v/>
      </c>
      <c r="Z30" s="4" t="str">
        <f t="shared" si="16"/>
        <v/>
      </c>
      <c r="AA30" s="4" t="str">
        <f t="shared" si="17"/>
        <v/>
      </c>
      <c r="AB30" s="4" t="str">
        <f t="shared" si="18"/>
        <v/>
      </c>
      <c r="AC30" s="4" t="str">
        <f t="shared" si="19"/>
        <v/>
      </c>
      <c r="AD30" s="4" t="str">
        <f>IF(OR(N30="",Y30=""),"",IF(Y30&lt;1,"",IFERROR(MATCH($N30&amp;"|"&amp;Y30,Partidos!$Y:$Y,0),IFERROR(MATCH($N30&amp;"|"&amp;Y30,Partidos!$Z:$Z,0),""))))</f>
        <v/>
      </c>
      <c r="AE30" s="4" t="str">
        <f>IF(OR(N30="",Z30=""),"",IF(Z30&lt;1,"",IFERROR(MATCH($N30&amp;"|"&amp;Z30,Partidos!$Y:$Y,0),IFERROR(MATCH($N30&amp;"|"&amp;Z30,Partidos!$Z:$Z,0),""))))</f>
        <v/>
      </c>
      <c r="AF30" s="4" t="str">
        <f>IF(OR(N30="",AA30=""),"",IF(AA30&lt;1,"",IFERROR(MATCH($N30&amp;"|"&amp;AA30,Partidos!$Y:$Y,0),IFERROR(MATCH($N30&amp;"|"&amp;AA30,Partidos!$Z:$Z,0),""))))</f>
        <v/>
      </c>
      <c r="AG30" s="4" t="str">
        <f>IF(OR(N30="",AB30=""),"",IF(AB30&lt;1,"",IFERROR(MATCH($N30&amp;"|"&amp;AB30,Partidos!$Y:$Y,0),IFERROR(MATCH($N30&amp;"|"&amp;AB30,Partidos!$Z:$Z,0),""))))</f>
        <v/>
      </c>
      <c r="AH30" s="4" t="str">
        <f>IF(OR(N30="",AC30=""),"",IF(AC30&lt;1,"",IFERROR(MATCH($N30&amp;"|"&amp;AC30,Partidos!$Y:$Y,0),IFERROR(MATCH($N30&amp;"|"&amp;AC30,Partidos!$Z:$Z,0),""))))</f>
        <v/>
      </c>
      <c r="AI30" s="4" t="str">
        <f>IF(AD30="","",IF(INDEX(Partidos!$C:$C,AD30)=$N30,IF(INDEX(Partidos!$E:$E,AD30)&gt;INDEX(Partidos!$F:$F,AD30),"V",IF(INDEX(Partidos!$E:$E,AD30)=INDEX(Partidos!$F:$F,AD30),"E","P")),IF(INDEX(Partidos!$F:$F,AD30)&gt;INDEX(Partidos!$E:$E,AD30),"V",IF(INDEX(Partidos!$F:$F,AD30)=INDEX(Partidos!$E:$E,AD30),"E","P"))))</f>
        <v/>
      </c>
      <c r="AJ30" s="4" t="str">
        <f>IF(AE30="","",IF(INDEX(Partidos!$C:$C,AE30)=$N30,IF(INDEX(Partidos!$E:$E,AE30)&gt;INDEX(Partidos!$F:$F,AE30),"V",IF(INDEX(Partidos!$E:$E,AE30)=INDEX(Partidos!$F:$F,AE30),"E","P")),IF(INDEX(Partidos!$F:$F,AE30)&gt;INDEX(Partidos!$E:$E,AE30),"V",IF(INDEX(Partidos!$F:$F,AE30)=INDEX(Partidos!$E:$E,AE30),"E","P"))))</f>
        <v/>
      </c>
      <c r="AK30" s="4" t="str">
        <f>IF(AF30="","",IF(INDEX(Partidos!$C:$C,AF30)=$N30,IF(INDEX(Partidos!$E:$E,AF30)&gt;INDEX(Partidos!$F:$F,AF30),"V",IF(INDEX(Partidos!$E:$E,AF30)=INDEX(Partidos!$F:$F,AF30),"E","P")),IF(INDEX(Partidos!$F:$F,AF30)&gt;INDEX(Partidos!$E:$E,AF30),"V",IF(INDEX(Partidos!$F:$F,AF30)=INDEX(Partidos!$E:$E,AF30),"E","P"))))</f>
        <v/>
      </c>
      <c r="AL30" s="4" t="str">
        <f>IF(AG30="","",IF(INDEX(Partidos!$C:$C,AG30)=$N30,IF(INDEX(Partidos!$E:$E,AG30)&gt;INDEX(Partidos!$F:$F,AG30),"V",IF(INDEX(Partidos!$E:$E,AG30)=INDEX(Partidos!$F:$F,AG30),"E","P")),IF(INDEX(Partidos!$F:$F,AG30)&gt;INDEX(Partidos!$E:$E,AG30),"V",IF(INDEX(Partidos!$F:$F,AG30)=INDEX(Partidos!$E:$E,AG30),"E","P"))))</f>
        <v/>
      </c>
      <c r="AM30" s="4" t="str">
        <f>IF(AH30="","",IF(INDEX(Partidos!$C:$C,AH30)=$N30,IF(INDEX(Partidos!$E:$E,AH30)&gt;INDEX(Partidos!$F:$F,AH30),"V",IF(INDEX(Partidos!$E:$E,AH30)=INDEX(Partidos!$F:$F,AH30),"E","P")),IF(INDEX(Partidos!$F:$F,AH30)&gt;INDEX(Partidos!$E:$E,AH30),"V",IF(INDEX(Partidos!$F:$F,AH30)=INDEX(Partidos!$E:$E,AH30),"E","P"))))</f>
        <v/>
      </c>
      <c r="AN30" s="4" t="str">
        <f t="shared" si="20"/>
        <v/>
      </c>
      <c r="AO30" s="4" t="str">
        <f t="shared" si="21"/>
        <v/>
      </c>
      <c r="AP30" s="4" t="str">
        <f>IF(AO30=1,SUMPRODUCT(($AO$2:AO30=1)*1),"")</f>
        <v/>
      </c>
      <c r="AQ30" s="4" t="str">
        <f t="shared" si="22"/>
        <v/>
      </c>
      <c r="AR30" s="4" t="str">
        <f t="shared" si="23"/>
        <v/>
      </c>
      <c r="AS30" s="4" t="str">
        <f>IF(AR30=1,SUMPRODUCT(($AR$2:AR30=1)*1),"")</f>
        <v/>
      </c>
      <c r="AT30" s="4" t="str">
        <f t="shared" si="24"/>
        <v/>
      </c>
    </row>
    <row r="31" spans="1:46" ht="15" customHeight="1" x14ac:dyDescent="0.25">
      <c r="A31" s="8" t="str">
        <f>IF(COUNT($X$2:$X$61)&gt;=30,30,"")</f>
        <v/>
      </c>
      <c r="B31" s="8" t="str">
        <f t="shared" si="0"/>
        <v/>
      </c>
      <c r="C31" s="8" t="str">
        <f t="shared" si="1"/>
        <v/>
      </c>
      <c r="D31" s="8" t="str">
        <f t="shared" si="2"/>
        <v/>
      </c>
      <c r="E31" s="8" t="str">
        <f t="shared" si="3"/>
        <v/>
      </c>
      <c r="F31" s="8" t="str">
        <f t="shared" si="4"/>
        <v/>
      </c>
      <c r="G31" s="8" t="str">
        <f t="shared" si="5"/>
        <v/>
      </c>
      <c r="H31" s="8" t="str">
        <f t="shared" si="6"/>
        <v/>
      </c>
      <c r="I31" s="8" t="str">
        <f t="shared" si="7"/>
        <v/>
      </c>
      <c r="J31" s="8" t="str">
        <f t="shared" si="8"/>
        <v/>
      </c>
      <c r="K31" s="8" t="str">
        <f t="shared" si="9"/>
        <v/>
      </c>
      <c r="N31" s="4" t="str">
        <f>IFERROR(INDEX(Partidos!$C$2:$C$1401,MATCH("TEAM|30",Partidos!$AE$2:$AE$1401,0)),IFERROR(INDEX(Partidos!$D$2:$D$1401,MATCH("TEAM|30",Partidos!$AF$2:$AF$1401,0)),""))</f>
        <v/>
      </c>
      <c r="O31" s="4" t="str">
        <f>IF(N31="","",COUNTIF(Partidos!$C$2:$C$1401,N31)+COUNTIF(Partidos!$D$2:$D$1401,N31))</f>
        <v/>
      </c>
      <c r="P31" s="4" t="str">
        <f>IF(N31="","",SUMPRODUCT((Partidos!$C$2:$C$1401=N31)*(Partidos!$E$2:$E$1401&gt;Partidos!$F$2:$F$1401))+SUMPRODUCT((Partidos!$D$2:$D$1401=N31)*(Partidos!$F$2:$F$1401&gt;Partidos!$E$2:$E$1401)))</f>
        <v/>
      </c>
      <c r="Q31" s="4" t="str">
        <f>IF(N31="","",SUMPRODUCT((((Partidos!$C$2:$C$1401=N31)+(Partidos!$D$2:$D$1401=N31)))*(Partidos!$E$2:$E$1401=Partidos!$F$2:$F$1401)*(Partidos!$C$2:$C$1401&lt;&gt;"")))</f>
        <v/>
      </c>
      <c r="R31" s="4" t="str">
        <f t="shared" si="10"/>
        <v/>
      </c>
      <c r="S31" s="4" t="str">
        <f>IF(N31="","",SUMIF(Partidos!$C$2:$C$1401,N31,Partidos!$E$2:$E$1401)+SUMIF(Partidos!$D$2:$D$1401,N31,Partidos!$F$2:$F$1401))</f>
        <v/>
      </c>
      <c r="T31" s="4" t="str">
        <f>IF(N31="","",SUMIF(Partidos!$C$2:$C$1401,N31,Partidos!$F$2:$F$1401)+SUMIF(Partidos!$D$2:$D$1401,N31,Partidos!$E$2:$E$1401))</f>
        <v/>
      </c>
      <c r="U31" s="4" t="str">
        <f t="shared" si="11"/>
        <v/>
      </c>
      <c r="V31" s="4" t="str">
        <f t="shared" si="12"/>
        <v/>
      </c>
      <c r="W31" s="4" t="str">
        <f t="shared" si="13"/>
        <v/>
      </c>
      <c r="X31" s="4" t="str">
        <f t="shared" si="14"/>
        <v/>
      </c>
      <c r="Y31" s="4" t="str">
        <f t="shared" si="15"/>
        <v/>
      </c>
      <c r="Z31" s="4" t="str">
        <f t="shared" si="16"/>
        <v/>
      </c>
      <c r="AA31" s="4" t="str">
        <f t="shared" si="17"/>
        <v/>
      </c>
      <c r="AB31" s="4" t="str">
        <f t="shared" si="18"/>
        <v/>
      </c>
      <c r="AC31" s="4" t="str">
        <f t="shared" si="19"/>
        <v/>
      </c>
      <c r="AD31" s="4" t="str">
        <f>IF(OR(N31="",Y31=""),"",IF(Y31&lt;1,"",IFERROR(MATCH($N31&amp;"|"&amp;Y31,Partidos!$Y:$Y,0),IFERROR(MATCH($N31&amp;"|"&amp;Y31,Partidos!$Z:$Z,0),""))))</f>
        <v/>
      </c>
      <c r="AE31" s="4" t="str">
        <f>IF(OR(N31="",Z31=""),"",IF(Z31&lt;1,"",IFERROR(MATCH($N31&amp;"|"&amp;Z31,Partidos!$Y:$Y,0),IFERROR(MATCH($N31&amp;"|"&amp;Z31,Partidos!$Z:$Z,0),""))))</f>
        <v/>
      </c>
      <c r="AF31" s="4" t="str">
        <f>IF(OR(N31="",AA31=""),"",IF(AA31&lt;1,"",IFERROR(MATCH($N31&amp;"|"&amp;AA31,Partidos!$Y:$Y,0),IFERROR(MATCH($N31&amp;"|"&amp;AA31,Partidos!$Z:$Z,0),""))))</f>
        <v/>
      </c>
      <c r="AG31" s="4" t="str">
        <f>IF(OR(N31="",AB31=""),"",IF(AB31&lt;1,"",IFERROR(MATCH($N31&amp;"|"&amp;AB31,Partidos!$Y:$Y,0),IFERROR(MATCH($N31&amp;"|"&amp;AB31,Partidos!$Z:$Z,0),""))))</f>
        <v/>
      </c>
      <c r="AH31" s="4" t="str">
        <f>IF(OR(N31="",AC31=""),"",IF(AC31&lt;1,"",IFERROR(MATCH($N31&amp;"|"&amp;AC31,Partidos!$Y:$Y,0),IFERROR(MATCH($N31&amp;"|"&amp;AC31,Partidos!$Z:$Z,0),""))))</f>
        <v/>
      </c>
      <c r="AI31" s="4" t="str">
        <f>IF(AD31="","",IF(INDEX(Partidos!$C:$C,AD31)=$N31,IF(INDEX(Partidos!$E:$E,AD31)&gt;INDEX(Partidos!$F:$F,AD31),"V",IF(INDEX(Partidos!$E:$E,AD31)=INDEX(Partidos!$F:$F,AD31),"E","P")),IF(INDEX(Partidos!$F:$F,AD31)&gt;INDEX(Partidos!$E:$E,AD31),"V",IF(INDEX(Partidos!$F:$F,AD31)=INDEX(Partidos!$E:$E,AD31),"E","P"))))</f>
        <v/>
      </c>
      <c r="AJ31" s="4" t="str">
        <f>IF(AE31="","",IF(INDEX(Partidos!$C:$C,AE31)=$N31,IF(INDEX(Partidos!$E:$E,AE31)&gt;INDEX(Partidos!$F:$F,AE31),"V",IF(INDEX(Partidos!$E:$E,AE31)=INDEX(Partidos!$F:$F,AE31),"E","P")),IF(INDEX(Partidos!$F:$F,AE31)&gt;INDEX(Partidos!$E:$E,AE31),"V",IF(INDEX(Partidos!$F:$F,AE31)=INDEX(Partidos!$E:$E,AE31),"E","P"))))</f>
        <v/>
      </c>
      <c r="AK31" s="4" t="str">
        <f>IF(AF31="","",IF(INDEX(Partidos!$C:$C,AF31)=$N31,IF(INDEX(Partidos!$E:$E,AF31)&gt;INDEX(Partidos!$F:$F,AF31),"V",IF(INDEX(Partidos!$E:$E,AF31)=INDEX(Partidos!$F:$F,AF31),"E","P")),IF(INDEX(Partidos!$F:$F,AF31)&gt;INDEX(Partidos!$E:$E,AF31),"V",IF(INDEX(Partidos!$F:$F,AF31)=INDEX(Partidos!$E:$E,AF31),"E","P"))))</f>
        <v/>
      </c>
      <c r="AL31" s="4" t="str">
        <f>IF(AG31="","",IF(INDEX(Partidos!$C:$C,AG31)=$N31,IF(INDEX(Partidos!$E:$E,AG31)&gt;INDEX(Partidos!$F:$F,AG31),"V",IF(INDEX(Partidos!$E:$E,AG31)=INDEX(Partidos!$F:$F,AG31),"E","P")),IF(INDEX(Partidos!$F:$F,AG31)&gt;INDEX(Partidos!$E:$E,AG31),"V",IF(INDEX(Partidos!$F:$F,AG31)=INDEX(Partidos!$E:$E,AG31),"E","P"))))</f>
        <v/>
      </c>
      <c r="AM31" s="4" t="str">
        <f>IF(AH31="","",IF(INDEX(Partidos!$C:$C,AH31)=$N31,IF(INDEX(Partidos!$E:$E,AH31)&gt;INDEX(Partidos!$F:$F,AH31),"V",IF(INDEX(Partidos!$E:$E,AH31)=INDEX(Partidos!$F:$F,AH31),"E","P")),IF(INDEX(Partidos!$F:$F,AH31)&gt;INDEX(Partidos!$E:$E,AH31),"V",IF(INDEX(Partidos!$F:$F,AH31)=INDEX(Partidos!$E:$E,AH31),"E","P"))))</f>
        <v/>
      </c>
      <c r="AN31" s="4" t="str">
        <f t="shared" si="20"/>
        <v/>
      </c>
      <c r="AO31" s="4" t="str">
        <f t="shared" si="21"/>
        <v/>
      </c>
      <c r="AP31" s="4" t="str">
        <f>IF(AO31=1,SUMPRODUCT(($AO$2:AO31=1)*1),"")</f>
        <v/>
      </c>
      <c r="AQ31" s="4" t="str">
        <f t="shared" si="22"/>
        <v/>
      </c>
      <c r="AR31" s="4" t="str">
        <f t="shared" si="23"/>
        <v/>
      </c>
      <c r="AS31" s="4" t="str">
        <f>IF(AR31=1,SUMPRODUCT(($AR$2:AR31=1)*1),"")</f>
        <v/>
      </c>
      <c r="AT31" s="4" t="str">
        <f t="shared" si="24"/>
        <v/>
      </c>
    </row>
    <row r="32" spans="1:46" ht="15" customHeight="1" x14ac:dyDescent="0.25">
      <c r="A32" s="8" t="str">
        <f>IF(COUNT($X$2:$X$61)&gt;=31,31,"")</f>
        <v/>
      </c>
      <c r="B32" s="8" t="str">
        <f t="shared" si="0"/>
        <v/>
      </c>
      <c r="C32" s="8" t="str">
        <f t="shared" si="1"/>
        <v/>
      </c>
      <c r="D32" s="8" t="str">
        <f t="shared" si="2"/>
        <v/>
      </c>
      <c r="E32" s="8" t="str">
        <f t="shared" si="3"/>
        <v/>
      </c>
      <c r="F32" s="8" t="str">
        <f t="shared" si="4"/>
        <v/>
      </c>
      <c r="G32" s="8" t="str">
        <f t="shared" si="5"/>
        <v/>
      </c>
      <c r="H32" s="8" t="str">
        <f t="shared" si="6"/>
        <v/>
      </c>
      <c r="I32" s="8" t="str">
        <f t="shared" si="7"/>
        <v/>
      </c>
      <c r="J32" s="8" t="str">
        <f t="shared" si="8"/>
        <v/>
      </c>
      <c r="K32" s="8" t="str">
        <f t="shared" si="9"/>
        <v/>
      </c>
      <c r="N32" s="4" t="str">
        <f>IFERROR(INDEX(Partidos!$C$2:$C$1401,MATCH("TEAM|31",Partidos!$AE$2:$AE$1401,0)),IFERROR(INDEX(Partidos!$D$2:$D$1401,MATCH("TEAM|31",Partidos!$AF$2:$AF$1401,0)),""))</f>
        <v/>
      </c>
      <c r="O32" s="4" t="str">
        <f>IF(N32="","",COUNTIF(Partidos!$C$2:$C$1401,N32)+COUNTIF(Partidos!$D$2:$D$1401,N32))</f>
        <v/>
      </c>
      <c r="P32" s="4" t="str">
        <f>IF(N32="","",SUMPRODUCT((Partidos!$C$2:$C$1401=N32)*(Partidos!$E$2:$E$1401&gt;Partidos!$F$2:$F$1401))+SUMPRODUCT((Partidos!$D$2:$D$1401=N32)*(Partidos!$F$2:$F$1401&gt;Partidos!$E$2:$E$1401)))</f>
        <v/>
      </c>
      <c r="Q32" s="4" t="str">
        <f>IF(N32="","",SUMPRODUCT((((Partidos!$C$2:$C$1401=N32)+(Partidos!$D$2:$D$1401=N32)))*(Partidos!$E$2:$E$1401=Partidos!$F$2:$F$1401)*(Partidos!$C$2:$C$1401&lt;&gt;"")))</f>
        <v/>
      </c>
      <c r="R32" s="4" t="str">
        <f t="shared" si="10"/>
        <v/>
      </c>
      <c r="S32" s="4" t="str">
        <f>IF(N32="","",SUMIF(Partidos!$C$2:$C$1401,N32,Partidos!$E$2:$E$1401)+SUMIF(Partidos!$D$2:$D$1401,N32,Partidos!$F$2:$F$1401))</f>
        <v/>
      </c>
      <c r="T32" s="4" t="str">
        <f>IF(N32="","",SUMIF(Partidos!$C$2:$C$1401,N32,Partidos!$F$2:$F$1401)+SUMIF(Partidos!$D$2:$D$1401,N32,Partidos!$E$2:$E$1401))</f>
        <v/>
      </c>
      <c r="U32" s="4" t="str">
        <f t="shared" si="11"/>
        <v/>
      </c>
      <c r="V32" s="4" t="str">
        <f t="shared" si="12"/>
        <v/>
      </c>
      <c r="W32" s="4" t="str">
        <f t="shared" si="13"/>
        <v/>
      </c>
      <c r="X32" s="4" t="str">
        <f t="shared" si="14"/>
        <v/>
      </c>
      <c r="Y32" s="4" t="str">
        <f t="shared" si="15"/>
        <v/>
      </c>
      <c r="Z32" s="4" t="str">
        <f t="shared" si="16"/>
        <v/>
      </c>
      <c r="AA32" s="4" t="str">
        <f t="shared" si="17"/>
        <v/>
      </c>
      <c r="AB32" s="4" t="str">
        <f t="shared" si="18"/>
        <v/>
      </c>
      <c r="AC32" s="4" t="str">
        <f t="shared" si="19"/>
        <v/>
      </c>
      <c r="AD32" s="4" t="str">
        <f>IF(OR(N32="",Y32=""),"",IF(Y32&lt;1,"",IFERROR(MATCH($N32&amp;"|"&amp;Y32,Partidos!$Y:$Y,0),IFERROR(MATCH($N32&amp;"|"&amp;Y32,Partidos!$Z:$Z,0),""))))</f>
        <v/>
      </c>
      <c r="AE32" s="4" t="str">
        <f>IF(OR(N32="",Z32=""),"",IF(Z32&lt;1,"",IFERROR(MATCH($N32&amp;"|"&amp;Z32,Partidos!$Y:$Y,0),IFERROR(MATCH($N32&amp;"|"&amp;Z32,Partidos!$Z:$Z,0),""))))</f>
        <v/>
      </c>
      <c r="AF32" s="4" t="str">
        <f>IF(OR(N32="",AA32=""),"",IF(AA32&lt;1,"",IFERROR(MATCH($N32&amp;"|"&amp;AA32,Partidos!$Y:$Y,0),IFERROR(MATCH($N32&amp;"|"&amp;AA32,Partidos!$Z:$Z,0),""))))</f>
        <v/>
      </c>
      <c r="AG32" s="4" t="str">
        <f>IF(OR(N32="",AB32=""),"",IF(AB32&lt;1,"",IFERROR(MATCH($N32&amp;"|"&amp;AB32,Partidos!$Y:$Y,0),IFERROR(MATCH($N32&amp;"|"&amp;AB32,Partidos!$Z:$Z,0),""))))</f>
        <v/>
      </c>
      <c r="AH32" s="4" t="str">
        <f>IF(OR(N32="",AC32=""),"",IF(AC32&lt;1,"",IFERROR(MATCH($N32&amp;"|"&amp;AC32,Partidos!$Y:$Y,0),IFERROR(MATCH($N32&amp;"|"&amp;AC32,Partidos!$Z:$Z,0),""))))</f>
        <v/>
      </c>
      <c r="AI32" s="4" t="str">
        <f>IF(AD32="","",IF(INDEX(Partidos!$C:$C,AD32)=$N32,IF(INDEX(Partidos!$E:$E,AD32)&gt;INDEX(Partidos!$F:$F,AD32),"V",IF(INDEX(Partidos!$E:$E,AD32)=INDEX(Partidos!$F:$F,AD32),"E","P")),IF(INDEX(Partidos!$F:$F,AD32)&gt;INDEX(Partidos!$E:$E,AD32),"V",IF(INDEX(Partidos!$F:$F,AD32)=INDEX(Partidos!$E:$E,AD32),"E","P"))))</f>
        <v/>
      </c>
      <c r="AJ32" s="4" t="str">
        <f>IF(AE32="","",IF(INDEX(Partidos!$C:$C,AE32)=$N32,IF(INDEX(Partidos!$E:$E,AE32)&gt;INDEX(Partidos!$F:$F,AE32),"V",IF(INDEX(Partidos!$E:$E,AE32)=INDEX(Partidos!$F:$F,AE32),"E","P")),IF(INDEX(Partidos!$F:$F,AE32)&gt;INDEX(Partidos!$E:$E,AE32),"V",IF(INDEX(Partidos!$F:$F,AE32)=INDEX(Partidos!$E:$E,AE32),"E","P"))))</f>
        <v/>
      </c>
      <c r="AK32" s="4" t="str">
        <f>IF(AF32="","",IF(INDEX(Partidos!$C:$C,AF32)=$N32,IF(INDEX(Partidos!$E:$E,AF32)&gt;INDEX(Partidos!$F:$F,AF32),"V",IF(INDEX(Partidos!$E:$E,AF32)=INDEX(Partidos!$F:$F,AF32),"E","P")),IF(INDEX(Partidos!$F:$F,AF32)&gt;INDEX(Partidos!$E:$E,AF32),"V",IF(INDEX(Partidos!$F:$F,AF32)=INDEX(Partidos!$E:$E,AF32),"E","P"))))</f>
        <v/>
      </c>
      <c r="AL32" s="4" t="str">
        <f>IF(AG32="","",IF(INDEX(Partidos!$C:$C,AG32)=$N32,IF(INDEX(Partidos!$E:$E,AG32)&gt;INDEX(Partidos!$F:$F,AG32),"V",IF(INDEX(Partidos!$E:$E,AG32)=INDEX(Partidos!$F:$F,AG32),"E","P")),IF(INDEX(Partidos!$F:$F,AG32)&gt;INDEX(Partidos!$E:$E,AG32),"V",IF(INDEX(Partidos!$F:$F,AG32)=INDEX(Partidos!$E:$E,AG32),"E","P"))))</f>
        <v/>
      </c>
      <c r="AM32" s="4" t="str">
        <f>IF(AH32="","",IF(INDEX(Partidos!$C:$C,AH32)=$N32,IF(INDEX(Partidos!$E:$E,AH32)&gt;INDEX(Partidos!$F:$F,AH32),"V",IF(INDEX(Partidos!$E:$E,AH32)=INDEX(Partidos!$F:$F,AH32),"E","P")),IF(INDEX(Partidos!$F:$F,AH32)&gt;INDEX(Partidos!$E:$E,AH32),"V",IF(INDEX(Partidos!$F:$F,AH32)=INDEX(Partidos!$E:$E,AH32),"E","P"))))</f>
        <v/>
      </c>
      <c r="AN32" s="4" t="str">
        <f t="shared" si="20"/>
        <v/>
      </c>
      <c r="AO32" s="4" t="str">
        <f t="shared" si="21"/>
        <v/>
      </c>
      <c r="AP32" s="4" t="str">
        <f>IF(AO32=1,SUMPRODUCT(($AO$2:AO32=1)*1),"")</f>
        <v/>
      </c>
      <c r="AQ32" s="4" t="str">
        <f t="shared" si="22"/>
        <v/>
      </c>
      <c r="AR32" s="4" t="str">
        <f t="shared" si="23"/>
        <v/>
      </c>
      <c r="AS32" s="4" t="str">
        <f>IF(AR32=1,SUMPRODUCT(($AR$2:AR32=1)*1),"")</f>
        <v/>
      </c>
      <c r="AT32" s="4" t="str">
        <f t="shared" si="24"/>
        <v/>
      </c>
    </row>
    <row r="33" spans="1:46" ht="15" customHeight="1" x14ac:dyDescent="0.25">
      <c r="A33" s="8" t="str">
        <f>IF(COUNT($X$2:$X$61)&gt;=32,32,"")</f>
        <v/>
      </c>
      <c r="B33" s="8" t="str">
        <f t="shared" si="0"/>
        <v/>
      </c>
      <c r="C33" s="8" t="str">
        <f t="shared" si="1"/>
        <v/>
      </c>
      <c r="D33" s="8" t="str">
        <f t="shared" si="2"/>
        <v/>
      </c>
      <c r="E33" s="8" t="str">
        <f t="shared" si="3"/>
        <v/>
      </c>
      <c r="F33" s="8" t="str">
        <f t="shared" si="4"/>
        <v/>
      </c>
      <c r="G33" s="8" t="str">
        <f t="shared" si="5"/>
        <v/>
      </c>
      <c r="H33" s="8" t="str">
        <f t="shared" si="6"/>
        <v/>
      </c>
      <c r="I33" s="8" t="str">
        <f t="shared" si="7"/>
        <v/>
      </c>
      <c r="J33" s="8" t="str">
        <f t="shared" si="8"/>
        <v/>
      </c>
      <c r="K33" s="8" t="str">
        <f t="shared" si="9"/>
        <v/>
      </c>
      <c r="N33" s="4" t="str">
        <f>IFERROR(INDEX(Partidos!$C$2:$C$1401,MATCH("TEAM|32",Partidos!$AE$2:$AE$1401,0)),IFERROR(INDEX(Partidos!$D$2:$D$1401,MATCH("TEAM|32",Partidos!$AF$2:$AF$1401,0)),""))</f>
        <v/>
      </c>
      <c r="O33" s="4" t="str">
        <f>IF(N33="","",COUNTIF(Partidos!$C$2:$C$1401,N33)+COUNTIF(Partidos!$D$2:$D$1401,N33))</f>
        <v/>
      </c>
      <c r="P33" s="4" t="str">
        <f>IF(N33="","",SUMPRODUCT((Partidos!$C$2:$C$1401=N33)*(Partidos!$E$2:$E$1401&gt;Partidos!$F$2:$F$1401))+SUMPRODUCT((Partidos!$D$2:$D$1401=N33)*(Partidos!$F$2:$F$1401&gt;Partidos!$E$2:$E$1401)))</f>
        <v/>
      </c>
      <c r="Q33" s="4" t="str">
        <f>IF(N33="","",SUMPRODUCT((((Partidos!$C$2:$C$1401=N33)+(Partidos!$D$2:$D$1401=N33)))*(Partidos!$E$2:$E$1401=Partidos!$F$2:$F$1401)*(Partidos!$C$2:$C$1401&lt;&gt;"")))</f>
        <v/>
      </c>
      <c r="R33" s="4" t="str">
        <f t="shared" si="10"/>
        <v/>
      </c>
      <c r="S33" s="4" t="str">
        <f>IF(N33="","",SUMIF(Partidos!$C$2:$C$1401,N33,Partidos!$E$2:$E$1401)+SUMIF(Partidos!$D$2:$D$1401,N33,Partidos!$F$2:$F$1401))</f>
        <v/>
      </c>
      <c r="T33" s="4" t="str">
        <f>IF(N33="","",SUMIF(Partidos!$C$2:$C$1401,N33,Partidos!$F$2:$F$1401)+SUMIF(Partidos!$D$2:$D$1401,N33,Partidos!$E$2:$E$1401))</f>
        <v/>
      </c>
      <c r="U33" s="4" t="str">
        <f t="shared" si="11"/>
        <v/>
      </c>
      <c r="V33" s="4" t="str">
        <f t="shared" si="12"/>
        <v/>
      </c>
      <c r="W33" s="4" t="str">
        <f t="shared" si="13"/>
        <v/>
      </c>
      <c r="X33" s="4" t="str">
        <f t="shared" si="14"/>
        <v/>
      </c>
      <c r="Y33" s="4" t="str">
        <f t="shared" si="15"/>
        <v/>
      </c>
      <c r="Z33" s="4" t="str">
        <f t="shared" si="16"/>
        <v/>
      </c>
      <c r="AA33" s="4" t="str">
        <f t="shared" si="17"/>
        <v/>
      </c>
      <c r="AB33" s="4" t="str">
        <f t="shared" si="18"/>
        <v/>
      </c>
      <c r="AC33" s="4" t="str">
        <f t="shared" si="19"/>
        <v/>
      </c>
      <c r="AD33" s="4" t="str">
        <f>IF(OR(N33="",Y33=""),"",IF(Y33&lt;1,"",IFERROR(MATCH($N33&amp;"|"&amp;Y33,Partidos!$Y:$Y,0),IFERROR(MATCH($N33&amp;"|"&amp;Y33,Partidos!$Z:$Z,0),""))))</f>
        <v/>
      </c>
      <c r="AE33" s="4" t="str">
        <f>IF(OR(N33="",Z33=""),"",IF(Z33&lt;1,"",IFERROR(MATCH($N33&amp;"|"&amp;Z33,Partidos!$Y:$Y,0),IFERROR(MATCH($N33&amp;"|"&amp;Z33,Partidos!$Z:$Z,0),""))))</f>
        <v/>
      </c>
      <c r="AF33" s="4" t="str">
        <f>IF(OR(N33="",AA33=""),"",IF(AA33&lt;1,"",IFERROR(MATCH($N33&amp;"|"&amp;AA33,Partidos!$Y:$Y,0),IFERROR(MATCH($N33&amp;"|"&amp;AA33,Partidos!$Z:$Z,0),""))))</f>
        <v/>
      </c>
      <c r="AG33" s="4" t="str">
        <f>IF(OR(N33="",AB33=""),"",IF(AB33&lt;1,"",IFERROR(MATCH($N33&amp;"|"&amp;AB33,Partidos!$Y:$Y,0),IFERROR(MATCH($N33&amp;"|"&amp;AB33,Partidos!$Z:$Z,0),""))))</f>
        <v/>
      </c>
      <c r="AH33" s="4" t="str">
        <f>IF(OR(N33="",AC33=""),"",IF(AC33&lt;1,"",IFERROR(MATCH($N33&amp;"|"&amp;AC33,Partidos!$Y:$Y,0),IFERROR(MATCH($N33&amp;"|"&amp;AC33,Partidos!$Z:$Z,0),""))))</f>
        <v/>
      </c>
      <c r="AI33" s="4" t="str">
        <f>IF(AD33="","",IF(INDEX(Partidos!$C:$C,AD33)=$N33,IF(INDEX(Partidos!$E:$E,AD33)&gt;INDEX(Partidos!$F:$F,AD33),"V",IF(INDEX(Partidos!$E:$E,AD33)=INDEX(Partidos!$F:$F,AD33),"E","P")),IF(INDEX(Partidos!$F:$F,AD33)&gt;INDEX(Partidos!$E:$E,AD33),"V",IF(INDEX(Partidos!$F:$F,AD33)=INDEX(Partidos!$E:$E,AD33),"E","P"))))</f>
        <v/>
      </c>
      <c r="AJ33" s="4" t="str">
        <f>IF(AE33="","",IF(INDEX(Partidos!$C:$C,AE33)=$N33,IF(INDEX(Partidos!$E:$E,AE33)&gt;INDEX(Partidos!$F:$F,AE33),"V",IF(INDEX(Partidos!$E:$E,AE33)=INDEX(Partidos!$F:$F,AE33),"E","P")),IF(INDEX(Partidos!$F:$F,AE33)&gt;INDEX(Partidos!$E:$E,AE33),"V",IF(INDEX(Partidos!$F:$F,AE33)=INDEX(Partidos!$E:$E,AE33),"E","P"))))</f>
        <v/>
      </c>
      <c r="AK33" s="4" t="str">
        <f>IF(AF33="","",IF(INDEX(Partidos!$C:$C,AF33)=$N33,IF(INDEX(Partidos!$E:$E,AF33)&gt;INDEX(Partidos!$F:$F,AF33),"V",IF(INDEX(Partidos!$E:$E,AF33)=INDEX(Partidos!$F:$F,AF33),"E","P")),IF(INDEX(Partidos!$F:$F,AF33)&gt;INDEX(Partidos!$E:$E,AF33),"V",IF(INDEX(Partidos!$F:$F,AF33)=INDEX(Partidos!$E:$E,AF33),"E","P"))))</f>
        <v/>
      </c>
      <c r="AL33" s="4" t="str">
        <f>IF(AG33="","",IF(INDEX(Partidos!$C:$C,AG33)=$N33,IF(INDEX(Partidos!$E:$E,AG33)&gt;INDEX(Partidos!$F:$F,AG33),"V",IF(INDEX(Partidos!$E:$E,AG33)=INDEX(Partidos!$F:$F,AG33),"E","P")),IF(INDEX(Partidos!$F:$F,AG33)&gt;INDEX(Partidos!$E:$E,AG33),"V",IF(INDEX(Partidos!$F:$F,AG33)=INDEX(Partidos!$E:$E,AG33),"E","P"))))</f>
        <v/>
      </c>
      <c r="AM33" s="4" t="str">
        <f>IF(AH33="","",IF(INDEX(Partidos!$C:$C,AH33)=$N33,IF(INDEX(Partidos!$E:$E,AH33)&gt;INDEX(Partidos!$F:$F,AH33),"V",IF(INDEX(Partidos!$E:$E,AH33)=INDEX(Partidos!$F:$F,AH33),"E","P")),IF(INDEX(Partidos!$F:$F,AH33)&gt;INDEX(Partidos!$E:$E,AH33),"V",IF(INDEX(Partidos!$F:$F,AH33)=INDEX(Partidos!$E:$E,AH33),"E","P"))))</f>
        <v/>
      </c>
      <c r="AN33" s="4" t="str">
        <f t="shared" si="20"/>
        <v/>
      </c>
      <c r="AO33" s="4" t="str">
        <f t="shared" si="21"/>
        <v/>
      </c>
      <c r="AP33" s="4" t="str">
        <f>IF(AO33=1,SUMPRODUCT(($AO$2:AO33=1)*1),"")</f>
        <v/>
      </c>
      <c r="AQ33" s="4" t="str">
        <f t="shared" si="22"/>
        <v/>
      </c>
      <c r="AR33" s="4" t="str">
        <f t="shared" si="23"/>
        <v/>
      </c>
      <c r="AS33" s="4" t="str">
        <f>IF(AR33=1,SUMPRODUCT(($AR$2:AR33=1)*1),"")</f>
        <v/>
      </c>
      <c r="AT33" s="4" t="str">
        <f t="shared" si="24"/>
        <v/>
      </c>
    </row>
    <row r="34" spans="1:46" ht="15" customHeight="1" x14ac:dyDescent="0.25">
      <c r="A34" s="8" t="str">
        <f>IF(COUNT($X$2:$X$61)&gt;=33,33,"")</f>
        <v/>
      </c>
      <c r="B34" s="8" t="str">
        <f t="shared" ref="B34:B61" si="25">IF($A34="","",INDEX($N$2:$N$61,MATCH($A34,$X$2:$X$61,0)))</f>
        <v/>
      </c>
      <c r="C34" s="8" t="str">
        <f t="shared" ref="C34:C61" si="26">IF($A34="","",INDEX($O$2:$O$61,MATCH($A34,$X$2:$X$61,0)))</f>
        <v/>
      </c>
      <c r="D34" s="8" t="str">
        <f t="shared" ref="D34:D61" si="27">IF($A34="","",INDEX($P$2:$P$61,MATCH($A34,$X$2:$X$61,0)))</f>
        <v/>
      </c>
      <c r="E34" s="8" t="str">
        <f t="shared" ref="E34:E61" si="28">IF($A34="","",INDEX($Q$2:$Q$61,MATCH($A34,$X$2:$X$61,0)))</f>
        <v/>
      </c>
      <c r="F34" s="8" t="str">
        <f t="shared" ref="F34:F61" si="29">IF($A34="","",INDEX($R$2:$R$61,MATCH($A34,$X$2:$X$61,0)))</f>
        <v/>
      </c>
      <c r="G34" s="8" t="str">
        <f t="shared" ref="G34:G61" si="30">IF($A34="","",INDEX($S$2:$S$61,MATCH($A34,$X$2:$X$61,0)))</f>
        <v/>
      </c>
      <c r="H34" s="8" t="str">
        <f t="shared" ref="H34:H61" si="31">IF($A34="","",INDEX($T$2:$T$61,MATCH($A34,$X$2:$X$61,0)))</f>
        <v/>
      </c>
      <c r="I34" s="8" t="str">
        <f t="shared" ref="I34:I61" si="32">IF($A34="","",INDEX($U$2:$U$61,MATCH($A34,$X$2:$X$61,0)))</f>
        <v/>
      </c>
      <c r="J34" s="8" t="str">
        <f t="shared" ref="J34:J61" si="33">IF($A34="","",INDEX($V$2:$V$61,MATCH($A34,$X$2:$X$61,0)))</f>
        <v/>
      </c>
      <c r="K34" s="8" t="str">
        <f t="shared" ref="K34:K61" si="34">IF($A34="","",INDEX($AN$2:$AN$61,MATCH($A34,$X$2:$X$61,0)))</f>
        <v/>
      </c>
      <c r="N34" s="4" t="str">
        <f>IFERROR(INDEX(Partidos!$C$2:$C$1401,MATCH("TEAM|33",Partidos!$AE$2:$AE$1401,0)),IFERROR(INDEX(Partidos!$D$2:$D$1401,MATCH("TEAM|33",Partidos!$AF$2:$AF$1401,0)),""))</f>
        <v/>
      </c>
      <c r="O34" s="4" t="str">
        <f>IF(N34="","",COUNTIF(Partidos!$C$2:$C$1401,N34)+COUNTIF(Partidos!$D$2:$D$1401,N34))</f>
        <v/>
      </c>
      <c r="P34" s="4" t="str">
        <f>IF(N34="","",SUMPRODUCT((Partidos!$C$2:$C$1401=N34)*(Partidos!$E$2:$E$1401&gt;Partidos!$F$2:$F$1401))+SUMPRODUCT((Partidos!$D$2:$D$1401=N34)*(Partidos!$F$2:$F$1401&gt;Partidos!$E$2:$E$1401)))</f>
        <v/>
      </c>
      <c r="Q34" s="4" t="str">
        <f>IF(N34="","",SUMPRODUCT((((Partidos!$C$2:$C$1401=N34)+(Partidos!$D$2:$D$1401=N34)))*(Partidos!$E$2:$E$1401=Partidos!$F$2:$F$1401)*(Partidos!$C$2:$C$1401&lt;&gt;"")))</f>
        <v/>
      </c>
      <c r="R34" s="4" t="str">
        <f t="shared" ref="R34:R61" si="35">IF(N34="","",O34-P34-Q34)</f>
        <v/>
      </c>
      <c r="S34" s="4" t="str">
        <f>IF(N34="","",SUMIF(Partidos!$C$2:$C$1401,N34,Partidos!$E$2:$E$1401)+SUMIF(Partidos!$D$2:$D$1401,N34,Partidos!$F$2:$F$1401))</f>
        <v/>
      </c>
      <c r="T34" s="4" t="str">
        <f>IF(N34="","",SUMIF(Partidos!$C$2:$C$1401,N34,Partidos!$F$2:$F$1401)+SUMIF(Partidos!$D$2:$D$1401,N34,Partidos!$E$2:$E$1401))</f>
        <v/>
      </c>
      <c r="U34" s="4" t="str">
        <f t="shared" ref="U34:U61" si="36">IF(N34="","",S34-T34)</f>
        <v/>
      </c>
      <c r="V34" s="4" t="str">
        <f t="shared" ref="V34:V61" si="37">IF(N34="","",P34*3+Q34)</f>
        <v/>
      </c>
      <c r="W34" s="4" t="str">
        <f t="shared" ref="W34:W61" si="38">IF(N34="","",V34*1000000+U34*1000+S34+(ROW()*0.0000001))</f>
        <v/>
      </c>
      <c r="X34" s="4" t="str">
        <f t="shared" ref="X34:X61" si="39">IF(N34="","",RANK(W34,$W$2:$W$61))</f>
        <v/>
      </c>
      <c r="Y34" s="4" t="str">
        <f t="shared" ref="Y34:Y61" si="40">IF(N34="","",O34-4)</f>
        <v/>
      </c>
      <c r="Z34" s="4" t="str">
        <f t="shared" ref="Z34:Z61" si="41">IF(N34="","",O34-3)</f>
        <v/>
      </c>
      <c r="AA34" s="4" t="str">
        <f t="shared" ref="AA34:AA61" si="42">IF(N34="","",O34-2)</f>
        <v/>
      </c>
      <c r="AB34" s="4" t="str">
        <f t="shared" ref="AB34:AB61" si="43">IF(N34="","",O34-1)</f>
        <v/>
      </c>
      <c r="AC34" s="4" t="str">
        <f t="shared" ref="AC34:AC61" si="44">IF(N34="","",O34-0)</f>
        <v/>
      </c>
      <c r="AD34" s="4" t="str">
        <f>IF(OR(N34="",Y34=""),"",IF(Y34&lt;1,"",IFERROR(MATCH($N34&amp;"|"&amp;Y34,Partidos!$Y:$Y,0),IFERROR(MATCH($N34&amp;"|"&amp;Y34,Partidos!$Z:$Z,0),""))))</f>
        <v/>
      </c>
      <c r="AE34" s="4" t="str">
        <f>IF(OR(N34="",Z34=""),"",IF(Z34&lt;1,"",IFERROR(MATCH($N34&amp;"|"&amp;Z34,Partidos!$Y:$Y,0),IFERROR(MATCH($N34&amp;"|"&amp;Z34,Partidos!$Z:$Z,0),""))))</f>
        <v/>
      </c>
      <c r="AF34" s="4" t="str">
        <f>IF(OR(N34="",AA34=""),"",IF(AA34&lt;1,"",IFERROR(MATCH($N34&amp;"|"&amp;AA34,Partidos!$Y:$Y,0),IFERROR(MATCH($N34&amp;"|"&amp;AA34,Partidos!$Z:$Z,0),""))))</f>
        <v/>
      </c>
      <c r="AG34" s="4" t="str">
        <f>IF(OR(N34="",AB34=""),"",IF(AB34&lt;1,"",IFERROR(MATCH($N34&amp;"|"&amp;AB34,Partidos!$Y:$Y,0),IFERROR(MATCH($N34&amp;"|"&amp;AB34,Partidos!$Z:$Z,0),""))))</f>
        <v/>
      </c>
      <c r="AH34" s="4" t="str">
        <f>IF(OR(N34="",AC34=""),"",IF(AC34&lt;1,"",IFERROR(MATCH($N34&amp;"|"&amp;AC34,Partidos!$Y:$Y,0),IFERROR(MATCH($N34&amp;"|"&amp;AC34,Partidos!$Z:$Z,0),""))))</f>
        <v/>
      </c>
      <c r="AI34" s="4" t="str">
        <f>IF(AD34="","",IF(INDEX(Partidos!$C:$C,AD34)=$N34,IF(INDEX(Partidos!$E:$E,AD34)&gt;INDEX(Partidos!$F:$F,AD34),"V",IF(INDEX(Partidos!$E:$E,AD34)=INDEX(Partidos!$F:$F,AD34),"E","P")),IF(INDEX(Partidos!$F:$F,AD34)&gt;INDEX(Partidos!$E:$E,AD34),"V",IF(INDEX(Partidos!$F:$F,AD34)=INDEX(Partidos!$E:$E,AD34),"E","P"))))</f>
        <v/>
      </c>
      <c r="AJ34" s="4" t="str">
        <f>IF(AE34="","",IF(INDEX(Partidos!$C:$C,AE34)=$N34,IF(INDEX(Partidos!$E:$E,AE34)&gt;INDEX(Partidos!$F:$F,AE34),"V",IF(INDEX(Partidos!$E:$E,AE34)=INDEX(Partidos!$F:$F,AE34),"E","P")),IF(INDEX(Partidos!$F:$F,AE34)&gt;INDEX(Partidos!$E:$E,AE34),"V",IF(INDEX(Partidos!$F:$F,AE34)=INDEX(Partidos!$E:$E,AE34),"E","P"))))</f>
        <v/>
      </c>
      <c r="AK34" s="4" t="str">
        <f>IF(AF34="","",IF(INDEX(Partidos!$C:$C,AF34)=$N34,IF(INDEX(Partidos!$E:$E,AF34)&gt;INDEX(Partidos!$F:$F,AF34),"V",IF(INDEX(Partidos!$E:$E,AF34)=INDEX(Partidos!$F:$F,AF34),"E","P")),IF(INDEX(Partidos!$F:$F,AF34)&gt;INDEX(Partidos!$E:$E,AF34),"V",IF(INDEX(Partidos!$F:$F,AF34)=INDEX(Partidos!$E:$E,AF34),"E","P"))))</f>
        <v/>
      </c>
      <c r="AL34" s="4" t="str">
        <f>IF(AG34="","",IF(INDEX(Partidos!$C:$C,AG34)=$N34,IF(INDEX(Partidos!$E:$E,AG34)&gt;INDEX(Partidos!$F:$F,AG34),"V",IF(INDEX(Partidos!$E:$E,AG34)=INDEX(Partidos!$F:$F,AG34),"E","P")),IF(INDEX(Partidos!$F:$F,AG34)&gt;INDEX(Partidos!$E:$E,AG34),"V",IF(INDEX(Partidos!$F:$F,AG34)=INDEX(Partidos!$E:$E,AG34),"E","P"))))</f>
        <v/>
      </c>
      <c r="AM34" s="4" t="str">
        <f>IF(AH34="","",IF(INDEX(Partidos!$C:$C,AH34)=$N34,IF(INDEX(Partidos!$E:$E,AH34)&gt;INDEX(Partidos!$F:$F,AH34),"V",IF(INDEX(Partidos!$E:$E,AH34)=INDEX(Partidos!$F:$F,AH34),"E","P")),IF(INDEX(Partidos!$F:$F,AH34)&gt;INDEX(Partidos!$E:$E,AH34),"V",IF(INDEX(Partidos!$F:$F,AH34)=INDEX(Partidos!$E:$E,AH34),"E","P"))))</f>
        <v/>
      </c>
      <c r="AN34" s="4" t="str">
        <f t="shared" ref="AN34:AN61" si="45">IF(N34="","",_xlfn.TEXTJOIN("-",TRUE(),AI34:AM34))</f>
        <v/>
      </c>
      <c r="AO34" s="4" t="str">
        <f t="shared" ref="AO34:AO61" si="46">IF(N34="","",RANK(S34,$S$2:$S$61,0))</f>
        <v/>
      </c>
      <c r="AP34" s="4" t="str">
        <f>IF(AO34=1,SUMPRODUCT(($AO$2:AO34=1)*1),"")</f>
        <v/>
      </c>
      <c r="AQ34" s="4" t="str">
        <f t="shared" ref="AQ34:AQ61" si="47">IF(AO34=1,"GF|"&amp;AP34,"")</f>
        <v/>
      </c>
      <c r="AR34" s="4" t="str">
        <f t="shared" ref="AR34:AR61" si="48">IF(N34="","",RANK(T34,$T$2:$T$61,1))</f>
        <v/>
      </c>
      <c r="AS34" s="4" t="str">
        <f>IF(AR34=1,SUMPRODUCT(($AR$2:AR34=1)*1),"")</f>
        <v/>
      </c>
      <c r="AT34" s="4" t="str">
        <f t="shared" ref="AT34:AT61" si="49">IF(AR34=1,"GC|"&amp;AS34,"")</f>
        <v/>
      </c>
    </row>
    <row r="35" spans="1:46" ht="15" customHeight="1" x14ac:dyDescent="0.25">
      <c r="A35" s="8" t="str">
        <f>IF(COUNT($X$2:$X$61)&gt;=34,34,"")</f>
        <v/>
      </c>
      <c r="B35" s="8" t="str">
        <f t="shared" si="25"/>
        <v/>
      </c>
      <c r="C35" s="8" t="str">
        <f t="shared" si="26"/>
        <v/>
      </c>
      <c r="D35" s="8" t="str">
        <f t="shared" si="27"/>
        <v/>
      </c>
      <c r="E35" s="8" t="str">
        <f t="shared" si="28"/>
        <v/>
      </c>
      <c r="F35" s="8" t="str">
        <f t="shared" si="29"/>
        <v/>
      </c>
      <c r="G35" s="8" t="str">
        <f t="shared" si="30"/>
        <v/>
      </c>
      <c r="H35" s="8" t="str">
        <f t="shared" si="31"/>
        <v/>
      </c>
      <c r="I35" s="8" t="str">
        <f t="shared" si="32"/>
        <v/>
      </c>
      <c r="J35" s="8" t="str">
        <f t="shared" si="33"/>
        <v/>
      </c>
      <c r="K35" s="8" t="str">
        <f t="shared" si="34"/>
        <v/>
      </c>
      <c r="N35" s="4" t="str">
        <f>IFERROR(INDEX(Partidos!$C$2:$C$1401,MATCH("TEAM|34",Partidos!$AE$2:$AE$1401,0)),IFERROR(INDEX(Partidos!$D$2:$D$1401,MATCH("TEAM|34",Partidos!$AF$2:$AF$1401,0)),""))</f>
        <v/>
      </c>
      <c r="O35" s="4" t="str">
        <f>IF(N35="","",COUNTIF(Partidos!$C$2:$C$1401,N35)+COUNTIF(Partidos!$D$2:$D$1401,N35))</f>
        <v/>
      </c>
      <c r="P35" s="4" t="str">
        <f>IF(N35="","",SUMPRODUCT((Partidos!$C$2:$C$1401=N35)*(Partidos!$E$2:$E$1401&gt;Partidos!$F$2:$F$1401))+SUMPRODUCT((Partidos!$D$2:$D$1401=N35)*(Partidos!$F$2:$F$1401&gt;Partidos!$E$2:$E$1401)))</f>
        <v/>
      </c>
      <c r="Q35" s="4" t="str">
        <f>IF(N35="","",SUMPRODUCT((((Partidos!$C$2:$C$1401=N35)+(Partidos!$D$2:$D$1401=N35)))*(Partidos!$E$2:$E$1401=Partidos!$F$2:$F$1401)*(Partidos!$C$2:$C$1401&lt;&gt;"")))</f>
        <v/>
      </c>
      <c r="R35" s="4" t="str">
        <f t="shared" si="35"/>
        <v/>
      </c>
      <c r="S35" s="4" t="str">
        <f>IF(N35="","",SUMIF(Partidos!$C$2:$C$1401,N35,Partidos!$E$2:$E$1401)+SUMIF(Partidos!$D$2:$D$1401,N35,Partidos!$F$2:$F$1401))</f>
        <v/>
      </c>
      <c r="T35" s="4" t="str">
        <f>IF(N35="","",SUMIF(Partidos!$C$2:$C$1401,N35,Partidos!$F$2:$F$1401)+SUMIF(Partidos!$D$2:$D$1401,N35,Partidos!$E$2:$E$1401))</f>
        <v/>
      </c>
      <c r="U35" s="4" t="str">
        <f t="shared" si="36"/>
        <v/>
      </c>
      <c r="V35" s="4" t="str">
        <f t="shared" si="37"/>
        <v/>
      </c>
      <c r="W35" s="4" t="str">
        <f t="shared" si="38"/>
        <v/>
      </c>
      <c r="X35" s="4" t="str">
        <f t="shared" si="39"/>
        <v/>
      </c>
      <c r="Y35" s="4" t="str">
        <f t="shared" si="40"/>
        <v/>
      </c>
      <c r="Z35" s="4" t="str">
        <f t="shared" si="41"/>
        <v/>
      </c>
      <c r="AA35" s="4" t="str">
        <f t="shared" si="42"/>
        <v/>
      </c>
      <c r="AB35" s="4" t="str">
        <f t="shared" si="43"/>
        <v/>
      </c>
      <c r="AC35" s="4" t="str">
        <f t="shared" si="44"/>
        <v/>
      </c>
      <c r="AD35" s="4" t="str">
        <f>IF(OR(N35="",Y35=""),"",IF(Y35&lt;1,"",IFERROR(MATCH($N35&amp;"|"&amp;Y35,Partidos!$Y:$Y,0),IFERROR(MATCH($N35&amp;"|"&amp;Y35,Partidos!$Z:$Z,0),""))))</f>
        <v/>
      </c>
      <c r="AE35" s="4" t="str">
        <f>IF(OR(N35="",Z35=""),"",IF(Z35&lt;1,"",IFERROR(MATCH($N35&amp;"|"&amp;Z35,Partidos!$Y:$Y,0),IFERROR(MATCH($N35&amp;"|"&amp;Z35,Partidos!$Z:$Z,0),""))))</f>
        <v/>
      </c>
      <c r="AF35" s="4" t="str">
        <f>IF(OR(N35="",AA35=""),"",IF(AA35&lt;1,"",IFERROR(MATCH($N35&amp;"|"&amp;AA35,Partidos!$Y:$Y,0),IFERROR(MATCH($N35&amp;"|"&amp;AA35,Partidos!$Z:$Z,0),""))))</f>
        <v/>
      </c>
      <c r="AG35" s="4" t="str">
        <f>IF(OR(N35="",AB35=""),"",IF(AB35&lt;1,"",IFERROR(MATCH($N35&amp;"|"&amp;AB35,Partidos!$Y:$Y,0),IFERROR(MATCH($N35&amp;"|"&amp;AB35,Partidos!$Z:$Z,0),""))))</f>
        <v/>
      </c>
      <c r="AH35" s="4" t="str">
        <f>IF(OR(N35="",AC35=""),"",IF(AC35&lt;1,"",IFERROR(MATCH($N35&amp;"|"&amp;AC35,Partidos!$Y:$Y,0),IFERROR(MATCH($N35&amp;"|"&amp;AC35,Partidos!$Z:$Z,0),""))))</f>
        <v/>
      </c>
      <c r="AI35" s="4" t="str">
        <f>IF(AD35="","",IF(INDEX(Partidos!$C:$C,AD35)=$N35,IF(INDEX(Partidos!$E:$E,AD35)&gt;INDEX(Partidos!$F:$F,AD35),"V",IF(INDEX(Partidos!$E:$E,AD35)=INDEX(Partidos!$F:$F,AD35),"E","P")),IF(INDEX(Partidos!$F:$F,AD35)&gt;INDEX(Partidos!$E:$E,AD35),"V",IF(INDEX(Partidos!$F:$F,AD35)=INDEX(Partidos!$E:$E,AD35),"E","P"))))</f>
        <v/>
      </c>
      <c r="AJ35" s="4" t="str">
        <f>IF(AE35="","",IF(INDEX(Partidos!$C:$C,AE35)=$N35,IF(INDEX(Partidos!$E:$E,AE35)&gt;INDEX(Partidos!$F:$F,AE35),"V",IF(INDEX(Partidos!$E:$E,AE35)=INDEX(Partidos!$F:$F,AE35),"E","P")),IF(INDEX(Partidos!$F:$F,AE35)&gt;INDEX(Partidos!$E:$E,AE35),"V",IF(INDEX(Partidos!$F:$F,AE35)=INDEX(Partidos!$E:$E,AE35),"E","P"))))</f>
        <v/>
      </c>
      <c r="AK35" s="4" t="str">
        <f>IF(AF35="","",IF(INDEX(Partidos!$C:$C,AF35)=$N35,IF(INDEX(Partidos!$E:$E,AF35)&gt;INDEX(Partidos!$F:$F,AF35),"V",IF(INDEX(Partidos!$E:$E,AF35)=INDEX(Partidos!$F:$F,AF35),"E","P")),IF(INDEX(Partidos!$F:$F,AF35)&gt;INDEX(Partidos!$E:$E,AF35),"V",IF(INDEX(Partidos!$F:$F,AF35)=INDEX(Partidos!$E:$E,AF35),"E","P"))))</f>
        <v/>
      </c>
      <c r="AL35" s="4" t="str">
        <f>IF(AG35="","",IF(INDEX(Partidos!$C:$C,AG35)=$N35,IF(INDEX(Partidos!$E:$E,AG35)&gt;INDEX(Partidos!$F:$F,AG35),"V",IF(INDEX(Partidos!$E:$E,AG35)=INDEX(Partidos!$F:$F,AG35),"E","P")),IF(INDEX(Partidos!$F:$F,AG35)&gt;INDEX(Partidos!$E:$E,AG35),"V",IF(INDEX(Partidos!$F:$F,AG35)=INDEX(Partidos!$E:$E,AG35),"E","P"))))</f>
        <v/>
      </c>
      <c r="AM35" s="4" t="str">
        <f>IF(AH35="","",IF(INDEX(Partidos!$C:$C,AH35)=$N35,IF(INDEX(Partidos!$E:$E,AH35)&gt;INDEX(Partidos!$F:$F,AH35),"V",IF(INDEX(Partidos!$E:$E,AH35)=INDEX(Partidos!$F:$F,AH35),"E","P")),IF(INDEX(Partidos!$F:$F,AH35)&gt;INDEX(Partidos!$E:$E,AH35),"V",IF(INDEX(Partidos!$F:$F,AH35)=INDEX(Partidos!$E:$E,AH35),"E","P"))))</f>
        <v/>
      </c>
      <c r="AN35" s="4" t="str">
        <f t="shared" si="45"/>
        <v/>
      </c>
      <c r="AO35" s="4" t="str">
        <f t="shared" si="46"/>
        <v/>
      </c>
      <c r="AP35" s="4" t="str">
        <f>IF(AO35=1,SUMPRODUCT(($AO$2:AO35=1)*1),"")</f>
        <v/>
      </c>
      <c r="AQ35" s="4" t="str">
        <f t="shared" si="47"/>
        <v/>
      </c>
      <c r="AR35" s="4" t="str">
        <f t="shared" si="48"/>
        <v/>
      </c>
      <c r="AS35" s="4" t="str">
        <f>IF(AR35=1,SUMPRODUCT(($AR$2:AR35=1)*1),"")</f>
        <v/>
      </c>
      <c r="AT35" s="4" t="str">
        <f t="shared" si="49"/>
        <v/>
      </c>
    </row>
    <row r="36" spans="1:46" ht="15" customHeight="1" x14ac:dyDescent="0.25">
      <c r="A36" s="8" t="str">
        <f>IF(COUNT($X$2:$X$61)&gt;=35,35,"")</f>
        <v/>
      </c>
      <c r="B36" s="8" t="str">
        <f t="shared" si="25"/>
        <v/>
      </c>
      <c r="C36" s="8" t="str">
        <f t="shared" si="26"/>
        <v/>
      </c>
      <c r="D36" s="8" t="str">
        <f t="shared" si="27"/>
        <v/>
      </c>
      <c r="E36" s="8" t="str">
        <f t="shared" si="28"/>
        <v/>
      </c>
      <c r="F36" s="8" t="str">
        <f t="shared" si="29"/>
        <v/>
      </c>
      <c r="G36" s="8" t="str">
        <f t="shared" si="30"/>
        <v/>
      </c>
      <c r="H36" s="8" t="str">
        <f t="shared" si="31"/>
        <v/>
      </c>
      <c r="I36" s="8" t="str">
        <f t="shared" si="32"/>
        <v/>
      </c>
      <c r="J36" s="8" t="str">
        <f t="shared" si="33"/>
        <v/>
      </c>
      <c r="K36" s="8" t="str">
        <f t="shared" si="34"/>
        <v/>
      </c>
      <c r="N36" s="4" t="str">
        <f>IFERROR(INDEX(Partidos!$C$2:$C$1401,MATCH("TEAM|35",Partidos!$AE$2:$AE$1401,0)),IFERROR(INDEX(Partidos!$D$2:$D$1401,MATCH("TEAM|35",Partidos!$AF$2:$AF$1401,0)),""))</f>
        <v/>
      </c>
      <c r="O36" s="4" t="str">
        <f>IF(N36="","",COUNTIF(Partidos!$C$2:$C$1401,N36)+COUNTIF(Partidos!$D$2:$D$1401,N36))</f>
        <v/>
      </c>
      <c r="P36" s="4" t="str">
        <f>IF(N36="","",SUMPRODUCT((Partidos!$C$2:$C$1401=N36)*(Partidos!$E$2:$E$1401&gt;Partidos!$F$2:$F$1401))+SUMPRODUCT((Partidos!$D$2:$D$1401=N36)*(Partidos!$F$2:$F$1401&gt;Partidos!$E$2:$E$1401)))</f>
        <v/>
      </c>
      <c r="Q36" s="4" t="str">
        <f>IF(N36="","",SUMPRODUCT((((Partidos!$C$2:$C$1401=N36)+(Partidos!$D$2:$D$1401=N36)))*(Partidos!$E$2:$E$1401=Partidos!$F$2:$F$1401)*(Partidos!$C$2:$C$1401&lt;&gt;"")))</f>
        <v/>
      </c>
      <c r="R36" s="4" t="str">
        <f t="shared" si="35"/>
        <v/>
      </c>
      <c r="S36" s="4" t="str">
        <f>IF(N36="","",SUMIF(Partidos!$C$2:$C$1401,N36,Partidos!$E$2:$E$1401)+SUMIF(Partidos!$D$2:$D$1401,N36,Partidos!$F$2:$F$1401))</f>
        <v/>
      </c>
      <c r="T36" s="4" t="str">
        <f>IF(N36="","",SUMIF(Partidos!$C$2:$C$1401,N36,Partidos!$F$2:$F$1401)+SUMIF(Partidos!$D$2:$D$1401,N36,Partidos!$E$2:$E$1401))</f>
        <v/>
      </c>
      <c r="U36" s="4" t="str">
        <f t="shared" si="36"/>
        <v/>
      </c>
      <c r="V36" s="4" t="str">
        <f t="shared" si="37"/>
        <v/>
      </c>
      <c r="W36" s="4" t="str">
        <f t="shared" si="38"/>
        <v/>
      </c>
      <c r="X36" s="4" t="str">
        <f t="shared" si="39"/>
        <v/>
      </c>
      <c r="Y36" s="4" t="str">
        <f t="shared" si="40"/>
        <v/>
      </c>
      <c r="Z36" s="4" t="str">
        <f t="shared" si="41"/>
        <v/>
      </c>
      <c r="AA36" s="4" t="str">
        <f t="shared" si="42"/>
        <v/>
      </c>
      <c r="AB36" s="4" t="str">
        <f t="shared" si="43"/>
        <v/>
      </c>
      <c r="AC36" s="4" t="str">
        <f t="shared" si="44"/>
        <v/>
      </c>
      <c r="AD36" s="4" t="str">
        <f>IF(OR(N36="",Y36=""),"",IF(Y36&lt;1,"",IFERROR(MATCH($N36&amp;"|"&amp;Y36,Partidos!$Y:$Y,0),IFERROR(MATCH($N36&amp;"|"&amp;Y36,Partidos!$Z:$Z,0),""))))</f>
        <v/>
      </c>
      <c r="AE36" s="4" t="str">
        <f>IF(OR(N36="",Z36=""),"",IF(Z36&lt;1,"",IFERROR(MATCH($N36&amp;"|"&amp;Z36,Partidos!$Y:$Y,0),IFERROR(MATCH($N36&amp;"|"&amp;Z36,Partidos!$Z:$Z,0),""))))</f>
        <v/>
      </c>
      <c r="AF36" s="4" t="str">
        <f>IF(OR(N36="",AA36=""),"",IF(AA36&lt;1,"",IFERROR(MATCH($N36&amp;"|"&amp;AA36,Partidos!$Y:$Y,0),IFERROR(MATCH($N36&amp;"|"&amp;AA36,Partidos!$Z:$Z,0),""))))</f>
        <v/>
      </c>
      <c r="AG36" s="4" t="str">
        <f>IF(OR(N36="",AB36=""),"",IF(AB36&lt;1,"",IFERROR(MATCH($N36&amp;"|"&amp;AB36,Partidos!$Y:$Y,0),IFERROR(MATCH($N36&amp;"|"&amp;AB36,Partidos!$Z:$Z,0),""))))</f>
        <v/>
      </c>
      <c r="AH36" s="4" t="str">
        <f>IF(OR(N36="",AC36=""),"",IF(AC36&lt;1,"",IFERROR(MATCH($N36&amp;"|"&amp;AC36,Partidos!$Y:$Y,0),IFERROR(MATCH($N36&amp;"|"&amp;AC36,Partidos!$Z:$Z,0),""))))</f>
        <v/>
      </c>
      <c r="AI36" s="4" t="str">
        <f>IF(AD36="","",IF(INDEX(Partidos!$C:$C,AD36)=$N36,IF(INDEX(Partidos!$E:$E,AD36)&gt;INDEX(Partidos!$F:$F,AD36),"V",IF(INDEX(Partidos!$E:$E,AD36)=INDEX(Partidos!$F:$F,AD36),"E","P")),IF(INDEX(Partidos!$F:$F,AD36)&gt;INDEX(Partidos!$E:$E,AD36),"V",IF(INDEX(Partidos!$F:$F,AD36)=INDEX(Partidos!$E:$E,AD36),"E","P"))))</f>
        <v/>
      </c>
      <c r="AJ36" s="4" t="str">
        <f>IF(AE36="","",IF(INDEX(Partidos!$C:$C,AE36)=$N36,IF(INDEX(Partidos!$E:$E,AE36)&gt;INDEX(Partidos!$F:$F,AE36),"V",IF(INDEX(Partidos!$E:$E,AE36)=INDEX(Partidos!$F:$F,AE36),"E","P")),IF(INDEX(Partidos!$F:$F,AE36)&gt;INDEX(Partidos!$E:$E,AE36),"V",IF(INDEX(Partidos!$F:$F,AE36)=INDEX(Partidos!$E:$E,AE36),"E","P"))))</f>
        <v/>
      </c>
      <c r="AK36" s="4" t="str">
        <f>IF(AF36="","",IF(INDEX(Partidos!$C:$C,AF36)=$N36,IF(INDEX(Partidos!$E:$E,AF36)&gt;INDEX(Partidos!$F:$F,AF36),"V",IF(INDEX(Partidos!$E:$E,AF36)=INDEX(Partidos!$F:$F,AF36),"E","P")),IF(INDEX(Partidos!$F:$F,AF36)&gt;INDEX(Partidos!$E:$E,AF36),"V",IF(INDEX(Partidos!$F:$F,AF36)=INDEX(Partidos!$E:$E,AF36),"E","P"))))</f>
        <v/>
      </c>
      <c r="AL36" s="4" t="str">
        <f>IF(AG36="","",IF(INDEX(Partidos!$C:$C,AG36)=$N36,IF(INDEX(Partidos!$E:$E,AG36)&gt;INDEX(Partidos!$F:$F,AG36),"V",IF(INDEX(Partidos!$E:$E,AG36)=INDEX(Partidos!$F:$F,AG36),"E","P")),IF(INDEX(Partidos!$F:$F,AG36)&gt;INDEX(Partidos!$E:$E,AG36),"V",IF(INDEX(Partidos!$F:$F,AG36)=INDEX(Partidos!$E:$E,AG36),"E","P"))))</f>
        <v/>
      </c>
      <c r="AM36" s="4" t="str">
        <f>IF(AH36="","",IF(INDEX(Partidos!$C:$C,AH36)=$N36,IF(INDEX(Partidos!$E:$E,AH36)&gt;INDEX(Partidos!$F:$F,AH36),"V",IF(INDEX(Partidos!$E:$E,AH36)=INDEX(Partidos!$F:$F,AH36),"E","P")),IF(INDEX(Partidos!$F:$F,AH36)&gt;INDEX(Partidos!$E:$E,AH36),"V",IF(INDEX(Partidos!$F:$F,AH36)=INDEX(Partidos!$E:$E,AH36),"E","P"))))</f>
        <v/>
      </c>
      <c r="AN36" s="4" t="str">
        <f t="shared" si="45"/>
        <v/>
      </c>
      <c r="AO36" s="4" t="str">
        <f t="shared" si="46"/>
        <v/>
      </c>
      <c r="AP36" s="4" t="str">
        <f>IF(AO36=1,SUMPRODUCT(($AO$2:AO36=1)*1),"")</f>
        <v/>
      </c>
      <c r="AQ36" s="4" t="str">
        <f t="shared" si="47"/>
        <v/>
      </c>
      <c r="AR36" s="4" t="str">
        <f t="shared" si="48"/>
        <v/>
      </c>
      <c r="AS36" s="4" t="str">
        <f>IF(AR36=1,SUMPRODUCT(($AR$2:AR36=1)*1),"")</f>
        <v/>
      </c>
      <c r="AT36" s="4" t="str">
        <f t="shared" si="49"/>
        <v/>
      </c>
    </row>
    <row r="37" spans="1:46" ht="15" customHeight="1" x14ac:dyDescent="0.25">
      <c r="A37" s="8" t="str">
        <f>IF(COUNT($X$2:$X$61)&gt;=36,36,"")</f>
        <v/>
      </c>
      <c r="B37" s="8" t="str">
        <f t="shared" si="25"/>
        <v/>
      </c>
      <c r="C37" s="8" t="str">
        <f t="shared" si="26"/>
        <v/>
      </c>
      <c r="D37" s="8" t="str">
        <f t="shared" si="27"/>
        <v/>
      </c>
      <c r="E37" s="8" t="str">
        <f t="shared" si="28"/>
        <v/>
      </c>
      <c r="F37" s="8" t="str">
        <f t="shared" si="29"/>
        <v/>
      </c>
      <c r="G37" s="8" t="str">
        <f t="shared" si="30"/>
        <v/>
      </c>
      <c r="H37" s="8" t="str">
        <f t="shared" si="31"/>
        <v/>
      </c>
      <c r="I37" s="8" t="str">
        <f t="shared" si="32"/>
        <v/>
      </c>
      <c r="J37" s="8" t="str">
        <f t="shared" si="33"/>
        <v/>
      </c>
      <c r="K37" s="8" t="str">
        <f t="shared" si="34"/>
        <v/>
      </c>
      <c r="N37" s="4" t="str">
        <f>IFERROR(INDEX(Partidos!$C$2:$C$1401,MATCH("TEAM|36",Partidos!$AE$2:$AE$1401,0)),IFERROR(INDEX(Partidos!$D$2:$D$1401,MATCH("TEAM|36",Partidos!$AF$2:$AF$1401,0)),""))</f>
        <v/>
      </c>
      <c r="O37" s="4" t="str">
        <f>IF(N37="","",COUNTIF(Partidos!$C$2:$C$1401,N37)+COUNTIF(Partidos!$D$2:$D$1401,N37))</f>
        <v/>
      </c>
      <c r="P37" s="4" t="str">
        <f>IF(N37="","",SUMPRODUCT((Partidos!$C$2:$C$1401=N37)*(Partidos!$E$2:$E$1401&gt;Partidos!$F$2:$F$1401))+SUMPRODUCT((Partidos!$D$2:$D$1401=N37)*(Partidos!$F$2:$F$1401&gt;Partidos!$E$2:$E$1401)))</f>
        <v/>
      </c>
      <c r="Q37" s="4" t="str">
        <f>IF(N37="","",SUMPRODUCT((((Partidos!$C$2:$C$1401=N37)+(Partidos!$D$2:$D$1401=N37)))*(Partidos!$E$2:$E$1401=Partidos!$F$2:$F$1401)*(Partidos!$C$2:$C$1401&lt;&gt;"")))</f>
        <v/>
      </c>
      <c r="R37" s="4" t="str">
        <f t="shared" si="35"/>
        <v/>
      </c>
      <c r="S37" s="4" t="str">
        <f>IF(N37="","",SUMIF(Partidos!$C$2:$C$1401,N37,Partidos!$E$2:$E$1401)+SUMIF(Partidos!$D$2:$D$1401,N37,Partidos!$F$2:$F$1401))</f>
        <v/>
      </c>
      <c r="T37" s="4" t="str">
        <f>IF(N37="","",SUMIF(Partidos!$C$2:$C$1401,N37,Partidos!$F$2:$F$1401)+SUMIF(Partidos!$D$2:$D$1401,N37,Partidos!$E$2:$E$1401))</f>
        <v/>
      </c>
      <c r="U37" s="4" t="str">
        <f t="shared" si="36"/>
        <v/>
      </c>
      <c r="V37" s="4" t="str">
        <f t="shared" si="37"/>
        <v/>
      </c>
      <c r="W37" s="4" t="str">
        <f t="shared" si="38"/>
        <v/>
      </c>
      <c r="X37" s="4" t="str">
        <f t="shared" si="39"/>
        <v/>
      </c>
      <c r="Y37" s="4" t="str">
        <f t="shared" si="40"/>
        <v/>
      </c>
      <c r="Z37" s="4" t="str">
        <f t="shared" si="41"/>
        <v/>
      </c>
      <c r="AA37" s="4" t="str">
        <f t="shared" si="42"/>
        <v/>
      </c>
      <c r="AB37" s="4" t="str">
        <f t="shared" si="43"/>
        <v/>
      </c>
      <c r="AC37" s="4" t="str">
        <f t="shared" si="44"/>
        <v/>
      </c>
      <c r="AD37" s="4" t="str">
        <f>IF(OR(N37="",Y37=""),"",IF(Y37&lt;1,"",IFERROR(MATCH($N37&amp;"|"&amp;Y37,Partidos!$Y:$Y,0),IFERROR(MATCH($N37&amp;"|"&amp;Y37,Partidos!$Z:$Z,0),""))))</f>
        <v/>
      </c>
      <c r="AE37" s="4" t="str">
        <f>IF(OR(N37="",Z37=""),"",IF(Z37&lt;1,"",IFERROR(MATCH($N37&amp;"|"&amp;Z37,Partidos!$Y:$Y,0),IFERROR(MATCH($N37&amp;"|"&amp;Z37,Partidos!$Z:$Z,0),""))))</f>
        <v/>
      </c>
      <c r="AF37" s="4" t="str">
        <f>IF(OR(N37="",AA37=""),"",IF(AA37&lt;1,"",IFERROR(MATCH($N37&amp;"|"&amp;AA37,Partidos!$Y:$Y,0),IFERROR(MATCH($N37&amp;"|"&amp;AA37,Partidos!$Z:$Z,0),""))))</f>
        <v/>
      </c>
      <c r="AG37" s="4" t="str">
        <f>IF(OR(N37="",AB37=""),"",IF(AB37&lt;1,"",IFERROR(MATCH($N37&amp;"|"&amp;AB37,Partidos!$Y:$Y,0),IFERROR(MATCH($N37&amp;"|"&amp;AB37,Partidos!$Z:$Z,0),""))))</f>
        <v/>
      </c>
      <c r="AH37" s="4" t="str">
        <f>IF(OR(N37="",AC37=""),"",IF(AC37&lt;1,"",IFERROR(MATCH($N37&amp;"|"&amp;AC37,Partidos!$Y:$Y,0),IFERROR(MATCH($N37&amp;"|"&amp;AC37,Partidos!$Z:$Z,0),""))))</f>
        <v/>
      </c>
      <c r="AI37" s="4" t="str">
        <f>IF(AD37="","",IF(INDEX(Partidos!$C:$C,AD37)=$N37,IF(INDEX(Partidos!$E:$E,AD37)&gt;INDEX(Partidos!$F:$F,AD37),"V",IF(INDEX(Partidos!$E:$E,AD37)=INDEX(Partidos!$F:$F,AD37),"E","P")),IF(INDEX(Partidos!$F:$F,AD37)&gt;INDEX(Partidos!$E:$E,AD37),"V",IF(INDEX(Partidos!$F:$F,AD37)=INDEX(Partidos!$E:$E,AD37),"E","P"))))</f>
        <v/>
      </c>
      <c r="AJ37" s="4" t="str">
        <f>IF(AE37="","",IF(INDEX(Partidos!$C:$C,AE37)=$N37,IF(INDEX(Partidos!$E:$E,AE37)&gt;INDEX(Partidos!$F:$F,AE37),"V",IF(INDEX(Partidos!$E:$E,AE37)=INDEX(Partidos!$F:$F,AE37),"E","P")),IF(INDEX(Partidos!$F:$F,AE37)&gt;INDEX(Partidos!$E:$E,AE37),"V",IF(INDEX(Partidos!$F:$F,AE37)=INDEX(Partidos!$E:$E,AE37),"E","P"))))</f>
        <v/>
      </c>
      <c r="AK37" s="4" t="str">
        <f>IF(AF37="","",IF(INDEX(Partidos!$C:$C,AF37)=$N37,IF(INDEX(Partidos!$E:$E,AF37)&gt;INDEX(Partidos!$F:$F,AF37),"V",IF(INDEX(Partidos!$E:$E,AF37)=INDEX(Partidos!$F:$F,AF37),"E","P")),IF(INDEX(Partidos!$F:$F,AF37)&gt;INDEX(Partidos!$E:$E,AF37),"V",IF(INDEX(Partidos!$F:$F,AF37)=INDEX(Partidos!$E:$E,AF37),"E","P"))))</f>
        <v/>
      </c>
      <c r="AL37" s="4" t="str">
        <f>IF(AG37="","",IF(INDEX(Partidos!$C:$C,AG37)=$N37,IF(INDEX(Partidos!$E:$E,AG37)&gt;INDEX(Partidos!$F:$F,AG37),"V",IF(INDEX(Partidos!$E:$E,AG37)=INDEX(Partidos!$F:$F,AG37),"E","P")),IF(INDEX(Partidos!$F:$F,AG37)&gt;INDEX(Partidos!$E:$E,AG37),"V",IF(INDEX(Partidos!$F:$F,AG37)=INDEX(Partidos!$E:$E,AG37),"E","P"))))</f>
        <v/>
      </c>
      <c r="AM37" s="4" t="str">
        <f>IF(AH37="","",IF(INDEX(Partidos!$C:$C,AH37)=$N37,IF(INDEX(Partidos!$E:$E,AH37)&gt;INDEX(Partidos!$F:$F,AH37),"V",IF(INDEX(Partidos!$E:$E,AH37)=INDEX(Partidos!$F:$F,AH37),"E","P")),IF(INDEX(Partidos!$F:$F,AH37)&gt;INDEX(Partidos!$E:$E,AH37),"V",IF(INDEX(Partidos!$F:$F,AH37)=INDEX(Partidos!$E:$E,AH37),"E","P"))))</f>
        <v/>
      </c>
      <c r="AN37" s="4" t="str">
        <f t="shared" si="45"/>
        <v/>
      </c>
      <c r="AO37" s="4" t="str">
        <f t="shared" si="46"/>
        <v/>
      </c>
      <c r="AP37" s="4" t="str">
        <f>IF(AO37=1,SUMPRODUCT(($AO$2:AO37=1)*1),"")</f>
        <v/>
      </c>
      <c r="AQ37" s="4" t="str">
        <f t="shared" si="47"/>
        <v/>
      </c>
      <c r="AR37" s="4" t="str">
        <f t="shared" si="48"/>
        <v/>
      </c>
      <c r="AS37" s="4" t="str">
        <f>IF(AR37=1,SUMPRODUCT(($AR$2:AR37=1)*1),"")</f>
        <v/>
      </c>
      <c r="AT37" s="4" t="str">
        <f t="shared" si="49"/>
        <v/>
      </c>
    </row>
    <row r="38" spans="1:46" ht="15" customHeight="1" x14ac:dyDescent="0.25">
      <c r="A38" s="8" t="str">
        <f>IF(COUNT($X$2:$X$61)&gt;=37,37,"")</f>
        <v/>
      </c>
      <c r="B38" s="8" t="str">
        <f t="shared" si="25"/>
        <v/>
      </c>
      <c r="C38" s="8" t="str">
        <f t="shared" si="26"/>
        <v/>
      </c>
      <c r="D38" s="8" t="str">
        <f t="shared" si="27"/>
        <v/>
      </c>
      <c r="E38" s="8" t="str">
        <f t="shared" si="28"/>
        <v/>
      </c>
      <c r="F38" s="8" t="str">
        <f t="shared" si="29"/>
        <v/>
      </c>
      <c r="G38" s="8" t="str">
        <f t="shared" si="30"/>
        <v/>
      </c>
      <c r="H38" s="8" t="str">
        <f t="shared" si="31"/>
        <v/>
      </c>
      <c r="I38" s="8" t="str">
        <f t="shared" si="32"/>
        <v/>
      </c>
      <c r="J38" s="8" t="str">
        <f t="shared" si="33"/>
        <v/>
      </c>
      <c r="K38" s="8" t="str">
        <f t="shared" si="34"/>
        <v/>
      </c>
      <c r="N38" s="4" t="str">
        <f>IFERROR(INDEX(Partidos!$C$2:$C$1401,MATCH("TEAM|37",Partidos!$AE$2:$AE$1401,0)),IFERROR(INDEX(Partidos!$D$2:$D$1401,MATCH("TEAM|37",Partidos!$AF$2:$AF$1401,0)),""))</f>
        <v/>
      </c>
      <c r="O38" s="4" t="str">
        <f>IF(N38="","",COUNTIF(Partidos!$C$2:$C$1401,N38)+COUNTIF(Partidos!$D$2:$D$1401,N38))</f>
        <v/>
      </c>
      <c r="P38" s="4" t="str">
        <f>IF(N38="","",SUMPRODUCT((Partidos!$C$2:$C$1401=N38)*(Partidos!$E$2:$E$1401&gt;Partidos!$F$2:$F$1401))+SUMPRODUCT((Partidos!$D$2:$D$1401=N38)*(Partidos!$F$2:$F$1401&gt;Partidos!$E$2:$E$1401)))</f>
        <v/>
      </c>
      <c r="Q38" s="4" t="str">
        <f>IF(N38="","",SUMPRODUCT((((Partidos!$C$2:$C$1401=N38)+(Partidos!$D$2:$D$1401=N38)))*(Partidos!$E$2:$E$1401=Partidos!$F$2:$F$1401)*(Partidos!$C$2:$C$1401&lt;&gt;"")))</f>
        <v/>
      </c>
      <c r="R38" s="4" t="str">
        <f t="shared" si="35"/>
        <v/>
      </c>
      <c r="S38" s="4" t="str">
        <f>IF(N38="","",SUMIF(Partidos!$C$2:$C$1401,N38,Partidos!$E$2:$E$1401)+SUMIF(Partidos!$D$2:$D$1401,N38,Partidos!$F$2:$F$1401))</f>
        <v/>
      </c>
      <c r="T38" s="4" t="str">
        <f>IF(N38="","",SUMIF(Partidos!$C$2:$C$1401,N38,Partidos!$F$2:$F$1401)+SUMIF(Partidos!$D$2:$D$1401,N38,Partidos!$E$2:$E$1401))</f>
        <v/>
      </c>
      <c r="U38" s="4" t="str">
        <f t="shared" si="36"/>
        <v/>
      </c>
      <c r="V38" s="4" t="str">
        <f t="shared" si="37"/>
        <v/>
      </c>
      <c r="W38" s="4" t="str">
        <f t="shared" si="38"/>
        <v/>
      </c>
      <c r="X38" s="4" t="str">
        <f t="shared" si="39"/>
        <v/>
      </c>
      <c r="Y38" s="4" t="str">
        <f t="shared" si="40"/>
        <v/>
      </c>
      <c r="Z38" s="4" t="str">
        <f t="shared" si="41"/>
        <v/>
      </c>
      <c r="AA38" s="4" t="str">
        <f t="shared" si="42"/>
        <v/>
      </c>
      <c r="AB38" s="4" t="str">
        <f t="shared" si="43"/>
        <v/>
      </c>
      <c r="AC38" s="4" t="str">
        <f t="shared" si="44"/>
        <v/>
      </c>
      <c r="AD38" s="4" t="str">
        <f>IF(OR(N38="",Y38=""),"",IF(Y38&lt;1,"",IFERROR(MATCH($N38&amp;"|"&amp;Y38,Partidos!$Y:$Y,0),IFERROR(MATCH($N38&amp;"|"&amp;Y38,Partidos!$Z:$Z,0),""))))</f>
        <v/>
      </c>
      <c r="AE38" s="4" t="str">
        <f>IF(OR(N38="",Z38=""),"",IF(Z38&lt;1,"",IFERROR(MATCH($N38&amp;"|"&amp;Z38,Partidos!$Y:$Y,0),IFERROR(MATCH($N38&amp;"|"&amp;Z38,Partidos!$Z:$Z,0),""))))</f>
        <v/>
      </c>
      <c r="AF38" s="4" t="str">
        <f>IF(OR(N38="",AA38=""),"",IF(AA38&lt;1,"",IFERROR(MATCH($N38&amp;"|"&amp;AA38,Partidos!$Y:$Y,0),IFERROR(MATCH($N38&amp;"|"&amp;AA38,Partidos!$Z:$Z,0),""))))</f>
        <v/>
      </c>
      <c r="AG38" s="4" t="str">
        <f>IF(OR(N38="",AB38=""),"",IF(AB38&lt;1,"",IFERROR(MATCH($N38&amp;"|"&amp;AB38,Partidos!$Y:$Y,0),IFERROR(MATCH($N38&amp;"|"&amp;AB38,Partidos!$Z:$Z,0),""))))</f>
        <v/>
      </c>
      <c r="AH38" s="4" t="str">
        <f>IF(OR(N38="",AC38=""),"",IF(AC38&lt;1,"",IFERROR(MATCH($N38&amp;"|"&amp;AC38,Partidos!$Y:$Y,0),IFERROR(MATCH($N38&amp;"|"&amp;AC38,Partidos!$Z:$Z,0),""))))</f>
        <v/>
      </c>
      <c r="AI38" s="4" t="str">
        <f>IF(AD38="","",IF(INDEX(Partidos!$C:$C,AD38)=$N38,IF(INDEX(Partidos!$E:$E,AD38)&gt;INDEX(Partidos!$F:$F,AD38),"V",IF(INDEX(Partidos!$E:$E,AD38)=INDEX(Partidos!$F:$F,AD38),"E","P")),IF(INDEX(Partidos!$F:$F,AD38)&gt;INDEX(Partidos!$E:$E,AD38),"V",IF(INDEX(Partidos!$F:$F,AD38)=INDEX(Partidos!$E:$E,AD38),"E","P"))))</f>
        <v/>
      </c>
      <c r="AJ38" s="4" t="str">
        <f>IF(AE38="","",IF(INDEX(Partidos!$C:$C,AE38)=$N38,IF(INDEX(Partidos!$E:$E,AE38)&gt;INDEX(Partidos!$F:$F,AE38),"V",IF(INDEX(Partidos!$E:$E,AE38)=INDEX(Partidos!$F:$F,AE38),"E","P")),IF(INDEX(Partidos!$F:$F,AE38)&gt;INDEX(Partidos!$E:$E,AE38),"V",IF(INDEX(Partidos!$F:$F,AE38)=INDEX(Partidos!$E:$E,AE38),"E","P"))))</f>
        <v/>
      </c>
      <c r="AK38" s="4" t="str">
        <f>IF(AF38="","",IF(INDEX(Partidos!$C:$C,AF38)=$N38,IF(INDEX(Partidos!$E:$E,AF38)&gt;INDEX(Partidos!$F:$F,AF38),"V",IF(INDEX(Partidos!$E:$E,AF38)=INDEX(Partidos!$F:$F,AF38),"E","P")),IF(INDEX(Partidos!$F:$F,AF38)&gt;INDEX(Partidos!$E:$E,AF38),"V",IF(INDEX(Partidos!$F:$F,AF38)=INDEX(Partidos!$E:$E,AF38),"E","P"))))</f>
        <v/>
      </c>
      <c r="AL38" s="4" t="str">
        <f>IF(AG38="","",IF(INDEX(Partidos!$C:$C,AG38)=$N38,IF(INDEX(Partidos!$E:$E,AG38)&gt;INDEX(Partidos!$F:$F,AG38),"V",IF(INDEX(Partidos!$E:$E,AG38)=INDEX(Partidos!$F:$F,AG38),"E","P")),IF(INDEX(Partidos!$F:$F,AG38)&gt;INDEX(Partidos!$E:$E,AG38),"V",IF(INDEX(Partidos!$F:$F,AG38)=INDEX(Partidos!$E:$E,AG38),"E","P"))))</f>
        <v/>
      </c>
      <c r="AM38" s="4" t="str">
        <f>IF(AH38="","",IF(INDEX(Partidos!$C:$C,AH38)=$N38,IF(INDEX(Partidos!$E:$E,AH38)&gt;INDEX(Partidos!$F:$F,AH38),"V",IF(INDEX(Partidos!$E:$E,AH38)=INDEX(Partidos!$F:$F,AH38),"E","P")),IF(INDEX(Partidos!$F:$F,AH38)&gt;INDEX(Partidos!$E:$E,AH38),"V",IF(INDEX(Partidos!$F:$F,AH38)=INDEX(Partidos!$E:$E,AH38),"E","P"))))</f>
        <v/>
      </c>
      <c r="AN38" s="4" t="str">
        <f t="shared" si="45"/>
        <v/>
      </c>
      <c r="AO38" s="4" t="str">
        <f t="shared" si="46"/>
        <v/>
      </c>
      <c r="AP38" s="4" t="str">
        <f>IF(AO38=1,SUMPRODUCT(($AO$2:AO38=1)*1),"")</f>
        <v/>
      </c>
      <c r="AQ38" s="4" t="str">
        <f t="shared" si="47"/>
        <v/>
      </c>
      <c r="AR38" s="4" t="str">
        <f t="shared" si="48"/>
        <v/>
      </c>
      <c r="AS38" s="4" t="str">
        <f>IF(AR38=1,SUMPRODUCT(($AR$2:AR38=1)*1),"")</f>
        <v/>
      </c>
      <c r="AT38" s="4" t="str">
        <f t="shared" si="49"/>
        <v/>
      </c>
    </row>
    <row r="39" spans="1:46" ht="15" customHeight="1" x14ac:dyDescent="0.25">
      <c r="A39" s="8" t="str">
        <f>IF(COUNT($X$2:$X$61)&gt;=38,38,"")</f>
        <v/>
      </c>
      <c r="B39" s="8" t="str">
        <f t="shared" si="25"/>
        <v/>
      </c>
      <c r="C39" s="8" t="str">
        <f t="shared" si="26"/>
        <v/>
      </c>
      <c r="D39" s="8" t="str">
        <f t="shared" si="27"/>
        <v/>
      </c>
      <c r="E39" s="8" t="str">
        <f t="shared" si="28"/>
        <v/>
      </c>
      <c r="F39" s="8" t="str">
        <f t="shared" si="29"/>
        <v/>
      </c>
      <c r="G39" s="8" t="str">
        <f t="shared" si="30"/>
        <v/>
      </c>
      <c r="H39" s="8" t="str">
        <f t="shared" si="31"/>
        <v/>
      </c>
      <c r="I39" s="8" t="str">
        <f t="shared" si="32"/>
        <v/>
      </c>
      <c r="J39" s="8" t="str">
        <f t="shared" si="33"/>
        <v/>
      </c>
      <c r="K39" s="8" t="str">
        <f t="shared" si="34"/>
        <v/>
      </c>
      <c r="N39" s="4" t="str">
        <f>IFERROR(INDEX(Partidos!$C$2:$C$1401,MATCH("TEAM|38",Partidos!$AE$2:$AE$1401,0)),IFERROR(INDEX(Partidos!$D$2:$D$1401,MATCH("TEAM|38",Partidos!$AF$2:$AF$1401,0)),""))</f>
        <v/>
      </c>
      <c r="O39" s="4" t="str">
        <f>IF(N39="","",COUNTIF(Partidos!$C$2:$C$1401,N39)+COUNTIF(Partidos!$D$2:$D$1401,N39))</f>
        <v/>
      </c>
      <c r="P39" s="4" t="str">
        <f>IF(N39="","",SUMPRODUCT((Partidos!$C$2:$C$1401=N39)*(Partidos!$E$2:$E$1401&gt;Partidos!$F$2:$F$1401))+SUMPRODUCT((Partidos!$D$2:$D$1401=N39)*(Partidos!$F$2:$F$1401&gt;Partidos!$E$2:$E$1401)))</f>
        <v/>
      </c>
      <c r="Q39" s="4" t="str">
        <f>IF(N39="","",SUMPRODUCT((((Partidos!$C$2:$C$1401=N39)+(Partidos!$D$2:$D$1401=N39)))*(Partidos!$E$2:$E$1401=Partidos!$F$2:$F$1401)*(Partidos!$C$2:$C$1401&lt;&gt;"")))</f>
        <v/>
      </c>
      <c r="R39" s="4" t="str">
        <f t="shared" si="35"/>
        <v/>
      </c>
      <c r="S39" s="4" t="str">
        <f>IF(N39="","",SUMIF(Partidos!$C$2:$C$1401,N39,Partidos!$E$2:$E$1401)+SUMIF(Partidos!$D$2:$D$1401,N39,Partidos!$F$2:$F$1401))</f>
        <v/>
      </c>
      <c r="T39" s="4" t="str">
        <f>IF(N39="","",SUMIF(Partidos!$C$2:$C$1401,N39,Partidos!$F$2:$F$1401)+SUMIF(Partidos!$D$2:$D$1401,N39,Partidos!$E$2:$E$1401))</f>
        <v/>
      </c>
      <c r="U39" s="4" t="str">
        <f t="shared" si="36"/>
        <v/>
      </c>
      <c r="V39" s="4" t="str">
        <f t="shared" si="37"/>
        <v/>
      </c>
      <c r="W39" s="4" t="str">
        <f t="shared" si="38"/>
        <v/>
      </c>
      <c r="X39" s="4" t="str">
        <f t="shared" si="39"/>
        <v/>
      </c>
      <c r="Y39" s="4" t="str">
        <f t="shared" si="40"/>
        <v/>
      </c>
      <c r="Z39" s="4" t="str">
        <f t="shared" si="41"/>
        <v/>
      </c>
      <c r="AA39" s="4" t="str">
        <f t="shared" si="42"/>
        <v/>
      </c>
      <c r="AB39" s="4" t="str">
        <f t="shared" si="43"/>
        <v/>
      </c>
      <c r="AC39" s="4" t="str">
        <f t="shared" si="44"/>
        <v/>
      </c>
      <c r="AD39" s="4" t="str">
        <f>IF(OR(N39="",Y39=""),"",IF(Y39&lt;1,"",IFERROR(MATCH($N39&amp;"|"&amp;Y39,Partidos!$Y:$Y,0),IFERROR(MATCH($N39&amp;"|"&amp;Y39,Partidos!$Z:$Z,0),""))))</f>
        <v/>
      </c>
      <c r="AE39" s="4" t="str">
        <f>IF(OR(N39="",Z39=""),"",IF(Z39&lt;1,"",IFERROR(MATCH($N39&amp;"|"&amp;Z39,Partidos!$Y:$Y,0),IFERROR(MATCH($N39&amp;"|"&amp;Z39,Partidos!$Z:$Z,0),""))))</f>
        <v/>
      </c>
      <c r="AF39" s="4" t="str">
        <f>IF(OR(N39="",AA39=""),"",IF(AA39&lt;1,"",IFERROR(MATCH($N39&amp;"|"&amp;AA39,Partidos!$Y:$Y,0),IFERROR(MATCH($N39&amp;"|"&amp;AA39,Partidos!$Z:$Z,0),""))))</f>
        <v/>
      </c>
      <c r="AG39" s="4" t="str">
        <f>IF(OR(N39="",AB39=""),"",IF(AB39&lt;1,"",IFERROR(MATCH($N39&amp;"|"&amp;AB39,Partidos!$Y:$Y,0),IFERROR(MATCH($N39&amp;"|"&amp;AB39,Partidos!$Z:$Z,0),""))))</f>
        <v/>
      </c>
      <c r="AH39" s="4" t="str">
        <f>IF(OR(N39="",AC39=""),"",IF(AC39&lt;1,"",IFERROR(MATCH($N39&amp;"|"&amp;AC39,Partidos!$Y:$Y,0),IFERROR(MATCH($N39&amp;"|"&amp;AC39,Partidos!$Z:$Z,0),""))))</f>
        <v/>
      </c>
      <c r="AI39" s="4" t="str">
        <f>IF(AD39="","",IF(INDEX(Partidos!$C:$C,AD39)=$N39,IF(INDEX(Partidos!$E:$E,AD39)&gt;INDEX(Partidos!$F:$F,AD39),"V",IF(INDEX(Partidos!$E:$E,AD39)=INDEX(Partidos!$F:$F,AD39),"E","P")),IF(INDEX(Partidos!$F:$F,AD39)&gt;INDEX(Partidos!$E:$E,AD39),"V",IF(INDEX(Partidos!$F:$F,AD39)=INDEX(Partidos!$E:$E,AD39),"E","P"))))</f>
        <v/>
      </c>
      <c r="AJ39" s="4" t="str">
        <f>IF(AE39="","",IF(INDEX(Partidos!$C:$C,AE39)=$N39,IF(INDEX(Partidos!$E:$E,AE39)&gt;INDEX(Partidos!$F:$F,AE39),"V",IF(INDEX(Partidos!$E:$E,AE39)=INDEX(Partidos!$F:$F,AE39),"E","P")),IF(INDEX(Partidos!$F:$F,AE39)&gt;INDEX(Partidos!$E:$E,AE39),"V",IF(INDEX(Partidos!$F:$F,AE39)=INDEX(Partidos!$E:$E,AE39),"E","P"))))</f>
        <v/>
      </c>
      <c r="AK39" s="4" t="str">
        <f>IF(AF39="","",IF(INDEX(Partidos!$C:$C,AF39)=$N39,IF(INDEX(Partidos!$E:$E,AF39)&gt;INDEX(Partidos!$F:$F,AF39),"V",IF(INDEX(Partidos!$E:$E,AF39)=INDEX(Partidos!$F:$F,AF39),"E","P")),IF(INDEX(Partidos!$F:$F,AF39)&gt;INDEX(Partidos!$E:$E,AF39),"V",IF(INDEX(Partidos!$F:$F,AF39)=INDEX(Partidos!$E:$E,AF39),"E","P"))))</f>
        <v/>
      </c>
      <c r="AL39" s="4" t="str">
        <f>IF(AG39="","",IF(INDEX(Partidos!$C:$C,AG39)=$N39,IF(INDEX(Partidos!$E:$E,AG39)&gt;INDEX(Partidos!$F:$F,AG39),"V",IF(INDEX(Partidos!$E:$E,AG39)=INDEX(Partidos!$F:$F,AG39),"E","P")),IF(INDEX(Partidos!$F:$F,AG39)&gt;INDEX(Partidos!$E:$E,AG39),"V",IF(INDEX(Partidos!$F:$F,AG39)=INDEX(Partidos!$E:$E,AG39),"E","P"))))</f>
        <v/>
      </c>
      <c r="AM39" s="4" t="str">
        <f>IF(AH39="","",IF(INDEX(Partidos!$C:$C,AH39)=$N39,IF(INDEX(Partidos!$E:$E,AH39)&gt;INDEX(Partidos!$F:$F,AH39),"V",IF(INDEX(Partidos!$E:$E,AH39)=INDEX(Partidos!$F:$F,AH39),"E","P")),IF(INDEX(Partidos!$F:$F,AH39)&gt;INDEX(Partidos!$E:$E,AH39),"V",IF(INDEX(Partidos!$F:$F,AH39)=INDEX(Partidos!$E:$E,AH39),"E","P"))))</f>
        <v/>
      </c>
      <c r="AN39" s="4" t="str">
        <f t="shared" si="45"/>
        <v/>
      </c>
      <c r="AO39" s="4" t="str">
        <f t="shared" si="46"/>
        <v/>
      </c>
      <c r="AP39" s="4" t="str">
        <f>IF(AO39=1,SUMPRODUCT(($AO$2:AO39=1)*1),"")</f>
        <v/>
      </c>
      <c r="AQ39" s="4" t="str">
        <f t="shared" si="47"/>
        <v/>
      </c>
      <c r="AR39" s="4" t="str">
        <f t="shared" si="48"/>
        <v/>
      </c>
      <c r="AS39" s="4" t="str">
        <f>IF(AR39=1,SUMPRODUCT(($AR$2:AR39=1)*1),"")</f>
        <v/>
      </c>
      <c r="AT39" s="4" t="str">
        <f t="shared" si="49"/>
        <v/>
      </c>
    </row>
    <row r="40" spans="1:46" ht="15" customHeight="1" x14ac:dyDescent="0.25">
      <c r="A40" s="8" t="str">
        <f>IF(COUNT($X$2:$X$61)&gt;=39,39,"")</f>
        <v/>
      </c>
      <c r="B40" s="8" t="str">
        <f t="shared" si="25"/>
        <v/>
      </c>
      <c r="C40" s="8" t="str">
        <f t="shared" si="26"/>
        <v/>
      </c>
      <c r="D40" s="8" t="str">
        <f t="shared" si="27"/>
        <v/>
      </c>
      <c r="E40" s="8" t="str">
        <f t="shared" si="28"/>
        <v/>
      </c>
      <c r="F40" s="8" t="str">
        <f t="shared" si="29"/>
        <v/>
      </c>
      <c r="G40" s="8" t="str">
        <f t="shared" si="30"/>
        <v/>
      </c>
      <c r="H40" s="8" t="str">
        <f t="shared" si="31"/>
        <v/>
      </c>
      <c r="I40" s="8" t="str">
        <f t="shared" si="32"/>
        <v/>
      </c>
      <c r="J40" s="8" t="str">
        <f t="shared" si="33"/>
        <v/>
      </c>
      <c r="K40" s="8" t="str">
        <f t="shared" si="34"/>
        <v/>
      </c>
      <c r="N40" s="4" t="str">
        <f>IFERROR(INDEX(Partidos!$C$2:$C$1401,MATCH("TEAM|39",Partidos!$AE$2:$AE$1401,0)),IFERROR(INDEX(Partidos!$D$2:$D$1401,MATCH("TEAM|39",Partidos!$AF$2:$AF$1401,0)),""))</f>
        <v/>
      </c>
      <c r="O40" s="4" t="str">
        <f>IF(N40="","",COUNTIF(Partidos!$C$2:$C$1401,N40)+COUNTIF(Partidos!$D$2:$D$1401,N40))</f>
        <v/>
      </c>
      <c r="P40" s="4" t="str">
        <f>IF(N40="","",SUMPRODUCT((Partidos!$C$2:$C$1401=N40)*(Partidos!$E$2:$E$1401&gt;Partidos!$F$2:$F$1401))+SUMPRODUCT((Partidos!$D$2:$D$1401=N40)*(Partidos!$F$2:$F$1401&gt;Partidos!$E$2:$E$1401)))</f>
        <v/>
      </c>
      <c r="Q40" s="4" t="str">
        <f>IF(N40="","",SUMPRODUCT((((Partidos!$C$2:$C$1401=N40)+(Partidos!$D$2:$D$1401=N40)))*(Partidos!$E$2:$E$1401=Partidos!$F$2:$F$1401)*(Partidos!$C$2:$C$1401&lt;&gt;"")))</f>
        <v/>
      </c>
      <c r="R40" s="4" t="str">
        <f t="shared" si="35"/>
        <v/>
      </c>
      <c r="S40" s="4" t="str">
        <f>IF(N40="","",SUMIF(Partidos!$C$2:$C$1401,N40,Partidos!$E$2:$E$1401)+SUMIF(Partidos!$D$2:$D$1401,N40,Partidos!$F$2:$F$1401))</f>
        <v/>
      </c>
      <c r="T40" s="4" t="str">
        <f>IF(N40="","",SUMIF(Partidos!$C$2:$C$1401,N40,Partidos!$F$2:$F$1401)+SUMIF(Partidos!$D$2:$D$1401,N40,Partidos!$E$2:$E$1401))</f>
        <v/>
      </c>
      <c r="U40" s="4" t="str">
        <f t="shared" si="36"/>
        <v/>
      </c>
      <c r="V40" s="4" t="str">
        <f t="shared" si="37"/>
        <v/>
      </c>
      <c r="W40" s="4" t="str">
        <f t="shared" si="38"/>
        <v/>
      </c>
      <c r="X40" s="4" t="str">
        <f t="shared" si="39"/>
        <v/>
      </c>
      <c r="Y40" s="4" t="str">
        <f t="shared" si="40"/>
        <v/>
      </c>
      <c r="Z40" s="4" t="str">
        <f t="shared" si="41"/>
        <v/>
      </c>
      <c r="AA40" s="4" t="str">
        <f t="shared" si="42"/>
        <v/>
      </c>
      <c r="AB40" s="4" t="str">
        <f t="shared" si="43"/>
        <v/>
      </c>
      <c r="AC40" s="4" t="str">
        <f t="shared" si="44"/>
        <v/>
      </c>
      <c r="AD40" s="4" t="str">
        <f>IF(OR(N40="",Y40=""),"",IF(Y40&lt;1,"",IFERROR(MATCH($N40&amp;"|"&amp;Y40,Partidos!$Y:$Y,0),IFERROR(MATCH($N40&amp;"|"&amp;Y40,Partidos!$Z:$Z,0),""))))</f>
        <v/>
      </c>
      <c r="AE40" s="4" t="str">
        <f>IF(OR(N40="",Z40=""),"",IF(Z40&lt;1,"",IFERROR(MATCH($N40&amp;"|"&amp;Z40,Partidos!$Y:$Y,0),IFERROR(MATCH($N40&amp;"|"&amp;Z40,Partidos!$Z:$Z,0),""))))</f>
        <v/>
      </c>
      <c r="AF40" s="4" t="str">
        <f>IF(OR(N40="",AA40=""),"",IF(AA40&lt;1,"",IFERROR(MATCH($N40&amp;"|"&amp;AA40,Partidos!$Y:$Y,0),IFERROR(MATCH($N40&amp;"|"&amp;AA40,Partidos!$Z:$Z,0),""))))</f>
        <v/>
      </c>
      <c r="AG40" s="4" t="str">
        <f>IF(OR(N40="",AB40=""),"",IF(AB40&lt;1,"",IFERROR(MATCH($N40&amp;"|"&amp;AB40,Partidos!$Y:$Y,0),IFERROR(MATCH($N40&amp;"|"&amp;AB40,Partidos!$Z:$Z,0),""))))</f>
        <v/>
      </c>
      <c r="AH40" s="4" t="str">
        <f>IF(OR(N40="",AC40=""),"",IF(AC40&lt;1,"",IFERROR(MATCH($N40&amp;"|"&amp;AC40,Partidos!$Y:$Y,0),IFERROR(MATCH($N40&amp;"|"&amp;AC40,Partidos!$Z:$Z,0),""))))</f>
        <v/>
      </c>
      <c r="AI40" s="4" t="str">
        <f>IF(AD40="","",IF(INDEX(Partidos!$C:$C,AD40)=$N40,IF(INDEX(Partidos!$E:$E,AD40)&gt;INDEX(Partidos!$F:$F,AD40),"V",IF(INDEX(Partidos!$E:$E,AD40)=INDEX(Partidos!$F:$F,AD40),"E","P")),IF(INDEX(Partidos!$F:$F,AD40)&gt;INDEX(Partidos!$E:$E,AD40),"V",IF(INDEX(Partidos!$F:$F,AD40)=INDEX(Partidos!$E:$E,AD40),"E","P"))))</f>
        <v/>
      </c>
      <c r="AJ40" s="4" t="str">
        <f>IF(AE40="","",IF(INDEX(Partidos!$C:$C,AE40)=$N40,IF(INDEX(Partidos!$E:$E,AE40)&gt;INDEX(Partidos!$F:$F,AE40),"V",IF(INDEX(Partidos!$E:$E,AE40)=INDEX(Partidos!$F:$F,AE40),"E","P")),IF(INDEX(Partidos!$F:$F,AE40)&gt;INDEX(Partidos!$E:$E,AE40),"V",IF(INDEX(Partidos!$F:$F,AE40)=INDEX(Partidos!$E:$E,AE40),"E","P"))))</f>
        <v/>
      </c>
      <c r="AK40" s="4" t="str">
        <f>IF(AF40="","",IF(INDEX(Partidos!$C:$C,AF40)=$N40,IF(INDEX(Partidos!$E:$E,AF40)&gt;INDEX(Partidos!$F:$F,AF40),"V",IF(INDEX(Partidos!$E:$E,AF40)=INDEX(Partidos!$F:$F,AF40),"E","P")),IF(INDEX(Partidos!$F:$F,AF40)&gt;INDEX(Partidos!$E:$E,AF40),"V",IF(INDEX(Partidos!$F:$F,AF40)=INDEX(Partidos!$E:$E,AF40),"E","P"))))</f>
        <v/>
      </c>
      <c r="AL40" s="4" t="str">
        <f>IF(AG40="","",IF(INDEX(Partidos!$C:$C,AG40)=$N40,IF(INDEX(Partidos!$E:$E,AG40)&gt;INDEX(Partidos!$F:$F,AG40),"V",IF(INDEX(Partidos!$E:$E,AG40)=INDEX(Partidos!$F:$F,AG40),"E","P")),IF(INDEX(Partidos!$F:$F,AG40)&gt;INDEX(Partidos!$E:$E,AG40),"V",IF(INDEX(Partidos!$F:$F,AG40)=INDEX(Partidos!$E:$E,AG40),"E","P"))))</f>
        <v/>
      </c>
      <c r="AM40" s="4" t="str">
        <f>IF(AH40="","",IF(INDEX(Partidos!$C:$C,AH40)=$N40,IF(INDEX(Partidos!$E:$E,AH40)&gt;INDEX(Partidos!$F:$F,AH40),"V",IF(INDEX(Partidos!$E:$E,AH40)=INDEX(Partidos!$F:$F,AH40),"E","P")),IF(INDEX(Partidos!$F:$F,AH40)&gt;INDEX(Partidos!$E:$E,AH40),"V",IF(INDEX(Partidos!$F:$F,AH40)=INDEX(Partidos!$E:$E,AH40),"E","P"))))</f>
        <v/>
      </c>
      <c r="AN40" s="4" t="str">
        <f t="shared" si="45"/>
        <v/>
      </c>
      <c r="AO40" s="4" t="str">
        <f t="shared" si="46"/>
        <v/>
      </c>
      <c r="AP40" s="4" t="str">
        <f>IF(AO40=1,SUMPRODUCT(($AO$2:AO40=1)*1),"")</f>
        <v/>
      </c>
      <c r="AQ40" s="4" t="str">
        <f t="shared" si="47"/>
        <v/>
      </c>
      <c r="AR40" s="4" t="str">
        <f t="shared" si="48"/>
        <v/>
      </c>
      <c r="AS40" s="4" t="str">
        <f>IF(AR40=1,SUMPRODUCT(($AR$2:AR40=1)*1),"")</f>
        <v/>
      </c>
      <c r="AT40" s="4" t="str">
        <f t="shared" si="49"/>
        <v/>
      </c>
    </row>
    <row r="41" spans="1:46" ht="15" customHeight="1" x14ac:dyDescent="0.25">
      <c r="A41" t="str">
        <f>IF(COUNT($X$2:$X$61)&gt;=40,40,"")</f>
        <v/>
      </c>
      <c r="B41" t="str">
        <f t="shared" si="25"/>
        <v/>
      </c>
      <c r="C41" t="str">
        <f t="shared" si="26"/>
        <v/>
      </c>
      <c r="D41" t="str">
        <f t="shared" si="27"/>
        <v/>
      </c>
      <c r="E41" t="str">
        <f t="shared" si="28"/>
        <v/>
      </c>
      <c r="F41" t="str">
        <f t="shared" si="29"/>
        <v/>
      </c>
      <c r="G41" t="str">
        <f t="shared" si="30"/>
        <v/>
      </c>
      <c r="H41" t="str">
        <f t="shared" si="31"/>
        <v/>
      </c>
      <c r="I41" t="str">
        <f t="shared" si="32"/>
        <v/>
      </c>
      <c r="J41" t="str">
        <f t="shared" si="33"/>
        <v/>
      </c>
      <c r="K41" t="str">
        <f t="shared" si="34"/>
        <v/>
      </c>
      <c r="N41" s="4" t="str">
        <f>IFERROR(INDEX(Partidos!$C$2:$C$1401,MATCH("TEAM|40",Partidos!$AE$2:$AE$1401,0)),IFERROR(INDEX(Partidos!$D$2:$D$1401,MATCH("TEAM|40",Partidos!$AF$2:$AF$1401,0)),""))</f>
        <v/>
      </c>
      <c r="O41" s="4" t="str">
        <f>IF(N41="","",COUNTIF(Partidos!$C$2:$C$1401,N41)+COUNTIF(Partidos!$D$2:$D$1401,N41))</f>
        <v/>
      </c>
      <c r="P41" s="4" t="str">
        <f>IF(N41="","",SUMPRODUCT((Partidos!$C$2:$C$1401=N41)*(Partidos!$E$2:$E$1401&gt;Partidos!$F$2:$F$1401))+SUMPRODUCT((Partidos!$D$2:$D$1401=N41)*(Partidos!$F$2:$F$1401&gt;Partidos!$E$2:$E$1401)))</f>
        <v/>
      </c>
      <c r="Q41" s="4" t="str">
        <f>IF(N41="","",SUMPRODUCT((((Partidos!$C$2:$C$1401=N41)+(Partidos!$D$2:$D$1401=N41)))*(Partidos!$E$2:$E$1401=Partidos!$F$2:$F$1401)*(Partidos!$C$2:$C$1401&lt;&gt;"")))</f>
        <v/>
      </c>
      <c r="R41" s="4" t="str">
        <f t="shared" si="35"/>
        <v/>
      </c>
      <c r="S41" s="4" t="str">
        <f>IF(N41="","",SUMIF(Partidos!$C$2:$C$1401,N41,Partidos!$E$2:$E$1401)+SUMIF(Partidos!$D$2:$D$1401,N41,Partidos!$F$2:$F$1401))</f>
        <v/>
      </c>
      <c r="T41" s="4" t="str">
        <f>IF(N41="","",SUMIF(Partidos!$C$2:$C$1401,N41,Partidos!$F$2:$F$1401)+SUMIF(Partidos!$D$2:$D$1401,N41,Partidos!$E$2:$E$1401))</f>
        <v/>
      </c>
      <c r="U41" s="4" t="str">
        <f t="shared" si="36"/>
        <v/>
      </c>
      <c r="V41" s="4" t="str">
        <f t="shared" si="37"/>
        <v/>
      </c>
      <c r="W41" s="4" t="str">
        <f t="shared" si="38"/>
        <v/>
      </c>
      <c r="X41" s="4" t="str">
        <f t="shared" si="39"/>
        <v/>
      </c>
      <c r="Y41" s="4" t="str">
        <f t="shared" si="40"/>
        <v/>
      </c>
      <c r="Z41" s="4" t="str">
        <f t="shared" si="41"/>
        <v/>
      </c>
      <c r="AA41" s="4" t="str">
        <f t="shared" si="42"/>
        <v/>
      </c>
      <c r="AB41" s="4" t="str">
        <f t="shared" si="43"/>
        <v/>
      </c>
      <c r="AC41" s="4" t="str">
        <f t="shared" si="44"/>
        <v/>
      </c>
      <c r="AD41" s="4" t="str">
        <f>IF(OR(N41="",Y41=""),"",IF(Y41&lt;1,"",IFERROR(MATCH($N41&amp;"|"&amp;Y41,Partidos!$Y:$Y,0),IFERROR(MATCH($N41&amp;"|"&amp;Y41,Partidos!$Z:$Z,0),""))))</f>
        <v/>
      </c>
      <c r="AE41" s="4" t="str">
        <f>IF(OR(N41="",Z41=""),"",IF(Z41&lt;1,"",IFERROR(MATCH($N41&amp;"|"&amp;Z41,Partidos!$Y:$Y,0),IFERROR(MATCH($N41&amp;"|"&amp;Z41,Partidos!$Z:$Z,0),""))))</f>
        <v/>
      </c>
      <c r="AF41" s="4" t="str">
        <f>IF(OR(N41="",AA41=""),"",IF(AA41&lt;1,"",IFERROR(MATCH($N41&amp;"|"&amp;AA41,Partidos!$Y:$Y,0),IFERROR(MATCH($N41&amp;"|"&amp;AA41,Partidos!$Z:$Z,0),""))))</f>
        <v/>
      </c>
      <c r="AG41" s="4" t="str">
        <f>IF(OR(N41="",AB41=""),"",IF(AB41&lt;1,"",IFERROR(MATCH($N41&amp;"|"&amp;AB41,Partidos!$Y:$Y,0),IFERROR(MATCH($N41&amp;"|"&amp;AB41,Partidos!$Z:$Z,0),""))))</f>
        <v/>
      </c>
      <c r="AH41" s="4" t="str">
        <f>IF(OR(N41="",AC41=""),"",IF(AC41&lt;1,"",IFERROR(MATCH($N41&amp;"|"&amp;AC41,Partidos!$Y:$Y,0),IFERROR(MATCH($N41&amp;"|"&amp;AC41,Partidos!$Z:$Z,0),""))))</f>
        <v/>
      </c>
      <c r="AI41" s="4" t="str">
        <f>IF(AD41="","",IF(INDEX(Partidos!$C:$C,AD41)=$N41,IF(INDEX(Partidos!$E:$E,AD41)&gt;INDEX(Partidos!$F:$F,AD41),"V",IF(INDEX(Partidos!$E:$E,AD41)=INDEX(Partidos!$F:$F,AD41),"E","P")),IF(INDEX(Partidos!$F:$F,AD41)&gt;INDEX(Partidos!$E:$E,AD41),"V",IF(INDEX(Partidos!$F:$F,AD41)=INDEX(Partidos!$E:$E,AD41),"E","P"))))</f>
        <v/>
      </c>
      <c r="AJ41" s="4" t="str">
        <f>IF(AE41="","",IF(INDEX(Partidos!$C:$C,AE41)=$N41,IF(INDEX(Partidos!$E:$E,AE41)&gt;INDEX(Partidos!$F:$F,AE41),"V",IF(INDEX(Partidos!$E:$E,AE41)=INDEX(Partidos!$F:$F,AE41),"E","P")),IF(INDEX(Partidos!$F:$F,AE41)&gt;INDEX(Partidos!$E:$E,AE41),"V",IF(INDEX(Partidos!$F:$F,AE41)=INDEX(Partidos!$E:$E,AE41),"E","P"))))</f>
        <v/>
      </c>
      <c r="AK41" s="4" t="str">
        <f>IF(AF41="","",IF(INDEX(Partidos!$C:$C,AF41)=$N41,IF(INDEX(Partidos!$E:$E,AF41)&gt;INDEX(Partidos!$F:$F,AF41),"V",IF(INDEX(Partidos!$E:$E,AF41)=INDEX(Partidos!$F:$F,AF41),"E","P")),IF(INDEX(Partidos!$F:$F,AF41)&gt;INDEX(Partidos!$E:$E,AF41),"V",IF(INDEX(Partidos!$F:$F,AF41)=INDEX(Partidos!$E:$E,AF41),"E","P"))))</f>
        <v/>
      </c>
      <c r="AL41" s="4" t="str">
        <f>IF(AG41="","",IF(INDEX(Partidos!$C:$C,AG41)=$N41,IF(INDEX(Partidos!$E:$E,AG41)&gt;INDEX(Partidos!$F:$F,AG41),"V",IF(INDEX(Partidos!$E:$E,AG41)=INDEX(Partidos!$F:$F,AG41),"E","P")),IF(INDEX(Partidos!$F:$F,AG41)&gt;INDEX(Partidos!$E:$E,AG41),"V",IF(INDEX(Partidos!$F:$F,AG41)=INDEX(Partidos!$E:$E,AG41),"E","P"))))</f>
        <v/>
      </c>
      <c r="AM41" s="4" t="str">
        <f>IF(AH41="","",IF(INDEX(Partidos!$C:$C,AH41)=$N41,IF(INDEX(Partidos!$E:$E,AH41)&gt;INDEX(Partidos!$F:$F,AH41),"V",IF(INDEX(Partidos!$E:$E,AH41)=INDEX(Partidos!$F:$F,AH41),"E","P")),IF(INDEX(Partidos!$F:$F,AH41)&gt;INDEX(Partidos!$E:$E,AH41),"V",IF(INDEX(Partidos!$F:$F,AH41)=INDEX(Partidos!$E:$E,AH41),"E","P"))))</f>
        <v/>
      </c>
      <c r="AN41" s="4" t="str">
        <f t="shared" si="45"/>
        <v/>
      </c>
      <c r="AO41" s="4" t="str">
        <f t="shared" si="46"/>
        <v/>
      </c>
      <c r="AP41" s="4" t="str">
        <f>IF(AO41=1,SUMPRODUCT(($AO$2:AO41=1)*1),"")</f>
        <v/>
      </c>
      <c r="AQ41" s="4" t="str">
        <f t="shared" si="47"/>
        <v/>
      </c>
      <c r="AR41" s="4" t="str">
        <f t="shared" si="48"/>
        <v/>
      </c>
      <c r="AS41" s="4" t="str">
        <f>IF(AR41=1,SUMPRODUCT(($AR$2:AR41=1)*1),"")</f>
        <v/>
      </c>
      <c r="AT41" s="4" t="str">
        <f t="shared" si="49"/>
        <v/>
      </c>
    </row>
    <row r="42" spans="1:46" ht="15" customHeight="1" x14ac:dyDescent="0.25">
      <c r="A42" t="str">
        <f>IF(COUNT($X$2:$X$61)&gt;=41,41,"")</f>
        <v/>
      </c>
      <c r="B42" t="str">
        <f t="shared" si="25"/>
        <v/>
      </c>
      <c r="C42" t="str">
        <f t="shared" si="26"/>
        <v/>
      </c>
      <c r="D42" t="str">
        <f t="shared" si="27"/>
        <v/>
      </c>
      <c r="E42" t="str">
        <f t="shared" si="28"/>
        <v/>
      </c>
      <c r="F42" t="str">
        <f t="shared" si="29"/>
        <v/>
      </c>
      <c r="G42" t="str">
        <f t="shared" si="30"/>
        <v/>
      </c>
      <c r="H42" t="str">
        <f t="shared" si="31"/>
        <v/>
      </c>
      <c r="I42" t="str">
        <f t="shared" si="32"/>
        <v/>
      </c>
      <c r="J42" t="str">
        <f t="shared" si="33"/>
        <v/>
      </c>
      <c r="K42" t="str">
        <f t="shared" si="34"/>
        <v/>
      </c>
      <c r="N42" s="4" t="str">
        <f>IFERROR(INDEX(Partidos!$C$2:$C$1401,MATCH("TEAM|41",Partidos!$AE$2:$AE$1401,0)),IFERROR(INDEX(Partidos!$D$2:$D$1401,MATCH("TEAM|41",Partidos!$AF$2:$AF$1401,0)),""))</f>
        <v/>
      </c>
      <c r="O42" s="4" t="str">
        <f>IF(N42="","",COUNTIF(Partidos!$C$2:$C$1401,N42)+COUNTIF(Partidos!$D$2:$D$1401,N42))</f>
        <v/>
      </c>
      <c r="P42" s="4" t="str">
        <f>IF(N42="","",SUMPRODUCT((Partidos!$C$2:$C$1401=N42)*(Partidos!$E$2:$E$1401&gt;Partidos!$F$2:$F$1401))+SUMPRODUCT((Partidos!$D$2:$D$1401=N42)*(Partidos!$F$2:$F$1401&gt;Partidos!$E$2:$E$1401)))</f>
        <v/>
      </c>
      <c r="Q42" s="4" t="str">
        <f>IF(N42="","",SUMPRODUCT((((Partidos!$C$2:$C$1401=N42)+(Partidos!$D$2:$D$1401=N42)))*(Partidos!$E$2:$E$1401=Partidos!$F$2:$F$1401)*(Partidos!$C$2:$C$1401&lt;&gt;"")))</f>
        <v/>
      </c>
      <c r="R42" s="4" t="str">
        <f t="shared" si="35"/>
        <v/>
      </c>
      <c r="S42" s="4" t="str">
        <f>IF(N42="","",SUMIF(Partidos!$C$2:$C$1401,N42,Partidos!$E$2:$E$1401)+SUMIF(Partidos!$D$2:$D$1401,N42,Partidos!$F$2:$F$1401))</f>
        <v/>
      </c>
      <c r="T42" s="4" t="str">
        <f>IF(N42="","",SUMIF(Partidos!$C$2:$C$1401,N42,Partidos!$F$2:$F$1401)+SUMIF(Partidos!$D$2:$D$1401,N42,Partidos!$E$2:$E$1401))</f>
        <v/>
      </c>
      <c r="U42" s="4" t="str">
        <f t="shared" si="36"/>
        <v/>
      </c>
      <c r="V42" s="4" t="str">
        <f t="shared" si="37"/>
        <v/>
      </c>
      <c r="W42" s="4" t="str">
        <f t="shared" si="38"/>
        <v/>
      </c>
      <c r="X42" s="4" t="str">
        <f t="shared" si="39"/>
        <v/>
      </c>
      <c r="Y42" s="4" t="str">
        <f t="shared" si="40"/>
        <v/>
      </c>
      <c r="Z42" s="4" t="str">
        <f t="shared" si="41"/>
        <v/>
      </c>
      <c r="AA42" s="4" t="str">
        <f t="shared" si="42"/>
        <v/>
      </c>
      <c r="AB42" s="4" t="str">
        <f t="shared" si="43"/>
        <v/>
      </c>
      <c r="AC42" s="4" t="str">
        <f t="shared" si="44"/>
        <v/>
      </c>
      <c r="AD42" s="4" t="str">
        <f>IF(OR(N42="",Y42=""),"",IF(Y42&lt;1,"",IFERROR(MATCH($N42&amp;"|"&amp;Y42,Partidos!$Y:$Y,0),IFERROR(MATCH($N42&amp;"|"&amp;Y42,Partidos!$Z:$Z,0),""))))</f>
        <v/>
      </c>
      <c r="AE42" s="4" t="str">
        <f>IF(OR(N42="",Z42=""),"",IF(Z42&lt;1,"",IFERROR(MATCH($N42&amp;"|"&amp;Z42,Partidos!$Y:$Y,0),IFERROR(MATCH($N42&amp;"|"&amp;Z42,Partidos!$Z:$Z,0),""))))</f>
        <v/>
      </c>
      <c r="AF42" s="4" t="str">
        <f>IF(OR(N42="",AA42=""),"",IF(AA42&lt;1,"",IFERROR(MATCH($N42&amp;"|"&amp;AA42,Partidos!$Y:$Y,0),IFERROR(MATCH($N42&amp;"|"&amp;AA42,Partidos!$Z:$Z,0),""))))</f>
        <v/>
      </c>
      <c r="AG42" s="4" t="str">
        <f>IF(OR(N42="",AB42=""),"",IF(AB42&lt;1,"",IFERROR(MATCH($N42&amp;"|"&amp;AB42,Partidos!$Y:$Y,0),IFERROR(MATCH($N42&amp;"|"&amp;AB42,Partidos!$Z:$Z,0),""))))</f>
        <v/>
      </c>
      <c r="AH42" s="4" t="str">
        <f>IF(OR(N42="",AC42=""),"",IF(AC42&lt;1,"",IFERROR(MATCH($N42&amp;"|"&amp;AC42,Partidos!$Y:$Y,0),IFERROR(MATCH($N42&amp;"|"&amp;AC42,Partidos!$Z:$Z,0),""))))</f>
        <v/>
      </c>
      <c r="AI42" s="4" t="str">
        <f>IF(AD42="","",IF(INDEX(Partidos!$C:$C,AD42)=$N42,IF(INDEX(Partidos!$E:$E,AD42)&gt;INDEX(Partidos!$F:$F,AD42),"V",IF(INDEX(Partidos!$E:$E,AD42)=INDEX(Partidos!$F:$F,AD42),"E","P")),IF(INDEX(Partidos!$F:$F,AD42)&gt;INDEX(Partidos!$E:$E,AD42),"V",IF(INDEX(Partidos!$F:$F,AD42)=INDEX(Partidos!$E:$E,AD42),"E","P"))))</f>
        <v/>
      </c>
      <c r="AJ42" s="4" t="str">
        <f>IF(AE42="","",IF(INDEX(Partidos!$C:$C,AE42)=$N42,IF(INDEX(Partidos!$E:$E,AE42)&gt;INDEX(Partidos!$F:$F,AE42),"V",IF(INDEX(Partidos!$E:$E,AE42)=INDEX(Partidos!$F:$F,AE42),"E","P")),IF(INDEX(Partidos!$F:$F,AE42)&gt;INDEX(Partidos!$E:$E,AE42),"V",IF(INDEX(Partidos!$F:$F,AE42)=INDEX(Partidos!$E:$E,AE42),"E","P"))))</f>
        <v/>
      </c>
      <c r="AK42" s="4" t="str">
        <f>IF(AF42="","",IF(INDEX(Partidos!$C:$C,AF42)=$N42,IF(INDEX(Partidos!$E:$E,AF42)&gt;INDEX(Partidos!$F:$F,AF42),"V",IF(INDEX(Partidos!$E:$E,AF42)=INDEX(Partidos!$F:$F,AF42),"E","P")),IF(INDEX(Partidos!$F:$F,AF42)&gt;INDEX(Partidos!$E:$E,AF42),"V",IF(INDEX(Partidos!$F:$F,AF42)=INDEX(Partidos!$E:$E,AF42),"E","P"))))</f>
        <v/>
      </c>
      <c r="AL42" s="4" t="str">
        <f>IF(AG42="","",IF(INDEX(Partidos!$C:$C,AG42)=$N42,IF(INDEX(Partidos!$E:$E,AG42)&gt;INDEX(Partidos!$F:$F,AG42),"V",IF(INDEX(Partidos!$E:$E,AG42)=INDEX(Partidos!$F:$F,AG42),"E","P")),IF(INDEX(Partidos!$F:$F,AG42)&gt;INDEX(Partidos!$E:$E,AG42),"V",IF(INDEX(Partidos!$F:$F,AG42)=INDEX(Partidos!$E:$E,AG42),"E","P"))))</f>
        <v/>
      </c>
      <c r="AM42" s="4" t="str">
        <f>IF(AH42="","",IF(INDEX(Partidos!$C:$C,AH42)=$N42,IF(INDEX(Partidos!$E:$E,AH42)&gt;INDEX(Partidos!$F:$F,AH42),"V",IF(INDEX(Partidos!$E:$E,AH42)=INDEX(Partidos!$F:$F,AH42),"E","P")),IF(INDEX(Partidos!$F:$F,AH42)&gt;INDEX(Partidos!$E:$E,AH42),"V",IF(INDEX(Partidos!$F:$F,AH42)=INDEX(Partidos!$E:$E,AH42),"E","P"))))</f>
        <v/>
      </c>
      <c r="AN42" s="4" t="str">
        <f t="shared" si="45"/>
        <v/>
      </c>
      <c r="AO42" s="4" t="str">
        <f t="shared" si="46"/>
        <v/>
      </c>
      <c r="AP42" s="4" t="str">
        <f>IF(AO42=1,SUMPRODUCT(($AO$2:AO42=1)*1),"")</f>
        <v/>
      </c>
      <c r="AQ42" s="4" t="str">
        <f t="shared" si="47"/>
        <v/>
      </c>
      <c r="AR42" s="4" t="str">
        <f t="shared" si="48"/>
        <v/>
      </c>
      <c r="AS42" s="4" t="str">
        <f>IF(AR42=1,SUMPRODUCT(($AR$2:AR42=1)*1),"")</f>
        <v/>
      </c>
      <c r="AT42" s="4" t="str">
        <f t="shared" si="49"/>
        <v/>
      </c>
    </row>
    <row r="43" spans="1:46" ht="15" customHeight="1" x14ac:dyDescent="0.25">
      <c r="A43" t="str">
        <f>IF(COUNT($X$2:$X$61)&gt;=42,42,"")</f>
        <v/>
      </c>
      <c r="B43" t="str">
        <f t="shared" si="25"/>
        <v/>
      </c>
      <c r="C43" t="str">
        <f t="shared" si="26"/>
        <v/>
      </c>
      <c r="D43" t="str">
        <f t="shared" si="27"/>
        <v/>
      </c>
      <c r="E43" t="str">
        <f t="shared" si="28"/>
        <v/>
      </c>
      <c r="F43" t="str">
        <f t="shared" si="29"/>
        <v/>
      </c>
      <c r="G43" t="str">
        <f t="shared" si="30"/>
        <v/>
      </c>
      <c r="H43" t="str">
        <f t="shared" si="31"/>
        <v/>
      </c>
      <c r="I43" t="str">
        <f t="shared" si="32"/>
        <v/>
      </c>
      <c r="J43" t="str">
        <f t="shared" si="33"/>
        <v/>
      </c>
      <c r="K43" t="str">
        <f t="shared" si="34"/>
        <v/>
      </c>
      <c r="N43" s="4" t="str">
        <f>IFERROR(INDEX(Partidos!$C$2:$C$1401,MATCH("TEAM|42",Partidos!$AE$2:$AE$1401,0)),IFERROR(INDEX(Partidos!$D$2:$D$1401,MATCH("TEAM|42",Partidos!$AF$2:$AF$1401,0)),""))</f>
        <v/>
      </c>
      <c r="O43" s="4" t="str">
        <f>IF(N43="","",COUNTIF(Partidos!$C$2:$C$1401,N43)+COUNTIF(Partidos!$D$2:$D$1401,N43))</f>
        <v/>
      </c>
      <c r="P43" s="4" t="str">
        <f>IF(N43="","",SUMPRODUCT((Partidos!$C$2:$C$1401=N43)*(Partidos!$E$2:$E$1401&gt;Partidos!$F$2:$F$1401))+SUMPRODUCT((Partidos!$D$2:$D$1401=N43)*(Partidos!$F$2:$F$1401&gt;Partidos!$E$2:$E$1401)))</f>
        <v/>
      </c>
      <c r="Q43" s="4" t="str">
        <f>IF(N43="","",SUMPRODUCT((((Partidos!$C$2:$C$1401=N43)+(Partidos!$D$2:$D$1401=N43)))*(Partidos!$E$2:$E$1401=Partidos!$F$2:$F$1401)*(Partidos!$C$2:$C$1401&lt;&gt;"")))</f>
        <v/>
      </c>
      <c r="R43" s="4" t="str">
        <f t="shared" si="35"/>
        <v/>
      </c>
      <c r="S43" s="4" t="str">
        <f>IF(N43="","",SUMIF(Partidos!$C$2:$C$1401,N43,Partidos!$E$2:$E$1401)+SUMIF(Partidos!$D$2:$D$1401,N43,Partidos!$F$2:$F$1401))</f>
        <v/>
      </c>
      <c r="T43" s="4" t="str">
        <f>IF(N43="","",SUMIF(Partidos!$C$2:$C$1401,N43,Partidos!$F$2:$F$1401)+SUMIF(Partidos!$D$2:$D$1401,N43,Partidos!$E$2:$E$1401))</f>
        <v/>
      </c>
      <c r="U43" s="4" t="str">
        <f t="shared" si="36"/>
        <v/>
      </c>
      <c r="V43" s="4" t="str">
        <f t="shared" si="37"/>
        <v/>
      </c>
      <c r="W43" s="4" t="str">
        <f t="shared" si="38"/>
        <v/>
      </c>
      <c r="X43" s="4" t="str">
        <f t="shared" si="39"/>
        <v/>
      </c>
      <c r="Y43" s="4" t="str">
        <f t="shared" si="40"/>
        <v/>
      </c>
      <c r="Z43" s="4" t="str">
        <f t="shared" si="41"/>
        <v/>
      </c>
      <c r="AA43" s="4" t="str">
        <f t="shared" si="42"/>
        <v/>
      </c>
      <c r="AB43" s="4" t="str">
        <f t="shared" si="43"/>
        <v/>
      </c>
      <c r="AC43" s="4" t="str">
        <f t="shared" si="44"/>
        <v/>
      </c>
      <c r="AD43" s="4" t="str">
        <f>IF(OR(N43="",Y43=""),"",IF(Y43&lt;1,"",IFERROR(MATCH($N43&amp;"|"&amp;Y43,Partidos!$Y:$Y,0),IFERROR(MATCH($N43&amp;"|"&amp;Y43,Partidos!$Z:$Z,0),""))))</f>
        <v/>
      </c>
      <c r="AE43" s="4" t="str">
        <f>IF(OR(N43="",Z43=""),"",IF(Z43&lt;1,"",IFERROR(MATCH($N43&amp;"|"&amp;Z43,Partidos!$Y:$Y,0),IFERROR(MATCH($N43&amp;"|"&amp;Z43,Partidos!$Z:$Z,0),""))))</f>
        <v/>
      </c>
      <c r="AF43" s="4" t="str">
        <f>IF(OR(N43="",AA43=""),"",IF(AA43&lt;1,"",IFERROR(MATCH($N43&amp;"|"&amp;AA43,Partidos!$Y:$Y,0),IFERROR(MATCH($N43&amp;"|"&amp;AA43,Partidos!$Z:$Z,0),""))))</f>
        <v/>
      </c>
      <c r="AG43" s="4" t="str">
        <f>IF(OR(N43="",AB43=""),"",IF(AB43&lt;1,"",IFERROR(MATCH($N43&amp;"|"&amp;AB43,Partidos!$Y:$Y,0),IFERROR(MATCH($N43&amp;"|"&amp;AB43,Partidos!$Z:$Z,0),""))))</f>
        <v/>
      </c>
      <c r="AH43" s="4" t="str">
        <f>IF(OR(N43="",AC43=""),"",IF(AC43&lt;1,"",IFERROR(MATCH($N43&amp;"|"&amp;AC43,Partidos!$Y:$Y,0),IFERROR(MATCH($N43&amp;"|"&amp;AC43,Partidos!$Z:$Z,0),""))))</f>
        <v/>
      </c>
      <c r="AI43" s="4" t="str">
        <f>IF(AD43="","",IF(INDEX(Partidos!$C:$C,AD43)=$N43,IF(INDEX(Partidos!$E:$E,AD43)&gt;INDEX(Partidos!$F:$F,AD43),"V",IF(INDEX(Partidos!$E:$E,AD43)=INDEX(Partidos!$F:$F,AD43),"E","P")),IF(INDEX(Partidos!$F:$F,AD43)&gt;INDEX(Partidos!$E:$E,AD43),"V",IF(INDEX(Partidos!$F:$F,AD43)=INDEX(Partidos!$E:$E,AD43),"E","P"))))</f>
        <v/>
      </c>
      <c r="AJ43" s="4" t="str">
        <f>IF(AE43="","",IF(INDEX(Partidos!$C:$C,AE43)=$N43,IF(INDEX(Partidos!$E:$E,AE43)&gt;INDEX(Partidos!$F:$F,AE43),"V",IF(INDEX(Partidos!$E:$E,AE43)=INDEX(Partidos!$F:$F,AE43),"E","P")),IF(INDEX(Partidos!$F:$F,AE43)&gt;INDEX(Partidos!$E:$E,AE43),"V",IF(INDEX(Partidos!$F:$F,AE43)=INDEX(Partidos!$E:$E,AE43),"E","P"))))</f>
        <v/>
      </c>
      <c r="AK43" s="4" t="str">
        <f>IF(AF43="","",IF(INDEX(Partidos!$C:$C,AF43)=$N43,IF(INDEX(Partidos!$E:$E,AF43)&gt;INDEX(Partidos!$F:$F,AF43),"V",IF(INDEX(Partidos!$E:$E,AF43)=INDEX(Partidos!$F:$F,AF43),"E","P")),IF(INDEX(Partidos!$F:$F,AF43)&gt;INDEX(Partidos!$E:$E,AF43),"V",IF(INDEX(Partidos!$F:$F,AF43)=INDEX(Partidos!$E:$E,AF43),"E","P"))))</f>
        <v/>
      </c>
      <c r="AL43" s="4" t="str">
        <f>IF(AG43="","",IF(INDEX(Partidos!$C:$C,AG43)=$N43,IF(INDEX(Partidos!$E:$E,AG43)&gt;INDEX(Partidos!$F:$F,AG43),"V",IF(INDEX(Partidos!$E:$E,AG43)=INDEX(Partidos!$F:$F,AG43),"E","P")),IF(INDEX(Partidos!$F:$F,AG43)&gt;INDEX(Partidos!$E:$E,AG43),"V",IF(INDEX(Partidos!$F:$F,AG43)=INDEX(Partidos!$E:$E,AG43),"E","P"))))</f>
        <v/>
      </c>
      <c r="AM43" s="4" t="str">
        <f>IF(AH43="","",IF(INDEX(Partidos!$C:$C,AH43)=$N43,IF(INDEX(Partidos!$E:$E,AH43)&gt;INDEX(Partidos!$F:$F,AH43),"V",IF(INDEX(Partidos!$E:$E,AH43)=INDEX(Partidos!$F:$F,AH43),"E","P")),IF(INDEX(Partidos!$F:$F,AH43)&gt;INDEX(Partidos!$E:$E,AH43),"V",IF(INDEX(Partidos!$F:$F,AH43)=INDEX(Partidos!$E:$E,AH43),"E","P"))))</f>
        <v/>
      </c>
      <c r="AN43" s="4" t="str">
        <f t="shared" si="45"/>
        <v/>
      </c>
      <c r="AO43" s="4" t="str">
        <f t="shared" si="46"/>
        <v/>
      </c>
      <c r="AP43" s="4" t="str">
        <f>IF(AO43=1,SUMPRODUCT(($AO$2:AO43=1)*1),"")</f>
        <v/>
      </c>
      <c r="AQ43" s="4" t="str">
        <f t="shared" si="47"/>
        <v/>
      </c>
      <c r="AR43" s="4" t="str">
        <f t="shared" si="48"/>
        <v/>
      </c>
      <c r="AS43" s="4" t="str">
        <f>IF(AR43=1,SUMPRODUCT(($AR$2:AR43=1)*1),"")</f>
        <v/>
      </c>
      <c r="AT43" s="4" t="str">
        <f t="shared" si="49"/>
        <v/>
      </c>
    </row>
    <row r="44" spans="1:46" ht="15" customHeight="1" x14ac:dyDescent="0.25">
      <c r="A44" t="str">
        <f>IF(COUNT($X$2:$X$61)&gt;=43,43,"")</f>
        <v/>
      </c>
      <c r="B44" t="str">
        <f t="shared" si="25"/>
        <v/>
      </c>
      <c r="C44" t="str">
        <f t="shared" si="26"/>
        <v/>
      </c>
      <c r="D44" t="str">
        <f t="shared" si="27"/>
        <v/>
      </c>
      <c r="E44" t="str">
        <f t="shared" si="28"/>
        <v/>
      </c>
      <c r="F44" t="str">
        <f t="shared" si="29"/>
        <v/>
      </c>
      <c r="G44" t="str">
        <f t="shared" si="30"/>
        <v/>
      </c>
      <c r="H44" t="str">
        <f t="shared" si="31"/>
        <v/>
      </c>
      <c r="I44" t="str">
        <f t="shared" si="32"/>
        <v/>
      </c>
      <c r="J44" t="str">
        <f t="shared" si="33"/>
        <v/>
      </c>
      <c r="K44" t="str">
        <f t="shared" si="34"/>
        <v/>
      </c>
      <c r="N44" s="4" t="str">
        <f>IFERROR(INDEX(Partidos!$C$2:$C$1401,MATCH("TEAM|43",Partidos!$AE$2:$AE$1401,0)),IFERROR(INDEX(Partidos!$D$2:$D$1401,MATCH("TEAM|43",Partidos!$AF$2:$AF$1401,0)),""))</f>
        <v/>
      </c>
      <c r="O44" s="4" t="str">
        <f>IF(N44="","",COUNTIF(Partidos!$C$2:$C$1401,N44)+COUNTIF(Partidos!$D$2:$D$1401,N44))</f>
        <v/>
      </c>
      <c r="P44" s="4" t="str">
        <f>IF(N44="","",SUMPRODUCT((Partidos!$C$2:$C$1401=N44)*(Partidos!$E$2:$E$1401&gt;Partidos!$F$2:$F$1401))+SUMPRODUCT((Partidos!$D$2:$D$1401=N44)*(Partidos!$F$2:$F$1401&gt;Partidos!$E$2:$E$1401)))</f>
        <v/>
      </c>
      <c r="Q44" s="4" t="str">
        <f>IF(N44="","",SUMPRODUCT((((Partidos!$C$2:$C$1401=N44)+(Partidos!$D$2:$D$1401=N44)))*(Partidos!$E$2:$E$1401=Partidos!$F$2:$F$1401)*(Partidos!$C$2:$C$1401&lt;&gt;"")))</f>
        <v/>
      </c>
      <c r="R44" s="4" t="str">
        <f t="shared" si="35"/>
        <v/>
      </c>
      <c r="S44" s="4" t="str">
        <f>IF(N44="","",SUMIF(Partidos!$C$2:$C$1401,N44,Partidos!$E$2:$E$1401)+SUMIF(Partidos!$D$2:$D$1401,N44,Partidos!$F$2:$F$1401))</f>
        <v/>
      </c>
      <c r="T44" s="4" t="str">
        <f>IF(N44="","",SUMIF(Partidos!$C$2:$C$1401,N44,Partidos!$F$2:$F$1401)+SUMIF(Partidos!$D$2:$D$1401,N44,Partidos!$E$2:$E$1401))</f>
        <v/>
      </c>
      <c r="U44" s="4" t="str">
        <f t="shared" si="36"/>
        <v/>
      </c>
      <c r="V44" s="4" t="str">
        <f t="shared" si="37"/>
        <v/>
      </c>
      <c r="W44" s="4" t="str">
        <f t="shared" si="38"/>
        <v/>
      </c>
      <c r="X44" s="4" t="str">
        <f t="shared" si="39"/>
        <v/>
      </c>
      <c r="Y44" s="4" t="str">
        <f t="shared" si="40"/>
        <v/>
      </c>
      <c r="Z44" s="4" t="str">
        <f t="shared" si="41"/>
        <v/>
      </c>
      <c r="AA44" s="4" t="str">
        <f t="shared" si="42"/>
        <v/>
      </c>
      <c r="AB44" s="4" t="str">
        <f t="shared" si="43"/>
        <v/>
      </c>
      <c r="AC44" s="4" t="str">
        <f t="shared" si="44"/>
        <v/>
      </c>
      <c r="AD44" s="4" t="str">
        <f>IF(OR(N44="",Y44=""),"",IF(Y44&lt;1,"",IFERROR(MATCH($N44&amp;"|"&amp;Y44,Partidos!$Y:$Y,0),IFERROR(MATCH($N44&amp;"|"&amp;Y44,Partidos!$Z:$Z,0),""))))</f>
        <v/>
      </c>
      <c r="AE44" s="4" t="str">
        <f>IF(OR(N44="",Z44=""),"",IF(Z44&lt;1,"",IFERROR(MATCH($N44&amp;"|"&amp;Z44,Partidos!$Y:$Y,0),IFERROR(MATCH($N44&amp;"|"&amp;Z44,Partidos!$Z:$Z,0),""))))</f>
        <v/>
      </c>
      <c r="AF44" s="4" t="str">
        <f>IF(OR(N44="",AA44=""),"",IF(AA44&lt;1,"",IFERROR(MATCH($N44&amp;"|"&amp;AA44,Partidos!$Y:$Y,0),IFERROR(MATCH($N44&amp;"|"&amp;AA44,Partidos!$Z:$Z,0),""))))</f>
        <v/>
      </c>
      <c r="AG44" s="4" t="str">
        <f>IF(OR(N44="",AB44=""),"",IF(AB44&lt;1,"",IFERROR(MATCH($N44&amp;"|"&amp;AB44,Partidos!$Y:$Y,0),IFERROR(MATCH($N44&amp;"|"&amp;AB44,Partidos!$Z:$Z,0),""))))</f>
        <v/>
      </c>
      <c r="AH44" s="4" t="str">
        <f>IF(OR(N44="",AC44=""),"",IF(AC44&lt;1,"",IFERROR(MATCH($N44&amp;"|"&amp;AC44,Partidos!$Y:$Y,0),IFERROR(MATCH($N44&amp;"|"&amp;AC44,Partidos!$Z:$Z,0),""))))</f>
        <v/>
      </c>
      <c r="AI44" s="4" t="str">
        <f>IF(AD44="","",IF(INDEX(Partidos!$C:$C,AD44)=$N44,IF(INDEX(Partidos!$E:$E,AD44)&gt;INDEX(Partidos!$F:$F,AD44),"V",IF(INDEX(Partidos!$E:$E,AD44)=INDEX(Partidos!$F:$F,AD44),"E","P")),IF(INDEX(Partidos!$F:$F,AD44)&gt;INDEX(Partidos!$E:$E,AD44),"V",IF(INDEX(Partidos!$F:$F,AD44)=INDEX(Partidos!$E:$E,AD44),"E","P"))))</f>
        <v/>
      </c>
      <c r="AJ44" s="4" t="str">
        <f>IF(AE44="","",IF(INDEX(Partidos!$C:$C,AE44)=$N44,IF(INDEX(Partidos!$E:$E,AE44)&gt;INDEX(Partidos!$F:$F,AE44),"V",IF(INDEX(Partidos!$E:$E,AE44)=INDEX(Partidos!$F:$F,AE44),"E","P")),IF(INDEX(Partidos!$F:$F,AE44)&gt;INDEX(Partidos!$E:$E,AE44),"V",IF(INDEX(Partidos!$F:$F,AE44)=INDEX(Partidos!$E:$E,AE44),"E","P"))))</f>
        <v/>
      </c>
      <c r="AK44" s="4" t="str">
        <f>IF(AF44="","",IF(INDEX(Partidos!$C:$C,AF44)=$N44,IF(INDEX(Partidos!$E:$E,AF44)&gt;INDEX(Partidos!$F:$F,AF44),"V",IF(INDEX(Partidos!$E:$E,AF44)=INDEX(Partidos!$F:$F,AF44),"E","P")),IF(INDEX(Partidos!$F:$F,AF44)&gt;INDEX(Partidos!$E:$E,AF44),"V",IF(INDEX(Partidos!$F:$F,AF44)=INDEX(Partidos!$E:$E,AF44),"E","P"))))</f>
        <v/>
      </c>
      <c r="AL44" s="4" t="str">
        <f>IF(AG44="","",IF(INDEX(Partidos!$C:$C,AG44)=$N44,IF(INDEX(Partidos!$E:$E,AG44)&gt;INDEX(Partidos!$F:$F,AG44),"V",IF(INDEX(Partidos!$E:$E,AG44)=INDEX(Partidos!$F:$F,AG44),"E","P")),IF(INDEX(Partidos!$F:$F,AG44)&gt;INDEX(Partidos!$E:$E,AG44),"V",IF(INDEX(Partidos!$F:$F,AG44)=INDEX(Partidos!$E:$E,AG44),"E","P"))))</f>
        <v/>
      </c>
      <c r="AM44" s="4" t="str">
        <f>IF(AH44="","",IF(INDEX(Partidos!$C:$C,AH44)=$N44,IF(INDEX(Partidos!$E:$E,AH44)&gt;INDEX(Partidos!$F:$F,AH44),"V",IF(INDEX(Partidos!$E:$E,AH44)=INDEX(Partidos!$F:$F,AH44),"E","P")),IF(INDEX(Partidos!$F:$F,AH44)&gt;INDEX(Partidos!$E:$E,AH44),"V",IF(INDEX(Partidos!$F:$F,AH44)=INDEX(Partidos!$E:$E,AH44),"E","P"))))</f>
        <v/>
      </c>
      <c r="AN44" s="4" t="str">
        <f t="shared" si="45"/>
        <v/>
      </c>
      <c r="AO44" s="4" t="str">
        <f t="shared" si="46"/>
        <v/>
      </c>
      <c r="AP44" s="4" t="str">
        <f>IF(AO44=1,SUMPRODUCT(($AO$2:AO44=1)*1),"")</f>
        <v/>
      </c>
      <c r="AQ44" s="4" t="str">
        <f t="shared" si="47"/>
        <v/>
      </c>
      <c r="AR44" s="4" t="str">
        <f t="shared" si="48"/>
        <v/>
      </c>
      <c r="AS44" s="4" t="str">
        <f>IF(AR44=1,SUMPRODUCT(($AR$2:AR44=1)*1),"")</f>
        <v/>
      </c>
      <c r="AT44" s="4" t="str">
        <f t="shared" si="49"/>
        <v/>
      </c>
    </row>
    <row r="45" spans="1:46" ht="15" customHeight="1" x14ac:dyDescent="0.25">
      <c r="A45" t="str">
        <f>IF(COUNT($X$2:$X$61)&gt;=44,44,"")</f>
        <v/>
      </c>
      <c r="B45" t="str">
        <f t="shared" si="25"/>
        <v/>
      </c>
      <c r="C45" t="str">
        <f t="shared" si="26"/>
        <v/>
      </c>
      <c r="D45" t="str">
        <f t="shared" si="27"/>
        <v/>
      </c>
      <c r="E45" t="str">
        <f t="shared" si="28"/>
        <v/>
      </c>
      <c r="F45" t="str">
        <f t="shared" si="29"/>
        <v/>
      </c>
      <c r="G45" t="str">
        <f t="shared" si="30"/>
        <v/>
      </c>
      <c r="H45" t="str">
        <f t="shared" si="31"/>
        <v/>
      </c>
      <c r="I45" t="str">
        <f t="shared" si="32"/>
        <v/>
      </c>
      <c r="J45" t="str">
        <f t="shared" si="33"/>
        <v/>
      </c>
      <c r="K45" t="str">
        <f t="shared" si="34"/>
        <v/>
      </c>
      <c r="N45" s="4" t="str">
        <f>IFERROR(INDEX(Partidos!$C$2:$C$1401,MATCH("TEAM|44",Partidos!$AE$2:$AE$1401,0)),IFERROR(INDEX(Partidos!$D$2:$D$1401,MATCH("TEAM|44",Partidos!$AF$2:$AF$1401,0)),""))</f>
        <v/>
      </c>
      <c r="O45" s="4" t="str">
        <f>IF(N45="","",COUNTIF(Partidos!$C$2:$C$1401,N45)+COUNTIF(Partidos!$D$2:$D$1401,N45))</f>
        <v/>
      </c>
      <c r="P45" s="4" t="str">
        <f>IF(N45="","",SUMPRODUCT((Partidos!$C$2:$C$1401=N45)*(Partidos!$E$2:$E$1401&gt;Partidos!$F$2:$F$1401))+SUMPRODUCT((Partidos!$D$2:$D$1401=N45)*(Partidos!$F$2:$F$1401&gt;Partidos!$E$2:$E$1401)))</f>
        <v/>
      </c>
      <c r="Q45" s="4" t="str">
        <f>IF(N45="","",SUMPRODUCT((((Partidos!$C$2:$C$1401=N45)+(Partidos!$D$2:$D$1401=N45)))*(Partidos!$E$2:$E$1401=Partidos!$F$2:$F$1401)*(Partidos!$C$2:$C$1401&lt;&gt;"")))</f>
        <v/>
      </c>
      <c r="R45" s="4" t="str">
        <f t="shared" si="35"/>
        <v/>
      </c>
      <c r="S45" s="4" t="str">
        <f>IF(N45="","",SUMIF(Partidos!$C$2:$C$1401,N45,Partidos!$E$2:$E$1401)+SUMIF(Partidos!$D$2:$D$1401,N45,Partidos!$F$2:$F$1401))</f>
        <v/>
      </c>
      <c r="T45" s="4" t="str">
        <f>IF(N45="","",SUMIF(Partidos!$C$2:$C$1401,N45,Partidos!$F$2:$F$1401)+SUMIF(Partidos!$D$2:$D$1401,N45,Partidos!$E$2:$E$1401))</f>
        <v/>
      </c>
      <c r="U45" s="4" t="str">
        <f t="shared" si="36"/>
        <v/>
      </c>
      <c r="V45" s="4" t="str">
        <f t="shared" si="37"/>
        <v/>
      </c>
      <c r="W45" s="4" t="str">
        <f t="shared" si="38"/>
        <v/>
      </c>
      <c r="X45" s="4" t="str">
        <f t="shared" si="39"/>
        <v/>
      </c>
      <c r="Y45" s="4" t="str">
        <f t="shared" si="40"/>
        <v/>
      </c>
      <c r="Z45" s="4" t="str">
        <f t="shared" si="41"/>
        <v/>
      </c>
      <c r="AA45" s="4" t="str">
        <f t="shared" si="42"/>
        <v/>
      </c>
      <c r="AB45" s="4" t="str">
        <f t="shared" si="43"/>
        <v/>
      </c>
      <c r="AC45" s="4" t="str">
        <f t="shared" si="44"/>
        <v/>
      </c>
      <c r="AD45" s="4" t="str">
        <f>IF(OR(N45="",Y45=""),"",IF(Y45&lt;1,"",IFERROR(MATCH($N45&amp;"|"&amp;Y45,Partidos!$Y:$Y,0),IFERROR(MATCH($N45&amp;"|"&amp;Y45,Partidos!$Z:$Z,0),""))))</f>
        <v/>
      </c>
      <c r="AE45" s="4" t="str">
        <f>IF(OR(N45="",Z45=""),"",IF(Z45&lt;1,"",IFERROR(MATCH($N45&amp;"|"&amp;Z45,Partidos!$Y:$Y,0),IFERROR(MATCH($N45&amp;"|"&amp;Z45,Partidos!$Z:$Z,0),""))))</f>
        <v/>
      </c>
      <c r="AF45" s="4" t="str">
        <f>IF(OR(N45="",AA45=""),"",IF(AA45&lt;1,"",IFERROR(MATCH($N45&amp;"|"&amp;AA45,Partidos!$Y:$Y,0),IFERROR(MATCH($N45&amp;"|"&amp;AA45,Partidos!$Z:$Z,0),""))))</f>
        <v/>
      </c>
      <c r="AG45" s="4" t="str">
        <f>IF(OR(N45="",AB45=""),"",IF(AB45&lt;1,"",IFERROR(MATCH($N45&amp;"|"&amp;AB45,Partidos!$Y:$Y,0),IFERROR(MATCH($N45&amp;"|"&amp;AB45,Partidos!$Z:$Z,0),""))))</f>
        <v/>
      </c>
      <c r="AH45" s="4" t="str">
        <f>IF(OR(N45="",AC45=""),"",IF(AC45&lt;1,"",IFERROR(MATCH($N45&amp;"|"&amp;AC45,Partidos!$Y:$Y,0),IFERROR(MATCH($N45&amp;"|"&amp;AC45,Partidos!$Z:$Z,0),""))))</f>
        <v/>
      </c>
      <c r="AI45" s="4" t="str">
        <f>IF(AD45="","",IF(INDEX(Partidos!$C:$C,AD45)=$N45,IF(INDEX(Partidos!$E:$E,AD45)&gt;INDEX(Partidos!$F:$F,AD45),"V",IF(INDEX(Partidos!$E:$E,AD45)=INDEX(Partidos!$F:$F,AD45),"E","P")),IF(INDEX(Partidos!$F:$F,AD45)&gt;INDEX(Partidos!$E:$E,AD45),"V",IF(INDEX(Partidos!$F:$F,AD45)=INDEX(Partidos!$E:$E,AD45),"E","P"))))</f>
        <v/>
      </c>
      <c r="AJ45" s="4" t="str">
        <f>IF(AE45="","",IF(INDEX(Partidos!$C:$C,AE45)=$N45,IF(INDEX(Partidos!$E:$E,AE45)&gt;INDEX(Partidos!$F:$F,AE45),"V",IF(INDEX(Partidos!$E:$E,AE45)=INDEX(Partidos!$F:$F,AE45),"E","P")),IF(INDEX(Partidos!$F:$F,AE45)&gt;INDEX(Partidos!$E:$E,AE45),"V",IF(INDEX(Partidos!$F:$F,AE45)=INDEX(Partidos!$E:$E,AE45),"E","P"))))</f>
        <v/>
      </c>
      <c r="AK45" s="4" t="str">
        <f>IF(AF45="","",IF(INDEX(Partidos!$C:$C,AF45)=$N45,IF(INDEX(Partidos!$E:$E,AF45)&gt;INDEX(Partidos!$F:$F,AF45),"V",IF(INDEX(Partidos!$E:$E,AF45)=INDEX(Partidos!$F:$F,AF45),"E","P")),IF(INDEX(Partidos!$F:$F,AF45)&gt;INDEX(Partidos!$E:$E,AF45),"V",IF(INDEX(Partidos!$F:$F,AF45)=INDEX(Partidos!$E:$E,AF45),"E","P"))))</f>
        <v/>
      </c>
      <c r="AL45" s="4" t="str">
        <f>IF(AG45="","",IF(INDEX(Partidos!$C:$C,AG45)=$N45,IF(INDEX(Partidos!$E:$E,AG45)&gt;INDEX(Partidos!$F:$F,AG45),"V",IF(INDEX(Partidos!$E:$E,AG45)=INDEX(Partidos!$F:$F,AG45),"E","P")),IF(INDEX(Partidos!$F:$F,AG45)&gt;INDEX(Partidos!$E:$E,AG45),"V",IF(INDEX(Partidos!$F:$F,AG45)=INDEX(Partidos!$E:$E,AG45),"E","P"))))</f>
        <v/>
      </c>
      <c r="AM45" s="4" t="str">
        <f>IF(AH45="","",IF(INDEX(Partidos!$C:$C,AH45)=$N45,IF(INDEX(Partidos!$E:$E,AH45)&gt;INDEX(Partidos!$F:$F,AH45),"V",IF(INDEX(Partidos!$E:$E,AH45)=INDEX(Partidos!$F:$F,AH45),"E","P")),IF(INDEX(Partidos!$F:$F,AH45)&gt;INDEX(Partidos!$E:$E,AH45),"V",IF(INDEX(Partidos!$F:$F,AH45)=INDEX(Partidos!$E:$E,AH45),"E","P"))))</f>
        <v/>
      </c>
      <c r="AN45" s="4" t="str">
        <f t="shared" si="45"/>
        <v/>
      </c>
      <c r="AO45" s="4" t="str">
        <f t="shared" si="46"/>
        <v/>
      </c>
      <c r="AP45" s="4" t="str">
        <f>IF(AO45=1,SUMPRODUCT(($AO$2:AO45=1)*1),"")</f>
        <v/>
      </c>
      <c r="AQ45" s="4" t="str">
        <f t="shared" si="47"/>
        <v/>
      </c>
      <c r="AR45" s="4" t="str">
        <f t="shared" si="48"/>
        <v/>
      </c>
      <c r="AS45" s="4" t="str">
        <f>IF(AR45=1,SUMPRODUCT(($AR$2:AR45=1)*1),"")</f>
        <v/>
      </c>
      <c r="AT45" s="4" t="str">
        <f t="shared" si="49"/>
        <v/>
      </c>
    </row>
    <row r="46" spans="1:46" ht="15" customHeight="1" x14ac:dyDescent="0.25">
      <c r="A46" t="str">
        <f>IF(COUNT($X$2:$X$61)&gt;=45,45,"")</f>
        <v/>
      </c>
      <c r="B46" t="str">
        <f t="shared" si="25"/>
        <v/>
      </c>
      <c r="C46" t="str">
        <f t="shared" si="26"/>
        <v/>
      </c>
      <c r="D46" t="str">
        <f t="shared" si="27"/>
        <v/>
      </c>
      <c r="E46" t="str">
        <f t="shared" si="28"/>
        <v/>
      </c>
      <c r="F46" t="str">
        <f t="shared" si="29"/>
        <v/>
      </c>
      <c r="G46" t="str">
        <f t="shared" si="30"/>
        <v/>
      </c>
      <c r="H46" t="str">
        <f t="shared" si="31"/>
        <v/>
      </c>
      <c r="I46" t="str">
        <f t="shared" si="32"/>
        <v/>
      </c>
      <c r="J46" t="str">
        <f t="shared" si="33"/>
        <v/>
      </c>
      <c r="K46" t="str">
        <f t="shared" si="34"/>
        <v/>
      </c>
      <c r="N46" s="4" t="str">
        <f>IFERROR(INDEX(Partidos!$C$2:$C$1401,MATCH("TEAM|45",Partidos!$AE$2:$AE$1401,0)),IFERROR(INDEX(Partidos!$D$2:$D$1401,MATCH("TEAM|45",Partidos!$AF$2:$AF$1401,0)),""))</f>
        <v/>
      </c>
      <c r="O46" s="4" t="str">
        <f>IF(N46="","",COUNTIF(Partidos!$C$2:$C$1401,N46)+COUNTIF(Partidos!$D$2:$D$1401,N46))</f>
        <v/>
      </c>
      <c r="P46" s="4" t="str">
        <f>IF(N46="","",SUMPRODUCT((Partidos!$C$2:$C$1401=N46)*(Partidos!$E$2:$E$1401&gt;Partidos!$F$2:$F$1401))+SUMPRODUCT((Partidos!$D$2:$D$1401=N46)*(Partidos!$F$2:$F$1401&gt;Partidos!$E$2:$E$1401)))</f>
        <v/>
      </c>
      <c r="Q46" s="4" t="str">
        <f>IF(N46="","",SUMPRODUCT((((Partidos!$C$2:$C$1401=N46)+(Partidos!$D$2:$D$1401=N46)))*(Partidos!$E$2:$E$1401=Partidos!$F$2:$F$1401)*(Partidos!$C$2:$C$1401&lt;&gt;"")))</f>
        <v/>
      </c>
      <c r="R46" s="4" t="str">
        <f t="shared" si="35"/>
        <v/>
      </c>
      <c r="S46" s="4" t="str">
        <f>IF(N46="","",SUMIF(Partidos!$C$2:$C$1401,N46,Partidos!$E$2:$E$1401)+SUMIF(Partidos!$D$2:$D$1401,N46,Partidos!$F$2:$F$1401))</f>
        <v/>
      </c>
      <c r="T46" s="4" t="str">
        <f>IF(N46="","",SUMIF(Partidos!$C$2:$C$1401,N46,Partidos!$F$2:$F$1401)+SUMIF(Partidos!$D$2:$D$1401,N46,Partidos!$E$2:$E$1401))</f>
        <v/>
      </c>
      <c r="U46" s="4" t="str">
        <f t="shared" si="36"/>
        <v/>
      </c>
      <c r="V46" s="4" t="str">
        <f t="shared" si="37"/>
        <v/>
      </c>
      <c r="W46" s="4" t="str">
        <f t="shared" si="38"/>
        <v/>
      </c>
      <c r="X46" s="4" t="str">
        <f t="shared" si="39"/>
        <v/>
      </c>
      <c r="Y46" s="4" t="str">
        <f t="shared" si="40"/>
        <v/>
      </c>
      <c r="Z46" s="4" t="str">
        <f t="shared" si="41"/>
        <v/>
      </c>
      <c r="AA46" s="4" t="str">
        <f t="shared" si="42"/>
        <v/>
      </c>
      <c r="AB46" s="4" t="str">
        <f t="shared" si="43"/>
        <v/>
      </c>
      <c r="AC46" s="4" t="str">
        <f t="shared" si="44"/>
        <v/>
      </c>
      <c r="AD46" s="4" t="str">
        <f>IF(OR(N46="",Y46=""),"",IF(Y46&lt;1,"",IFERROR(MATCH($N46&amp;"|"&amp;Y46,Partidos!$Y:$Y,0),IFERROR(MATCH($N46&amp;"|"&amp;Y46,Partidos!$Z:$Z,0),""))))</f>
        <v/>
      </c>
      <c r="AE46" s="4" t="str">
        <f>IF(OR(N46="",Z46=""),"",IF(Z46&lt;1,"",IFERROR(MATCH($N46&amp;"|"&amp;Z46,Partidos!$Y:$Y,0),IFERROR(MATCH($N46&amp;"|"&amp;Z46,Partidos!$Z:$Z,0),""))))</f>
        <v/>
      </c>
      <c r="AF46" s="4" t="str">
        <f>IF(OR(N46="",AA46=""),"",IF(AA46&lt;1,"",IFERROR(MATCH($N46&amp;"|"&amp;AA46,Partidos!$Y:$Y,0),IFERROR(MATCH($N46&amp;"|"&amp;AA46,Partidos!$Z:$Z,0),""))))</f>
        <v/>
      </c>
      <c r="AG46" s="4" t="str">
        <f>IF(OR(N46="",AB46=""),"",IF(AB46&lt;1,"",IFERROR(MATCH($N46&amp;"|"&amp;AB46,Partidos!$Y:$Y,0),IFERROR(MATCH($N46&amp;"|"&amp;AB46,Partidos!$Z:$Z,0),""))))</f>
        <v/>
      </c>
      <c r="AH46" s="4" t="str">
        <f>IF(OR(N46="",AC46=""),"",IF(AC46&lt;1,"",IFERROR(MATCH($N46&amp;"|"&amp;AC46,Partidos!$Y:$Y,0),IFERROR(MATCH($N46&amp;"|"&amp;AC46,Partidos!$Z:$Z,0),""))))</f>
        <v/>
      </c>
      <c r="AI46" s="4" t="str">
        <f>IF(AD46="","",IF(INDEX(Partidos!$C:$C,AD46)=$N46,IF(INDEX(Partidos!$E:$E,AD46)&gt;INDEX(Partidos!$F:$F,AD46),"V",IF(INDEX(Partidos!$E:$E,AD46)=INDEX(Partidos!$F:$F,AD46),"E","P")),IF(INDEX(Partidos!$F:$F,AD46)&gt;INDEX(Partidos!$E:$E,AD46),"V",IF(INDEX(Partidos!$F:$F,AD46)=INDEX(Partidos!$E:$E,AD46),"E","P"))))</f>
        <v/>
      </c>
      <c r="AJ46" s="4" t="str">
        <f>IF(AE46="","",IF(INDEX(Partidos!$C:$C,AE46)=$N46,IF(INDEX(Partidos!$E:$E,AE46)&gt;INDEX(Partidos!$F:$F,AE46),"V",IF(INDEX(Partidos!$E:$E,AE46)=INDEX(Partidos!$F:$F,AE46),"E","P")),IF(INDEX(Partidos!$F:$F,AE46)&gt;INDEX(Partidos!$E:$E,AE46),"V",IF(INDEX(Partidos!$F:$F,AE46)=INDEX(Partidos!$E:$E,AE46),"E","P"))))</f>
        <v/>
      </c>
      <c r="AK46" s="4" t="str">
        <f>IF(AF46="","",IF(INDEX(Partidos!$C:$C,AF46)=$N46,IF(INDEX(Partidos!$E:$E,AF46)&gt;INDEX(Partidos!$F:$F,AF46),"V",IF(INDEX(Partidos!$E:$E,AF46)=INDEX(Partidos!$F:$F,AF46),"E","P")),IF(INDEX(Partidos!$F:$F,AF46)&gt;INDEX(Partidos!$E:$E,AF46),"V",IF(INDEX(Partidos!$F:$F,AF46)=INDEX(Partidos!$E:$E,AF46),"E","P"))))</f>
        <v/>
      </c>
      <c r="AL46" s="4" t="str">
        <f>IF(AG46="","",IF(INDEX(Partidos!$C:$C,AG46)=$N46,IF(INDEX(Partidos!$E:$E,AG46)&gt;INDEX(Partidos!$F:$F,AG46),"V",IF(INDEX(Partidos!$E:$E,AG46)=INDEX(Partidos!$F:$F,AG46),"E","P")),IF(INDEX(Partidos!$F:$F,AG46)&gt;INDEX(Partidos!$E:$E,AG46),"V",IF(INDEX(Partidos!$F:$F,AG46)=INDEX(Partidos!$E:$E,AG46),"E","P"))))</f>
        <v/>
      </c>
      <c r="AM46" s="4" t="str">
        <f>IF(AH46="","",IF(INDEX(Partidos!$C:$C,AH46)=$N46,IF(INDEX(Partidos!$E:$E,AH46)&gt;INDEX(Partidos!$F:$F,AH46),"V",IF(INDEX(Partidos!$E:$E,AH46)=INDEX(Partidos!$F:$F,AH46),"E","P")),IF(INDEX(Partidos!$F:$F,AH46)&gt;INDEX(Partidos!$E:$E,AH46),"V",IF(INDEX(Partidos!$F:$F,AH46)=INDEX(Partidos!$E:$E,AH46),"E","P"))))</f>
        <v/>
      </c>
      <c r="AN46" s="4" t="str">
        <f t="shared" si="45"/>
        <v/>
      </c>
      <c r="AO46" s="4" t="str">
        <f t="shared" si="46"/>
        <v/>
      </c>
      <c r="AP46" s="4" t="str">
        <f>IF(AO46=1,SUMPRODUCT(($AO$2:AO46=1)*1),"")</f>
        <v/>
      </c>
      <c r="AQ46" s="4" t="str">
        <f t="shared" si="47"/>
        <v/>
      </c>
      <c r="AR46" s="4" t="str">
        <f t="shared" si="48"/>
        <v/>
      </c>
      <c r="AS46" s="4" t="str">
        <f>IF(AR46=1,SUMPRODUCT(($AR$2:AR46=1)*1),"")</f>
        <v/>
      </c>
      <c r="AT46" s="4" t="str">
        <f t="shared" si="49"/>
        <v/>
      </c>
    </row>
    <row r="47" spans="1:46" ht="15" customHeight="1" x14ac:dyDescent="0.25">
      <c r="A47" t="str">
        <f>IF(COUNT($X$2:$X$61)&gt;=46,46,"")</f>
        <v/>
      </c>
      <c r="B47" t="str">
        <f t="shared" si="25"/>
        <v/>
      </c>
      <c r="C47" t="str">
        <f t="shared" si="26"/>
        <v/>
      </c>
      <c r="D47" t="str">
        <f t="shared" si="27"/>
        <v/>
      </c>
      <c r="E47" t="str">
        <f t="shared" si="28"/>
        <v/>
      </c>
      <c r="F47" t="str">
        <f t="shared" si="29"/>
        <v/>
      </c>
      <c r="G47" t="str">
        <f t="shared" si="30"/>
        <v/>
      </c>
      <c r="H47" t="str">
        <f t="shared" si="31"/>
        <v/>
      </c>
      <c r="I47" t="str">
        <f t="shared" si="32"/>
        <v/>
      </c>
      <c r="J47" t="str">
        <f t="shared" si="33"/>
        <v/>
      </c>
      <c r="K47" t="str">
        <f t="shared" si="34"/>
        <v/>
      </c>
      <c r="N47" s="4" t="str">
        <f>IFERROR(INDEX(Partidos!$C$2:$C$1401,MATCH("TEAM|46",Partidos!$AE$2:$AE$1401,0)),IFERROR(INDEX(Partidos!$D$2:$D$1401,MATCH("TEAM|46",Partidos!$AF$2:$AF$1401,0)),""))</f>
        <v/>
      </c>
      <c r="O47" s="4" t="str">
        <f>IF(N47="","",COUNTIF(Partidos!$C$2:$C$1401,N47)+COUNTIF(Partidos!$D$2:$D$1401,N47))</f>
        <v/>
      </c>
      <c r="P47" s="4" t="str">
        <f>IF(N47="","",SUMPRODUCT((Partidos!$C$2:$C$1401=N47)*(Partidos!$E$2:$E$1401&gt;Partidos!$F$2:$F$1401))+SUMPRODUCT((Partidos!$D$2:$D$1401=N47)*(Partidos!$F$2:$F$1401&gt;Partidos!$E$2:$E$1401)))</f>
        <v/>
      </c>
      <c r="Q47" s="4" t="str">
        <f>IF(N47="","",SUMPRODUCT((((Partidos!$C$2:$C$1401=N47)+(Partidos!$D$2:$D$1401=N47)))*(Partidos!$E$2:$E$1401=Partidos!$F$2:$F$1401)*(Partidos!$C$2:$C$1401&lt;&gt;"")))</f>
        <v/>
      </c>
      <c r="R47" s="4" t="str">
        <f t="shared" si="35"/>
        <v/>
      </c>
      <c r="S47" s="4" t="str">
        <f>IF(N47="","",SUMIF(Partidos!$C$2:$C$1401,N47,Partidos!$E$2:$E$1401)+SUMIF(Partidos!$D$2:$D$1401,N47,Partidos!$F$2:$F$1401))</f>
        <v/>
      </c>
      <c r="T47" s="4" t="str">
        <f>IF(N47="","",SUMIF(Partidos!$C$2:$C$1401,N47,Partidos!$F$2:$F$1401)+SUMIF(Partidos!$D$2:$D$1401,N47,Partidos!$E$2:$E$1401))</f>
        <v/>
      </c>
      <c r="U47" s="4" t="str">
        <f t="shared" si="36"/>
        <v/>
      </c>
      <c r="V47" s="4" t="str">
        <f t="shared" si="37"/>
        <v/>
      </c>
      <c r="W47" s="4" t="str">
        <f t="shared" si="38"/>
        <v/>
      </c>
      <c r="X47" s="4" t="str">
        <f t="shared" si="39"/>
        <v/>
      </c>
      <c r="Y47" s="4" t="str">
        <f t="shared" si="40"/>
        <v/>
      </c>
      <c r="Z47" s="4" t="str">
        <f t="shared" si="41"/>
        <v/>
      </c>
      <c r="AA47" s="4" t="str">
        <f t="shared" si="42"/>
        <v/>
      </c>
      <c r="AB47" s="4" t="str">
        <f t="shared" si="43"/>
        <v/>
      </c>
      <c r="AC47" s="4" t="str">
        <f t="shared" si="44"/>
        <v/>
      </c>
      <c r="AD47" s="4" t="str">
        <f>IF(OR(N47="",Y47=""),"",IF(Y47&lt;1,"",IFERROR(MATCH($N47&amp;"|"&amp;Y47,Partidos!$Y:$Y,0),IFERROR(MATCH($N47&amp;"|"&amp;Y47,Partidos!$Z:$Z,0),""))))</f>
        <v/>
      </c>
      <c r="AE47" s="4" t="str">
        <f>IF(OR(N47="",Z47=""),"",IF(Z47&lt;1,"",IFERROR(MATCH($N47&amp;"|"&amp;Z47,Partidos!$Y:$Y,0),IFERROR(MATCH($N47&amp;"|"&amp;Z47,Partidos!$Z:$Z,0),""))))</f>
        <v/>
      </c>
      <c r="AF47" s="4" t="str">
        <f>IF(OR(N47="",AA47=""),"",IF(AA47&lt;1,"",IFERROR(MATCH($N47&amp;"|"&amp;AA47,Partidos!$Y:$Y,0),IFERROR(MATCH($N47&amp;"|"&amp;AA47,Partidos!$Z:$Z,0),""))))</f>
        <v/>
      </c>
      <c r="AG47" s="4" t="str">
        <f>IF(OR(N47="",AB47=""),"",IF(AB47&lt;1,"",IFERROR(MATCH($N47&amp;"|"&amp;AB47,Partidos!$Y:$Y,0),IFERROR(MATCH($N47&amp;"|"&amp;AB47,Partidos!$Z:$Z,0),""))))</f>
        <v/>
      </c>
      <c r="AH47" s="4" t="str">
        <f>IF(OR(N47="",AC47=""),"",IF(AC47&lt;1,"",IFERROR(MATCH($N47&amp;"|"&amp;AC47,Partidos!$Y:$Y,0),IFERROR(MATCH($N47&amp;"|"&amp;AC47,Partidos!$Z:$Z,0),""))))</f>
        <v/>
      </c>
      <c r="AI47" s="4" t="str">
        <f>IF(AD47="","",IF(INDEX(Partidos!$C:$C,AD47)=$N47,IF(INDEX(Partidos!$E:$E,AD47)&gt;INDEX(Partidos!$F:$F,AD47),"V",IF(INDEX(Partidos!$E:$E,AD47)=INDEX(Partidos!$F:$F,AD47),"E","P")),IF(INDEX(Partidos!$F:$F,AD47)&gt;INDEX(Partidos!$E:$E,AD47),"V",IF(INDEX(Partidos!$F:$F,AD47)=INDEX(Partidos!$E:$E,AD47),"E","P"))))</f>
        <v/>
      </c>
      <c r="AJ47" s="4" t="str">
        <f>IF(AE47="","",IF(INDEX(Partidos!$C:$C,AE47)=$N47,IF(INDEX(Partidos!$E:$E,AE47)&gt;INDEX(Partidos!$F:$F,AE47),"V",IF(INDEX(Partidos!$E:$E,AE47)=INDEX(Partidos!$F:$F,AE47),"E","P")),IF(INDEX(Partidos!$F:$F,AE47)&gt;INDEX(Partidos!$E:$E,AE47),"V",IF(INDEX(Partidos!$F:$F,AE47)=INDEX(Partidos!$E:$E,AE47),"E","P"))))</f>
        <v/>
      </c>
      <c r="AK47" s="4" t="str">
        <f>IF(AF47="","",IF(INDEX(Partidos!$C:$C,AF47)=$N47,IF(INDEX(Partidos!$E:$E,AF47)&gt;INDEX(Partidos!$F:$F,AF47),"V",IF(INDEX(Partidos!$E:$E,AF47)=INDEX(Partidos!$F:$F,AF47),"E","P")),IF(INDEX(Partidos!$F:$F,AF47)&gt;INDEX(Partidos!$E:$E,AF47),"V",IF(INDEX(Partidos!$F:$F,AF47)=INDEX(Partidos!$E:$E,AF47),"E","P"))))</f>
        <v/>
      </c>
      <c r="AL47" s="4" t="str">
        <f>IF(AG47="","",IF(INDEX(Partidos!$C:$C,AG47)=$N47,IF(INDEX(Partidos!$E:$E,AG47)&gt;INDEX(Partidos!$F:$F,AG47),"V",IF(INDEX(Partidos!$E:$E,AG47)=INDEX(Partidos!$F:$F,AG47),"E","P")),IF(INDEX(Partidos!$F:$F,AG47)&gt;INDEX(Partidos!$E:$E,AG47),"V",IF(INDEX(Partidos!$F:$F,AG47)=INDEX(Partidos!$E:$E,AG47),"E","P"))))</f>
        <v/>
      </c>
      <c r="AM47" s="4" t="str">
        <f>IF(AH47="","",IF(INDEX(Partidos!$C:$C,AH47)=$N47,IF(INDEX(Partidos!$E:$E,AH47)&gt;INDEX(Partidos!$F:$F,AH47),"V",IF(INDEX(Partidos!$E:$E,AH47)=INDEX(Partidos!$F:$F,AH47),"E","P")),IF(INDEX(Partidos!$F:$F,AH47)&gt;INDEX(Partidos!$E:$E,AH47),"V",IF(INDEX(Partidos!$F:$F,AH47)=INDEX(Partidos!$E:$E,AH47),"E","P"))))</f>
        <v/>
      </c>
      <c r="AN47" s="4" t="str">
        <f t="shared" si="45"/>
        <v/>
      </c>
      <c r="AO47" s="4" t="str">
        <f t="shared" si="46"/>
        <v/>
      </c>
      <c r="AP47" s="4" t="str">
        <f>IF(AO47=1,SUMPRODUCT(($AO$2:AO47=1)*1),"")</f>
        <v/>
      </c>
      <c r="AQ47" s="4" t="str">
        <f t="shared" si="47"/>
        <v/>
      </c>
      <c r="AR47" s="4" t="str">
        <f t="shared" si="48"/>
        <v/>
      </c>
      <c r="AS47" s="4" t="str">
        <f>IF(AR47=1,SUMPRODUCT(($AR$2:AR47=1)*1),"")</f>
        <v/>
      </c>
      <c r="AT47" s="4" t="str">
        <f t="shared" si="49"/>
        <v/>
      </c>
    </row>
    <row r="48" spans="1:46" ht="15" customHeight="1" x14ac:dyDescent="0.25">
      <c r="A48" t="str">
        <f>IF(COUNT($X$2:$X$61)&gt;=47,47,"")</f>
        <v/>
      </c>
      <c r="B48" t="str">
        <f t="shared" si="25"/>
        <v/>
      </c>
      <c r="C48" t="str">
        <f t="shared" si="26"/>
        <v/>
      </c>
      <c r="D48" t="str">
        <f t="shared" si="27"/>
        <v/>
      </c>
      <c r="E48" t="str">
        <f t="shared" si="28"/>
        <v/>
      </c>
      <c r="F48" t="str">
        <f t="shared" si="29"/>
        <v/>
      </c>
      <c r="G48" t="str">
        <f t="shared" si="30"/>
        <v/>
      </c>
      <c r="H48" t="str">
        <f t="shared" si="31"/>
        <v/>
      </c>
      <c r="I48" t="str">
        <f t="shared" si="32"/>
        <v/>
      </c>
      <c r="J48" t="str">
        <f t="shared" si="33"/>
        <v/>
      </c>
      <c r="K48" t="str">
        <f t="shared" si="34"/>
        <v/>
      </c>
      <c r="N48" s="4" t="str">
        <f>IFERROR(INDEX(Partidos!$C$2:$C$1401,MATCH("TEAM|47",Partidos!$AE$2:$AE$1401,0)),IFERROR(INDEX(Partidos!$D$2:$D$1401,MATCH("TEAM|47",Partidos!$AF$2:$AF$1401,0)),""))</f>
        <v/>
      </c>
      <c r="O48" s="4" t="str">
        <f>IF(N48="","",COUNTIF(Partidos!$C$2:$C$1401,N48)+COUNTIF(Partidos!$D$2:$D$1401,N48))</f>
        <v/>
      </c>
      <c r="P48" s="4" t="str">
        <f>IF(N48="","",SUMPRODUCT((Partidos!$C$2:$C$1401=N48)*(Partidos!$E$2:$E$1401&gt;Partidos!$F$2:$F$1401))+SUMPRODUCT((Partidos!$D$2:$D$1401=N48)*(Partidos!$F$2:$F$1401&gt;Partidos!$E$2:$E$1401)))</f>
        <v/>
      </c>
      <c r="Q48" s="4" t="str">
        <f>IF(N48="","",SUMPRODUCT((((Partidos!$C$2:$C$1401=N48)+(Partidos!$D$2:$D$1401=N48)))*(Partidos!$E$2:$E$1401=Partidos!$F$2:$F$1401)*(Partidos!$C$2:$C$1401&lt;&gt;"")))</f>
        <v/>
      </c>
      <c r="R48" s="4" t="str">
        <f t="shared" si="35"/>
        <v/>
      </c>
      <c r="S48" s="4" t="str">
        <f>IF(N48="","",SUMIF(Partidos!$C$2:$C$1401,N48,Partidos!$E$2:$E$1401)+SUMIF(Partidos!$D$2:$D$1401,N48,Partidos!$F$2:$F$1401))</f>
        <v/>
      </c>
      <c r="T48" s="4" t="str">
        <f>IF(N48="","",SUMIF(Partidos!$C$2:$C$1401,N48,Partidos!$F$2:$F$1401)+SUMIF(Partidos!$D$2:$D$1401,N48,Partidos!$E$2:$E$1401))</f>
        <v/>
      </c>
      <c r="U48" s="4" t="str">
        <f t="shared" si="36"/>
        <v/>
      </c>
      <c r="V48" s="4" t="str">
        <f t="shared" si="37"/>
        <v/>
      </c>
      <c r="W48" s="4" t="str">
        <f t="shared" si="38"/>
        <v/>
      </c>
      <c r="X48" s="4" t="str">
        <f t="shared" si="39"/>
        <v/>
      </c>
      <c r="Y48" s="4" t="str">
        <f t="shared" si="40"/>
        <v/>
      </c>
      <c r="Z48" s="4" t="str">
        <f t="shared" si="41"/>
        <v/>
      </c>
      <c r="AA48" s="4" t="str">
        <f t="shared" si="42"/>
        <v/>
      </c>
      <c r="AB48" s="4" t="str">
        <f t="shared" si="43"/>
        <v/>
      </c>
      <c r="AC48" s="4" t="str">
        <f t="shared" si="44"/>
        <v/>
      </c>
      <c r="AD48" s="4" t="str">
        <f>IF(OR(N48="",Y48=""),"",IF(Y48&lt;1,"",IFERROR(MATCH($N48&amp;"|"&amp;Y48,Partidos!$Y:$Y,0),IFERROR(MATCH($N48&amp;"|"&amp;Y48,Partidos!$Z:$Z,0),""))))</f>
        <v/>
      </c>
      <c r="AE48" s="4" t="str">
        <f>IF(OR(N48="",Z48=""),"",IF(Z48&lt;1,"",IFERROR(MATCH($N48&amp;"|"&amp;Z48,Partidos!$Y:$Y,0),IFERROR(MATCH($N48&amp;"|"&amp;Z48,Partidos!$Z:$Z,0),""))))</f>
        <v/>
      </c>
      <c r="AF48" s="4" t="str">
        <f>IF(OR(N48="",AA48=""),"",IF(AA48&lt;1,"",IFERROR(MATCH($N48&amp;"|"&amp;AA48,Partidos!$Y:$Y,0),IFERROR(MATCH($N48&amp;"|"&amp;AA48,Partidos!$Z:$Z,0),""))))</f>
        <v/>
      </c>
      <c r="AG48" s="4" t="str">
        <f>IF(OR(N48="",AB48=""),"",IF(AB48&lt;1,"",IFERROR(MATCH($N48&amp;"|"&amp;AB48,Partidos!$Y:$Y,0),IFERROR(MATCH($N48&amp;"|"&amp;AB48,Partidos!$Z:$Z,0),""))))</f>
        <v/>
      </c>
      <c r="AH48" s="4" t="str">
        <f>IF(OR(N48="",AC48=""),"",IF(AC48&lt;1,"",IFERROR(MATCH($N48&amp;"|"&amp;AC48,Partidos!$Y:$Y,0),IFERROR(MATCH($N48&amp;"|"&amp;AC48,Partidos!$Z:$Z,0),""))))</f>
        <v/>
      </c>
      <c r="AI48" s="4" t="str">
        <f>IF(AD48="","",IF(INDEX(Partidos!$C:$C,AD48)=$N48,IF(INDEX(Partidos!$E:$E,AD48)&gt;INDEX(Partidos!$F:$F,AD48),"V",IF(INDEX(Partidos!$E:$E,AD48)=INDEX(Partidos!$F:$F,AD48),"E","P")),IF(INDEX(Partidos!$F:$F,AD48)&gt;INDEX(Partidos!$E:$E,AD48),"V",IF(INDEX(Partidos!$F:$F,AD48)=INDEX(Partidos!$E:$E,AD48),"E","P"))))</f>
        <v/>
      </c>
      <c r="AJ48" s="4" t="str">
        <f>IF(AE48="","",IF(INDEX(Partidos!$C:$C,AE48)=$N48,IF(INDEX(Partidos!$E:$E,AE48)&gt;INDEX(Partidos!$F:$F,AE48),"V",IF(INDEX(Partidos!$E:$E,AE48)=INDEX(Partidos!$F:$F,AE48),"E","P")),IF(INDEX(Partidos!$F:$F,AE48)&gt;INDEX(Partidos!$E:$E,AE48),"V",IF(INDEX(Partidos!$F:$F,AE48)=INDEX(Partidos!$E:$E,AE48),"E","P"))))</f>
        <v/>
      </c>
      <c r="AK48" s="4" t="str">
        <f>IF(AF48="","",IF(INDEX(Partidos!$C:$C,AF48)=$N48,IF(INDEX(Partidos!$E:$E,AF48)&gt;INDEX(Partidos!$F:$F,AF48),"V",IF(INDEX(Partidos!$E:$E,AF48)=INDEX(Partidos!$F:$F,AF48),"E","P")),IF(INDEX(Partidos!$F:$F,AF48)&gt;INDEX(Partidos!$E:$E,AF48),"V",IF(INDEX(Partidos!$F:$F,AF48)=INDEX(Partidos!$E:$E,AF48),"E","P"))))</f>
        <v/>
      </c>
      <c r="AL48" s="4" t="str">
        <f>IF(AG48="","",IF(INDEX(Partidos!$C:$C,AG48)=$N48,IF(INDEX(Partidos!$E:$E,AG48)&gt;INDEX(Partidos!$F:$F,AG48),"V",IF(INDEX(Partidos!$E:$E,AG48)=INDEX(Partidos!$F:$F,AG48),"E","P")),IF(INDEX(Partidos!$F:$F,AG48)&gt;INDEX(Partidos!$E:$E,AG48),"V",IF(INDEX(Partidos!$F:$F,AG48)=INDEX(Partidos!$E:$E,AG48),"E","P"))))</f>
        <v/>
      </c>
      <c r="AM48" s="4" t="str">
        <f>IF(AH48="","",IF(INDEX(Partidos!$C:$C,AH48)=$N48,IF(INDEX(Partidos!$E:$E,AH48)&gt;INDEX(Partidos!$F:$F,AH48),"V",IF(INDEX(Partidos!$E:$E,AH48)=INDEX(Partidos!$F:$F,AH48),"E","P")),IF(INDEX(Partidos!$F:$F,AH48)&gt;INDEX(Partidos!$E:$E,AH48),"V",IF(INDEX(Partidos!$F:$F,AH48)=INDEX(Partidos!$E:$E,AH48),"E","P"))))</f>
        <v/>
      </c>
      <c r="AN48" s="4" t="str">
        <f t="shared" si="45"/>
        <v/>
      </c>
      <c r="AO48" s="4" t="str">
        <f t="shared" si="46"/>
        <v/>
      </c>
      <c r="AP48" s="4" t="str">
        <f>IF(AO48=1,SUMPRODUCT(($AO$2:AO48=1)*1),"")</f>
        <v/>
      </c>
      <c r="AQ48" s="4" t="str">
        <f t="shared" si="47"/>
        <v/>
      </c>
      <c r="AR48" s="4" t="str">
        <f t="shared" si="48"/>
        <v/>
      </c>
      <c r="AS48" s="4" t="str">
        <f>IF(AR48=1,SUMPRODUCT(($AR$2:AR48=1)*1),"")</f>
        <v/>
      </c>
      <c r="AT48" s="4" t="str">
        <f t="shared" si="49"/>
        <v/>
      </c>
    </row>
    <row r="49" spans="1:46" ht="15" customHeight="1" x14ac:dyDescent="0.25">
      <c r="A49" t="str">
        <f>IF(COUNT($X$2:$X$61)&gt;=48,48,"")</f>
        <v/>
      </c>
      <c r="B49" t="str">
        <f t="shared" si="25"/>
        <v/>
      </c>
      <c r="C49" t="str">
        <f t="shared" si="26"/>
        <v/>
      </c>
      <c r="D49" t="str">
        <f t="shared" si="27"/>
        <v/>
      </c>
      <c r="E49" t="str">
        <f t="shared" si="28"/>
        <v/>
      </c>
      <c r="F49" t="str">
        <f t="shared" si="29"/>
        <v/>
      </c>
      <c r="G49" t="str">
        <f t="shared" si="30"/>
        <v/>
      </c>
      <c r="H49" t="str">
        <f t="shared" si="31"/>
        <v/>
      </c>
      <c r="I49" t="str">
        <f t="shared" si="32"/>
        <v/>
      </c>
      <c r="J49" t="str">
        <f t="shared" si="33"/>
        <v/>
      </c>
      <c r="K49" t="str">
        <f t="shared" si="34"/>
        <v/>
      </c>
      <c r="N49" s="4" t="str">
        <f>IFERROR(INDEX(Partidos!$C$2:$C$1401,MATCH("TEAM|48",Partidos!$AE$2:$AE$1401,0)),IFERROR(INDEX(Partidos!$D$2:$D$1401,MATCH("TEAM|48",Partidos!$AF$2:$AF$1401,0)),""))</f>
        <v/>
      </c>
      <c r="O49" s="4" t="str">
        <f>IF(N49="","",COUNTIF(Partidos!$C$2:$C$1401,N49)+COUNTIF(Partidos!$D$2:$D$1401,N49))</f>
        <v/>
      </c>
      <c r="P49" s="4" t="str">
        <f>IF(N49="","",SUMPRODUCT((Partidos!$C$2:$C$1401=N49)*(Partidos!$E$2:$E$1401&gt;Partidos!$F$2:$F$1401))+SUMPRODUCT((Partidos!$D$2:$D$1401=N49)*(Partidos!$F$2:$F$1401&gt;Partidos!$E$2:$E$1401)))</f>
        <v/>
      </c>
      <c r="Q49" s="4" t="str">
        <f>IF(N49="","",SUMPRODUCT((((Partidos!$C$2:$C$1401=N49)+(Partidos!$D$2:$D$1401=N49)))*(Partidos!$E$2:$E$1401=Partidos!$F$2:$F$1401)*(Partidos!$C$2:$C$1401&lt;&gt;"")))</f>
        <v/>
      </c>
      <c r="R49" s="4" t="str">
        <f t="shared" si="35"/>
        <v/>
      </c>
      <c r="S49" s="4" t="str">
        <f>IF(N49="","",SUMIF(Partidos!$C$2:$C$1401,N49,Partidos!$E$2:$E$1401)+SUMIF(Partidos!$D$2:$D$1401,N49,Partidos!$F$2:$F$1401))</f>
        <v/>
      </c>
      <c r="T49" s="4" t="str">
        <f>IF(N49="","",SUMIF(Partidos!$C$2:$C$1401,N49,Partidos!$F$2:$F$1401)+SUMIF(Partidos!$D$2:$D$1401,N49,Partidos!$E$2:$E$1401))</f>
        <v/>
      </c>
      <c r="U49" s="4" t="str">
        <f t="shared" si="36"/>
        <v/>
      </c>
      <c r="V49" s="4" t="str">
        <f t="shared" si="37"/>
        <v/>
      </c>
      <c r="W49" s="4" t="str">
        <f t="shared" si="38"/>
        <v/>
      </c>
      <c r="X49" s="4" t="str">
        <f t="shared" si="39"/>
        <v/>
      </c>
      <c r="Y49" s="4" t="str">
        <f t="shared" si="40"/>
        <v/>
      </c>
      <c r="Z49" s="4" t="str">
        <f t="shared" si="41"/>
        <v/>
      </c>
      <c r="AA49" s="4" t="str">
        <f t="shared" si="42"/>
        <v/>
      </c>
      <c r="AB49" s="4" t="str">
        <f t="shared" si="43"/>
        <v/>
      </c>
      <c r="AC49" s="4" t="str">
        <f t="shared" si="44"/>
        <v/>
      </c>
      <c r="AD49" s="4" t="str">
        <f>IF(OR(N49="",Y49=""),"",IF(Y49&lt;1,"",IFERROR(MATCH($N49&amp;"|"&amp;Y49,Partidos!$Y:$Y,0),IFERROR(MATCH($N49&amp;"|"&amp;Y49,Partidos!$Z:$Z,0),""))))</f>
        <v/>
      </c>
      <c r="AE49" s="4" t="str">
        <f>IF(OR(N49="",Z49=""),"",IF(Z49&lt;1,"",IFERROR(MATCH($N49&amp;"|"&amp;Z49,Partidos!$Y:$Y,0),IFERROR(MATCH($N49&amp;"|"&amp;Z49,Partidos!$Z:$Z,0),""))))</f>
        <v/>
      </c>
      <c r="AF49" s="4" t="str">
        <f>IF(OR(N49="",AA49=""),"",IF(AA49&lt;1,"",IFERROR(MATCH($N49&amp;"|"&amp;AA49,Partidos!$Y:$Y,0),IFERROR(MATCH($N49&amp;"|"&amp;AA49,Partidos!$Z:$Z,0),""))))</f>
        <v/>
      </c>
      <c r="AG49" s="4" t="str">
        <f>IF(OR(N49="",AB49=""),"",IF(AB49&lt;1,"",IFERROR(MATCH($N49&amp;"|"&amp;AB49,Partidos!$Y:$Y,0),IFERROR(MATCH($N49&amp;"|"&amp;AB49,Partidos!$Z:$Z,0),""))))</f>
        <v/>
      </c>
      <c r="AH49" s="4" t="str">
        <f>IF(OR(N49="",AC49=""),"",IF(AC49&lt;1,"",IFERROR(MATCH($N49&amp;"|"&amp;AC49,Partidos!$Y:$Y,0),IFERROR(MATCH($N49&amp;"|"&amp;AC49,Partidos!$Z:$Z,0),""))))</f>
        <v/>
      </c>
      <c r="AI49" s="4" t="str">
        <f>IF(AD49="","",IF(INDEX(Partidos!$C:$C,AD49)=$N49,IF(INDEX(Partidos!$E:$E,AD49)&gt;INDEX(Partidos!$F:$F,AD49),"V",IF(INDEX(Partidos!$E:$E,AD49)=INDEX(Partidos!$F:$F,AD49),"E","P")),IF(INDEX(Partidos!$F:$F,AD49)&gt;INDEX(Partidos!$E:$E,AD49),"V",IF(INDEX(Partidos!$F:$F,AD49)=INDEX(Partidos!$E:$E,AD49),"E","P"))))</f>
        <v/>
      </c>
      <c r="AJ49" s="4" t="str">
        <f>IF(AE49="","",IF(INDEX(Partidos!$C:$C,AE49)=$N49,IF(INDEX(Partidos!$E:$E,AE49)&gt;INDEX(Partidos!$F:$F,AE49),"V",IF(INDEX(Partidos!$E:$E,AE49)=INDEX(Partidos!$F:$F,AE49),"E","P")),IF(INDEX(Partidos!$F:$F,AE49)&gt;INDEX(Partidos!$E:$E,AE49),"V",IF(INDEX(Partidos!$F:$F,AE49)=INDEX(Partidos!$E:$E,AE49),"E","P"))))</f>
        <v/>
      </c>
      <c r="AK49" s="4" t="str">
        <f>IF(AF49="","",IF(INDEX(Partidos!$C:$C,AF49)=$N49,IF(INDEX(Partidos!$E:$E,AF49)&gt;INDEX(Partidos!$F:$F,AF49),"V",IF(INDEX(Partidos!$E:$E,AF49)=INDEX(Partidos!$F:$F,AF49),"E","P")),IF(INDEX(Partidos!$F:$F,AF49)&gt;INDEX(Partidos!$E:$E,AF49),"V",IF(INDEX(Partidos!$F:$F,AF49)=INDEX(Partidos!$E:$E,AF49),"E","P"))))</f>
        <v/>
      </c>
      <c r="AL49" s="4" t="str">
        <f>IF(AG49="","",IF(INDEX(Partidos!$C:$C,AG49)=$N49,IF(INDEX(Partidos!$E:$E,AG49)&gt;INDEX(Partidos!$F:$F,AG49),"V",IF(INDEX(Partidos!$E:$E,AG49)=INDEX(Partidos!$F:$F,AG49),"E","P")),IF(INDEX(Partidos!$F:$F,AG49)&gt;INDEX(Partidos!$E:$E,AG49),"V",IF(INDEX(Partidos!$F:$F,AG49)=INDEX(Partidos!$E:$E,AG49),"E","P"))))</f>
        <v/>
      </c>
      <c r="AM49" s="4" t="str">
        <f>IF(AH49="","",IF(INDEX(Partidos!$C:$C,AH49)=$N49,IF(INDEX(Partidos!$E:$E,AH49)&gt;INDEX(Partidos!$F:$F,AH49),"V",IF(INDEX(Partidos!$E:$E,AH49)=INDEX(Partidos!$F:$F,AH49),"E","P")),IF(INDEX(Partidos!$F:$F,AH49)&gt;INDEX(Partidos!$E:$E,AH49),"V",IF(INDEX(Partidos!$F:$F,AH49)=INDEX(Partidos!$E:$E,AH49),"E","P"))))</f>
        <v/>
      </c>
      <c r="AN49" s="4" t="str">
        <f t="shared" si="45"/>
        <v/>
      </c>
      <c r="AO49" s="4" t="str">
        <f t="shared" si="46"/>
        <v/>
      </c>
      <c r="AP49" s="4" t="str">
        <f>IF(AO49=1,SUMPRODUCT(($AO$2:AO49=1)*1),"")</f>
        <v/>
      </c>
      <c r="AQ49" s="4" t="str">
        <f t="shared" si="47"/>
        <v/>
      </c>
      <c r="AR49" s="4" t="str">
        <f t="shared" si="48"/>
        <v/>
      </c>
      <c r="AS49" s="4" t="str">
        <f>IF(AR49=1,SUMPRODUCT(($AR$2:AR49=1)*1),"")</f>
        <v/>
      </c>
      <c r="AT49" s="4" t="str">
        <f t="shared" si="49"/>
        <v/>
      </c>
    </row>
    <row r="50" spans="1:46" ht="15" customHeight="1" x14ac:dyDescent="0.25">
      <c r="A50" t="str">
        <f>IF(COUNT($X$2:$X$61)&gt;=49,49,"")</f>
        <v/>
      </c>
      <c r="B50" t="str">
        <f t="shared" si="25"/>
        <v/>
      </c>
      <c r="C50" t="str">
        <f t="shared" si="26"/>
        <v/>
      </c>
      <c r="D50" t="str">
        <f t="shared" si="27"/>
        <v/>
      </c>
      <c r="E50" t="str">
        <f t="shared" si="28"/>
        <v/>
      </c>
      <c r="F50" t="str">
        <f t="shared" si="29"/>
        <v/>
      </c>
      <c r="G50" t="str">
        <f t="shared" si="30"/>
        <v/>
      </c>
      <c r="H50" t="str">
        <f t="shared" si="31"/>
        <v/>
      </c>
      <c r="I50" t="str">
        <f t="shared" si="32"/>
        <v/>
      </c>
      <c r="J50" t="str">
        <f t="shared" si="33"/>
        <v/>
      </c>
      <c r="K50" t="str">
        <f t="shared" si="34"/>
        <v/>
      </c>
      <c r="N50" s="4" t="str">
        <f>IFERROR(INDEX(Partidos!$C$2:$C$1401,MATCH("TEAM|49",Partidos!$AE$2:$AE$1401,0)),IFERROR(INDEX(Partidos!$D$2:$D$1401,MATCH("TEAM|49",Partidos!$AF$2:$AF$1401,0)),""))</f>
        <v/>
      </c>
      <c r="O50" s="4" t="str">
        <f>IF(N50="","",COUNTIF(Partidos!$C$2:$C$1401,N50)+COUNTIF(Partidos!$D$2:$D$1401,N50))</f>
        <v/>
      </c>
      <c r="P50" s="4" t="str">
        <f>IF(N50="","",SUMPRODUCT((Partidos!$C$2:$C$1401=N50)*(Partidos!$E$2:$E$1401&gt;Partidos!$F$2:$F$1401))+SUMPRODUCT((Partidos!$D$2:$D$1401=N50)*(Partidos!$F$2:$F$1401&gt;Partidos!$E$2:$E$1401)))</f>
        <v/>
      </c>
      <c r="Q50" s="4" t="str">
        <f>IF(N50="","",SUMPRODUCT((((Partidos!$C$2:$C$1401=N50)+(Partidos!$D$2:$D$1401=N50)))*(Partidos!$E$2:$E$1401=Partidos!$F$2:$F$1401)*(Partidos!$C$2:$C$1401&lt;&gt;"")))</f>
        <v/>
      </c>
      <c r="R50" s="4" t="str">
        <f t="shared" si="35"/>
        <v/>
      </c>
      <c r="S50" s="4" t="str">
        <f>IF(N50="","",SUMIF(Partidos!$C$2:$C$1401,N50,Partidos!$E$2:$E$1401)+SUMIF(Partidos!$D$2:$D$1401,N50,Partidos!$F$2:$F$1401))</f>
        <v/>
      </c>
      <c r="T50" s="4" t="str">
        <f>IF(N50="","",SUMIF(Partidos!$C$2:$C$1401,N50,Partidos!$F$2:$F$1401)+SUMIF(Partidos!$D$2:$D$1401,N50,Partidos!$E$2:$E$1401))</f>
        <v/>
      </c>
      <c r="U50" s="4" t="str">
        <f t="shared" si="36"/>
        <v/>
      </c>
      <c r="V50" s="4" t="str">
        <f t="shared" si="37"/>
        <v/>
      </c>
      <c r="W50" s="4" t="str">
        <f t="shared" si="38"/>
        <v/>
      </c>
      <c r="X50" s="4" t="str">
        <f t="shared" si="39"/>
        <v/>
      </c>
      <c r="Y50" s="4" t="str">
        <f t="shared" si="40"/>
        <v/>
      </c>
      <c r="Z50" s="4" t="str">
        <f t="shared" si="41"/>
        <v/>
      </c>
      <c r="AA50" s="4" t="str">
        <f t="shared" si="42"/>
        <v/>
      </c>
      <c r="AB50" s="4" t="str">
        <f t="shared" si="43"/>
        <v/>
      </c>
      <c r="AC50" s="4" t="str">
        <f t="shared" si="44"/>
        <v/>
      </c>
      <c r="AD50" s="4" t="str">
        <f>IF(OR(N50="",Y50=""),"",IF(Y50&lt;1,"",IFERROR(MATCH($N50&amp;"|"&amp;Y50,Partidos!$Y:$Y,0),IFERROR(MATCH($N50&amp;"|"&amp;Y50,Partidos!$Z:$Z,0),""))))</f>
        <v/>
      </c>
      <c r="AE50" s="4" t="str">
        <f>IF(OR(N50="",Z50=""),"",IF(Z50&lt;1,"",IFERROR(MATCH($N50&amp;"|"&amp;Z50,Partidos!$Y:$Y,0),IFERROR(MATCH($N50&amp;"|"&amp;Z50,Partidos!$Z:$Z,0),""))))</f>
        <v/>
      </c>
      <c r="AF50" s="4" t="str">
        <f>IF(OR(N50="",AA50=""),"",IF(AA50&lt;1,"",IFERROR(MATCH($N50&amp;"|"&amp;AA50,Partidos!$Y:$Y,0),IFERROR(MATCH($N50&amp;"|"&amp;AA50,Partidos!$Z:$Z,0),""))))</f>
        <v/>
      </c>
      <c r="AG50" s="4" t="str">
        <f>IF(OR(N50="",AB50=""),"",IF(AB50&lt;1,"",IFERROR(MATCH($N50&amp;"|"&amp;AB50,Partidos!$Y:$Y,0),IFERROR(MATCH($N50&amp;"|"&amp;AB50,Partidos!$Z:$Z,0),""))))</f>
        <v/>
      </c>
      <c r="AH50" s="4" t="str">
        <f>IF(OR(N50="",AC50=""),"",IF(AC50&lt;1,"",IFERROR(MATCH($N50&amp;"|"&amp;AC50,Partidos!$Y:$Y,0),IFERROR(MATCH($N50&amp;"|"&amp;AC50,Partidos!$Z:$Z,0),""))))</f>
        <v/>
      </c>
      <c r="AI50" s="4" t="str">
        <f>IF(AD50="","",IF(INDEX(Partidos!$C:$C,AD50)=$N50,IF(INDEX(Partidos!$E:$E,AD50)&gt;INDEX(Partidos!$F:$F,AD50),"V",IF(INDEX(Partidos!$E:$E,AD50)=INDEX(Partidos!$F:$F,AD50),"E","P")),IF(INDEX(Partidos!$F:$F,AD50)&gt;INDEX(Partidos!$E:$E,AD50),"V",IF(INDEX(Partidos!$F:$F,AD50)=INDEX(Partidos!$E:$E,AD50),"E","P"))))</f>
        <v/>
      </c>
      <c r="AJ50" s="4" t="str">
        <f>IF(AE50="","",IF(INDEX(Partidos!$C:$C,AE50)=$N50,IF(INDEX(Partidos!$E:$E,AE50)&gt;INDEX(Partidos!$F:$F,AE50),"V",IF(INDEX(Partidos!$E:$E,AE50)=INDEX(Partidos!$F:$F,AE50),"E","P")),IF(INDEX(Partidos!$F:$F,AE50)&gt;INDEX(Partidos!$E:$E,AE50),"V",IF(INDEX(Partidos!$F:$F,AE50)=INDEX(Partidos!$E:$E,AE50),"E","P"))))</f>
        <v/>
      </c>
      <c r="AK50" s="4" t="str">
        <f>IF(AF50="","",IF(INDEX(Partidos!$C:$C,AF50)=$N50,IF(INDEX(Partidos!$E:$E,AF50)&gt;INDEX(Partidos!$F:$F,AF50),"V",IF(INDEX(Partidos!$E:$E,AF50)=INDEX(Partidos!$F:$F,AF50),"E","P")),IF(INDEX(Partidos!$F:$F,AF50)&gt;INDEX(Partidos!$E:$E,AF50),"V",IF(INDEX(Partidos!$F:$F,AF50)=INDEX(Partidos!$E:$E,AF50),"E","P"))))</f>
        <v/>
      </c>
      <c r="AL50" s="4" t="str">
        <f>IF(AG50="","",IF(INDEX(Partidos!$C:$C,AG50)=$N50,IF(INDEX(Partidos!$E:$E,AG50)&gt;INDEX(Partidos!$F:$F,AG50),"V",IF(INDEX(Partidos!$E:$E,AG50)=INDEX(Partidos!$F:$F,AG50),"E","P")),IF(INDEX(Partidos!$F:$F,AG50)&gt;INDEX(Partidos!$E:$E,AG50),"V",IF(INDEX(Partidos!$F:$F,AG50)=INDEX(Partidos!$E:$E,AG50),"E","P"))))</f>
        <v/>
      </c>
      <c r="AM50" s="4" t="str">
        <f>IF(AH50="","",IF(INDEX(Partidos!$C:$C,AH50)=$N50,IF(INDEX(Partidos!$E:$E,AH50)&gt;INDEX(Partidos!$F:$F,AH50),"V",IF(INDEX(Partidos!$E:$E,AH50)=INDEX(Partidos!$F:$F,AH50),"E","P")),IF(INDEX(Partidos!$F:$F,AH50)&gt;INDEX(Partidos!$E:$E,AH50),"V",IF(INDEX(Partidos!$F:$F,AH50)=INDEX(Partidos!$E:$E,AH50),"E","P"))))</f>
        <v/>
      </c>
      <c r="AN50" s="4" t="str">
        <f t="shared" si="45"/>
        <v/>
      </c>
      <c r="AO50" s="4" t="str">
        <f t="shared" si="46"/>
        <v/>
      </c>
      <c r="AP50" s="4" t="str">
        <f>IF(AO50=1,SUMPRODUCT(($AO$2:AO50=1)*1),"")</f>
        <v/>
      </c>
      <c r="AQ50" s="4" t="str">
        <f t="shared" si="47"/>
        <v/>
      </c>
      <c r="AR50" s="4" t="str">
        <f t="shared" si="48"/>
        <v/>
      </c>
      <c r="AS50" s="4" t="str">
        <f>IF(AR50=1,SUMPRODUCT(($AR$2:AR50=1)*1),"")</f>
        <v/>
      </c>
      <c r="AT50" s="4" t="str">
        <f t="shared" si="49"/>
        <v/>
      </c>
    </row>
    <row r="51" spans="1:46" ht="15" customHeight="1" x14ac:dyDescent="0.25">
      <c r="A51" t="str">
        <f>IF(COUNT($X$2:$X$61)&gt;=50,50,"")</f>
        <v/>
      </c>
      <c r="B51" t="str">
        <f t="shared" si="25"/>
        <v/>
      </c>
      <c r="C51" t="str">
        <f t="shared" si="26"/>
        <v/>
      </c>
      <c r="D51" t="str">
        <f t="shared" si="27"/>
        <v/>
      </c>
      <c r="E51" t="str">
        <f t="shared" si="28"/>
        <v/>
      </c>
      <c r="F51" t="str">
        <f t="shared" si="29"/>
        <v/>
      </c>
      <c r="G51" t="str">
        <f t="shared" si="30"/>
        <v/>
      </c>
      <c r="H51" t="str">
        <f t="shared" si="31"/>
        <v/>
      </c>
      <c r="I51" t="str">
        <f t="shared" si="32"/>
        <v/>
      </c>
      <c r="J51" t="str">
        <f t="shared" si="33"/>
        <v/>
      </c>
      <c r="K51" t="str">
        <f t="shared" si="34"/>
        <v/>
      </c>
      <c r="N51" s="4" t="str">
        <f>IFERROR(INDEX(Partidos!$C$2:$C$1401,MATCH("TEAM|50",Partidos!$AE$2:$AE$1401,0)),IFERROR(INDEX(Partidos!$D$2:$D$1401,MATCH("TEAM|50",Partidos!$AF$2:$AF$1401,0)),""))</f>
        <v/>
      </c>
      <c r="O51" s="4" t="str">
        <f>IF(N51="","",COUNTIF(Partidos!$C$2:$C$1401,N51)+COUNTIF(Partidos!$D$2:$D$1401,N51))</f>
        <v/>
      </c>
      <c r="P51" s="4" t="str">
        <f>IF(N51="","",SUMPRODUCT((Partidos!$C$2:$C$1401=N51)*(Partidos!$E$2:$E$1401&gt;Partidos!$F$2:$F$1401))+SUMPRODUCT((Partidos!$D$2:$D$1401=N51)*(Partidos!$F$2:$F$1401&gt;Partidos!$E$2:$E$1401)))</f>
        <v/>
      </c>
      <c r="Q51" s="4" t="str">
        <f>IF(N51="","",SUMPRODUCT((((Partidos!$C$2:$C$1401=N51)+(Partidos!$D$2:$D$1401=N51)))*(Partidos!$E$2:$E$1401=Partidos!$F$2:$F$1401)*(Partidos!$C$2:$C$1401&lt;&gt;"")))</f>
        <v/>
      </c>
      <c r="R51" s="4" t="str">
        <f t="shared" si="35"/>
        <v/>
      </c>
      <c r="S51" s="4" t="str">
        <f>IF(N51="","",SUMIF(Partidos!$C$2:$C$1401,N51,Partidos!$E$2:$E$1401)+SUMIF(Partidos!$D$2:$D$1401,N51,Partidos!$F$2:$F$1401))</f>
        <v/>
      </c>
      <c r="T51" s="4" t="str">
        <f>IF(N51="","",SUMIF(Partidos!$C$2:$C$1401,N51,Partidos!$F$2:$F$1401)+SUMIF(Partidos!$D$2:$D$1401,N51,Partidos!$E$2:$E$1401))</f>
        <v/>
      </c>
      <c r="U51" s="4" t="str">
        <f t="shared" si="36"/>
        <v/>
      </c>
      <c r="V51" s="4" t="str">
        <f t="shared" si="37"/>
        <v/>
      </c>
      <c r="W51" s="4" t="str">
        <f t="shared" si="38"/>
        <v/>
      </c>
      <c r="X51" s="4" t="str">
        <f t="shared" si="39"/>
        <v/>
      </c>
      <c r="Y51" s="4" t="str">
        <f t="shared" si="40"/>
        <v/>
      </c>
      <c r="Z51" s="4" t="str">
        <f t="shared" si="41"/>
        <v/>
      </c>
      <c r="AA51" s="4" t="str">
        <f t="shared" si="42"/>
        <v/>
      </c>
      <c r="AB51" s="4" t="str">
        <f t="shared" si="43"/>
        <v/>
      </c>
      <c r="AC51" s="4" t="str">
        <f t="shared" si="44"/>
        <v/>
      </c>
      <c r="AD51" s="4" t="str">
        <f>IF(OR(N51="",Y51=""),"",IF(Y51&lt;1,"",IFERROR(MATCH($N51&amp;"|"&amp;Y51,Partidos!$Y:$Y,0),IFERROR(MATCH($N51&amp;"|"&amp;Y51,Partidos!$Z:$Z,0),""))))</f>
        <v/>
      </c>
      <c r="AE51" s="4" t="str">
        <f>IF(OR(N51="",Z51=""),"",IF(Z51&lt;1,"",IFERROR(MATCH($N51&amp;"|"&amp;Z51,Partidos!$Y:$Y,0),IFERROR(MATCH($N51&amp;"|"&amp;Z51,Partidos!$Z:$Z,0),""))))</f>
        <v/>
      </c>
      <c r="AF51" s="4" t="str">
        <f>IF(OR(N51="",AA51=""),"",IF(AA51&lt;1,"",IFERROR(MATCH($N51&amp;"|"&amp;AA51,Partidos!$Y:$Y,0),IFERROR(MATCH($N51&amp;"|"&amp;AA51,Partidos!$Z:$Z,0),""))))</f>
        <v/>
      </c>
      <c r="AG51" s="4" t="str">
        <f>IF(OR(N51="",AB51=""),"",IF(AB51&lt;1,"",IFERROR(MATCH($N51&amp;"|"&amp;AB51,Partidos!$Y:$Y,0),IFERROR(MATCH($N51&amp;"|"&amp;AB51,Partidos!$Z:$Z,0),""))))</f>
        <v/>
      </c>
      <c r="AH51" s="4" t="str">
        <f>IF(OR(N51="",AC51=""),"",IF(AC51&lt;1,"",IFERROR(MATCH($N51&amp;"|"&amp;AC51,Partidos!$Y:$Y,0),IFERROR(MATCH($N51&amp;"|"&amp;AC51,Partidos!$Z:$Z,0),""))))</f>
        <v/>
      </c>
      <c r="AI51" s="4" t="str">
        <f>IF(AD51="","",IF(INDEX(Partidos!$C:$C,AD51)=$N51,IF(INDEX(Partidos!$E:$E,AD51)&gt;INDEX(Partidos!$F:$F,AD51),"V",IF(INDEX(Partidos!$E:$E,AD51)=INDEX(Partidos!$F:$F,AD51),"E","P")),IF(INDEX(Partidos!$F:$F,AD51)&gt;INDEX(Partidos!$E:$E,AD51),"V",IF(INDEX(Partidos!$F:$F,AD51)=INDEX(Partidos!$E:$E,AD51),"E","P"))))</f>
        <v/>
      </c>
      <c r="AJ51" s="4" t="str">
        <f>IF(AE51="","",IF(INDEX(Partidos!$C:$C,AE51)=$N51,IF(INDEX(Partidos!$E:$E,AE51)&gt;INDEX(Partidos!$F:$F,AE51),"V",IF(INDEX(Partidos!$E:$E,AE51)=INDEX(Partidos!$F:$F,AE51),"E","P")),IF(INDEX(Partidos!$F:$F,AE51)&gt;INDEX(Partidos!$E:$E,AE51),"V",IF(INDEX(Partidos!$F:$F,AE51)=INDEX(Partidos!$E:$E,AE51),"E","P"))))</f>
        <v/>
      </c>
      <c r="AK51" s="4" t="str">
        <f>IF(AF51="","",IF(INDEX(Partidos!$C:$C,AF51)=$N51,IF(INDEX(Partidos!$E:$E,AF51)&gt;INDEX(Partidos!$F:$F,AF51),"V",IF(INDEX(Partidos!$E:$E,AF51)=INDEX(Partidos!$F:$F,AF51),"E","P")),IF(INDEX(Partidos!$F:$F,AF51)&gt;INDEX(Partidos!$E:$E,AF51),"V",IF(INDEX(Partidos!$F:$F,AF51)=INDEX(Partidos!$E:$E,AF51),"E","P"))))</f>
        <v/>
      </c>
      <c r="AL51" s="4" t="str">
        <f>IF(AG51="","",IF(INDEX(Partidos!$C:$C,AG51)=$N51,IF(INDEX(Partidos!$E:$E,AG51)&gt;INDEX(Partidos!$F:$F,AG51),"V",IF(INDEX(Partidos!$E:$E,AG51)=INDEX(Partidos!$F:$F,AG51),"E","P")),IF(INDEX(Partidos!$F:$F,AG51)&gt;INDEX(Partidos!$E:$E,AG51),"V",IF(INDEX(Partidos!$F:$F,AG51)=INDEX(Partidos!$E:$E,AG51),"E","P"))))</f>
        <v/>
      </c>
      <c r="AM51" s="4" t="str">
        <f>IF(AH51="","",IF(INDEX(Partidos!$C:$C,AH51)=$N51,IF(INDEX(Partidos!$E:$E,AH51)&gt;INDEX(Partidos!$F:$F,AH51),"V",IF(INDEX(Partidos!$E:$E,AH51)=INDEX(Partidos!$F:$F,AH51),"E","P")),IF(INDEX(Partidos!$F:$F,AH51)&gt;INDEX(Partidos!$E:$E,AH51),"V",IF(INDEX(Partidos!$F:$F,AH51)=INDEX(Partidos!$E:$E,AH51),"E","P"))))</f>
        <v/>
      </c>
      <c r="AN51" s="4" t="str">
        <f t="shared" si="45"/>
        <v/>
      </c>
      <c r="AO51" s="4" t="str">
        <f t="shared" si="46"/>
        <v/>
      </c>
      <c r="AP51" s="4" t="str">
        <f>IF(AO51=1,SUMPRODUCT(($AO$2:AO51=1)*1),"")</f>
        <v/>
      </c>
      <c r="AQ51" s="4" t="str">
        <f t="shared" si="47"/>
        <v/>
      </c>
      <c r="AR51" s="4" t="str">
        <f t="shared" si="48"/>
        <v/>
      </c>
      <c r="AS51" s="4" t="str">
        <f>IF(AR51=1,SUMPRODUCT(($AR$2:AR51=1)*1),"")</f>
        <v/>
      </c>
      <c r="AT51" s="4" t="str">
        <f t="shared" si="49"/>
        <v/>
      </c>
    </row>
    <row r="52" spans="1:46" ht="15" customHeight="1" x14ac:dyDescent="0.25">
      <c r="A52" t="str">
        <f>IF(COUNT($X$2:$X$61)&gt;=51,51,"")</f>
        <v/>
      </c>
      <c r="B52" t="str">
        <f t="shared" si="25"/>
        <v/>
      </c>
      <c r="C52" t="str">
        <f t="shared" si="26"/>
        <v/>
      </c>
      <c r="D52" t="str">
        <f t="shared" si="27"/>
        <v/>
      </c>
      <c r="E52" t="str">
        <f t="shared" si="28"/>
        <v/>
      </c>
      <c r="F52" t="str">
        <f t="shared" si="29"/>
        <v/>
      </c>
      <c r="G52" t="str">
        <f t="shared" si="30"/>
        <v/>
      </c>
      <c r="H52" t="str">
        <f t="shared" si="31"/>
        <v/>
      </c>
      <c r="I52" t="str">
        <f t="shared" si="32"/>
        <v/>
      </c>
      <c r="J52" t="str">
        <f t="shared" si="33"/>
        <v/>
      </c>
      <c r="K52" t="str">
        <f t="shared" si="34"/>
        <v/>
      </c>
      <c r="N52" s="4" t="str">
        <f>IFERROR(INDEX(Partidos!$C$2:$C$1401,MATCH("TEAM|51",Partidos!$AE$2:$AE$1401,0)),IFERROR(INDEX(Partidos!$D$2:$D$1401,MATCH("TEAM|51",Partidos!$AF$2:$AF$1401,0)),""))</f>
        <v/>
      </c>
      <c r="O52" s="4" t="str">
        <f>IF(N52="","",COUNTIF(Partidos!$C$2:$C$1401,N52)+COUNTIF(Partidos!$D$2:$D$1401,N52))</f>
        <v/>
      </c>
      <c r="P52" s="4" t="str">
        <f>IF(N52="","",SUMPRODUCT((Partidos!$C$2:$C$1401=N52)*(Partidos!$E$2:$E$1401&gt;Partidos!$F$2:$F$1401))+SUMPRODUCT((Partidos!$D$2:$D$1401=N52)*(Partidos!$F$2:$F$1401&gt;Partidos!$E$2:$E$1401)))</f>
        <v/>
      </c>
      <c r="Q52" s="4" t="str">
        <f>IF(N52="","",SUMPRODUCT((((Partidos!$C$2:$C$1401=N52)+(Partidos!$D$2:$D$1401=N52)))*(Partidos!$E$2:$E$1401=Partidos!$F$2:$F$1401)*(Partidos!$C$2:$C$1401&lt;&gt;"")))</f>
        <v/>
      </c>
      <c r="R52" s="4" t="str">
        <f t="shared" si="35"/>
        <v/>
      </c>
      <c r="S52" s="4" t="str">
        <f>IF(N52="","",SUMIF(Partidos!$C$2:$C$1401,N52,Partidos!$E$2:$E$1401)+SUMIF(Partidos!$D$2:$D$1401,N52,Partidos!$F$2:$F$1401))</f>
        <v/>
      </c>
      <c r="T52" s="4" t="str">
        <f>IF(N52="","",SUMIF(Partidos!$C$2:$C$1401,N52,Partidos!$F$2:$F$1401)+SUMIF(Partidos!$D$2:$D$1401,N52,Partidos!$E$2:$E$1401))</f>
        <v/>
      </c>
      <c r="U52" s="4" t="str">
        <f t="shared" si="36"/>
        <v/>
      </c>
      <c r="V52" s="4" t="str">
        <f t="shared" si="37"/>
        <v/>
      </c>
      <c r="W52" s="4" t="str">
        <f t="shared" si="38"/>
        <v/>
      </c>
      <c r="X52" s="4" t="str">
        <f t="shared" si="39"/>
        <v/>
      </c>
      <c r="Y52" s="4" t="str">
        <f t="shared" si="40"/>
        <v/>
      </c>
      <c r="Z52" s="4" t="str">
        <f t="shared" si="41"/>
        <v/>
      </c>
      <c r="AA52" s="4" t="str">
        <f t="shared" si="42"/>
        <v/>
      </c>
      <c r="AB52" s="4" t="str">
        <f t="shared" si="43"/>
        <v/>
      </c>
      <c r="AC52" s="4" t="str">
        <f t="shared" si="44"/>
        <v/>
      </c>
      <c r="AD52" s="4" t="str">
        <f>IF(OR(N52="",Y52=""),"",IF(Y52&lt;1,"",IFERROR(MATCH($N52&amp;"|"&amp;Y52,Partidos!$Y:$Y,0),IFERROR(MATCH($N52&amp;"|"&amp;Y52,Partidos!$Z:$Z,0),""))))</f>
        <v/>
      </c>
      <c r="AE52" s="4" t="str">
        <f>IF(OR(N52="",Z52=""),"",IF(Z52&lt;1,"",IFERROR(MATCH($N52&amp;"|"&amp;Z52,Partidos!$Y:$Y,0),IFERROR(MATCH($N52&amp;"|"&amp;Z52,Partidos!$Z:$Z,0),""))))</f>
        <v/>
      </c>
      <c r="AF52" s="4" t="str">
        <f>IF(OR(N52="",AA52=""),"",IF(AA52&lt;1,"",IFERROR(MATCH($N52&amp;"|"&amp;AA52,Partidos!$Y:$Y,0),IFERROR(MATCH($N52&amp;"|"&amp;AA52,Partidos!$Z:$Z,0),""))))</f>
        <v/>
      </c>
      <c r="AG52" s="4" t="str">
        <f>IF(OR(N52="",AB52=""),"",IF(AB52&lt;1,"",IFERROR(MATCH($N52&amp;"|"&amp;AB52,Partidos!$Y:$Y,0),IFERROR(MATCH($N52&amp;"|"&amp;AB52,Partidos!$Z:$Z,0),""))))</f>
        <v/>
      </c>
      <c r="AH52" s="4" t="str">
        <f>IF(OR(N52="",AC52=""),"",IF(AC52&lt;1,"",IFERROR(MATCH($N52&amp;"|"&amp;AC52,Partidos!$Y:$Y,0),IFERROR(MATCH($N52&amp;"|"&amp;AC52,Partidos!$Z:$Z,0),""))))</f>
        <v/>
      </c>
      <c r="AI52" s="4" t="str">
        <f>IF(AD52="","",IF(INDEX(Partidos!$C:$C,AD52)=$N52,IF(INDEX(Partidos!$E:$E,AD52)&gt;INDEX(Partidos!$F:$F,AD52),"V",IF(INDEX(Partidos!$E:$E,AD52)=INDEX(Partidos!$F:$F,AD52),"E","P")),IF(INDEX(Partidos!$F:$F,AD52)&gt;INDEX(Partidos!$E:$E,AD52),"V",IF(INDEX(Partidos!$F:$F,AD52)=INDEX(Partidos!$E:$E,AD52),"E","P"))))</f>
        <v/>
      </c>
      <c r="AJ52" s="4" t="str">
        <f>IF(AE52="","",IF(INDEX(Partidos!$C:$C,AE52)=$N52,IF(INDEX(Partidos!$E:$E,AE52)&gt;INDEX(Partidos!$F:$F,AE52),"V",IF(INDEX(Partidos!$E:$E,AE52)=INDEX(Partidos!$F:$F,AE52),"E","P")),IF(INDEX(Partidos!$F:$F,AE52)&gt;INDEX(Partidos!$E:$E,AE52),"V",IF(INDEX(Partidos!$F:$F,AE52)=INDEX(Partidos!$E:$E,AE52),"E","P"))))</f>
        <v/>
      </c>
      <c r="AK52" s="4" t="str">
        <f>IF(AF52="","",IF(INDEX(Partidos!$C:$C,AF52)=$N52,IF(INDEX(Partidos!$E:$E,AF52)&gt;INDEX(Partidos!$F:$F,AF52),"V",IF(INDEX(Partidos!$E:$E,AF52)=INDEX(Partidos!$F:$F,AF52),"E","P")),IF(INDEX(Partidos!$F:$F,AF52)&gt;INDEX(Partidos!$E:$E,AF52),"V",IF(INDEX(Partidos!$F:$F,AF52)=INDEX(Partidos!$E:$E,AF52),"E","P"))))</f>
        <v/>
      </c>
      <c r="AL52" s="4" t="str">
        <f>IF(AG52="","",IF(INDEX(Partidos!$C:$C,AG52)=$N52,IF(INDEX(Partidos!$E:$E,AG52)&gt;INDEX(Partidos!$F:$F,AG52),"V",IF(INDEX(Partidos!$E:$E,AG52)=INDEX(Partidos!$F:$F,AG52),"E","P")),IF(INDEX(Partidos!$F:$F,AG52)&gt;INDEX(Partidos!$E:$E,AG52),"V",IF(INDEX(Partidos!$F:$F,AG52)=INDEX(Partidos!$E:$E,AG52),"E","P"))))</f>
        <v/>
      </c>
      <c r="AM52" s="4" t="str">
        <f>IF(AH52="","",IF(INDEX(Partidos!$C:$C,AH52)=$N52,IF(INDEX(Partidos!$E:$E,AH52)&gt;INDEX(Partidos!$F:$F,AH52),"V",IF(INDEX(Partidos!$E:$E,AH52)=INDEX(Partidos!$F:$F,AH52),"E","P")),IF(INDEX(Partidos!$F:$F,AH52)&gt;INDEX(Partidos!$E:$E,AH52),"V",IF(INDEX(Partidos!$F:$F,AH52)=INDEX(Partidos!$E:$E,AH52),"E","P"))))</f>
        <v/>
      </c>
      <c r="AN52" s="4" t="str">
        <f t="shared" si="45"/>
        <v/>
      </c>
      <c r="AO52" s="4" t="str">
        <f t="shared" si="46"/>
        <v/>
      </c>
      <c r="AP52" s="4" t="str">
        <f>IF(AO52=1,SUMPRODUCT(($AO$2:AO52=1)*1),"")</f>
        <v/>
      </c>
      <c r="AQ52" s="4" t="str">
        <f t="shared" si="47"/>
        <v/>
      </c>
      <c r="AR52" s="4" t="str">
        <f t="shared" si="48"/>
        <v/>
      </c>
      <c r="AS52" s="4" t="str">
        <f>IF(AR52=1,SUMPRODUCT(($AR$2:AR52=1)*1),"")</f>
        <v/>
      </c>
      <c r="AT52" s="4" t="str">
        <f t="shared" si="49"/>
        <v/>
      </c>
    </row>
    <row r="53" spans="1:46" ht="15" customHeight="1" x14ac:dyDescent="0.25">
      <c r="A53" t="str">
        <f>IF(COUNT($X$2:$X$61)&gt;=52,52,"")</f>
        <v/>
      </c>
      <c r="B53" t="str">
        <f t="shared" si="25"/>
        <v/>
      </c>
      <c r="C53" t="str">
        <f t="shared" si="26"/>
        <v/>
      </c>
      <c r="D53" t="str">
        <f t="shared" si="27"/>
        <v/>
      </c>
      <c r="E53" t="str">
        <f t="shared" si="28"/>
        <v/>
      </c>
      <c r="F53" t="str">
        <f t="shared" si="29"/>
        <v/>
      </c>
      <c r="G53" t="str">
        <f t="shared" si="30"/>
        <v/>
      </c>
      <c r="H53" t="str">
        <f t="shared" si="31"/>
        <v/>
      </c>
      <c r="I53" t="str">
        <f t="shared" si="32"/>
        <v/>
      </c>
      <c r="J53" t="str">
        <f t="shared" si="33"/>
        <v/>
      </c>
      <c r="K53" t="str">
        <f t="shared" si="34"/>
        <v/>
      </c>
      <c r="N53" s="4" t="str">
        <f>IFERROR(INDEX(Partidos!$C$2:$C$1401,MATCH("TEAM|52",Partidos!$AE$2:$AE$1401,0)),IFERROR(INDEX(Partidos!$D$2:$D$1401,MATCH("TEAM|52",Partidos!$AF$2:$AF$1401,0)),""))</f>
        <v/>
      </c>
      <c r="O53" s="4" t="str">
        <f>IF(N53="","",COUNTIF(Partidos!$C$2:$C$1401,N53)+COUNTIF(Partidos!$D$2:$D$1401,N53))</f>
        <v/>
      </c>
      <c r="P53" s="4" t="str">
        <f>IF(N53="","",SUMPRODUCT((Partidos!$C$2:$C$1401=N53)*(Partidos!$E$2:$E$1401&gt;Partidos!$F$2:$F$1401))+SUMPRODUCT((Partidos!$D$2:$D$1401=N53)*(Partidos!$F$2:$F$1401&gt;Partidos!$E$2:$E$1401)))</f>
        <v/>
      </c>
      <c r="Q53" s="4" t="str">
        <f>IF(N53="","",SUMPRODUCT((((Partidos!$C$2:$C$1401=N53)+(Partidos!$D$2:$D$1401=N53)))*(Partidos!$E$2:$E$1401=Partidos!$F$2:$F$1401)*(Partidos!$C$2:$C$1401&lt;&gt;"")))</f>
        <v/>
      </c>
      <c r="R53" s="4" t="str">
        <f t="shared" si="35"/>
        <v/>
      </c>
      <c r="S53" s="4" t="str">
        <f>IF(N53="","",SUMIF(Partidos!$C$2:$C$1401,N53,Partidos!$E$2:$E$1401)+SUMIF(Partidos!$D$2:$D$1401,N53,Partidos!$F$2:$F$1401))</f>
        <v/>
      </c>
      <c r="T53" s="4" t="str">
        <f>IF(N53="","",SUMIF(Partidos!$C$2:$C$1401,N53,Partidos!$F$2:$F$1401)+SUMIF(Partidos!$D$2:$D$1401,N53,Partidos!$E$2:$E$1401))</f>
        <v/>
      </c>
      <c r="U53" s="4" t="str">
        <f t="shared" si="36"/>
        <v/>
      </c>
      <c r="V53" s="4" t="str">
        <f t="shared" si="37"/>
        <v/>
      </c>
      <c r="W53" s="4" t="str">
        <f t="shared" si="38"/>
        <v/>
      </c>
      <c r="X53" s="4" t="str">
        <f t="shared" si="39"/>
        <v/>
      </c>
      <c r="Y53" s="4" t="str">
        <f t="shared" si="40"/>
        <v/>
      </c>
      <c r="Z53" s="4" t="str">
        <f t="shared" si="41"/>
        <v/>
      </c>
      <c r="AA53" s="4" t="str">
        <f t="shared" si="42"/>
        <v/>
      </c>
      <c r="AB53" s="4" t="str">
        <f t="shared" si="43"/>
        <v/>
      </c>
      <c r="AC53" s="4" t="str">
        <f t="shared" si="44"/>
        <v/>
      </c>
      <c r="AD53" s="4" t="str">
        <f>IF(OR(N53="",Y53=""),"",IF(Y53&lt;1,"",IFERROR(MATCH($N53&amp;"|"&amp;Y53,Partidos!$Y:$Y,0),IFERROR(MATCH($N53&amp;"|"&amp;Y53,Partidos!$Z:$Z,0),""))))</f>
        <v/>
      </c>
      <c r="AE53" s="4" t="str">
        <f>IF(OR(N53="",Z53=""),"",IF(Z53&lt;1,"",IFERROR(MATCH($N53&amp;"|"&amp;Z53,Partidos!$Y:$Y,0),IFERROR(MATCH($N53&amp;"|"&amp;Z53,Partidos!$Z:$Z,0),""))))</f>
        <v/>
      </c>
      <c r="AF53" s="4" t="str">
        <f>IF(OR(N53="",AA53=""),"",IF(AA53&lt;1,"",IFERROR(MATCH($N53&amp;"|"&amp;AA53,Partidos!$Y:$Y,0),IFERROR(MATCH($N53&amp;"|"&amp;AA53,Partidos!$Z:$Z,0),""))))</f>
        <v/>
      </c>
      <c r="AG53" s="4" t="str">
        <f>IF(OR(N53="",AB53=""),"",IF(AB53&lt;1,"",IFERROR(MATCH($N53&amp;"|"&amp;AB53,Partidos!$Y:$Y,0),IFERROR(MATCH($N53&amp;"|"&amp;AB53,Partidos!$Z:$Z,0),""))))</f>
        <v/>
      </c>
      <c r="AH53" s="4" t="str">
        <f>IF(OR(N53="",AC53=""),"",IF(AC53&lt;1,"",IFERROR(MATCH($N53&amp;"|"&amp;AC53,Partidos!$Y:$Y,0),IFERROR(MATCH($N53&amp;"|"&amp;AC53,Partidos!$Z:$Z,0),""))))</f>
        <v/>
      </c>
      <c r="AI53" s="4" t="str">
        <f>IF(AD53="","",IF(INDEX(Partidos!$C:$C,AD53)=$N53,IF(INDEX(Partidos!$E:$E,AD53)&gt;INDEX(Partidos!$F:$F,AD53),"V",IF(INDEX(Partidos!$E:$E,AD53)=INDEX(Partidos!$F:$F,AD53),"E","P")),IF(INDEX(Partidos!$F:$F,AD53)&gt;INDEX(Partidos!$E:$E,AD53),"V",IF(INDEX(Partidos!$F:$F,AD53)=INDEX(Partidos!$E:$E,AD53),"E","P"))))</f>
        <v/>
      </c>
      <c r="AJ53" s="4" t="str">
        <f>IF(AE53="","",IF(INDEX(Partidos!$C:$C,AE53)=$N53,IF(INDEX(Partidos!$E:$E,AE53)&gt;INDEX(Partidos!$F:$F,AE53),"V",IF(INDEX(Partidos!$E:$E,AE53)=INDEX(Partidos!$F:$F,AE53),"E","P")),IF(INDEX(Partidos!$F:$F,AE53)&gt;INDEX(Partidos!$E:$E,AE53),"V",IF(INDEX(Partidos!$F:$F,AE53)=INDEX(Partidos!$E:$E,AE53),"E","P"))))</f>
        <v/>
      </c>
      <c r="AK53" s="4" t="str">
        <f>IF(AF53="","",IF(INDEX(Partidos!$C:$C,AF53)=$N53,IF(INDEX(Partidos!$E:$E,AF53)&gt;INDEX(Partidos!$F:$F,AF53),"V",IF(INDEX(Partidos!$E:$E,AF53)=INDEX(Partidos!$F:$F,AF53),"E","P")),IF(INDEX(Partidos!$F:$F,AF53)&gt;INDEX(Partidos!$E:$E,AF53),"V",IF(INDEX(Partidos!$F:$F,AF53)=INDEX(Partidos!$E:$E,AF53),"E","P"))))</f>
        <v/>
      </c>
      <c r="AL53" s="4" t="str">
        <f>IF(AG53="","",IF(INDEX(Partidos!$C:$C,AG53)=$N53,IF(INDEX(Partidos!$E:$E,AG53)&gt;INDEX(Partidos!$F:$F,AG53),"V",IF(INDEX(Partidos!$E:$E,AG53)=INDEX(Partidos!$F:$F,AG53),"E","P")),IF(INDEX(Partidos!$F:$F,AG53)&gt;INDEX(Partidos!$E:$E,AG53),"V",IF(INDEX(Partidos!$F:$F,AG53)=INDEX(Partidos!$E:$E,AG53),"E","P"))))</f>
        <v/>
      </c>
      <c r="AM53" s="4" t="str">
        <f>IF(AH53="","",IF(INDEX(Partidos!$C:$C,AH53)=$N53,IF(INDEX(Partidos!$E:$E,AH53)&gt;INDEX(Partidos!$F:$F,AH53),"V",IF(INDEX(Partidos!$E:$E,AH53)=INDEX(Partidos!$F:$F,AH53),"E","P")),IF(INDEX(Partidos!$F:$F,AH53)&gt;INDEX(Partidos!$E:$E,AH53),"V",IF(INDEX(Partidos!$F:$F,AH53)=INDEX(Partidos!$E:$E,AH53),"E","P"))))</f>
        <v/>
      </c>
      <c r="AN53" s="4" t="str">
        <f t="shared" si="45"/>
        <v/>
      </c>
      <c r="AO53" s="4" t="str">
        <f t="shared" si="46"/>
        <v/>
      </c>
      <c r="AP53" s="4" t="str">
        <f>IF(AO53=1,SUMPRODUCT(($AO$2:AO53=1)*1),"")</f>
        <v/>
      </c>
      <c r="AQ53" s="4" t="str">
        <f t="shared" si="47"/>
        <v/>
      </c>
      <c r="AR53" s="4" t="str">
        <f t="shared" si="48"/>
        <v/>
      </c>
      <c r="AS53" s="4" t="str">
        <f>IF(AR53=1,SUMPRODUCT(($AR$2:AR53=1)*1),"")</f>
        <v/>
      </c>
      <c r="AT53" s="4" t="str">
        <f t="shared" si="49"/>
        <v/>
      </c>
    </row>
    <row r="54" spans="1:46" ht="15" customHeight="1" x14ac:dyDescent="0.25">
      <c r="A54" t="str">
        <f>IF(COUNT($X$2:$X$61)&gt;=53,53,"")</f>
        <v/>
      </c>
      <c r="B54" t="str">
        <f t="shared" si="25"/>
        <v/>
      </c>
      <c r="C54" t="str">
        <f t="shared" si="26"/>
        <v/>
      </c>
      <c r="D54" t="str">
        <f t="shared" si="27"/>
        <v/>
      </c>
      <c r="E54" t="str">
        <f t="shared" si="28"/>
        <v/>
      </c>
      <c r="F54" t="str">
        <f t="shared" si="29"/>
        <v/>
      </c>
      <c r="G54" t="str">
        <f t="shared" si="30"/>
        <v/>
      </c>
      <c r="H54" t="str">
        <f t="shared" si="31"/>
        <v/>
      </c>
      <c r="I54" t="str">
        <f t="shared" si="32"/>
        <v/>
      </c>
      <c r="J54" t="str">
        <f t="shared" si="33"/>
        <v/>
      </c>
      <c r="K54" t="str">
        <f t="shared" si="34"/>
        <v/>
      </c>
      <c r="N54" s="4" t="str">
        <f>IFERROR(INDEX(Partidos!$C$2:$C$1401,MATCH("TEAM|53",Partidos!$AE$2:$AE$1401,0)),IFERROR(INDEX(Partidos!$D$2:$D$1401,MATCH("TEAM|53",Partidos!$AF$2:$AF$1401,0)),""))</f>
        <v/>
      </c>
      <c r="O54" s="4" t="str">
        <f>IF(N54="","",COUNTIF(Partidos!$C$2:$C$1401,N54)+COUNTIF(Partidos!$D$2:$D$1401,N54))</f>
        <v/>
      </c>
      <c r="P54" s="4" t="str">
        <f>IF(N54="","",SUMPRODUCT((Partidos!$C$2:$C$1401=N54)*(Partidos!$E$2:$E$1401&gt;Partidos!$F$2:$F$1401))+SUMPRODUCT((Partidos!$D$2:$D$1401=N54)*(Partidos!$F$2:$F$1401&gt;Partidos!$E$2:$E$1401)))</f>
        <v/>
      </c>
      <c r="Q54" s="4" t="str">
        <f>IF(N54="","",SUMPRODUCT((((Partidos!$C$2:$C$1401=N54)+(Partidos!$D$2:$D$1401=N54)))*(Partidos!$E$2:$E$1401=Partidos!$F$2:$F$1401)*(Partidos!$C$2:$C$1401&lt;&gt;"")))</f>
        <v/>
      </c>
      <c r="R54" s="4" t="str">
        <f t="shared" si="35"/>
        <v/>
      </c>
      <c r="S54" s="4" t="str">
        <f>IF(N54="","",SUMIF(Partidos!$C$2:$C$1401,N54,Partidos!$E$2:$E$1401)+SUMIF(Partidos!$D$2:$D$1401,N54,Partidos!$F$2:$F$1401))</f>
        <v/>
      </c>
      <c r="T54" s="4" t="str">
        <f>IF(N54="","",SUMIF(Partidos!$C$2:$C$1401,N54,Partidos!$F$2:$F$1401)+SUMIF(Partidos!$D$2:$D$1401,N54,Partidos!$E$2:$E$1401))</f>
        <v/>
      </c>
      <c r="U54" s="4" t="str">
        <f t="shared" si="36"/>
        <v/>
      </c>
      <c r="V54" s="4" t="str">
        <f t="shared" si="37"/>
        <v/>
      </c>
      <c r="W54" s="4" t="str">
        <f t="shared" si="38"/>
        <v/>
      </c>
      <c r="X54" s="4" t="str">
        <f t="shared" si="39"/>
        <v/>
      </c>
      <c r="Y54" s="4" t="str">
        <f t="shared" si="40"/>
        <v/>
      </c>
      <c r="Z54" s="4" t="str">
        <f t="shared" si="41"/>
        <v/>
      </c>
      <c r="AA54" s="4" t="str">
        <f t="shared" si="42"/>
        <v/>
      </c>
      <c r="AB54" s="4" t="str">
        <f t="shared" si="43"/>
        <v/>
      </c>
      <c r="AC54" s="4" t="str">
        <f t="shared" si="44"/>
        <v/>
      </c>
      <c r="AD54" s="4" t="str">
        <f>IF(OR(N54="",Y54=""),"",IF(Y54&lt;1,"",IFERROR(MATCH($N54&amp;"|"&amp;Y54,Partidos!$Y:$Y,0),IFERROR(MATCH($N54&amp;"|"&amp;Y54,Partidos!$Z:$Z,0),""))))</f>
        <v/>
      </c>
      <c r="AE54" s="4" t="str">
        <f>IF(OR(N54="",Z54=""),"",IF(Z54&lt;1,"",IFERROR(MATCH($N54&amp;"|"&amp;Z54,Partidos!$Y:$Y,0),IFERROR(MATCH($N54&amp;"|"&amp;Z54,Partidos!$Z:$Z,0),""))))</f>
        <v/>
      </c>
      <c r="AF54" s="4" t="str">
        <f>IF(OR(N54="",AA54=""),"",IF(AA54&lt;1,"",IFERROR(MATCH($N54&amp;"|"&amp;AA54,Partidos!$Y:$Y,0),IFERROR(MATCH($N54&amp;"|"&amp;AA54,Partidos!$Z:$Z,0),""))))</f>
        <v/>
      </c>
      <c r="AG54" s="4" t="str">
        <f>IF(OR(N54="",AB54=""),"",IF(AB54&lt;1,"",IFERROR(MATCH($N54&amp;"|"&amp;AB54,Partidos!$Y:$Y,0),IFERROR(MATCH($N54&amp;"|"&amp;AB54,Partidos!$Z:$Z,0),""))))</f>
        <v/>
      </c>
      <c r="AH54" s="4" t="str">
        <f>IF(OR(N54="",AC54=""),"",IF(AC54&lt;1,"",IFERROR(MATCH($N54&amp;"|"&amp;AC54,Partidos!$Y:$Y,0),IFERROR(MATCH($N54&amp;"|"&amp;AC54,Partidos!$Z:$Z,0),""))))</f>
        <v/>
      </c>
      <c r="AI54" s="4" t="str">
        <f>IF(AD54="","",IF(INDEX(Partidos!$C:$C,AD54)=$N54,IF(INDEX(Partidos!$E:$E,AD54)&gt;INDEX(Partidos!$F:$F,AD54),"V",IF(INDEX(Partidos!$E:$E,AD54)=INDEX(Partidos!$F:$F,AD54),"E","P")),IF(INDEX(Partidos!$F:$F,AD54)&gt;INDEX(Partidos!$E:$E,AD54),"V",IF(INDEX(Partidos!$F:$F,AD54)=INDEX(Partidos!$E:$E,AD54),"E","P"))))</f>
        <v/>
      </c>
      <c r="AJ54" s="4" t="str">
        <f>IF(AE54="","",IF(INDEX(Partidos!$C:$C,AE54)=$N54,IF(INDEX(Partidos!$E:$E,AE54)&gt;INDEX(Partidos!$F:$F,AE54),"V",IF(INDEX(Partidos!$E:$E,AE54)=INDEX(Partidos!$F:$F,AE54),"E","P")),IF(INDEX(Partidos!$F:$F,AE54)&gt;INDEX(Partidos!$E:$E,AE54),"V",IF(INDEX(Partidos!$F:$F,AE54)=INDEX(Partidos!$E:$E,AE54),"E","P"))))</f>
        <v/>
      </c>
      <c r="AK54" s="4" t="str">
        <f>IF(AF54="","",IF(INDEX(Partidos!$C:$C,AF54)=$N54,IF(INDEX(Partidos!$E:$E,AF54)&gt;INDEX(Partidos!$F:$F,AF54),"V",IF(INDEX(Partidos!$E:$E,AF54)=INDEX(Partidos!$F:$F,AF54),"E","P")),IF(INDEX(Partidos!$F:$F,AF54)&gt;INDEX(Partidos!$E:$E,AF54),"V",IF(INDEX(Partidos!$F:$F,AF54)=INDEX(Partidos!$E:$E,AF54),"E","P"))))</f>
        <v/>
      </c>
      <c r="AL54" s="4" t="str">
        <f>IF(AG54="","",IF(INDEX(Partidos!$C:$C,AG54)=$N54,IF(INDEX(Partidos!$E:$E,AG54)&gt;INDEX(Partidos!$F:$F,AG54),"V",IF(INDEX(Partidos!$E:$E,AG54)=INDEX(Partidos!$F:$F,AG54),"E","P")),IF(INDEX(Partidos!$F:$F,AG54)&gt;INDEX(Partidos!$E:$E,AG54),"V",IF(INDEX(Partidos!$F:$F,AG54)=INDEX(Partidos!$E:$E,AG54),"E","P"))))</f>
        <v/>
      </c>
      <c r="AM54" s="4" t="str">
        <f>IF(AH54="","",IF(INDEX(Partidos!$C:$C,AH54)=$N54,IF(INDEX(Partidos!$E:$E,AH54)&gt;INDEX(Partidos!$F:$F,AH54),"V",IF(INDEX(Partidos!$E:$E,AH54)=INDEX(Partidos!$F:$F,AH54),"E","P")),IF(INDEX(Partidos!$F:$F,AH54)&gt;INDEX(Partidos!$E:$E,AH54),"V",IF(INDEX(Partidos!$F:$F,AH54)=INDEX(Partidos!$E:$E,AH54),"E","P"))))</f>
        <v/>
      </c>
      <c r="AN54" s="4" t="str">
        <f t="shared" si="45"/>
        <v/>
      </c>
      <c r="AO54" s="4" t="str">
        <f t="shared" si="46"/>
        <v/>
      </c>
      <c r="AP54" s="4" t="str">
        <f>IF(AO54=1,SUMPRODUCT(($AO$2:AO54=1)*1),"")</f>
        <v/>
      </c>
      <c r="AQ54" s="4" t="str">
        <f t="shared" si="47"/>
        <v/>
      </c>
      <c r="AR54" s="4" t="str">
        <f t="shared" si="48"/>
        <v/>
      </c>
      <c r="AS54" s="4" t="str">
        <f>IF(AR54=1,SUMPRODUCT(($AR$2:AR54=1)*1),"")</f>
        <v/>
      </c>
      <c r="AT54" s="4" t="str">
        <f t="shared" si="49"/>
        <v/>
      </c>
    </row>
    <row r="55" spans="1:46" ht="15" customHeight="1" x14ac:dyDescent="0.25">
      <c r="A55" t="str">
        <f>IF(COUNT($X$2:$X$61)&gt;=54,54,"")</f>
        <v/>
      </c>
      <c r="B55" t="str">
        <f t="shared" si="25"/>
        <v/>
      </c>
      <c r="C55" t="str">
        <f t="shared" si="26"/>
        <v/>
      </c>
      <c r="D55" t="str">
        <f t="shared" si="27"/>
        <v/>
      </c>
      <c r="E55" t="str">
        <f t="shared" si="28"/>
        <v/>
      </c>
      <c r="F55" t="str">
        <f t="shared" si="29"/>
        <v/>
      </c>
      <c r="G55" t="str">
        <f t="shared" si="30"/>
        <v/>
      </c>
      <c r="H55" t="str">
        <f t="shared" si="31"/>
        <v/>
      </c>
      <c r="I55" t="str">
        <f t="shared" si="32"/>
        <v/>
      </c>
      <c r="J55" t="str">
        <f t="shared" si="33"/>
        <v/>
      </c>
      <c r="K55" t="str">
        <f t="shared" si="34"/>
        <v/>
      </c>
      <c r="N55" s="4" t="str">
        <f>IFERROR(INDEX(Partidos!$C$2:$C$1401,MATCH("TEAM|54",Partidos!$AE$2:$AE$1401,0)),IFERROR(INDEX(Partidos!$D$2:$D$1401,MATCH("TEAM|54",Partidos!$AF$2:$AF$1401,0)),""))</f>
        <v/>
      </c>
      <c r="O55" s="4" t="str">
        <f>IF(N55="","",COUNTIF(Partidos!$C$2:$C$1401,N55)+COUNTIF(Partidos!$D$2:$D$1401,N55))</f>
        <v/>
      </c>
      <c r="P55" s="4" t="str">
        <f>IF(N55="","",SUMPRODUCT((Partidos!$C$2:$C$1401=N55)*(Partidos!$E$2:$E$1401&gt;Partidos!$F$2:$F$1401))+SUMPRODUCT((Partidos!$D$2:$D$1401=N55)*(Partidos!$F$2:$F$1401&gt;Partidos!$E$2:$E$1401)))</f>
        <v/>
      </c>
      <c r="Q55" s="4" t="str">
        <f>IF(N55="","",SUMPRODUCT((((Partidos!$C$2:$C$1401=N55)+(Partidos!$D$2:$D$1401=N55)))*(Partidos!$E$2:$E$1401=Partidos!$F$2:$F$1401)*(Partidos!$C$2:$C$1401&lt;&gt;"")))</f>
        <v/>
      </c>
      <c r="R55" s="4" t="str">
        <f t="shared" si="35"/>
        <v/>
      </c>
      <c r="S55" s="4" t="str">
        <f>IF(N55="","",SUMIF(Partidos!$C$2:$C$1401,N55,Partidos!$E$2:$E$1401)+SUMIF(Partidos!$D$2:$D$1401,N55,Partidos!$F$2:$F$1401))</f>
        <v/>
      </c>
      <c r="T55" s="4" t="str">
        <f>IF(N55="","",SUMIF(Partidos!$C$2:$C$1401,N55,Partidos!$F$2:$F$1401)+SUMIF(Partidos!$D$2:$D$1401,N55,Partidos!$E$2:$E$1401))</f>
        <v/>
      </c>
      <c r="U55" s="4" t="str">
        <f t="shared" si="36"/>
        <v/>
      </c>
      <c r="V55" s="4" t="str">
        <f t="shared" si="37"/>
        <v/>
      </c>
      <c r="W55" s="4" t="str">
        <f t="shared" si="38"/>
        <v/>
      </c>
      <c r="X55" s="4" t="str">
        <f t="shared" si="39"/>
        <v/>
      </c>
      <c r="Y55" s="4" t="str">
        <f t="shared" si="40"/>
        <v/>
      </c>
      <c r="Z55" s="4" t="str">
        <f t="shared" si="41"/>
        <v/>
      </c>
      <c r="AA55" s="4" t="str">
        <f t="shared" si="42"/>
        <v/>
      </c>
      <c r="AB55" s="4" t="str">
        <f t="shared" si="43"/>
        <v/>
      </c>
      <c r="AC55" s="4" t="str">
        <f t="shared" si="44"/>
        <v/>
      </c>
      <c r="AD55" s="4" t="str">
        <f>IF(OR(N55="",Y55=""),"",IF(Y55&lt;1,"",IFERROR(MATCH($N55&amp;"|"&amp;Y55,Partidos!$Y:$Y,0),IFERROR(MATCH($N55&amp;"|"&amp;Y55,Partidos!$Z:$Z,0),""))))</f>
        <v/>
      </c>
      <c r="AE55" s="4" t="str">
        <f>IF(OR(N55="",Z55=""),"",IF(Z55&lt;1,"",IFERROR(MATCH($N55&amp;"|"&amp;Z55,Partidos!$Y:$Y,0),IFERROR(MATCH($N55&amp;"|"&amp;Z55,Partidos!$Z:$Z,0),""))))</f>
        <v/>
      </c>
      <c r="AF55" s="4" t="str">
        <f>IF(OR(N55="",AA55=""),"",IF(AA55&lt;1,"",IFERROR(MATCH($N55&amp;"|"&amp;AA55,Partidos!$Y:$Y,0),IFERROR(MATCH($N55&amp;"|"&amp;AA55,Partidos!$Z:$Z,0),""))))</f>
        <v/>
      </c>
      <c r="AG55" s="4" t="str">
        <f>IF(OR(N55="",AB55=""),"",IF(AB55&lt;1,"",IFERROR(MATCH($N55&amp;"|"&amp;AB55,Partidos!$Y:$Y,0),IFERROR(MATCH($N55&amp;"|"&amp;AB55,Partidos!$Z:$Z,0),""))))</f>
        <v/>
      </c>
      <c r="AH55" s="4" t="str">
        <f>IF(OR(N55="",AC55=""),"",IF(AC55&lt;1,"",IFERROR(MATCH($N55&amp;"|"&amp;AC55,Partidos!$Y:$Y,0),IFERROR(MATCH($N55&amp;"|"&amp;AC55,Partidos!$Z:$Z,0),""))))</f>
        <v/>
      </c>
      <c r="AI55" s="4" t="str">
        <f>IF(AD55="","",IF(INDEX(Partidos!$C:$C,AD55)=$N55,IF(INDEX(Partidos!$E:$E,AD55)&gt;INDEX(Partidos!$F:$F,AD55),"V",IF(INDEX(Partidos!$E:$E,AD55)=INDEX(Partidos!$F:$F,AD55),"E","P")),IF(INDEX(Partidos!$F:$F,AD55)&gt;INDEX(Partidos!$E:$E,AD55),"V",IF(INDEX(Partidos!$F:$F,AD55)=INDEX(Partidos!$E:$E,AD55),"E","P"))))</f>
        <v/>
      </c>
      <c r="AJ55" s="4" t="str">
        <f>IF(AE55="","",IF(INDEX(Partidos!$C:$C,AE55)=$N55,IF(INDEX(Partidos!$E:$E,AE55)&gt;INDEX(Partidos!$F:$F,AE55),"V",IF(INDEX(Partidos!$E:$E,AE55)=INDEX(Partidos!$F:$F,AE55),"E","P")),IF(INDEX(Partidos!$F:$F,AE55)&gt;INDEX(Partidos!$E:$E,AE55),"V",IF(INDEX(Partidos!$F:$F,AE55)=INDEX(Partidos!$E:$E,AE55),"E","P"))))</f>
        <v/>
      </c>
      <c r="AK55" s="4" t="str">
        <f>IF(AF55="","",IF(INDEX(Partidos!$C:$C,AF55)=$N55,IF(INDEX(Partidos!$E:$E,AF55)&gt;INDEX(Partidos!$F:$F,AF55),"V",IF(INDEX(Partidos!$E:$E,AF55)=INDEX(Partidos!$F:$F,AF55),"E","P")),IF(INDEX(Partidos!$F:$F,AF55)&gt;INDEX(Partidos!$E:$E,AF55),"V",IF(INDEX(Partidos!$F:$F,AF55)=INDEX(Partidos!$E:$E,AF55),"E","P"))))</f>
        <v/>
      </c>
      <c r="AL55" s="4" t="str">
        <f>IF(AG55="","",IF(INDEX(Partidos!$C:$C,AG55)=$N55,IF(INDEX(Partidos!$E:$E,AG55)&gt;INDEX(Partidos!$F:$F,AG55),"V",IF(INDEX(Partidos!$E:$E,AG55)=INDEX(Partidos!$F:$F,AG55),"E","P")),IF(INDEX(Partidos!$F:$F,AG55)&gt;INDEX(Partidos!$E:$E,AG55),"V",IF(INDEX(Partidos!$F:$F,AG55)=INDEX(Partidos!$E:$E,AG55),"E","P"))))</f>
        <v/>
      </c>
      <c r="AM55" s="4" t="str">
        <f>IF(AH55="","",IF(INDEX(Partidos!$C:$C,AH55)=$N55,IF(INDEX(Partidos!$E:$E,AH55)&gt;INDEX(Partidos!$F:$F,AH55),"V",IF(INDEX(Partidos!$E:$E,AH55)=INDEX(Partidos!$F:$F,AH55),"E","P")),IF(INDEX(Partidos!$F:$F,AH55)&gt;INDEX(Partidos!$E:$E,AH55),"V",IF(INDEX(Partidos!$F:$F,AH55)=INDEX(Partidos!$E:$E,AH55),"E","P"))))</f>
        <v/>
      </c>
      <c r="AN55" s="4" t="str">
        <f t="shared" si="45"/>
        <v/>
      </c>
      <c r="AO55" s="4" t="str">
        <f t="shared" si="46"/>
        <v/>
      </c>
      <c r="AP55" s="4" t="str">
        <f>IF(AO55=1,SUMPRODUCT(($AO$2:AO55=1)*1),"")</f>
        <v/>
      </c>
      <c r="AQ55" s="4" t="str">
        <f t="shared" si="47"/>
        <v/>
      </c>
      <c r="AR55" s="4" t="str">
        <f t="shared" si="48"/>
        <v/>
      </c>
      <c r="AS55" s="4" t="str">
        <f>IF(AR55=1,SUMPRODUCT(($AR$2:AR55=1)*1),"")</f>
        <v/>
      </c>
      <c r="AT55" s="4" t="str">
        <f t="shared" si="49"/>
        <v/>
      </c>
    </row>
    <row r="56" spans="1:46" ht="15" customHeight="1" x14ac:dyDescent="0.25">
      <c r="A56" t="str">
        <f>IF(COUNT($X$2:$X$61)&gt;=55,55,"")</f>
        <v/>
      </c>
      <c r="B56" t="str">
        <f t="shared" si="25"/>
        <v/>
      </c>
      <c r="C56" t="str">
        <f t="shared" si="26"/>
        <v/>
      </c>
      <c r="D56" t="str">
        <f t="shared" si="27"/>
        <v/>
      </c>
      <c r="E56" t="str">
        <f t="shared" si="28"/>
        <v/>
      </c>
      <c r="F56" t="str">
        <f t="shared" si="29"/>
        <v/>
      </c>
      <c r="G56" t="str">
        <f t="shared" si="30"/>
        <v/>
      </c>
      <c r="H56" t="str">
        <f t="shared" si="31"/>
        <v/>
      </c>
      <c r="I56" t="str">
        <f t="shared" si="32"/>
        <v/>
      </c>
      <c r="J56" t="str">
        <f t="shared" si="33"/>
        <v/>
      </c>
      <c r="K56" t="str">
        <f t="shared" si="34"/>
        <v/>
      </c>
      <c r="N56" s="4" t="str">
        <f>IFERROR(INDEX(Partidos!$C$2:$C$1401,MATCH("TEAM|55",Partidos!$AE$2:$AE$1401,0)),IFERROR(INDEX(Partidos!$D$2:$D$1401,MATCH("TEAM|55",Partidos!$AF$2:$AF$1401,0)),""))</f>
        <v/>
      </c>
      <c r="O56" s="4" t="str">
        <f>IF(N56="","",COUNTIF(Partidos!$C$2:$C$1401,N56)+COUNTIF(Partidos!$D$2:$D$1401,N56))</f>
        <v/>
      </c>
      <c r="P56" s="4" t="str">
        <f>IF(N56="","",SUMPRODUCT((Partidos!$C$2:$C$1401=N56)*(Partidos!$E$2:$E$1401&gt;Partidos!$F$2:$F$1401))+SUMPRODUCT((Partidos!$D$2:$D$1401=N56)*(Partidos!$F$2:$F$1401&gt;Partidos!$E$2:$E$1401)))</f>
        <v/>
      </c>
      <c r="Q56" s="4" t="str">
        <f>IF(N56="","",SUMPRODUCT((((Partidos!$C$2:$C$1401=N56)+(Partidos!$D$2:$D$1401=N56)))*(Partidos!$E$2:$E$1401=Partidos!$F$2:$F$1401)*(Partidos!$C$2:$C$1401&lt;&gt;"")))</f>
        <v/>
      </c>
      <c r="R56" s="4" t="str">
        <f t="shared" si="35"/>
        <v/>
      </c>
      <c r="S56" s="4" t="str">
        <f>IF(N56="","",SUMIF(Partidos!$C$2:$C$1401,N56,Partidos!$E$2:$E$1401)+SUMIF(Partidos!$D$2:$D$1401,N56,Partidos!$F$2:$F$1401))</f>
        <v/>
      </c>
      <c r="T56" s="4" t="str">
        <f>IF(N56="","",SUMIF(Partidos!$C$2:$C$1401,N56,Partidos!$F$2:$F$1401)+SUMIF(Partidos!$D$2:$D$1401,N56,Partidos!$E$2:$E$1401))</f>
        <v/>
      </c>
      <c r="U56" s="4" t="str">
        <f t="shared" si="36"/>
        <v/>
      </c>
      <c r="V56" s="4" t="str">
        <f t="shared" si="37"/>
        <v/>
      </c>
      <c r="W56" s="4" t="str">
        <f t="shared" si="38"/>
        <v/>
      </c>
      <c r="X56" s="4" t="str">
        <f t="shared" si="39"/>
        <v/>
      </c>
      <c r="Y56" s="4" t="str">
        <f t="shared" si="40"/>
        <v/>
      </c>
      <c r="Z56" s="4" t="str">
        <f t="shared" si="41"/>
        <v/>
      </c>
      <c r="AA56" s="4" t="str">
        <f t="shared" si="42"/>
        <v/>
      </c>
      <c r="AB56" s="4" t="str">
        <f t="shared" si="43"/>
        <v/>
      </c>
      <c r="AC56" s="4" t="str">
        <f t="shared" si="44"/>
        <v/>
      </c>
      <c r="AD56" s="4" t="str">
        <f>IF(OR(N56="",Y56=""),"",IF(Y56&lt;1,"",IFERROR(MATCH($N56&amp;"|"&amp;Y56,Partidos!$Y:$Y,0),IFERROR(MATCH($N56&amp;"|"&amp;Y56,Partidos!$Z:$Z,0),""))))</f>
        <v/>
      </c>
      <c r="AE56" s="4" t="str">
        <f>IF(OR(N56="",Z56=""),"",IF(Z56&lt;1,"",IFERROR(MATCH($N56&amp;"|"&amp;Z56,Partidos!$Y:$Y,0),IFERROR(MATCH($N56&amp;"|"&amp;Z56,Partidos!$Z:$Z,0),""))))</f>
        <v/>
      </c>
      <c r="AF56" s="4" t="str">
        <f>IF(OR(N56="",AA56=""),"",IF(AA56&lt;1,"",IFERROR(MATCH($N56&amp;"|"&amp;AA56,Partidos!$Y:$Y,0),IFERROR(MATCH($N56&amp;"|"&amp;AA56,Partidos!$Z:$Z,0),""))))</f>
        <v/>
      </c>
      <c r="AG56" s="4" t="str">
        <f>IF(OR(N56="",AB56=""),"",IF(AB56&lt;1,"",IFERROR(MATCH($N56&amp;"|"&amp;AB56,Partidos!$Y:$Y,0),IFERROR(MATCH($N56&amp;"|"&amp;AB56,Partidos!$Z:$Z,0),""))))</f>
        <v/>
      </c>
      <c r="AH56" s="4" t="str">
        <f>IF(OR(N56="",AC56=""),"",IF(AC56&lt;1,"",IFERROR(MATCH($N56&amp;"|"&amp;AC56,Partidos!$Y:$Y,0),IFERROR(MATCH($N56&amp;"|"&amp;AC56,Partidos!$Z:$Z,0),""))))</f>
        <v/>
      </c>
      <c r="AI56" s="4" t="str">
        <f>IF(AD56="","",IF(INDEX(Partidos!$C:$C,AD56)=$N56,IF(INDEX(Partidos!$E:$E,AD56)&gt;INDEX(Partidos!$F:$F,AD56),"V",IF(INDEX(Partidos!$E:$E,AD56)=INDEX(Partidos!$F:$F,AD56),"E","P")),IF(INDEX(Partidos!$F:$F,AD56)&gt;INDEX(Partidos!$E:$E,AD56),"V",IF(INDEX(Partidos!$F:$F,AD56)=INDEX(Partidos!$E:$E,AD56),"E","P"))))</f>
        <v/>
      </c>
      <c r="AJ56" s="4" t="str">
        <f>IF(AE56="","",IF(INDEX(Partidos!$C:$C,AE56)=$N56,IF(INDEX(Partidos!$E:$E,AE56)&gt;INDEX(Partidos!$F:$F,AE56),"V",IF(INDEX(Partidos!$E:$E,AE56)=INDEX(Partidos!$F:$F,AE56),"E","P")),IF(INDEX(Partidos!$F:$F,AE56)&gt;INDEX(Partidos!$E:$E,AE56),"V",IF(INDEX(Partidos!$F:$F,AE56)=INDEX(Partidos!$E:$E,AE56),"E","P"))))</f>
        <v/>
      </c>
      <c r="AK56" s="4" t="str">
        <f>IF(AF56="","",IF(INDEX(Partidos!$C:$C,AF56)=$N56,IF(INDEX(Partidos!$E:$E,AF56)&gt;INDEX(Partidos!$F:$F,AF56),"V",IF(INDEX(Partidos!$E:$E,AF56)=INDEX(Partidos!$F:$F,AF56),"E","P")),IF(INDEX(Partidos!$F:$F,AF56)&gt;INDEX(Partidos!$E:$E,AF56),"V",IF(INDEX(Partidos!$F:$F,AF56)=INDEX(Partidos!$E:$E,AF56),"E","P"))))</f>
        <v/>
      </c>
      <c r="AL56" s="4" t="str">
        <f>IF(AG56="","",IF(INDEX(Partidos!$C:$C,AG56)=$N56,IF(INDEX(Partidos!$E:$E,AG56)&gt;INDEX(Partidos!$F:$F,AG56),"V",IF(INDEX(Partidos!$E:$E,AG56)=INDEX(Partidos!$F:$F,AG56),"E","P")),IF(INDEX(Partidos!$F:$F,AG56)&gt;INDEX(Partidos!$E:$E,AG56),"V",IF(INDEX(Partidos!$F:$F,AG56)=INDEX(Partidos!$E:$E,AG56),"E","P"))))</f>
        <v/>
      </c>
      <c r="AM56" s="4" t="str">
        <f>IF(AH56="","",IF(INDEX(Partidos!$C:$C,AH56)=$N56,IF(INDEX(Partidos!$E:$E,AH56)&gt;INDEX(Partidos!$F:$F,AH56),"V",IF(INDEX(Partidos!$E:$E,AH56)=INDEX(Partidos!$F:$F,AH56),"E","P")),IF(INDEX(Partidos!$F:$F,AH56)&gt;INDEX(Partidos!$E:$E,AH56),"V",IF(INDEX(Partidos!$F:$F,AH56)=INDEX(Partidos!$E:$E,AH56),"E","P"))))</f>
        <v/>
      </c>
      <c r="AN56" s="4" t="str">
        <f t="shared" si="45"/>
        <v/>
      </c>
      <c r="AO56" s="4" t="str">
        <f t="shared" si="46"/>
        <v/>
      </c>
      <c r="AP56" s="4" t="str">
        <f>IF(AO56=1,SUMPRODUCT(($AO$2:AO56=1)*1),"")</f>
        <v/>
      </c>
      <c r="AQ56" s="4" t="str">
        <f t="shared" si="47"/>
        <v/>
      </c>
      <c r="AR56" s="4" t="str">
        <f t="shared" si="48"/>
        <v/>
      </c>
      <c r="AS56" s="4" t="str">
        <f>IF(AR56=1,SUMPRODUCT(($AR$2:AR56=1)*1),"")</f>
        <v/>
      </c>
      <c r="AT56" s="4" t="str">
        <f t="shared" si="49"/>
        <v/>
      </c>
    </row>
    <row r="57" spans="1:46" ht="15" customHeight="1" x14ac:dyDescent="0.25">
      <c r="A57" t="str">
        <f>IF(COUNT($X$2:$X$61)&gt;=56,56,"")</f>
        <v/>
      </c>
      <c r="B57" t="str">
        <f t="shared" si="25"/>
        <v/>
      </c>
      <c r="C57" t="str">
        <f t="shared" si="26"/>
        <v/>
      </c>
      <c r="D57" t="str">
        <f t="shared" si="27"/>
        <v/>
      </c>
      <c r="E57" t="str">
        <f t="shared" si="28"/>
        <v/>
      </c>
      <c r="F57" t="str">
        <f t="shared" si="29"/>
        <v/>
      </c>
      <c r="G57" t="str">
        <f t="shared" si="30"/>
        <v/>
      </c>
      <c r="H57" t="str">
        <f t="shared" si="31"/>
        <v/>
      </c>
      <c r="I57" t="str">
        <f t="shared" si="32"/>
        <v/>
      </c>
      <c r="J57" t="str">
        <f t="shared" si="33"/>
        <v/>
      </c>
      <c r="K57" t="str">
        <f t="shared" si="34"/>
        <v/>
      </c>
      <c r="N57" s="4" t="str">
        <f>IFERROR(INDEX(Partidos!$C$2:$C$1401,MATCH("TEAM|56",Partidos!$AE$2:$AE$1401,0)),IFERROR(INDEX(Partidos!$D$2:$D$1401,MATCH("TEAM|56",Partidos!$AF$2:$AF$1401,0)),""))</f>
        <v/>
      </c>
      <c r="O57" s="4" t="str">
        <f>IF(N57="","",COUNTIF(Partidos!$C$2:$C$1401,N57)+COUNTIF(Partidos!$D$2:$D$1401,N57))</f>
        <v/>
      </c>
      <c r="P57" s="4" t="str">
        <f>IF(N57="","",SUMPRODUCT((Partidos!$C$2:$C$1401=N57)*(Partidos!$E$2:$E$1401&gt;Partidos!$F$2:$F$1401))+SUMPRODUCT((Partidos!$D$2:$D$1401=N57)*(Partidos!$F$2:$F$1401&gt;Partidos!$E$2:$E$1401)))</f>
        <v/>
      </c>
      <c r="Q57" s="4" t="str">
        <f>IF(N57="","",SUMPRODUCT((((Partidos!$C$2:$C$1401=N57)+(Partidos!$D$2:$D$1401=N57)))*(Partidos!$E$2:$E$1401=Partidos!$F$2:$F$1401)*(Partidos!$C$2:$C$1401&lt;&gt;"")))</f>
        <v/>
      </c>
      <c r="R57" s="4" t="str">
        <f t="shared" si="35"/>
        <v/>
      </c>
      <c r="S57" s="4" t="str">
        <f>IF(N57="","",SUMIF(Partidos!$C$2:$C$1401,N57,Partidos!$E$2:$E$1401)+SUMIF(Partidos!$D$2:$D$1401,N57,Partidos!$F$2:$F$1401))</f>
        <v/>
      </c>
      <c r="T57" s="4" t="str">
        <f>IF(N57="","",SUMIF(Partidos!$C$2:$C$1401,N57,Partidos!$F$2:$F$1401)+SUMIF(Partidos!$D$2:$D$1401,N57,Partidos!$E$2:$E$1401))</f>
        <v/>
      </c>
      <c r="U57" s="4" t="str">
        <f t="shared" si="36"/>
        <v/>
      </c>
      <c r="V57" s="4" t="str">
        <f t="shared" si="37"/>
        <v/>
      </c>
      <c r="W57" s="4" t="str">
        <f t="shared" si="38"/>
        <v/>
      </c>
      <c r="X57" s="4" t="str">
        <f t="shared" si="39"/>
        <v/>
      </c>
      <c r="Y57" s="4" t="str">
        <f t="shared" si="40"/>
        <v/>
      </c>
      <c r="Z57" s="4" t="str">
        <f t="shared" si="41"/>
        <v/>
      </c>
      <c r="AA57" s="4" t="str">
        <f t="shared" si="42"/>
        <v/>
      </c>
      <c r="AB57" s="4" t="str">
        <f t="shared" si="43"/>
        <v/>
      </c>
      <c r="AC57" s="4" t="str">
        <f t="shared" si="44"/>
        <v/>
      </c>
      <c r="AD57" s="4" t="str">
        <f>IF(OR(N57="",Y57=""),"",IF(Y57&lt;1,"",IFERROR(MATCH($N57&amp;"|"&amp;Y57,Partidos!$Y:$Y,0),IFERROR(MATCH($N57&amp;"|"&amp;Y57,Partidos!$Z:$Z,0),""))))</f>
        <v/>
      </c>
      <c r="AE57" s="4" t="str">
        <f>IF(OR(N57="",Z57=""),"",IF(Z57&lt;1,"",IFERROR(MATCH($N57&amp;"|"&amp;Z57,Partidos!$Y:$Y,0),IFERROR(MATCH($N57&amp;"|"&amp;Z57,Partidos!$Z:$Z,0),""))))</f>
        <v/>
      </c>
      <c r="AF57" s="4" t="str">
        <f>IF(OR(N57="",AA57=""),"",IF(AA57&lt;1,"",IFERROR(MATCH($N57&amp;"|"&amp;AA57,Partidos!$Y:$Y,0),IFERROR(MATCH($N57&amp;"|"&amp;AA57,Partidos!$Z:$Z,0),""))))</f>
        <v/>
      </c>
      <c r="AG57" s="4" t="str">
        <f>IF(OR(N57="",AB57=""),"",IF(AB57&lt;1,"",IFERROR(MATCH($N57&amp;"|"&amp;AB57,Partidos!$Y:$Y,0),IFERROR(MATCH($N57&amp;"|"&amp;AB57,Partidos!$Z:$Z,0),""))))</f>
        <v/>
      </c>
      <c r="AH57" s="4" t="str">
        <f>IF(OR(N57="",AC57=""),"",IF(AC57&lt;1,"",IFERROR(MATCH($N57&amp;"|"&amp;AC57,Partidos!$Y:$Y,0),IFERROR(MATCH($N57&amp;"|"&amp;AC57,Partidos!$Z:$Z,0),""))))</f>
        <v/>
      </c>
      <c r="AI57" s="4" t="str">
        <f>IF(AD57="","",IF(INDEX(Partidos!$C:$C,AD57)=$N57,IF(INDEX(Partidos!$E:$E,AD57)&gt;INDEX(Partidos!$F:$F,AD57),"V",IF(INDEX(Partidos!$E:$E,AD57)=INDEX(Partidos!$F:$F,AD57),"E","P")),IF(INDEX(Partidos!$F:$F,AD57)&gt;INDEX(Partidos!$E:$E,AD57),"V",IF(INDEX(Partidos!$F:$F,AD57)=INDEX(Partidos!$E:$E,AD57),"E","P"))))</f>
        <v/>
      </c>
      <c r="AJ57" s="4" t="str">
        <f>IF(AE57="","",IF(INDEX(Partidos!$C:$C,AE57)=$N57,IF(INDEX(Partidos!$E:$E,AE57)&gt;INDEX(Partidos!$F:$F,AE57),"V",IF(INDEX(Partidos!$E:$E,AE57)=INDEX(Partidos!$F:$F,AE57),"E","P")),IF(INDEX(Partidos!$F:$F,AE57)&gt;INDEX(Partidos!$E:$E,AE57),"V",IF(INDEX(Partidos!$F:$F,AE57)=INDEX(Partidos!$E:$E,AE57),"E","P"))))</f>
        <v/>
      </c>
      <c r="AK57" s="4" t="str">
        <f>IF(AF57="","",IF(INDEX(Partidos!$C:$C,AF57)=$N57,IF(INDEX(Partidos!$E:$E,AF57)&gt;INDEX(Partidos!$F:$F,AF57),"V",IF(INDEX(Partidos!$E:$E,AF57)=INDEX(Partidos!$F:$F,AF57),"E","P")),IF(INDEX(Partidos!$F:$F,AF57)&gt;INDEX(Partidos!$E:$E,AF57),"V",IF(INDEX(Partidos!$F:$F,AF57)=INDEX(Partidos!$E:$E,AF57),"E","P"))))</f>
        <v/>
      </c>
      <c r="AL57" s="4" t="str">
        <f>IF(AG57="","",IF(INDEX(Partidos!$C:$C,AG57)=$N57,IF(INDEX(Partidos!$E:$E,AG57)&gt;INDEX(Partidos!$F:$F,AG57),"V",IF(INDEX(Partidos!$E:$E,AG57)=INDEX(Partidos!$F:$F,AG57),"E","P")),IF(INDEX(Partidos!$F:$F,AG57)&gt;INDEX(Partidos!$E:$E,AG57),"V",IF(INDEX(Partidos!$F:$F,AG57)=INDEX(Partidos!$E:$E,AG57),"E","P"))))</f>
        <v/>
      </c>
      <c r="AM57" s="4" t="str">
        <f>IF(AH57="","",IF(INDEX(Partidos!$C:$C,AH57)=$N57,IF(INDEX(Partidos!$E:$E,AH57)&gt;INDEX(Partidos!$F:$F,AH57),"V",IF(INDEX(Partidos!$E:$E,AH57)=INDEX(Partidos!$F:$F,AH57),"E","P")),IF(INDEX(Partidos!$F:$F,AH57)&gt;INDEX(Partidos!$E:$E,AH57),"V",IF(INDEX(Partidos!$F:$F,AH57)=INDEX(Partidos!$E:$E,AH57),"E","P"))))</f>
        <v/>
      </c>
      <c r="AN57" s="4" t="str">
        <f t="shared" si="45"/>
        <v/>
      </c>
      <c r="AO57" s="4" t="str">
        <f t="shared" si="46"/>
        <v/>
      </c>
      <c r="AP57" s="4" t="str">
        <f>IF(AO57=1,SUMPRODUCT(($AO$2:AO57=1)*1),"")</f>
        <v/>
      </c>
      <c r="AQ57" s="4" t="str">
        <f t="shared" si="47"/>
        <v/>
      </c>
      <c r="AR57" s="4" t="str">
        <f t="shared" si="48"/>
        <v/>
      </c>
      <c r="AS57" s="4" t="str">
        <f>IF(AR57=1,SUMPRODUCT(($AR$2:AR57=1)*1),"")</f>
        <v/>
      </c>
      <c r="AT57" s="4" t="str">
        <f t="shared" si="49"/>
        <v/>
      </c>
    </row>
    <row r="58" spans="1:46" ht="15" customHeight="1" x14ac:dyDescent="0.25">
      <c r="A58" t="str">
        <f>IF(COUNT($X$2:$X$61)&gt;=57,57,"")</f>
        <v/>
      </c>
      <c r="B58" t="str">
        <f t="shared" si="25"/>
        <v/>
      </c>
      <c r="C58" t="str">
        <f t="shared" si="26"/>
        <v/>
      </c>
      <c r="D58" t="str">
        <f t="shared" si="27"/>
        <v/>
      </c>
      <c r="E58" t="str">
        <f t="shared" si="28"/>
        <v/>
      </c>
      <c r="F58" t="str">
        <f t="shared" si="29"/>
        <v/>
      </c>
      <c r="G58" t="str">
        <f t="shared" si="30"/>
        <v/>
      </c>
      <c r="H58" t="str">
        <f t="shared" si="31"/>
        <v/>
      </c>
      <c r="I58" t="str">
        <f t="shared" si="32"/>
        <v/>
      </c>
      <c r="J58" t="str">
        <f t="shared" si="33"/>
        <v/>
      </c>
      <c r="K58" t="str">
        <f t="shared" si="34"/>
        <v/>
      </c>
      <c r="N58" s="4" t="str">
        <f>IFERROR(INDEX(Partidos!$C$2:$C$1401,MATCH("TEAM|57",Partidos!$AE$2:$AE$1401,0)),IFERROR(INDEX(Partidos!$D$2:$D$1401,MATCH("TEAM|57",Partidos!$AF$2:$AF$1401,0)),""))</f>
        <v/>
      </c>
      <c r="O58" s="4" t="str">
        <f>IF(N58="","",COUNTIF(Partidos!$C$2:$C$1401,N58)+COUNTIF(Partidos!$D$2:$D$1401,N58))</f>
        <v/>
      </c>
      <c r="P58" s="4" t="str">
        <f>IF(N58="","",SUMPRODUCT((Partidos!$C$2:$C$1401=N58)*(Partidos!$E$2:$E$1401&gt;Partidos!$F$2:$F$1401))+SUMPRODUCT((Partidos!$D$2:$D$1401=N58)*(Partidos!$F$2:$F$1401&gt;Partidos!$E$2:$E$1401)))</f>
        <v/>
      </c>
      <c r="Q58" s="4" t="str">
        <f>IF(N58="","",SUMPRODUCT((((Partidos!$C$2:$C$1401=N58)+(Partidos!$D$2:$D$1401=N58)))*(Partidos!$E$2:$E$1401=Partidos!$F$2:$F$1401)*(Partidos!$C$2:$C$1401&lt;&gt;"")))</f>
        <v/>
      </c>
      <c r="R58" s="4" t="str">
        <f t="shared" si="35"/>
        <v/>
      </c>
      <c r="S58" s="4" t="str">
        <f>IF(N58="","",SUMIF(Partidos!$C$2:$C$1401,N58,Partidos!$E$2:$E$1401)+SUMIF(Partidos!$D$2:$D$1401,N58,Partidos!$F$2:$F$1401))</f>
        <v/>
      </c>
      <c r="T58" s="4" t="str">
        <f>IF(N58="","",SUMIF(Partidos!$C$2:$C$1401,N58,Partidos!$F$2:$F$1401)+SUMIF(Partidos!$D$2:$D$1401,N58,Partidos!$E$2:$E$1401))</f>
        <v/>
      </c>
      <c r="U58" s="4" t="str">
        <f t="shared" si="36"/>
        <v/>
      </c>
      <c r="V58" s="4" t="str">
        <f t="shared" si="37"/>
        <v/>
      </c>
      <c r="W58" s="4" t="str">
        <f t="shared" si="38"/>
        <v/>
      </c>
      <c r="X58" s="4" t="str">
        <f t="shared" si="39"/>
        <v/>
      </c>
      <c r="Y58" s="4" t="str">
        <f t="shared" si="40"/>
        <v/>
      </c>
      <c r="Z58" s="4" t="str">
        <f t="shared" si="41"/>
        <v/>
      </c>
      <c r="AA58" s="4" t="str">
        <f t="shared" si="42"/>
        <v/>
      </c>
      <c r="AB58" s="4" t="str">
        <f t="shared" si="43"/>
        <v/>
      </c>
      <c r="AC58" s="4" t="str">
        <f t="shared" si="44"/>
        <v/>
      </c>
      <c r="AD58" s="4" t="str">
        <f>IF(OR(N58="",Y58=""),"",IF(Y58&lt;1,"",IFERROR(MATCH($N58&amp;"|"&amp;Y58,Partidos!$Y:$Y,0),IFERROR(MATCH($N58&amp;"|"&amp;Y58,Partidos!$Z:$Z,0),""))))</f>
        <v/>
      </c>
      <c r="AE58" s="4" t="str">
        <f>IF(OR(N58="",Z58=""),"",IF(Z58&lt;1,"",IFERROR(MATCH($N58&amp;"|"&amp;Z58,Partidos!$Y:$Y,0),IFERROR(MATCH($N58&amp;"|"&amp;Z58,Partidos!$Z:$Z,0),""))))</f>
        <v/>
      </c>
      <c r="AF58" s="4" t="str">
        <f>IF(OR(N58="",AA58=""),"",IF(AA58&lt;1,"",IFERROR(MATCH($N58&amp;"|"&amp;AA58,Partidos!$Y:$Y,0),IFERROR(MATCH($N58&amp;"|"&amp;AA58,Partidos!$Z:$Z,0),""))))</f>
        <v/>
      </c>
      <c r="AG58" s="4" t="str">
        <f>IF(OR(N58="",AB58=""),"",IF(AB58&lt;1,"",IFERROR(MATCH($N58&amp;"|"&amp;AB58,Partidos!$Y:$Y,0),IFERROR(MATCH($N58&amp;"|"&amp;AB58,Partidos!$Z:$Z,0),""))))</f>
        <v/>
      </c>
      <c r="AH58" s="4" t="str">
        <f>IF(OR(N58="",AC58=""),"",IF(AC58&lt;1,"",IFERROR(MATCH($N58&amp;"|"&amp;AC58,Partidos!$Y:$Y,0),IFERROR(MATCH($N58&amp;"|"&amp;AC58,Partidos!$Z:$Z,0),""))))</f>
        <v/>
      </c>
      <c r="AI58" s="4" t="str">
        <f>IF(AD58="","",IF(INDEX(Partidos!$C:$C,AD58)=$N58,IF(INDEX(Partidos!$E:$E,AD58)&gt;INDEX(Partidos!$F:$F,AD58),"V",IF(INDEX(Partidos!$E:$E,AD58)=INDEX(Partidos!$F:$F,AD58),"E","P")),IF(INDEX(Partidos!$F:$F,AD58)&gt;INDEX(Partidos!$E:$E,AD58),"V",IF(INDEX(Partidos!$F:$F,AD58)=INDEX(Partidos!$E:$E,AD58),"E","P"))))</f>
        <v/>
      </c>
      <c r="AJ58" s="4" t="str">
        <f>IF(AE58="","",IF(INDEX(Partidos!$C:$C,AE58)=$N58,IF(INDEX(Partidos!$E:$E,AE58)&gt;INDEX(Partidos!$F:$F,AE58),"V",IF(INDEX(Partidos!$E:$E,AE58)=INDEX(Partidos!$F:$F,AE58),"E","P")),IF(INDEX(Partidos!$F:$F,AE58)&gt;INDEX(Partidos!$E:$E,AE58),"V",IF(INDEX(Partidos!$F:$F,AE58)=INDEX(Partidos!$E:$E,AE58),"E","P"))))</f>
        <v/>
      </c>
      <c r="AK58" s="4" t="str">
        <f>IF(AF58="","",IF(INDEX(Partidos!$C:$C,AF58)=$N58,IF(INDEX(Partidos!$E:$E,AF58)&gt;INDEX(Partidos!$F:$F,AF58),"V",IF(INDEX(Partidos!$E:$E,AF58)=INDEX(Partidos!$F:$F,AF58),"E","P")),IF(INDEX(Partidos!$F:$F,AF58)&gt;INDEX(Partidos!$E:$E,AF58),"V",IF(INDEX(Partidos!$F:$F,AF58)=INDEX(Partidos!$E:$E,AF58),"E","P"))))</f>
        <v/>
      </c>
      <c r="AL58" s="4" t="str">
        <f>IF(AG58="","",IF(INDEX(Partidos!$C:$C,AG58)=$N58,IF(INDEX(Partidos!$E:$E,AG58)&gt;INDEX(Partidos!$F:$F,AG58),"V",IF(INDEX(Partidos!$E:$E,AG58)=INDEX(Partidos!$F:$F,AG58),"E","P")),IF(INDEX(Partidos!$F:$F,AG58)&gt;INDEX(Partidos!$E:$E,AG58),"V",IF(INDEX(Partidos!$F:$F,AG58)=INDEX(Partidos!$E:$E,AG58),"E","P"))))</f>
        <v/>
      </c>
      <c r="AM58" s="4" t="str">
        <f>IF(AH58="","",IF(INDEX(Partidos!$C:$C,AH58)=$N58,IF(INDEX(Partidos!$E:$E,AH58)&gt;INDEX(Partidos!$F:$F,AH58),"V",IF(INDEX(Partidos!$E:$E,AH58)=INDEX(Partidos!$F:$F,AH58),"E","P")),IF(INDEX(Partidos!$F:$F,AH58)&gt;INDEX(Partidos!$E:$E,AH58),"V",IF(INDEX(Partidos!$F:$F,AH58)=INDEX(Partidos!$E:$E,AH58),"E","P"))))</f>
        <v/>
      </c>
      <c r="AN58" s="4" t="str">
        <f t="shared" si="45"/>
        <v/>
      </c>
      <c r="AO58" s="4" t="str">
        <f t="shared" si="46"/>
        <v/>
      </c>
      <c r="AP58" s="4" t="str">
        <f>IF(AO58=1,SUMPRODUCT(($AO$2:AO58=1)*1),"")</f>
        <v/>
      </c>
      <c r="AQ58" s="4" t="str">
        <f t="shared" si="47"/>
        <v/>
      </c>
      <c r="AR58" s="4" t="str">
        <f t="shared" si="48"/>
        <v/>
      </c>
      <c r="AS58" s="4" t="str">
        <f>IF(AR58=1,SUMPRODUCT(($AR$2:AR58=1)*1),"")</f>
        <v/>
      </c>
      <c r="AT58" s="4" t="str">
        <f t="shared" si="49"/>
        <v/>
      </c>
    </row>
    <row r="59" spans="1:46" ht="15" customHeight="1" x14ac:dyDescent="0.25">
      <c r="A59" t="str">
        <f>IF(COUNT($X$2:$X$61)&gt;=58,58,"")</f>
        <v/>
      </c>
      <c r="B59" t="str">
        <f t="shared" si="25"/>
        <v/>
      </c>
      <c r="C59" t="str">
        <f t="shared" si="26"/>
        <v/>
      </c>
      <c r="D59" t="str">
        <f t="shared" si="27"/>
        <v/>
      </c>
      <c r="E59" t="str">
        <f t="shared" si="28"/>
        <v/>
      </c>
      <c r="F59" t="str">
        <f t="shared" si="29"/>
        <v/>
      </c>
      <c r="G59" t="str">
        <f t="shared" si="30"/>
        <v/>
      </c>
      <c r="H59" t="str">
        <f t="shared" si="31"/>
        <v/>
      </c>
      <c r="I59" t="str">
        <f t="shared" si="32"/>
        <v/>
      </c>
      <c r="J59" t="str">
        <f t="shared" si="33"/>
        <v/>
      </c>
      <c r="K59" t="str">
        <f t="shared" si="34"/>
        <v/>
      </c>
      <c r="N59" s="4" t="str">
        <f>IFERROR(INDEX(Partidos!$C$2:$C$1401,MATCH("TEAM|58",Partidos!$AE$2:$AE$1401,0)),IFERROR(INDEX(Partidos!$D$2:$D$1401,MATCH("TEAM|58",Partidos!$AF$2:$AF$1401,0)),""))</f>
        <v/>
      </c>
      <c r="O59" s="4" t="str">
        <f>IF(N59="","",COUNTIF(Partidos!$C$2:$C$1401,N59)+COUNTIF(Partidos!$D$2:$D$1401,N59))</f>
        <v/>
      </c>
      <c r="P59" s="4" t="str">
        <f>IF(N59="","",SUMPRODUCT((Partidos!$C$2:$C$1401=N59)*(Partidos!$E$2:$E$1401&gt;Partidos!$F$2:$F$1401))+SUMPRODUCT((Partidos!$D$2:$D$1401=N59)*(Partidos!$F$2:$F$1401&gt;Partidos!$E$2:$E$1401)))</f>
        <v/>
      </c>
      <c r="Q59" s="4" t="str">
        <f>IF(N59="","",SUMPRODUCT((((Partidos!$C$2:$C$1401=N59)+(Partidos!$D$2:$D$1401=N59)))*(Partidos!$E$2:$E$1401=Partidos!$F$2:$F$1401)*(Partidos!$C$2:$C$1401&lt;&gt;"")))</f>
        <v/>
      </c>
      <c r="R59" s="4" t="str">
        <f t="shared" si="35"/>
        <v/>
      </c>
      <c r="S59" s="4" t="str">
        <f>IF(N59="","",SUMIF(Partidos!$C$2:$C$1401,N59,Partidos!$E$2:$E$1401)+SUMIF(Partidos!$D$2:$D$1401,N59,Partidos!$F$2:$F$1401))</f>
        <v/>
      </c>
      <c r="T59" s="4" t="str">
        <f>IF(N59="","",SUMIF(Partidos!$C$2:$C$1401,N59,Partidos!$F$2:$F$1401)+SUMIF(Partidos!$D$2:$D$1401,N59,Partidos!$E$2:$E$1401))</f>
        <v/>
      </c>
      <c r="U59" s="4" t="str">
        <f t="shared" si="36"/>
        <v/>
      </c>
      <c r="V59" s="4" t="str">
        <f t="shared" si="37"/>
        <v/>
      </c>
      <c r="W59" s="4" t="str">
        <f t="shared" si="38"/>
        <v/>
      </c>
      <c r="X59" s="4" t="str">
        <f t="shared" si="39"/>
        <v/>
      </c>
      <c r="Y59" s="4" t="str">
        <f t="shared" si="40"/>
        <v/>
      </c>
      <c r="Z59" s="4" t="str">
        <f t="shared" si="41"/>
        <v/>
      </c>
      <c r="AA59" s="4" t="str">
        <f t="shared" si="42"/>
        <v/>
      </c>
      <c r="AB59" s="4" t="str">
        <f t="shared" si="43"/>
        <v/>
      </c>
      <c r="AC59" s="4" t="str">
        <f t="shared" si="44"/>
        <v/>
      </c>
      <c r="AD59" s="4" t="str">
        <f>IF(OR(N59="",Y59=""),"",IF(Y59&lt;1,"",IFERROR(MATCH($N59&amp;"|"&amp;Y59,Partidos!$Y:$Y,0),IFERROR(MATCH($N59&amp;"|"&amp;Y59,Partidos!$Z:$Z,0),""))))</f>
        <v/>
      </c>
      <c r="AE59" s="4" t="str">
        <f>IF(OR(N59="",Z59=""),"",IF(Z59&lt;1,"",IFERROR(MATCH($N59&amp;"|"&amp;Z59,Partidos!$Y:$Y,0),IFERROR(MATCH($N59&amp;"|"&amp;Z59,Partidos!$Z:$Z,0),""))))</f>
        <v/>
      </c>
      <c r="AF59" s="4" t="str">
        <f>IF(OR(N59="",AA59=""),"",IF(AA59&lt;1,"",IFERROR(MATCH($N59&amp;"|"&amp;AA59,Partidos!$Y:$Y,0),IFERROR(MATCH($N59&amp;"|"&amp;AA59,Partidos!$Z:$Z,0),""))))</f>
        <v/>
      </c>
      <c r="AG59" s="4" t="str">
        <f>IF(OR(N59="",AB59=""),"",IF(AB59&lt;1,"",IFERROR(MATCH($N59&amp;"|"&amp;AB59,Partidos!$Y:$Y,0),IFERROR(MATCH($N59&amp;"|"&amp;AB59,Partidos!$Z:$Z,0),""))))</f>
        <v/>
      </c>
      <c r="AH59" s="4" t="str">
        <f>IF(OR(N59="",AC59=""),"",IF(AC59&lt;1,"",IFERROR(MATCH($N59&amp;"|"&amp;AC59,Partidos!$Y:$Y,0),IFERROR(MATCH($N59&amp;"|"&amp;AC59,Partidos!$Z:$Z,0),""))))</f>
        <v/>
      </c>
      <c r="AI59" s="4" t="str">
        <f>IF(AD59="","",IF(INDEX(Partidos!$C:$C,AD59)=$N59,IF(INDEX(Partidos!$E:$E,AD59)&gt;INDEX(Partidos!$F:$F,AD59),"V",IF(INDEX(Partidos!$E:$E,AD59)=INDEX(Partidos!$F:$F,AD59),"E","P")),IF(INDEX(Partidos!$F:$F,AD59)&gt;INDEX(Partidos!$E:$E,AD59),"V",IF(INDEX(Partidos!$F:$F,AD59)=INDEX(Partidos!$E:$E,AD59),"E","P"))))</f>
        <v/>
      </c>
      <c r="AJ59" s="4" t="str">
        <f>IF(AE59="","",IF(INDEX(Partidos!$C:$C,AE59)=$N59,IF(INDEX(Partidos!$E:$E,AE59)&gt;INDEX(Partidos!$F:$F,AE59),"V",IF(INDEX(Partidos!$E:$E,AE59)=INDEX(Partidos!$F:$F,AE59),"E","P")),IF(INDEX(Partidos!$F:$F,AE59)&gt;INDEX(Partidos!$E:$E,AE59),"V",IF(INDEX(Partidos!$F:$F,AE59)=INDEX(Partidos!$E:$E,AE59),"E","P"))))</f>
        <v/>
      </c>
      <c r="AK59" s="4" t="str">
        <f>IF(AF59="","",IF(INDEX(Partidos!$C:$C,AF59)=$N59,IF(INDEX(Partidos!$E:$E,AF59)&gt;INDEX(Partidos!$F:$F,AF59),"V",IF(INDEX(Partidos!$E:$E,AF59)=INDEX(Partidos!$F:$F,AF59),"E","P")),IF(INDEX(Partidos!$F:$F,AF59)&gt;INDEX(Partidos!$E:$E,AF59),"V",IF(INDEX(Partidos!$F:$F,AF59)=INDEX(Partidos!$E:$E,AF59),"E","P"))))</f>
        <v/>
      </c>
      <c r="AL59" s="4" t="str">
        <f>IF(AG59="","",IF(INDEX(Partidos!$C:$C,AG59)=$N59,IF(INDEX(Partidos!$E:$E,AG59)&gt;INDEX(Partidos!$F:$F,AG59),"V",IF(INDEX(Partidos!$E:$E,AG59)=INDEX(Partidos!$F:$F,AG59),"E","P")),IF(INDEX(Partidos!$F:$F,AG59)&gt;INDEX(Partidos!$E:$E,AG59),"V",IF(INDEX(Partidos!$F:$F,AG59)=INDEX(Partidos!$E:$E,AG59),"E","P"))))</f>
        <v/>
      </c>
      <c r="AM59" s="4" t="str">
        <f>IF(AH59="","",IF(INDEX(Partidos!$C:$C,AH59)=$N59,IF(INDEX(Partidos!$E:$E,AH59)&gt;INDEX(Partidos!$F:$F,AH59),"V",IF(INDEX(Partidos!$E:$E,AH59)=INDEX(Partidos!$F:$F,AH59),"E","P")),IF(INDEX(Partidos!$F:$F,AH59)&gt;INDEX(Partidos!$E:$E,AH59),"V",IF(INDEX(Partidos!$F:$F,AH59)=INDEX(Partidos!$E:$E,AH59),"E","P"))))</f>
        <v/>
      </c>
      <c r="AN59" s="4" t="str">
        <f t="shared" si="45"/>
        <v/>
      </c>
      <c r="AO59" s="4" t="str">
        <f t="shared" si="46"/>
        <v/>
      </c>
      <c r="AP59" s="4" t="str">
        <f>IF(AO59=1,SUMPRODUCT(($AO$2:AO59=1)*1),"")</f>
        <v/>
      </c>
      <c r="AQ59" s="4" t="str">
        <f t="shared" si="47"/>
        <v/>
      </c>
      <c r="AR59" s="4" t="str">
        <f t="shared" si="48"/>
        <v/>
      </c>
      <c r="AS59" s="4" t="str">
        <f>IF(AR59=1,SUMPRODUCT(($AR$2:AR59=1)*1),"")</f>
        <v/>
      </c>
      <c r="AT59" s="4" t="str">
        <f t="shared" si="49"/>
        <v/>
      </c>
    </row>
    <row r="60" spans="1:46" ht="15" customHeight="1" x14ac:dyDescent="0.25">
      <c r="A60" t="str">
        <f>IF(COUNT($X$2:$X$61)&gt;=59,59,"")</f>
        <v/>
      </c>
      <c r="B60" t="str">
        <f t="shared" si="25"/>
        <v/>
      </c>
      <c r="C60" t="str">
        <f t="shared" si="26"/>
        <v/>
      </c>
      <c r="D60" t="str">
        <f t="shared" si="27"/>
        <v/>
      </c>
      <c r="E60" t="str">
        <f t="shared" si="28"/>
        <v/>
      </c>
      <c r="F60" t="str">
        <f t="shared" si="29"/>
        <v/>
      </c>
      <c r="G60" t="str">
        <f t="shared" si="30"/>
        <v/>
      </c>
      <c r="H60" t="str">
        <f t="shared" si="31"/>
        <v/>
      </c>
      <c r="I60" t="str">
        <f t="shared" si="32"/>
        <v/>
      </c>
      <c r="J60" t="str">
        <f t="shared" si="33"/>
        <v/>
      </c>
      <c r="K60" t="str">
        <f t="shared" si="34"/>
        <v/>
      </c>
      <c r="N60" s="4" t="str">
        <f>IFERROR(INDEX(Partidos!$C$2:$C$1401,MATCH("TEAM|59",Partidos!$AE$2:$AE$1401,0)),IFERROR(INDEX(Partidos!$D$2:$D$1401,MATCH("TEAM|59",Partidos!$AF$2:$AF$1401,0)),""))</f>
        <v/>
      </c>
      <c r="O60" s="4" t="str">
        <f>IF(N60="","",COUNTIF(Partidos!$C$2:$C$1401,N60)+COUNTIF(Partidos!$D$2:$D$1401,N60))</f>
        <v/>
      </c>
      <c r="P60" s="4" t="str">
        <f>IF(N60="","",SUMPRODUCT((Partidos!$C$2:$C$1401=N60)*(Partidos!$E$2:$E$1401&gt;Partidos!$F$2:$F$1401))+SUMPRODUCT((Partidos!$D$2:$D$1401=N60)*(Partidos!$F$2:$F$1401&gt;Partidos!$E$2:$E$1401)))</f>
        <v/>
      </c>
      <c r="Q60" s="4" t="str">
        <f>IF(N60="","",SUMPRODUCT((((Partidos!$C$2:$C$1401=N60)+(Partidos!$D$2:$D$1401=N60)))*(Partidos!$E$2:$E$1401=Partidos!$F$2:$F$1401)*(Partidos!$C$2:$C$1401&lt;&gt;"")))</f>
        <v/>
      </c>
      <c r="R60" s="4" t="str">
        <f t="shared" si="35"/>
        <v/>
      </c>
      <c r="S60" s="4" t="str">
        <f>IF(N60="","",SUMIF(Partidos!$C$2:$C$1401,N60,Partidos!$E$2:$E$1401)+SUMIF(Partidos!$D$2:$D$1401,N60,Partidos!$F$2:$F$1401))</f>
        <v/>
      </c>
      <c r="T60" s="4" t="str">
        <f>IF(N60="","",SUMIF(Partidos!$C$2:$C$1401,N60,Partidos!$F$2:$F$1401)+SUMIF(Partidos!$D$2:$D$1401,N60,Partidos!$E$2:$E$1401))</f>
        <v/>
      </c>
      <c r="U60" s="4" t="str">
        <f t="shared" si="36"/>
        <v/>
      </c>
      <c r="V60" s="4" t="str">
        <f t="shared" si="37"/>
        <v/>
      </c>
      <c r="W60" s="4" t="str">
        <f t="shared" si="38"/>
        <v/>
      </c>
      <c r="X60" s="4" t="str">
        <f t="shared" si="39"/>
        <v/>
      </c>
      <c r="Y60" s="4" t="str">
        <f t="shared" si="40"/>
        <v/>
      </c>
      <c r="Z60" s="4" t="str">
        <f t="shared" si="41"/>
        <v/>
      </c>
      <c r="AA60" s="4" t="str">
        <f t="shared" si="42"/>
        <v/>
      </c>
      <c r="AB60" s="4" t="str">
        <f t="shared" si="43"/>
        <v/>
      </c>
      <c r="AC60" s="4" t="str">
        <f t="shared" si="44"/>
        <v/>
      </c>
      <c r="AD60" s="4" t="str">
        <f>IF(OR(N60="",Y60=""),"",IF(Y60&lt;1,"",IFERROR(MATCH($N60&amp;"|"&amp;Y60,Partidos!$Y:$Y,0),IFERROR(MATCH($N60&amp;"|"&amp;Y60,Partidos!$Z:$Z,0),""))))</f>
        <v/>
      </c>
      <c r="AE60" s="4" t="str">
        <f>IF(OR(N60="",Z60=""),"",IF(Z60&lt;1,"",IFERROR(MATCH($N60&amp;"|"&amp;Z60,Partidos!$Y:$Y,0),IFERROR(MATCH($N60&amp;"|"&amp;Z60,Partidos!$Z:$Z,0),""))))</f>
        <v/>
      </c>
      <c r="AF60" s="4" t="str">
        <f>IF(OR(N60="",AA60=""),"",IF(AA60&lt;1,"",IFERROR(MATCH($N60&amp;"|"&amp;AA60,Partidos!$Y:$Y,0),IFERROR(MATCH($N60&amp;"|"&amp;AA60,Partidos!$Z:$Z,0),""))))</f>
        <v/>
      </c>
      <c r="AG60" s="4" t="str">
        <f>IF(OR(N60="",AB60=""),"",IF(AB60&lt;1,"",IFERROR(MATCH($N60&amp;"|"&amp;AB60,Partidos!$Y:$Y,0),IFERROR(MATCH($N60&amp;"|"&amp;AB60,Partidos!$Z:$Z,0),""))))</f>
        <v/>
      </c>
      <c r="AH60" s="4" t="str">
        <f>IF(OR(N60="",AC60=""),"",IF(AC60&lt;1,"",IFERROR(MATCH($N60&amp;"|"&amp;AC60,Partidos!$Y:$Y,0),IFERROR(MATCH($N60&amp;"|"&amp;AC60,Partidos!$Z:$Z,0),""))))</f>
        <v/>
      </c>
      <c r="AI60" s="4" t="str">
        <f>IF(AD60="","",IF(INDEX(Partidos!$C:$C,AD60)=$N60,IF(INDEX(Partidos!$E:$E,AD60)&gt;INDEX(Partidos!$F:$F,AD60),"V",IF(INDEX(Partidos!$E:$E,AD60)=INDEX(Partidos!$F:$F,AD60),"E","P")),IF(INDEX(Partidos!$F:$F,AD60)&gt;INDEX(Partidos!$E:$E,AD60),"V",IF(INDEX(Partidos!$F:$F,AD60)=INDEX(Partidos!$E:$E,AD60),"E","P"))))</f>
        <v/>
      </c>
      <c r="AJ60" s="4" t="str">
        <f>IF(AE60="","",IF(INDEX(Partidos!$C:$C,AE60)=$N60,IF(INDEX(Partidos!$E:$E,AE60)&gt;INDEX(Partidos!$F:$F,AE60),"V",IF(INDEX(Partidos!$E:$E,AE60)=INDEX(Partidos!$F:$F,AE60),"E","P")),IF(INDEX(Partidos!$F:$F,AE60)&gt;INDEX(Partidos!$E:$E,AE60),"V",IF(INDEX(Partidos!$F:$F,AE60)=INDEX(Partidos!$E:$E,AE60),"E","P"))))</f>
        <v/>
      </c>
      <c r="AK60" s="4" t="str">
        <f>IF(AF60="","",IF(INDEX(Partidos!$C:$C,AF60)=$N60,IF(INDEX(Partidos!$E:$E,AF60)&gt;INDEX(Partidos!$F:$F,AF60),"V",IF(INDEX(Partidos!$E:$E,AF60)=INDEX(Partidos!$F:$F,AF60),"E","P")),IF(INDEX(Partidos!$F:$F,AF60)&gt;INDEX(Partidos!$E:$E,AF60),"V",IF(INDEX(Partidos!$F:$F,AF60)=INDEX(Partidos!$E:$E,AF60),"E","P"))))</f>
        <v/>
      </c>
      <c r="AL60" s="4" t="str">
        <f>IF(AG60="","",IF(INDEX(Partidos!$C:$C,AG60)=$N60,IF(INDEX(Partidos!$E:$E,AG60)&gt;INDEX(Partidos!$F:$F,AG60),"V",IF(INDEX(Partidos!$E:$E,AG60)=INDEX(Partidos!$F:$F,AG60),"E","P")),IF(INDEX(Partidos!$F:$F,AG60)&gt;INDEX(Partidos!$E:$E,AG60),"V",IF(INDEX(Partidos!$F:$F,AG60)=INDEX(Partidos!$E:$E,AG60),"E","P"))))</f>
        <v/>
      </c>
      <c r="AM60" s="4" t="str">
        <f>IF(AH60="","",IF(INDEX(Partidos!$C:$C,AH60)=$N60,IF(INDEX(Partidos!$E:$E,AH60)&gt;INDEX(Partidos!$F:$F,AH60),"V",IF(INDEX(Partidos!$E:$E,AH60)=INDEX(Partidos!$F:$F,AH60),"E","P")),IF(INDEX(Partidos!$F:$F,AH60)&gt;INDEX(Partidos!$E:$E,AH60),"V",IF(INDEX(Partidos!$F:$F,AH60)=INDEX(Partidos!$E:$E,AH60),"E","P"))))</f>
        <v/>
      </c>
      <c r="AN60" s="4" t="str">
        <f t="shared" si="45"/>
        <v/>
      </c>
      <c r="AO60" s="4" t="str">
        <f t="shared" si="46"/>
        <v/>
      </c>
      <c r="AP60" s="4" t="str">
        <f>IF(AO60=1,SUMPRODUCT(($AO$2:AO60=1)*1),"")</f>
        <v/>
      </c>
      <c r="AQ60" s="4" t="str">
        <f t="shared" si="47"/>
        <v/>
      </c>
      <c r="AR60" s="4" t="str">
        <f t="shared" si="48"/>
        <v/>
      </c>
      <c r="AS60" s="4" t="str">
        <f>IF(AR60=1,SUMPRODUCT(($AR$2:AR60=1)*1),"")</f>
        <v/>
      </c>
      <c r="AT60" s="4" t="str">
        <f t="shared" si="49"/>
        <v/>
      </c>
    </row>
    <row r="61" spans="1:46" ht="15" customHeight="1" x14ac:dyDescent="0.25">
      <c r="A61" t="str">
        <f>IF(COUNT($X$2:$X$61)&gt;=60,60,"")</f>
        <v/>
      </c>
      <c r="B61" t="str">
        <f t="shared" si="25"/>
        <v/>
      </c>
      <c r="C61" t="str">
        <f t="shared" si="26"/>
        <v/>
      </c>
      <c r="D61" t="str">
        <f t="shared" si="27"/>
        <v/>
      </c>
      <c r="E61" t="str">
        <f t="shared" si="28"/>
        <v/>
      </c>
      <c r="F61" t="str">
        <f t="shared" si="29"/>
        <v/>
      </c>
      <c r="G61" t="str">
        <f t="shared" si="30"/>
        <v/>
      </c>
      <c r="H61" t="str">
        <f t="shared" si="31"/>
        <v/>
      </c>
      <c r="I61" t="str">
        <f t="shared" si="32"/>
        <v/>
      </c>
      <c r="J61" t="str">
        <f t="shared" si="33"/>
        <v/>
      </c>
      <c r="K61" t="str">
        <f t="shared" si="34"/>
        <v/>
      </c>
      <c r="N61" s="4" t="str">
        <f>IFERROR(INDEX(Partidos!$C$2:$C$1401,MATCH("TEAM|60",Partidos!$AE$2:$AE$1401,0)),IFERROR(INDEX(Partidos!$D$2:$D$1401,MATCH("TEAM|60",Partidos!$AF$2:$AF$1401,0)),""))</f>
        <v/>
      </c>
      <c r="O61" s="4" t="str">
        <f>IF(N61="","",COUNTIF(Partidos!$C$2:$C$1401,N61)+COUNTIF(Partidos!$D$2:$D$1401,N61))</f>
        <v/>
      </c>
      <c r="P61" s="4" t="str">
        <f>IF(N61="","",SUMPRODUCT((Partidos!$C$2:$C$1401=N61)*(Partidos!$E$2:$E$1401&gt;Partidos!$F$2:$F$1401))+SUMPRODUCT((Partidos!$D$2:$D$1401=N61)*(Partidos!$F$2:$F$1401&gt;Partidos!$E$2:$E$1401)))</f>
        <v/>
      </c>
      <c r="Q61" s="4" t="str">
        <f>IF(N61="","",SUMPRODUCT((((Partidos!$C$2:$C$1401=N61)+(Partidos!$D$2:$D$1401=N61)))*(Partidos!$E$2:$E$1401=Partidos!$F$2:$F$1401)*(Partidos!$C$2:$C$1401&lt;&gt;"")))</f>
        <v/>
      </c>
      <c r="R61" s="4" t="str">
        <f t="shared" si="35"/>
        <v/>
      </c>
      <c r="S61" s="4" t="str">
        <f>IF(N61="","",SUMIF(Partidos!$C$2:$C$1401,N61,Partidos!$E$2:$E$1401)+SUMIF(Partidos!$D$2:$D$1401,N61,Partidos!$F$2:$F$1401))</f>
        <v/>
      </c>
      <c r="T61" s="4" t="str">
        <f>IF(N61="","",SUMIF(Partidos!$C$2:$C$1401,N61,Partidos!$F$2:$F$1401)+SUMIF(Partidos!$D$2:$D$1401,N61,Partidos!$E$2:$E$1401))</f>
        <v/>
      </c>
      <c r="U61" s="4" t="str">
        <f t="shared" si="36"/>
        <v/>
      </c>
      <c r="V61" s="4" t="str">
        <f t="shared" si="37"/>
        <v/>
      </c>
      <c r="W61" s="4" t="str">
        <f t="shared" si="38"/>
        <v/>
      </c>
      <c r="X61" s="4" t="str">
        <f t="shared" si="39"/>
        <v/>
      </c>
      <c r="Y61" s="4" t="str">
        <f t="shared" si="40"/>
        <v/>
      </c>
      <c r="Z61" s="4" t="str">
        <f t="shared" si="41"/>
        <v/>
      </c>
      <c r="AA61" s="4" t="str">
        <f t="shared" si="42"/>
        <v/>
      </c>
      <c r="AB61" s="4" t="str">
        <f t="shared" si="43"/>
        <v/>
      </c>
      <c r="AC61" s="4" t="str">
        <f t="shared" si="44"/>
        <v/>
      </c>
      <c r="AD61" s="4" t="str">
        <f>IF(OR(N61="",Y61=""),"",IF(Y61&lt;1,"",IFERROR(MATCH($N61&amp;"|"&amp;Y61,Partidos!$Y:$Y,0),IFERROR(MATCH($N61&amp;"|"&amp;Y61,Partidos!$Z:$Z,0),""))))</f>
        <v/>
      </c>
      <c r="AE61" s="4" t="str">
        <f>IF(OR(N61="",Z61=""),"",IF(Z61&lt;1,"",IFERROR(MATCH($N61&amp;"|"&amp;Z61,Partidos!$Y:$Y,0),IFERROR(MATCH($N61&amp;"|"&amp;Z61,Partidos!$Z:$Z,0),""))))</f>
        <v/>
      </c>
      <c r="AF61" s="4" t="str">
        <f>IF(OR(N61="",AA61=""),"",IF(AA61&lt;1,"",IFERROR(MATCH($N61&amp;"|"&amp;AA61,Partidos!$Y:$Y,0),IFERROR(MATCH($N61&amp;"|"&amp;AA61,Partidos!$Z:$Z,0),""))))</f>
        <v/>
      </c>
      <c r="AG61" s="4" t="str">
        <f>IF(OR(N61="",AB61=""),"",IF(AB61&lt;1,"",IFERROR(MATCH($N61&amp;"|"&amp;AB61,Partidos!$Y:$Y,0),IFERROR(MATCH($N61&amp;"|"&amp;AB61,Partidos!$Z:$Z,0),""))))</f>
        <v/>
      </c>
      <c r="AH61" s="4" t="str">
        <f>IF(OR(N61="",AC61=""),"",IF(AC61&lt;1,"",IFERROR(MATCH($N61&amp;"|"&amp;AC61,Partidos!$Y:$Y,0),IFERROR(MATCH($N61&amp;"|"&amp;AC61,Partidos!$Z:$Z,0),""))))</f>
        <v/>
      </c>
      <c r="AI61" s="4" t="str">
        <f>IF(AD61="","",IF(INDEX(Partidos!$C:$C,AD61)=$N61,IF(INDEX(Partidos!$E:$E,AD61)&gt;INDEX(Partidos!$F:$F,AD61),"V",IF(INDEX(Partidos!$E:$E,AD61)=INDEX(Partidos!$F:$F,AD61),"E","P")),IF(INDEX(Partidos!$F:$F,AD61)&gt;INDEX(Partidos!$E:$E,AD61),"V",IF(INDEX(Partidos!$F:$F,AD61)=INDEX(Partidos!$E:$E,AD61),"E","P"))))</f>
        <v/>
      </c>
      <c r="AJ61" s="4" t="str">
        <f>IF(AE61="","",IF(INDEX(Partidos!$C:$C,AE61)=$N61,IF(INDEX(Partidos!$E:$E,AE61)&gt;INDEX(Partidos!$F:$F,AE61),"V",IF(INDEX(Partidos!$E:$E,AE61)=INDEX(Partidos!$F:$F,AE61),"E","P")),IF(INDEX(Partidos!$F:$F,AE61)&gt;INDEX(Partidos!$E:$E,AE61),"V",IF(INDEX(Partidos!$F:$F,AE61)=INDEX(Partidos!$E:$E,AE61),"E","P"))))</f>
        <v/>
      </c>
      <c r="AK61" s="4" t="str">
        <f>IF(AF61="","",IF(INDEX(Partidos!$C:$C,AF61)=$N61,IF(INDEX(Partidos!$E:$E,AF61)&gt;INDEX(Partidos!$F:$F,AF61),"V",IF(INDEX(Partidos!$E:$E,AF61)=INDEX(Partidos!$F:$F,AF61),"E","P")),IF(INDEX(Partidos!$F:$F,AF61)&gt;INDEX(Partidos!$E:$E,AF61),"V",IF(INDEX(Partidos!$F:$F,AF61)=INDEX(Partidos!$E:$E,AF61),"E","P"))))</f>
        <v/>
      </c>
      <c r="AL61" s="4" t="str">
        <f>IF(AG61="","",IF(INDEX(Partidos!$C:$C,AG61)=$N61,IF(INDEX(Partidos!$E:$E,AG61)&gt;INDEX(Partidos!$F:$F,AG61),"V",IF(INDEX(Partidos!$E:$E,AG61)=INDEX(Partidos!$F:$F,AG61),"E","P")),IF(INDEX(Partidos!$F:$F,AG61)&gt;INDEX(Partidos!$E:$E,AG61),"V",IF(INDEX(Partidos!$F:$F,AG61)=INDEX(Partidos!$E:$E,AG61),"E","P"))))</f>
        <v/>
      </c>
      <c r="AM61" s="4" t="str">
        <f>IF(AH61="","",IF(INDEX(Partidos!$C:$C,AH61)=$N61,IF(INDEX(Partidos!$E:$E,AH61)&gt;INDEX(Partidos!$F:$F,AH61),"V",IF(INDEX(Partidos!$E:$E,AH61)=INDEX(Partidos!$F:$F,AH61),"E","P")),IF(INDEX(Partidos!$F:$F,AH61)&gt;INDEX(Partidos!$E:$E,AH61),"V",IF(INDEX(Partidos!$F:$F,AH61)=INDEX(Partidos!$E:$E,AH61),"E","P"))))</f>
        <v/>
      </c>
      <c r="AN61" s="4" t="str">
        <f t="shared" si="45"/>
        <v/>
      </c>
      <c r="AO61" s="4" t="str">
        <f t="shared" si="46"/>
        <v/>
      </c>
      <c r="AP61" s="4" t="str">
        <f>IF(AO61=1,SUMPRODUCT(($AO$2:AO61=1)*1),"")</f>
        <v/>
      </c>
      <c r="AQ61" s="4" t="str">
        <f t="shared" si="47"/>
        <v/>
      </c>
      <c r="AR61" s="4" t="str">
        <f t="shared" si="48"/>
        <v/>
      </c>
      <c r="AS61" s="4" t="str">
        <f>IF(AR61=1,SUMPRODUCT(($AR$2:AR61=1)*1),"")</f>
        <v/>
      </c>
      <c r="AT61" s="4" t="str">
        <f t="shared" si="4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zoomScaleNormal="100" workbookViewId="0">
      <pane ySplit="1" topLeftCell="A217" activePane="bottomLeft" state="frozen"/>
      <selection pane="bottomLeft" activeCell="B224" sqref="B224"/>
    </sheetView>
  </sheetViews>
  <sheetFormatPr baseColWidth="10" defaultColWidth="9.140625" defaultRowHeight="15" x14ac:dyDescent="0.25"/>
  <cols>
    <col min="1" max="1" width="20.7109375" style="8" customWidth="1"/>
    <col min="2" max="2" width="40.7109375" style="8" customWidth="1"/>
    <col min="3" max="4" width="20.7109375" style="8" customWidth="1"/>
  </cols>
  <sheetData>
    <row r="1" spans="1:4" ht="15" customHeight="1" x14ac:dyDescent="0.25">
      <c r="A1" s="1" t="s">
        <v>76</v>
      </c>
      <c r="B1" s="1" t="s">
        <v>77</v>
      </c>
      <c r="C1" s="1" t="s">
        <v>78</v>
      </c>
      <c r="D1" s="1" t="s">
        <v>0</v>
      </c>
    </row>
    <row r="2" spans="1:4" ht="15" customHeight="1" x14ac:dyDescent="0.25">
      <c r="A2" s="8" t="s">
        <v>125</v>
      </c>
      <c r="B2" s="15" t="s">
        <v>137</v>
      </c>
      <c r="C2" s="8" t="s">
        <v>140</v>
      </c>
      <c r="D2" s="8" t="s">
        <v>171</v>
      </c>
    </row>
    <row r="3" spans="1:4" ht="15" customHeight="1" x14ac:dyDescent="0.25">
      <c r="A3" s="8" t="s">
        <v>125</v>
      </c>
      <c r="B3" s="15" t="s">
        <v>138</v>
      </c>
      <c r="C3" s="8" t="s">
        <v>140</v>
      </c>
      <c r="D3" s="8" t="s">
        <v>171</v>
      </c>
    </row>
    <row r="4" spans="1:4" ht="15" customHeight="1" x14ac:dyDescent="0.25">
      <c r="A4" s="8" t="s">
        <v>125</v>
      </c>
      <c r="B4" s="15" t="s">
        <v>139</v>
      </c>
      <c r="C4" s="8" t="s">
        <v>140</v>
      </c>
      <c r="D4" s="8" t="s">
        <v>171</v>
      </c>
    </row>
    <row r="5" spans="1:4" ht="15" customHeight="1" x14ac:dyDescent="0.25">
      <c r="A5" s="8" t="s">
        <v>125</v>
      </c>
      <c r="B5" s="15" t="s">
        <v>141</v>
      </c>
      <c r="C5" s="8" t="s">
        <v>152</v>
      </c>
      <c r="D5" s="8" t="s">
        <v>171</v>
      </c>
    </row>
    <row r="6" spans="1:4" ht="15" customHeight="1" x14ac:dyDescent="0.25">
      <c r="A6" s="8" t="s">
        <v>125</v>
      </c>
      <c r="B6" s="15" t="s">
        <v>142</v>
      </c>
      <c r="C6" s="8" t="s">
        <v>152</v>
      </c>
      <c r="D6" s="8" t="s">
        <v>171</v>
      </c>
    </row>
    <row r="7" spans="1:4" ht="15" customHeight="1" x14ac:dyDescent="0.25">
      <c r="A7" s="8" t="s">
        <v>125</v>
      </c>
      <c r="B7" s="15" t="s">
        <v>143</v>
      </c>
      <c r="C7" s="8" t="s">
        <v>152</v>
      </c>
      <c r="D7" s="8" t="s">
        <v>171</v>
      </c>
    </row>
    <row r="8" spans="1:4" ht="15" customHeight="1" x14ac:dyDescent="0.25">
      <c r="A8" s="8" t="s">
        <v>125</v>
      </c>
      <c r="B8" s="15" t="s">
        <v>144</v>
      </c>
      <c r="C8" s="8" t="s">
        <v>152</v>
      </c>
      <c r="D8" s="8" t="s">
        <v>171</v>
      </c>
    </row>
    <row r="9" spans="1:4" ht="15" customHeight="1" x14ac:dyDescent="0.25">
      <c r="A9" s="8" t="s">
        <v>125</v>
      </c>
      <c r="B9" s="15" t="s">
        <v>145</v>
      </c>
      <c r="C9" s="8" t="s">
        <v>152</v>
      </c>
      <c r="D9" s="8" t="s">
        <v>171</v>
      </c>
    </row>
    <row r="10" spans="1:4" ht="15" customHeight="1" x14ac:dyDescent="0.25">
      <c r="A10" s="8" t="s">
        <v>125</v>
      </c>
      <c r="B10" s="15" t="s">
        <v>146</v>
      </c>
      <c r="C10" s="8" t="s">
        <v>152</v>
      </c>
      <c r="D10" s="8" t="s">
        <v>171</v>
      </c>
    </row>
    <row r="11" spans="1:4" ht="15" customHeight="1" x14ac:dyDescent="0.25">
      <c r="A11" s="8" t="s">
        <v>125</v>
      </c>
      <c r="B11" s="15" t="s">
        <v>147</v>
      </c>
      <c r="C11" s="8" t="s">
        <v>152</v>
      </c>
      <c r="D11" s="8" t="s">
        <v>171</v>
      </c>
    </row>
    <row r="12" spans="1:4" ht="15" customHeight="1" x14ac:dyDescent="0.25">
      <c r="A12" s="8" t="s">
        <v>125</v>
      </c>
      <c r="B12" s="15" t="s">
        <v>148</v>
      </c>
      <c r="C12" s="8" t="s">
        <v>152</v>
      </c>
      <c r="D12" s="8" t="s">
        <v>171</v>
      </c>
    </row>
    <row r="13" spans="1:4" ht="15" customHeight="1" x14ac:dyDescent="0.25">
      <c r="A13" s="8" t="s">
        <v>125</v>
      </c>
      <c r="B13" s="15" t="s">
        <v>149</v>
      </c>
      <c r="C13" s="8" t="s">
        <v>152</v>
      </c>
      <c r="D13" s="8" t="s">
        <v>171</v>
      </c>
    </row>
    <row r="14" spans="1:4" ht="15" customHeight="1" x14ac:dyDescent="0.25">
      <c r="A14" s="8" t="s">
        <v>125</v>
      </c>
      <c r="B14" s="15" t="s">
        <v>150</v>
      </c>
      <c r="C14" s="8" t="s">
        <v>152</v>
      </c>
      <c r="D14" s="8" t="s">
        <v>171</v>
      </c>
    </row>
    <row r="15" spans="1:4" ht="15" customHeight="1" x14ac:dyDescent="0.25">
      <c r="A15" s="8" t="s">
        <v>125</v>
      </c>
      <c r="B15" s="15" t="s">
        <v>151</v>
      </c>
      <c r="C15" s="8" t="s">
        <v>152</v>
      </c>
      <c r="D15" s="8" t="s">
        <v>171</v>
      </c>
    </row>
    <row r="16" spans="1:4" ht="15" customHeight="1" x14ac:dyDescent="0.25">
      <c r="A16" s="8" t="s">
        <v>125</v>
      </c>
      <c r="B16" s="15" t="s">
        <v>153</v>
      </c>
      <c r="C16" s="8" t="s">
        <v>194</v>
      </c>
      <c r="D16" s="8" t="s">
        <v>171</v>
      </c>
    </row>
    <row r="17" spans="1:4" ht="15" customHeight="1" x14ac:dyDescent="0.25">
      <c r="A17" s="8" t="s">
        <v>125</v>
      </c>
      <c r="B17" s="15" t="s">
        <v>154</v>
      </c>
      <c r="C17" s="8" t="s">
        <v>194</v>
      </c>
      <c r="D17" s="8" t="s">
        <v>171</v>
      </c>
    </row>
    <row r="18" spans="1:4" ht="15" customHeight="1" x14ac:dyDescent="0.25">
      <c r="A18" s="8" t="s">
        <v>125</v>
      </c>
      <c r="B18" s="15" t="s">
        <v>155</v>
      </c>
      <c r="C18" s="8" t="s">
        <v>194</v>
      </c>
      <c r="D18" s="8" t="s">
        <v>171</v>
      </c>
    </row>
    <row r="19" spans="1:4" ht="15" customHeight="1" x14ac:dyDescent="0.25">
      <c r="A19" s="8" t="s">
        <v>125</v>
      </c>
      <c r="B19" s="15" t="s">
        <v>156</v>
      </c>
      <c r="C19" s="8" t="s">
        <v>194</v>
      </c>
      <c r="D19" s="8" t="s">
        <v>171</v>
      </c>
    </row>
    <row r="20" spans="1:4" ht="15" customHeight="1" x14ac:dyDescent="0.25">
      <c r="A20" s="8" t="s">
        <v>125</v>
      </c>
      <c r="B20" s="15" t="s">
        <v>157</v>
      </c>
      <c r="C20" s="8" t="s">
        <v>194</v>
      </c>
      <c r="D20" s="8" t="s">
        <v>171</v>
      </c>
    </row>
    <row r="21" spans="1:4" ht="15" customHeight="1" x14ac:dyDescent="0.25">
      <c r="A21" s="8" t="s">
        <v>125</v>
      </c>
      <c r="B21" s="15" t="s">
        <v>158</v>
      </c>
      <c r="C21" s="8" t="s">
        <v>194</v>
      </c>
      <c r="D21" s="8" t="s">
        <v>171</v>
      </c>
    </row>
    <row r="22" spans="1:4" ht="15" customHeight="1" x14ac:dyDescent="0.25">
      <c r="A22" s="8" t="s">
        <v>125</v>
      </c>
      <c r="B22" s="15" t="s">
        <v>159</v>
      </c>
      <c r="C22" s="8" t="s">
        <v>194</v>
      </c>
      <c r="D22" s="8" t="s">
        <v>171</v>
      </c>
    </row>
    <row r="23" spans="1:4" ht="15" customHeight="1" x14ac:dyDescent="0.25">
      <c r="A23" s="8" t="s">
        <v>125</v>
      </c>
      <c r="B23" s="15" t="s">
        <v>160</v>
      </c>
      <c r="C23" s="8" t="s">
        <v>170</v>
      </c>
      <c r="D23" s="8" t="s">
        <v>171</v>
      </c>
    </row>
    <row r="24" spans="1:4" ht="15" customHeight="1" x14ac:dyDescent="0.25">
      <c r="A24" s="8" t="s">
        <v>125</v>
      </c>
      <c r="B24" s="15" t="s">
        <v>161</v>
      </c>
      <c r="C24" s="8" t="s">
        <v>170</v>
      </c>
      <c r="D24" s="8" t="s">
        <v>171</v>
      </c>
    </row>
    <row r="25" spans="1:4" ht="15" customHeight="1" x14ac:dyDescent="0.25">
      <c r="A25" s="8" t="s">
        <v>125</v>
      </c>
      <c r="B25" s="15" t="s">
        <v>162</v>
      </c>
      <c r="C25" s="8" t="s">
        <v>170</v>
      </c>
      <c r="D25" s="8" t="s">
        <v>171</v>
      </c>
    </row>
    <row r="26" spans="1:4" ht="15" customHeight="1" x14ac:dyDescent="0.25">
      <c r="A26" s="8" t="s">
        <v>125</v>
      </c>
      <c r="B26" s="15" t="s">
        <v>163</v>
      </c>
      <c r="C26" s="8" t="s">
        <v>170</v>
      </c>
      <c r="D26" s="8" t="s">
        <v>171</v>
      </c>
    </row>
    <row r="27" spans="1:4" ht="15" customHeight="1" x14ac:dyDescent="0.25">
      <c r="A27" s="8" t="s">
        <v>125</v>
      </c>
      <c r="B27" s="15" t="s">
        <v>164</v>
      </c>
      <c r="C27" s="8" t="s">
        <v>170</v>
      </c>
      <c r="D27" s="8" t="s">
        <v>171</v>
      </c>
    </row>
    <row r="28" spans="1:4" ht="15" customHeight="1" x14ac:dyDescent="0.25">
      <c r="A28" s="8" t="s">
        <v>125</v>
      </c>
      <c r="B28" s="15" t="s">
        <v>165</v>
      </c>
      <c r="C28" s="8" t="s">
        <v>170</v>
      </c>
      <c r="D28" s="8" t="s">
        <v>171</v>
      </c>
    </row>
    <row r="29" spans="1:4" ht="15" customHeight="1" x14ac:dyDescent="0.25">
      <c r="A29" s="8" t="s">
        <v>125</v>
      </c>
      <c r="B29" s="15" t="s">
        <v>166</v>
      </c>
      <c r="C29" s="8" t="s">
        <v>170</v>
      </c>
      <c r="D29" s="8" t="s">
        <v>171</v>
      </c>
    </row>
    <row r="30" spans="1:4" ht="15" customHeight="1" x14ac:dyDescent="0.25">
      <c r="A30" s="8" t="s">
        <v>125</v>
      </c>
      <c r="B30" s="15" t="s">
        <v>167</v>
      </c>
      <c r="C30" s="8" t="s">
        <v>170</v>
      </c>
      <c r="D30" s="8" t="s">
        <v>171</v>
      </c>
    </row>
    <row r="31" spans="1:4" ht="15" customHeight="1" x14ac:dyDescent="0.25">
      <c r="A31" s="8" t="s">
        <v>125</v>
      </c>
      <c r="B31" s="15" t="s">
        <v>168</v>
      </c>
      <c r="C31" s="8" t="s">
        <v>170</v>
      </c>
      <c r="D31" s="8" t="s">
        <v>171</v>
      </c>
    </row>
    <row r="32" spans="1:4" ht="15" customHeight="1" x14ac:dyDescent="0.25">
      <c r="A32" s="8" t="s">
        <v>125</v>
      </c>
      <c r="B32" s="15" t="s">
        <v>169</v>
      </c>
      <c r="C32" s="8" t="s">
        <v>170</v>
      </c>
      <c r="D32" s="8" t="s">
        <v>171</v>
      </c>
    </row>
    <row r="33" spans="1:4" ht="15" customHeight="1" x14ac:dyDescent="0.25">
      <c r="A33" s="8" t="s">
        <v>116</v>
      </c>
      <c r="B33" s="15" t="s">
        <v>172</v>
      </c>
      <c r="C33" s="8" t="s">
        <v>140</v>
      </c>
      <c r="D33" s="8" t="s">
        <v>171</v>
      </c>
    </row>
    <row r="34" spans="1:4" ht="15" customHeight="1" x14ac:dyDescent="0.25">
      <c r="A34" s="8" t="s">
        <v>116</v>
      </c>
      <c r="B34" s="15" t="s">
        <v>173</v>
      </c>
      <c r="C34" s="8" t="s">
        <v>140</v>
      </c>
      <c r="D34" s="8" t="s">
        <v>171</v>
      </c>
    </row>
    <row r="35" spans="1:4" ht="15" customHeight="1" x14ac:dyDescent="0.25">
      <c r="A35" s="8" t="s">
        <v>116</v>
      </c>
      <c r="B35" s="15" t="s">
        <v>174</v>
      </c>
      <c r="C35" s="8" t="s">
        <v>152</v>
      </c>
      <c r="D35" s="8" t="s">
        <v>171</v>
      </c>
    </row>
    <row r="36" spans="1:4" ht="15" customHeight="1" x14ac:dyDescent="0.25">
      <c r="A36" s="8" t="s">
        <v>116</v>
      </c>
      <c r="B36" s="15" t="s">
        <v>175</v>
      </c>
      <c r="C36" s="8" t="s">
        <v>152</v>
      </c>
      <c r="D36" s="8" t="s">
        <v>171</v>
      </c>
    </row>
    <row r="37" spans="1:4" ht="15" customHeight="1" x14ac:dyDescent="0.25">
      <c r="A37" s="8" t="s">
        <v>116</v>
      </c>
      <c r="B37" s="15" t="s">
        <v>176</v>
      </c>
      <c r="C37" s="8" t="s">
        <v>152</v>
      </c>
      <c r="D37" s="8" t="s">
        <v>171</v>
      </c>
    </row>
    <row r="38" spans="1:4" ht="15" customHeight="1" x14ac:dyDescent="0.25">
      <c r="A38" s="8" t="s">
        <v>116</v>
      </c>
      <c r="B38" s="15" t="s">
        <v>177</v>
      </c>
      <c r="C38" s="8" t="s">
        <v>152</v>
      </c>
      <c r="D38" s="8" t="s">
        <v>171</v>
      </c>
    </row>
    <row r="39" spans="1:4" ht="15" customHeight="1" x14ac:dyDescent="0.25">
      <c r="A39" s="8" t="s">
        <v>116</v>
      </c>
      <c r="B39" s="15" t="s">
        <v>178</v>
      </c>
      <c r="C39" s="8" t="s">
        <v>152</v>
      </c>
      <c r="D39" s="8" t="s">
        <v>171</v>
      </c>
    </row>
    <row r="40" spans="1:4" ht="15" customHeight="1" x14ac:dyDescent="0.25">
      <c r="A40" s="8" t="s">
        <v>116</v>
      </c>
      <c r="B40" s="15" t="s">
        <v>179</v>
      </c>
      <c r="C40" s="8" t="s">
        <v>152</v>
      </c>
      <c r="D40" s="8" t="s">
        <v>171</v>
      </c>
    </row>
    <row r="41" spans="1:4" ht="15" customHeight="1" x14ac:dyDescent="0.25">
      <c r="A41" s="8" t="s">
        <v>116</v>
      </c>
      <c r="B41" s="15" t="s">
        <v>180</v>
      </c>
      <c r="C41" s="8" t="s">
        <v>152</v>
      </c>
      <c r="D41" s="8" t="s">
        <v>171</v>
      </c>
    </row>
    <row r="42" spans="1:4" ht="15" customHeight="1" x14ac:dyDescent="0.25">
      <c r="A42" s="8" t="s">
        <v>116</v>
      </c>
      <c r="B42" s="15" t="s">
        <v>181</v>
      </c>
      <c r="C42" s="8" t="s">
        <v>194</v>
      </c>
      <c r="D42" s="8" t="s">
        <v>171</v>
      </c>
    </row>
    <row r="43" spans="1:4" ht="15" customHeight="1" x14ac:dyDescent="0.25">
      <c r="A43" s="8" t="s">
        <v>116</v>
      </c>
      <c r="B43" s="15" t="s">
        <v>182</v>
      </c>
      <c r="C43" s="8" t="s">
        <v>194</v>
      </c>
      <c r="D43" s="8" t="s">
        <v>171</v>
      </c>
    </row>
    <row r="44" spans="1:4" ht="15" customHeight="1" x14ac:dyDescent="0.25">
      <c r="A44" s="8" t="s">
        <v>116</v>
      </c>
      <c r="B44" s="15" t="s">
        <v>183</v>
      </c>
      <c r="C44" s="8" t="s">
        <v>194</v>
      </c>
      <c r="D44" s="8" t="s">
        <v>171</v>
      </c>
    </row>
    <row r="45" spans="1:4" ht="15" customHeight="1" x14ac:dyDescent="0.25">
      <c r="A45" s="8" t="s">
        <v>116</v>
      </c>
      <c r="B45" s="15" t="s">
        <v>184</v>
      </c>
      <c r="C45" s="8" t="s">
        <v>194</v>
      </c>
      <c r="D45" s="8" t="s">
        <v>171</v>
      </c>
    </row>
    <row r="46" spans="1:4" ht="15" customHeight="1" x14ac:dyDescent="0.25">
      <c r="A46" s="8" t="s">
        <v>116</v>
      </c>
      <c r="B46" s="15" t="s">
        <v>185</v>
      </c>
      <c r="C46" s="8" t="s">
        <v>194</v>
      </c>
      <c r="D46" s="8" t="s">
        <v>171</v>
      </c>
    </row>
    <row r="47" spans="1:4" ht="15" customHeight="1" x14ac:dyDescent="0.25">
      <c r="A47" s="8" t="s">
        <v>116</v>
      </c>
      <c r="B47" s="15" t="s">
        <v>186</v>
      </c>
      <c r="C47" s="8" t="s">
        <v>194</v>
      </c>
      <c r="D47" s="8" t="s">
        <v>171</v>
      </c>
    </row>
    <row r="48" spans="1:4" ht="15" customHeight="1" x14ac:dyDescent="0.25">
      <c r="A48" s="8" t="s">
        <v>116</v>
      </c>
      <c r="B48" s="15" t="s">
        <v>187</v>
      </c>
      <c r="C48" s="8" t="s">
        <v>194</v>
      </c>
      <c r="D48" s="8" t="s">
        <v>171</v>
      </c>
    </row>
    <row r="49" spans="1:4" ht="15" customHeight="1" x14ac:dyDescent="0.25">
      <c r="A49" s="8" t="s">
        <v>116</v>
      </c>
      <c r="B49" s="15" t="s">
        <v>188</v>
      </c>
      <c r="C49" s="8" t="s">
        <v>194</v>
      </c>
      <c r="D49" s="8" t="s">
        <v>171</v>
      </c>
    </row>
    <row r="50" spans="1:4" ht="15" customHeight="1" x14ac:dyDescent="0.25">
      <c r="A50" s="8" t="s">
        <v>116</v>
      </c>
      <c r="B50" s="15" t="s">
        <v>189</v>
      </c>
      <c r="C50" s="8" t="s">
        <v>194</v>
      </c>
      <c r="D50" s="8" t="s">
        <v>171</v>
      </c>
    </row>
    <row r="51" spans="1:4" ht="15" customHeight="1" x14ac:dyDescent="0.25">
      <c r="A51" s="8" t="s">
        <v>116</v>
      </c>
      <c r="B51" s="15" t="s">
        <v>190</v>
      </c>
      <c r="C51" s="8" t="s">
        <v>194</v>
      </c>
      <c r="D51" s="8" t="s">
        <v>171</v>
      </c>
    </row>
    <row r="52" spans="1:4" ht="15" customHeight="1" x14ac:dyDescent="0.25">
      <c r="A52" s="8" t="s">
        <v>116</v>
      </c>
      <c r="B52" s="15" t="s">
        <v>191</v>
      </c>
      <c r="C52" s="8" t="s">
        <v>194</v>
      </c>
      <c r="D52" s="8" t="s">
        <v>171</v>
      </c>
    </row>
    <row r="53" spans="1:4" ht="15" customHeight="1" x14ac:dyDescent="0.25">
      <c r="A53" s="8" t="s">
        <v>116</v>
      </c>
      <c r="B53" s="15" t="s">
        <v>192</v>
      </c>
      <c r="C53" s="8" t="s">
        <v>194</v>
      </c>
      <c r="D53" s="8" t="s">
        <v>171</v>
      </c>
    </row>
    <row r="54" spans="1:4" ht="15" customHeight="1" x14ac:dyDescent="0.25">
      <c r="A54" s="8" t="s">
        <v>116</v>
      </c>
      <c r="B54" s="15" t="s">
        <v>193</v>
      </c>
      <c r="C54" s="8" t="s">
        <v>194</v>
      </c>
      <c r="D54" s="8" t="s">
        <v>171</v>
      </c>
    </row>
    <row r="55" spans="1:4" ht="15" customHeight="1" x14ac:dyDescent="0.25">
      <c r="A55" s="8" t="s">
        <v>116</v>
      </c>
      <c r="B55" s="15" t="s">
        <v>195</v>
      </c>
      <c r="C55" s="8" t="s">
        <v>170</v>
      </c>
      <c r="D55" s="8" t="s">
        <v>171</v>
      </c>
    </row>
    <row r="56" spans="1:4" ht="15" customHeight="1" x14ac:dyDescent="0.25">
      <c r="A56" s="8" t="s">
        <v>116</v>
      </c>
      <c r="B56" s="15" t="s">
        <v>196</v>
      </c>
      <c r="C56" s="8" t="s">
        <v>170</v>
      </c>
      <c r="D56" s="8" t="s">
        <v>171</v>
      </c>
    </row>
    <row r="57" spans="1:4" ht="15" customHeight="1" x14ac:dyDescent="0.25">
      <c r="A57" s="8" t="s">
        <v>116</v>
      </c>
      <c r="B57" s="15" t="s">
        <v>197</v>
      </c>
      <c r="C57" s="8" t="s">
        <v>170</v>
      </c>
      <c r="D57" s="8" t="s">
        <v>171</v>
      </c>
    </row>
    <row r="58" spans="1:4" ht="15" customHeight="1" x14ac:dyDescent="0.25">
      <c r="A58" s="8" t="s">
        <v>116</v>
      </c>
      <c r="B58" s="15" t="s">
        <v>198</v>
      </c>
      <c r="C58" s="8" t="s">
        <v>170</v>
      </c>
      <c r="D58" s="8" t="s">
        <v>171</v>
      </c>
    </row>
    <row r="59" spans="1:4" ht="15" customHeight="1" x14ac:dyDescent="0.25">
      <c r="A59" s="8" t="s">
        <v>116</v>
      </c>
      <c r="B59" s="15" t="s">
        <v>199</v>
      </c>
      <c r="C59" s="8" t="s">
        <v>170</v>
      </c>
      <c r="D59" s="8" t="s">
        <v>171</v>
      </c>
    </row>
    <row r="60" spans="1:4" ht="15" customHeight="1" x14ac:dyDescent="0.25">
      <c r="A60" s="8" t="s">
        <v>129</v>
      </c>
      <c r="B60" s="8" t="s">
        <v>200</v>
      </c>
      <c r="C60" s="8" t="s">
        <v>140</v>
      </c>
      <c r="D60" s="8" t="s">
        <v>171</v>
      </c>
    </row>
    <row r="61" spans="1:4" ht="15" customHeight="1" x14ac:dyDescent="0.25">
      <c r="A61" s="8" t="s">
        <v>129</v>
      </c>
      <c r="B61" s="8" t="s">
        <v>201</v>
      </c>
      <c r="C61" s="8" t="s">
        <v>140</v>
      </c>
      <c r="D61" s="8" t="s">
        <v>171</v>
      </c>
    </row>
    <row r="62" spans="1:4" ht="15" customHeight="1" x14ac:dyDescent="0.25">
      <c r="A62" s="8" t="s">
        <v>129</v>
      </c>
      <c r="B62" s="8" t="s">
        <v>202</v>
      </c>
      <c r="C62" s="8" t="s">
        <v>152</v>
      </c>
      <c r="D62" s="8" t="s">
        <v>171</v>
      </c>
    </row>
    <row r="63" spans="1:4" ht="15" customHeight="1" x14ac:dyDescent="0.25">
      <c r="A63" s="8" t="s">
        <v>129</v>
      </c>
      <c r="B63" s="8" t="s">
        <v>203</v>
      </c>
      <c r="C63" s="8" t="s">
        <v>152</v>
      </c>
      <c r="D63" s="8" t="s">
        <v>171</v>
      </c>
    </row>
    <row r="64" spans="1:4" ht="15" customHeight="1" x14ac:dyDescent="0.25">
      <c r="A64" s="8" t="s">
        <v>129</v>
      </c>
      <c r="B64" s="8" t="s">
        <v>204</v>
      </c>
      <c r="C64" s="8" t="s">
        <v>152</v>
      </c>
      <c r="D64" s="8" t="s">
        <v>171</v>
      </c>
    </row>
    <row r="65" spans="1:4" ht="15" customHeight="1" x14ac:dyDescent="0.25">
      <c r="A65" s="8" t="s">
        <v>129</v>
      </c>
      <c r="B65" s="8" t="s">
        <v>205</v>
      </c>
      <c r="C65" s="8" t="s">
        <v>152</v>
      </c>
      <c r="D65" s="8" t="s">
        <v>171</v>
      </c>
    </row>
    <row r="66" spans="1:4" ht="15" customHeight="1" x14ac:dyDescent="0.25">
      <c r="A66" s="8" t="s">
        <v>129</v>
      </c>
      <c r="B66" s="8" t="s">
        <v>206</v>
      </c>
      <c r="C66" s="8" t="s">
        <v>152</v>
      </c>
      <c r="D66" s="8" t="s">
        <v>171</v>
      </c>
    </row>
    <row r="67" spans="1:4" ht="15" customHeight="1" x14ac:dyDescent="0.25">
      <c r="A67" s="8" t="s">
        <v>129</v>
      </c>
      <c r="B67" s="8" t="s">
        <v>207</v>
      </c>
      <c r="C67" s="8" t="s">
        <v>152</v>
      </c>
      <c r="D67" s="8" t="s">
        <v>171</v>
      </c>
    </row>
    <row r="68" spans="1:4" ht="15" customHeight="1" x14ac:dyDescent="0.25">
      <c r="A68" s="8" t="s">
        <v>129</v>
      </c>
      <c r="B68" s="8" t="s">
        <v>208</v>
      </c>
      <c r="C68" s="8" t="s">
        <v>152</v>
      </c>
      <c r="D68" s="8" t="s">
        <v>171</v>
      </c>
    </row>
    <row r="69" spans="1:4" ht="15" customHeight="1" x14ac:dyDescent="0.25">
      <c r="A69" s="8" t="s">
        <v>129</v>
      </c>
      <c r="B69" s="8" t="s">
        <v>209</v>
      </c>
      <c r="C69" s="8" t="s">
        <v>152</v>
      </c>
      <c r="D69" s="8" t="s">
        <v>171</v>
      </c>
    </row>
    <row r="70" spans="1:4" ht="15" customHeight="1" x14ac:dyDescent="0.25">
      <c r="A70" s="8" t="s">
        <v>129</v>
      </c>
      <c r="B70" s="8" t="s">
        <v>210</v>
      </c>
      <c r="C70" s="8" t="s">
        <v>152</v>
      </c>
      <c r="D70" s="8" t="s">
        <v>171</v>
      </c>
    </row>
    <row r="71" spans="1:4" ht="15" customHeight="1" x14ac:dyDescent="0.25">
      <c r="A71" s="8" t="s">
        <v>129</v>
      </c>
      <c r="B71" s="8" t="s">
        <v>211</v>
      </c>
      <c r="C71" s="8" t="s">
        <v>152</v>
      </c>
      <c r="D71" s="8" t="s">
        <v>171</v>
      </c>
    </row>
    <row r="72" spans="1:4" ht="15" customHeight="1" x14ac:dyDescent="0.25">
      <c r="A72" s="8" t="s">
        <v>129</v>
      </c>
      <c r="B72" s="8" t="s">
        <v>212</v>
      </c>
      <c r="C72" s="8" t="s">
        <v>152</v>
      </c>
      <c r="D72" s="8" t="s">
        <v>171</v>
      </c>
    </row>
    <row r="73" spans="1:4" ht="15" customHeight="1" x14ac:dyDescent="0.25">
      <c r="A73" s="8" t="s">
        <v>129</v>
      </c>
      <c r="B73" s="8" t="s">
        <v>213</v>
      </c>
      <c r="C73" s="8" t="s">
        <v>194</v>
      </c>
      <c r="D73" s="8" t="s">
        <v>171</v>
      </c>
    </row>
    <row r="74" spans="1:4" ht="15" customHeight="1" x14ac:dyDescent="0.25">
      <c r="A74" s="8" t="s">
        <v>129</v>
      </c>
      <c r="B74" s="8" t="s">
        <v>214</v>
      </c>
      <c r="C74" s="8" t="s">
        <v>194</v>
      </c>
      <c r="D74" s="8" t="s">
        <v>171</v>
      </c>
    </row>
    <row r="75" spans="1:4" ht="15" customHeight="1" x14ac:dyDescent="0.25">
      <c r="A75" s="8" t="s">
        <v>129</v>
      </c>
      <c r="B75" s="8" t="s">
        <v>215</v>
      </c>
      <c r="C75" s="8" t="s">
        <v>194</v>
      </c>
      <c r="D75" s="8" t="s">
        <v>171</v>
      </c>
    </row>
    <row r="76" spans="1:4" ht="15" customHeight="1" x14ac:dyDescent="0.25">
      <c r="A76" s="8" t="s">
        <v>129</v>
      </c>
      <c r="B76" s="8" t="s">
        <v>216</v>
      </c>
      <c r="C76" s="8" t="s">
        <v>194</v>
      </c>
      <c r="D76" s="8" t="s">
        <v>171</v>
      </c>
    </row>
    <row r="77" spans="1:4" ht="15" customHeight="1" x14ac:dyDescent="0.25">
      <c r="A77" s="8" t="s">
        <v>129</v>
      </c>
      <c r="B77" s="8" t="s">
        <v>217</v>
      </c>
      <c r="C77" s="8" t="s">
        <v>194</v>
      </c>
      <c r="D77" s="8" t="s">
        <v>171</v>
      </c>
    </row>
    <row r="78" spans="1:4" ht="15" customHeight="1" x14ac:dyDescent="0.25">
      <c r="A78" s="8" t="s">
        <v>129</v>
      </c>
      <c r="B78" s="8" t="s">
        <v>218</v>
      </c>
      <c r="C78" s="8" t="s">
        <v>194</v>
      </c>
      <c r="D78" s="8" t="s">
        <v>171</v>
      </c>
    </row>
    <row r="79" spans="1:4" ht="15" customHeight="1" x14ac:dyDescent="0.25">
      <c r="A79" s="8" t="s">
        <v>129</v>
      </c>
      <c r="B79" s="8" t="s">
        <v>219</v>
      </c>
      <c r="C79" s="8" t="s">
        <v>194</v>
      </c>
      <c r="D79" s="8" t="s">
        <v>171</v>
      </c>
    </row>
    <row r="80" spans="1:4" ht="15" customHeight="1" x14ac:dyDescent="0.25">
      <c r="A80" s="8" t="s">
        <v>129</v>
      </c>
      <c r="B80" s="8" t="s">
        <v>220</v>
      </c>
      <c r="C80" s="8" t="s">
        <v>194</v>
      </c>
      <c r="D80" s="8" t="s">
        <v>171</v>
      </c>
    </row>
    <row r="81" spans="1:4" ht="15" customHeight="1" x14ac:dyDescent="0.25">
      <c r="A81" s="8" t="s">
        <v>129</v>
      </c>
      <c r="B81" s="8" t="s">
        <v>221</v>
      </c>
      <c r="C81" s="8" t="s">
        <v>170</v>
      </c>
      <c r="D81" s="8" t="s">
        <v>171</v>
      </c>
    </row>
    <row r="82" spans="1:4" ht="15" customHeight="1" x14ac:dyDescent="0.25">
      <c r="A82" s="8" t="s">
        <v>129</v>
      </c>
      <c r="B82" s="8" t="s">
        <v>222</v>
      </c>
      <c r="C82" s="8" t="s">
        <v>170</v>
      </c>
      <c r="D82" s="8" t="s">
        <v>171</v>
      </c>
    </row>
    <row r="83" spans="1:4" ht="15" customHeight="1" x14ac:dyDescent="0.25">
      <c r="A83" s="8" t="s">
        <v>129</v>
      </c>
      <c r="B83" s="8" t="s">
        <v>223</v>
      </c>
      <c r="C83" s="8" t="s">
        <v>170</v>
      </c>
      <c r="D83" s="8" t="s">
        <v>171</v>
      </c>
    </row>
    <row r="84" spans="1:4" ht="15" customHeight="1" x14ac:dyDescent="0.25">
      <c r="A84" s="8" t="s">
        <v>129</v>
      </c>
      <c r="B84" s="8" t="s">
        <v>224</v>
      </c>
      <c r="C84" s="8" t="s">
        <v>170</v>
      </c>
      <c r="D84" s="8" t="s">
        <v>171</v>
      </c>
    </row>
    <row r="85" spans="1:4" ht="15" customHeight="1" x14ac:dyDescent="0.25">
      <c r="A85" s="8" t="s">
        <v>129</v>
      </c>
      <c r="B85" s="8" t="s">
        <v>225</v>
      </c>
      <c r="C85" s="8" t="s">
        <v>170</v>
      </c>
      <c r="D85" s="8" t="s">
        <v>171</v>
      </c>
    </row>
    <row r="86" spans="1:4" ht="15" customHeight="1" x14ac:dyDescent="0.25">
      <c r="A86" s="8" t="s">
        <v>129</v>
      </c>
      <c r="B86" s="8" t="s">
        <v>226</v>
      </c>
      <c r="C86" s="8" t="s">
        <v>170</v>
      </c>
      <c r="D86" s="8" t="s">
        <v>171</v>
      </c>
    </row>
    <row r="87" spans="1:4" ht="15" customHeight="1" x14ac:dyDescent="0.25">
      <c r="A87" s="8" t="s">
        <v>129</v>
      </c>
      <c r="B87" s="8" t="s">
        <v>227</v>
      </c>
      <c r="C87" s="8" t="s">
        <v>170</v>
      </c>
      <c r="D87" s="8" t="s">
        <v>171</v>
      </c>
    </row>
    <row r="88" spans="1:4" ht="15" customHeight="1" x14ac:dyDescent="0.25">
      <c r="A88" s="8" t="s">
        <v>129</v>
      </c>
      <c r="B88" s="8" t="s">
        <v>228</v>
      </c>
      <c r="C88" s="8" t="s">
        <v>170</v>
      </c>
      <c r="D88" s="8" t="s">
        <v>171</v>
      </c>
    </row>
    <row r="89" spans="1:4" ht="15" customHeight="1" x14ac:dyDescent="0.25">
      <c r="A89" s="8" t="s">
        <v>129</v>
      </c>
      <c r="B89" s="8" t="s">
        <v>229</v>
      </c>
      <c r="C89" s="8" t="s">
        <v>170</v>
      </c>
      <c r="D89" s="8" t="s">
        <v>171</v>
      </c>
    </row>
    <row r="90" spans="1:4" ht="15" customHeight="1" x14ac:dyDescent="0.25">
      <c r="A90" s="8" t="s">
        <v>129</v>
      </c>
      <c r="B90" s="8" t="s">
        <v>230</v>
      </c>
      <c r="C90" s="8" t="s">
        <v>170</v>
      </c>
      <c r="D90" s="8" t="s">
        <v>171</v>
      </c>
    </row>
    <row r="91" spans="1:4" ht="15" customHeight="1" x14ac:dyDescent="0.25">
      <c r="A91" s="8" t="s">
        <v>126</v>
      </c>
      <c r="B91" s="8" t="s">
        <v>231</v>
      </c>
      <c r="C91" s="8" t="s">
        <v>140</v>
      </c>
      <c r="D91" s="8" t="s">
        <v>171</v>
      </c>
    </row>
    <row r="92" spans="1:4" ht="15" customHeight="1" x14ac:dyDescent="0.25">
      <c r="A92" s="8" t="s">
        <v>126</v>
      </c>
      <c r="B92" s="8" t="s">
        <v>232</v>
      </c>
      <c r="C92" s="8" t="s">
        <v>140</v>
      </c>
      <c r="D92" s="8" t="s">
        <v>171</v>
      </c>
    </row>
    <row r="93" spans="1:4" ht="15" customHeight="1" x14ac:dyDescent="0.25">
      <c r="A93" s="8" t="s">
        <v>126</v>
      </c>
      <c r="B93" s="8" t="s">
        <v>233</v>
      </c>
      <c r="C93" s="8" t="s">
        <v>140</v>
      </c>
      <c r="D93" s="8" t="s">
        <v>171</v>
      </c>
    </row>
    <row r="94" spans="1:4" ht="15" customHeight="1" x14ac:dyDescent="0.25">
      <c r="A94" s="8" t="s">
        <v>126</v>
      </c>
      <c r="B94" s="8" t="s">
        <v>234</v>
      </c>
      <c r="C94" s="8" t="s">
        <v>140</v>
      </c>
      <c r="D94" s="8" t="s">
        <v>171</v>
      </c>
    </row>
    <row r="95" spans="1:4" ht="15" customHeight="1" x14ac:dyDescent="0.25">
      <c r="A95" s="8" t="s">
        <v>126</v>
      </c>
      <c r="B95" s="8" t="s">
        <v>235</v>
      </c>
      <c r="C95" s="8" t="s">
        <v>140</v>
      </c>
      <c r="D95" s="8" t="s">
        <v>171</v>
      </c>
    </row>
    <row r="96" spans="1:4" ht="15" customHeight="1" x14ac:dyDescent="0.25">
      <c r="A96" s="8" t="s">
        <v>126</v>
      </c>
      <c r="B96" s="8" t="s">
        <v>236</v>
      </c>
      <c r="C96" s="8" t="s">
        <v>152</v>
      </c>
      <c r="D96" s="8" t="s">
        <v>171</v>
      </c>
    </row>
    <row r="97" spans="1:4" ht="15" customHeight="1" x14ac:dyDescent="0.25">
      <c r="A97" s="8" t="s">
        <v>126</v>
      </c>
      <c r="B97" s="8" t="s">
        <v>237</v>
      </c>
      <c r="C97" s="8" t="s">
        <v>152</v>
      </c>
      <c r="D97" s="8" t="s">
        <v>171</v>
      </c>
    </row>
    <row r="98" spans="1:4" ht="15" customHeight="1" x14ac:dyDescent="0.25">
      <c r="A98" s="8" t="s">
        <v>126</v>
      </c>
      <c r="B98" s="8" t="s">
        <v>238</v>
      </c>
      <c r="C98" s="8" t="s">
        <v>152</v>
      </c>
      <c r="D98" s="8" t="s">
        <v>171</v>
      </c>
    </row>
    <row r="99" spans="1:4" ht="15" customHeight="1" x14ac:dyDescent="0.25">
      <c r="A99" s="8" t="s">
        <v>126</v>
      </c>
      <c r="B99" s="8" t="s">
        <v>239</v>
      </c>
      <c r="C99" s="8" t="s">
        <v>152</v>
      </c>
      <c r="D99" s="8" t="s">
        <v>171</v>
      </c>
    </row>
    <row r="100" spans="1:4" ht="15" customHeight="1" x14ac:dyDescent="0.25">
      <c r="A100" s="8" t="s">
        <v>126</v>
      </c>
      <c r="B100" s="8" t="s">
        <v>240</v>
      </c>
      <c r="C100" s="8" t="s">
        <v>152</v>
      </c>
      <c r="D100" s="8" t="s">
        <v>171</v>
      </c>
    </row>
    <row r="101" spans="1:4" ht="15" customHeight="1" x14ac:dyDescent="0.25">
      <c r="A101" s="8" t="s">
        <v>126</v>
      </c>
      <c r="B101" s="8" t="s">
        <v>241</v>
      </c>
      <c r="C101" s="8" t="s">
        <v>152</v>
      </c>
      <c r="D101" s="8" t="s">
        <v>171</v>
      </c>
    </row>
    <row r="102" spans="1:4" ht="15" customHeight="1" x14ac:dyDescent="0.25">
      <c r="A102" s="8" t="s">
        <v>126</v>
      </c>
      <c r="B102" s="8" t="s">
        <v>242</v>
      </c>
      <c r="C102" s="8" t="s">
        <v>152</v>
      </c>
      <c r="D102" s="8" t="s">
        <v>171</v>
      </c>
    </row>
    <row r="103" spans="1:4" ht="15" customHeight="1" x14ac:dyDescent="0.25">
      <c r="A103" s="8" t="s">
        <v>126</v>
      </c>
      <c r="B103" s="8" t="s">
        <v>243</v>
      </c>
      <c r="C103" s="8" t="s">
        <v>152</v>
      </c>
      <c r="D103" s="8" t="s">
        <v>171</v>
      </c>
    </row>
    <row r="104" spans="1:4" ht="15" customHeight="1" x14ac:dyDescent="0.25">
      <c r="A104" s="8" t="s">
        <v>126</v>
      </c>
      <c r="B104" s="8" t="s">
        <v>244</v>
      </c>
      <c r="C104" s="8" t="s">
        <v>152</v>
      </c>
      <c r="D104" s="8" t="s">
        <v>171</v>
      </c>
    </row>
    <row r="105" spans="1:4" ht="15" customHeight="1" x14ac:dyDescent="0.25">
      <c r="A105" s="8" t="s">
        <v>126</v>
      </c>
      <c r="B105" s="8" t="s">
        <v>245</v>
      </c>
      <c r="C105" s="8" t="s">
        <v>152</v>
      </c>
      <c r="D105" s="8" t="s">
        <v>171</v>
      </c>
    </row>
    <row r="106" spans="1:4" ht="15" customHeight="1" x14ac:dyDescent="0.25">
      <c r="A106" s="8" t="s">
        <v>126</v>
      </c>
      <c r="B106" s="8" t="s">
        <v>246</v>
      </c>
      <c r="C106" s="8" t="s">
        <v>152</v>
      </c>
      <c r="D106" s="8" t="s">
        <v>171</v>
      </c>
    </row>
    <row r="107" spans="1:4" ht="15" customHeight="1" x14ac:dyDescent="0.25">
      <c r="A107" s="8" t="s">
        <v>126</v>
      </c>
      <c r="B107" s="8" t="s">
        <v>247</v>
      </c>
      <c r="C107" s="8" t="s">
        <v>152</v>
      </c>
      <c r="D107" s="8" t="s">
        <v>171</v>
      </c>
    </row>
    <row r="108" spans="1:4" ht="15" customHeight="1" x14ac:dyDescent="0.25">
      <c r="A108" s="8" t="s">
        <v>126</v>
      </c>
      <c r="B108" s="8" t="s">
        <v>248</v>
      </c>
      <c r="C108" s="8" t="s">
        <v>194</v>
      </c>
      <c r="D108" s="8" t="s">
        <v>171</v>
      </c>
    </row>
    <row r="109" spans="1:4" ht="15" customHeight="1" x14ac:dyDescent="0.25">
      <c r="A109" s="8" t="s">
        <v>126</v>
      </c>
      <c r="B109" s="8" t="s">
        <v>249</v>
      </c>
      <c r="C109" s="8" t="s">
        <v>194</v>
      </c>
      <c r="D109" s="8" t="s">
        <v>171</v>
      </c>
    </row>
    <row r="110" spans="1:4" ht="15" customHeight="1" x14ac:dyDescent="0.25">
      <c r="A110" s="8" t="s">
        <v>126</v>
      </c>
      <c r="B110" s="8" t="s">
        <v>250</v>
      </c>
      <c r="C110" s="8" t="s">
        <v>194</v>
      </c>
      <c r="D110" s="8" t="s">
        <v>171</v>
      </c>
    </row>
    <row r="111" spans="1:4" ht="15" customHeight="1" x14ac:dyDescent="0.25">
      <c r="A111" s="8" t="s">
        <v>126</v>
      </c>
      <c r="B111" s="8" t="s">
        <v>251</v>
      </c>
      <c r="C111" s="8" t="s">
        <v>194</v>
      </c>
      <c r="D111" s="8" t="s">
        <v>171</v>
      </c>
    </row>
    <row r="112" spans="1:4" ht="15" customHeight="1" x14ac:dyDescent="0.25">
      <c r="A112" s="8" t="s">
        <v>126</v>
      </c>
      <c r="B112" s="8" t="s">
        <v>252</v>
      </c>
      <c r="C112" s="8" t="s">
        <v>194</v>
      </c>
      <c r="D112" s="8" t="s">
        <v>171</v>
      </c>
    </row>
    <row r="113" spans="1:4" ht="15" customHeight="1" x14ac:dyDescent="0.25">
      <c r="A113" s="8" t="s">
        <v>126</v>
      </c>
      <c r="B113" s="8" t="s">
        <v>253</v>
      </c>
      <c r="C113" s="8" t="s">
        <v>194</v>
      </c>
      <c r="D113" s="8" t="s">
        <v>171</v>
      </c>
    </row>
    <row r="114" spans="1:4" ht="15" customHeight="1" x14ac:dyDescent="0.25">
      <c r="A114" s="8" t="s">
        <v>126</v>
      </c>
      <c r="B114" s="8" t="s">
        <v>254</v>
      </c>
      <c r="C114" s="8" t="s">
        <v>194</v>
      </c>
      <c r="D114" s="8" t="s">
        <v>171</v>
      </c>
    </row>
    <row r="115" spans="1:4" ht="15" customHeight="1" x14ac:dyDescent="0.25">
      <c r="A115" s="8" t="s">
        <v>126</v>
      </c>
      <c r="B115" s="8" t="s">
        <v>255</v>
      </c>
      <c r="C115" s="8" t="s">
        <v>194</v>
      </c>
      <c r="D115" s="8" t="s">
        <v>171</v>
      </c>
    </row>
    <row r="116" spans="1:4" ht="15" customHeight="1" x14ac:dyDescent="0.25">
      <c r="A116" s="8" t="s">
        <v>126</v>
      </c>
      <c r="B116" s="8" t="s">
        <v>256</v>
      </c>
      <c r="C116" s="8" t="s">
        <v>194</v>
      </c>
      <c r="D116" s="8" t="s">
        <v>171</v>
      </c>
    </row>
    <row r="117" spans="1:4" ht="15" customHeight="1" x14ac:dyDescent="0.25">
      <c r="A117" s="8" t="s">
        <v>126</v>
      </c>
      <c r="B117" s="8" t="s">
        <v>257</v>
      </c>
      <c r="C117" s="8" t="s">
        <v>194</v>
      </c>
      <c r="D117" s="8" t="s">
        <v>171</v>
      </c>
    </row>
    <row r="118" spans="1:4" ht="15" customHeight="1" x14ac:dyDescent="0.25">
      <c r="A118" s="8" t="s">
        <v>126</v>
      </c>
      <c r="B118" s="8" t="s">
        <v>258</v>
      </c>
      <c r="C118" s="8" t="s">
        <v>194</v>
      </c>
      <c r="D118" s="8" t="s">
        <v>171</v>
      </c>
    </row>
    <row r="119" spans="1:4" ht="15" customHeight="1" x14ac:dyDescent="0.25">
      <c r="A119" s="8" t="s">
        <v>126</v>
      </c>
      <c r="B119" s="8" t="s">
        <v>259</v>
      </c>
      <c r="C119" s="8" t="s">
        <v>194</v>
      </c>
      <c r="D119" s="8" t="s">
        <v>171</v>
      </c>
    </row>
    <row r="120" spans="1:4" ht="15" customHeight="1" x14ac:dyDescent="0.25">
      <c r="A120" s="8" t="s">
        <v>126</v>
      </c>
      <c r="B120" s="8" t="s">
        <v>260</v>
      </c>
      <c r="C120" s="8" t="s">
        <v>170</v>
      </c>
      <c r="D120" s="8" t="s">
        <v>171</v>
      </c>
    </row>
    <row r="121" spans="1:4" ht="15" customHeight="1" x14ac:dyDescent="0.25">
      <c r="A121" s="8" t="s">
        <v>126</v>
      </c>
      <c r="B121" s="8" t="s">
        <v>261</v>
      </c>
      <c r="C121" s="8" t="s">
        <v>170</v>
      </c>
      <c r="D121" s="8" t="s">
        <v>171</v>
      </c>
    </row>
    <row r="122" spans="1:4" ht="15" customHeight="1" x14ac:dyDescent="0.25">
      <c r="A122" s="8" t="s">
        <v>126</v>
      </c>
      <c r="B122" s="8" t="s">
        <v>262</v>
      </c>
      <c r="C122" s="8" t="s">
        <v>170</v>
      </c>
      <c r="D122" s="8" t="s">
        <v>171</v>
      </c>
    </row>
    <row r="123" spans="1:4" ht="15" customHeight="1" x14ac:dyDescent="0.25">
      <c r="A123" s="8" t="s">
        <v>126</v>
      </c>
      <c r="B123" s="8" t="s">
        <v>263</v>
      </c>
      <c r="C123" s="8" t="s">
        <v>170</v>
      </c>
      <c r="D123" s="8" t="s">
        <v>171</v>
      </c>
    </row>
    <row r="124" spans="1:4" ht="15" customHeight="1" x14ac:dyDescent="0.25">
      <c r="A124" s="8" t="s">
        <v>126</v>
      </c>
      <c r="B124" s="8" t="s">
        <v>264</v>
      </c>
      <c r="C124" s="8" t="s">
        <v>170</v>
      </c>
      <c r="D124" s="8" t="s">
        <v>171</v>
      </c>
    </row>
    <row r="125" spans="1:4" ht="15" customHeight="1" x14ac:dyDescent="0.25">
      <c r="A125" s="8" t="s">
        <v>126</v>
      </c>
      <c r="B125" s="8" t="s">
        <v>265</v>
      </c>
      <c r="C125" s="8" t="s">
        <v>170</v>
      </c>
      <c r="D125" s="8" t="s">
        <v>171</v>
      </c>
    </row>
    <row r="126" spans="1:4" ht="15" customHeight="1" x14ac:dyDescent="0.25">
      <c r="A126" s="8" t="s">
        <v>121</v>
      </c>
      <c r="B126" s="8" t="s">
        <v>266</v>
      </c>
      <c r="C126" s="8" t="s">
        <v>140</v>
      </c>
      <c r="D126" s="8" t="s">
        <v>171</v>
      </c>
    </row>
    <row r="127" spans="1:4" ht="15" customHeight="1" x14ac:dyDescent="0.25">
      <c r="A127" s="8" t="s">
        <v>121</v>
      </c>
      <c r="B127" s="8" t="s">
        <v>267</v>
      </c>
      <c r="C127" s="8" t="s">
        <v>140</v>
      </c>
      <c r="D127" s="8" t="s">
        <v>171</v>
      </c>
    </row>
    <row r="128" spans="1:4" ht="15" customHeight="1" x14ac:dyDescent="0.25">
      <c r="A128" s="8" t="s">
        <v>121</v>
      </c>
      <c r="B128" s="8" t="s">
        <v>268</v>
      </c>
      <c r="C128" s="8" t="s">
        <v>140</v>
      </c>
      <c r="D128" s="8" t="s">
        <v>171</v>
      </c>
    </row>
    <row r="129" spans="1:4" ht="15" customHeight="1" x14ac:dyDescent="0.25">
      <c r="A129" s="8" t="s">
        <v>121</v>
      </c>
      <c r="B129" s="8" t="s">
        <v>269</v>
      </c>
      <c r="C129" s="8" t="s">
        <v>140</v>
      </c>
      <c r="D129" s="8" t="s">
        <v>171</v>
      </c>
    </row>
    <row r="130" spans="1:4" ht="15" customHeight="1" x14ac:dyDescent="0.25">
      <c r="A130" s="8" t="s">
        <v>121</v>
      </c>
      <c r="B130" s="8" t="s">
        <v>270</v>
      </c>
      <c r="C130" s="8" t="s">
        <v>152</v>
      </c>
      <c r="D130" s="8" t="s">
        <v>171</v>
      </c>
    </row>
    <row r="131" spans="1:4" ht="15" customHeight="1" x14ac:dyDescent="0.25">
      <c r="A131" s="8" t="s">
        <v>121</v>
      </c>
      <c r="B131" s="8" t="s">
        <v>271</v>
      </c>
      <c r="C131" s="8" t="s">
        <v>152</v>
      </c>
      <c r="D131" s="8" t="s">
        <v>171</v>
      </c>
    </row>
    <row r="132" spans="1:4" ht="15" customHeight="1" x14ac:dyDescent="0.25">
      <c r="A132" s="8" t="s">
        <v>121</v>
      </c>
      <c r="B132" s="8" t="s">
        <v>272</v>
      </c>
      <c r="C132" s="8" t="s">
        <v>152</v>
      </c>
      <c r="D132" s="8" t="s">
        <v>171</v>
      </c>
    </row>
    <row r="133" spans="1:4" ht="15" customHeight="1" x14ac:dyDescent="0.25">
      <c r="A133" s="8" t="s">
        <v>121</v>
      </c>
      <c r="B133" s="8" t="s">
        <v>273</v>
      </c>
      <c r="C133" s="8" t="s">
        <v>152</v>
      </c>
      <c r="D133" s="8" t="s">
        <v>171</v>
      </c>
    </row>
    <row r="134" spans="1:4" ht="15" customHeight="1" x14ac:dyDescent="0.25">
      <c r="A134" s="8" t="s">
        <v>121</v>
      </c>
      <c r="B134" s="8" t="s">
        <v>274</v>
      </c>
      <c r="C134" s="8" t="s">
        <v>152</v>
      </c>
      <c r="D134" s="8" t="s">
        <v>171</v>
      </c>
    </row>
    <row r="135" spans="1:4" ht="15" customHeight="1" x14ac:dyDescent="0.25">
      <c r="A135" s="8" t="s">
        <v>121</v>
      </c>
      <c r="B135" s="8" t="s">
        <v>275</v>
      </c>
      <c r="C135" s="8" t="s">
        <v>152</v>
      </c>
      <c r="D135" s="8" t="s">
        <v>171</v>
      </c>
    </row>
    <row r="136" spans="1:4" ht="15" customHeight="1" x14ac:dyDescent="0.25">
      <c r="A136" s="8" t="s">
        <v>121</v>
      </c>
      <c r="B136" s="8" t="s">
        <v>276</v>
      </c>
      <c r="C136" s="8" t="s">
        <v>152</v>
      </c>
      <c r="D136" s="8" t="s">
        <v>171</v>
      </c>
    </row>
    <row r="137" spans="1:4" ht="15" customHeight="1" x14ac:dyDescent="0.25">
      <c r="A137" s="8" t="s">
        <v>121</v>
      </c>
      <c r="B137" s="8" t="s">
        <v>277</v>
      </c>
      <c r="C137" s="8" t="s">
        <v>152</v>
      </c>
      <c r="D137" s="8" t="s">
        <v>171</v>
      </c>
    </row>
    <row r="138" spans="1:4" ht="15" customHeight="1" x14ac:dyDescent="0.25">
      <c r="A138" s="8" t="s">
        <v>121</v>
      </c>
      <c r="B138" s="8" t="s">
        <v>278</v>
      </c>
      <c r="C138" s="8" t="s">
        <v>152</v>
      </c>
      <c r="D138" s="8" t="s">
        <v>171</v>
      </c>
    </row>
    <row r="139" spans="1:4" ht="15" customHeight="1" x14ac:dyDescent="0.25">
      <c r="A139" s="8" t="s">
        <v>121</v>
      </c>
      <c r="B139" s="8" t="s">
        <v>279</v>
      </c>
      <c r="C139" s="8" t="s">
        <v>152</v>
      </c>
      <c r="D139" s="8" t="s">
        <v>171</v>
      </c>
    </row>
    <row r="140" spans="1:4" ht="15" customHeight="1" x14ac:dyDescent="0.25">
      <c r="A140" s="8" t="s">
        <v>121</v>
      </c>
      <c r="B140" s="8" t="s">
        <v>280</v>
      </c>
      <c r="C140" s="8" t="s">
        <v>194</v>
      </c>
      <c r="D140" s="8" t="s">
        <v>171</v>
      </c>
    </row>
    <row r="141" spans="1:4" ht="15" customHeight="1" x14ac:dyDescent="0.25">
      <c r="A141" s="8" t="s">
        <v>121</v>
      </c>
      <c r="B141" s="8" t="s">
        <v>281</v>
      </c>
      <c r="C141" s="8" t="s">
        <v>194</v>
      </c>
      <c r="D141" s="8" t="s">
        <v>171</v>
      </c>
    </row>
    <row r="142" spans="1:4" ht="15" customHeight="1" x14ac:dyDescent="0.25">
      <c r="A142" s="8" t="s">
        <v>121</v>
      </c>
      <c r="B142" s="8" t="s">
        <v>282</v>
      </c>
      <c r="C142" s="8" t="s">
        <v>194</v>
      </c>
      <c r="D142" s="8" t="s">
        <v>171</v>
      </c>
    </row>
    <row r="143" spans="1:4" ht="15" customHeight="1" x14ac:dyDescent="0.25">
      <c r="A143" s="8" t="s">
        <v>121</v>
      </c>
      <c r="B143" s="8" t="s">
        <v>283</v>
      </c>
      <c r="C143" s="8" t="s">
        <v>194</v>
      </c>
      <c r="D143" s="8" t="s">
        <v>171</v>
      </c>
    </row>
    <row r="144" spans="1:4" ht="15" customHeight="1" x14ac:dyDescent="0.25">
      <c r="A144" s="8" t="s">
        <v>121</v>
      </c>
      <c r="B144" s="8" t="s">
        <v>284</v>
      </c>
      <c r="C144" s="8" t="s">
        <v>194</v>
      </c>
      <c r="D144" s="8" t="s">
        <v>171</v>
      </c>
    </row>
    <row r="145" spans="1:4" ht="15" customHeight="1" x14ac:dyDescent="0.25">
      <c r="A145" s="8" t="s">
        <v>121</v>
      </c>
      <c r="B145" s="8" t="s">
        <v>285</v>
      </c>
      <c r="C145" s="8" t="s">
        <v>194</v>
      </c>
      <c r="D145" s="8" t="s">
        <v>171</v>
      </c>
    </row>
    <row r="146" spans="1:4" ht="15" customHeight="1" x14ac:dyDescent="0.25">
      <c r="A146" s="8" t="s">
        <v>121</v>
      </c>
      <c r="B146" s="8" t="s">
        <v>286</v>
      </c>
      <c r="C146" s="8" t="s">
        <v>194</v>
      </c>
      <c r="D146" s="8" t="s">
        <v>171</v>
      </c>
    </row>
    <row r="147" spans="1:4" ht="15" customHeight="1" x14ac:dyDescent="0.25">
      <c r="A147" s="8" t="s">
        <v>121</v>
      </c>
      <c r="B147" s="8" t="s">
        <v>287</v>
      </c>
      <c r="C147" s="8" t="s">
        <v>194</v>
      </c>
      <c r="D147" s="8" t="s">
        <v>171</v>
      </c>
    </row>
    <row r="148" spans="1:4" ht="15" customHeight="1" x14ac:dyDescent="0.25">
      <c r="A148" s="8" t="s">
        <v>121</v>
      </c>
      <c r="B148" s="8" t="s">
        <v>288</v>
      </c>
      <c r="C148" s="8" t="s">
        <v>194</v>
      </c>
      <c r="D148" s="8" t="s">
        <v>171</v>
      </c>
    </row>
    <row r="149" spans="1:4" ht="15" customHeight="1" x14ac:dyDescent="0.25">
      <c r="A149" s="8" t="s">
        <v>121</v>
      </c>
      <c r="B149" s="8" t="s">
        <v>289</v>
      </c>
      <c r="C149" s="8" t="s">
        <v>194</v>
      </c>
      <c r="D149" s="8" t="s">
        <v>171</v>
      </c>
    </row>
    <row r="150" spans="1:4" ht="15" customHeight="1" x14ac:dyDescent="0.25">
      <c r="A150" s="8" t="s">
        <v>121</v>
      </c>
      <c r="B150" s="8" t="s">
        <v>290</v>
      </c>
      <c r="C150" s="8" t="s">
        <v>194</v>
      </c>
      <c r="D150" s="8" t="s">
        <v>171</v>
      </c>
    </row>
    <row r="151" spans="1:4" ht="15" customHeight="1" x14ac:dyDescent="0.25">
      <c r="A151" s="8" t="s">
        <v>121</v>
      </c>
      <c r="B151" s="8" t="s">
        <v>291</v>
      </c>
      <c r="C151" s="8" t="s">
        <v>194</v>
      </c>
      <c r="D151" s="8" t="s">
        <v>171</v>
      </c>
    </row>
    <row r="152" spans="1:4" ht="15" customHeight="1" x14ac:dyDescent="0.25">
      <c r="A152" s="8" t="s">
        <v>121</v>
      </c>
      <c r="B152" s="8" t="s">
        <v>292</v>
      </c>
      <c r="C152" s="8" t="s">
        <v>194</v>
      </c>
      <c r="D152" s="8" t="s">
        <v>171</v>
      </c>
    </row>
    <row r="153" spans="1:4" ht="15" customHeight="1" x14ac:dyDescent="0.25">
      <c r="A153" s="8" t="s">
        <v>121</v>
      </c>
      <c r="B153" s="8" t="s">
        <v>293</v>
      </c>
      <c r="C153" s="8" t="s">
        <v>194</v>
      </c>
      <c r="D153" s="8" t="s">
        <v>171</v>
      </c>
    </row>
    <row r="154" spans="1:4" ht="15" customHeight="1" x14ac:dyDescent="0.25">
      <c r="A154" s="8" t="s">
        <v>121</v>
      </c>
      <c r="B154" s="8" t="s">
        <v>294</v>
      </c>
      <c r="C154" s="8" t="s">
        <v>194</v>
      </c>
      <c r="D154" s="8" t="s">
        <v>171</v>
      </c>
    </row>
    <row r="155" spans="1:4" ht="15" customHeight="1" x14ac:dyDescent="0.25">
      <c r="A155" s="8" t="s">
        <v>121</v>
      </c>
      <c r="B155" s="8" t="s">
        <v>295</v>
      </c>
      <c r="C155" s="8" t="s">
        <v>170</v>
      </c>
      <c r="D155" s="8" t="s">
        <v>171</v>
      </c>
    </row>
    <row r="156" spans="1:4" ht="15" customHeight="1" x14ac:dyDescent="0.25">
      <c r="A156" s="8" t="s">
        <v>121</v>
      </c>
      <c r="B156" s="8" t="s">
        <v>296</v>
      </c>
      <c r="C156" s="8" t="s">
        <v>170</v>
      </c>
      <c r="D156" s="8" t="s">
        <v>171</v>
      </c>
    </row>
    <row r="157" spans="1:4" ht="15" customHeight="1" x14ac:dyDescent="0.25">
      <c r="A157" s="8" t="s">
        <v>121</v>
      </c>
      <c r="B157" s="8" t="s">
        <v>297</v>
      </c>
      <c r="C157" s="8" t="s">
        <v>170</v>
      </c>
      <c r="D157" s="8" t="s">
        <v>171</v>
      </c>
    </row>
    <row r="158" spans="1:4" ht="15" customHeight="1" x14ac:dyDescent="0.25">
      <c r="A158" s="8" t="s">
        <v>121</v>
      </c>
      <c r="B158" s="8" t="s">
        <v>298</v>
      </c>
      <c r="C158" s="8" t="s">
        <v>170</v>
      </c>
      <c r="D158" s="8" t="s">
        <v>171</v>
      </c>
    </row>
    <row r="159" spans="1:4" ht="15" customHeight="1" x14ac:dyDescent="0.25">
      <c r="A159" s="8" t="s">
        <v>121</v>
      </c>
      <c r="B159" s="8" t="s">
        <v>299</v>
      </c>
      <c r="C159" s="8" t="s">
        <v>170</v>
      </c>
      <c r="D159" s="8" t="s">
        <v>171</v>
      </c>
    </row>
    <row r="160" spans="1:4" ht="15" customHeight="1" x14ac:dyDescent="0.25">
      <c r="A160" s="8" t="s">
        <v>121</v>
      </c>
      <c r="B160" s="8" t="s">
        <v>300</v>
      </c>
      <c r="C160" s="8" t="s">
        <v>170</v>
      </c>
      <c r="D160" s="8" t="s">
        <v>171</v>
      </c>
    </row>
    <row r="161" spans="1:4" ht="15" customHeight="1" x14ac:dyDescent="0.25">
      <c r="A161" s="8" t="s">
        <v>121</v>
      </c>
      <c r="B161" s="8" t="s">
        <v>301</v>
      </c>
      <c r="C161" s="8" t="s">
        <v>170</v>
      </c>
      <c r="D161" s="8" t="s">
        <v>171</v>
      </c>
    </row>
    <row r="162" spans="1:4" ht="15" customHeight="1" x14ac:dyDescent="0.25">
      <c r="A162" s="8" t="s">
        <v>121</v>
      </c>
      <c r="B162" s="8" t="s">
        <v>302</v>
      </c>
      <c r="C162" s="8" t="s">
        <v>170</v>
      </c>
      <c r="D162" s="8" t="s">
        <v>171</v>
      </c>
    </row>
    <row r="163" spans="1:4" ht="15" customHeight="1" x14ac:dyDescent="0.25">
      <c r="A163" s="8" t="s">
        <v>121</v>
      </c>
      <c r="B163" s="8" t="s">
        <v>303</v>
      </c>
      <c r="C163" s="8" t="s">
        <v>170</v>
      </c>
      <c r="D163" s="8" t="s">
        <v>171</v>
      </c>
    </row>
    <row r="164" spans="1:4" ht="15" customHeight="1" x14ac:dyDescent="0.25">
      <c r="A164" s="8" t="s">
        <v>119</v>
      </c>
      <c r="B164" s="8" t="s">
        <v>304</v>
      </c>
      <c r="C164" s="8" t="s">
        <v>140</v>
      </c>
      <c r="D164" s="8" t="s">
        <v>171</v>
      </c>
    </row>
    <row r="165" spans="1:4" ht="15" customHeight="1" x14ac:dyDescent="0.25">
      <c r="A165" s="8" t="s">
        <v>119</v>
      </c>
      <c r="B165" s="8" t="s">
        <v>305</v>
      </c>
      <c r="C165" s="8" t="s">
        <v>140</v>
      </c>
      <c r="D165" s="8" t="s">
        <v>171</v>
      </c>
    </row>
    <row r="166" spans="1:4" ht="15" customHeight="1" x14ac:dyDescent="0.25">
      <c r="A166" s="8" t="s">
        <v>119</v>
      </c>
      <c r="B166" s="8" t="s">
        <v>306</v>
      </c>
      <c r="C166" s="8" t="s">
        <v>140</v>
      </c>
      <c r="D166" s="8" t="s">
        <v>171</v>
      </c>
    </row>
    <row r="167" spans="1:4" ht="15" customHeight="1" x14ac:dyDescent="0.25">
      <c r="A167" s="8" t="s">
        <v>119</v>
      </c>
      <c r="B167" s="8" t="s">
        <v>307</v>
      </c>
      <c r="C167" s="8" t="s">
        <v>152</v>
      </c>
      <c r="D167" s="8" t="s">
        <v>171</v>
      </c>
    </row>
    <row r="168" spans="1:4" ht="15" customHeight="1" x14ac:dyDescent="0.25">
      <c r="A168" s="8" t="s">
        <v>119</v>
      </c>
      <c r="B168" s="8" t="s">
        <v>308</v>
      </c>
      <c r="C168" s="8" t="s">
        <v>152</v>
      </c>
      <c r="D168" s="8" t="s">
        <v>171</v>
      </c>
    </row>
    <row r="169" spans="1:4" ht="15" customHeight="1" x14ac:dyDescent="0.25">
      <c r="A169" s="8" t="s">
        <v>119</v>
      </c>
      <c r="B169" s="8" t="s">
        <v>309</v>
      </c>
      <c r="C169" s="8" t="s">
        <v>152</v>
      </c>
      <c r="D169" s="8" t="s">
        <v>171</v>
      </c>
    </row>
    <row r="170" spans="1:4" ht="15" customHeight="1" x14ac:dyDescent="0.25">
      <c r="A170" s="8" t="s">
        <v>119</v>
      </c>
      <c r="B170" s="8" t="s">
        <v>310</v>
      </c>
      <c r="C170" s="8" t="s">
        <v>152</v>
      </c>
      <c r="D170" s="8" t="s">
        <v>171</v>
      </c>
    </row>
    <row r="171" spans="1:4" ht="15" customHeight="1" x14ac:dyDescent="0.25">
      <c r="A171" s="8" t="s">
        <v>119</v>
      </c>
      <c r="B171" s="8" t="s">
        <v>311</v>
      </c>
      <c r="C171" s="8" t="s">
        <v>152</v>
      </c>
      <c r="D171" s="8" t="s">
        <v>171</v>
      </c>
    </row>
    <row r="172" spans="1:4" ht="15" customHeight="1" x14ac:dyDescent="0.25">
      <c r="A172" s="8" t="s">
        <v>119</v>
      </c>
      <c r="B172" s="8" t="s">
        <v>312</v>
      </c>
      <c r="C172" s="8" t="s">
        <v>152</v>
      </c>
      <c r="D172" s="8" t="s">
        <v>171</v>
      </c>
    </row>
    <row r="173" spans="1:4" ht="15" customHeight="1" x14ac:dyDescent="0.25">
      <c r="A173" s="8" t="s">
        <v>119</v>
      </c>
      <c r="B173" s="8" t="s">
        <v>255</v>
      </c>
      <c r="C173" s="8" t="s">
        <v>152</v>
      </c>
      <c r="D173" s="8" t="s">
        <v>171</v>
      </c>
    </row>
    <row r="174" spans="1:4" ht="15" customHeight="1" x14ac:dyDescent="0.25">
      <c r="A174" s="8" t="s">
        <v>119</v>
      </c>
      <c r="B174" s="8" t="s">
        <v>313</v>
      </c>
      <c r="C174" s="8" t="s">
        <v>152</v>
      </c>
      <c r="D174" s="8" t="s">
        <v>171</v>
      </c>
    </row>
    <row r="175" spans="1:4" ht="15" customHeight="1" x14ac:dyDescent="0.25">
      <c r="A175" s="8" t="s">
        <v>119</v>
      </c>
      <c r="B175" s="8" t="s">
        <v>314</v>
      </c>
      <c r="C175" s="8" t="s">
        <v>152</v>
      </c>
      <c r="D175" s="8" t="s">
        <v>171</v>
      </c>
    </row>
    <row r="176" spans="1:4" ht="15" customHeight="1" x14ac:dyDescent="0.25">
      <c r="A176" s="8" t="s">
        <v>119</v>
      </c>
      <c r="B176" s="8" t="s">
        <v>315</v>
      </c>
      <c r="C176" s="8" t="s">
        <v>152</v>
      </c>
      <c r="D176" s="8" t="s">
        <v>171</v>
      </c>
    </row>
    <row r="177" spans="1:4" ht="15" customHeight="1" x14ac:dyDescent="0.25">
      <c r="A177" s="8" t="s">
        <v>119</v>
      </c>
      <c r="B177" s="8" t="s">
        <v>316</v>
      </c>
      <c r="C177" s="8" t="s">
        <v>152</v>
      </c>
      <c r="D177" s="8" t="s">
        <v>171</v>
      </c>
    </row>
    <row r="178" spans="1:4" ht="15" customHeight="1" x14ac:dyDescent="0.25">
      <c r="A178" s="8" t="s">
        <v>119</v>
      </c>
      <c r="B178" s="8" t="s">
        <v>317</v>
      </c>
      <c r="C178" s="8" t="s">
        <v>194</v>
      </c>
      <c r="D178" s="8" t="s">
        <v>171</v>
      </c>
    </row>
    <row r="179" spans="1:4" ht="15" customHeight="1" x14ac:dyDescent="0.25">
      <c r="A179" s="8" t="s">
        <v>119</v>
      </c>
      <c r="B179" s="8" t="s">
        <v>318</v>
      </c>
      <c r="C179" s="8" t="s">
        <v>194</v>
      </c>
      <c r="D179" s="8" t="s">
        <v>171</v>
      </c>
    </row>
    <row r="180" spans="1:4" ht="15" customHeight="1" x14ac:dyDescent="0.25">
      <c r="A180" s="8" t="s">
        <v>119</v>
      </c>
      <c r="B180" s="8" t="s">
        <v>319</v>
      </c>
      <c r="C180" s="8" t="s">
        <v>194</v>
      </c>
      <c r="D180" s="8" t="s">
        <v>171</v>
      </c>
    </row>
    <row r="181" spans="1:4" ht="15" customHeight="1" x14ac:dyDescent="0.25">
      <c r="A181" s="8" t="s">
        <v>119</v>
      </c>
      <c r="B181" s="8" t="s">
        <v>320</v>
      </c>
      <c r="C181" s="8" t="s">
        <v>194</v>
      </c>
      <c r="D181" s="8" t="s">
        <v>171</v>
      </c>
    </row>
    <row r="182" spans="1:4" ht="15" customHeight="1" x14ac:dyDescent="0.25">
      <c r="A182" s="8" t="s">
        <v>119</v>
      </c>
      <c r="B182" s="8" t="s">
        <v>321</v>
      </c>
      <c r="C182" s="8" t="s">
        <v>194</v>
      </c>
      <c r="D182" s="8" t="s">
        <v>171</v>
      </c>
    </row>
    <row r="183" spans="1:4" ht="15" customHeight="1" x14ac:dyDescent="0.25">
      <c r="A183" s="8" t="s">
        <v>119</v>
      </c>
      <c r="B183" s="8" t="s">
        <v>322</v>
      </c>
      <c r="C183" s="8" t="s">
        <v>194</v>
      </c>
      <c r="D183" s="8" t="s">
        <v>171</v>
      </c>
    </row>
    <row r="184" spans="1:4" ht="15" customHeight="1" x14ac:dyDescent="0.25">
      <c r="A184" s="8" t="s">
        <v>119</v>
      </c>
      <c r="B184" s="8" t="s">
        <v>323</v>
      </c>
      <c r="C184" s="8" t="s">
        <v>194</v>
      </c>
      <c r="D184" s="8" t="s">
        <v>171</v>
      </c>
    </row>
    <row r="185" spans="1:4" ht="15" customHeight="1" x14ac:dyDescent="0.25">
      <c r="A185" s="8" t="s">
        <v>119</v>
      </c>
      <c r="B185" s="8" t="s">
        <v>324</v>
      </c>
      <c r="C185" s="8" t="s">
        <v>194</v>
      </c>
      <c r="D185" s="8" t="s">
        <v>171</v>
      </c>
    </row>
    <row r="186" spans="1:4" ht="15" customHeight="1" x14ac:dyDescent="0.25">
      <c r="A186" s="8" t="s">
        <v>119</v>
      </c>
      <c r="B186" s="8" t="s">
        <v>325</v>
      </c>
      <c r="C186" s="8" t="s">
        <v>194</v>
      </c>
      <c r="D186" s="8" t="s">
        <v>171</v>
      </c>
    </row>
    <row r="187" spans="1:4" ht="15" customHeight="1" x14ac:dyDescent="0.25">
      <c r="A187" s="8" t="s">
        <v>119</v>
      </c>
      <c r="B187" s="8" t="s">
        <v>326</v>
      </c>
      <c r="C187" s="8" t="s">
        <v>170</v>
      </c>
      <c r="D187" s="8" t="s">
        <v>171</v>
      </c>
    </row>
    <row r="188" spans="1:4" ht="15" customHeight="1" x14ac:dyDescent="0.25">
      <c r="A188" s="8" t="s">
        <v>119</v>
      </c>
      <c r="B188" s="8" t="s">
        <v>327</v>
      </c>
      <c r="C188" s="8" t="s">
        <v>170</v>
      </c>
      <c r="D188" s="8" t="s">
        <v>171</v>
      </c>
    </row>
    <row r="189" spans="1:4" ht="15" customHeight="1" x14ac:dyDescent="0.25">
      <c r="A189" s="8" t="s">
        <v>119</v>
      </c>
      <c r="B189" s="8" t="s">
        <v>328</v>
      </c>
      <c r="C189" s="8" t="s">
        <v>170</v>
      </c>
      <c r="D189" s="8" t="s">
        <v>171</v>
      </c>
    </row>
    <row r="190" spans="1:4" ht="15" customHeight="1" x14ac:dyDescent="0.25">
      <c r="A190" s="8" t="s">
        <v>119</v>
      </c>
      <c r="B190" s="8" t="s">
        <v>329</v>
      </c>
      <c r="C190" s="8" t="s">
        <v>170</v>
      </c>
      <c r="D190" s="8" t="s">
        <v>171</v>
      </c>
    </row>
    <row r="191" spans="1:4" ht="15" customHeight="1" x14ac:dyDescent="0.25">
      <c r="A191" s="8" t="s">
        <v>119</v>
      </c>
      <c r="B191" s="8" t="s">
        <v>330</v>
      </c>
      <c r="C191" s="8" t="s">
        <v>170</v>
      </c>
      <c r="D191" s="8" t="s">
        <v>171</v>
      </c>
    </row>
    <row r="192" spans="1:4" ht="15" customHeight="1" x14ac:dyDescent="0.25">
      <c r="A192" s="8" t="s">
        <v>119</v>
      </c>
      <c r="B192" s="8" t="s">
        <v>331</v>
      </c>
      <c r="C192" s="8" t="s">
        <v>170</v>
      </c>
      <c r="D192" s="8" t="s">
        <v>171</v>
      </c>
    </row>
    <row r="193" spans="1:4" ht="15" customHeight="1" x14ac:dyDescent="0.25">
      <c r="A193" s="8" t="s">
        <v>119</v>
      </c>
      <c r="B193" s="8" t="s">
        <v>332</v>
      </c>
      <c r="C193" s="8" t="s">
        <v>170</v>
      </c>
      <c r="D193" s="8" t="s">
        <v>171</v>
      </c>
    </row>
    <row r="194" spans="1:4" ht="15" customHeight="1" x14ac:dyDescent="0.25">
      <c r="A194" s="8" t="s">
        <v>119</v>
      </c>
      <c r="B194" s="8" t="s">
        <v>333</v>
      </c>
      <c r="C194" s="8" t="s">
        <v>170</v>
      </c>
      <c r="D194" s="8" t="s">
        <v>171</v>
      </c>
    </row>
    <row r="195" spans="1:4" ht="15" customHeight="1" x14ac:dyDescent="0.25">
      <c r="A195" s="8" t="s">
        <v>114</v>
      </c>
      <c r="B195" s="8" t="s">
        <v>334</v>
      </c>
      <c r="C195" s="8" t="s">
        <v>140</v>
      </c>
      <c r="D195" s="8" t="s">
        <v>171</v>
      </c>
    </row>
    <row r="196" spans="1:4" ht="15" customHeight="1" x14ac:dyDescent="0.25">
      <c r="A196" s="8" t="s">
        <v>114</v>
      </c>
      <c r="B196" s="8" t="s">
        <v>335</v>
      </c>
      <c r="C196" s="8" t="s">
        <v>140</v>
      </c>
      <c r="D196" s="8" t="s">
        <v>171</v>
      </c>
    </row>
    <row r="197" spans="1:4" ht="15" customHeight="1" x14ac:dyDescent="0.25">
      <c r="A197" s="8" t="s">
        <v>114</v>
      </c>
      <c r="B197" s="8" t="s">
        <v>336</v>
      </c>
      <c r="C197" s="8" t="s">
        <v>152</v>
      </c>
      <c r="D197" s="8" t="s">
        <v>171</v>
      </c>
    </row>
    <row r="198" spans="1:4" ht="15" customHeight="1" x14ac:dyDescent="0.25">
      <c r="A198" s="8" t="s">
        <v>114</v>
      </c>
      <c r="B198" s="8" t="s">
        <v>337</v>
      </c>
      <c r="C198" s="8" t="s">
        <v>152</v>
      </c>
      <c r="D198" s="8" t="s">
        <v>171</v>
      </c>
    </row>
    <row r="199" spans="1:4" ht="15" customHeight="1" x14ac:dyDescent="0.25">
      <c r="A199" s="8" t="s">
        <v>114</v>
      </c>
      <c r="B199" s="8" t="s">
        <v>338</v>
      </c>
      <c r="C199" s="8" t="s">
        <v>152</v>
      </c>
      <c r="D199" s="8" t="s">
        <v>171</v>
      </c>
    </row>
    <row r="200" spans="1:4" ht="15" customHeight="1" x14ac:dyDescent="0.25">
      <c r="A200" s="8" t="s">
        <v>114</v>
      </c>
      <c r="B200" s="8" t="s">
        <v>339</v>
      </c>
      <c r="C200" s="8" t="s">
        <v>152</v>
      </c>
      <c r="D200" s="8" t="s">
        <v>171</v>
      </c>
    </row>
    <row r="201" spans="1:4" ht="15" customHeight="1" x14ac:dyDescent="0.25">
      <c r="A201" s="8" t="s">
        <v>114</v>
      </c>
      <c r="B201" s="8" t="s">
        <v>340</v>
      </c>
      <c r="C201" s="8" t="s">
        <v>152</v>
      </c>
      <c r="D201" s="8" t="s">
        <v>171</v>
      </c>
    </row>
    <row r="202" spans="1:4" ht="15" customHeight="1" x14ac:dyDescent="0.25">
      <c r="A202" s="8" t="s">
        <v>114</v>
      </c>
      <c r="B202" s="8" t="s">
        <v>341</v>
      </c>
      <c r="C202" s="8" t="s">
        <v>152</v>
      </c>
      <c r="D202" s="8" t="s">
        <v>171</v>
      </c>
    </row>
    <row r="203" spans="1:4" ht="15" customHeight="1" x14ac:dyDescent="0.25">
      <c r="A203" s="8" t="s">
        <v>114</v>
      </c>
      <c r="B203" s="8" t="s">
        <v>342</v>
      </c>
      <c r="C203" s="8" t="s">
        <v>152</v>
      </c>
      <c r="D203" s="8" t="s">
        <v>171</v>
      </c>
    </row>
    <row r="204" spans="1:4" ht="15" customHeight="1" x14ac:dyDescent="0.25">
      <c r="A204" s="8" t="s">
        <v>114</v>
      </c>
      <c r="B204" s="8" t="s">
        <v>343</v>
      </c>
      <c r="C204" s="8" t="s">
        <v>152</v>
      </c>
      <c r="D204" s="8" t="s">
        <v>171</v>
      </c>
    </row>
    <row r="205" spans="1:4" ht="15" customHeight="1" x14ac:dyDescent="0.25">
      <c r="A205" s="8" t="s">
        <v>114</v>
      </c>
      <c r="B205" s="8" t="s">
        <v>344</v>
      </c>
      <c r="C205" s="8" t="s">
        <v>152</v>
      </c>
      <c r="D205" s="8" t="s">
        <v>171</v>
      </c>
    </row>
    <row r="206" spans="1:4" ht="15" customHeight="1" x14ac:dyDescent="0.25">
      <c r="A206" s="8" t="s">
        <v>114</v>
      </c>
      <c r="B206" s="8" t="s">
        <v>345</v>
      </c>
      <c r="C206" s="8" t="s">
        <v>194</v>
      </c>
      <c r="D206" s="8" t="s">
        <v>171</v>
      </c>
    </row>
    <row r="207" spans="1:4" ht="15" customHeight="1" x14ac:dyDescent="0.25">
      <c r="A207" s="8" t="s">
        <v>114</v>
      </c>
      <c r="B207" s="8" t="s">
        <v>346</v>
      </c>
      <c r="C207" s="8" t="s">
        <v>194</v>
      </c>
      <c r="D207" s="8" t="s">
        <v>171</v>
      </c>
    </row>
    <row r="208" spans="1:4" ht="15" customHeight="1" x14ac:dyDescent="0.25">
      <c r="A208" s="8" t="s">
        <v>114</v>
      </c>
      <c r="B208" s="8" t="s">
        <v>347</v>
      </c>
      <c r="C208" s="8" t="s">
        <v>194</v>
      </c>
      <c r="D208" s="8" t="s">
        <v>171</v>
      </c>
    </row>
    <row r="209" spans="1:4" ht="15" customHeight="1" x14ac:dyDescent="0.25">
      <c r="A209" s="8" t="s">
        <v>114</v>
      </c>
      <c r="B209" s="8" t="s">
        <v>348</v>
      </c>
      <c r="C209" s="8" t="s">
        <v>194</v>
      </c>
      <c r="D209" s="8" t="s">
        <v>171</v>
      </c>
    </row>
    <row r="210" spans="1:4" ht="15" customHeight="1" x14ac:dyDescent="0.25">
      <c r="A210" s="8" t="s">
        <v>114</v>
      </c>
      <c r="B210" s="8" t="s">
        <v>349</v>
      </c>
      <c r="C210" s="8" t="s">
        <v>194</v>
      </c>
      <c r="D210" s="8" t="s">
        <v>171</v>
      </c>
    </row>
    <row r="211" spans="1:4" ht="15" customHeight="1" x14ac:dyDescent="0.25">
      <c r="A211" s="8" t="s">
        <v>114</v>
      </c>
      <c r="B211" s="8" t="s">
        <v>350</v>
      </c>
      <c r="C211" s="8" t="s">
        <v>194</v>
      </c>
      <c r="D211" s="8" t="s">
        <v>171</v>
      </c>
    </row>
    <row r="212" spans="1:4" ht="15" customHeight="1" x14ac:dyDescent="0.25">
      <c r="A212" s="8" t="s">
        <v>114</v>
      </c>
      <c r="B212" s="8" t="s">
        <v>351</v>
      </c>
      <c r="C212" s="8" t="s">
        <v>194</v>
      </c>
      <c r="D212" s="8" t="s">
        <v>171</v>
      </c>
    </row>
    <row r="213" spans="1:4" ht="15" customHeight="1" x14ac:dyDescent="0.25">
      <c r="A213" s="8" t="s">
        <v>114</v>
      </c>
      <c r="B213" s="8" t="s">
        <v>352</v>
      </c>
      <c r="C213" s="8" t="s">
        <v>194</v>
      </c>
      <c r="D213" s="8" t="s">
        <v>171</v>
      </c>
    </row>
    <row r="214" spans="1:4" ht="15" customHeight="1" x14ac:dyDescent="0.25">
      <c r="A214" s="8" t="s">
        <v>114</v>
      </c>
      <c r="B214" s="8" t="s">
        <v>353</v>
      </c>
      <c r="C214" s="8" t="s">
        <v>194</v>
      </c>
      <c r="D214" s="8" t="s">
        <v>171</v>
      </c>
    </row>
    <row r="215" spans="1:4" ht="15" customHeight="1" x14ac:dyDescent="0.25">
      <c r="A215" s="8" t="s">
        <v>114</v>
      </c>
      <c r="B215" s="8" t="s">
        <v>354</v>
      </c>
      <c r="C215" s="8" t="s">
        <v>194</v>
      </c>
      <c r="D215" s="8" t="s">
        <v>171</v>
      </c>
    </row>
    <row r="216" spans="1:4" ht="15" customHeight="1" x14ac:dyDescent="0.25">
      <c r="A216" s="8" t="s">
        <v>114</v>
      </c>
      <c r="B216" s="8" t="s">
        <v>355</v>
      </c>
      <c r="C216" s="8" t="s">
        <v>194</v>
      </c>
      <c r="D216" s="8" t="s">
        <v>171</v>
      </c>
    </row>
    <row r="217" spans="1:4" ht="15" customHeight="1" x14ac:dyDescent="0.25">
      <c r="A217" s="8" t="s">
        <v>114</v>
      </c>
      <c r="B217" s="8" t="s">
        <v>356</v>
      </c>
      <c r="C217" s="8" t="s">
        <v>170</v>
      </c>
      <c r="D217" s="8" t="s">
        <v>171</v>
      </c>
    </row>
    <row r="218" spans="1:4" ht="15" customHeight="1" x14ac:dyDescent="0.25">
      <c r="A218" s="8" t="s">
        <v>114</v>
      </c>
      <c r="B218" s="8" t="s">
        <v>357</v>
      </c>
      <c r="C218" s="8" t="s">
        <v>170</v>
      </c>
      <c r="D218" s="8" t="s">
        <v>171</v>
      </c>
    </row>
    <row r="219" spans="1:4" ht="15" customHeight="1" x14ac:dyDescent="0.25">
      <c r="A219" s="8" t="s">
        <v>114</v>
      </c>
      <c r="B219" s="8" t="s">
        <v>358</v>
      </c>
      <c r="C219" s="8" t="s">
        <v>170</v>
      </c>
      <c r="D219" s="8" t="s">
        <v>171</v>
      </c>
    </row>
    <row r="220" spans="1:4" ht="15" customHeight="1" x14ac:dyDescent="0.25">
      <c r="A220" s="8" t="s">
        <v>114</v>
      </c>
      <c r="B220" s="8" t="s">
        <v>359</v>
      </c>
      <c r="C220" s="8" t="s">
        <v>170</v>
      </c>
      <c r="D220" s="8" t="s">
        <v>171</v>
      </c>
    </row>
    <row r="221" spans="1:4" ht="15" customHeight="1" x14ac:dyDescent="0.25">
      <c r="A221" s="8" t="s">
        <v>114</v>
      </c>
      <c r="B221" s="8" t="s">
        <v>360</v>
      </c>
      <c r="C221" s="8" t="s">
        <v>170</v>
      </c>
      <c r="D221" s="8" t="s">
        <v>171</v>
      </c>
    </row>
    <row r="222" spans="1:4" ht="15" customHeight="1" x14ac:dyDescent="0.25">
      <c r="A222" s="8" t="s">
        <v>114</v>
      </c>
      <c r="B222" s="8" t="s">
        <v>361</v>
      </c>
      <c r="C222" s="8" t="s">
        <v>170</v>
      </c>
      <c r="D222" s="8" t="s">
        <v>171</v>
      </c>
    </row>
    <row r="223" spans="1:4" ht="15" customHeight="1" x14ac:dyDescent="0.25">
      <c r="A223" s="8" t="s">
        <v>114</v>
      </c>
      <c r="B223" s="8" t="s">
        <v>362</v>
      </c>
      <c r="C223" s="8" t="s">
        <v>170</v>
      </c>
      <c r="D223" s="8" t="s">
        <v>171</v>
      </c>
    </row>
    <row r="224" spans="1:4" ht="15" customHeight="1" x14ac:dyDescent="0.25">
      <c r="A224" s="8" t="s">
        <v>131</v>
      </c>
      <c r="B224" s="8" t="s">
        <v>363</v>
      </c>
      <c r="C224" s="8" t="s">
        <v>140</v>
      </c>
      <c r="D224" s="8" t="s">
        <v>171</v>
      </c>
    </row>
    <row r="225" spans="1:4" ht="15" customHeight="1" x14ac:dyDescent="0.25">
      <c r="A225" s="8" t="s">
        <v>131</v>
      </c>
      <c r="B225" s="8" t="s">
        <v>364</v>
      </c>
      <c r="C225" s="8" t="s">
        <v>140</v>
      </c>
      <c r="D225" s="8" t="s">
        <v>171</v>
      </c>
    </row>
    <row r="226" spans="1:4" ht="15" customHeight="1" x14ac:dyDescent="0.25">
      <c r="A226" s="8" t="s">
        <v>131</v>
      </c>
      <c r="B226" s="8" t="s">
        <v>365</v>
      </c>
      <c r="C226" s="8" t="s">
        <v>140</v>
      </c>
      <c r="D226" s="8" t="s">
        <v>171</v>
      </c>
    </row>
    <row r="227" spans="1:4" ht="15" customHeight="1" x14ac:dyDescent="0.25">
      <c r="A227" s="8" t="s">
        <v>131</v>
      </c>
      <c r="B227" s="8" t="s">
        <v>366</v>
      </c>
      <c r="C227" s="8" t="s">
        <v>140</v>
      </c>
      <c r="D227" s="8" t="s">
        <v>171</v>
      </c>
    </row>
    <row r="228" spans="1:4" ht="15" customHeight="1" x14ac:dyDescent="0.25">
      <c r="A228" s="8" t="s">
        <v>131</v>
      </c>
      <c r="B228" s="8" t="s">
        <v>367</v>
      </c>
      <c r="C228" s="8" t="s">
        <v>152</v>
      </c>
      <c r="D228" s="8" t="s">
        <v>171</v>
      </c>
    </row>
    <row r="229" spans="1:4" ht="15" customHeight="1" x14ac:dyDescent="0.25">
      <c r="A229" s="8" t="s">
        <v>131</v>
      </c>
      <c r="B229" s="8" t="s">
        <v>368</v>
      </c>
      <c r="C229" s="8" t="s">
        <v>152</v>
      </c>
      <c r="D229" s="8" t="s">
        <v>171</v>
      </c>
    </row>
    <row r="230" spans="1:4" ht="15" customHeight="1" x14ac:dyDescent="0.25">
      <c r="A230" s="8" t="s">
        <v>131</v>
      </c>
      <c r="B230" s="8" t="s">
        <v>369</v>
      </c>
      <c r="C230" s="8" t="s">
        <v>152</v>
      </c>
      <c r="D230" s="8" t="s">
        <v>171</v>
      </c>
    </row>
    <row r="231" spans="1:4" ht="15" customHeight="1" x14ac:dyDescent="0.25">
      <c r="A231" s="8" t="s">
        <v>131</v>
      </c>
      <c r="B231" s="8" t="s">
        <v>370</v>
      </c>
      <c r="C231" s="8" t="s">
        <v>152</v>
      </c>
      <c r="D231" s="8" t="s">
        <v>171</v>
      </c>
    </row>
    <row r="232" spans="1:4" ht="15" customHeight="1" x14ac:dyDescent="0.25">
      <c r="A232" s="8" t="s">
        <v>131</v>
      </c>
      <c r="B232" s="8" t="s">
        <v>371</v>
      </c>
      <c r="C232" s="8" t="s">
        <v>152</v>
      </c>
      <c r="D232" s="8" t="s">
        <v>171</v>
      </c>
    </row>
    <row r="233" spans="1:4" ht="15" customHeight="1" x14ac:dyDescent="0.25">
      <c r="A233" s="8" t="s">
        <v>131</v>
      </c>
      <c r="B233" s="8" t="s">
        <v>372</v>
      </c>
      <c r="C233" s="8" t="s">
        <v>152</v>
      </c>
      <c r="D233" s="8" t="s">
        <v>171</v>
      </c>
    </row>
    <row r="234" spans="1:4" ht="15" customHeight="1" x14ac:dyDescent="0.25">
      <c r="A234" s="8" t="s">
        <v>131</v>
      </c>
      <c r="B234" s="8" t="s">
        <v>373</v>
      </c>
      <c r="C234" s="8" t="s">
        <v>152</v>
      </c>
      <c r="D234" s="8" t="s">
        <v>171</v>
      </c>
    </row>
    <row r="235" spans="1:4" ht="15" customHeight="1" x14ac:dyDescent="0.25">
      <c r="A235" s="8" t="s">
        <v>131</v>
      </c>
      <c r="B235" s="8" t="s">
        <v>374</v>
      </c>
      <c r="C235" s="8" t="s">
        <v>152</v>
      </c>
      <c r="D235" s="8" t="s">
        <v>171</v>
      </c>
    </row>
    <row r="236" spans="1:4" ht="15" customHeight="1" x14ac:dyDescent="0.25">
      <c r="A236" s="8" t="s">
        <v>131</v>
      </c>
      <c r="B236" s="8" t="s">
        <v>375</v>
      </c>
      <c r="C236" s="8" t="s">
        <v>152</v>
      </c>
      <c r="D236" s="8" t="s">
        <v>171</v>
      </c>
    </row>
    <row r="237" spans="1:4" ht="15" customHeight="1" x14ac:dyDescent="0.25">
      <c r="A237" s="8" t="s">
        <v>131</v>
      </c>
      <c r="B237" s="8" t="s">
        <v>376</v>
      </c>
      <c r="C237" s="8" t="s">
        <v>152</v>
      </c>
      <c r="D237" s="8" t="s">
        <v>171</v>
      </c>
    </row>
    <row r="238" spans="1:4" ht="15" customHeight="1" x14ac:dyDescent="0.25">
      <c r="A238" s="8" t="s">
        <v>131</v>
      </c>
      <c r="B238" s="8" t="s">
        <v>377</v>
      </c>
      <c r="C238" s="8" t="s">
        <v>152</v>
      </c>
      <c r="D238" s="8" t="s">
        <v>171</v>
      </c>
    </row>
    <row r="239" spans="1:4" ht="15" customHeight="1" x14ac:dyDescent="0.25">
      <c r="A239" s="8" t="s">
        <v>131</v>
      </c>
      <c r="B239" s="8" t="s">
        <v>378</v>
      </c>
      <c r="C239" s="8" t="s">
        <v>194</v>
      </c>
      <c r="D239" s="8" t="s">
        <v>171</v>
      </c>
    </row>
    <row r="240" spans="1:4" ht="15" customHeight="1" x14ac:dyDescent="0.25">
      <c r="A240" s="8" t="s">
        <v>131</v>
      </c>
      <c r="B240" s="8" t="s">
        <v>379</v>
      </c>
      <c r="C240" s="8" t="s">
        <v>194</v>
      </c>
      <c r="D240" s="8" t="s">
        <v>171</v>
      </c>
    </row>
    <row r="241" spans="1:4" ht="15" customHeight="1" x14ac:dyDescent="0.25">
      <c r="A241" s="8" t="s">
        <v>131</v>
      </c>
      <c r="B241" s="8" t="s">
        <v>380</v>
      </c>
      <c r="C241" s="8" t="s">
        <v>194</v>
      </c>
      <c r="D241" s="8" t="s">
        <v>171</v>
      </c>
    </row>
    <row r="242" spans="1:4" ht="15" customHeight="1" x14ac:dyDescent="0.25">
      <c r="A242" s="8" t="s">
        <v>131</v>
      </c>
      <c r="B242" s="8" t="s">
        <v>381</v>
      </c>
      <c r="C242" s="8" t="s">
        <v>194</v>
      </c>
      <c r="D242" s="8" t="s">
        <v>171</v>
      </c>
    </row>
    <row r="243" spans="1:4" ht="15" customHeight="1" x14ac:dyDescent="0.25">
      <c r="A243" s="8" t="s">
        <v>131</v>
      </c>
      <c r="B243" s="8" t="s">
        <v>382</v>
      </c>
      <c r="C243" s="8" t="s">
        <v>194</v>
      </c>
      <c r="D243" s="8" t="s">
        <v>171</v>
      </c>
    </row>
    <row r="244" spans="1:4" ht="15" customHeight="1" x14ac:dyDescent="0.25">
      <c r="A244" s="8" t="s">
        <v>131</v>
      </c>
      <c r="B244" s="8" t="s">
        <v>383</v>
      </c>
      <c r="C244" s="8" t="s">
        <v>194</v>
      </c>
      <c r="D244" s="8" t="s">
        <v>171</v>
      </c>
    </row>
    <row r="245" spans="1:4" ht="15" customHeight="1" x14ac:dyDescent="0.25">
      <c r="A245" s="8" t="s">
        <v>131</v>
      </c>
      <c r="B245" s="8" t="s">
        <v>384</v>
      </c>
      <c r="C245" s="8" t="s">
        <v>194</v>
      </c>
      <c r="D245" s="8" t="s">
        <v>171</v>
      </c>
    </row>
    <row r="246" spans="1:4" ht="15" customHeight="1" x14ac:dyDescent="0.25">
      <c r="A246" s="8" t="s">
        <v>131</v>
      </c>
      <c r="B246" s="8" t="s">
        <v>385</v>
      </c>
      <c r="C246" s="8" t="s">
        <v>194</v>
      </c>
      <c r="D246" s="8" t="s">
        <v>171</v>
      </c>
    </row>
    <row r="247" spans="1:4" ht="15" customHeight="1" x14ac:dyDescent="0.25">
      <c r="A247" s="8" t="s">
        <v>131</v>
      </c>
      <c r="B247" s="8" t="s">
        <v>386</v>
      </c>
      <c r="C247" s="8" t="s">
        <v>194</v>
      </c>
      <c r="D247" s="8" t="s">
        <v>171</v>
      </c>
    </row>
    <row r="248" spans="1:4" ht="15" customHeight="1" x14ac:dyDescent="0.25">
      <c r="A248" s="8" t="s">
        <v>131</v>
      </c>
      <c r="B248" s="8" t="s">
        <v>387</v>
      </c>
      <c r="C248" s="8" t="s">
        <v>194</v>
      </c>
      <c r="D248" s="8" t="s">
        <v>171</v>
      </c>
    </row>
    <row r="249" spans="1:4" ht="15" customHeight="1" x14ac:dyDescent="0.25">
      <c r="A249" s="8" t="s">
        <v>131</v>
      </c>
      <c r="B249" s="8" t="s">
        <v>388</v>
      </c>
      <c r="C249" s="8" t="s">
        <v>170</v>
      </c>
      <c r="D249" s="8" t="s">
        <v>171</v>
      </c>
    </row>
    <row r="250" spans="1:4" ht="15" customHeight="1" x14ac:dyDescent="0.25">
      <c r="A250" s="8" t="s">
        <v>131</v>
      </c>
      <c r="B250" s="8" t="s">
        <v>389</v>
      </c>
      <c r="C250" s="8" t="s">
        <v>170</v>
      </c>
      <c r="D250" s="8" t="s">
        <v>171</v>
      </c>
    </row>
    <row r="251" spans="1:4" ht="15" customHeight="1" x14ac:dyDescent="0.25">
      <c r="A251" s="8" t="s">
        <v>131</v>
      </c>
      <c r="B251" s="8" t="s">
        <v>390</v>
      </c>
      <c r="C251" s="8" t="s">
        <v>170</v>
      </c>
      <c r="D251" s="8" t="s">
        <v>171</v>
      </c>
    </row>
    <row r="252" spans="1:4" ht="15" customHeight="1" x14ac:dyDescent="0.25">
      <c r="A252" s="8" t="s">
        <v>131</v>
      </c>
      <c r="B252" s="8" t="s">
        <v>391</v>
      </c>
      <c r="C252" s="8" t="s">
        <v>170</v>
      </c>
      <c r="D252" s="8" t="s">
        <v>171</v>
      </c>
    </row>
    <row r="253" spans="1:4" ht="15" customHeight="1" x14ac:dyDescent="0.25">
      <c r="A253" s="8" t="s">
        <v>131</v>
      </c>
      <c r="B253" s="8" t="s">
        <v>392</v>
      </c>
      <c r="C253" s="8" t="s">
        <v>170</v>
      </c>
      <c r="D253" s="8" t="s">
        <v>171</v>
      </c>
    </row>
    <row r="254" spans="1:4" ht="15" customHeight="1" x14ac:dyDescent="0.25">
      <c r="A254" s="8" t="s">
        <v>131</v>
      </c>
      <c r="B254" s="8" t="s">
        <v>393</v>
      </c>
      <c r="C254" s="8" t="s">
        <v>170</v>
      </c>
      <c r="D254" s="8" t="s">
        <v>171</v>
      </c>
    </row>
    <row r="255" spans="1:4" ht="15" customHeight="1" x14ac:dyDescent="0.25">
      <c r="A255" s="8" t="s">
        <v>131</v>
      </c>
      <c r="B255" s="8" t="s">
        <v>394</v>
      </c>
      <c r="C255" s="8" t="s">
        <v>170</v>
      </c>
      <c r="D255" s="8" t="s">
        <v>171</v>
      </c>
    </row>
    <row r="256" spans="1:4" ht="15" customHeight="1" x14ac:dyDescent="0.25">
      <c r="A256" s="8" t="s">
        <v>131</v>
      </c>
      <c r="B256" s="8" t="s">
        <v>395</v>
      </c>
      <c r="C256" s="8" t="s">
        <v>170</v>
      </c>
      <c r="D256" s="8" t="s">
        <v>171</v>
      </c>
    </row>
    <row r="257" spans="1:4" ht="15" customHeight="1" x14ac:dyDescent="0.25">
      <c r="A257" s="8" t="s">
        <v>131</v>
      </c>
      <c r="B257" s="8" t="s">
        <v>396</v>
      </c>
      <c r="C257" s="8" t="s">
        <v>170</v>
      </c>
      <c r="D257" s="8" t="s">
        <v>171</v>
      </c>
    </row>
    <row r="258" spans="1:4" ht="15" customHeight="1" x14ac:dyDescent="0.25">
      <c r="A258" s="8" t="s">
        <v>123</v>
      </c>
      <c r="B258" s="8" t="s">
        <v>397</v>
      </c>
      <c r="C258" s="8" t="s">
        <v>140</v>
      </c>
      <c r="D258" s="8" t="s">
        <v>171</v>
      </c>
    </row>
    <row r="259" spans="1:4" ht="15" customHeight="1" x14ac:dyDescent="0.25">
      <c r="A259" s="8" t="s">
        <v>123</v>
      </c>
      <c r="B259" s="8" t="s">
        <v>398</v>
      </c>
      <c r="C259" s="8" t="s">
        <v>140</v>
      </c>
      <c r="D259" s="8" t="s">
        <v>171</v>
      </c>
    </row>
    <row r="260" spans="1:4" ht="15" customHeight="1" x14ac:dyDescent="0.25">
      <c r="A260" s="8" t="s">
        <v>123</v>
      </c>
      <c r="B260" s="8" t="s">
        <v>399</v>
      </c>
      <c r="C260" s="8" t="s">
        <v>152</v>
      </c>
      <c r="D260" s="8" t="s">
        <v>171</v>
      </c>
    </row>
    <row r="261" spans="1:4" ht="15" customHeight="1" x14ac:dyDescent="0.25">
      <c r="A261" s="8" t="s">
        <v>123</v>
      </c>
      <c r="B261" s="8" t="s">
        <v>400</v>
      </c>
      <c r="C261" s="8" t="s">
        <v>152</v>
      </c>
      <c r="D261" s="8" t="s">
        <v>171</v>
      </c>
    </row>
    <row r="262" spans="1:4" ht="15" customHeight="1" x14ac:dyDescent="0.25">
      <c r="A262" s="8" t="s">
        <v>123</v>
      </c>
      <c r="B262" s="8" t="s">
        <v>401</v>
      </c>
      <c r="C262" s="8" t="s">
        <v>152</v>
      </c>
      <c r="D262" s="8" t="s">
        <v>171</v>
      </c>
    </row>
    <row r="263" spans="1:4" ht="15" customHeight="1" x14ac:dyDescent="0.25">
      <c r="A263" s="8" t="s">
        <v>123</v>
      </c>
      <c r="B263" s="8" t="s">
        <v>402</v>
      </c>
      <c r="C263" s="8" t="s">
        <v>152</v>
      </c>
      <c r="D263" s="8" t="s">
        <v>171</v>
      </c>
    </row>
    <row r="264" spans="1:4" ht="15" customHeight="1" x14ac:dyDescent="0.25">
      <c r="A264" s="8" t="s">
        <v>123</v>
      </c>
      <c r="B264" s="8" t="s">
        <v>403</v>
      </c>
      <c r="C264" s="8" t="s">
        <v>152</v>
      </c>
      <c r="D264" s="8" t="s">
        <v>171</v>
      </c>
    </row>
    <row r="265" spans="1:4" ht="15" customHeight="1" x14ac:dyDescent="0.25">
      <c r="A265" s="8" t="s">
        <v>123</v>
      </c>
      <c r="B265" s="8" t="s">
        <v>404</v>
      </c>
      <c r="C265" s="8" t="s">
        <v>152</v>
      </c>
      <c r="D265" s="8" t="s">
        <v>171</v>
      </c>
    </row>
    <row r="266" spans="1:4" ht="15" customHeight="1" x14ac:dyDescent="0.25">
      <c r="A266" s="8" t="s">
        <v>123</v>
      </c>
      <c r="B266" s="8" t="s">
        <v>405</v>
      </c>
      <c r="C266" s="8" t="s">
        <v>152</v>
      </c>
      <c r="D266" s="8" t="s">
        <v>171</v>
      </c>
    </row>
    <row r="267" spans="1:4" ht="15" customHeight="1" x14ac:dyDescent="0.25">
      <c r="A267" s="8" t="s">
        <v>123</v>
      </c>
      <c r="B267" s="8" t="s">
        <v>406</v>
      </c>
      <c r="C267" s="8" t="s">
        <v>194</v>
      </c>
      <c r="D267" s="8" t="s">
        <v>171</v>
      </c>
    </row>
    <row r="268" spans="1:4" ht="15" customHeight="1" x14ac:dyDescent="0.25">
      <c r="A268" s="8" t="s">
        <v>123</v>
      </c>
      <c r="B268" s="8" t="s">
        <v>407</v>
      </c>
      <c r="C268" s="8" t="s">
        <v>194</v>
      </c>
      <c r="D268" s="8" t="s">
        <v>171</v>
      </c>
    </row>
    <row r="269" spans="1:4" ht="15" customHeight="1" x14ac:dyDescent="0.25">
      <c r="A269" s="8" t="s">
        <v>123</v>
      </c>
      <c r="B269" s="8" t="s">
        <v>408</v>
      </c>
      <c r="C269" s="8" t="s">
        <v>194</v>
      </c>
      <c r="D269" s="8" t="s">
        <v>171</v>
      </c>
    </row>
    <row r="270" spans="1:4" ht="15" customHeight="1" x14ac:dyDescent="0.25">
      <c r="A270" s="8" t="s">
        <v>123</v>
      </c>
      <c r="B270" s="8" t="s">
        <v>409</v>
      </c>
      <c r="C270" s="8" t="s">
        <v>194</v>
      </c>
      <c r="D270" s="8" t="s">
        <v>171</v>
      </c>
    </row>
    <row r="271" spans="1:4" ht="15" customHeight="1" x14ac:dyDescent="0.25">
      <c r="A271" s="8" t="s">
        <v>123</v>
      </c>
      <c r="B271" s="8" t="s">
        <v>410</v>
      </c>
      <c r="C271" s="8" t="s">
        <v>194</v>
      </c>
      <c r="D271" s="8" t="s">
        <v>171</v>
      </c>
    </row>
    <row r="272" spans="1:4" ht="15" customHeight="1" x14ac:dyDescent="0.25">
      <c r="A272" s="8" t="s">
        <v>123</v>
      </c>
      <c r="B272" s="8" t="s">
        <v>411</v>
      </c>
      <c r="C272" s="8" t="s">
        <v>194</v>
      </c>
      <c r="D272" s="8" t="s">
        <v>171</v>
      </c>
    </row>
    <row r="273" spans="1:4" ht="15" customHeight="1" x14ac:dyDescent="0.25">
      <c r="A273" s="8" t="s">
        <v>123</v>
      </c>
      <c r="B273" s="8" t="s">
        <v>412</v>
      </c>
      <c r="C273" s="8" t="s">
        <v>194</v>
      </c>
      <c r="D273" s="8" t="s">
        <v>171</v>
      </c>
    </row>
    <row r="274" spans="1:4" ht="15" customHeight="1" x14ac:dyDescent="0.25">
      <c r="A274" s="8" t="s">
        <v>123</v>
      </c>
      <c r="B274" s="8" t="s">
        <v>413</v>
      </c>
      <c r="C274" s="8" t="s">
        <v>194</v>
      </c>
      <c r="D274" s="8" t="s">
        <v>171</v>
      </c>
    </row>
    <row r="275" spans="1:4" ht="15" customHeight="1" x14ac:dyDescent="0.25">
      <c r="A275" s="8" t="s">
        <v>123</v>
      </c>
      <c r="B275" s="8" t="s">
        <v>414</v>
      </c>
      <c r="C275" s="8" t="s">
        <v>194</v>
      </c>
      <c r="D275" s="8" t="s">
        <v>171</v>
      </c>
    </row>
    <row r="276" spans="1:4" ht="15" customHeight="1" x14ac:dyDescent="0.25">
      <c r="A276" s="8" t="s">
        <v>123</v>
      </c>
      <c r="B276" s="8" t="s">
        <v>415</v>
      </c>
      <c r="C276" s="8" t="s">
        <v>194</v>
      </c>
      <c r="D276" s="8" t="s">
        <v>171</v>
      </c>
    </row>
    <row r="277" spans="1:4" ht="15" customHeight="1" x14ac:dyDescent="0.25">
      <c r="A277" s="8" t="s">
        <v>123</v>
      </c>
      <c r="B277" s="8" t="s">
        <v>416</v>
      </c>
      <c r="C277" s="8" t="s">
        <v>170</v>
      </c>
      <c r="D277" s="8" t="s">
        <v>171</v>
      </c>
    </row>
    <row r="278" spans="1:4" ht="15" customHeight="1" x14ac:dyDescent="0.25">
      <c r="A278" s="8" t="s">
        <v>123</v>
      </c>
      <c r="B278" s="8" t="s">
        <v>417</v>
      </c>
      <c r="C278" s="8" t="s">
        <v>170</v>
      </c>
      <c r="D278" s="8" t="s">
        <v>171</v>
      </c>
    </row>
    <row r="279" spans="1:4" ht="15" customHeight="1" x14ac:dyDescent="0.25">
      <c r="A279" s="8" t="s">
        <v>123</v>
      </c>
      <c r="B279" s="8" t="s">
        <v>418</v>
      </c>
      <c r="C279" s="8" t="s">
        <v>170</v>
      </c>
      <c r="D279" s="8" t="s">
        <v>171</v>
      </c>
    </row>
    <row r="280" spans="1:4" ht="15" customHeight="1" x14ac:dyDescent="0.25">
      <c r="A280" s="8" t="s">
        <v>123</v>
      </c>
      <c r="B280" s="8" t="s">
        <v>419</v>
      </c>
      <c r="C280" s="8" t="s">
        <v>170</v>
      </c>
      <c r="D280" s="8" t="s">
        <v>171</v>
      </c>
    </row>
    <row r="281" spans="1:4" ht="15" customHeight="1" x14ac:dyDescent="0.25">
      <c r="A281" s="8" t="s">
        <v>123</v>
      </c>
      <c r="B281" s="8" t="s">
        <v>420</v>
      </c>
      <c r="C281" s="8" t="s">
        <v>170</v>
      </c>
      <c r="D281" s="8" t="s">
        <v>171</v>
      </c>
    </row>
    <row r="282" spans="1:4" ht="15" customHeight="1" x14ac:dyDescent="0.25">
      <c r="A282" s="8" t="s">
        <v>123</v>
      </c>
      <c r="B282" s="8" t="s">
        <v>421</v>
      </c>
      <c r="C282" s="8" t="s">
        <v>170</v>
      </c>
      <c r="D282" s="8" t="s">
        <v>171</v>
      </c>
    </row>
    <row r="283" spans="1:4" ht="15" customHeight="1" x14ac:dyDescent="0.25">
      <c r="A283" s="8" t="s">
        <v>123</v>
      </c>
      <c r="B283" s="8" t="s">
        <v>422</v>
      </c>
      <c r="C283" s="8" t="s">
        <v>170</v>
      </c>
      <c r="D283" s="8" t="s">
        <v>171</v>
      </c>
    </row>
    <row r="284" spans="1:4" ht="15" customHeight="1" x14ac:dyDescent="0.25">
      <c r="A284" s="8" t="s">
        <v>123</v>
      </c>
      <c r="B284" s="8" t="s">
        <v>423</v>
      </c>
      <c r="C284" s="8" t="s">
        <v>170</v>
      </c>
      <c r="D284" s="8" t="s">
        <v>171</v>
      </c>
    </row>
    <row r="285" spans="1:4" ht="15" customHeight="1" x14ac:dyDescent="0.25">
      <c r="A285" s="8" t="s">
        <v>123</v>
      </c>
      <c r="B285" s="8" t="s">
        <v>424</v>
      </c>
      <c r="C285" s="8" t="s">
        <v>170</v>
      </c>
      <c r="D285" s="8" t="s">
        <v>171</v>
      </c>
    </row>
    <row r="286" spans="1:4" ht="15" customHeight="1" x14ac:dyDescent="0.25">
      <c r="A286" s="8" t="s">
        <v>127</v>
      </c>
      <c r="B286" s="8" t="s">
        <v>425</v>
      </c>
      <c r="C286" s="8" t="s">
        <v>140</v>
      </c>
      <c r="D286" s="8" t="s">
        <v>171</v>
      </c>
    </row>
    <row r="287" spans="1:4" ht="15" customHeight="1" x14ac:dyDescent="0.25">
      <c r="A287" s="8" t="s">
        <v>127</v>
      </c>
      <c r="B287" s="8" t="s">
        <v>426</v>
      </c>
      <c r="C287" s="8" t="s">
        <v>140</v>
      </c>
      <c r="D287" s="8" t="s">
        <v>171</v>
      </c>
    </row>
    <row r="288" spans="1:4" ht="15" customHeight="1" x14ac:dyDescent="0.25">
      <c r="A288" s="8" t="s">
        <v>127</v>
      </c>
      <c r="B288" s="8" t="s">
        <v>427</v>
      </c>
      <c r="C288" s="8" t="s">
        <v>152</v>
      </c>
      <c r="D288" s="8" t="s">
        <v>171</v>
      </c>
    </row>
    <row r="289" spans="1:4" ht="15" customHeight="1" x14ac:dyDescent="0.25">
      <c r="A289" s="8" t="s">
        <v>127</v>
      </c>
      <c r="B289" s="8" t="s">
        <v>428</v>
      </c>
      <c r="C289" s="8" t="s">
        <v>152</v>
      </c>
      <c r="D289" s="8" t="s">
        <v>171</v>
      </c>
    </row>
    <row r="290" spans="1:4" ht="15" customHeight="1" x14ac:dyDescent="0.25">
      <c r="A290" s="8" t="s">
        <v>127</v>
      </c>
      <c r="B290" s="8" t="s">
        <v>429</v>
      </c>
      <c r="C290" s="8" t="s">
        <v>152</v>
      </c>
      <c r="D290" s="8" t="s">
        <v>171</v>
      </c>
    </row>
    <row r="291" spans="1:4" ht="15" customHeight="1" x14ac:dyDescent="0.25">
      <c r="A291" s="8" t="s">
        <v>127</v>
      </c>
      <c r="B291" s="8" t="s">
        <v>430</v>
      </c>
      <c r="C291" s="8" t="s">
        <v>152</v>
      </c>
      <c r="D291" s="8" t="s">
        <v>171</v>
      </c>
    </row>
    <row r="292" spans="1:4" ht="15" customHeight="1" x14ac:dyDescent="0.25">
      <c r="A292" s="8" t="s">
        <v>127</v>
      </c>
      <c r="B292" s="8" t="s">
        <v>431</v>
      </c>
      <c r="C292" s="8" t="s">
        <v>152</v>
      </c>
      <c r="D292" s="8" t="s">
        <v>171</v>
      </c>
    </row>
    <row r="293" spans="1:4" ht="15" customHeight="1" x14ac:dyDescent="0.25">
      <c r="A293" s="8" t="s">
        <v>127</v>
      </c>
      <c r="B293" s="8" t="s">
        <v>432</v>
      </c>
      <c r="C293" s="8" t="s">
        <v>152</v>
      </c>
      <c r="D293" s="8" t="s">
        <v>171</v>
      </c>
    </row>
    <row r="294" spans="1:4" ht="15" customHeight="1" x14ac:dyDescent="0.25">
      <c r="A294" s="8" t="s">
        <v>127</v>
      </c>
      <c r="B294" s="8" t="s">
        <v>433</v>
      </c>
      <c r="C294" s="8" t="s">
        <v>152</v>
      </c>
      <c r="D294" s="8" t="s">
        <v>171</v>
      </c>
    </row>
    <row r="295" spans="1:4" ht="15" customHeight="1" x14ac:dyDescent="0.25">
      <c r="A295" s="8" t="s">
        <v>127</v>
      </c>
      <c r="B295" s="8" t="s">
        <v>434</v>
      </c>
      <c r="C295" s="8" t="s">
        <v>152</v>
      </c>
      <c r="D295" s="8" t="s">
        <v>171</v>
      </c>
    </row>
    <row r="296" spans="1:4" ht="15" customHeight="1" x14ac:dyDescent="0.25">
      <c r="A296" s="8" t="s">
        <v>127</v>
      </c>
      <c r="B296" s="8" t="s">
        <v>435</v>
      </c>
      <c r="C296" s="8" t="s">
        <v>152</v>
      </c>
      <c r="D296" s="8" t="s">
        <v>171</v>
      </c>
    </row>
    <row r="297" spans="1:4" ht="15" customHeight="1" x14ac:dyDescent="0.25">
      <c r="A297" s="8" t="s">
        <v>127</v>
      </c>
      <c r="B297" s="8" t="s">
        <v>436</v>
      </c>
      <c r="C297" s="8" t="s">
        <v>152</v>
      </c>
      <c r="D297" s="8" t="s">
        <v>171</v>
      </c>
    </row>
    <row r="298" spans="1:4" ht="15" customHeight="1" x14ac:dyDescent="0.25">
      <c r="A298" s="8" t="s">
        <v>127</v>
      </c>
      <c r="B298" s="8" t="s">
        <v>437</v>
      </c>
      <c r="C298" s="8" t="s">
        <v>194</v>
      </c>
      <c r="D298" s="8" t="s">
        <v>171</v>
      </c>
    </row>
    <row r="299" spans="1:4" ht="15" customHeight="1" x14ac:dyDescent="0.25">
      <c r="A299" s="8" t="s">
        <v>127</v>
      </c>
      <c r="B299" s="8" t="s">
        <v>438</v>
      </c>
      <c r="C299" s="8" t="s">
        <v>194</v>
      </c>
      <c r="D299" s="8" t="s">
        <v>171</v>
      </c>
    </row>
    <row r="300" spans="1:4" ht="15" customHeight="1" x14ac:dyDescent="0.25">
      <c r="A300" s="8" t="s">
        <v>127</v>
      </c>
      <c r="B300" s="8" t="s">
        <v>439</v>
      </c>
      <c r="C300" s="8" t="s">
        <v>194</v>
      </c>
      <c r="D300" s="8" t="s">
        <v>171</v>
      </c>
    </row>
    <row r="301" spans="1:4" ht="15" customHeight="1" x14ac:dyDescent="0.25">
      <c r="A301" s="8" t="s">
        <v>127</v>
      </c>
      <c r="B301" s="8" t="s">
        <v>440</v>
      </c>
      <c r="C301" s="8" t="s">
        <v>194</v>
      </c>
      <c r="D301" s="8" t="s">
        <v>171</v>
      </c>
    </row>
    <row r="302" spans="1:4" ht="15" customHeight="1" x14ac:dyDescent="0.25">
      <c r="A302" s="8" t="s">
        <v>127</v>
      </c>
      <c r="B302" s="8" t="s">
        <v>441</v>
      </c>
      <c r="C302" s="8" t="s">
        <v>194</v>
      </c>
      <c r="D302" s="8" t="s">
        <v>171</v>
      </c>
    </row>
    <row r="303" spans="1:4" ht="15" customHeight="1" x14ac:dyDescent="0.25">
      <c r="A303" s="8" t="s">
        <v>127</v>
      </c>
      <c r="B303" s="8" t="s">
        <v>442</v>
      </c>
      <c r="C303" s="8" t="s">
        <v>194</v>
      </c>
      <c r="D303" s="8" t="s">
        <v>171</v>
      </c>
    </row>
    <row r="304" spans="1:4" ht="15" customHeight="1" x14ac:dyDescent="0.25">
      <c r="A304" s="8" t="s">
        <v>127</v>
      </c>
      <c r="B304" s="8" t="s">
        <v>443</v>
      </c>
      <c r="C304" s="8" t="s">
        <v>194</v>
      </c>
      <c r="D304" s="8" t="s">
        <v>171</v>
      </c>
    </row>
    <row r="305" spans="1:4" ht="15" customHeight="1" x14ac:dyDescent="0.25">
      <c r="A305" s="8" t="s">
        <v>127</v>
      </c>
      <c r="B305" s="8" t="s">
        <v>444</v>
      </c>
      <c r="C305" s="8" t="s">
        <v>194</v>
      </c>
      <c r="D305" s="8" t="s">
        <v>171</v>
      </c>
    </row>
    <row r="306" spans="1:4" ht="15" customHeight="1" x14ac:dyDescent="0.25">
      <c r="A306" s="8" t="s">
        <v>127</v>
      </c>
      <c r="B306" s="8" t="s">
        <v>445</v>
      </c>
      <c r="C306" s="8" t="s">
        <v>194</v>
      </c>
      <c r="D306" s="8" t="s">
        <v>171</v>
      </c>
    </row>
    <row r="307" spans="1:4" ht="15" customHeight="1" x14ac:dyDescent="0.25">
      <c r="A307" s="8" t="s">
        <v>127</v>
      </c>
      <c r="B307" s="8" t="s">
        <v>446</v>
      </c>
      <c r="C307" s="8" t="s">
        <v>194</v>
      </c>
      <c r="D307" s="8" t="s">
        <v>171</v>
      </c>
    </row>
    <row r="308" spans="1:4" ht="15" customHeight="1" x14ac:dyDescent="0.25">
      <c r="A308" s="8" t="s">
        <v>127</v>
      </c>
      <c r="B308" s="8" t="s">
        <v>447</v>
      </c>
      <c r="C308" s="8" t="s">
        <v>170</v>
      </c>
      <c r="D308" s="8" t="s">
        <v>171</v>
      </c>
    </row>
    <row r="309" spans="1:4" ht="15" customHeight="1" x14ac:dyDescent="0.25">
      <c r="A309" s="8" t="s">
        <v>127</v>
      </c>
      <c r="B309" s="8" t="s">
        <v>448</v>
      </c>
      <c r="C309" s="8" t="s">
        <v>170</v>
      </c>
      <c r="D309" s="8" t="s">
        <v>171</v>
      </c>
    </row>
    <row r="310" spans="1:4" ht="15" customHeight="1" x14ac:dyDescent="0.25">
      <c r="A310" s="8" t="s">
        <v>127</v>
      </c>
      <c r="B310" s="8" t="s">
        <v>449</v>
      </c>
      <c r="C310" s="8" t="s">
        <v>170</v>
      </c>
      <c r="D310" s="8" t="s">
        <v>171</v>
      </c>
    </row>
    <row r="311" spans="1:4" ht="15" customHeight="1" x14ac:dyDescent="0.25">
      <c r="A311" s="8" t="s">
        <v>127</v>
      </c>
      <c r="B311" s="8" t="s">
        <v>450</v>
      </c>
      <c r="C311" s="8" t="s">
        <v>170</v>
      </c>
      <c r="D311" s="8" t="s">
        <v>171</v>
      </c>
    </row>
    <row r="312" spans="1:4" ht="15" customHeight="1" x14ac:dyDescent="0.25">
      <c r="A312" s="8" t="s">
        <v>127</v>
      </c>
      <c r="B312" s="8" t="s">
        <v>451</v>
      </c>
      <c r="C312" s="8" t="s">
        <v>170</v>
      </c>
      <c r="D312" s="8" t="s">
        <v>171</v>
      </c>
    </row>
    <row r="313" spans="1:4" ht="15" customHeight="1" x14ac:dyDescent="0.25">
      <c r="A313" s="8" t="s">
        <v>127</v>
      </c>
      <c r="B313" s="8" t="s">
        <v>452</v>
      </c>
      <c r="C313" s="8" t="s">
        <v>170</v>
      </c>
      <c r="D313" s="8" t="s">
        <v>171</v>
      </c>
    </row>
    <row r="314" spans="1:4" ht="15" customHeight="1" x14ac:dyDescent="0.25">
      <c r="A314" s="8" t="s">
        <v>127</v>
      </c>
      <c r="B314" s="8" t="s">
        <v>453</v>
      </c>
      <c r="C314" s="8" t="s">
        <v>170</v>
      </c>
      <c r="D314" s="8" t="s">
        <v>171</v>
      </c>
    </row>
    <row r="315" spans="1:4" ht="15" customHeight="1" x14ac:dyDescent="0.25">
      <c r="A315" s="8" t="s">
        <v>127</v>
      </c>
      <c r="B315" s="8" t="s">
        <v>454</v>
      </c>
      <c r="C315" s="8" t="s">
        <v>170</v>
      </c>
      <c r="D315" s="8" t="s">
        <v>171</v>
      </c>
    </row>
    <row r="316" spans="1:4" ht="15" customHeight="1" x14ac:dyDescent="0.25">
      <c r="A316" s="8" t="s">
        <v>120</v>
      </c>
      <c r="B316" s="8" t="s">
        <v>455</v>
      </c>
      <c r="C316" s="8" t="s">
        <v>140</v>
      </c>
      <c r="D316" s="8" t="s">
        <v>171</v>
      </c>
    </row>
    <row r="317" spans="1:4" ht="15" customHeight="1" x14ac:dyDescent="0.25">
      <c r="A317" s="8" t="s">
        <v>120</v>
      </c>
      <c r="B317" s="8" t="s">
        <v>456</v>
      </c>
      <c r="C317" s="8" t="s">
        <v>140</v>
      </c>
      <c r="D317" s="8" t="s">
        <v>171</v>
      </c>
    </row>
    <row r="318" spans="1:4" ht="15" customHeight="1" x14ac:dyDescent="0.25">
      <c r="A318" s="8" t="s">
        <v>120</v>
      </c>
      <c r="B318" s="8" t="s">
        <v>457</v>
      </c>
      <c r="C318" s="8" t="s">
        <v>152</v>
      </c>
      <c r="D318" s="8" t="s">
        <v>171</v>
      </c>
    </row>
    <row r="319" spans="1:4" ht="15" customHeight="1" x14ac:dyDescent="0.25">
      <c r="A319" s="8" t="s">
        <v>120</v>
      </c>
      <c r="B319" s="8" t="s">
        <v>458</v>
      </c>
      <c r="C319" s="8" t="s">
        <v>152</v>
      </c>
      <c r="D319" s="8" t="s">
        <v>171</v>
      </c>
    </row>
    <row r="320" spans="1:4" ht="15" customHeight="1" x14ac:dyDescent="0.25">
      <c r="A320" s="8" t="s">
        <v>120</v>
      </c>
      <c r="B320" s="8" t="s">
        <v>459</v>
      </c>
      <c r="C320" s="8" t="s">
        <v>152</v>
      </c>
      <c r="D320" s="8" t="s">
        <v>171</v>
      </c>
    </row>
    <row r="321" spans="1:4" ht="15" customHeight="1" x14ac:dyDescent="0.25">
      <c r="A321" s="8" t="s">
        <v>120</v>
      </c>
      <c r="B321" s="8" t="s">
        <v>460</v>
      </c>
      <c r="C321" s="8" t="s">
        <v>152</v>
      </c>
      <c r="D321" s="8" t="s">
        <v>171</v>
      </c>
    </row>
    <row r="322" spans="1:4" ht="15" customHeight="1" x14ac:dyDescent="0.25">
      <c r="A322" s="8" t="s">
        <v>120</v>
      </c>
      <c r="B322" s="8" t="s">
        <v>461</v>
      </c>
      <c r="C322" s="8" t="s">
        <v>152</v>
      </c>
      <c r="D322" s="8" t="s">
        <v>171</v>
      </c>
    </row>
    <row r="323" spans="1:4" ht="15" customHeight="1" x14ac:dyDescent="0.25">
      <c r="A323" s="8" t="s">
        <v>120</v>
      </c>
      <c r="B323" s="8" t="s">
        <v>462</v>
      </c>
      <c r="C323" s="8" t="s">
        <v>152</v>
      </c>
      <c r="D323" s="8" t="s">
        <v>171</v>
      </c>
    </row>
    <row r="324" spans="1:4" ht="15" customHeight="1" x14ac:dyDescent="0.25">
      <c r="A324" s="8" t="s">
        <v>120</v>
      </c>
      <c r="B324" s="8" t="s">
        <v>463</v>
      </c>
      <c r="C324" s="8" t="s">
        <v>152</v>
      </c>
      <c r="D324" s="8" t="s">
        <v>171</v>
      </c>
    </row>
    <row r="325" spans="1:4" ht="15" customHeight="1" x14ac:dyDescent="0.25">
      <c r="A325" s="8" t="s">
        <v>120</v>
      </c>
      <c r="B325" s="8" t="s">
        <v>464</v>
      </c>
      <c r="C325" s="8" t="s">
        <v>152</v>
      </c>
      <c r="D325" s="8" t="s">
        <v>171</v>
      </c>
    </row>
    <row r="326" spans="1:4" ht="15" customHeight="1" x14ac:dyDescent="0.25">
      <c r="A326" s="8" t="s">
        <v>120</v>
      </c>
      <c r="B326" s="8" t="s">
        <v>465</v>
      </c>
      <c r="C326" s="8" t="s">
        <v>152</v>
      </c>
      <c r="D326" s="8" t="s">
        <v>171</v>
      </c>
    </row>
    <row r="327" spans="1:4" ht="15" customHeight="1" x14ac:dyDescent="0.25">
      <c r="A327" s="8" t="s">
        <v>120</v>
      </c>
      <c r="B327" s="8" t="s">
        <v>466</v>
      </c>
      <c r="C327" s="8" t="s">
        <v>152</v>
      </c>
      <c r="D327" s="8" t="s">
        <v>171</v>
      </c>
    </row>
    <row r="328" spans="1:4" ht="15" customHeight="1" x14ac:dyDescent="0.25">
      <c r="A328" s="8" t="s">
        <v>120</v>
      </c>
      <c r="B328" s="8" t="s">
        <v>467</v>
      </c>
      <c r="C328" s="8" t="s">
        <v>194</v>
      </c>
      <c r="D328" s="8" t="s">
        <v>171</v>
      </c>
    </row>
    <row r="329" spans="1:4" ht="15" customHeight="1" x14ac:dyDescent="0.25">
      <c r="A329" s="8" t="s">
        <v>120</v>
      </c>
      <c r="B329" s="8" t="s">
        <v>468</v>
      </c>
      <c r="C329" s="8" t="s">
        <v>194</v>
      </c>
      <c r="D329" s="8" t="s">
        <v>171</v>
      </c>
    </row>
    <row r="330" spans="1:4" ht="15" customHeight="1" x14ac:dyDescent="0.25">
      <c r="A330" s="8" t="s">
        <v>120</v>
      </c>
      <c r="B330" s="8" t="s">
        <v>469</v>
      </c>
      <c r="C330" s="8" t="s">
        <v>194</v>
      </c>
      <c r="D330" s="8" t="s">
        <v>171</v>
      </c>
    </row>
    <row r="331" spans="1:4" ht="15" customHeight="1" x14ac:dyDescent="0.25">
      <c r="A331" s="8" t="s">
        <v>120</v>
      </c>
      <c r="B331" s="8" t="s">
        <v>470</v>
      </c>
      <c r="C331" s="8" t="s">
        <v>194</v>
      </c>
      <c r="D331" s="8" t="s">
        <v>171</v>
      </c>
    </row>
    <row r="332" spans="1:4" ht="15" customHeight="1" x14ac:dyDescent="0.25">
      <c r="A332" s="8" t="s">
        <v>120</v>
      </c>
      <c r="B332" s="8" t="s">
        <v>471</v>
      </c>
      <c r="C332" s="8" t="s">
        <v>194</v>
      </c>
      <c r="D332" s="8" t="s">
        <v>171</v>
      </c>
    </row>
    <row r="333" spans="1:4" ht="15" customHeight="1" x14ac:dyDescent="0.25">
      <c r="A333" s="8" t="s">
        <v>120</v>
      </c>
      <c r="B333" s="8" t="s">
        <v>472</v>
      </c>
      <c r="C333" s="8" t="s">
        <v>194</v>
      </c>
      <c r="D333" s="8" t="s">
        <v>171</v>
      </c>
    </row>
    <row r="334" spans="1:4" ht="15" customHeight="1" x14ac:dyDescent="0.25">
      <c r="A334" s="8" t="s">
        <v>120</v>
      </c>
      <c r="B334" s="8" t="s">
        <v>473</v>
      </c>
      <c r="C334" s="8" t="s">
        <v>194</v>
      </c>
      <c r="D334" s="8" t="s">
        <v>171</v>
      </c>
    </row>
    <row r="335" spans="1:4" ht="15" customHeight="1" x14ac:dyDescent="0.25">
      <c r="A335" s="8" t="s">
        <v>120</v>
      </c>
      <c r="B335" s="8" t="s">
        <v>474</v>
      </c>
      <c r="C335" s="8" t="s">
        <v>194</v>
      </c>
      <c r="D335" s="8" t="s">
        <v>171</v>
      </c>
    </row>
    <row r="336" spans="1:4" ht="15" customHeight="1" x14ac:dyDescent="0.25">
      <c r="A336" s="8" t="s">
        <v>120</v>
      </c>
      <c r="B336" s="8" t="s">
        <v>475</v>
      </c>
      <c r="C336" s="8" t="s">
        <v>194</v>
      </c>
      <c r="D336" s="8" t="s">
        <v>171</v>
      </c>
    </row>
    <row r="337" spans="1:4" ht="15" customHeight="1" x14ac:dyDescent="0.25">
      <c r="A337" s="8" t="s">
        <v>120</v>
      </c>
      <c r="B337" s="8" t="s">
        <v>476</v>
      </c>
      <c r="C337" s="8" t="s">
        <v>170</v>
      </c>
      <c r="D337" s="8" t="s">
        <v>171</v>
      </c>
    </row>
    <row r="338" spans="1:4" ht="15" customHeight="1" x14ac:dyDescent="0.25">
      <c r="A338" s="8" t="s">
        <v>120</v>
      </c>
      <c r="B338" s="8" t="s">
        <v>477</v>
      </c>
      <c r="C338" s="8" t="s">
        <v>170</v>
      </c>
      <c r="D338" s="8" t="s">
        <v>171</v>
      </c>
    </row>
    <row r="339" spans="1:4" ht="15" customHeight="1" x14ac:dyDescent="0.25">
      <c r="A339" s="8" t="s">
        <v>120</v>
      </c>
      <c r="B339" s="8" t="s">
        <v>478</v>
      </c>
      <c r="C339" s="8" t="s">
        <v>170</v>
      </c>
      <c r="D339" s="8" t="s">
        <v>171</v>
      </c>
    </row>
    <row r="340" spans="1:4" ht="15" customHeight="1" x14ac:dyDescent="0.25">
      <c r="A340" s="8" t="s">
        <v>120</v>
      </c>
      <c r="B340" s="8" t="s">
        <v>479</v>
      </c>
      <c r="C340" s="8" t="s">
        <v>170</v>
      </c>
      <c r="D340" s="8" t="s">
        <v>171</v>
      </c>
    </row>
    <row r="341" spans="1:4" ht="15" customHeight="1" x14ac:dyDescent="0.25">
      <c r="A341" s="8" t="s">
        <v>120</v>
      </c>
      <c r="B341" s="8" t="s">
        <v>480</v>
      </c>
      <c r="C341" s="8" t="s">
        <v>170</v>
      </c>
      <c r="D341" s="8" t="s">
        <v>171</v>
      </c>
    </row>
    <row r="342" spans="1:4" ht="15" customHeight="1" x14ac:dyDescent="0.25">
      <c r="A342" s="8" t="s">
        <v>120</v>
      </c>
      <c r="B342" s="8" t="s">
        <v>481</v>
      </c>
      <c r="C342" s="8" t="s">
        <v>170</v>
      </c>
      <c r="D342" s="8" t="s">
        <v>171</v>
      </c>
    </row>
    <row r="343" spans="1:4" ht="15" customHeight="1" x14ac:dyDescent="0.25">
      <c r="A343" s="8" t="s">
        <v>120</v>
      </c>
      <c r="B343" s="8" t="s">
        <v>482</v>
      </c>
      <c r="C343" s="8" t="s">
        <v>170</v>
      </c>
      <c r="D343" s="8" t="s">
        <v>171</v>
      </c>
    </row>
    <row r="344" spans="1:4" ht="15" customHeight="1" x14ac:dyDescent="0.25">
      <c r="A344" s="8" t="s">
        <v>118</v>
      </c>
      <c r="B344" s="8" t="s">
        <v>483</v>
      </c>
      <c r="C344" s="8" t="s">
        <v>140</v>
      </c>
      <c r="D344" s="8" t="s">
        <v>171</v>
      </c>
    </row>
    <row r="345" spans="1:4" ht="15" customHeight="1" x14ac:dyDescent="0.25">
      <c r="A345" s="8" t="s">
        <v>118</v>
      </c>
      <c r="B345" s="8" t="s">
        <v>484</v>
      </c>
      <c r="C345" s="8" t="s">
        <v>140</v>
      </c>
      <c r="D345" s="8" t="s">
        <v>171</v>
      </c>
    </row>
    <row r="346" spans="1:4" ht="15" customHeight="1" x14ac:dyDescent="0.25">
      <c r="A346" s="8" t="s">
        <v>118</v>
      </c>
      <c r="B346" s="8" t="s">
        <v>485</v>
      </c>
      <c r="C346" s="8" t="s">
        <v>152</v>
      </c>
      <c r="D346" s="8" t="s">
        <v>171</v>
      </c>
    </row>
    <row r="347" spans="1:4" ht="15" customHeight="1" x14ac:dyDescent="0.25">
      <c r="A347" s="8" t="s">
        <v>118</v>
      </c>
      <c r="B347" s="8" t="s">
        <v>486</v>
      </c>
      <c r="C347" s="8" t="s">
        <v>152</v>
      </c>
      <c r="D347" s="8" t="s">
        <v>171</v>
      </c>
    </row>
    <row r="348" spans="1:4" ht="15" customHeight="1" x14ac:dyDescent="0.25">
      <c r="A348" s="8" t="s">
        <v>118</v>
      </c>
      <c r="B348" s="8" t="s">
        <v>487</v>
      </c>
      <c r="C348" s="8" t="s">
        <v>152</v>
      </c>
      <c r="D348" s="8" t="s">
        <v>171</v>
      </c>
    </row>
    <row r="349" spans="1:4" ht="15" customHeight="1" x14ac:dyDescent="0.25">
      <c r="A349" s="8" t="s">
        <v>118</v>
      </c>
      <c r="B349" s="8" t="s">
        <v>488</v>
      </c>
      <c r="C349" s="8" t="s">
        <v>152</v>
      </c>
      <c r="D349" s="8" t="s">
        <v>171</v>
      </c>
    </row>
    <row r="350" spans="1:4" ht="15" customHeight="1" x14ac:dyDescent="0.25">
      <c r="A350" s="8" t="s">
        <v>118</v>
      </c>
      <c r="B350" s="8" t="s">
        <v>489</v>
      </c>
      <c r="C350" s="8" t="s">
        <v>152</v>
      </c>
      <c r="D350" s="8" t="s">
        <v>171</v>
      </c>
    </row>
    <row r="351" spans="1:4" ht="15" customHeight="1" x14ac:dyDescent="0.25">
      <c r="A351" s="8" t="s">
        <v>118</v>
      </c>
      <c r="B351" s="8" t="s">
        <v>490</v>
      </c>
      <c r="C351" s="8" t="s">
        <v>152</v>
      </c>
      <c r="D351" s="8" t="s">
        <v>171</v>
      </c>
    </row>
    <row r="352" spans="1:4" ht="15" customHeight="1" x14ac:dyDescent="0.25">
      <c r="A352" s="8" t="s">
        <v>118</v>
      </c>
      <c r="B352" s="8" t="s">
        <v>491</v>
      </c>
      <c r="C352" s="8" t="s">
        <v>152</v>
      </c>
      <c r="D352" s="8" t="s">
        <v>171</v>
      </c>
    </row>
    <row r="353" spans="1:4" ht="15" customHeight="1" x14ac:dyDescent="0.25">
      <c r="A353" s="8" t="s">
        <v>118</v>
      </c>
      <c r="B353" s="8" t="s">
        <v>492</v>
      </c>
      <c r="C353" s="8" t="s">
        <v>152</v>
      </c>
      <c r="D353" s="8" t="s">
        <v>171</v>
      </c>
    </row>
    <row r="354" spans="1:4" ht="15" customHeight="1" x14ac:dyDescent="0.25">
      <c r="A354" s="8" t="s">
        <v>118</v>
      </c>
      <c r="B354" s="8" t="s">
        <v>493</v>
      </c>
      <c r="C354" s="8" t="s">
        <v>152</v>
      </c>
      <c r="D354" s="8" t="s">
        <v>171</v>
      </c>
    </row>
    <row r="355" spans="1:4" ht="15" customHeight="1" x14ac:dyDescent="0.25">
      <c r="A355" s="8" t="s">
        <v>118</v>
      </c>
      <c r="B355" s="8" t="s">
        <v>494</v>
      </c>
      <c r="C355" s="8" t="s">
        <v>152</v>
      </c>
      <c r="D355" s="8" t="s">
        <v>171</v>
      </c>
    </row>
    <row r="356" spans="1:4" ht="15" customHeight="1" x14ac:dyDescent="0.25">
      <c r="A356" s="8" t="s">
        <v>118</v>
      </c>
      <c r="B356" s="8" t="s">
        <v>495</v>
      </c>
      <c r="C356" s="8" t="s">
        <v>152</v>
      </c>
      <c r="D356" s="8" t="s">
        <v>171</v>
      </c>
    </row>
    <row r="357" spans="1:4" ht="15" customHeight="1" x14ac:dyDescent="0.25">
      <c r="A357" s="8" t="s">
        <v>118</v>
      </c>
      <c r="B357" s="8" t="s">
        <v>496</v>
      </c>
      <c r="C357" s="8" t="s">
        <v>194</v>
      </c>
      <c r="D357" s="8" t="s">
        <v>171</v>
      </c>
    </row>
    <row r="358" spans="1:4" ht="15" customHeight="1" x14ac:dyDescent="0.25">
      <c r="A358" s="8" t="s">
        <v>118</v>
      </c>
      <c r="B358" s="8" t="s">
        <v>497</v>
      </c>
      <c r="C358" s="8" t="s">
        <v>194</v>
      </c>
      <c r="D358" s="8" t="s">
        <v>171</v>
      </c>
    </row>
    <row r="359" spans="1:4" ht="15" customHeight="1" x14ac:dyDescent="0.25">
      <c r="A359" s="8" t="s">
        <v>118</v>
      </c>
      <c r="B359" s="8" t="s">
        <v>498</v>
      </c>
      <c r="C359" s="8" t="s">
        <v>194</v>
      </c>
      <c r="D359" s="8" t="s">
        <v>171</v>
      </c>
    </row>
    <row r="360" spans="1:4" ht="15" customHeight="1" x14ac:dyDescent="0.25">
      <c r="A360" s="8" t="s">
        <v>118</v>
      </c>
      <c r="B360" s="8" t="s">
        <v>499</v>
      </c>
      <c r="C360" s="8" t="s">
        <v>194</v>
      </c>
      <c r="D360" s="8" t="s">
        <v>171</v>
      </c>
    </row>
    <row r="361" spans="1:4" ht="15" customHeight="1" x14ac:dyDescent="0.25">
      <c r="A361" s="8" t="s">
        <v>118</v>
      </c>
      <c r="B361" s="8" t="s">
        <v>500</v>
      </c>
      <c r="C361" s="8" t="s">
        <v>194</v>
      </c>
      <c r="D361" s="8" t="s">
        <v>171</v>
      </c>
    </row>
    <row r="362" spans="1:4" ht="15" customHeight="1" x14ac:dyDescent="0.25">
      <c r="A362" s="8" t="s">
        <v>118</v>
      </c>
      <c r="B362" s="8" t="s">
        <v>501</v>
      </c>
      <c r="C362" s="8" t="s">
        <v>194</v>
      </c>
      <c r="D362" s="8" t="s">
        <v>171</v>
      </c>
    </row>
    <row r="363" spans="1:4" ht="15" customHeight="1" x14ac:dyDescent="0.25">
      <c r="A363" s="8" t="s">
        <v>118</v>
      </c>
      <c r="B363" s="8" t="s">
        <v>502</v>
      </c>
      <c r="C363" s="8" t="s">
        <v>194</v>
      </c>
      <c r="D363" s="8" t="s">
        <v>171</v>
      </c>
    </row>
    <row r="364" spans="1:4" ht="15" customHeight="1" x14ac:dyDescent="0.25">
      <c r="A364" s="8" t="s">
        <v>118</v>
      </c>
      <c r="B364" s="8" t="s">
        <v>503</v>
      </c>
      <c r="C364" s="8" t="s">
        <v>194</v>
      </c>
      <c r="D364" s="8" t="s">
        <v>171</v>
      </c>
    </row>
    <row r="365" spans="1:4" ht="15" customHeight="1" x14ac:dyDescent="0.25">
      <c r="A365" s="8" t="s">
        <v>118</v>
      </c>
      <c r="B365" s="8" t="s">
        <v>504</v>
      </c>
      <c r="C365" s="8" t="s">
        <v>194</v>
      </c>
      <c r="D365" s="8" t="s">
        <v>171</v>
      </c>
    </row>
    <row r="366" spans="1:4" ht="15" customHeight="1" x14ac:dyDescent="0.25">
      <c r="A366" s="8" t="s">
        <v>118</v>
      </c>
      <c r="B366" s="8" t="s">
        <v>505</v>
      </c>
      <c r="C366" s="8" t="s">
        <v>170</v>
      </c>
      <c r="D366" s="8" t="s">
        <v>171</v>
      </c>
    </row>
    <row r="367" spans="1:4" ht="15" customHeight="1" x14ac:dyDescent="0.25">
      <c r="A367" s="8" t="s">
        <v>118</v>
      </c>
      <c r="B367" s="8" t="s">
        <v>506</v>
      </c>
      <c r="C367" s="8" t="s">
        <v>170</v>
      </c>
      <c r="D367" s="8" t="s">
        <v>171</v>
      </c>
    </row>
    <row r="368" spans="1:4" ht="15" customHeight="1" x14ac:dyDescent="0.25">
      <c r="A368" s="8" t="s">
        <v>118</v>
      </c>
      <c r="B368" s="8" t="s">
        <v>507</v>
      </c>
      <c r="C368" s="8" t="s">
        <v>170</v>
      </c>
      <c r="D368" s="8" t="s">
        <v>171</v>
      </c>
    </row>
    <row r="369" spans="1:4" ht="15" customHeight="1" x14ac:dyDescent="0.25">
      <c r="A369" s="8" t="s">
        <v>118</v>
      </c>
      <c r="B369" s="8" t="s">
        <v>508</v>
      </c>
      <c r="C369" s="8" t="s">
        <v>170</v>
      </c>
      <c r="D369" s="8" t="s">
        <v>171</v>
      </c>
    </row>
    <row r="370" spans="1:4" ht="15" customHeight="1" x14ac:dyDescent="0.25">
      <c r="A370" s="8" t="s">
        <v>118</v>
      </c>
      <c r="B370" s="8" t="s">
        <v>509</v>
      </c>
      <c r="C370" s="8" t="s">
        <v>170</v>
      </c>
      <c r="D370" s="8" t="s">
        <v>171</v>
      </c>
    </row>
    <row r="371" spans="1:4" ht="15" customHeight="1" x14ac:dyDescent="0.25">
      <c r="A371" s="8" t="s">
        <v>118</v>
      </c>
      <c r="B371" s="8" t="s">
        <v>510</v>
      </c>
      <c r="C371" s="8" t="s">
        <v>170</v>
      </c>
      <c r="D371" s="8" t="s">
        <v>171</v>
      </c>
    </row>
    <row r="372" spans="1:4" ht="15" customHeight="1" x14ac:dyDescent="0.25">
      <c r="A372" s="8" t="s">
        <v>118</v>
      </c>
      <c r="B372" s="8" t="s">
        <v>511</v>
      </c>
      <c r="C372" s="8" t="s">
        <v>170</v>
      </c>
      <c r="D372" s="8" t="s">
        <v>171</v>
      </c>
    </row>
    <row r="373" spans="1:4" ht="15" customHeight="1" x14ac:dyDescent="0.25">
      <c r="A373" s="8" t="s">
        <v>115</v>
      </c>
      <c r="B373" s="8" t="s">
        <v>512</v>
      </c>
      <c r="C373" s="8" t="s">
        <v>140</v>
      </c>
      <c r="D373" s="8" t="s">
        <v>171</v>
      </c>
    </row>
    <row r="374" spans="1:4" ht="15" customHeight="1" x14ac:dyDescent="0.25">
      <c r="A374" s="8" t="s">
        <v>115</v>
      </c>
      <c r="B374" s="8" t="s">
        <v>513</v>
      </c>
      <c r="C374" s="8" t="s">
        <v>140</v>
      </c>
      <c r="D374" s="8" t="s">
        <v>171</v>
      </c>
    </row>
    <row r="375" spans="1:4" ht="15" customHeight="1" x14ac:dyDescent="0.25">
      <c r="A375" s="8" t="s">
        <v>115</v>
      </c>
      <c r="B375" s="8" t="s">
        <v>514</v>
      </c>
      <c r="C375" s="8" t="s">
        <v>140</v>
      </c>
      <c r="D375" s="8" t="s">
        <v>171</v>
      </c>
    </row>
    <row r="376" spans="1:4" ht="15" customHeight="1" x14ac:dyDescent="0.25">
      <c r="A376" s="8" t="s">
        <v>115</v>
      </c>
      <c r="B376" s="8" t="s">
        <v>515</v>
      </c>
      <c r="C376" s="8" t="s">
        <v>152</v>
      </c>
      <c r="D376" s="8" t="s">
        <v>171</v>
      </c>
    </row>
    <row r="377" spans="1:4" ht="15" customHeight="1" x14ac:dyDescent="0.25">
      <c r="A377" s="8" t="s">
        <v>115</v>
      </c>
      <c r="B377" s="8" t="s">
        <v>516</v>
      </c>
      <c r="C377" s="8" t="s">
        <v>152</v>
      </c>
      <c r="D377" s="8" t="s">
        <v>171</v>
      </c>
    </row>
    <row r="378" spans="1:4" ht="15" customHeight="1" x14ac:dyDescent="0.25">
      <c r="A378" s="8" t="s">
        <v>115</v>
      </c>
      <c r="B378" s="8" t="s">
        <v>517</v>
      </c>
      <c r="C378" s="8" t="s">
        <v>152</v>
      </c>
      <c r="D378" s="8" t="s">
        <v>171</v>
      </c>
    </row>
    <row r="379" spans="1:4" ht="15" customHeight="1" x14ac:dyDescent="0.25">
      <c r="A379" s="8" t="s">
        <v>115</v>
      </c>
      <c r="B379" s="8" t="s">
        <v>518</v>
      </c>
      <c r="C379" s="8" t="s">
        <v>152</v>
      </c>
      <c r="D379" s="8" t="s">
        <v>171</v>
      </c>
    </row>
    <row r="380" spans="1:4" ht="15" customHeight="1" x14ac:dyDescent="0.25">
      <c r="A380" s="8" t="s">
        <v>115</v>
      </c>
      <c r="B380" s="8" t="s">
        <v>519</v>
      </c>
      <c r="C380" s="8" t="s">
        <v>152</v>
      </c>
      <c r="D380" s="8" t="s">
        <v>171</v>
      </c>
    </row>
    <row r="381" spans="1:4" ht="15" customHeight="1" x14ac:dyDescent="0.25">
      <c r="A381" s="8" t="s">
        <v>115</v>
      </c>
      <c r="B381" s="8" t="s">
        <v>520</v>
      </c>
      <c r="C381" s="8" t="s">
        <v>152</v>
      </c>
      <c r="D381" s="8" t="s">
        <v>171</v>
      </c>
    </row>
    <row r="382" spans="1:4" ht="15" customHeight="1" x14ac:dyDescent="0.25">
      <c r="A382" s="8" t="s">
        <v>115</v>
      </c>
      <c r="B382" s="8" t="s">
        <v>521</v>
      </c>
      <c r="C382" s="8" t="s">
        <v>152</v>
      </c>
      <c r="D382" s="8" t="s">
        <v>171</v>
      </c>
    </row>
    <row r="383" spans="1:4" ht="15" customHeight="1" x14ac:dyDescent="0.25">
      <c r="A383" s="8" t="s">
        <v>115</v>
      </c>
      <c r="B383" s="8" t="s">
        <v>522</v>
      </c>
      <c r="C383" s="8" t="s">
        <v>152</v>
      </c>
      <c r="D383" s="8" t="s">
        <v>171</v>
      </c>
    </row>
    <row r="384" spans="1:4" ht="15" customHeight="1" x14ac:dyDescent="0.25">
      <c r="A384" s="8" t="s">
        <v>115</v>
      </c>
      <c r="B384" s="8" t="s">
        <v>523</v>
      </c>
      <c r="C384" s="8" t="s">
        <v>194</v>
      </c>
      <c r="D384" s="8" t="s">
        <v>171</v>
      </c>
    </row>
    <row r="385" spans="1:4" ht="15" customHeight="1" x14ac:dyDescent="0.25">
      <c r="A385" s="8" t="s">
        <v>115</v>
      </c>
      <c r="B385" s="8" t="s">
        <v>524</v>
      </c>
      <c r="C385" s="8" t="s">
        <v>194</v>
      </c>
      <c r="D385" s="8" t="s">
        <v>171</v>
      </c>
    </row>
    <row r="386" spans="1:4" ht="15" customHeight="1" x14ac:dyDescent="0.25">
      <c r="A386" s="8" t="s">
        <v>115</v>
      </c>
      <c r="B386" s="8" t="s">
        <v>525</v>
      </c>
      <c r="C386" s="8" t="s">
        <v>194</v>
      </c>
      <c r="D386" s="8" t="s">
        <v>171</v>
      </c>
    </row>
    <row r="387" spans="1:4" ht="15" customHeight="1" x14ac:dyDescent="0.25">
      <c r="A387" s="8" t="s">
        <v>115</v>
      </c>
      <c r="B387" s="8" t="s">
        <v>526</v>
      </c>
      <c r="C387" s="8" t="s">
        <v>194</v>
      </c>
      <c r="D387" s="8" t="s">
        <v>171</v>
      </c>
    </row>
    <row r="388" spans="1:4" ht="15" customHeight="1" x14ac:dyDescent="0.25">
      <c r="A388" s="8" t="s">
        <v>115</v>
      </c>
      <c r="B388" s="8" t="s">
        <v>527</v>
      </c>
      <c r="C388" s="8" t="s">
        <v>194</v>
      </c>
      <c r="D388" s="8" t="s">
        <v>171</v>
      </c>
    </row>
    <row r="389" spans="1:4" ht="15" customHeight="1" x14ac:dyDescent="0.25">
      <c r="A389" s="8" t="s">
        <v>115</v>
      </c>
      <c r="B389" s="8" t="s">
        <v>528</v>
      </c>
      <c r="C389" s="8" t="s">
        <v>194</v>
      </c>
      <c r="D389" s="8" t="s">
        <v>171</v>
      </c>
    </row>
    <row r="390" spans="1:4" ht="15" customHeight="1" x14ac:dyDescent="0.25">
      <c r="A390" s="8" t="s">
        <v>115</v>
      </c>
      <c r="B390" s="8" t="s">
        <v>529</v>
      </c>
      <c r="C390" s="8" t="s">
        <v>194</v>
      </c>
      <c r="D390" s="8" t="s">
        <v>171</v>
      </c>
    </row>
    <row r="391" spans="1:4" ht="15" customHeight="1" x14ac:dyDescent="0.25">
      <c r="A391" s="8" t="s">
        <v>115</v>
      </c>
      <c r="B391" s="8" t="s">
        <v>530</v>
      </c>
      <c r="C391" s="8" t="s">
        <v>194</v>
      </c>
      <c r="D391" s="8" t="s">
        <v>171</v>
      </c>
    </row>
    <row r="392" spans="1:4" ht="15" customHeight="1" x14ac:dyDescent="0.25">
      <c r="A392" s="8" t="s">
        <v>115</v>
      </c>
      <c r="B392" s="8" t="s">
        <v>531</v>
      </c>
      <c r="C392" s="8" t="s">
        <v>194</v>
      </c>
      <c r="D392" s="8" t="s">
        <v>171</v>
      </c>
    </row>
    <row r="393" spans="1:4" ht="15" customHeight="1" x14ac:dyDescent="0.25">
      <c r="A393" s="8" t="s">
        <v>115</v>
      </c>
      <c r="B393" s="8" t="s">
        <v>532</v>
      </c>
      <c r="C393" s="8" t="s">
        <v>194</v>
      </c>
      <c r="D393" s="8" t="s">
        <v>171</v>
      </c>
    </row>
    <row r="394" spans="1:4" ht="15" customHeight="1" x14ac:dyDescent="0.25">
      <c r="A394" s="8" t="s">
        <v>115</v>
      </c>
      <c r="B394" s="8" t="s">
        <v>533</v>
      </c>
      <c r="C394" s="8" t="s">
        <v>194</v>
      </c>
      <c r="D394" s="8" t="s">
        <v>171</v>
      </c>
    </row>
    <row r="395" spans="1:4" ht="15" customHeight="1" x14ac:dyDescent="0.25">
      <c r="A395" s="8" t="s">
        <v>115</v>
      </c>
      <c r="B395" s="8" t="s">
        <v>534</v>
      </c>
      <c r="C395" s="8" t="s">
        <v>194</v>
      </c>
      <c r="D395" s="8" t="s">
        <v>171</v>
      </c>
    </row>
    <row r="396" spans="1:4" ht="15" customHeight="1" x14ac:dyDescent="0.25">
      <c r="A396" s="8" t="s">
        <v>115</v>
      </c>
      <c r="B396" s="8" t="s">
        <v>535</v>
      </c>
      <c r="C396" s="8" t="s">
        <v>170</v>
      </c>
      <c r="D396" s="8" t="s">
        <v>171</v>
      </c>
    </row>
    <row r="397" spans="1:4" ht="15" customHeight="1" x14ac:dyDescent="0.25">
      <c r="A397" s="8" t="s">
        <v>115</v>
      </c>
      <c r="B397" s="8" t="s">
        <v>536</v>
      </c>
      <c r="C397" s="8" t="s">
        <v>170</v>
      </c>
      <c r="D397" s="8" t="s">
        <v>171</v>
      </c>
    </row>
    <row r="398" spans="1:4" ht="15" customHeight="1" x14ac:dyDescent="0.25">
      <c r="A398" s="8" t="s">
        <v>115</v>
      </c>
      <c r="B398" s="8" t="s">
        <v>537</v>
      </c>
      <c r="C398" s="8" t="s">
        <v>170</v>
      </c>
      <c r="D398" s="8" t="s">
        <v>171</v>
      </c>
    </row>
    <row r="399" spans="1:4" ht="15" customHeight="1" x14ac:dyDescent="0.25">
      <c r="A399" s="8" t="s">
        <v>115</v>
      </c>
      <c r="B399" s="8" t="s">
        <v>538</v>
      </c>
      <c r="C399" s="8" t="s">
        <v>170</v>
      </c>
      <c r="D399" s="8" t="s">
        <v>171</v>
      </c>
    </row>
    <row r="400" spans="1:4" ht="15" customHeight="1" x14ac:dyDescent="0.25">
      <c r="A400" s="8" t="s">
        <v>115</v>
      </c>
      <c r="B400" s="8" t="s">
        <v>539</v>
      </c>
      <c r="C400" s="8" t="s">
        <v>170</v>
      </c>
      <c r="D400" s="8" t="s">
        <v>171</v>
      </c>
    </row>
    <row r="401" spans="1:4" ht="15" customHeight="1" x14ac:dyDescent="0.25">
      <c r="A401" s="8" t="s">
        <v>115</v>
      </c>
      <c r="B401" s="8" t="s">
        <v>540</v>
      </c>
      <c r="C401" s="8" t="s">
        <v>170</v>
      </c>
      <c r="D401" s="8" t="s">
        <v>171</v>
      </c>
    </row>
    <row r="402" spans="1:4" ht="15" customHeight="1" x14ac:dyDescent="0.25">
      <c r="A402" s="8" t="s">
        <v>115</v>
      </c>
      <c r="B402" s="8" t="s">
        <v>541</v>
      </c>
      <c r="C402" s="8" t="s">
        <v>170</v>
      </c>
      <c r="D402" s="8" t="s">
        <v>171</v>
      </c>
    </row>
    <row r="403" spans="1:4" ht="15" customHeight="1" x14ac:dyDescent="0.25">
      <c r="A403" s="8" t="s">
        <v>115</v>
      </c>
      <c r="B403" s="8" t="s">
        <v>542</v>
      </c>
      <c r="C403" s="8" t="s">
        <v>170</v>
      </c>
      <c r="D403" s="8" t="s">
        <v>171</v>
      </c>
    </row>
    <row r="404" spans="1:4" ht="15" customHeight="1" x14ac:dyDescent="0.25">
      <c r="A404" s="8" t="s">
        <v>130</v>
      </c>
      <c r="B404" s="8" t="s">
        <v>543</v>
      </c>
      <c r="C404" s="8" t="s">
        <v>140</v>
      </c>
      <c r="D404" s="8" t="s">
        <v>171</v>
      </c>
    </row>
    <row r="405" spans="1:4" ht="15" customHeight="1" x14ac:dyDescent="0.25">
      <c r="A405" s="8" t="s">
        <v>130</v>
      </c>
      <c r="B405" s="8" t="s">
        <v>544</v>
      </c>
      <c r="C405" s="8" t="s">
        <v>140</v>
      </c>
      <c r="D405" s="8" t="s">
        <v>171</v>
      </c>
    </row>
    <row r="406" spans="1:4" ht="15" customHeight="1" x14ac:dyDescent="0.25">
      <c r="A406" s="8" t="s">
        <v>130</v>
      </c>
      <c r="B406" s="8" t="s">
        <v>545</v>
      </c>
      <c r="C406" s="8" t="s">
        <v>152</v>
      </c>
      <c r="D406" s="8" t="s">
        <v>171</v>
      </c>
    </row>
    <row r="407" spans="1:4" ht="15" customHeight="1" x14ac:dyDescent="0.25">
      <c r="A407" s="8" t="s">
        <v>130</v>
      </c>
      <c r="B407" s="8" t="s">
        <v>546</v>
      </c>
      <c r="C407" s="8" t="s">
        <v>152</v>
      </c>
      <c r="D407" s="8" t="s">
        <v>171</v>
      </c>
    </row>
    <row r="408" spans="1:4" ht="15" customHeight="1" x14ac:dyDescent="0.25">
      <c r="A408" s="8" t="s">
        <v>130</v>
      </c>
      <c r="B408" s="8" t="s">
        <v>547</v>
      </c>
      <c r="C408" s="8" t="s">
        <v>152</v>
      </c>
      <c r="D408" s="8" t="s">
        <v>171</v>
      </c>
    </row>
    <row r="409" spans="1:4" ht="15" customHeight="1" x14ac:dyDescent="0.25">
      <c r="A409" s="8" t="s">
        <v>130</v>
      </c>
      <c r="B409" s="8" t="s">
        <v>548</v>
      </c>
      <c r="C409" s="8" t="s">
        <v>152</v>
      </c>
      <c r="D409" s="8" t="s">
        <v>171</v>
      </c>
    </row>
    <row r="410" spans="1:4" ht="15" customHeight="1" x14ac:dyDescent="0.25">
      <c r="A410" s="8" t="s">
        <v>130</v>
      </c>
      <c r="B410" s="8" t="s">
        <v>549</v>
      </c>
      <c r="C410" s="8" t="s">
        <v>152</v>
      </c>
      <c r="D410" s="8" t="s">
        <v>171</v>
      </c>
    </row>
    <row r="411" spans="1:4" ht="15" customHeight="1" x14ac:dyDescent="0.25">
      <c r="A411" s="8" t="s">
        <v>130</v>
      </c>
      <c r="B411" s="8" t="s">
        <v>550</v>
      </c>
      <c r="C411" s="8" t="s">
        <v>152</v>
      </c>
      <c r="D411" s="8" t="s">
        <v>171</v>
      </c>
    </row>
    <row r="412" spans="1:4" ht="15" customHeight="1" x14ac:dyDescent="0.25">
      <c r="A412" s="8" t="s">
        <v>130</v>
      </c>
      <c r="B412" s="8" t="s">
        <v>551</v>
      </c>
      <c r="C412" s="8" t="s">
        <v>194</v>
      </c>
      <c r="D412" s="8" t="s">
        <v>171</v>
      </c>
    </row>
    <row r="413" spans="1:4" ht="15" customHeight="1" x14ac:dyDescent="0.25">
      <c r="A413" s="8" t="s">
        <v>130</v>
      </c>
      <c r="B413" s="8" t="s">
        <v>552</v>
      </c>
      <c r="C413" s="8" t="s">
        <v>194</v>
      </c>
      <c r="D413" s="8" t="s">
        <v>171</v>
      </c>
    </row>
    <row r="414" spans="1:4" ht="15" customHeight="1" x14ac:dyDescent="0.25">
      <c r="A414" s="8" t="s">
        <v>130</v>
      </c>
      <c r="B414" s="8" t="s">
        <v>553</v>
      </c>
      <c r="C414" s="8" t="s">
        <v>194</v>
      </c>
      <c r="D414" s="8" t="s">
        <v>171</v>
      </c>
    </row>
    <row r="415" spans="1:4" ht="15" customHeight="1" x14ac:dyDescent="0.25">
      <c r="A415" s="8" t="s">
        <v>130</v>
      </c>
      <c r="B415" s="8" t="s">
        <v>554</v>
      </c>
      <c r="C415" s="8" t="s">
        <v>194</v>
      </c>
      <c r="D415" s="8" t="s">
        <v>171</v>
      </c>
    </row>
    <row r="416" spans="1:4" ht="15" customHeight="1" x14ac:dyDescent="0.25">
      <c r="A416" s="8" t="s">
        <v>130</v>
      </c>
      <c r="B416" s="8" t="s">
        <v>555</v>
      </c>
      <c r="C416" s="8" t="s">
        <v>194</v>
      </c>
      <c r="D416" s="8" t="s">
        <v>171</v>
      </c>
    </row>
    <row r="417" spans="1:4" ht="15" customHeight="1" x14ac:dyDescent="0.25">
      <c r="A417" s="8" t="s">
        <v>130</v>
      </c>
      <c r="B417" s="8" t="s">
        <v>556</v>
      </c>
      <c r="C417" s="8" t="s">
        <v>194</v>
      </c>
      <c r="D417" s="8" t="s">
        <v>171</v>
      </c>
    </row>
    <row r="418" spans="1:4" ht="15" customHeight="1" x14ac:dyDescent="0.25">
      <c r="A418" s="8" t="s">
        <v>130</v>
      </c>
      <c r="B418" s="8" t="s">
        <v>557</v>
      </c>
      <c r="C418" s="8" t="s">
        <v>194</v>
      </c>
      <c r="D418" s="8" t="s">
        <v>171</v>
      </c>
    </row>
    <row r="419" spans="1:4" ht="15" customHeight="1" x14ac:dyDescent="0.25">
      <c r="A419" s="8" t="s">
        <v>130</v>
      </c>
      <c r="B419" s="8" t="s">
        <v>558</v>
      </c>
      <c r="C419" s="8" t="s">
        <v>194</v>
      </c>
      <c r="D419" s="8" t="s">
        <v>171</v>
      </c>
    </row>
    <row r="420" spans="1:4" ht="15" customHeight="1" x14ac:dyDescent="0.25">
      <c r="A420" s="8" t="s">
        <v>130</v>
      </c>
      <c r="B420" s="8" t="s">
        <v>559</v>
      </c>
      <c r="C420" s="8" t="s">
        <v>194</v>
      </c>
      <c r="D420" s="8" t="s">
        <v>171</v>
      </c>
    </row>
    <row r="421" spans="1:4" ht="15" customHeight="1" x14ac:dyDescent="0.25">
      <c r="A421" s="8" t="s">
        <v>130</v>
      </c>
      <c r="B421" s="8" t="s">
        <v>560</v>
      </c>
      <c r="C421" s="8" t="s">
        <v>194</v>
      </c>
      <c r="D421" s="8" t="s">
        <v>171</v>
      </c>
    </row>
    <row r="422" spans="1:4" ht="15" customHeight="1" x14ac:dyDescent="0.25">
      <c r="A422" s="8" t="s">
        <v>130</v>
      </c>
      <c r="B422" s="8" t="s">
        <v>561</v>
      </c>
      <c r="C422" s="8" t="s">
        <v>194</v>
      </c>
      <c r="D422" s="8" t="s">
        <v>171</v>
      </c>
    </row>
    <row r="423" spans="1:4" ht="15" customHeight="1" x14ac:dyDescent="0.25">
      <c r="A423" s="8" t="s">
        <v>130</v>
      </c>
      <c r="B423" s="8" t="s">
        <v>562</v>
      </c>
      <c r="C423" s="8" t="s">
        <v>194</v>
      </c>
      <c r="D423" s="8" t="s">
        <v>171</v>
      </c>
    </row>
    <row r="424" spans="1:4" ht="15" customHeight="1" x14ac:dyDescent="0.25">
      <c r="A424" s="8" t="s">
        <v>130</v>
      </c>
      <c r="B424" s="8" t="s">
        <v>563</v>
      </c>
      <c r="C424" s="8" t="s">
        <v>170</v>
      </c>
      <c r="D424" s="8" t="s">
        <v>171</v>
      </c>
    </row>
    <row r="425" spans="1:4" ht="15" customHeight="1" x14ac:dyDescent="0.25">
      <c r="A425" s="8" t="s">
        <v>130</v>
      </c>
      <c r="B425" s="8" t="s">
        <v>564</v>
      </c>
      <c r="C425" s="8" t="s">
        <v>170</v>
      </c>
      <c r="D425" s="8" t="s">
        <v>171</v>
      </c>
    </row>
    <row r="426" spans="1:4" ht="15" customHeight="1" x14ac:dyDescent="0.25">
      <c r="A426" s="8" t="s">
        <v>130</v>
      </c>
      <c r="B426" s="8" t="s">
        <v>565</v>
      </c>
      <c r="C426" s="8" t="s">
        <v>170</v>
      </c>
      <c r="D426" s="8" t="s">
        <v>171</v>
      </c>
    </row>
    <row r="427" spans="1:4" ht="15" customHeight="1" x14ac:dyDescent="0.25">
      <c r="A427" s="8" t="s">
        <v>130</v>
      </c>
      <c r="B427" s="8" t="s">
        <v>566</v>
      </c>
      <c r="C427" s="8" t="s">
        <v>170</v>
      </c>
      <c r="D427" s="8" t="s">
        <v>171</v>
      </c>
    </row>
    <row r="428" spans="1:4" ht="15" customHeight="1" x14ac:dyDescent="0.25">
      <c r="A428" s="8" t="s">
        <v>130</v>
      </c>
      <c r="B428" s="8" t="s">
        <v>567</v>
      </c>
      <c r="C428" s="8" t="s">
        <v>170</v>
      </c>
      <c r="D428" s="8" t="s">
        <v>171</v>
      </c>
    </row>
    <row r="429" spans="1:4" ht="15" customHeight="1" x14ac:dyDescent="0.25">
      <c r="A429" s="8" t="s">
        <v>122</v>
      </c>
      <c r="B429" s="8" t="s">
        <v>568</v>
      </c>
      <c r="C429" s="8" t="s">
        <v>140</v>
      </c>
      <c r="D429" s="8" t="s">
        <v>171</v>
      </c>
    </row>
    <row r="430" spans="1:4" ht="15" customHeight="1" x14ac:dyDescent="0.25">
      <c r="A430" s="8" t="s">
        <v>122</v>
      </c>
      <c r="B430" s="8" t="s">
        <v>569</v>
      </c>
      <c r="C430" s="8" t="s">
        <v>140</v>
      </c>
      <c r="D430" s="8" t="s">
        <v>171</v>
      </c>
    </row>
    <row r="431" spans="1:4" ht="15" customHeight="1" x14ac:dyDescent="0.25">
      <c r="A431" s="8" t="s">
        <v>122</v>
      </c>
      <c r="B431" s="8" t="s">
        <v>570</v>
      </c>
      <c r="C431" s="8" t="s">
        <v>140</v>
      </c>
      <c r="D431" s="8" t="s">
        <v>171</v>
      </c>
    </row>
    <row r="432" spans="1:4" ht="15" customHeight="1" x14ac:dyDescent="0.25">
      <c r="A432" s="8" t="s">
        <v>122</v>
      </c>
      <c r="B432" s="8" t="s">
        <v>571</v>
      </c>
      <c r="C432" s="8" t="s">
        <v>152</v>
      </c>
      <c r="D432" s="8" t="s">
        <v>171</v>
      </c>
    </row>
    <row r="433" spans="1:4" ht="15" customHeight="1" x14ac:dyDescent="0.25">
      <c r="A433" s="8" t="s">
        <v>122</v>
      </c>
      <c r="B433" s="8" t="s">
        <v>572</v>
      </c>
      <c r="C433" s="8" t="s">
        <v>152</v>
      </c>
      <c r="D433" s="8" t="s">
        <v>171</v>
      </c>
    </row>
    <row r="434" spans="1:4" ht="15" customHeight="1" x14ac:dyDescent="0.25">
      <c r="A434" s="8" t="s">
        <v>122</v>
      </c>
      <c r="B434" s="8" t="s">
        <v>573</v>
      </c>
      <c r="C434" s="8" t="s">
        <v>152</v>
      </c>
      <c r="D434" s="8" t="s">
        <v>171</v>
      </c>
    </row>
    <row r="435" spans="1:4" ht="15" customHeight="1" x14ac:dyDescent="0.25">
      <c r="A435" s="8" t="s">
        <v>122</v>
      </c>
      <c r="B435" s="8" t="s">
        <v>574</v>
      </c>
      <c r="C435" s="8" t="s">
        <v>152</v>
      </c>
      <c r="D435" s="8" t="s">
        <v>171</v>
      </c>
    </row>
    <row r="436" spans="1:4" ht="15" customHeight="1" x14ac:dyDescent="0.25">
      <c r="A436" s="8" t="s">
        <v>122</v>
      </c>
      <c r="B436" s="8" t="s">
        <v>575</v>
      </c>
      <c r="C436" s="8" t="s">
        <v>152</v>
      </c>
      <c r="D436" s="8" t="s">
        <v>171</v>
      </c>
    </row>
    <row r="437" spans="1:4" ht="15" customHeight="1" x14ac:dyDescent="0.25">
      <c r="A437" s="8" t="s">
        <v>122</v>
      </c>
      <c r="B437" s="8" t="s">
        <v>576</v>
      </c>
      <c r="C437" s="8" t="s">
        <v>152</v>
      </c>
      <c r="D437" s="8" t="s">
        <v>171</v>
      </c>
    </row>
    <row r="438" spans="1:4" ht="15" customHeight="1" x14ac:dyDescent="0.25">
      <c r="A438" s="8" t="s">
        <v>122</v>
      </c>
      <c r="B438" s="8" t="s">
        <v>577</v>
      </c>
      <c r="C438" s="8" t="s">
        <v>152</v>
      </c>
      <c r="D438" s="8" t="s">
        <v>171</v>
      </c>
    </row>
    <row r="439" spans="1:4" ht="15" customHeight="1" x14ac:dyDescent="0.25">
      <c r="A439" s="8" t="s">
        <v>122</v>
      </c>
      <c r="B439" s="8" t="s">
        <v>578</v>
      </c>
      <c r="C439" s="8" t="s">
        <v>152</v>
      </c>
      <c r="D439" s="8" t="s">
        <v>171</v>
      </c>
    </row>
    <row r="440" spans="1:4" ht="15" customHeight="1" x14ac:dyDescent="0.25">
      <c r="A440" s="8" t="s">
        <v>122</v>
      </c>
      <c r="B440" s="8" t="s">
        <v>579</v>
      </c>
      <c r="C440" s="8" t="s">
        <v>194</v>
      </c>
      <c r="D440" s="8" t="s">
        <v>171</v>
      </c>
    </row>
    <row r="441" spans="1:4" ht="15" customHeight="1" x14ac:dyDescent="0.25">
      <c r="A441" s="8" t="s">
        <v>122</v>
      </c>
      <c r="B441" s="8" t="s">
        <v>580</v>
      </c>
      <c r="C441" s="8" t="s">
        <v>194</v>
      </c>
      <c r="D441" s="8" t="s">
        <v>171</v>
      </c>
    </row>
    <row r="442" spans="1:4" ht="15" customHeight="1" x14ac:dyDescent="0.25">
      <c r="A442" s="8" t="s">
        <v>122</v>
      </c>
      <c r="B442" s="8" t="s">
        <v>581</v>
      </c>
      <c r="C442" s="8" t="s">
        <v>194</v>
      </c>
      <c r="D442" s="8" t="s">
        <v>171</v>
      </c>
    </row>
    <row r="443" spans="1:4" ht="15" customHeight="1" x14ac:dyDescent="0.25">
      <c r="A443" s="8" t="s">
        <v>122</v>
      </c>
      <c r="B443" s="8" t="s">
        <v>582</v>
      </c>
      <c r="C443" s="8" t="s">
        <v>194</v>
      </c>
      <c r="D443" s="8" t="s">
        <v>171</v>
      </c>
    </row>
    <row r="444" spans="1:4" ht="15" customHeight="1" x14ac:dyDescent="0.25">
      <c r="A444" s="8" t="s">
        <v>122</v>
      </c>
      <c r="B444" s="8" t="s">
        <v>583</v>
      </c>
      <c r="C444" s="8" t="s">
        <v>194</v>
      </c>
      <c r="D444" s="8" t="s">
        <v>171</v>
      </c>
    </row>
    <row r="445" spans="1:4" ht="15" customHeight="1" x14ac:dyDescent="0.25">
      <c r="A445" s="8" t="s">
        <v>122</v>
      </c>
      <c r="B445" s="8" t="s">
        <v>584</v>
      </c>
      <c r="C445" s="8" t="s">
        <v>194</v>
      </c>
      <c r="D445" s="8" t="s">
        <v>171</v>
      </c>
    </row>
    <row r="446" spans="1:4" ht="15" customHeight="1" x14ac:dyDescent="0.25">
      <c r="A446" s="8" t="s">
        <v>122</v>
      </c>
      <c r="B446" s="8" t="s">
        <v>585</v>
      </c>
      <c r="C446" s="8" t="s">
        <v>194</v>
      </c>
      <c r="D446" s="8" t="s">
        <v>171</v>
      </c>
    </row>
    <row r="447" spans="1:4" ht="15" customHeight="1" x14ac:dyDescent="0.25">
      <c r="A447" s="8" t="s">
        <v>122</v>
      </c>
      <c r="B447" s="8" t="s">
        <v>586</v>
      </c>
      <c r="C447" s="8" t="s">
        <v>194</v>
      </c>
      <c r="D447" s="8" t="s">
        <v>171</v>
      </c>
    </row>
    <row r="448" spans="1:4" ht="15" customHeight="1" x14ac:dyDescent="0.25">
      <c r="A448" s="8" t="s">
        <v>122</v>
      </c>
      <c r="B448" s="8" t="s">
        <v>587</v>
      </c>
      <c r="C448" s="8" t="s">
        <v>194</v>
      </c>
      <c r="D448" s="8" t="s">
        <v>171</v>
      </c>
    </row>
    <row r="449" spans="1:4" ht="15" customHeight="1" x14ac:dyDescent="0.25">
      <c r="A449" s="8" t="s">
        <v>122</v>
      </c>
      <c r="B449" s="8" t="s">
        <v>588</v>
      </c>
      <c r="C449" s="8" t="s">
        <v>194</v>
      </c>
      <c r="D449" s="8" t="s">
        <v>171</v>
      </c>
    </row>
    <row r="450" spans="1:4" ht="15" customHeight="1" x14ac:dyDescent="0.25">
      <c r="A450" s="8" t="s">
        <v>122</v>
      </c>
      <c r="B450" s="8" t="s">
        <v>589</v>
      </c>
      <c r="C450" s="8" t="s">
        <v>194</v>
      </c>
      <c r="D450" s="8" t="s">
        <v>171</v>
      </c>
    </row>
    <row r="451" spans="1:4" ht="15" customHeight="1" x14ac:dyDescent="0.25">
      <c r="A451" s="8" t="s">
        <v>122</v>
      </c>
      <c r="B451" s="8" t="s">
        <v>590</v>
      </c>
      <c r="C451" s="8" t="s">
        <v>194</v>
      </c>
      <c r="D451" s="8" t="s">
        <v>171</v>
      </c>
    </row>
    <row r="452" spans="1:4" ht="15" customHeight="1" x14ac:dyDescent="0.25">
      <c r="A452" s="8" t="s">
        <v>122</v>
      </c>
      <c r="B452" s="8" t="s">
        <v>591</v>
      </c>
      <c r="C452" s="8" t="s">
        <v>194</v>
      </c>
      <c r="D452" s="8" t="s">
        <v>171</v>
      </c>
    </row>
    <row r="453" spans="1:4" ht="15" customHeight="1" x14ac:dyDescent="0.25">
      <c r="A453" s="8" t="s">
        <v>122</v>
      </c>
      <c r="B453" s="8" t="s">
        <v>592</v>
      </c>
      <c r="C453" s="8" t="s">
        <v>170</v>
      </c>
      <c r="D453" s="8" t="s">
        <v>171</v>
      </c>
    </row>
    <row r="454" spans="1:4" ht="15" customHeight="1" x14ac:dyDescent="0.25">
      <c r="A454" s="8" t="s">
        <v>122</v>
      </c>
      <c r="B454" s="8" t="s">
        <v>593</v>
      </c>
      <c r="C454" s="8" t="s">
        <v>170</v>
      </c>
      <c r="D454" s="8" t="s">
        <v>171</v>
      </c>
    </row>
    <row r="455" spans="1:4" ht="15" customHeight="1" x14ac:dyDescent="0.25">
      <c r="A455" s="8" t="s">
        <v>122</v>
      </c>
      <c r="B455" s="8" t="s">
        <v>594</v>
      </c>
      <c r="C455" s="8" t="s">
        <v>170</v>
      </c>
      <c r="D455" s="8" t="s">
        <v>171</v>
      </c>
    </row>
    <row r="456" spans="1:4" ht="15" customHeight="1" x14ac:dyDescent="0.25">
      <c r="A456" s="8" t="s">
        <v>122</v>
      </c>
      <c r="B456" s="8" t="s">
        <v>595</v>
      </c>
      <c r="C456" s="8" t="s">
        <v>170</v>
      </c>
      <c r="D456" s="8" t="s">
        <v>171</v>
      </c>
    </row>
    <row r="457" spans="1:4" ht="15" customHeight="1" x14ac:dyDescent="0.25">
      <c r="A457" s="8" t="s">
        <v>122</v>
      </c>
      <c r="B457" s="8" t="s">
        <v>596</v>
      </c>
      <c r="C457" s="8" t="s">
        <v>170</v>
      </c>
      <c r="D457" s="8" t="s">
        <v>171</v>
      </c>
    </row>
    <row r="458" spans="1:4" ht="15" customHeight="1" x14ac:dyDescent="0.25">
      <c r="A458" s="8" t="s">
        <v>122</v>
      </c>
      <c r="B458" s="8" t="s">
        <v>597</v>
      </c>
      <c r="C458" s="8" t="s">
        <v>170</v>
      </c>
      <c r="D458" s="8" t="s">
        <v>171</v>
      </c>
    </row>
    <row r="459" spans="1:4" ht="15" customHeight="1" x14ac:dyDescent="0.25">
      <c r="A459" s="8" t="s">
        <v>117</v>
      </c>
      <c r="B459" s="8" t="s">
        <v>598</v>
      </c>
      <c r="C459" s="8" t="s">
        <v>140</v>
      </c>
      <c r="D459" s="8" t="s">
        <v>171</v>
      </c>
    </row>
    <row r="460" spans="1:4" ht="15" customHeight="1" x14ac:dyDescent="0.25">
      <c r="A460" s="8" t="s">
        <v>117</v>
      </c>
      <c r="B460" s="8" t="s">
        <v>599</v>
      </c>
      <c r="C460" s="8" t="s">
        <v>140</v>
      </c>
      <c r="D460" s="8" t="s">
        <v>171</v>
      </c>
    </row>
    <row r="461" spans="1:4" ht="15" customHeight="1" x14ac:dyDescent="0.25">
      <c r="A461" s="8" t="s">
        <v>117</v>
      </c>
      <c r="B461" s="8" t="s">
        <v>600</v>
      </c>
      <c r="C461" s="8" t="s">
        <v>140</v>
      </c>
      <c r="D461" s="8" t="s">
        <v>171</v>
      </c>
    </row>
    <row r="462" spans="1:4" ht="15" customHeight="1" x14ac:dyDescent="0.25">
      <c r="A462" s="8" t="s">
        <v>117</v>
      </c>
      <c r="B462" s="8" t="s">
        <v>213</v>
      </c>
      <c r="C462" s="8" t="s">
        <v>152</v>
      </c>
      <c r="D462" s="8" t="s">
        <v>171</v>
      </c>
    </row>
    <row r="463" spans="1:4" ht="15" customHeight="1" x14ac:dyDescent="0.25">
      <c r="A463" s="8" t="s">
        <v>117</v>
      </c>
      <c r="B463" s="8" t="s">
        <v>601</v>
      </c>
      <c r="C463" s="8" t="s">
        <v>152</v>
      </c>
      <c r="D463" s="8" t="s">
        <v>171</v>
      </c>
    </row>
    <row r="464" spans="1:4" ht="15" customHeight="1" x14ac:dyDescent="0.25">
      <c r="A464" s="8" t="s">
        <v>117</v>
      </c>
      <c r="B464" s="8" t="s">
        <v>602</v>
      </c>
      <c r="C464" s="8" t="s">
        <v>152</v>
      </c>
      <c r="D464" s="8" t="s">
        <v>171</v>
      </c>
    </row>
    <row r="465" spans="1:4" ht="15" customHeight="1" x14ac:dyDescent="0.25">
      <c r="A465" s="8" t="s">
        <v>117</v>
      </c>
      <c r="B465" s="8" t="s">
        <v>603</v>
      </c>
      <c r="C465" s="8" t="s">
        <v>152</v>
      </c>
      <c r="D465" s="8" t="s">
        <v>171</v>
      </c>
    </row>
    <row r="466" spans="1:4" ht="15" customHeight="1" x14ac:dyDescent="0.25">
      <c r="A466" s="8" t="s">
        <v>117</v>
      </c>
      <c r="B466" s="8" t="s">
        <v>604</v>
      </c>
      <c r="C466" s="8" t="s">
        <v>152</v>
      </c>
      <c r="D466" s="8" t="s">
        <v>171</v>
      </c>
    </row>
    <row r="467" spans="1:4" ht="15" customHeight="1" x14ac:dyDescent="0.25">
      <c r="A467" s="8" t="s">
        <v>117</v>
      </c>
      <c r="B467" s="8" t="s">
        <v>605</v>
      </c>
      <c r="C467" s="8" t="s">
        <v>152</v>
      </c>
      <c r="D467" s="8" t="s">
        <v>171</v>
      </c>
    </row>
    <row r="468" spans="1:4" ht="15" customHeight="1" x14ac:dyDescent="0.25">
      <c r="A468" s="8" t="s">
        <v>117</v>
      </c>
      <c r="B468" s="8" t="s">
        <v>606</v>
      </c>
      <c r="C468" s="8" t="s">
        <v>152</v>
      </c>
      <c r="D468" s="8" t="s">
        <v>171</v>
      </c>
    </row>
    <row r="469" spans="1:4" ht="15" customHeight="1" x14ac:dyDescent="0.25">
      <c r="A469" s="8" t="s">
        <v>117</v>
      </c>
      <c r="B469" s="8" t="s">
        <v>607</v>
      </c>
      <c r="C469" s="8" t="s">
        <v>152</v>
      </c>
      <c r="D469" s="8" t="s">
        <v>171</v>
      </c>
    </row>
    <row r="470" spans="1:4" ht="15" customHeight="1" x14ac:dyDescent="0.25">
      <c r="A470" s="8" t="s">
        <v>117</v>
      </c>
      <c r="B470" s="8" t="s">
        <v>608</v>
      </c>
      <c r="C470" s="8" t="s">
        <v>152</v>
      </c>
      <c r="D470" s="8" t="s">
        <v>171</v>
      </c>
    </row>
    <row r="471" spans="1:4" ht="15" customHeight="1" x14ac:dyDescent="0.25">
      <c r="A471" s="8" t="s">
        <v>117</v>
      </c>
      <c r="B471" s="8" t="s">
        <v>609</v>
      </c>
      <c r="C471" s="8" t="s">
        <v>152</v>
      </c>
      <c r="D471" s="8" t="s">
        <v>171</v>
      </c>
    </row>
    <row r="472" spans="1:4" ht="15" customHeight="1" x14ac:dyDescent="0.25">
      <c r="A472" s="8" t="s">
        <v>117</v>
      </c>
      <c r="B472" s="8" t="s">
        <v>610</v>
      </c>
      <c r="C472" s="8" t="s">
        <v>152</v>
      </c>
      <c r="D472" s="8" t="s">
        <v>171</v>
      </c>
    </row>
    <row r="473" spans="1:4" ht="15" customHeight="1" x14ac:dyDescent="0.25">
      <c r="A473" s="8" t="s">
        <v>117</v>
      </c>
      <c r="B473" s="8" t="s">
        <v>611</v>
      </c>
      <c r="C473" s="8" t="s">
        <v>152</v>
      </c>
      <c r="D473" s="8" t="s">
        <v>171</v>
      </c>
    </row>
    <row r="474" spans="1:4" ht="15" customHeight="1" x14ac:dyDescent="0.25">
      <c r="A474" s="8" t="s">
        <v>117</v>
      </c>
      <c r="B474" s="8" t="s">
        <v>612</v>
      </c>
      <c r="C474" s="8" t="s">
        <v>194</v>
      </c>
      <c r="D474" s="8" t="s">
        <v>171</v>
      </c>
    </row>
    <row r="475" spans="1:4" ht="15" customHeight="1" x14ac:dyDescent="0.25">
      <c r="A475" s="8" t="s">
        <v>117</v>
      </c>
      <c r="B475" s="8" t="s">
        <v>613</v>
      </c>
      <c r="C475" s="8" t="s">
        <v>194</v>
      </c>
      <c r="D475" s="8" t="s">
        <v>171</v>
      </c>
    </row>
    <row r="476" spans="1:4" ht="15" customHeight="1" x14ac:dyDescent="0.25">
      <c r="A476" s="8" t="s">
        <v>117</v>
      </c>
      <c r="B476" s="8" t="s">
        <v>614</v>
      </c>
      <c r="C476" s="8" t="s">
        <v>194</v>
      </c>
      <c r="D476" s="8" t="s">
        <v>171</v>
      </c>
    </row>
    <row r="477" spans="1:4" ht="15" customHeight="1" x14ac:dyDescent="0.25">
      <c r="A477" s="8" t="s">
        <v>117</v>
      </c>
      <c r="B477" s="8" t="s">
        <v>615</v>
      </c>
      <c r="C477" s="8" t="s">
        <v>194</v>
      </c>
      <c r="D477" s="8" t="s">
        <v>171</v>
      </c>
    </row>
    <row r="478" spans="1:4" ht="15" customHeight="1" x14ac:dyDescent="0.25">
      <c r="A478" s="8" t="s">
        <v>117</v>
      </c>
      <c r="B478" s="8" t="s">
        <v>616</v>
      </c>
      <c r="C478" s="8" t="s">
        <v>194</v>
      </c>
      <c r="D478" s="8" t="s">
        <v>171</v>
      </c>
    </row>
    <row r="479" spans="1:4" ht="15" customHeight="1" x14ac:dyDescent="0.25">
      <c r="A479" s="8" t="s">
        <v>117</v>
      </c>
      <c r="B479" s="8" t="s">
        <v>277</v>
      </c>
      <c r="C479" s="8" t="s">
        <v>194</v>
      </c>
      <c r="D479" s="8" t="s">
        <v>171</v>
      </c>
    </row>
    <row r="480" spans="1:4" ht="15" customHeight="1" x14ac:dyDescent="0.25">
      <c r="A480" s="8" t="s">
        <v>117</v>
      </c>
      <c r="B480" s="8" t="s">
        <v>617</v>
      </c>
      <c r="C480" s="8" t="s">
        <v>194</v>
      </c>
      <c r="D480" s="8" t="s">
        <v>171</v>
      </c>
    </row>
    <row r="481" spans="1:4" ht="15" customHeight="1" x14ac:dyDescent="0.25">
      <c r="A481" s="8" t="s">
        <v>117</v>
      </c>
      <c r="B481" s="8" t="s">
        <v>618</v>
      </c>
      <c r="C481" s="8" t="s">
        <v>194</v>
      </c>
      <c r="D481" s="8" t="s">
        <v>171</v>
      </c>
    </row>
    <row r="482" spans="1:4" ht="15" customHeight="1" x14ac:dyDescent="0.25">
      <c r="A482" s="8" t="s">
        <v>117</v>
      </c>
      <c r="B482" s="8" t="s">
        <v>619</v>
      </c>
      <c r="C482" s="8" t="s">
        <v>194</v>
      </c>
      <c r="D482" s="8" t="s">
        <v>171</v>
      </c>
    </row>
    <row r="483" spans="1:4" ht="15" customHeight="1" x14ac:dyDescent="0.25">
      <c r="A483" s="8" t="s">
        <v>117</v>
      </c>
      <c r="B483" s="8" t="s">
        <v>620</v>
      </c>
      <c r="C483" s="8" t="s">
        <v>194</v>
      </c>
      <c r="D483" s="8" t="s">
        <v>171</v>
      </c>
    </row>
    <row r="484" spans="1:4" ht="15" customHeight="1" x14ac:dyDescent="0.25">
      <c r="A484" s="8" t="s">
        <v>117</v>
      </c>
      <c r="B484" s="8" t="s">
        <v>621</v>
      </c>
      <c r="C484" s="8" t="s">
        <v>194</v>
      </c>
      <c r="D484" s="8" t="s">
        <v>171</v>
      </c>
    </row>
    <row r="485" spans="1:4" ht="15" customHeight="1" x14ac:dyDescent="0.25">
      <c r="A485" s="8" t="s">
        <v>117</v>
      </c>
      <c r="B485" s="8" t="s">
        <v>622</v>
      </c>
      <c r="C485" s="8" t="s">
        <v>170</v>
      </c>
      <c r="D485" s="8" t="s">
        <v>171</v>
      </c>
    </row>
    <row r="486" spans="1:4" ht="15" customHeight="1" x14ac:dyDescent="0.25">
      <c r="A486" s="8" t="s">
        <v>117</v>
      </c>
      <c r="B486" s="8" t="s">
        <v>623</v>
      </c>
      <c r="C486" s="8" t="s">
        <v>170</v>
      </c>
      <c r="D486" s="8" t="s">
        <v>171</v>
      </c>
    </row>
    <row r="487" spans="1:4" ht="15" customHeight="1" x14ac:dyDescent="0.25">
      <c r="A487" s="8" t="s">
        <v>117</v>
      </c>
      <c r="B487" s="8" t="s">
        <v>624</v>
      </c>
      <c r="C487" s="8" t="s">
        <v>170</v>
      </c>
      <c r="D487" s="8" t="s">
        <v>171</v>
      </c>
    </row>
    <row r="488" spans="1:4" ht="15" customHeight="1" x14ac:dyDescent="0.25">
      <c r="A488" s="8" t="s">
        <v>117</v>
      </c>
      <c r="B488" s="8" t="s">
        <v>625</v>
      </c>
      <c r="C488" s="8" t="s">
        <v>170</v>
      </c>
      <c r="D488" s="8" t="s">
        <v>171</v>
      </c>
    </row>
    <row r="489" spans="1:4" ht="15" customHeight="1" x14ac:dyDescent="0.25">
      <c r="A489" s="8" t="s">
        <v>117</v>
      </c>
      <c r="B489" s="8" t="s">
        <v>626</v>
      </c>
      <c r="C489" s="8" t="s">
        <v>170</v>
      </c>
      <c r="D489" s="8" t="s">
        <v>171</v>
      </c>
    </row>
    <row r="490" spans="1:4" ht="15" customHeight="1" x14ac:dyDescent="0.25">
      <c r="A490" s="8" t="s">
        <v>117</v>
      </c>
      <c r="B490" s="8" t="s">
        <v>627</v>
      </c>
      <c r="C490" s="8" t="s">
        <v>170</v>
      </c>
      <c r="D490" s="8" t="s">
        <v>171</v>
      </c>
    </row>
    <row r="491" spans="1:4" ht="15" customHeight="1" x14ac:dyDescent="0.25">
      <c r="A491" s="8" t="s">
        <v>117</v>
      </c>
      <c r="B491" s="8" t="s">
        <v>628</v>
      </c>
      <c r="C491" s="8" t="s">
        <v>170</v>
      </c>
      <c r="D491" s="8" t="s">
        <v>171</v>
      </c>
    </row>
    <row r="492" spans="1:4" ht="15" customHeight="1" x14ac:dyDescent="0.25">
      <c r="A492" s="8" t="s">
        <v>128</v>
      </c>
      <c r="B492" s="8" t="s">
        <v>629</v>
      </c>
      <c r="C492" s="8" t="s">
        <v>140</v>
      </c>
      <c r="D492" s="8" t="s">
        <v>171</v>
      </c>
    </row>
    <row r="493" spans="1:4" ht="15" customHeight="1" x14ac:dyDescent="0.25">
      <c r="A493" s="8" t="s">
        <v>128</v>
      </c>
      <c r="B493" s="8" t="s">
        <v>630</v>
      </c>
      <c r="C493" s="8" t="s">
        <v>140</v>
      </c>
      <c r="D493" s="8" t="s">
        <v>171</v>
      </c>
    </row>
    <row r="494" spans="1:4" ht="15" customHeight="1" x14ac:dyDescent="0.25">
      <c r="A494" s="8" t="s">
        <v>128</v>
      </c>
      <c r="B494" s="8" t="s">
        <v>631</v>
      </c>
      <c r="C494" s="8" t="s">
        <v>140</v>
      </c>
      <c r="D494" s="8" t="s">
        <v>171</v>
      </c>
    </row>
    <row r="495" spans="1:4" ht="15" customHeight="1" x14ac:dyDescent="0.25">
      <c r="A495" s="8" t="s">
        <v>128</v>
      </c>
      <c r="B495" s="8" t="s">
        <v>632</v>
      </c>
      <c r="C495" s="8" t="s">
        <v>152</v>
      </c>
      <c r="D495" s="8" t="s">
        <v>171</v>
      </c>
    </row>
    <row r="496" spans="1:4" ht="15" customHeight="1" x14ac:dyDescent="0.25">
      <c r="A496" s="8" t="s">
        <v>128</v>
      </c>
      <c r="B496" s="8" t="s">
        <v>633</v>
      </c>
      <c r="C496" s="8" t="s">
        <v>152</v>
      </c>
      <c r="D496" s="8" t="s">
        <v>171</v>
      </c>
    </row>
    <row r="497" spans="1:4" ht="15" customHeight="1" x14ac:dyDescent="0.25">
      <c r="A497" s="8" t="s">
        <v>128</v>
      </c>
      <c r="B497" s="8" t="s">
        <v>634</v>
      </c>
      <c r="C497" s="8" t="s">
        <v>152</v>
      </c>
      <c r="D497" s="8" t="s">
        <v>171</v>
      </c>
    </row>
    <row r="498" spans="1:4" ht="15" customHeight="1" x14ac:dyDescent="0.25">
      <c r="A498" s="8" t="s">
        <v>128</v>
      </c>
      <c r="B498" s="8" t="s">
        <v>635</v>
      </c>
      <c r="C498" s="8" t="s">
        <v>152</v>
      </c>
      <c r="D498" s="8" t="s">
        <v>171</v>
      </c>
    </row>
    <row r="499" spans="1:4" ht="15" customHeight="1" x14ac:dyDescent="0.25">
      <c r="A499" s="8" t="s">
        <v>128</v>
      </c>
      <c r="B499" s="8" t="s">
        <v>636</v>
      </c>
      <c r="C499" s="8" t="s">
        <v>152</v>
      </c>
      <c r="D499" s="8" t="s">
        <v>171</v>
      </c>
    </row>
    <row r="500" spans="1:4" ht="15" customHeight="1" x14ac:dyDescent="0.25">
      <c r="A500" s="8" t="s">
        <v>128</v>
      </c>
      <c r="B500" s="8" t="s">
        <v>637</v>
      </c>
      <c r="C500" s="8" t="s">
        <v>152</v>
      </c>
      <c r="D500" s="8" t="s">
        <v>171</v>
      </c>
    </row>
    <row r="501" spans="1:4" ht="15" customHeight="1" x14ac:dyDescent="0.25">
      <c r="A501" s="8" t="s">
        <v>128</v>
      </c>
      <c r="B501" s="8" t="s">
        <v>638</v>
      </c>
      <c r="C501" s="8" t="s">
        <v>152</v>
      </c>
      <c r="D501" s="8" t="s">
        <v>171</v>
      </c>
    </row>
    <row r="502" spans="1:4" ht="15" customHeight="1" x14ac:dyDescent="0.25">
      <c r="A502" s="8" t="s">
        <v>128</v>
      </c>
      <c r="B502" s="8" t="s">
        <v>639</v>
      </c>
      <c r="C502" s="8" t="s">
        <v>152</v>
      </c>
      <c r="D502" s="8" t="s">
        <v>171</v>
      </c>
    </row>
    <row r="503" spans="1:4" ht="15" customHeight="1" x14ac:dyDescent="0.25">
      <c r="A503" s="8" t="s">
        <v>128</v>
      </c>
      <c r="B503" s="8" t="s">
        <v>640</v>
      </c>
      <c r="C503" s="8" t="s">
        <v>194</v>
      </c>
      <c r="D503" s="8" t="s">
        <v>171</v>
      </c>
    </row>
    <row r="504" spans="1:4" ht="15" customHeight="1" x14ac:dyDescent="0.25">
      <c r="A504" s="8" t="s">
        <v>128</v>
      </c>
      <c r="B504" s="8" t="s">
        <v>641</v>
      </c>
      <c r="C504" s="8" t="s">
        <v>194</v>
      </c>
      <c r="D504" s="8" t="s">
        <v>171</v>
      </c>
    </row>
    <row r="505" spans="1:4" ht="15" customHeight="1" x14ac:dyDescent="0.25">
      <c r="A505" s="8" t="s">
        <v>128</v>
      </c>
      <c r="B505" s="8" t="s">
        <v>642</v>
      </c>
      <c r="C505" s="8" t="s">
        <v>194</v>
      </c>
      <c r="D505" s="8" t="s">
        <v>171</v>
      </c>
    </row>
    <row r="506" spans="1:4" ht="15" customHeight="1" x14ac:dyDescent="0.25">
      <c r="A506" s="8" t="s">
        <v>128</v>
      </c>
      <c r="B506" s="8" t="s">
        <v>643</v>
      </c>
      <c r="C506" s="8" t="s">
        <v>194</v>
      </c>
      <c r="D506" s="8" t="s">
        <v>171</v>
      </c>
    </row>
    <row r="507" spans="1:4" ht="15" customHeight="1" x14ac:dyDescent="0.25">
      <c r="A507" s="8" t="s">
        <v>128</v>
      </c>
      <c r="B507" s="8" t="s">
        <v>644</v>
      </c>
      <c r="C507" s="8" t="s">
        <v>194</v>
      </c>
      <c r="D507" s="8" t="s">
        <v>171</v>
      </c>
    </row>
    <row r="508" spans="1:4" ht="15" customHeight="1" x14ac:dyDescent="0.25">
      <c r="A508" s="8" t="s">
        <v>128</v>
      </c>
      <c r="B508" s="8" t="s">
        <v>645</v>
      </c>
      <c r="C508" s="8" t="s">
        <v>194</v>
      </c>
      <c r="D508" s="8" t="s">
        <v>171</v>
      </c>
    </row>
    <row r="509" spans="1:4" ht="15" customHeight="1" x14ac:dyDescent="0.25">
      <c r="A509" s="8" t="s">
        <v>128</v>
      </c>
      <c r="B509" s="8" t="s">
        <v>646</v>
      </c>
      <c r="C509" s="8" t="s">
        <v>194</v>
      </c>
      <c r="D509" s="8" t="s">
        <v>171</v>
      </c>
    </row>
    <row r="510" spans="1:4" ht="15" customHeight="1" x14ac:dyDescent="0.25">
      <c r="A510" s="8" t="s">
        <v>128</v>
      </c>
      <c r="B510" s="8" t="s">
        <v>647</v>
      </c>
      <c r="C510" s="8" t="s">
        <v>194</v>
      </c>
      <c r="D510" s="8" t="s">
        <v>171</v>
      </c>
    </row>
    <row r="511" spans="1:4" ht="15" customHeight="1" x14ac:dyDescent="0.25">
      <c r="A511" s="8" t="s">
        <v>128</v>
      </c>
      <c r="B511" s="8" t="s">
        <v>648</v>
      </c>
      <c r="C511" s="8" t="s">
        <v>194</v>
      </c>
      <c r="D511" s="8" t="s">
        <v>171</v>
      </c>
    </row>
    <row r="512" spans="1:4" ht="15" customHeight="1" x14ac:dyDescent="0.25">
      <c r="A512" s="8" t="s">
        <v>128</v>
      </c>
      <c r="B512" s="8" t="s">
        <v>649</v>
      </c>
      <c r="C512" s="8" t="s">
        <v>194</v>
      </c>
      <c r="D512" s="8" t="s">
        <v>171</v>
      </c>
    </row>
    <row r="513" spans="1:4" ht="15" customHeight="1" x14ac:dyDescent="0.25">
      <c r="A513" s="8" t="s">
        <v>128</v>
      </c>
      <c r="B513" s="8" t="s">
        <v>650</v>
      </c>
      <c r="C513" s="8" t="s">
        <v>194</v>
      </c>
      <c r="D513" s="8" t="s">
        <v>171</v>
      </c>
    </row>
    <row r="514" spans="1:4" ht="15" customHeight="1" x14ac:dyDescent="0.25">
      <c r="A514" s="8" t="s">
        <v>128</v>
      </c>
      <c r="B514" s="8" t="s">
        <v>651</v>
      </c>
      <c r="C514" s="8" t="s">
        <v>170</v>
      </c>
      <c r="D514" s="8" t="s">
        <v>171</v>
      </c>
    </row>
    <row r="515" spans="1:4" ht="15" customHeight="1" x14ac:dyDescent="0.25">
      <c r="A515" s="8" t="s">
        <v>128</v>
      </c>
      <c r="B515" s="8" t="s">
        <v>652</v>
      </c>
      <c r="C515" s="8" t="s">
        <v>170</v>
      </c>
      <c r="D515" s="8" t="s">
        <v>171</v>
      </c>
    </row>
    <row r="516" spans="1:4" ht="15" customHeight="1" x14ac:dyDescent="0.25">
      <c r="A516" s="8" t="s">
        <v>128</v>
      </c>
      <c r="B516" s="8" t="s">
        <v>653</v>
      </c>
      <c r="C516" s="8" t="s">
        <v>170</v>
      </c>
      <c r="D516" s="8" t="s">
        <v>171</v>
      </c>
    </row>
    <row r="517" spans="1:4" ht="15" customHeight="1" x14ac:dyDescent="0.25">
      <c r="A517" s="8" t="s">
        <v>128</v>
      </c>
      <c r="B517" s="8" t="s">
        <v>654</v>
      </c>
      <c r="C517" s="8" t="s">
        <v>170</v>
      </c>
      <c r="D517" s="8" t="s">
        <v>171</v>
      </c>
    </row>
    <row r="518" spans="1:4" ht="15" customHeight="1" x14ac:dyDescent="0.25">
      <c r="A518" s="8" t="s">
        <v>128</v>
      </c>
      <c r="B518" s="8" t="s">
        <v>655</v>
      </c>
      <c r="C518" s="8" t="s">
        <v>170</v>
      </c>
      <c r="D518" s="8" t="s">
        <v>171</v>
      </c>
    </row>
    <row r="519" spans="1:4" ht="15" customHeight="1" x14ac:dyDescent="0.25">
      <c r="A519" s="8" t="s">
        <v>128</v>
      </c>
      <c r="B519" s="8" t="s">
        <v>656</v>
      </c>
      <c r="C519" s="8" t="s">
        <v>170</v>
      </c>
      <c r="D519" s="8" t="s">
        <v>171</v>
      </c>
    </row>
    <row r="520" spans="1:4" ht="15" customHeight="1" x14ac:dyDescent="0.25">
      <c r="A520" s="8" t="s">
        <v>128</v>
      </c>
      <c r="B520" s="8" t="s">
        <v>657</v>
      </c>
      <c r="C520" s="8" t="s">
        <v>170</v>
      </c>
      <c r="D520" s="8" t="s">
        <v>171</v>
      </c>
    </row>
    <row r="521" spans="1:4" ht="15" customHeight="1" x14ac:dyDescent="0.25">
      <c r="A521" s="8" t="s">
        <v>128</v>
      </c>
      <c r="B521" s="8" t="s">
        <v>658</v>
      </c>
      <c r="C521" s="8" t="s">
        <v>170</v>
      </c>
      <c r="D521" s="8" t="s">
        <v>171</v>
      </c>
    </row>
    <row r="522" spans="1:4" ht="15" customHeight="1" x14ac:dyDescent="0.25">
      <c r="A522" s="8" t="s">
        <v>124</v>
      </c>
      <c r="B522" s="8" t="s">
        <v>659</v>
      </c>
      <c r="C522" s="8" t="s">
        <v>140</v>
      </c>
      <c r="D522" s="8" t="s">
        <v>171</v>
      </c>
    </row>
    <row r="523" spans="1:4" ht="15" customHeight="1" x14ac:dyDescent="0.25">
      <c r="A523" s="8" t="s">
        <v>124</v>
      </c>
      <c r="B523" s="8" t="s">
        <v>660</v>
      </c>
      <c r="C523" s="8" t="s">
        <v>140</v>
      </c>
      <c r="D523" s="8" t="s">
        <v>171</v>
      </c>
    </row>
    <row r="524" spans="1:4" ht="15" customHeight="1" x14ac:dyDescent="0.25">
      <c r="A524" s="8" t="s">
        <v>124</v>
      </c>
      <c r="B524" s="8" t="s">
        <v>661</v>
      </c>
      <c r="C524" s="8" t="s">
        <v>140</v>
      </c>
      <c r="D524" s="8" t="s">
        <v>171</v>
      </c>
    </row>
    <row r="525" spans="1:4" ht="15" customHeight="1" x14ac:dyDescent="0.25">
      <c r="A525" s="8" t="s">
        <v>124</v>
      </c>
      <c r="B525" s="8" t="s">
        <v>662</v>
      </c>
      <c r="C525" s="8" t="s">
        <v>152</v>
      </c>
      <c r="D525" s="8" t="s">
        <v>171</v>
      </c>
    </row>
    <row r="526" spans="1:4" ht="15" customHeight="1" x14ac:dyDescent="0.25">
      <c r="A526" s="8" t="s">
        <v>124</v>
      </c>
      <c r="B526" s="8" t="s">
        <v>663</v>
      </c>
      <c r="C526" s="8" t="s">
        <v>152</v>
      </c>
      <c r="D526" s="8" t="s">
        <v>171</v>
      </c>
    </row>
    <row r="527" spans="1:4" ht="15" customHeight="1" x14ac:dyDescent="0.25">
      <c r="A527" s="8" t="s">
        <v>124</v>
      </c>
      <c r="B527" s="8" t="s">
        <v>664</v>
      </c>
      <c r="C527" s="8" t="s">
        <v>152</v>
      </c>
      <c r="D527" s="8" t="s">
        <v>171</v>
      </c>
    </row>
    <row r="528" spans="1:4" ht="15" customHeight="1" x14ac:dyDescent="0.25">
      <c r="A528" s="8" t="s">
        <v>124</v>
      </c>
      <c r="B528" s="8" t="s">
        <v>665</v>
      </c>
      <c r="C528" s="8" t="s">
        <v>152</v>
      </c>
      <c r="D528" s="8" t="s">
        <v>171</v>
      </c>
    </row>
    <row r="529" spans="1:4" ht="15" customHeight="1" x14ac:dyDescent="0.25">
      <c r="A529" s="8" t="s">
        <v>124</v>
      </c>
      <c r="B529" s="8" t="s">
        <v>666</v>
      </c>
      <c r="C529" s="8" t="s">
        <v>152</v>
      </c>
      <c r="D529" s="8" t="s">
        <v>171</v>
      </c>
    </row>
    <row r="530" spans="1:4" ht="15" customHeight="1" x14ac:dyDescent="0.25">
      <c r="A530" s="8" t="s">
        <v>124</v>
      </c>
      <c r="B530" s="8" t="s">
        <v>667</v>
      </c>
      <c r="C530" s="8" t="s">
        <v>152</v>
      </c>
      <c r="D530" s="8" t="s">
        <v>171</v>
      </c>
    </row>
    <row r="531" spans="1:4" ht="15" customHeight="1" x14ac:dyDescent="0.25">
      <c r="A531" s="8" t="s">
        <v>124</v>
      </c>
      <c r="B531" s="8" t="s">
        <v>668</v>
      </c>
      <c r="C531" s="8" t="s">
        <v>152</v>
      </c>
      <c r="D531" s="8" t="s">
        <v>171</v>
      </c>
    </row>
    <row r="532" spans="1:4" ht="15" customHeight="1" x14ac:dyDescent="0.25">
      <c r="A532" s="8" t="s">
        <v>124</v>
      </c>
      <c r="B532" s="8" t="s">
        <v>669</v>
      </c>
      <c r="C532" s="8" t="s">
        <v>152</v>
      </c>
      <c r="D532" s="8" t="s">
        <v>171</v>
      </c>
    </row>
    <row r="533" spans="1:4" ht="15" customHeight="1" x14ac:dyDescent="0.25">
      <c r="A533" s="8" t="s">
        <v>124</v>
      </c>
      <c r="B533" s="8" t="s">
        <v>670</v>
      </c>
      <c r="C533" s="8" t="s">
        <v>152</v>
      </c>
      <c r="D533" s="8" t="s">
        <v>171</v>
      </c>
    </row>
    <row r="534" spans="1:4" ht="15" customHeight="1" x14ac:dyDescent="0.25">
      <c r="A534" s="8" t="s">
        <v>124</v>
      </c>
      <c r="B534" s="8" t="s">
        <v>671</v>
      </c>
      <c r="C534" s="8" t="s">
        <v>194</v>
      </c>
      <c r="D534" s="8" t="s">
        <v>171</v>
      </c>
    </row>
    <row r="535" spans="1:4" ht="15" customHeight="1" x14ac:dyDescent="0.25">
      <c r="A535" s="8" t="s">
        <v>124</v>
      </c>
      <c r="B535" s="8" t="s">
        <v>672</v>
      </c>
      <c r="C535" s="8" t="s">
        <v>194</v>
      </c>
      <c r="D535" s="8" t="s">
        <v>171</v>
      </c>
    </row>
    <row r="536" spans="1:4" ht="15" customHeight="1" x14ac:dyDescent="0.25">
      <c r="A536" s="8" t="s">
        <v>124</v>
      </c>
      <c r="B536" s="8" t="s">
        <v>673</v>
      </c>
      <c r="C536" s="8" t="s">
        <v>194</v>
      </c>
      <c r="D536" s="8" t="s">
        <v>171</v>
      </c>
    </row>
    <row r="537" spans="1:4" ht="15" customHeight="1" x14ac:dyDescent="0.25">
      <c r="A537" s="8" t="s">
        <v>124</v>
      </c>
      <c r="B537" s="8" t="s">
        <v>674</v>
      </c>
      <c r="C537" s="8" t="s">
        <v>194</v>
      </c>
      <c r="D537" s="8" t="s">
        <v>171</v>
      </c>
    </row>
    <row r="538" spans="1:4" ht="15" customHeight="1" x14ac:dyDescent="0.25">
      <c r="A538" s="8" t="s">
        <v>124</v>
      </c>
      <c r="B538" s="8" t="s">
        <v>675</v>
      </c>
      <c r="C538" s="8" t="s">
        <v>194</v>
      </c>
      <c r="D538" s="8" t="s">
        <v>171</v>
      </c>
    </row>
    <row r="539" spans="1:4" ht="15" customHeight="1" x14ac:dyDescent="0.25">
      <c r="A539" s="8" t="s">
        <v>124</v>
      </c>
      <c r="B539" s="8" t="s">
        <v>676</v>
      </c>
      <c r="C539" s="8" t="s">
        <v>194</v>
      </c>
      <c r="D539" s="8" t="s">
        <v>171</v>
      </c>
    </row>
    <row r="540" spans="1:4" ht="15" customHeight="1" x14ac:dyDescent="0.25">
      <c r="A540" s="8" t="s">
        <v>124</v>
      </c>
      <c r="B540" s="8" t="s">
        <v>677</v>
      </c>
      <c r="C540" s="8" t="s">
        <v>194</v>
      </c>
      <c r="D540" s="8" t="s">
        <v>171</v>
      </c>
    </row>
    <row r="541" spans="1:4" ht="15" customHeight="1" x14ac:dyDescent="0.25">
      <c r="A541" s="8" t="s">
        <v>124</v>
      </c>
      <c r="B541" s="8" t="s">
        <v>678</v>
      </c>
      <c r="C541" s="8" t="s">
        <v>194</v>
      </c>
      <c r="D541" s="8" t="s">
        <v>171</v>
      </c>
    </row>
    <row r="542" spans="1:4" ht="15" customHeight="1" x14ac:dyDescent="0.25">
      <c r="A542" s="8" t="s">
        <v>124</v>
      </c>
      <c r="B542" s="8" t="s">
        <v>679</v>
      </c>
      <c r="C542" s="8" t="s">
        <v>194</v>
      </c>
      <c r="D542" s="8" t="s">
        <v>171</v>
      </c>
    </row>
    <row r="543" spans="1:4" ht="15" customHeight="1" x14ac:dyDescent="0.25">
      <c r="A543" s="8" t="s">
        <v>124</v>
      </c>
      <c r="B543" s="8" t="s">
        <v>680</v>
      </c>
      <c r="C543" s="8" t="s">
        <v>194</v>
      </c>
      <c r="D543" s="8" t="s">
        <v>171</v>
      </c>
    </row>
    <row r="544" spans="1:4" ht="15" customHeight="1" x14ac:dyDescent="0.25">
      <c r="A544" s="8" t="s">
        <v>124</v>
      </c>
      <c r="B544" s="8" t="s">
        <v>681</v>
      </c>
      <c r="C544" s="8" t="s">
        <v>194</v>
      </c>
      <c r="D544" s="8" t="s">
        <v>171</v>
      </c>
    </row>
    <row r="545" spans="1:4" ht="15" customHeight="1" x14ac:dyDescent="0.25">
      <c r="A545" s="8" t="s">
        <v>124</v>
      </c>
      <c r="B545" s="8" t="s">
        <v>682</v>
      </c>
      <c r="C545" s="8" t="s">
        <v>170</v>
      </c>
      <c r="D545" s="8" t="s">
        <v>171</v>
      </c>
    </row>
    <row r="546" spans="1:4" ht="15" customHeight="1" x14ac:dyDescent="0.25">
      <c r="A546" s="8" t="s">
        <v>124</v>
      </c>
      <c r="B546" s="8" t="s">
        <v>683</v>
      </c>
      <c r="C546" s="8" t="s">
        <v>170</v>
      </c>
      <c r="D546" s="8" t="s">
        <v>171</v>
      </c>
    </row>
    <row r="547" spans="1:4" ht="15" customHeight="1" x14ac:dyDescent="0.25">
      <c r="A547" s="8" t="s">
        <v>124</v>
      </c>
      <c r="B547" s="8" t="s">
        <v>684</v>
      </c>
      <c r="C547" s="8" t="s">
        <v>170</v>
      </c>
      <c r="D547" s="8" t="s">
        <v>171</v>
      </c>
    </row>
    <row r="548" spans="1:4" ht="15" customHeight="1" x14ac:dyDescent="0.25">
      <c r="A548" s="8" t="s">
        <v>124</v>
      </c>
      <c r="B548" s="8" t="s">
        <v>685</v>
      </c>
      <c r="C548" s="8" t="s">
        <v>170</v>
      </c>
      <c r="D548" s="8" t="s">
        <v>171</v>
      </c>
    </row>
    <row r="549" spans="1:4" ht="15" customHeight="1" x14ac:dyDescent="0.25">
      <c r="A549" s="8" t="s">
        <v>124</v>
      </c>
      <c r="B549" s="8" t="s">
        <v>686</v>
      </c>
      <c r="C549" s="8" t="s">
        <v>170</v>
      </c>
      <c r="D549" s="8" t="s">
        <v>171</v>
      </c>
    </row>
    <row r="550" spans="1:4" ht="15" customHeight="1" x14ac:dyDescent="0.25">
      <c r="A550" s="8" t="s">
        <v>124</v>
      </c>
      <c r="B550" s="8" t="s">
        <v>687</v>
      </c>
      <c r="C550" s="8" t="s">
        <v>170</v>
      </c>
      <c r="D550" s="8" t="s">
        <v>171</v>
      </c>
    </row>
    <row r="551" spans="1:4" ht="15" customHeight="1" x14ac:dyDescent="0.25"/>
    <row r="552" spans="1:4" ht="15" customHeight="1" x14ac:dyDescent="0.25"/>
    <row r="553" spans="1:4" ht="15" customHeight="1" x14ac:dyDescent="0.25"/>
    <row r="554" spans="1:4" ht="15" customHeight="1" x14ac:dyDescent="0.25"/>
    <row r="555" spans="1:4" ht="15" customHeight="1" x14ac:dyDescent="0.25"/>
    <row r="556" spans="1:4" ht="15" customHeight="1" x14ac:dyDescent="0.25"/>
    <row r="557" spans="1:4" ht="15" customHeight="1" x14ac:dyDescent="0.25"/>
    <row r="558" spans="1:4" ht="15" customHeight="1" x14ac:dyDescent="0.25"/>
    <row r="559" spans="1:4" ht="15" customHeight="1" x14ac:dyDescent="0.25"/>
    <row r="560" spans="1:4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</sheetData>
  <dataValidations count="1">
    <dataValidation type="list" sqref="D2:D1001" xr:uid="{00000000-0002-0000-0300-000000000000}">
      <formula1>"Activo,Lesionado,Suspendido,Cedido,Transferido"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zoomScaleNormal="100" workbookViewId="0">
      <pane ySplit="1" topLeftCell="A2" activePane="bottomLeft" state="frozen"/>
      <selection pane="bottomLeft" activeCell="A92" sqref="A92"/>
    </sheetView>
  </sheetViews>
  <sheetFormatPr baseColWidth="10" defaultColWidth="9.140625" defaultRowHeight="15" x14ac:dyDescent="0.25"/>
  <cols>
    <col min="1" max="1" width="20.7109375" style="11" customWidth="1"/>
    <col min="2" max="5" width="20.7109375" style="7" customWidth="1"/>
    <col min="6" max="6" width="40.7109375" style="7" customWidth="1"/>
    <col min="7" max="12" width="20.7109375" style="7" customWidth="1"/>
  </cols>
  <sheetData>
    <row r="1" spans="1:12" ht="15" customHeight="1" x14ac:dyDescent="0.25">
      <c r="A1" s="9" t="s">
        <v>17</v>
      </c>
      <c r="B1" s="1" t="s">
        <v>18</v>
      </c>
      <c r="C1" s="1" t="s">
        <v>64</v>
      </c>
      <c r="D1" s="1" t="s">
        <v>106</v>
      </c>
      <c r="E1" s="1" t="s">
        <v>107</v>
      </c>
      <c r="F1" s="1" t="s">
        <v>77</v>
      </c>
      <c r="G1" s="1" t="s">
        <v>108</v>
      </c>
      <c r="H1" s="1" t="s">
        <v>109</v>
      </c>
      <c r="I1" s="1" t="s">
        <v>110</v>
      </c>
      <c r="J1" s="1" t="s">
        <v>15</v>
      </c>
      <c r="K1" s="1" t="s">
        <v>111</v>
      </c>
      <c r="L1" s="1" t="s">
        <v>16</v>
      </c>
    </row>
    <row r="2" spans="1:12" ht="15" customHeight="1" x14ac:dyDescent="0.25">
      <c r="A2" s="10">
        <v>46220</v>
      </c>
      <c r="B2" s="8">
        <v>1</v>
      </c>
      <c r="C2" s="8" t="s">
        <v>53</v>
      </c>
      <c r="D2" s="8" t="s">
        <v>54</v>
      </c>
      <c r="E2" s="8" t="s">
        <v>19</v>
      </c>
      <c r="F2" s="8" t="s">
        <v>79</v>
      </c>
      <c r="G2" s="8" t="s">
        <v>112</v>
      </c>
      <c r="H2" s="8">
        <v>82</v>
      </c>
      <c r="I2" s="8">
        <v>1</v>
      </c>
      <c r="J2" s="8">
        <v>0</v>
      </c>
      <c r="K2" s="8">
        <v>3</v>
      </c>
      <c r="L2" s="8">
        <v>2</v>
      </c>
    </row>
    <row r="3" spans="1:12" ht="15" customHeight="1" x14ac:dyDescent="0.25">
      <c r="A3" s="10">
        <v>46220</v>
      </c>
      <c r="B3" s="8">
        <v>1</v>
      </c>
      <c r="C3" s="8" t="s">
        <v>53</v>
      </c>
      <c r="D3" s="8" t="s">
        <v>54</v>
      </c>
      <c r="E3" s="8" t="s">
        <v>19</v>
      </c>
      <c r="F3" s="8" t="s">
        <v>80</v>
      </c>
      <c r="G3" s="8" t="s">
        <v>113</v>
      </c>
      <c r="H3" s="8">
        <v>37</v>
      </c>
      <c r="I3" s="8">
        <v>1</v>
      </c>
      <c r="J3" s="8">
        <v>1</v>
      </c>
      <c r="K3" s="8">
        <v>3</v>
      </c>
      <c r="L3" s="8">
        <v>1</v>
      </c>
    </row>
    <row r="4" spans="1:12" ht="15" customHeight="1" x14ac:dyDescent="0.25">
      <c r="A4" s="10">
        <v>46220</v>
      </c>
      <c r="B4" s="8">
        <v>1</v>
      </c>
      <c r="C4" s="8" t="s">
        <v>53</v>
      </c>
      <c r="D4" s="8" t="s">
        <v>54</v>
      </c>
      <c r="E4" s="8" t="s">
        <v>19</v>
      </c>
      <c r="F4" s="8" t="s">
        <v>81</v>
      </c>
      <c r="G4" s="8" t="s">
        <v>112</v>
      </c>
      <c r="H4" s="8">
        <v>90</v>
      </c>
      <c r="I4" s="8">
        <v>0</v>
      </c>
      <c r="J4" s="8">
        <v>1</v>
      </c>
      <c r="K4" s="8">
        <v>5</v>
      </c>
      <c r="L4" s="8">
        <v>2</v>
      </c>
    </row>
    <row r="5" spans="1:12" ht="15" customHeight="1" x14ac:dyDescent="0.25">
      <c r="A5" s="10">
        <v>46220</v>
      </c>
      <c r="B5" s="8">
        <v>1</v>
      </c>
      <c r="C5" s="8" t="s">
        <v>54</v>
      </c>
      <c r="D5" s="8" t="s">
        <v>53</v>
      </c>
      <c r="E5" s="8" t="s">
        <v>20</v>
      </c>
      <c r="F5" s="8" t="s">
        <v>83</v>
      </c>
      <c r="G5" s="8" t="s">
        <v>113</v>
      </c>
      <c r="H5" s="8">
        <v>15</v>
      </c>
      <c r="I5" s="8">
        <v>1</v>
      </c>
      <c r="J5" s="8">
        <v>0</v>
      </c>
      <c r="K5" s="8">
        <v>1</v>
      </c>
      <c r="L5" s="8">
        <v>1</v>
      </c>
    </row>
    <row r="6" spans="1:12" ht="15" customHeight="1" x14ac:dyDescent="0.25">
      <c r="A6" s="10">
        <v>46220</v>
      </c>
      <c r="B6" s="8">
        <v>1</v>
      </c>
      <c r="C6" s="8" t="s">
        <v>54</v>
      </c>
      <c r="D6" s="8" t="s">
        <v>53</v>
      </c>
      <c r="E6" s="8" t="s">
        <v>20</v>
      </c>
      <c r="F6" s="8" t="s">
        <v>84</v>
      </c>
      <c r="G6" s="8" t="s">
        <v>113</v>
      </c>
      <c r="H6" s="8">
        <v>15</v>
      </c>
      <c r="I6" s="8">
        <v>1</v>
      </c>
      <c r="J6" s="8">
        <v>0</v>
      </c>
      <c r="K6" s="8">
        <v>2</v>
      </c>
      <c r="L6" s="8">
        <v>2</v>
      </c>
    </row>
    <row r="7" spans="1:12" ht="15" customHeight="1" x14ac:dyDescent="0.25">
      <c r="A7" s="10">
        <v>46220</v>
      </c>
      <c r="B7" s="8">
        <v>1</v>
      </c>
      <c r="C7" s="8" t="s">
        <v>54</v>
      </c>
      <c r="D7" s="8" t="s">
        <v>53</v>
      </c>
      <c r="E7" s="8" t="s">
        <v>20</v>
      </c>
      <c r="F7" s="8" t="s">
        <v>82</v>
      </c>
      <c r="G7" s="8" t="s">
        <v>112</v>
      </c>
      <c r="H7" s="8">
        <v>90</v>
      </c>
      <c r="I7" s="8">
        <v>0</v>
      </c>
      <c r="J7" s="8">
        <v>1</v>
      </c>
      <c r="K7" s="8">
        <v>1</v>
      </c>
      <c r="L7" s="8">
        <v>1</v>
      </c>
    </row>
    <row r="8" spans="1:12" ht="15" customHeight="1" x14ac:dyDescent="0.25">
      <c r="A8" s="10">
        <v>46220</v>
      </c>
      <c r="B8" s="8">
        <v>1</v>
      </c>
      <c r="C8" s="8" t="s">
        <v>55</v>
      </c>
      <c r="D8" s="8" t="s">
        <v>56</v>
      </c>
      <c r="E8" s="8" t="s">
        <v>19</v>
      </c>
      <c r="F8" s="8" t="s">
        <v>98</v>
      </c>
      <c r="G8" s="8" t="s">
        <v>112</v>
      </c>
      <c r="H8" s="8">
        <v>67</v>
      </c>
      <c r="I8" s="8">
        <v>1</v>
      </c>
      <c r="J8" s="8">
        <v>0</v>
      </c>
      <c r="K8" s="8">
        <v>1</v>
      </c>
      <c r="L8" s="8">
        <v>1</v>
      </c>
    </row>
    <row r="9" spans="1:12" ht="15" customHeight="1" x14ac:dyDescent="0.25">
      <c r="A9" s="10">
        <v>46220</v>
      </c>
      <c r="B9" s="8">
        <v>1</v>
      </c>
      <c r="C9" s="8" t="s">
        <v>57</v>
      </c>
      <c r="D9" s="8" t="s">
        <v>58</v>
      </c>
      <c r="E9" s="8" t="s">
        <v>19</v>
      </c>
      <c r="F9" s="8" t="s">
        <v>91</v>
      </c>
      <c r="G9" s="8" t="s">
        <v>112</v>
      </c>
      <c r="H9" s="8">
        <v>28</v>
      </c>
      <c r="I9" s="8">
        <v>1</v>
      </c>
      <c r="J9" s="8">
        <v>0</v>
      </c>
      <c r="K9" s="8">
        <v>1</v>
      </c>
      <c r="L9" s="8">
        <v>1</v>
      </c>
    </row>
    <row r="10" spans="1:12" ht="15" customHeight="1" x14ac:dyDescent="0.25">
      <c r="A10" s="10">
        <v>46220</v>
      </c>
      <c r="B10" s="8">
        <v>1</v>
      </c>
      <c r="C10" s="8" t="s">
        <v>57</v>
      </c>
      <c r="D10" s="8" t="s">
        <v>58</v>
      </c>
      <c r="E10" s="8" t="s">
        <v>19</v>
      </c>
      <c r="F10" s="8" t="s">
        <v>89</v>
      </c>
      <c r="G10" s="8" t="s">
        <v>112</v>
      </c>
      <c r="H10" s="8">
        <v>90</v>
      </c>
      <c r="I10" s="8">
        <v>0</v>
      </c>
      <c r="J10" s="8">
        <v>1</v>
      </c>
      <c r="K10" s="8">
        <v>3</v>
      </c>
      <c r="L10" s="8">
        <v>0</v>
      </c>
    </row>
    <row r="11" spans="1:12" ht="15" customHeight="1" x14ac:dyDescent="0.25">
      <c r="A11" s="10">
        <v>46220</v>
      </c>
      <c r="B11" s="8">
        <v>1</v>
      </c>
      <c r="C11" s="8" t="s">
        <v>57</v>
      </c>
      <c r="D11" s="8" t="s">
        <v>58</v>
      </c>
      <c r="E11" s="8" t="s">
        <v>19</v>
      </c>
      <c r="F11" s="8" t="s">
        <v>90</v>
      </c>
      <c r="G11" s="8" t="s">
        <v>112</v>
      </c>
      <c r="H11" s="8">
        <v>90</v>
      </c>
      <c r="I11" s="8">
        <v>0</v>
      </c>
      <c r="J11" s="8">
        <v>0</v>
      </c>
      <c r="K11" s="8">
        <v>4</v>
      </c>
      <c r="L11" s="8">
        <v>2</v>
      </c>
    </row>
    <row r="12" spans="1:12" ht="15" customHeight="1" x14ac:dyDescent="0.25">
      <c r="A12" s="10">
        <v>46220</v>
      </c>
      <c r="B12" s="8">
        <v>1</v>
      </c>
      <c r="C12" s="8" t="s">
        <v>57</v>
      </c>
      <c r="D12" s="8" t="s">
        <v>58</v>
      </c>
      <c r="E12" s="8" t="s">
        <v>19</v>
      </c>
      <c r="F12" s="8" t="s">
        <v>88</v>
      </c>
      <c r="G12" s="8" t="s">
        <v>112</v>
      </c>
      <c r="H12" s="8">
        <v>90</v>
      </c>
      <c r="I12" s="8">
        <v>0</v>
      </c>
      <c r="J12" s="8">
        <v>0</v>
      </c>
      <c r="K12" s="8">
        <v>2</v>
      </c>
      <c r="L12" s="8">
        <v>1</v>
      </c>
    </row>
    <row r="13" spans="1:12" ht="15" customHeight="1" x14ac:dyDescent="0.25">
      <c r="A13" s="10">
        <v>46220</v>
      </c>
      <c r="B13" s="8">
        <v>1</v>
      </c>
      <c r="C13" s="8" t="s">
        <v>57</v>
      </c>
      <c r="D13" s="8" t="s">
        <v>58</v>
      </c>
      <c r="E13" s="8" t="s">
        <v>20</v>
      </c>
      <c r="F13" s="8" t="s">
        <v>96</v>
      </c>
      <c r="G13" s="8" t="s">
        <v>113</v>
      </c>
      <c r="H13" s="8">
        <v>29</v>
      </c>
      <c r="I13" s="8">
        <v>1</v>
      </c>
      <c r="J13" s="8">
        <v>0</v>
      </c>
      <c r="K13" s="8">
        <v>2</v>
      </c>
      <c r="L13" s="8">
        <v>1</v>
      </c>
    </row>
    <row r="14" spans="1:12" ht="15" customHeight="1" x14ac:dyDescent="0.25">
      <c r="A14" s="10">
        <v>46220</v>
      </c>
      <c r="B14" s="8">
        <v>1</v>
      </c>
      <c r="C14" s="8" t="s">
        <v>57</v>
      </c>
      <c r="D14" s="8" t="s">
        <v>58</v>
      </c>
      <c r="E14" s="8" t="s">
        <v>20</v>
      </c>
      <c r="F14" s="8" t="s">
        <v>93</v>
      </c>
      <c r="G14" s="8" t="s">
        <v>113</v>
      </c>
      <c r="H14" s="8">
        <v>15</v>
      </c>
      <c r="I14" s="8">
        <v>1</v>
      </c>
      <c r="J14" s="8">
        <v>0</v>
      </c>
      <c r="K14" s="8">
        <v>2</v>
      </c>
      <c r="L14" s="8">
        <v>1</v>
      </c>
    </row>
    <row r="15" spans="1:12" ht="15" customHeight="1" x14ac:dyDescent="0.25">
      <c r="A15" s="10">
        <v>46220</v>
      </c>
      <c r="B15" s="8">
        <v>1</v>
      </c>
      <c r="C15" s="8" t="s">
        <v>57</v>
      </c>
      <c r="D15" s="8" t="s">
        <v>58</v>
      </c>
      <c r="E15" s="8" t="s">
        <v>20</v>
      </c>
      <c r="F15" s="8" t="s">
        <v>95</v>
      </c>
      <c r="G15" s="8" t="s">
        <v>112</v>
      </c>
      <c r="H15" s="8">
        <v>90</v>
      </c>
      <c r="I15" s="8">
        <v>1</v>
      </c>
      <c r="J15" s="8">
        <v>0</v>
      </c>
      <c r="K15" s="8">
        <v>6</v>
      </c>
      <c r="L15" s="8">
        <v>1</v>
      </c>
    </row>
    <row r="16" spans="1:12" ht="15" customHeight="1" x14ac:dyDescent="0.25">
      <c r="A16" s="10">
        <v>46220</v>
      </c>
      <c r="B16" s="8">
        <v>1</v>
      </c>
      <c r="C16" s="8" t="s">
        <v>57</v>
      </c>
      <c r="D16" s="8" t="s">
        <v>58</v>
      </c>
      <c r="E16" s="8" t="s">
        <v>20</v>
      </c>
      <c r="F16" s="8" t="s">
        <v>92</v>
      </c>
      <c r="G16" s="8" t="s">
        <v>112</v>
      </c>
      <c r="H16" s="8">
        <v>90</v>
      </c>
      <c r="I16" s="8">
        <v>0</v>
      </c>
      <c r="J16" s="8">
        <v>1</v>
      </c>
      <c r="K16" s="8">
        <v>1</v>
      </c>
      <c r="L16" s="8">
        <v>0</v>
      </c>
    </row>
    <row r="17" spans="1:12" ht="15" customHeight="1" x14ac:dyDescent="0.25">
      <c r="A17" s="10">
        <v>46220</v>
      </c>
      <c r="B17" s="8">
        <v>1</v>
      </c>
      <c r="C17" s="8" t="s">
        <v>57</v>
      </c>
      <c r="D17" s="8" t="s">
        <v>58</v>
      </c>
      <c r="E17" s="8" t="s">
        <v>20</v>
      </c>
      <c r="F17" s="8" t="s">
        <v>94</v>
      </c>
      <c r="G17" s="8" t="s">
        <v>112</v>
      </c>
      <c r="H17" s="8">
        <v>88</v>
      </c>
      <c r="I17" s="8">
        <v>0</v>
      </c>
      <c r="J17" s="8">
        <v>1</v>
      </c>
      <c r="K17" s="8">
        <v>4</v>
      </c>
      <c r="L17" s="8">
        <v>1</v>
      </c>
    </row>
    <row r="18" spans="1:12" ht="15" customHeight="1" x14ac:dyDescent="0.25">
      <c r="A18" s="10">
        <v>46221</v>
      </c>
      <c r="B18" s="8">
        <v>1</v>
      </c>
      <c r="C18" s="8" t="s">
        <v>59</v>
      </c>
      <c r="D18" s="8" t="s">
        <v>60</v>
      </c>
      <c r="E18" s="8" t="s">
        <v>19</v>
      </c>
      <c r="F18" s="8" t="s">
        <v>104</v>
      </c>
      <c r="G18" s="8" t="s">
        <v>112</v>
      </c>
      <c r="H18" s="8">
        <v>63</v>
      </c>
      <c r="I18" s="8">
        <v>2</v>
      </c>
      <c r="J18" s="8">
        <v>0</v>
      </c>
      <c r="K18" s="8">
        <v>3</v>
      </c>
      <c r="L18" s="8">
        <v>2</v>
      </c>
    </row>
    <row r="19" spans="1:12" ht="15" customHeight="1" x14ac:dyDescent="0.25">
      <c r="A19" s="10">
        <v>46221</v>
      </c>
      <c r="B19" s="8">
        <v>1</v>
      </c>
      <c r="C19" s="8" t="s">
        <v>59</v>
      </c>
      <c r="D19" s="8" t="s">
        <v>60</v>
      </c>
      <c r="E19" s="8" t="s">
        <v>19</v>
      </c>
      <c r="F19" s="8" t="s">
        <v>105</v>
      </c>
      <c r="G19" s="8" t="s">
        <v>112</v>
      </c>
      <c r="H19" s="8">
        <v>90</v>
      </c>
      <c r="I19" s="8">
        <v>0</v>
      </c>
      <c r="J19" s="8">
        <v>2</v>
      </c>
      <c r="K19" s="8">
        <v>2</v>
      </c>
      <c r="L19" s="8">
        <v>1</v>
      </c>
    </row>
    <row r="20" spans="1:12" ht="15" customHeight="1" x14ac:dyDescent="0.25">
      <c r="A20" s="10">
        <v>46221</v>
      </c>
      <c r="B20" s="8">
        <v>1</v>
      </c>
      <c r="C20" s="8" t="s">
        <v>59</v>
      </c>
      <c r="D20" s="8" t="s">
        <v>60</v>
      </c>
      <c r="E20" s="8" t="s">
        <v>19</v>
      </c>
      <c r="F20" s="8" t="s">
        <v>103</v>
      </c>
      <c r="G20" s="8" t="s">
        <v>112</v>
      </c>
      <c r="H20" s="8">
        <v>84</v>
      </c>
      <c r="I20" s="8">
        <v>0</v>
      </c>
      <c r="J20" s="8">
        <v>0</v>
      </c>
      <c r="K20" s="8">
        <v>2</v>
      </c>
      <c r="L20" s="8">
        <v>1</v>
      </c>
    </row>
    <row r="21" spans="1:12" ht="15" customHeight="1" x14ac:dyDescent="0.25">
      <c r="A21" s="10">
        <v>46221</v>
      </c>
      <c r="B21" s="8">
        <v>1</v>
      </c>
      <c r="C21" s="8" t="s">
        <v>60</v>
      </c>
      <c r="D21" s="8" t="s">
        <v>59</v>
      </c>
      <c r="E21" s="8" t="s">
        <v>20</v>
      </c>
      <c r="F21" s="8" t="s">
        <v>101</v>
      </c>
      <c r="G21" s="8" t="s">
        <v>112</v>
      </c>
      <c r="H21" s="8">
        <v>74</v>
      </c>
      <c r="I21" s="8">
        <v>1</v>
      </c>
      <c r="J21" s="8">
        <v>1</v>
      </c>
      <c r="K21" s="8">
        <v>5</v>
      </c>
      <c r="L21" s="8">
        <v>3</v>
      </c>
    </row>
    <row r="22" spans="1:12" ht="15" customHeight="1" x14ac:dyDescent="0.25">
      <c r="A22" s="10">
        <v>46221</v>
      </c>
      <c r="B22" s="8">
        <v>1</v>
      </c>
      <c r="C22" s="8" t="s">
        <v>60</v>
      </c>
      <c r="D22" s="8" t="s">
        <v>59</v>
      </c>
      <c r="E22" s="8" t="s">
        <v>20</v>
      </c>
      <c r="F22" s="8" t="s">
        <v>102</v>
      </c>
      <c r="G22" s="8" t="s">
        <v>112</v>
      </c>
      <c r="H22" s="8">
        <v>75</v>
      </c>
      <c r="I22" s="8">
        <v>1</v>
      </c>
      <c r="J22" s="8">
        <v>0</v>
      </c>
      <c r="K22" s="8">
        <v>3</v>
      </c>
      <c r="L22" s="8">
        <v>3</v>
      </c>
    </row>
    <row r="23" spans="1:12" ht="15" customHeight="1" x14ac:dyDescent="0.25">
      <c r="A23" s="10">
        <v>46221</v>
      </c>
      <c r="B23" s="8">
        <v>1</v>
      </c>
      <c r="C23" s="8" t="s">
        <v>60</v>
      </c>
      <c r="D23" s="8" t="s">
        <v>59</v>
      </c>
      <c r="E23" s="8" t="s">
        <v>20</v>
      </c>
      <c r="F23" s="8" t="s">
        <v>100</v>
      </c>
      <c r="G23" s="8" t="s">
        <v>112</v>
      </c>
      <c r="H23" s="8">
        <v>67</v>
      </c>
      <c r="I23" s="8">
        <v>0</v>
      </c>
      <c r="J23" s="8">
        <v>1</v>
      </c>
      <c r="K23" s="8">
        <v>0</v>
      </c>
      <c r="L23" s="8">
        <v>0</v>
      </c>
    </row>
    <row r="24" spans="1:12" ht="15" customHeight="1" x14ac:dyDescent="0.25">
      <c r="A24" s="10">
        <v>46221</v>
      </c>
      <c r="B24" s="8">
        <v>1</v>
      </c>
      <c r="C24" s="8" t="s">
        <v>60</v>
      </c>
      <c r="D24" s="8" t="s">
        <v>59</v>
      </c>
      <c r="E24" s="8" t="s">
        <v>20</v>
      </c>
      <c r="F24" s="8" t="s">
        <v>99</v>
      </c>
      <c r="G24" s="8" t="s">
        <v>112</v>
      </c>
      <c r="H24" s="8">
        <v>87</v>
      </c>
      <c r="I24" s="8">
        <v>0</v>
      </c>
      <c r="J24" s="8">
        <v>0</v>
      </c>
      <c r="K24" s="8">
        <v>3</v>
      </c>
      <c r="L24" s="8">
        <v>1</v>
      </c>
    </row>
    <row r="25" spans="1:12" ht="15" customHeight="1" x14ac:dyDescent="0.25">
      <c r="A25" s="10">
        <v>46221</v>
      </c>
      <c r="B25" s="8">
        <v>1</v>
      </c>
      <c r="C25" s="8" t="s">
        <v>61</v>
      </c>
      <c r="D25" s="8" t="s">
        <v>62</v>
      </c>
      <c r="E25" s="8" t="s">
        <v>19</v>
      </c>
      <c r="F25" s="8" t="s">
        <v>87</v>
      </c>
      <c r="G25" s="8" t="s">
        <v>112</v>
      </c>
      <c r="H25" s="8">
        <v>67</v>
      </c>
      <c r="I25" s="8">
        <v>1</v>
      </c>
      <c r="J25" s="8">
        <v>0</v>
      </c>
      <c r="K25" s="8">
        <v>3</v>
      </c>
      <c r="L25" s="8">
        <v>1</v>
      </c>
    </row>
    <row r="26" spans="1:12" ht="15" customHeight="1" x14ac:dyDescent="0.25">
      <c r="A26" s="10">
        <v>46221</v>
      </c>
      <c r="B26" s="8">
        <v>1</v>
      </c>
      <c r="C26" s="8" t="s">
        <v>61</v>
      </c>
      <c r="D26" s="8" t="s">
        <v>62</v>
      </c>
      <c r="E26" s="8" t="s">
        <v>19</v>
      </c>
      <c r="F26" s="8" t="s">
        <v>86</v>
      </c>
      <c r="G26" s="8" t="s">
        <v>112</v>
      </c>
      <c r="H26" s="8">
        <v>90</v>
      </c>
      <c r="I26" s="8">
        <v>0</v>
      </c>
      <c r="J26" s="8">
        <v>0</v>
      </c>
      <c r="K26" s="8">
        <v>5</v>
      </c>
      <c r="L26" s="8">
        <v>1</v>
      </c>
    </row>
    <row r="27" spans="1:12" ht="15" customHeight="1" x14ac:dyDescent="0.25">
      <c r="A27" s="10">
        <v>46221</v>
      </c>
      <c r="B27" s="8">
        <v>1</v>
      </c>
      <c r="C27" s="8" t="s">
        <v>61</v>
      </c>
      <c r="D27" s="8" t="s">
        <v>62</v>
      </c>
      <c r="E27" s="8" t="s">
        <v>19</v>
      </c>
      <c r="F27" s="8" t="s">
        <v>85</v>
      </c>
      <c r="G27" s="8" t="s">
        <v>112</v>
      </c>
      <c r="H27" s="8">
        <v>78</v>
      </c>
      <c r="I27" s="8">
        <v>0</v>
      </c>
      <c r="J27" s="8">
        <v>0</v>
      </c>
      <c r="K27" s="8">
        <v>2</v>
      </c>
      <c r="L27" s="8">
        <v>1</v>
      </c>
    </row>
    <row r="28" spans="1:12" ht="15" customHeight="1" x14ac:dyDescent="0.25">
      <c r="A28" s="10">
        <v>46221</v>
      </c>
      <c r="B28" s="8">
        <v>1</v>
      </c>
      <c r="C28" s="8" t="s">
        <v>62</v>
      </c>
      <c r="D28" s="8" t="s">
        <v>61</v>
      </c>
      <c r="E28" s="8" t="s">
        <v>20</v>
      </c>
      <c r="F28" s="8" t="s">
        <v>97</v>
      </c>
      <c r="G28" s="8" t="s">
        <v>112</v>
      </c>
      <c r="H28" s="8">
        <v>83</v>
      </c>
      <c r="I28" s="8">
        <v>1</v>
      </c>
      <c r="J28" s="8">
        <v>0</v>
      </c>
      <c r="K28" s="8">
        <v>2</v>
      </c>
      <c r="L28" s="8">
        <v>2</v>
      </c>
    </row>
    <row r="29" spans="1:12" ht="15" customHeight="1" x14ac:dyDescent="0.25">
      <c r="A29" s="10">
        <v>46219</v>
      </c>
      <c r="B29" s="8">
        <v>1</v>
      </c>
      <c r="C29" s="8" t="s">
        <v>114</v>
      </c>
      <c r="D29" s="8" t="s">
        <v>115</v>
      </c>
      <c r="E29" s="8" t="s">
        <v>19</v>
      </c>
      <c r="F29" s="8" t="s">
        <v>356</v>
      </c>
      <c r="G29" s="8" t="s">
        <v>112</v>
      </c>
      <c r="H29" s="8">
        <v>90</v>
      </c>
      <c r="I29" s="8">
        <v>1</v>
      </c>
      <c r="J29" s="8">
        <v>1</v>
      </c>
      <c r="K29" s="8">
        <v>3</v>
      </c>
      <c r="L29" s="8">
        <v>2</v>
      </c>
    </row>
    <row r="30" spans="1:12" ht="15" customHeight="1" x14ac:dyDescent="0.25">
      <c r="A30" s="10">
        <v>46219</v>
      </c>
      <c r="B30" s="8">
        <v>1</v>
      </c>
      <c r="C30" s="8" t="s">
        <v>114</v>
      </c>
      <c r="D30" s="8" t="s">
        <v>115</v>
      </c>
      <c r="E30" s="8" t="s">
        <v>19</v>
      </c>
      <c r="F30" s="8" t="s">
        <v>359</v>
      </c>
      <c r="G30" s="8" t="s">
        <v>113</v>
      </c>
      <c r="H30" s="8">
        <v>9</v>
      </c>
      <c r="I30" s="8">
        <v>1</v>
      </c>
      <c r="J30" s="8">
        <v>0</v>
      </c>
      <c r="K30" s="8">
        <v>1</v>
      </c>
      <c r="L30" s="8">
        <v>1</v>
      </c>
    </row>
    <row r="31" spans="1:12" ht="15" customHeight="1" x14ac:dyDescent="0.25">
      <c r="A31" s="10">
        <v>46219</v>
      </c>
      <c r="B31" s="8">
        <v>1</v>
      </c>
      <c r="C31" s="8" t="s">
        <v>115</v>
      </c>
      <c r="D31" s="8" t="s">
        <v>114</v>
      </c>
      <c r="E31" s="8" t="s">
        <v>20</v>
      </c>
      <c r="F31" s="8" t="s">
        <v>532</v>
      </c>
      <c r="G31" s="8" t="s">
        <v>112</v>
      </c>
      <c r="H31" s="8">
        <v>72</v>
      </c>
      <c r="I31" s="8">
        <v>1</v>
      </c>
      <c r="J31" s="8">
        <v>0</v>
      </c>
      <c r="K31" s="8">
        <v>3</v>
      </c>
      <c r="L31" s="8">
        <v>1</v>
      </c>
    </row>
    <row r="32" spans="1:12" ht="15" customHeight="1" x14ac:dyDescent="0.25">
      <c r="A32" s="10">
        <v>46219</v>
      </c>
      <c r="B32" s="8">
        <v>1</v>
      </c>
      <c r="C32" s="8" t="s">
        <v>115</v>
      </c>
      <c r="D32" s="8" t="s">
        <v>114</v>
      </c>
      <c r="E32" s="8" t="s">
        <v>20</v>
      </c>
      <c r="F32" s="8" t="s">
        <v>542</v>
      </c>
      <c r="G32" s="8" t="s">
        <v>112</v>
      </c>
      <c r="H32" s="8">
        <v>84</v>
      </c>
      <c r="I32" s="8">
        <v>0</v>
      </c>
      <c r="J32" s="8">
        <v>0</v>
      </c>
      <c r="K32" s="8">
        <v>3</v>
      </c>
      <c r="L32" s="8">
        <v>1</v>
      </c>
    </row>
    <row r="33" spans="1:12" ht="15" customHeight="1" x14ac:dyDescent="0.25">
      <c r="A33" s="10">
        <v>46219</v>
      </c>
      <c r="B33" s="8">
        <v>1</v>
      </c>
      <c r="C33" s="8" t="s">
        <v>115</v>
      </c>
      <c r="D33" s="8" t="s">
        <v>114</v>
      </c>
      <c r="E33" s="8" t="s">
        <v>20</v>
      </c>
      <c r="F33" s="8" t="s">
        <v>536</v>
      </c>
      <c r="G33" s="8" t="s">
        <v>112</v>
      </c>
      <c r="H33" s="8">
        <v>72</v>
      </c>
      <c r="I33" s="8">
        <v>0</v>
      </c>
      <c r="J33" s="8">
        <v>0</v>
      </c>
      <c r="K33" s="8">
        <v>2</v>
      </c>
      <c r="L33" s="8">
        <v>1</v>
      </c>
    </row>
    <row r="34" spans="1:12" ht="15" customHeight="1" x14ac:dyDescent="0.25">
      <c r="A34" s="10">
        <v>46219</v>
      </c>
      <c r="B34" s="8">
        <v>1</v>
      </c>
      <c r="C34" s="8" t="s">
        <v>116</v>
      </c>
      <c r="D34" s="8" t="s">
        <v>117</v>
      </c>
      <c r="E34" s="8" t="s">
        <v>19</v>
      </c>
      <c r="F34" s="8" t="s">
        <v>181</v>
      </c>
      <c r="G34" s="8" t="s">
        <v>112</v>
      </c>
      <c r="H34" s="8">
        <v>90</v>
      </c>
      <c r="I34" s="8">
        <v>1</v>
      </c>
      <c r="J34" s="8">
        <v>0</v>
      </c>
      <c r="K34" s="8">
        <v>1</v>
      </c>
      <c r="L34" s="8">
        <v>1</v>
      </c>
    </row>
    <row r="35" spans="1:12" x14ac:dyDescent="0.25">
      <c r="A35" s="10">
        <v>46219</v>
      </c>
      <c r="B35" s="8">
        <v>1</v>
      </c>
      <c r="C35" s="8" t="s">
        <v>116</v>
      </c>
      <c r="D35" s="8" t="s">
        <v>117</v>
      </c>
      <c r="E35" s="8" t="s">
        <v>19</v>
      </c>
      <c r="F35" s="8" t="s">
        <v>196</v>
      </c>
      <c r="G35" s="8" t="s">
        <v>113</v>
      </c>
      <c r="H35" s="8">
        <v>25</v>
      </c>
      <c r="I35" s="8">
        <v>2</v>
      </c>
      <c r="J35" s="8">
        <v>0</v>
      </c>
      <c r="K35" s="8">
        <v>2</v>
      </c>
      <c r="L35" s="8">
        <v>2</v>
      </c>
    </row>
    <row r="36" spans="1:12" x14ac:dyDescent="0.25">
      <c r="A36" s="10">
        <v>46219</v>
      </c>
      <c r="B36" s="8">
        <v>1</v>
      </c>
      <c r="C36" s="8" t="s">
        <v>116</v>
      </c>
      <c r="D36" s="8" t="s">
        <v>117</v>
      </c>
      <c r="E36" s="8" t="s">
        <v>19</v>
      </c>
      <c r="F36" s="8" t="s">
        <v>188</v>
      </c>
      <c r="G36" s="8" t="s">
        <v>112</v>
      </c>
      <c r="H36" s="8">
        <v>65</v>
      </c>
      <c r="I36" s="8">
        <v>0</v>
      </c>
      <c r="J36" s="8">
        <v>1</v>
      </c>
      <c r="K36" s="8">
        <v>1</v>
      </c>
      <c r="L36" s="8">
        <v>1</v>
      </c>
    </row>
    <row r="37" spans="1:12" x14ac:dyDescent="0.25">
      <c r="A37" s="10">
        <v>46219</v>
      </c>
      <c r="B37" s="8">
        <v>1</v>
      </c>
      <c r="C37" s="8" t="s">
        <v>116</v>
      </c>
      <c r="D37" s="8" t="s">
        <v>117</v>
      </c>
      <c r="E37" s="8" t="s">
        <v>19</v>
      </c>
      <c r="F37" s="8" t="s">
        <v>177</v>
      </c>
      <c r="G37" s="8" t="s">
        <v>112</v>
      </c>
      <c r="H37" s="8">
        <v>90</v>
      </c>
      <c r="I37" s="8">
        <v>0</v>
      </c>
      <c r="J37" s="8">
        <v>0</v>
      </c>
      <c r="K37" s="8">
        <v>2</v>
      </c>
      <c r="L37" s="8">
        <v>2</v>
      </c>
    </row>
    <row r="38" spans="1:12" x14ac:dyDescent="0.25">
      <c r="A38" s="10">
        <v>46219</v>
      </c>
      <c r="B38" s="8">
        <v>1</v>
      </c>
      <c r="C38" s="8" t="s">
        <v>117</v>
      </c>
      <c r="D38" s="8" t="s">
        <v>116</v>
      </c>
      <c r="E38" s="8" t="s">
        <v>20</v>
      </c>
      <c r="F38" s="8" t="s">
        <v>626</v>
      </c>
      <c r="G38" s="8" t="s">
        <v>112</v>
      </c>
      <c r="H38" s="8">
        <v>83</v>
      </c>
      <c r="I38" s="8">
        <v>1</v>
      </c>
      <c r="J38" s="8">
        <v>0</v>
      </c>
      <c r="K38" s="8">
        <v>2</v>
      </c>
      <c r="L38" s="8">
        <v>1</v>
      </c>
    </row>
    <row r="39" spans="1:12" x14ac:dyDescent="0.25">
      <c r="A39" s="10">
        <v>46219</v>
      </c>
      <c r="B39" s="8">
        <v>1</v>
      </c>
      <c r="C39" s="8" t="s">
        <v>117</v>
      </c>
      <c r="D39" s="8" t="s">
        <v>116</v>
      </c>
      <c r="E39" s="8" t="s">
        <v>20</v>
      </c>
      <c r="F39" s="8" t="s">
        <v>606</v>
      </c>
      <c r="G39" s="8" t="s">
        <v>112</v>
      </c>
      <c r="H39" s="8">
        <v>90</v>
      </c>
      <c r="I39" s="8">
        <v>0</v>
      </c>
      <c r="J39" s="8">
        <v>1</v>
      </c>
      <c r="K39" s="8">
        <v>0</v>
      </c>
      <c r="L39" s="8">
        <v>0</v>
      </c>
    </row>
    <row r="40" spans="1:12" x14ac:dyDescent="0.25">
      <c r="A40" s="10">
        <v>46219</v>
      </c>
      <c r="B40" s="8">
        <v>1</v>
      </c>
      <c r="C40" s="8" t="s">
        <v>117</v>
      </c>
      <c r="D40" s="8" t="s">
        <v>116</v>
      </c>
      <c r="E40" s="8" t="s">
        <v>20</v>
      </c>
      <c r="F40" s="8" t="s">
        <v>623</v>
      </c>
      <c r="G40" s="8" t="s">
        <v>112</v>
      </c>
      <c r="H40" s="8">
        <v>90</v>
      </c>
      <c r="I40" s="8">
        <v>0</v>
      </c>
      <c r="J40" s="8">
        <v>0</v>
      </c>
      <c r="K40" s="8">
        <v>4</v>
      </c>
      <c r="L40" s="8">
        <v>1</v>
      </c>
    </row>
    <row r="41" spans="1:12" x14ac:dyDescent="0.25">
      <c r="A41" s="10">
        <v>46220</v>
      </c>
      <c r="B41" s="8">
        <v>1</v>
      </c>
      <c r="C41" s="8" t="s">
        <v>688</v>
      </c>
      <c r="D41" s="8" t="s">
        <v>119</v>
      </c>
      <c r="E41" s="8" t="s">
        <v>19</v>
      </c>
      <c r="F41" s="8" t="s">
        <v>508</v>
      </c>
      <c r="G41" s="8" t="s">
        <v>112</v>
      </c>
      <c r="H41" s="8">
        <v>55</v>
      </c>
      <c r="I41" s="8">
        <v>0</v>
      </c>
      <c r="J41" s="8">
        <v>0</v>
      </c>
      <c r="K41" s="8">
        <v>2</v>
      </c>
      <c r="L41" s="8">
        <v>1</v>
      </c>
    </row>
    <row r="42" spans="1:12" x14ac:dyDescent="0.25">
      <c r="A42" s="10">
        <v>46220</v>
      </c>
      <c r="B42" s="8">
        <v>1</v>
      </c>
      <c r="C42" s="8" t="s">
        <v>688</v>
      </c>
      <c r="D42" s="8" t="s">
        <v>119</v>
      </c>
      <c r="E42" s="8" t="s">
        <v>19</v>
      </c>
      <c r="F42" s="8" t="s">
        <v>506</v>
      </c>
      <c r="G42" s="8" t="s">
        <v>112</v>
      </c>
      <c r="H42" s="8">
        <v>42</v>
      </c>
      <c r="I42" s="8">
        <v>1</v>
      </c>
      <c r="J42" s="8">
        <v>0</v>
      </c>
      <c r="K42" s="8">
        <v>3</v>
      </c>
      <c r="L42" s="8">
        <v>1</v>
      </c>
    </row>
    <row r="43" spans="1:12" x14ac:dyDescent="0.25">
      <c r="A43" s="10">
        <v>46220</v>
      </c>
      <c r="B43" s="8">
        <v>1</v>
      </c>
      <c r="C43" s="8" t="s">
        <v>688</v>
      </c>
      <c r="D43" s="8" t="s">
        <v>119</v>
      </c>
      <c r="E43" s="8" t="s">
        <v>19</v>
      </c>
      <c r="F43" s="8" t="s">
        <v>507</v>
      </c>
      <c r="G43" s="8" t="s">
        <v>113</v>
      </c>
      <c r="H43" s="8">
        <v>35</v>
      </c>
      <c r="I43" s="8">
        <v>1</v>
      </c>
      <c r="J43" s="8">
        <v>0</v>
      </c>
      <c r="K43" s="8">
        <v>1</v>
      </c>
      <c r="L43" s="8">
        <v>1</v>
      </c>
    </row>
    <row r="44" spans="1:12" x14ac:dyDescent="0.25">
      <c r="A44" s="10">
        <v>46220</v>
      </c>
      <c r="B44" s="8">
        <v>1</v>
      </c>
      <c r="C44" s="8" t="s">
        <v>688</v>
      </c>
      <c r="D44" s="8" t="s">
        <v>119</v>
      </c>
      <c r="E44" s="8" t="s">
        <v>19</v>
      </c>
      <c r="F44" s="8" t="s">
        <v>505</v>
      </c>
      <c r="G44" s="8" t="s">
        <v>113</v>
      </c>
      <c r="H44" s="8">
        <v>35</v>
      </c>
      <c r="I44" s="8">
        <v>0</v>
      </c>
      <c r="J44" s="8">
        <v>1</v>
      </c>
      <c r="K44" s="8">
        <v>1</v>
      </c>
      <c r="L44" s="8">
        <v>1</v>
      </c>
    </row>
    <row r="45" spans="1:12" x14ac:dyDescent="0.25">
      <c r="A45" s="10">
        <v>46220</v>
      </c>
      <c r="B45" s="8">
        <v>1</v>
      </c>
      <c r="C45" s="8" t="s">
        <v>688</v>
      </c>
      <c r="D45" s="8" t="s">
        <v>119</v>
      </c>
      <c r="E45" s="8" t="s">
        <v>19</v>
      </c>
      <c r="F45" s="8" t="s">
        <v>497</v>
      </c>
      <c r="G45" s="8" t="s">
        <v>113</v>
      </c>
      <c r="H45" s="8">
        <v>8</v>
      </c>
      <c r="I45" s="8">
        <v>0</v>
      </c>
      <c r="J45" s="8">
        <v>0</v>
      </c>
      <c r="K45" s="8">
        <v>2</v>
      </c>
      <c r="L45" s="8">
        <v>1</v>
      </c>
    </row>
    <row r="46" spans="1:12" x14ac:dyDescent="0.25">
      <c r="A46" s="10">
        <v>46220</v>
      </c>
      <c r="B46" s="8">
        <v>1</v>
      </c>
      <c r="C46" s="8" t="s">
        <v>119</v>
      </c>
      <c r="D46" s="8" t="s">
        <v>688</v>
      </c>
      <c r="E46" s="8" t="s">
        <v>20</v>
      </c>
      <c r="F46" s="8" t="s">
        <v>309</v>
      </c>
      <c r="G46" s="8" t="s">
        <v>112</v>
      </c>
      <c r="H46" s="8">
        <v>90</v>
      </c>
      <c r="I46" s="8">
        <v>0</v>
      </c>
      <c r="J46" s="8">
        <v>1</v>
      </c>
      <c r="K46" s="8">
        <v>0</v>
      </c>
      <c r="L46" s="8">
        <v>0</v>
      </c>
    </row>
    <row r="47" spans="1:12" x14ac:dyDescent="0.25">
      <c r="A47" s="10">
        <v>46220</v>
      </c>
      <c r="B47" s="8">
        <v>1</v>
      </c>
      <c r="C47" s="8" t="s">
        <v>119</v>
      </c>
      <c r="D47" s="8" t="s">
        <v>688</v>
      </c>
      <c r="E47" s="8" t="s">
        <v>20</v>
      </c>
      <c r="F47" s="8" t="s">
        <v>323</v>
      </c>
      <c r="G47" s="8" t="s">
        <v>112</v>
      </c>
      <c r="H47" s="8">
        <v>90</v>
      </c>
      <c r="I47" s="8">
        <v>1</v>
      </c>
      <c r="J47" s="8">
        <v>0</v>
      </c>
      <c r="K47" s="8">
        <v>1</v>
      </c>
      <c r="L47" s="8">
        <v>1</v>
      </c>
    </row>
    <row r="48" spans="1:12" x14ac:dyDescent="0.25">
      <c r="A48" s="10">
        <v>46220</v>
      </c>
      <c r="B48" s="8">
        <v>1</v>
      </c>
      <c r="C48" s="8" t="s">
        <v>119</v>
      </c>
      <c r="D48" s="8" t="s">
        <v>688</v>
      </c>
      <c r="E48" s="8" t="s">
        <v>20</v>
      </c>
      <c r="F48" s="8" t="s">
        <v>329</v>
      </c>
      <c r="G48" s="8" t="s">
        <v>112</v>
      </c>
      <c r="H48" s="8">
        <v>57</v>
      </c>
      <c r="I48" s="8">
        <v>1</v>
      </c>
      <c r="J48" s="8">
        <v>0</v>
      </c>
      <c r="K48" s="8">
        <v>3</v>
      </c>
      <c r="L48" s="8">
        <v>2</v>
      </c>
    </row>
    <row r="49" spans="1:12" x14ac:dyDescent="0.25">
      <c r="A49" s="10">
        <v>46220</v>
      </c>
      <c r="B49" s="8">
        <v>1</v>
      </c>
      <c r="C49" s="8" t="s">
        <v>119</v>
      </c>
      <c r="D49" s="8" t="s">
        <v>688</v>
      </c>
      <c r="E49" s="8" t="s">
        <v>20</v>
      </c>
      <c r="F49" s="8" t="s">
        <v>326</v>
      </c>
      <c r="G49" s="8" t="s">
        <v>112</v>
      </c>
      <c r="H49" s="8">
        <v>89</v>
      </c>
      <c r="I49" s="8">
        <v>1</v>
      </c>
      <c r="J49" s="8">
        <v>0</v>
      </c>
      <c r="K49" s="8">
        <v>1</v>
      </c>
      <c r="L49" s="8">
        <v>1</v>
      </c>
    </row>
    <row r="50" spans="1:12" x14ac:dyDescent="0.25">
      <c r="A50" s="10">
        <v>46220</v>
      </c>
      <c r="B50" s="8">
        <v>1</v>
      </c>
      <c r="C50" s="8" t="s">
        <v>689</v>
      </c>
      <c r="D50" s="8" t="s">
        <v>121</v>
      </c>
      <c r="E50" s="8" t="s">
        <v>19</v>
      </c>
      <c r="F50" s="8" t="s">
        <v>479</v>
      </c>
      <c r="G50" s="8" t="s">
        <v>112</v>
      </c>
      <c r="H50" s="8">
        <v>88</v>
      </c>
      <c r="I50" s="8">
        <v>1</v>
      </c>
      <c r="J50" s="8">
        <v>0</v>
      </c>
      <c r="K50" s="8">
        <v>4</v>
      </c>
      <c r="L50" s="8">
        <v>3</v>
      </c>
    </row>
    <row r="51" spans="1:12" x14ac:dyDescent="0.25">
      <c r="A51" s="10">
        <v>46220</v>
      </c>
      <c r="B51" s="8">
        <v>1</v>
      </c>
      <c r="C51" s="8" t="s">
        <v>689</v>
      </c>
      <c r="D51" s="8" t="s">
        <v>121</v>
      </c>
      <c r="E51" s="8" t="s">
        <v>19</v>
      </c>
      <c r="F51" s="8" t="s">
        <v>475</v>
      </c>
      <c r="G51" s="8" t="s">
        <v>112</v>
      </c>
      <c r="H51" s="8">
        <v>90</v>
      </c>
      <c r="I51" s="8">
        <v>1</v>
      </c>
      <c r="J51" s="8">
        <v>0</v>
      </c>
      <c r="K51" s="8">
        <v>3</v>
      </c>
      <c r="L51" s="8">
        <v>1</v>
      </c>
    </row>
    <row r="52" spans="1:12" x14ac:dyDescent="0.25">
      <c r="A52" s="10">
        <v>46220</v>
      </c>
      <c r="B52" s="8">
        <v>1</v>
      </c>
      <c r="C52" s="8" t="s">
        <v>689</v>
      </c>
      <c r="D52" s="8" t="s">
        <v>121</v>
      </c>
      <c r="E52" s="8" t="s">
        <v>19</v>
      </c>
      <c r="F52" s="8" t="s">
        <v>477</v>
      </c>
      <c r="G52" s="8" t="s">
        <v>112</v>
      </c>
      <c r="H52" s="8">
        <v>70</v>
      </c>
      <c r="I52" s="8">
        <v>0</v>
      </c>
      <c r="J52" s="8">
        <v>1</v>
      </c>
      <c r="K52" s="8">
        <v>2</v>
      </c>
      <c r="L52" s="8">
        <v>0</v>
      </c>
    </row>
    <row r="53" spans="1:12" x14ac:dyDescent="0.25">
      <c r="A53" s="10">
        <v>46220</v>
      </c>
      <c r="B53" s="8">
        <v>1</v>
      </c>
      <c r="C53" s="8" t="s">
        <v>121</v>
      </c>
      <c r="D53" s="8" t="s">
        <v>689</v>
      </c>
      <c r="E53" s="8" t="s">
        <v>20</v>
      </c>
      <c r="F53" s="8" t="s">
        <v>286</v>
      </c>
      <c r="G53" s="8" t="s">
        <v>112</v>
      </c>
      <c r="H53" s="8">
        <v>90</v>
      </c>
      <c r="I53" s="8">
        <v>2</v>
      </c>
      <c r="J53" s="8">
        <v>0</v>
      </c>
      <c r="K53" s="8">
        <v>2</v>
      </c>
      <c r="L53" s="8">
        <v>2</v>
      </c>
    </row>
    <row r="54" spans="1:12" x14ac:dyDescent="0.25">
      <c r="A54" s="10">
        <v>46220</v>
      </c>
      <c r="B54" s="8">
        <v>1</v>
      </c>
      <c r="C54" s="8" t="s">
        <v>121</v>
      </c>
      <c r="D54" s="8" t="s">
        <v>689</v>
      </c>
      <c r="E54" s="8" t="s">
        <v>20</v>
      </c>
      <c r="F54" s="8" t="s">
        <v>290</v>
      </c>
      <c r="G54" s="8" t="s">
        <v>112</v>
      </c>
      <c r="H54" s="8">
        <v>90</v>
      </c>
      <c r="I54" s="8">
        <v>0</v>
      </c>
      <c r="J54" s="8">
        <v>1</v>
      </c>
      <c r="K54" s="8">
        <v>1</v>
      </c>
      <c r="L54" s="8">
        <v>0</v>
      </c>
    </row>
    <row r="55" spans="1:12" x14ac:dyDescent="0.25">
      <c r="A55" s="10">
        <v>46220</v>
      </c>
      <c r="B55" s="8">
        <v>1</v>
      </c>
      <c r="C55" s="8" t="s">
        <v>121</v>
      </c>
      <c r="D55" s="8" t="s">
        <v>689</v>
      </c>
      <c r="E55" s="8" t="s">
        <v>20</v>
      </c>
      <c r="F55" s="8" t="s">
        <v>302</v>
      </c>
      <c r="G55" s="8" t="s">
        <v>113</v>
      </c>
      <c r="H55" s="8">
        <v>34</v>
      </c>
      <c r="I55" s="8">
        <v>0</v>
      </c>
      <c r="J55" s="8">
        <v>1</v>
      </c>
      <c r="K55" s="8">
        <v>0</v>
      </c>
      <c r="L55" s="8">
        <v>0</v>
      </c>
    </row>
    <row r="56" spans="1:12" x14ac:dyDescent="0.25">
      <c r="A56" s="10">
        <v>46220</v>
      </c>
      <c r="B56" s="8">
        <v>1</v>
      </c>
      <c r="C56" s="8" t="s">
        <v>121</v>
      </c>
      <c r="D56" s="8" t="s">
        <v>689</v>
      </c>
      <c r="E56" s="8" t="s">
        <v>20</v>
      </c>
      <c r="F56" s="8" t="s">
        <v>297</v>
      </c>
      <c r="G56" s="8" t="s">
        <v>113</v>
      </c>
      <c r="H56" s="8">
        <v>34</v>
      </c>
      <c r="I56" s="8">
        <v>1</v>
      </c>
      <c r="J56" s="8">
        <v>0</v>
      </c>
      <c r="K56" s="8">
        <v>2</v>
      </c>
      <c r="L56" s="8">
        <v>2</v>
      </c>
    </row>
    <row r="57" spans="1:12" x14ac:dyDescent="0.25">
      <c r="A57" s="10">
        <v>46220</v>
      </c>
      <c r="B57" s="8">
        <v>1</v>
      </c>
      <c r="C57" s="8" t="s">
        <v>121</v>
      </c>
      <c r="D57" s="8" t="s">
        <v>689</v>
      </c>
      <c r="E57" s="8" t="s">
        <v>20</v>
      </c>
      <c r="F57" s="8" t="s">
        <v>303</v>
      </c>
      <c r="G57" s="8" t="s">
        <v>112</v>
      </c>
      <c r="H57" s="8">
        <v>90</v>
      </c>
      <c r="I57" s="8">
        <v>0</v>
      </c>
      <c r="J57" s="8">
        <v>0</v>
      </c>
      <c r="K57" s="8">
        <v>4</v>
      </c>
      <c r="L57" s="8">
        <v>3</v>
      </c>
    </row>
    <row r="58" spans="1:12" x14ac:dyDescent="0.25">
      <c r="A58" s="10">
        <v>46220</v>
      </c>
      <c r="B58" s="8">
        <v>1</v>
      </c>
      <c r="C58" s="8" t="s">
        <v>121</v>
      </c>
      <c r="D58" s="8" t="s">
        <v>689</v>
      </c>
      <c r="E58" s="8" t="s">
        <v>20</v>
      </c>
      <c r="F58" s="8" t="s">
        <v>299</v>
      </c>
      <c r="G58" s="8" t="s">
        <v>113</v>
      </c>
      <c r="H58" s="8">
        <v>34</v>
      </c>
      <c r="I58" s="8">
        <v>0</v>
      </c>
      <c r="J58" s="8">
        <v>0</v>
      </c>
      <c r="K58" s="8">
        <v>3</v>
      </c>
      <c r="L58" s="8">
        <v>2</v>
      </c>
    </row>
    <row r="59" spans="1:12" x14ac:dyDescent="0.25">
      <c r="A59" s="10">
        <v>46220</v>
      </c>
      <c r="B59" s="8">
        <v>1</v>
      </c>
      <c r="C59" s="8" t="s">
        <v>121</v>
      </c>
      <c r="D59" s="8" t="s">
        <v>689</v>
      </c>
      <c r="E59" s="8" t="s">
        <v>20</v>
      </c>
      <c r="F59" s="8" t="s">
        <v>276</v>
      </c>
      <c r="G59" s="8" t="s">
        <v>112</v>
      </c>
      <c r="H59" s="8">
        <v>90</v>
      </c>
      <c r="I59" s="8">
        <v>0</v>
      </c>
      <c r="J59" s="8">
        <v>0</v>
      </c>
      <c r="K59" s="8">
        <v>2</v>
      </c>
      <c r="L59" s="8">
        <v>1</v>
      </c>
    </row>
    <row r="60" spans="1:12" x14ac:dyDescent="0.25">
      <c r="A60" s="10">
        <v>46220</v>
      </c>
      <c r="B60" s="8">
        <v>1</v>
      </c>
      <c r="C60" s="8" t="s">
        <v>690</v>
      </c>
      <c r="D60" s="8" t="s">
        <v>123</v>
      </c>
      <c r="E60" s="8" t="s">
        <v>19</v>
      </c>
      <c r="F60" s="8" t="s">
        <v>575</v>
      </c>
      <c r="G60" s="8" t="s">
        <v>112</v>
      </c>
      <c r="H60" s="8">
        <v>90</v>
      </c>
      <c r="I60" s="8">
        <v>0</v>
      </c>
      <c r="J60" s="8">
        <v>0</v>
      </c>
      <c r="K60" s="8">
        <v>3</v>
      </c>
      <c r="L60" s="8">
        <v>0</v>
      </c>
    </row>
    <row r="61" spans="1:12" x14ac:dyDescent="0.25">
      <c r="A61" s="10">
        <v>46220</v>
      </c>
      <c r="B61" s="8">
        <v>1</v>
      </c>
      <c r="C61" s="8" t="s">
        <v>690</v>
      </c>
      <c r="D61" s="8" t="s">
        <v>123</v>
      </c>
      <c r="E61" s="8" t="s">
        <v>19</v>
      </c>
      <c r="F61" s="8" t="s">
        <v>596</v>
      </c>
      <c r="G61" s="8" t="s">
        <v>112</v>
      </c>
      <c r="H61" s="8">
        <v>90</v>
      </c>
      <c r="I61" s="8">
        <v>0</v>
      </c>
      <c r="J61" s="8">
        <v>0</v>
      </c>
      <c r="K61" s="8">
        <v>3</v>
      </c>
      <c r="L61" s="8">
        <v>0</v>
      </c>
    </row>
    <row r="62" spans="1:12" x14ac:dyDescent="0.25">
      <c r="A62" s="10">
        <v>46220</v>
      </c>
      <c r="B62" s="8">
        <v>1</v>
      </c>
      <c r="C62" s="8" t="s">
        <v>690</v>
      </c>
      <c r="D62" s="8" t="s">
        <v>123</v>
      </c>
      <c r="E62" s="8" t="s">
        <v>19</v>
      </c>
      <c r="F62" s="8" t="s">
        <v>597</v>
      </c>
      <c r="G62" s="8" t="s">
        <v>113</v>
      </c>
      <c r="H62" s="8">
        <v>32</v>
      </c>
      <c r="I62" s="8">
        <v>0</v>
      </c>
      <c r="J62" s="8">
        <v>0</v>
      </c>
      <c r="K62" s="8">
        <v>3</v>
      </c>
      <c r="L62" s="8">
        <v>0</v>
      </c>
    </row>
    <row r="63" spans="1:12" x14ac:dyDescent="0.25">
      <c r="A63" s="10">
        <v>46220</v>
      </c>
      <c r="B63" s="8">
        <v>1</v>
      </c>
      <c r="C63" s="8" t="s">
        <v>123</v>
      </c>
      <c r="D63" s="8" t="s">
        <v>690</v>
      </c>
      <c r="E63" s="8" t="s">
        <v>20</v>
      </c>
      <c r="F63" s="8" t="s">
        <v>419</v>
      </c>
      <c r="G63" s="8" t="s">
        <v>112</v>
      </c>
      <c r="H63" s="8">
        <v>81</v>
      </c>
      <c r="I63" s="8">
        <v>1</v>
      </c>
      <c r="J63" s="8">
        <v>0</v>
      </c>
      <c r="K63" s="8">
        <v>4</v>
      </c>
      <c r="L63" s="8">
        <v>3</v>
      </c>
    </row>
    <row r="64" spans="1:12" x14ac:dyDescent="0.25">
      <c r="A64" s="10">
        <v>46220</v>
      </c>
      <c r="B64" s="8">
        <v>1</v>
      </c>
      <c r="C64" s="8" t="s">
        <v>123</v>
      </c>
      <c r="D64" s="8" t="s">
        <v>690</v>
      </c>
      <c r="E64" s="8" t="s">
        <v>20</v>
      </c>
      <c r="F64" s="8" t="s">
        <v>399</v>
      </c>
      <c r="G64" s="8" t="s">
        <v>112</v>
      </c>
      <c r="H64" s="8">
        <v>90</v>
      </c>
      <c r="I64" s="8">
        <v>0</v>
      </c>
      <c r="J64" s="8">
        <v>0</v>
      </c>
      <c r="K64" s="8">
        <v>2</v>
      </c>
      <c r="L64" s="8">
        <v>0</v>
      </c>
    </row>
    <row r="65" spans="1:12" x14ac:dyDescent="0.25">
      <c r="A65" s="10">
        <v>46220</v>
      </c>
      <c r="B65" s="8">
        <v>1</v>
      </c>
      <c r="C65" s="8" t="s">
        <v>123</v>
      </c>
      <c r="D65" s="8" t="s">
        <v>690</v>
      </c>
      <c r="E65" s="8" t="s">
        <v>20</v>
      </c>
      <c r="F65" s="8" t="s">
        <v>417</v>
      </c>
      <c r="G65" s="8" t="s">
        <v>112</v>
      </c>
      <c r="H65" s="8">
        <v>90</v>
      </c>
      <c r="I65" s="8">
        <v>0</v>
      </c>
      <c r="J65" s="8">
        <v>0</v>
      </c>
      <c r="K65" s="8">
        <v>2</v>
      </c>
      <c r="L65" s="8">
        <v>1</v>
      </c>
    </row>
    <row r="66" spans="1:12" x14ac:dyDescent="0.25">
      <c r="A66" s="10">
        <v>46220</v>
      </c>
      <c r="B66" s="8">
        <v>1</v>
      </c>
      <c r="C66" s="8" t="s">
        <v>123</v>
      </c>
      <c r="D66" s="8" t="s">
        <v>690</v>
      </c>
      <c r="E66" s="8" t="s">
        <v>20</v>
      </c>
      <c r="F66" s="8" t="s">
        <v>409</v>
      </c>
      <c r="G66" s="8" t="s">
        <v>112</v>
      </c>
      <c r="H66" s="8">
        <v>90</v>
      </c>
      <c r="I66" s="8">
        <v>0</v>
      </c>
      <c r="J66" s="8">
        <v>1</v>
      </c>
      <c r="K66" s="8">
        <v>1</v>
      </c>
      <c r="L66" s="8">
        <v>1</v>
      </c>
    </row>
    <row r="67" spans="1:12" x14ac:dyDescent="0.25">
      <c r="A67" s="10">
        <v>46221</v>
      </c>
      <c r="B67" s="8">
        <v>1</v>
      </c>
      <c r="C67" s="8" t="s">
        <v>124</v>
      </c>
      <c r="D67" s="8" t="s">
        <v>125</v>
      </c>
      <c r="E67" s="8" t="s">
        <v>19</v>
      </c>
      <c r="F67" s="8" t="s">
        <v>676</v>
      </c>
      <c r="G67" s="8" t="s">
        <v>113</v>
      </c>
      <c r="H67" s="8">
        <v>45</v>
      </c>
      <c r="I67" s="8">
        <v>0</v>
      </c>
      <c r="J67" s="8">
        <v>0</v>
      </c>
      <c r="K67" s="8">
        <v>3</v>
      </c>
      <c r="L67" s="8">
        <v>1</v>
      </c>
    </row>
    <row r="68" spans="1:12" x14ac:dyDescent="0.25">
      <c r="A68" s="10">
        <v>46221</v>
      </c>
      <c r="B68" s="8">
        <v>1</v>
      </c>
      <c r="C68" s="8" t="s">
        <v>125</v>
      </c>
      <c r="D68" s="8" t="s">
        <v>124</v>
      </c>
      <c r="E68" s="8" t="s">
        <v>20</v>
      </c>
      <c r="F68" s="8" t="s">
        <v>168</v>
      </c>
      <c r="G68" s="8" t="s">
        <v>112</v>
      </c>
      <c r="H68" s="8">
        <v>90</v>
      </c>
      <c r="I68" s="8">
        <v>2</v>
      </c>
      <c r="J68" s="8">
        <v>0</v>
      </c>
      <c r="K68" s="8">
        <v>5</v>
      </c>
      <c r="L68" s="8">
        <v>3</v>
      </c>
    </row>
    <row r="69" spans="1:12" x14ac:dyDescent="0.25">
      <c r="A69" s="10">
        <v>46221</v>
      </c>
      <c r="B69" s="8">
        <v>1</v>
      </c>
      <c r="C69" s="8" t="s">
        <v>125</v>
      </c>
      <c r="D69" s="8" t="s">
        <v>124</v>
      </c>
      <c r="E69" s="8" t="s">
        <v>20</v>
      </c>
      <c r="F69" s="8" t="s">
        <v>156</v>
      </c>
      <c r="G69" s="8" t="s">
        <v>112</v>
      </c>
      <c r="H69" s="8">
        <v>85</v>
      </c>
      <c r="I69" s="8">
        <v>1</v>
      </c>
      <c r="J69" s="8">
        <v>1</v>
      </c>
      <c r="K69" s="8">
        <v>2</v>
      </c>
      <c r="L69" s="8">
        <v>1</v>
      </c>
    </row>
    <row r="70" spans="1:12" x14ac:dyDescent="0.25">
      <c r="A70" s="10">
        <v>46221</v>
      </c>
      <c r="B70" s="8">
        <v>1</v>
      </c>
      <c r="C70" s="8" t="s">
        <v>125</v>
      </c>
      <c r="D70" s="8" t="s">
        <v>124</v>
      </c>
      <c r="E70" s="8" t="s">
        <v>20</v>
      </c>
      <c r="F70" s="8" t="s">
        <v>164</v>
      </c>
      <c r="G70" s="8" t="s">
        <v>112</v>
      </c>
      <c r="H70" s="8">
        <v>90</v>
      </c>
      <c r="I70" s="8">
        <v>0</v>
      </c>
      <c r="J70" s="8">
        <v>1</v>
      </c>
      <c r="K70" s="8">
        <v>1</v>
      </c>
      <c r="L70" s="8">
        <v>0</v>
      </c>
    </row>
    <row r="71" spans="1:12" x14ac:dyDescent="0.25">
      <c r="A71" s="10">
        <v>46221</v>
      </c>
      <c r="B71" s="8">
        <v>1</v>
      </c>
      <c r="C71" s="8" t="s">
        <v>125</v>
      </c>
      <c r="D71" s="8" t="s">
        <v>124</v>
      </c>
      <c r="E71" s="8" t="s">
        <v>20</v>
      </c>
      <c r="F71" s="8" t="s">
        <v>151</v>
      </c>
      <c r="G71" s="8" t="s">
        <v>112</v>
      </c>
      <c r="H71" s="8">
        <v>89</v>
      </c>
      <c r="I71" s="8">
        <v>0</v>
      </c>
      <c r="J71" s="8">
        <v>0</v>
      </c>
      <c r="K71" s="8">
        <v>3</v>
      </c>
      <c r="L71" s="8">
        <v>1</v>
      </c>
    </row>
    <row r="72" spans="1:12" x14ac:dyDescent="0.25">
      <c r="A72" s="10">
        <v>46221</v>
      </c>
      <c r="B72" s="8">
        <v>1</v>
      </c>
      <c r="C72" s="8" t="s">
        <v>126</v>
      </c>
      <c r="D72" s="8" t="s">
        <v>127</v>
      </c>
      <c r="E72" s="8" t="s">
        <v>19</v>
      </c>
      <c r="F72" s="8" t="s">
        <v>262</v>
      </c>
      <c r="G72" s="8" t="s">
        <v>112</v>
      </c>
      <c r="H72" s="8">
        <v>89</v>
      </c>
      <c r="I72" s="8">
        <v>2</v>
      </c>
      <c r="J72" s="8">
        <v>1</v>
      </c>
      <c r="K72" s="8">
        <v>5</v>
      </c>
      <c r="L72" s="8">
        <v>3</v>
      </c>
    </row>
    <row r="73" spans="1:12" x14ac:dyDescent="0.25">
      <c r="A73" s="10">
        <v>46221</v>
      </c>
      <c r="B73" s="8">
        <v>1</v>
      </c>
      <c r="C73" s="8" t="s">
        <v>126</v>
      </c>
      <c r="D73" s="8" t="s">
        <v>127</v>
      </c>
      <c r="E73" s="8" t="s">
        <v>19</v>
      </c>
      <c r="F73" s="8" t="s">
        <v>258</v>
      </c>
      <c r="G73" s="8" t="s">
        <v>112</v>
      </c>
      <c r="H73" s="8">
        <v>89</v>
      </c>
      <c r="I73" s="8">
        <v>0</v>
      </c>
      <c r="J73" s="8">
        <v>1</v>
      </c>
      <c r="K73" s="8">
        <v>2</v>
      </c>
      <c r="L73" s="8">
        <v>2</v>
      </c>
    </row>
    <row r="74" spans="1:12" x14ac:dyDescent="0.25">
      <c r="A74" s="10">
        <v>46221</v>
      </c>
      <c r="B74" s="8">
        <v>1</v>
      </c>
      <c r="C74" s="8" t="s">
        <v>126</v>
      </c>
      <c r="D74" s="8" t="s">
        <v>127</v>
      </c>
      <c r="E74" s="8" t="s">
        <v>19</v>
      </c>
      <c r="F74" s="8" t="s">
        <v>260</v>
      </c>
      <c r="G74" s="8" t="s">
        <v>112</v>
      </c>
      <c r="H74" s="8">
        <v>62</v>
      </c>
      <c r="I74" s="8">
        <v>1</v>
      </c>
      <c r="J74" s="8">
        <v>0</v>
      </c>
      <c r="K74" s="8">
        <v>1</v>
      </c>
      <c r="L74" s="8">
        <v>1</v>
      </c>
    </row>
    <row r="75" spans="1:12" x14ac:dyDescent="0.25">
      <c r="A75" s="10">
        <v>46221</v>
      </c>
      <c r="B75" s="8">
        <v>1</v>
      </c>
      <c r="C75" s="8" t="s">
        <v>126</v>
      </c>
      <c r="D75" s="8" t="s">
        <v>127</v>
      </c>
      <c r="E75" s="8" t="s">
        <v>19</v>
      </c>
      <c r="F75" s="8" t="s">
        <v>263</v>
      </c>
      <c r="G75" s="8" t="s">
        <v>112</v>
      </c>
      <c r="H75" s="8">
        <v>90</v>
      </c>
      <c r="I75" s="8">
        <v>0</v>
      </c>
      <c r="J75" s="8">
        <v>0</v>
      </c>
      <c r="K75" s="8">
        <v>4</v>
      </c>
      <c r="L75" s="8">
        <v>4</v>
      </c>
    </row>
    <row r="76" spans="1:12" x14ac:dyDescent="0.25">
      <c r="A76" s="10">
        <v>46221</v>
      </c>
      <c r="B76" s="8">
        <v>1</v>
      </c>
      <c r="C76" s="8" t="s">
        <v>126</v>
      </c>
      <c r="D76" s="8" t="s">
        <v>127</v>
      </c>
      <c r="E76" s="8" t="s">
        <v>19</v>
      </c>
      <c r="F76" s="8" t="s">
        <v>264</v>
      </c>
      <c r="G76" s="8" t="s">
        <v>112</v>
      </c>
      <c r="H76" s="8">
        <v>89</v>
      </c>
      <c r="I76" s="8">
        <v>0</v>
      </c>
      <c r="J76" s="8">
        <v>1</v>
      </c>
      <c r="K76" s="8">
        <v>4</v>
      </c>
      <c r="L76" s="8">
        <v>1</v>
      </c>
    </row>
    <row r="77" spans="1:12" x14ac:dyDescent="0.25">
      <c r="A77" s="10">
        <v>46221</v>
      </c>
      <c r="B77" s="8">
        <v>1</v>
      </c>
      <c r="C77" s="8" t="s">
        <v>127</v>
      </c>
      <c r="D77" s="8" t="s">
        <v>126</v>
      </c>
      <c r="E77" s="8" t="s">
        <v>20</v>
      </c>
      <c r="F77" s="8" t="s">
        <v>436</v>
      </c>
      <c r="G77" s="8" t="s">
        <v>112</v>
      </c>
      <c r="H77" s="8">
        <v>90</v>
      </c>
      <c r="I77" s="8">
        <v>0</v>
      </c>
      <c r="J77" s="8">
        <v>1</v>
      </c>
      <c r="K77" s="8">
        <v>1</v>
      </c>
      <c r="L77" s="8">
        <v>0</v>
      </c>
    </row>
    <row r="78" spans="1:12" x14ac:dyDescent="0.25">
      <c r="A78" s="10">
        <v>46221</v>
      </c>
      <c r="B78" s="8">
        <v>1</v>
      </c>
      <c r="C78" s="8" t="s">
        <v>127</v>
      </c>
      <c r="D78" s="8" t="s">
        <v>126</v>
      </c>
      <c r="E78" s="8" t="s">
        <v>20</v>
      </c>
      <c r="F78" s="8" t="s">
        <v>448</v>
      </c>
      <c r="G78" s="8" t="s">
        <v>112</v>
      </c>
      <c r="H78" s="8">
        <v>60</v>
      </c>
      <c r="I78" s="8">
        <v>1</v>
      </c>
      <c r="J78" s="8">
        <v>0</v>
      </c>
      <c r="K78" s="8">
        <v>1</v>
      </c>
      <c r="L78" s="8">
        <v>1</v>
      </c>
    </row>
    <row r="79" spans="1:12" x14ac:dyDescent="0.25">
      <c r="A79" s="10">
        <v>46221</v>
      </c>
      <c r="B79" s="8">
        <v>1</v>
      </c>
      <c r="C79" s="8" t="s">
        <v>127</v>
      </c>
      <c r="D79" s="8" t="s">
        <v>126</v>
      </c>
      <c r="E79" s="8" t="s">
        <v>20</v>
      </c>
      <c r="F79" s="8" t="s">
        <v>447</v>
      </c>
      <c r="G79" s="8" t="s">
        <v>113</v>
      </c>
      <c r="H79" s="8">
        <v>30</v>
      </c>
      <c r="I79" s="8">
        <v>1</v>
      </c>
      <c r="J79" s="8">
        <v>0</v>
      </c>
      <c r="K79" s="8">
        <v>1</v>
      </c>
      <c r="L79" s="8">
        <v>1</v>
      </c>
    </row>
    <row r="80" spans="1:12" x14ac:dyDescent="0.25">
      <c r="A80" s="10">
        <v>46221</v>
      </c>
      <c r="B80" s="8">
        <v>1</v>
      </c>
      <c r="C80" s="8" t="s">
        <v>127</v>
      </c>
      <c r="D80" s="8" t="s">
        <v>126</v>
      </c>
      <c r="E80" s="8" t="s">
        <v>20</v>
      </c>
      <c r="F80" s="8" t="s">
        <v>449</v>
      </c>
      <c r="G80" s="8" t="s">
        <v>112</v>
      </c>
      <c r="H80" s="8">
        <v>60</v>
      </c>
      <c r="I80" s="8">
        <v>0</v>
      </c>
      <c r="J80" s="8">
        <v>0</v>
      </c>
      <c r="K80" s="8">
        <v>2</v>
      </c>
      <c r="L80" s="8">
        <v>1</v>
      </c>
    </row>
    <row r="81" spans="1:12" x14ac:dyDescent="0.25">
      <c r="A81" s="10">
        <v>46221</v>
      </c>
      <c r="B81" s="8">
        <v>1</v>
      </c>
      <c r="C81" s="8" t="s">
        <v>128</v>
      </c>
      <c r="D81" s="8" t="s">
        <v>129</v>
      </c>
      <c r="E81" s="8" t="s">
        <v>19</v>
      </c>
      <c r="F81" s="8" t="s">
        <v>640</v>
      </c>
      <c r="G81" s="8" t="s">
        <v>112</v>
      </c>
      <c r="H81" s="8">
        <v>90</v>
      </c>
      <c r="I81" s="8">
        <v>0</v>
      </c>
      <c r="J81" s="8">
        <v>0</v>
      </c>
      <c r="K81" s="8">
        <v>3</v>
      </c>
      <c r="L81" s="8">
        <v>1</v>
      </c>
    </row>
    <row r="82" spans="1:12" x14ac:dyDescent="0.25">
      <c r="A82" s="10">
        <v>46221</v>
      </c>
      <c r="B82" s="8">
        <v>1</v>
      </c>
      <c r="C82" s="8" t="s">
        <v>128</v>
      </c>
      <c r="D82" s="8" t="s">
        <v>129</v>
      </c>
      <c r="E82" s="8" t="s">
        <v>19</v>
      </c>
      <c r="F82" s="8" t="s">
        <v>637</v>
      </c>
      <c r="G82" s="8" t="s">
        <v>112</v>
      </c>
      <c r="H82" s="8">
        <v>90</v>
      </c>
      <c r="I82" s="8">
        <v>0</v>
      </c>
      <c r="J82" s="8">
        <v>0</v>
      </c>
      <c r="K82" s="8">
        <v>2</v>
      </c>
      <c r="L82" s="8">
        <v>1</v>
      </c>
    </row>
    <row r="83" spans="1:12" x14ac:dyDescent="0.25">
      <c r="A83" s="10">
        <v>46221</v>
      </c>
      <c r="B83" s="8">
        <v>1</v>
      </c>
      <c r="C83" s="8" t="s">
        <v>129</v>
      </c>
      <c r="D83" s="8" t="s">
        <v>128</v>
      </c>
      <c r="E83" s="8" t="s">
        <v>20</v>
      </c>
      <c r="F83" s="8" t="s">
        <v>225</v>
      </c>
      <c r="G83" s="8" t="s">
        <v>113</v>
      </c>
      <c r="H83" s="8">
        <v>31</v>
      </c>
      <c r="I83" s="8">
        <v>0</v>
      </c>
      <c r="J83" s="8">
        <v>1</v>
      </c>
      <c r="K83" s="8">
        <v>2</v>
      </c>
      <c r="L83" s="8">
        <v>2</v>
      </c>
    </row>
    <row r="84" spans="1:12" x14ac:dyDescent="0.25">
      <c r="A84" s="10">
        <v>46221</v>
      </c>
      <c r="B84" s="8">
        <v>1</v>
      </c>
      <c r="C84" s="8" t="s">
        <v>129</v>
      </c>
      <c r="D84" s="8" t="s">
        <v>128</v>
      </c>
      <c r="E84" s="8" t="s">
        <v>20</v>
      </c>
      <c r="F84" s="8" t="s">
        <v>206</v>
      </c>
      <c r="G84" s="8" t="s">
        <v>112</v>
      </c>
      <c r="H84" s="8">
        <v>90</v>
      </c>
      <c r="I84" s="8">
        <v>1</v>
      </c>
      <c r="J84" s="8">
        <v>0</v>
      </c>
      <c r="K84" s="8">
        <v>1</v>
      </c>
      <c r="L84" s="8">
        <v>1</v>
      </c>
    </row>
    <row r="85" spans="1:12" x14ac:dyDescent="0.25">
      <c r="A85" s="10">
        <v>46221</v>
      </c>
      <c r="B85" s="8">
        <v>1</v>
      </c>
      <c r="C85" s="8" t="s">
        <v>129</v>
      </c>
      <c r="D85" s="8" t="s">
        <v>128</v>
      </c>
      <c r="E85" s="8" t="s">
        <v>20</v>
      </c>
      <c r="F85" s="8" t="s">
        <v>229</v>
      </c>
      <c r="G85" s="8" t="s">
        <v>112</v>
      </c>
      <c r="H85" s="8">
        <v>70</v>
      </c>
      <c r="I85" s="8">
        <v>1</v>
      </c>
      <c r="J85" s="8">
        <v>0</v>
      </c>
      <c r="K85" s="8">
        <v>4</v>
      </c>
      <c r="L85" s="8">
        <v>2</v>
      </c>
    </row>
    <row r="86" spans="1:12" x14ac:dyDescent="0.25">
      <c r="A86" s="10">
        <v>46221</v>
      </c>
      <c r="B86" s="8">
        <v>1</v>
      </c>
      <c r="C86" s="8" t="s">
        <v>129</v>
      </c>
      <c r="D86" s="8" t="s">
        <v>128</v>
      </c>
      <c r="E86" s="8" t="s">
        <v>20</v>
      </c>
      <c r="F86" s="8" t="s">
        <v>215</v>
      </c>
      <c r="G86" s="8" t="s">
        <v>112</v>
      </c>
      <c r="H86" s="8">
        <v>87</v>
      </c>
      <c r="I86" s="8">
        <v>0</v>
      </c>
      <c r="J86" s="8">
        <v>0</v>
      </c>
      <c r="K86" s="8">
        <v>2</v>
      </c>
      <c r="L86" s="8">
        <v>2</v>
      </c>
    </row>
    <row r="87" spans="1:12" x14ac:dyDescent="0.25">
      <c r="A87" s="10">
        <v>46221</v>
      </c>
      <c r="B87" s="8">
        <v>1</v>
      </c>
      <c r="C87" s="8" t="s">
        <v>129</v>
      </c>
      <c r="D87" s="8" t="s">
        <v>128</v>
      </c>
      <c r="E87" s="8" t="s">
        <v>20</v>
      </c>
      <c r="F87" s="8" t="s">
        <v>223</v>
      </c>
      <c r="G87" s="8" t="s">
        <v>112</v>
      </c>
      <c r="H87" s="8">
        <v>90</v>
      </c>
      <c r="I87" s="8">
        <v>0</v>
      </c>
      <c r="J87" s="8">
        <v>0</v>
      </c>
      <c r="K87" s="8">
        <v>2</v>
      </c>
      <c r="L87" s="8">
        <v>2</v>
      </c>
    </row>
    <row r="88" spans="1:12" x14ac:dyDescent="0.25">
      <c r="A88" s="10">
        <v>46221</v>
      </c>
      <c r="B88" s="8">
        <v>1</v>
      </c>
      <c r="C88" s="8" t="s">
        <v>130</v>
      </c>
      <c r="D88" s="8" t="s">
        <v>131</v>
      </c>
      <c r="E88" s="8" t="s">
        <v>19</v>
      </c>
      <c r="F88" s="8" t="s">
        <v>563</v>
      </c>
      <c r="G88" s="8" t="s">
        <v>112</v>
      </c>
      <c r="H88" s="8">
        <v>90</v>
      </c>
      <c r="I88" s="8">
        <v>0</v>
      </c>
      <c r="J88" s="8">
        <v>0</v>
      </c>
      <c r="K88" s="8">
        <v>2</v>
      </c>
      <c r="L88" s="8">
        <v>1</v>
      </c>
    </row>
    <row r="89" spans="1:12" x14ac:dyDescent="0.25">
      <c r="A89" s="10">
        <v>46221</v>
      </c>
      <c r="B89" s="8">
        <v>1</v>
      </c>
      <c r="C89" s="8" t="s">
        <v>131</v>
      </c>
      <c r="D89" s="8" t="s">
        <v>130</v>
      </c>
      <c r="E89" s="8" t="s">
        <v>20</v>
      </c>
      <c r="F89" s="8" t="s">
        <v>394</v>
      </c>
      <c r="G89" s="8" t="s">
        <v>112</v>
      </c>
      <c r="H89" s="8">
        <v>90</v>
      </c>
      <c r="I89" s="8">
        <v>1</v>
      </c>
      <c r="J89" s="8">
        <v>0</v>
      </c>
      <c r="K89" s="8">
        <v>3</v>
      </c>
      <c r="L89" s="8">
        <v>2</v>
      </c>
    </row>
    <row r="90" spans="1:12" x14ac:dyDescent="0.25">
      <c r="A90" s="10">
        <v>46221</v>
      </c>
      <c r="B90" s="8">
        <v>1</v>
      </c>
      <c r="C90" s="8" t="s">
        <v>131</v>
      </c>
      <c r="D90" s="8" t="s">
        <v>130</v>
      </c>
      <c r="E90" s="8" t="s">
        <v>20</v>
      </c>
      <c r="F90" s="8" t="s">
        <v>391</v>
      </c>
      <c r="G90" s="8" t="s">
        <v>112</v>
      </c>
      <c r="H90" s="8">
        <v>89</v>
      </c>
      <c r="I90" s="8">
        <v>0</v>
      </c>
      <c r="J90" s="8">
        <v>1</v>
      </c>
      <c r="K90" s="8">
        <v>2</v>
      </c>
      <c r="L90" s="8">
        <v>1</v>
      </c>
    </row>
    <row r="91" spans="1:12" x14ac:dyDescent="0.25">
      <c r="A91" s="10">
        <v>46221</v>
      </c>
      <c r="B91" s="8">
        <v>1</v>
      </c>
      <c r="C91" s="8" t="s">
        <v>131</v>
      </c>
      <c r="D91" s="8" t="s">
        <v>130</v>
      </c>
      <c r="E91" s="8" t="s">
        <v>20</v>
      </c>
      <c r="F91" s="8" t="s">
        <v>384</v>
      </c>
      <c r="G91" s="8" t="s">
        <v>112</v>
      </c>
      <c r="H91" s="8">
        <v>89</v>
      </c>
      <c r="I91" s="8">
        <v>0</v>
      </c>
      <c r="J91" s="8">
        <v>0</v>
      </c>
      <c r="K91" s="8">
        <v>4</v>
      </c>
      <c r="L91" s="8">
        <v>2</v>
      </c>
    </row>
    <row r="92" spans="1:12" x14ac:dyDescent="0.25">
      <c r="A92" s="10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x14ac:dyDescent="0.25">
      <c r="A93" s="10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x14ac:dyDescent="0.25">
      <c r="A94" s="10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1:12" x14ac:dyDescent="0.25">
      <c r="A95" s="10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2" x14ac:dyDescent="0.25">
      <c r="A96" s="10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 x14ac:dyDescent="0.25">
      <c r="A97" s="10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 x14ac:dyDescent="0.25">
      <c r="A98" s="10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 x14ac:dyDescent="0.25">
      <c r="A99" s="10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 x14ac:dyDescent="0.25">
      <c r="A100" s="10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spans="1:12" x14ac:dyDescent="0.25">
      <c r="A101" s="10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spans="1:12" x14ac:dyDescent="0.25">
      <c r="A102" s="10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 x14ac:dyDescent="0.25">
      <c r="A103" s="10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1:12" x14ac:dyDescent="0.25">
      <c r="A104" s="10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 x14ac:dyDescent="0.25">
      <c r="A105" s="10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1:12" x14ac:dyDescent="0.25">
      <c r="A106" s="10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spans="1:12" x14ac:dyDescent="0.25">
      <c r="A107" s="10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2" x14ac:dyDescent="0.25">
      <c r="A108" s="10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 x14ac:dyDescent="0.25">
      <c r="A109" s="10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 x14ac:dyDescent="0.25">
      <c r="A110" s="10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1:12" x14ac:dyDescent="0.25">
      <c r="A111" s="10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x14ac:dyDescent="0.25">
      <c r="A112" s="10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 x14ac:dyDescent="0.25">
      <c r="A113" s="10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1:12" x14ac:dyDescent="0.25">
      <c r="A114" s="10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 x14ac:dyDescent="0.25">
      <c r="A115" s="10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1:12" x14ac:dyDescent="0.25">
      <c r="A116" s="10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 x14ac:dyDescent="0.25">
      <c r="A117" s="10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 x14ac:dyDescent="0.25">
      <c r="A118" s="10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 x14ac:dyDescent="0.25">
      <c r="A119" s="10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1:12" x14ac:dyDescent="0.25">
      <c r="A120" s="10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1:12" x14ac:dyDescent="0.25">
      <c r="A121" s="10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1:12" x14ac:dyDescent="0.25">
      <c r="A122" s="10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 x14ac:dyDescent="0.25">
      <c r="A123" s="10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x14ac:dyDescent="0.25">
      <c r="A124" s="10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x14ac:dyDescent="0.25">
      <c r="A125" s="10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 x14ac:dyDescent="0.25">
      <c r="A126" s="10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spans="1:12" x14ac:dyDescent="0.25">
      <c r="A127" s="10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spans="1:12" x14ac:dyDescent="0.25">
      <c r="A128" s="10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spans="1:12" x14ac:dyDescent="0.25">
      <c r="A129" s="10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x14ac:dyDescent="0.25">
      <c r="A130" s="10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2" x14ac:dyDescent="0.25">
      <c r="A131" s="10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spans="1:12" x14ac:dyDescent="0.25">
      <c r="A132" s="10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1:12" x14ac:dyDescent="0.25">
      <c r="A133" s="10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spans="1:12" x14ac:dyDescent="0.25">
      <c r="A134" s="10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spans="1:12" x14ac:dyDescent="0.25">
      <c r="A135" s="10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 x14ac:dyDescent="0.25">
      <c r="A136" s="10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spans="1:12" x14ac:dyDescent="0.25">
      <c r="A137" s="10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spans="1:12" x14ac:dyDescent="0.25">
      <c r="A138" s="10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 x14ac:dyDescent="0.25">
      <c r="A139" s="10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spans="1:12" x14ac:dyDescent="0.25">
      <c r="A140" s="10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spans="1:12" x14ac:dyDescent="0.25">
      <c r="A141" s="10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 x14ac:dyDescent="0.25">
      <c r="A142" s="10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spans="1:12" x14ac:dyDescent="0.25">
      <c r="A143" s="10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2" x14ac:dyDescent="0.25">
      <c r="A144" s="10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2" x14ac:dyDescent="0.25">
      <c r="A145" s="10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2" x14ac:dyDescent="0.25">
      <c r="A146" s="10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spans="1:12" x14ac:dyDescent="0.25">
      <c r="A147" s="10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1:12" x14ac:dyDescent="0.25">
      <c r="A148" s="10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spans="1:12" x14ac:dyDescent="0.25">
      <c r="A149" s="10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1:12" x14ac:dyDescent="0.25">
      <c r="A150" s="10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 x14ac:dyDescent="0.25">
      <c r="A151" s="10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spans="1:12" x14ac:dyDescent="0.25">
      <c r="A152" s="10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spans="1:12" x14ac:dyDescent="0.25">
      <c r="A153" s="10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2" x14ac:dyDescent="0.25">
      <c r="A154" s="10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spans="1:12" x14ac:dyDescent="0.25">
      <c r="A155" s="10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spans="1:12" x14ac:dyDescent="0.25">
      <c r="A156" s="10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 x14ac:dyDescent="0.25">
      <c r="A157" s="10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1:12" x14ac:dyDescent="0.25">
      <c r="A158" s="10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spans="1:12" x14ac:dyDescent="0.25">
      <c r="A159" s="10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 x14ac:dyDescent="0.25">
      <c r="A160" s="10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1:12" x14ac:dyDescent="0.25">
      <c r="A161" s="10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 spans="1:12" x14ac:dyDescent="0.25">
      <c r="A162" s="10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spans="1:12" x14ac:dyDescent="0.25">
      <c r="A163" s="10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spans="1:12" x14ac:dyDescent="0.25">
      <c r="A164" s="10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1:12" x14ac:dyDescent="0.25">
      <c r="A165" s="10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2" x14ac:dyDescent="0.25">
      <c r="A166" s="10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spans="1:12" x14ac:dyDescent="0.25">
      <c r="A167" s="10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spans="1:12" x14ac:dyDescent="0.25">
      <c r="A168" s="10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1:12" x14ac:dyDescent="0.25">
      <c r="A169" s="10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spans="1:12" x14ac:dyDescent="0.25">
      <c r="A170" s="10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spans="1:12" x14ac:dyDescent="0.25">
      <c r="A171" s="10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 x14ac:dyDescent="0.25">
      <c r="A172" s="10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spans="1:12" x14ac:dyDescent="0.25">
      <c r="A173" s="10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spans="1:12" x14ac:dyDescent="0.25">
      <c r="A174" s="10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2" x14ac:dyDescent="0.25">
      <c r="A175" s="10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 spans="1:12" x14ac:dyDescent="0.25">
      <c r="A176" s="10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 spans="1:12" x14ac:dyDescent="0.25">
      <c r="A177" s="10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1:12" x14ac:dyDescent="0.25">
      <c r="A178" s="10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spans="1:12" x14ac:dyDescent="0.25">
      <c r="A179" s="10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 spans="1:12" x14ac:dyDescent="0.25">
      <c r="A180" s="10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spans="1:12" x14ac:dyDescent="0.25">
      <c r="A181" s="10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 spans="1:12" x14ac:dyDescent="0.25">
      <c r="A182" s="10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spans="1:12" x14ac:dyDescent="0.25">
      <c r="A183" s="10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spans="1:12" x14ac:dyDescent="0.25">
      <c r="A184" s="10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 spans="1:12" x14ac:dyDescent="0.25">
      <c r="A185" s="10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 spans="1:12" x14ac:dyDescent="0.25">
      <c r="A186" s="10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spans="1:12" x14ac:dyDescent="0.25">
      <c r="A187" s="10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spans="1:12" x14ac:dyDescent="0.25">
      <c r="A188" s="10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spans="1:12" x14ac:dyDescent="0.25">
      <c r="A189" s="10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1:12" x14ac:dyDescent="0.25">
      <c r="A190" s="10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spans="1:12" x14ac:dyDescent="0.25">
      <c r="A191" s="10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 spans="1:12" x14ac:dyDescent="0.25">
      <c r="A192" s="10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spans="1:12" x14ac:dyDescent="0.25">
      <c r="A193" s="10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 spans="1:12" x14ac:dyDescent="0.25">
      <c r="A194" s="10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spans="1:12" x14ac:dyDescent="0.25">
      <c r="A195" s="10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 spans="1:12" x14ac:dyDescent="0.25">
      <c r="A196" s="10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spans="1:12" x14ac:dyDescent="0.25">
      <c r="A197" s="10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 spans="1:12" x14ac:dyDescent="0.25">
      <c r="A198" s="10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 spans="1:12" x14ac:dyDescent="0.25">
      <c r="A199" s="10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spans="1:12" x14ac:dyDescent="0.25">
      <c r="A200" s="10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spans="1:12" x14ac:dyDescent="0.25">
      <c r="A201" s="10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spans="1:12" x14ac:dyDescent="0.25">
      <c r="A202" s="10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 spans="1:12" x14ac:dyDescent="0.25">
      <c r="A203" s="10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 spans="1:12" x14ac:dyDescent="0.25">
      <c r="A204" s="10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x14ac:dyDescent="0.25">
      <c r="A205" s="10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x14ac:dyDescent="0.25">
      <c r="A206" s="10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25">
      <c r="A207" s="10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 spans="1:12" x14ac:dyDescent="0.25">
      <c r="A208" s="10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 spans="1:12" x14ac:dyDescent="0.25">
      <c r="A209" s="10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 spans="1:12" x14ac:dyDescent="0.25">
      <c r="A210" s="10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  <row r="211" spans="1:12" x14ac:dyDescent="0.25">
      <c r="A211" s="10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</row>
    <row r="212" spans="1:12" x14ac:dyDescent="0.25">
      <c r="A212" s="10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</row>
    <row r="213" spans="1:12" x14ac:dyDescent="0.25">
      <c r="A213" s="10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</row>
    <row r="214" spans="1:12" x14ac:dyDescent="0.25">
      <c r="A214" s="10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 spans="1:12" x14ac:dyDescent="0.25">
      <c r="A215" s="10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 spans="1:12" x14ac:dyDescent="0.25">
      <c r="A216" s="10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 spans="1:12" x14ac:dyDescent="0.25">
      <c r="A217" s="10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</row>
    <row r="218" spans="1:12" x14ac:dyDescent="0.25">
      <c r="A218" s="10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 spans="1:12" x14ac:dyDescent="0.25">
      <c r="A219" s="10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 spans="1:12" x14ac:dyDescent="0.25">
      <c r="A220" s="10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spans="1:12" x14ac:dyDescent="0.25">
      <c r="A221" s="10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spans="1:12" x14ac:dyDescent="0.25">
      <c r="A222" s="10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spans="1:12" x14ac:dyDescent="0.25">
      <c r="A223" s="10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spans="1:12" x14ac:dyDescent="0.25">
      <c r="A224" s="10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spans="1:12" x14ac:dyDescent="0.25">
      <c r="A225" s="10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spans="1:12" x14ac:dyDescent="0.25">
      <c r="A226" s="10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spans="1:12" x14ac:dyDescent="0.25">
      <c r="A227" s="10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spans="1:12" x14ac:dyDescent="0.25">
      <c r="A228" s="10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spans="1:12" x14ac:dyDescent="0.25">
      <c r="A229" s="10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spans="1:12" x14ac:dyDescent="0.25">
      <c r="A230" s="10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spans="1:12" x14ac:dyDescent="0.25">
      <c r="A231" s="10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 spans="1:12" x14ac:dyDescent="0.25">
      <c r="A232" s="10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 spans="1:12" x14ac:dyDescent="0.25">
      <c r="A233" s="10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 spans="1:12" x14ac:dyDescent="0.25">
      <c r="A234" s="10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 spans="1:12" x14ac:dyDescent="0.25">
      <c r="A235" s="10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 spans="1:12" x14ac:dyDescent="0.25">
      <c r="A236" s="10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spans="1:12" x14ac:dyDescent="0.25">
      <c r="A237" s="10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 spans="1:12" x14ac:dyDescent="0.25">
      <c r="A238" s="10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 spans="1:12" x14ac:dyDescent="0.25">
      <c r="A239" s="10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 spans="1:12" x14ac:dyDescent="0.25">
      <c r="A240" s="10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 spans="1:12" x14ac:dyDescent="0.25">
      <c r="A241" s="10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 spans="1:12" x14ac:dyDescent="0.25">
      <c r="A242" s="10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 spans="1:12" x14ac:dyDescent="0.25">
      <c r="A243" s="10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 spans="1:12" x14ac:dyDescent="0.25">
      <c r="A244" s="10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spans="1:12" x14ac:dyDescent="0.25">
      <c r="A245" s="10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 spans="1:12" x14ac:dyDescent="0.25">
      <c r="A246" s="10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 spans="1:12" x14ac:dyDescent="0.25">
      <c r="A247" s="10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 spans="1:12" x14ac:dyDescent="0.25">
      <c r="A248" s="10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 spans="1:12" x14ac:dyDescent="0.25">
      <c r="A249" s="10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 spans="1:12" x14ac:dyDescent="0.25">
      <c r="A250" s="10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spans="1:12" x14ac:dyDescent="0.25">
      <c r="A251" s="10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 spans="1:12" x14ac:dyDescent="0.25">
      <c r="A252" s="10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spans="1:12" x14ac:dyDescent="0.25">
      <c r="A253" s="10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 spans="1:12" x14ac:dyDescent="0.25">
      <c r="A254" s="10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 spans="1:12" x14ac:dyDescent="0.25">
      <c r="A255" s="10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 spans="1:12" x14ac:dyDescent="0.25">
      <c r="A256" s="10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 spans="1:12" x14ac:dyDescent="0.25">
      <c r="A257" s="10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spans="1:12" x14ac:dyDescent="0.25">
      <c r="A258" s="10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 spans="1:12" x14ac:dyDescent="0.25">
      <c r="A259" s="10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 spans="1:12" x14ac:dyDescent="0.25">
      <c r="A260" s="10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 spans="1:12" x14ac:dyDescent="0.25">
      <c r="A261" s="10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 spans="1:12" x14ac:dyDescent="0.25">
      <c r="A262" s="10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spans="1:12" x14ac:dyDescent="0.25">
      <c r="A263" s="10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 spans="1:12" x14ac:dyDescent="0.25">
      <c r="A264" s="10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 spans="1:12" x14ac:dyDescent="0.25">
      <c r="A265" s="10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spans="1:12" x14ac:dyDescent="0.25">
      <c r="A266" s="10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 spans="1:12" x14ac:dyDescent="0.25">
      <c r="A267" s="10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spans="1:12" x14ac:dyDescent="0.25">
      <c r="A268" s="10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spans="1:12" x14ac:dyDescent="0.25">
      <c r="A269" s="10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 spans="1:12" x14ac:dyDescent="0.25">
      <c r="A270" s="10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 spans="1:12" x14ac:dyDescent="0.25">
      <c r="A271" s="10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 spans="1:12" x14ac:dyDescent="0.25">
      <c r="A272" s="10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spans="1:12" x14ac:dyDescent="0.25">
      <c r="A273" s="10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 spans="1:12" x14ac:dyDescent="0.25">
      <c r="A274" s="10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spans="1:12" x14ac:dyDescent="0.25">
      <c r="A275" s="10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 spans="1:12" x14ac:dyDescent="0.25">
      <c r="A276" s="10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 spans="1:12" x14ac:dyDescent="0.25">
      <c r="A277" s="10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 spans="1:12" x14ac:dyDescent="0.25">
      <c r="A278" s="10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 spans="1:12" x14ac:dyDescent="0.25">
      <c r="A279" s="10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 spans="1:12" x14ac:dyDescent="0.25">
      <c r="A280" s="10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 spans="1:12" x14ac:dyDescent="0.25">
      <c r="A281" s="10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 spans="1:12" x14ac:dyDescent="0.25">
      <c r="A282" s="10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 spans="1:12" x14ac:dyDescent="0.25">
      <c r="A283" s="10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 spans="1:12" x14ac:dyDescent="0.25">
      <c r="A284" s="10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 spans="1:12" x14ac:dyDescent="0.25">
      <c r="A285" s="10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 spans="1:12" x14ac:dyDescent="0.25">
      <c r="A286" s="10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spans="1:12" x14ac:dyDescent="0.25">
      <c r="A287" s="10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 spans="1:12" x14ac:dyDescent="0.25">
      <c r="A288" s="10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 spans="1:12" x14ac:dyDescent="0.25">
      <c r="A289" s="10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 spans="1:12" x14ac:dyDescent="0.25">
      <c r="A290" s="10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spans="1:12" x14ac:dyDescent="0.25">
      <c r="A291" s="10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 spans="1:12" x14ac:dyDescent="0.25">
      <c r="A292" s="10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 spans="1:12" x14ac:dyDescent="0.25">
      <c r="A293" s="10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spans="1:12" x14ac:dyDescent="0.25">
      <c r="A294" s="10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 spans="1:12" x14ac:dyDescent="0.25">
      <c r="A295" s="10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 spans="1:12" x14ac:dyDescent="0.25">
      <c r="A296" s="10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 spans="1:12" x14ac:dyDescent="0.25">
      <c r="A297" s="10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 spans="1:12" x14ac:dyDescent="0.25">
      <c r="A298" s="10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spans="1:12" x14ac:dyDescent="0.25">
      <c r="A299" s="10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spans="1:12" x14ac:dyDescent="0.25">
      <c r="A300" s="10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spans="1:12" x14ac:dyDescent="0.25">
      <c r="A301" s="10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 spans="1:12" x14ac:dyDescent="0.25">
      <c r="A302" s="10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 spans="1:12" x14ac:dyDescent="0.25">
      <c r="A303" s="10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 spans="1:12" x14ac:dyDescent="0.25">
      <c r="A304" s="10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 spans="1:12" x14ac:dyDescent="0.25">
      <c r="A305" s="10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spans="1:12" x14ac:dyDescent="0.25">
      <c r="A306" s="10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 spans="1:12" x14ac:dyDescent="0.25">
      <c r="A307" s="10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 spans="1:12" x14ac:dyDescent="0.25">
      <c r="A308" s="10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 spans="1:12" x14ac:dyDescent="0.25">
      <c r="A309" s="10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 spans="1:12" x14ac:dyDescent="0.25">
      <c r="A310" s="10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spans="1:12" x14ac:dyDescent="0.25">
      <c r="A311" s="10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 spans="1:12" x14ac:dyDescent="0.25">
      <c r="A312" s="10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 spans="1:12" x14ac:dyDescent="0.25">
      <c r="A313" s="10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spans="1:12" x14ac:dyDescent="0.25">
      <c r="A314" s="10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 spans="1:12" x14ac:dyDescent="0.25">
      <c r="A315" s="10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 spans="1:12" x14ac:dyDescent="0.25">
      <c r="A316" s="10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 spans="1:12" x14ac:dyDescent="0.25">
      <c r="A317" s="10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 spans="1:12" x14ac:dyDescent="0.25">
      <c r="A318" s="10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 spans="1:12" x14ac:dyDescent="0.25">
      <c r="A319" s="10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 spans="1:12" x14ac:dyDescent="0.25">
      <c r="A320" s="10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spans="1:12" x14ac:dyDescent="0.25">
      <c r="A321" s="10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 spans="1:12" x14ac:dyDescent="0.25">
      <c r="A322" s="10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 spans="1:12" x14ac:dyDescent="0.25">
      <c r="A323" s="10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 spans="1:12" x14ac:dyDescent="0.25">
      <c r="A324" s="10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spans="1:12" x14ac:dyDescent="0.25">
      <c r="A325" s="10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 spans="1:12" x14ac:dyDescent="0.25">
      <c r="A326" s="10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 spans="1:12" x14ac:dyDescent="0.25">
      <c r="A327" s="10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 spans="1:12" x14ac:dyDescent="0.25">
      <c r="A328" s="10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spans="1:12" x14ac:dyDescent="0.25">
      <c r="A329" s="10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 spans="1:12" x14ac:dyDescent="0.25">
      <c r="A330" s="10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 spans="1:12" x14ac:dyDescent="0.25">
      <c r="A331" s="10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 spans="1:12" x14ac:dyDescent="0.25">
      <c r="A332" s="10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spans="1:12" x14ac:dyDescent="0.25">
      <c r="A333" s="10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 spans="1:12" x14ac:dyDescent="0.25">
      <c r="A334" s="10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 spans="1:12" x14ac:dyDescent="0.25">
      <c r="A335" s="10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 spans="1:12" x14ac:dyDescent="0.25">
      <c r="A336" s="10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 spans="1:12" x14ac:dyDescent="0.25">
      <c r="A337" s="10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 spans="1:12" x14ac:dyDescent="0.25">
      <c r="A338" s="10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 spans="1:12" x14ac:dyDescent="0.25">
      <c r="A339" s="10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 spans="1:12" x14ac:dyDescent="0.25">
      <c r="A340" s="10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 spans="1:12" x14ac:dyDescent="0.25">
      <c r="A341" s="10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 spans="1:12" x14ac:dyDescent="0.25">
      <c r="A342" s="10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spans="1:12" x14ac:dyDescent="0.25">
      <c r="A343" s="10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 spans="1:12" x14ac:dyDescent="0.25">
      <c r="A344" s="10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spans="1:12" x14ac:dyDescent="0.25">
      <c r="A345" s="10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 spans="1:12" x14ac:dyDescent="0.25">
      <c r="A346" s="10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 spans="1:12" x14ac:dyDescent="0.25">
      <c r="A347" s="10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 spans="1:12" x14ac:dyDescent="0.25">
      <c r="A348" s="10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spans="1:12" x14ac:dyDescent="0.25">
      <c r="A349" s="10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spans="1:12" x14ac:dyDescent="0.25">
      <c r="A350" s="10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spans="1:12" x14ac:dyDescent="0.25">
      <c r="A351" s="10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spans="1:12" x14ac:dyDescent="0.25">
      <c r="A352" s="10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spans="1:12" x14ac:dyDescent="0.25">
      <c r="A353" s="10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 spans="1:12" x14ac:dyDescent="0.25">
      <c r="A354" s="10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spans="1:12" x14ac:dyDescent="0.25">
      <c r="A355" s="10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spans="1:12" x14ac:dyDescent="0.25">
      <c r="A356" s="10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spans="1:12" x14ac:dyDescent="0.25">
      <c r="A357" s="10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spans="1:12" x14ac:dyDescent="0.25">
      <c r="A358" s="10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spans="1:12" x14ac:dyDescent="0.25">
      <c r="A359" s="10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 spans="1:12" x14ac:dyDescent="0.25">
      <c r="A360" s="10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spans="1:12" x14ac:dyDescent="0.25">
      <c r="A361" s="10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spans="1:12" x14ac:dyDescent="0.25">
      <c r="A362" s="10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spans="1:12" x14ac:dyDescent="0.25">
      <c r="A363" s="10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 spans="1:12" x14ac:dyDescent="0.25">
      <c r="A364" s="10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spans="1:12" x14ac:dyDescent="0.25">
      <c r="A365" s="10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spans="1:12" x14ac:dyDescent="0.25">
      <c r="A366" s="10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 spans="1:12" x14ac:dyDescent="0.25">
      <c r="A367" s="10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 spans="1:12" x14ac:dyDescent="0.25">
      <c r="A368" s="10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spans="1:12" x14ac:dyDescent="0.25">
      <c r="A369" s="10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spans="1:12" x14ac:dyDescent="0.25">
      <c r="A370" s="10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spans="1:12" x14ac:dyDescent="0.25">
      <c r="A371" s="10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spans="1:12" x14ac:dyDescent="0.25">
      <c r="A372" s="10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spans="1:12" x14ac:dyDescent="0.25">
      <c r="A373" s="10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spans="1:12" x14ac:dyDescent="0.25">
      <c r="A374" s="10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spans="1:12" x14ac:dyDescent="0.25">
      <c r="A375" s="10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 spans="1:12" x14ac:dyDescent="0.25">
      <c r="A376" s="10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spans="1:12" x14ac:dyDescent="0.25">
      <c r="A377" s="10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 spans="1:12" x14ac:dyDescent="0.25">
      <c r="A378" s="10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spans="1:12" x14ac:dyDescent="0.25">
      <c r="A379" s="10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spans="1:12" x14ac:dyDescent="0.25">
      <c r="A380" s="10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 spans="1:12" x14ac:dyDescent="0.25">
      <c r="A381" s="10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 spans="1:12" x14ac:dyDescent="0.25">
      <c r="A382" s="10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spans="1:12" x14ac:dyDescent="0.25">
      <c r="A383" s="10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spans="1:12" x14ac:dyDescent="0.25">
      <c r="A384" s="10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spans="1:12" x14ac:dyDescent="0.25">
      <c r="A385" s="10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spans="1:12" x14ac:dyDescent="0.25">
      <c r="A386" s="10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spans="1:12" x14ac:dyDescent="0.25">
      <c r="A387" s="10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 spans="1:12" x14ac:dyDescent="0.25">
      <c r="A388" s="10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 spans="1:12" x14ac:dyDescent="0.25">
      <c r="A389" s="10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 spans="1:12" x14ac:dyDescent="0.25">
      <c r="A390" s="10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spans="1:12" x14ac:dyDescent="0.25">
      <c r="A391" s="10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spans="1:12" x14ac:dyDescent="0.25">
      <c r="A392" s="10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spans="1:12" x14ac:dyDescent="0.25">
      <c r="A393" s="10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 spans="1:12" x14ac:dyDescent="0.25">
      <c r="A394" s="10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 spans="1:12" x14ac:dyDescent="0.25">
      <c r="A395" s="10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 spans="1:12" x14ac:dyDescent="0.25">
      <c r="A396" s="10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 spans="1:12" x14ac:dyDescent="0.25">
      <c r="A397" s="10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 spans="1:12" x14ac:dyDescent="0.25">
      <c r="A398" s="10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 spans="1:12" x14ac:dyDescent="0.25">
      <c r="A399" s="10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 spans="1:12" x14ac:dyDescent="0.25">
      <c r="A400" s="10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 spans="1:12" x14ac:dyDescent="0.25">
      <c r="A401" s="10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 spans="1:12" x14ac:dyDescent="0.25">
      <c r="A402" s="10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 spans="1:12" x14ac:dyDescent="0.25">
      <c r="A403" s="10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 spans="1:12" x14ac:dyDescent="0.25">
      <c r="A404" s="10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 spans="1:12" x14ac:dyDescent="0.25">
      <c r="A405" s="10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 spans="1:12" x14ac:dyDescent="0.25">
      <c r="A406" s="10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 spans="1:12" x14ac:dyDescent="0.25">
      <c r="A407" s="10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 spans="1:12" x14ac:dyDescent="0.25">
      <c r="A408" s="10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 spans="1:12" x14ac:dyDescent="0.25">
      <c r="A409" s="10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 spans="1:12" x14ac:dyDescent="0.25">
      <c r="A410" s="10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 spans="1:12" x14ac:dyDescent="0.25">
      <c r="A411" s="10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 spans="1:12" x14ac:dyDescent="0.25">
      <c r="A412" s="10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 spans="1:12" x14ac:dyDescent="0.25">
      <c r="A413" s="10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 spans="1:12" x14ac:dyDescent="0.25">
      <c r="A414" s="10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 spans="1:12" x14ac:dyDescent="0.25">
      <c r="A415" s="10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 spans="1:12" x14ac:dyDescent="0.25">
      <c r="A416" s="10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spans="1:12" x14ac:dyDescent="0.25">
      <c r="A417" s="10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 spans="1:12" x14ac:dyDescent="0.25">
      <c r="A418" s="10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 spans="1:12" x14ac:dyDescent="0.25">
      <c r="A419" s="10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 spans="1:12" x14ac:dyDescent="0.25">
      <c r="A420" s="10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 spans="1:12" x14ac:dyDescent="0.25">
      <c r="A421" s="10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 spans="1:12" x14ac:dyDescent="0.25">
      <c r="A422" s="10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 spans="1:12" x14ac:dyDescent="0.25">
      <c r="A423" s="10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 spans="1:12" x14ac:dyDescent="0.25">
      <c r="A424" s="10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 spans="1:12" x14ac:dyDescent="0.25">
      <c r="A425" s="10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 spans="1:12" x14ac:dyDescent="0.25">
      <c r="A426" s="10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 spans="1:12" x14ac:dyDescent="0.25">
      <c r="A427" s="10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 spans="1:12" x14ac:dyDescent="0.25">
      <c r="A428" s="10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 spans="1:12" x14ac:dyDescent="0.25">
      <c r="A429" s="10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 spans="1:12" x14ac:dyDescent="0.25">
      <c r="A430" s="10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spans="1:12" x14ac:dyDescent="0.25">
      <c r="A431" s="10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 spans="1:12" x14ac:dyDescent="0.25">
      <c r="A432" s="10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 spans="1:12" x14ac:dyDescent="0.25">
      <c r="A433" s="10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 spans="1:12" x14ac:dyDescent="0.25">
      <c r="A434" s="10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spans="1:12" x14ac:dyDescent="0.25">
      <c r="A435" s="10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 spans="1:12" x14ac:dyDescent="0.25">
      <c r="A436" s="10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 spans="1:12" x14ac:dyDescent="0.25">
      <c r="A437" s="10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 spans="1:12" x14ac:dyDescent="0.25">
      <c r="A438" s="10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 spans="1:12" x14ac:dyDescent="0.25">
      <c r="A439" s="10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 spans="1:12" x14ac:dyDescent="0.25">
      <c r="A440" s="10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 spans="1:12" x14ac:dyDescent="0.25">
      <c r="A441" s="10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 spans="1:12" x14ac:dyDescent="0.25">
      <c r="A442" s="10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 spans="1:12" x14ac:dyDescent="0.25">
      <c r="A443" s="10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 spans="1:12" x14ac:dyDescent="0.25">
      <c r="A444" s="10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 spans="1:12" x14ac:dyDescent="0.25">
      <c r="A445" s="10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 spans="1:12" x14ac:dyDescent="0.25">
      <c r="A446" s="10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 spans="1:12" x14ac:dyDescent="0.25">
      <c r="A447" s="10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 spans="1:12" x14ac:dyDescent="0.25">
      <c r="A448" s="10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 spans="1:12" x14ac:dyDescent="0.25">
      <c r="A449" s="10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 spans="1:12" x14ac:dyDescent="0.25">
      <c r="A450" s="10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 spans="1:12" x14ac:dyDescent="0.25">
      <c r="A451" s="10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 spans="1:12" x14ac:dyDescent="0.25">
      <c r="A452" s="10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spans="1:12" x14ac:dyDescent="0.25">
      <c r="A453" s="10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 spans="1:12" x14ac:dyDescent="0.25">
      <c r="A454" s="10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 spans="1:12" x14ac:dyDescent="0.25">
      <c r="A455" s="10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 spans="1:12" x14ac:dyDescent="0.25">
      <c r="A456" s="10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 spans="1:12" x14ac:dyDescent="0.25">
      <c r="A457" s="10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 spans="1:12" x14ac:dyDescent="0.25">
      <c r="A458" s="10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 spans="1:12" x14ac:dyDescent="0.25">
      <c r="A459" s="10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 spans="1:12" x14ac:dyDescent="0.25">
      <c r="A460" s="10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 spans="1:12" x14ac:dyDescent="0.25">
      <c r="A461" s="10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 spans="1:12" x14ac:dyDescent="0.25">
      <c r="A462" s="10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 spans="1:12" x14ac:dyDescent="0.25">
      <c r="A463" s="10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 spans="1:12" x14ac:dyDescent="0.25">
      <c r="A464" s="10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 spans="1:12" x14ac:dyDescent="0.25">
      <c r="A465" s="10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 spans="1:12" x14ac:dyDescent="0.25">
      <c r="A466" s="10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spans="1:12" x14ac:dyDescent="0.25">
      <c r="A467" s="10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 spans="1:12" x14ac:dyDescent="0.25">
      <c r="A468" s="10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 spans="1:12" x14ac:dyDescent="0.25">
      <c r="A469" s="10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 spans="1:12" x14ac:dyDescent="0.25">
      <c r="A470" s="10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 spans="1:12" x14ac:dyDescent="0.25">
      <c r="A471" s="10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 spans="1:12" x14ac:dyDescent="0.25">
      <c r="A472" s="10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 spans="1:12" x14ac:dyDescent="0.25">
      <c r="A473" s="10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 spans="1:12" x14ac:dyDescent="0.25">
      <c r="A474" s="10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 spans="1:12" x14ac:dyDescent="0.25">
      <c r="A475" s="10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 spans="1:12" x14ac:dyDescent="0.25">
      <c r="A476" s="10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 spans="1:12" x14ac:dyDescent="0.25">
      <c r="A477" s="10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 spans="1:12" x14ac:dyDescent="0.25">
      <c r="A478" s="10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 spans="1:12" x14ac:dyDescent="0.25">
      <c r="A479" s="10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 spans="1:12" x14ac:dyDescent="0.25">
      <c r="A480" s="10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 spans="1:12" x14ac:dyDescent="0.25">
      <c r="A481" s="10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 spans="1:12" x14ac:dyDescent="0.25">
      <c r="A482" s="10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 spans="1:12" x14ac:dyDescent="0.25">
      <c r="A483" s="10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 spans="1:12" x14ac:dyDescent="0.25">
      <c r="A484" s="10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 spans="1:12" x14ac:dyDescent="0.25">
      <c r="A485" s="10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 spans="1:12" x14ac:dyDescent="0.25">
      <c r="A486" s="10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 spans="1:12" x14ac:dyDescent="0.25">
      <c r="A487" s="10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 spans="1:12" x14ac:dyDescent="0.25">
      <c r="A488" s="10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 spans="1:12" x14ac:dyDescent="0.25">
      <c r="A489" s="10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 spans="1:12" x14ac:dyDescent="0.25">
      <c r="A490" s="10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 spans="1:12" x14ac:dyDescent="0.25">
      <c r="A491" s="10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 spans="1:12" x14ac:dyDescent="0.25">
      <c r="A492" s="10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 spans="1:12" x14ac:dyDescent="0.25">
      <c r="A493" s="10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 spans="1:12" x14ac:dyDescent="0.25">
      <c r="A494" s="10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 spans="1:12" x14ac:dyDescent="0.25">
      <c r="A495" s="10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 spans="1:12" x14ac:dyDescent="0.25">
      <c r="A496" s="10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 spans="1:12" x14ac:dyDescent="0.25">
      <c r="A497" s="10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 spans="1:12" x14ac:dyDescent="0.25">
      <c r="A498" s="10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 spans="1:12" x14ac:dyDescent="0.25">
      <c r="A499" s="10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 spans="1:12" x14ac:dyDescent="0.25">
      <c r="A500" s="10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 spans="1:12" x14ac:dyDescent="0.25">
      <c r="A501" s="10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 spans="1:12" x14ac:dyDescent="0.25">
      <c r="A502" s="10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 spans="1:12" x14ac:dyDescent="0.25">
      <c r="A503" s="10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 spans="1:12" x14ac:dyDescent="0.25">
      <c r="A504" s="10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 spans="1:12" x14ac:dyDescent="0.25">
      <c r="A505" s="10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 spans="1:12" x14ac:dyDescent="0.25">
      <c r="A506" s="10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 spans="1:12" x14ac:dyDescent="0.25">
      <c r="A507" s="10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 spans="1:12" x14ac:dyDescent="0.25">
      <c r="A508" s="10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 spans="1:12" x14ac:dyDescent="0.25">
      <c r="A509" s="10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 spans="1:12" x14ac:dyDescent="0.25">
      <c r="A510" s="10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spans="1:12" x14ac:dyDescent="0.25">
      <c r="A511" s="10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 spans="1:12" x14ac:dyDescent="0.25">
      <c r="A512" s="10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 spans="1:12" x14ac:dyDescent="0.25">
      <c r="A513" s="10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 spans="1:12" x14ac:dyDescent="0.25">
      <c r="A514" s="10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 spans="1:12" x14ac:dyDescent="0.25">
      <c r="A515" s="10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 spans="1:12" x14ac:dyDescent="0.25">
      <c r="A516" s="10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 spans="1:12" x14ac:dyDescent="0.25">
      <c r="A517" s="10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 spans="1:12" x14ac:dyDescent="0.25">
      <c r="A518" s="10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 spans="1:12" x14ac:dyDescent="0.25">
      <c r="A519" s="10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spans="1:12" x14ac:dyDescent="0.25">
      <c r="A520" s="10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 spans="1:12" x14ac:dyDescent="0.25">
      <c r="A521" s="10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 spans="1:12" x14ac:dyDescent="0.25">
      <c r="A522" s="10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 spans="1:12" x14ac:dyDescent="0.25">
      <c r="A523" s="10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spans="1:12" x14ac:dyDescent="0.25">
      <c r="A524" s="10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spans="1:12" x14ac:dyDescent="0.25">
      <c r="A525" s="10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 spans="1:12" x14ac:dyDescent="0.25">
      <c r="A526" s="10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 spans="1:12" x14ac:dyDescent="0.25">
      <c r="A527" s="10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 spans="1:12" x14ac:dyDescent="0.25">
      <c r="A528" s="10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 spans="1:12" x14ac:dyDescent="0.25">
      <c r="A529" s="10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 spans="1:12" x14ac:dyDescent="0.25">
      <c r="A530" s="10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 spans="1:12" x14ac:dyDescent="0.25">
      <c r="A531" s="10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 spans="1:12" x14ac:dyDescent="0.25">
      <c r="A532" s="10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 spans="1:12" x14ac:dyDescent="0.25">
      <c r="A533" s="10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 spans="1:12" x14ac:dyDescent="0.25">
      <c r="A534" s="10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 spans="1:12" x14ac:dyDescent="0.25">
      <c r="A535" s="10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 spans="1:12" x14ac:dyDescent="0.25">
      <c r="A536" s="10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 spans="1:12" x14ac:dyDescent="0.25">
      <c r="A537" s="10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 spans="1:12" x14ac:dyDescent="0.25">
      <c r="A538" s="10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 spans="1:12" x14ac:dyDescent="0.25">
      <c r="A539" s="10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 spans="1:12" x14ac:dyDescent="0.25">
      <c r="A540" s="10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 spans="1:12" x14ac:dyDescent="0.25">
      <c r="A541" s="10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 spans="1:12" x14ac:dyDescent="0.25">
      <c r="A542" s="10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 spans="1:12" x14ac:dyDescent="0.25">
      <c r="A543" s="10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 spans="1:12" x14ac:dyDescent="0.25">
      <c r="A544" s="10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 spans="1:12" x14ac:dyDescent="0.25">
      <c r="A545" s="10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 spans="1:12" x14ac:dyDescent="0.25">
      <c r="A546" s="10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 spans="1:12" x14ac:dyDescent="0.25">
      <c r="A547" s="10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 spans="1:12" x14ac:dyDescent="0.25">
      <c r="A548" s="10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 spans="1:12" x14ac:dyDescent="0.25">
      <c r="A549" s="10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 spans="1:12" x14ac:dyDescent="0.25">
      <c r="A550" s="10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 spans="1:12" x14ac:dyDescent="0.25">
      <c r="A551" s="10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 spans="1:12" x14ac:dyDescent="0.25">
      <c r="A552" s="10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 spans="1:12" x14ac:dyDescent="0.25">
      <c r="A553" s="10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 spans="1:12" x14ac:dyDescent="0.25">
      <c r="A554" s="10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 spans="1:12" x14ac:dyDescent="0.25">
      <c r="A555" s="10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 spans="1:12" x14ac:dyDescent="0.25">
      <c r="A556" s="10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 spans="1:12" x14ac:dyDescent="0.25">
      <c r="A557" s="10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 spans="1:12" x14ac:dyDescent="0.25">
      <c r="A558" s="10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 spans="1:12" x14ac:dyDescent="0.25">
      <c r="A559" s="10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 spans="1:12" x14ac:dyDescent="0.25">
      <c r="A560" s="10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 spans="1:12" x14ac:dyDescent="0.25">
      <c r="A561" s="10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 spans="1:12" x14ac:dyDescent="0.25">
      <c r="A562" s="10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 spans="1:12" x14ac:dyDescent="0.25">
      <c r="A563" s="10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 spans="1:12" x14ac:dyDescent="0.25">
      <c r="A564" s="10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 spans="1:12" x14ac:dyDescent="0.25">
      <c r="A565" s="10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 spans="1:12" x14ac:dyDescent="0.25">
      <c r="A566" s="10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 spans="1:12" x14ac:dyDescent="0.25">
      <c r="A567" s="10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 spans="1:12" x14ac:dyDescent="0.25">
      <c r="A568" s="10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 spans="1:12" x14ac:dyDescent="0.25">
      <c r="A569" s="10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 spans="1:12" x14ac:dyDescent="0.25">
      <c r="A570" s="10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 spans="1:12" x14ac:dyDescent="0.25">
      <c r="A571" s="10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 spans="1:12" x14ac:dyDescent="0.25">
      <c r="A572" s="10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 spans="1:12" x14ac:dyDescent="0.25">
      <c r="A573" s="10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 spans="1:12" x14ac:dyDescent="0.25">
      <c r="A574" s="10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 spans="1:12" x14ac:dyDescent="0.25">
      <c r="A575" s="10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 spans="1:12" x14ac:dyDescent="0.25">
      <c r="A576" s="10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 spans="1:12" x14ac:dyDescent="0.25">
      <c r="A577" s="10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 spans="1:12" x14ac:dyDescent="0.25">
      <c r="A578" s="10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 spans="1:12" x14ac:dyDescent="0.25">
      <c r="A579" s="10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 spans="1:12" x14ac:dyDescent="0.25">
      <c r="A580" s="10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 spans="1:12" x14ac:dyDescent="0.25">
      <c r="A581" s="10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 spans="1:12" x14ac:dyDescent="0.25">
      <c r="A582" s="10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 spans="1:12" x14ac:dyDescent="0.25">
      <c r="A583" s="10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 spans="1:12" x14ac:dyDescent="0.25">
      <c r="A584" s="10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 spans="1:12" x14ac:dyDescent="0.25">
      <c r="A585" s="10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 spans="1:12" x14ac:dyDescent="0.25">
      <c r="A586" s="10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 spans="1:12" x14ac:dyDescent="0.25">
      <c r="A587" s="10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 spans="1:12" x14ac:dyDescent="0.25">
      <c r="A588" s="10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 spans="1:12" x14ac:dyDescent="0.25">
      <c r="A589" s="10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 spans="1:12" x14ac:dyDescent="0.25">
      <c r="A590" s="10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 spans="1:12" x14ac:dyDescent="0.25">
      <c r="A591" s="10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 spans="1:12" x14ac:dyDescent="0.25">
      <c r="A592" s="10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 spans="1:12" x14ac:dyDescent="0.25">
      <c r="A593" s="10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 spans="1:12" x14ac:dyDescent="0.25">
      <c r="A594" s="10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 spans="1:12" x14ac:dyDescent="0.25">
      <c r="A595" s="10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 spans="1:12" x14ac:dyDescent="0.25">
      <c r="A596" s="10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 spans="1:12" x14ac:dyDescent="0.25">
      <c r="A597" s="10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 spans="1:12" x14ac:dyDescent="0.25">
      <c r="A598" s="10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 spans="1:12" x14ac:dyDescent="0.25">
      <c r="A599" s="10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 spans="1:12" x14ac:dyDescent="0.25">
      <c r="A600" s="10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 spans="1:12" x14ac:dyDescent="0.25">
      <c r="A601" s="10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 spans="1:12" x14ac:dyDescent="0.25">
      <c r="A602" s="10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 spans="1:12" x14ac:dyDescent="0.25">
      <c r="A603" s="10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 spans="1:12" x14ac:dyDescent="0.25">
      <c r="A604" s="10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 spans="1:12" x14ac:dyDescent="0.25">
      <c r="A605" s="10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 spans="1:12" x14ac:dyDescent="0.25">
      <c r="A606" s="10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 spans="1:12" x14ac:dyDescent="0.25">
      <c r="A607" s="10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 spans="1:12" x14ac:dyDescent="0.25">
      <c r="A608" s="10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 spans="1:12" x14ac:dyDescent="0.25">
      <c r="A609" s="10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 spans="1:12" x14ac:dyDescent="0.25">
      <c r="A610" s="10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 spans="1:12" x14ac:dyDescent="0.25">
      <c r="A611" s="10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 spans="1:12" x14ac:dyDescent="0.25">
      <c r="A612" s="10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 spans="1:12" x14ac:dyDescent="0.25">
      <c r="A613" s="10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 spans="1:12" x14ac:dyDescent="0.25">
      <c r="A614" s="10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 spans="1:12" x14ac:dyDescent="0.25">
      <c r="A615" s="10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 spans="1:12" x14ac:dyDescent="0.25">
      <c r="A616" s="10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 spans="1:12" x14ac:dyDescent="0.25">
      <c r="A617" s="10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 spans="1:12" x14ac:dyDescent="0.25">
      <c r="A618" s="10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 spans="1:12" x14ac:dyDescent="0.25">
      <c r="A619" s="10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 spans="1:12" x14ac:dyDescent="0.25">
      <c r="A620" s="10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 spans="1:12" x14ac:dyDescent="0.25">
      <c r="A621" s="10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 spans="1:12" x14ac:dyDescent="0.25">
      <c r="A622" s="10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 spans="1:12" x14ac:dyDescent="0.25">
      <c r="A623" s="10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 spans="1:12" x14ac:dyDescent="0.25">
      <c r="A624" s="10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 spans="1:12" x14ac:dyDescent="0.25">
      <c r="A625" s="10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 spans="1:12" x14ac:dyDescent="0.25">
      <c r="A626" s="10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 spans="1:12" x14ac:dyDescent="0.25">
      <c r="A627" s="10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 spans="1:12" x14ac:dyDescent="0.25">
      <c r="A628" s="10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 spans="1:12" x14ac:dyDescent="0.25">
      <c r="A629" s="10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 spans="1:12" x14ac:dyDescent="0.25">
      <c r="A630" s="10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 spans="1:12" x14ac:dyDescent="0.25">
      <c r="A631" s="10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 spans="1:12" x14ac:dyDescent="0.25">
      <c r="A632" s="10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 spans="1:12" x14ac:dyDescent="0.25">
      <c r="A633" s="10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</row>
    <row r="634" spans="1:12" x14ac:dyDescent="0.25">
      <c r="A634" s="10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 spans="1:12" x14ac:dyDescent="0.25">
      <c r="A635" s="10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 spans="1:12" x14ac:dyDescent="0.25">
      <c r="A636" s="10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 spans="1:12" x14ac:dyDescent="0.25">
      <c r="A637" s="10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</row>
    <row r="638" spans="1:12" x14ac:dyDescent="0.25">
      <c r="A638" s="10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 spans="1:12" x14ac:dyDescent="0.25">
      <c r="A639" s="10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 spans="1:12" x14ac:dyDescent="0.25">
      <c r="A640" s="10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 spans="1:12" x14ac:dyDescent="0.25">
      <c r="A641" s="10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 spans="1:12" x14ac:dyDescent="0.25">
      <c r="A642" s="10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 spans="1:12" x14ac:dyDescent="0.25">
      <c r="A643" s="10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</row>
    <row r="644" spans="1:12" x14ac:dyDescent="0.25">
      <c r="A644" s="10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 spans="1:12" x14ac:dyDescent="0.25">
      <c r="A645" s="10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 spans="1:12" x14ac:dyDescent="0.25">
      <c r="A646" s="10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 spans="1:12" x14ac:dyDescent="0.25">
      <c r="A647" s="10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 spans="1:12" x14ac:dyDescent="0.25">
      <c r="A648" s="10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 spans="1:12" x14ac:dyDescent="0.25">
      <c r="A649" s="10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 spans="1:12" x14ac:dyDescent="0.25">
      <c r="A650" s="10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 spans="1:12" x14ac:dyDescent="0.25">
      <c r="A651" s="10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 spans="1:12" x14ac:dyDescent="0.25">
      <c r="A652" s="10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 spans="1:12" x14ac:dyDescent="0.25">
      <c r="A653" s="10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 spans="1:12" x14ac:dyDescent="0.25">
      <c r="A654" s="10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 spans="1:12" x14ac:dyDescent="0.25">
      <c r="A655" s="10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</row>
    <row r="656" spans="1:12" x14ac:dyDescent="0.25">
      <c r="A656" s="10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 spans="1:12" x14ac:dyDescent="0.25">
      <c r="A657" s="10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 spans="1:12" x14ac:dyDescent="0.25">
      <c r="A658" s="10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 spans="1:12" x14ac:dyDescent="0.25">
      <c r="A659" s="10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 spans="1:12" x14ac:dyDescent="0.25">
      <c r="A660" s="10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 spans="1:12" x14ac:dyDescent="0.25">
      <c r="A661" s="10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</row>
    <row r="662" spans="1:12" x14ac:dyDescent="0.25">
      <c r="A662" s="10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 spans="1:12" x14ac:dyDescent="0.25">
      <c r="A663" s="10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 spans="1:12" x14ac:dyDescent="0.25">
      <c r="A664" s="10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 spans="1:12" x14ac:dyDescent="0.25">
      <c r="A665" s="10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</row>
    <row r="666" spans="1:12" x14ac:dyDescent="0.25">
      <c r="A666" s="10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 spans="1:12" x14ac:dyDescent="0.25">
      <c r="A667" s="10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 spans="1:12" x14ac:dyDescent="0.25">
      <c r="A668" s="10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 spans="1:12" x14ac:dyDescent="0.25">
      <c r="A669" s="10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 spans="1:12" x14ac:dyDescent="0.25">
      <c r="A670" s="10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 spans="1:12" x14ac:dyDescent="0.25">
      <c r="A671" s="10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 spans="1:12" x14ac:dyDescent="0.25">
      <c r="A672" s="10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 spans="1:12" x14ac:dyDescent="0.25">
      <c r="A673" s="10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</row>
    <row r="674" spans="1:12" x14ac:dyDescent="0.25">
      <c r="A674" s="10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 spans="1:12" x14ac:dyDescent="0.25">
      <c r="A675" s="10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 spans="1:12" x14ac:dyDescent="0.25">
      <c r="A676" s="10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 spans="1:12" x14ac:dyDescent="0.25">
      <c r="A677" s="10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</row>
    <row r="678" spans="1:12" x14ac:dyDescent="0.25">
      <c r="A678" s="10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 spans="1:12" x14ac:dyDescent="0.25">
      <c r="A679" s="10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</row>
    <row r="680" spans="1:12" x14ac:dyDescent="0.25">
      <c r="A680" s="10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 spans="1:12" x14ac:dyDescent="0.25">
      <c r="A681" s="10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 spans="1:12" x14ac:dyDescent="0.25">
      <c r="A682" s="10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 spans="1:12" x14ac:dyDescent="0.25">
      <c r="A683" s="10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 spans="1:12" x14ac:dyDescent="0.25">
      <c r="A684" s="10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 spans="1:12" x14ac:dyDescent="0.25">
      <c r="A685" s="10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 spans="1:12" x14ac:dyDescent="0.25">
      <c r="A686" s="10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 spans="1:12" x14ac:dyDescent="0.25">
      <c r="A687" s="10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 spans="1:12" x14ac:dyDescent="0.25">
      <c r="A688" s="10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 spans="1:12" x14ac:dyDescent="0.25">
      <c r="A689" s="10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 spans="1:12" x14ac:dyDescent="0.25">
      <c r="A690" s="10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 spans="1:12" x14ac:dyDescent="0.25">
      <c r="A691" s="10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 spans="1:12" x14ac:dyDescent="0.25">
      <c r="A692" s="10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 spans="1:12" x14ac:dyDescent="0.25">
      <c r="A693" s="10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 spans="1:12" x14ac:dyDescent="0.25">
      <c r="A694" s="10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 spans="1:12" x14ac:dyDescent="0.25">
      <c r="A695" s="10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 spans="1:12" x14ac:dyDescent="0.25">
      <c r="A696" s="10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 spans="1:12" x14ac:dyDescent="0.25">
      <c r="A697" s="10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</row>
    <row r="698" spans="1:12" x14ac:dyDescent="0.25">
      <c r="A698" s="10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 spans="1:12" x14ac:dyDescent="0.25">
      <c r="A699" s="10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 spans="1:12" x14ac:dyDescent="0.25">
      <c r="A700" s="10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 spans="1:12" x14ac:dyDescent="0.25">
      <c r="A701" s="10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 spans="1:12" x14ac:dyDescent="0.25">
      <c r="A702" s="10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 spans="1:12" x14ac:dyDescent="0.25">
      <c r="A703" s="10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 spans="1:12" x14ac:dyDescent="0.25">
      <c r="A704" s="10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 spans="1:12" x14ac:dyDescent="0.25">
      <c r="A705" s="10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 spans="1:12" x14ac:dyDescent="0.25">
      <c r="A706" s="10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 spans="1:12" x14ac:dyDescent="0.25">
      <c r="A707" s="10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 spans="1:12" x14ac:dyDescent="0.25">
      <c r="A708" s="10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 spans="1:12" x14ac:dyDescent="0.25">
      <c r="A709" s="10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</row>
    <row r="710" spans="1:12" x14ac:dyDescent="0.25">
      <c r="A710" s="10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 spans="1:12" x14ac:dyDescent="0.25">
      <c r="A711" s="10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 spans="1:12" x14ac:dyDescent="0.25">
      <c r="A712" s="10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 spans="1:12" x14ac:dyDescent="0.25">
      <c r="A713" s="10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 spans="1:12" x14ac:dyDescent="0.25">
      <c r="A714" s="10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 spans="1:12" x14ac:dyDescent="0.25">
      <c r="A715" s="10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 spans="1:12" x14ac:dyDescent="0.25">
      <c r="A716" s="10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 spans="1:12" x14ac:dyDescent="0.25">
      <c r="A717" s="10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 spans="1:12" x14ac:dyDescent="0.25">
      <c r="A718" s="10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 spans="1:12" x14ac:dyDescent="0.25">
      <c r="A719" s="10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 spans="1:12" x14ac:dyDescent="0.25">
      <c r="A720" s="10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 spans="1:12" x14ac:dyDescent="0.25">
      <c r="A721" s="10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 spans="1:12" x14ac:dyDescent="0.25">
      <c r="A722" s="10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 spans="1:12" x14ac:dyDescent="0.25">
      <c r="A723" s="10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 spans="1:12" x14ac:dyDescent="0.25">
      <c r="A724" s="10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 spans="1:12" x14ac:dyDescent="0.25">
      <c r="A725" s="10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 spans="1:12" x14ac:dyDescent="0.25">
      <c r="A726" s="10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 spans="1:12" x14ac:dyDescent="0.25">
      <c r="A727" s="10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 spans="1:12" x14ac:dyDescent="0.25">
      <c r="A728" s="10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 spans="1:12" x14ac:dyDescent="0.25">
      <c r="A729" s="10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</row>
    <row r="730" spans="1:12" x14ac:dyDescent="0.25">
      <c r="A730" s="10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 spans="1:12" x14ac:dyDescent="0.25">
      <c r="A731" s="10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 spans="1:12" x14ac:dyDescent="0.25">
      <c r="A732" s="10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 spans="1:12" x14ac:dyDescent="0.25">
      <c r="A733" s="10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</row>
    <row r="734" spans="1:12" x14ac:dyDescent="0.25">
      <c r="A734" s="10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 spans="1:12" x14ac:dyDescent="0.25">
      <c r="A735" s="10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 spans="1:12" x14ac:dyDescent="0.25">
      <c r="A736" s="10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 spans="1:12" x14ac:dyDescent="0.25">
      <c r="A737" s="10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 spans="1:12" x14ac:dyDescent="0.25">
      <c r="A738" s="10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 spans="1:12" x14ac:dyDescent="0.25">
      <c r="A739" s="10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 spans="1:12" x14ac:dyDescent="0.25">
      <c r="A740" s="10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 spans="1:12" x14ac:dyDescent="0.25">
      <c r="A741" s="10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 spans="1:12" x14ac:dyDescent="0.25">
      <c r="A742" s="10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 spans="1:12" x14ac:dyDescent="0.25">
      <c r="A743" s="10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 spans="1:12" x14ac:dyDescent="0.25">
      <c r="A744" s="10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 spans="1:12" x14ac:dyDescent="0.25">
      <c r="A745" s="10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 spans="1:12" x14ac:dyDescent="0.25">
      <c r="A746" s="10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 spans="1:12" x14ac:dyDescent="0.25">
      <c r="A747" s="10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</row>
    <row r="748" spans="1:12" x14ac:dyDescent="0.25">
      <c r="A748" s="10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 spans="1:12" x14ac:dyDescent="0.25">
      <c r="A749" s="10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</row>
    <row r="750" spans="1:12" x14ac:dyDescent="0.25">
      <c r="A750" s="10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 spans="1:12" x14ac:dyDescent="0.25">
      <c r="A751" s="10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 spans="1:12" x14ac:dyDescent="0.25">
      <c r="A752" s="10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 spans="1:12" x14ac:dyDescent="0.25">
      <c r="A753" s="10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</row>
    <row r="754" spans="1:12" x14ac:dyDescent="0.25">
      <c r="A754" s="10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 spans="1:12" x14ac:dyDescent="0.25">
      <c r="A755" s="10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 spans="1:12" x14ac:dyDescent="0.25">
      <c r="A756" s="10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 spans="1:12" x14ac:dyDescent="0.25">
      <c r="A757" s="10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</row>
    <row r="758" spans="1:12" x14ac:dyDescent="0.25">
      <c r="A758" s="10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 spans="1:12" x14ac:dyDescent="0.25">
      <c r="A759" s="10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</row>
    <row r="760" spans="1:12" x14ac:dyDescent="0.25">
      <c r="A760" s="10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 spans="1:12" x14ac:dyDescent="0.25">
      <c r="A761" s="10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 spans="1:12" x14ac:dyDescent="0.25">
      <c r="A762" s="10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 spans="1:12" x14ac:dyDescent="0.25">
      <c r="A763" s="10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 spans="1:12" x14ac:dyDescent="0.25">
      <c r="A764" s="10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 spans="1:12" x14ac:dyDescent="0.25">
      <c r="A765" s="10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</row>
    <row r="766" spans="1:12" x14ac:dyDescent="0.25">
      <c r="A766" s="10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 spans="1:12" x14ac:dyDescent="0.25">
      <c r="A767" s="10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</row>
    <row r="768" spans="1:12" x14ac:dyDescent="0.25">
      <c r="A768" s="10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 spans="1:12" x14ac:dyDescent="0.25">
      <c r="A769" s="10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 spans="1:12" x14ac:dyDescent="0.25">
      <c r="A770" s="10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 spans="1:12" x14ac:dyDescent="0.25">
      <c r="A771" s="10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 spans="1:12" x14ac:dyDescent="0.25">
      <c r="A772" s="10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 spans="1:12" x14ac:dyDescent="0.25">
      <c r="A773" s="10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</row>
    <row r="774" spans="1:12" x14ac:dyDescent="0.25">
      <c r="A774" s="10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 spans="1:12" x14ac:dyDescent="0.25">
      <c r="A775" s="10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</row>
    <row r="776" spans="1:12" x14ac:dyDescent="0.25">
      <c r="A776" s="10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 spans="1:12" x14ac:dyDescent="0.25">
      <c r="A777" s="10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</row>
    <row r="778" spans="1:12" x14ac:dyDescent="0.25">
      <c r="A778" s="10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 spans="1:12" x14ac:dyDescent="0.25">
      <c r="A779" s="10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</row>
    <row r="780" spans="1:12" x14ac:dyDescent="0.25">
      <c r="A780" s="10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 spans="1:12" x14ac:dyDescent="0.25">
      <c r="A781" s="10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</row>
    <row r="782" spans="1:12" x14ac:dyDescent="0.25">
      <c r="A782" s="10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 spans="1:12" x14ac:dyDescent="0.25">
      <c r="A783" s="10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 spans="1:12" x14ac:dyDescent="0.25">
      <c r="A784" s="10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 spans="1:12" x14ac:dyDescent="0.25">
      <c r="A785" s="10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 spans="1:12" x14ac:dyDescent="0.25">
      <c r="A786" s="10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 spans="1:12" x14ac:dyDescent="0.25">
      <c r="A787" s="10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 spans="1:12" x14ac:dyDescent="0.25">
      <c r="A788" s="10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 spans="1:12" x14ac:dyDescent="0.25">
      <c r="A789" s="10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 spans="1:12" x14ac:dyDescent="0.25">
      <c r="A790" s="10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 spans="1:12" x14ac:dyDescent="0.25">
      <c r="A791" s="10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</row>
    <row r="792" spans="1:12" x14ac:dyDescent="0.25">
      <c r="A792" s="10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 spans="1:12" x14ac:dyDescent="0.25">
      <c r="A793" s="10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</row>
    <row r="794" spans="1:12" x14ac:dyDescent="0.25">
      <c r="A794" s="10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 spans="1:12" x14ac:dyDescent="0.25">
      <c r="A795" s="10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 spans="1:12" x14ac:dyDescent="0.25">
      <c r="A796" s="10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 spans="1:12" x14ac:dyDescent="0.25">
      <c r="A797" s="10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 spans="1:12" x14ac:dyDescent="0.25">
      <c r="A798" s="10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 spans="1:12" x14ac:dyDescent="0.25">
      <c r="A799" s="10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</row>
    <row r="800" spans="1:12" x14ac:dyDescent="0.25">
      <c r="A800" s="10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 spans="1:12" x14ac:dyDescent="0.25">
      <c r="A801" s="10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 spans="1:12" x14ac:dyDescent="0.25">
      <c r="A802" s="10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 spans="1:12" x14ac:dyDescent="0.25">
      <c r="A803" s="10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 spans="1:12" x14ac:dyDescent="0.25">
      <c r="A804" s="10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 spans="1:12" x14ac:dyDescent="0.25">
      <c r="A805" s="10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 spans="1:12" x14ac:dyDescent="0.25">
      <c r="A806" s="10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 spans="1:12" x14ac:dyDescent="0.25">
      <c r="A807" s="10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 spans="1:12" x14ac:dyDescent="0.25">
      <c r="A808" s="10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 spans="1:12" x14ac:dyDescent="0.25">
      <c r="A809" s="10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 spans="1:12" x14ac:dyDescent="0.25">
      <c r="A810" s="10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 spans="1:12" x14ac:dyDescent="0.25">
      <c r="A811" s="10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 spans="1:12" x14ac:dyDescent="0.25">
      <c r="A812" s="10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 spans="1:12" x14ac:dyDescent="0.25">
      <c r="A813" s="10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</row>
    <row r="814" spans="1:12" x14ac:dyDescent="0.25">
      <c r="A814" s="10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 spans="1:12" x14ac:dyDescent="0.25">
      <c r="A815" s="10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</row>
    <row r="816" spans="1:12" x14ac:dyDescent="0.25">
      <c r="A816" s="10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 spans="1:12" x14ac:dyDescent="0.25">
      <c r="A817" s="10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 spans="1:12" x14ac:dyDescent="0.25">
      <c r="A818" s="10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 spans="1:12" x14ac:dyDescent="0.25">
      <c r="A819" s="10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</row>
    <row r="820" spans="1:12" x14ac:dyDescent="0.25">
      <c r="A820" s="10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 spans="1:12" x14ac:dyDescent="0.25">
      <c r="A821" s="10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</row>
    <row r="822" spans="1:12" x14ac:dyDescent="0.25">
      <c r="A822" s="10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 spans="1:12" x14ac:dyDescent="0.25">
      <c r="A823" s="10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</row>
    <row r="824" spans="1:12" x14ac:dyDescent="0.25">
      <c r="A824" s="10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 spans="1:12" x14ac:dyDescent="0.25">
      <c r="A825" s="10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 spans="1:12" x14ac:dyDescent="0.25">
      <c r="A826" s="10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 spans="1:12" x14ac:dyDescent="0.25">
      <c r="A827" s="10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 spans="1:12" x14ac:dyDescent="0.25">
      <c r="A828" s="10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 spans="1:12" x14ac:dyDescent="0.25">
      <c r="A829" s="10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 spans="1:12" x14ac:dyDescent="0.25">
      <c r="A830" s="10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 spans="1:12" x14ac:dyDescent="0.25">
      <c r="A831" s="10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 spans="1:12" x14ac:dyDescent="0.25">
      <c r="A832" s="10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 spans="1:12" x14ac:dyDescent="0.25">
      <c r="A833" s="10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</row>
    <row r="834" spans="1:12" x14ac:dyDescent="0.25">
      <c r="A834" s="10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 spans="1:12" x14ac:dyDescent="0.25">
      <c r="A835" s="10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</row>
    <row r="836" spans="1:12" x14ac:dyDescent="0.25">
      <c r="A836" s="10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 spans="1:12" x14ac:dyDescent="0.25">
      <c r="A837" s="10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 spans="1:12" x14ac:dyDescent="0.25">
      <c r="A838" s="10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 spans="1:12" x14ac:dyDescent="0.25">
      <c r="A839" s="10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</row>
    <row r="840" spans="1:12" x14ac:dyDescent="0.25">
      <c r="A840" s="10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 spans="1:12" x14ac:dyDescent="0.25">
      <c r="A841" s="10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 spans="1:12" x14ac:dyDescent="0.25">
      <c r="A842" s="10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 spans="1:12" x14ac:dyDescent="0.25">
      <c r="A843" s="10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</row>
    <row r="844" spans="1:12" x14ac:dyDescent="0.25">
      <c r="A844" s="10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 spans="1:12" x14ac:dyDescent="0.25">
      <c r="A845" s="10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</row>
    <row r="846" spans="1:12" x14ac:dyDescent="0.25">
      <c r="A846" s="10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 spans="1:12" x14ac:dyDescent="0.25">
      <c r="A847" s="10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</row>
    <row r="848" spans="1:12" x14ac:dyDescent="0.25">
      <c r="A848" s="10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 spans="1:12" x14ac:dyDescent="0.25">
      <c r="A849" s="10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</row>
    <row r="850" spans="1:12" x14ac:dyDescent="0.25">
      <c r="A850" s="10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 spans="1:12" x14ac:dyDescent="0.25">
      <c r="A851" s="10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 spans="1:12" x14ac:dyDescent="0.25">
      <c r="A852" s="10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 spans="1:12" x14ac:dyDescent="0.25">
      <c r="A853" s="10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 spans="1:12" x14ac:dyDescent="0.25">
      <c r="A854" s="10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 spans="1:12" x14ac:dyDescent="0.25">
      <c r="A855" s="10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 spans="1:12" x14ac:dyDescent="0.25">
      <c r="A856" s="10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 spans="1:12" x14ac:dyDescent="0.25">
      <c r="A857" s="10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 spans="1:12" x14ac:dyDescent="0.25">
      <c r="A858" s="10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 spans="1:12" x14ac:dyDescent="0.25">
      <c r="A859" s="10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 spans="1:12" x14ac:dyDescent="0.25">
      <c r="A860" s="10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 spans="1:12" x14ac:dyDescent="0.25">
      <c r="A861" s="10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spans="1:12" x14ac:dyDescent="0.25">
      <c r="A862" s="10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 spans="1:12" x14ac:dyDescent="0.25">
      <c r="A863" s="10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</row>
    <row r="864" spans="1:12" x14ac:dyDescent="0.25">
      <c r="A864" s="10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 spans="1:12" x14ac:dyDescent="0.25">
      <c r="A865" s="10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 spans="1:12" x14ac:dyDescent="0.25">
      <c r="A866" s="10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 spans="1:12" x14ac:dyDescent="0.25">
      <c r="A867" s="10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 spans="1:12" x14ac:dyDescent="0.25">
      <c r="A868" s="10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 spans="1:12" x14ac:dyDescent="0.25">
      <c r="A869" s="10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 spans="1:12" x14ac:dyDescent="0.25">
      <c r="A870" s="10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 spans="1:12" x14ac:dyDescent="0.25">
      <c r="A871" s="10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</row>
    <row r="872" spans="1:12" x14ac:dyDescent="0.25">
      <c r="A872" s="10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 spans="1:12" x14ac:dyDescent="0.25">
      <c r="A873" s="10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 spans="1:12" x14ac:dyDescent="0.25">
      <c r="A874" s="10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 spans="1:12" x14ac:dyDescent="0.25">
      <c r="A875" s="10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 spans="1:12" x14ac:dyDescent="0.25">
      <c r="A876" s="10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 spans="1:12" x14ac:dyDescent="0.25">
      <c r="A877" s="10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 spans="1:12" x14ac:dyDescent="0.25">
      <c r="A878" s="10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 spans="1:12" x14ac:dyDescent="0.25">
      <c r="A879" s="10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</row>
    <row r="880" spans="1:12" x14ac:dyDescent="0.25">
      <c r="A880" s="10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 spans="1:12" x14ac:dyDescent="0.25">
      <c r="A881" s="10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 spans="1:12" x14ac:dyDescent="0.25">
      <c r="A882" s="10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 spans="1:12" x14ac:dyDescent="0.25">
      <c r="A883" s="10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 spans="1:12" x14ac:dyDescent="0.25">
      <c r="A884" s="10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 spans="1:12" x14ac:dyDescent="0.25">
      <c r="A885" s="10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</row>
    <row r="886" spans="1:12" x14ac:dyDescent="0.25">
      <c r="A886" s="10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 spans="1:12" x14ac:dyDescent="0.25">
      <c r="A887" s="10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 spans="1:12" x14ac:dyDescent="0.25">
      <c r="A888" s="10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 spans="1:12" x14ac:dyDescent="0.25">
      <c r="A889" s="10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</row>
    <row r="890" spans="1:12" x14ac:dyDescent="0.25">
      <c r="A890" s="10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 spans="1:12" x14ac:dyDescent="0.25">
      <c r="A891" s="10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 spans="1:12" x14ac:dyDescent="0.25">
      <c r="A892" s="10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 spans="1:12" x14ac:dyDescent="0.25">
      <c r="A893" s="10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 spans="1:12" x14ac:dyDescent="0.25">
      <c r="A894" s="10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 spans="1:12" x14ac:dyDescent="0.25">
      <c r="A895" s="10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 spans="1:12" x14ac:dyDescent="0.25">
      <c r="A896" s="10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 spans="1:12" x14ac:dyDescent="0.25">
      <c r="A897" s="10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 spans="1:12" x14ac:dyDescent="0.25">
      <c r="A898" s="10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 spans="1:12" x14ac:dyDescent="0.25">
      <c r="A899" s="10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 spans="1:12" x14ac:dyDescent="0.25">
      <c r="A900" s="10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 spans="1:12" x14ac:dyDescent="0.25">
      <c r="A901" s="10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 spans="1:12" x14ac:dyDescent="0.25">
      <c r="A902" s="10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 spans="1:12" x14ac:dyDescent="0.25">
      <c r="A903" s="10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 spans="1:12" x14ac:dyDescent="0.25">
      <c r="A904" s="10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 spans="1:12" x14ac:dyDescent="0.25">
      <c r="A905" s="10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 spans="1:12" x14ac:dyDescent="0.25">
      <c r="A906" s="10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 spans="1:12" x14ac:dyDescent="0.25">
      <c r="A907" s="10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 spans="1:12" x14ac:dyDescent="0.25">
      <c r="A908" s="10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 spans="1:12" x14ac:dyDescent="0.25">
      <c r="A909" s="10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 spans="1:12" x14ac:dyDescent="0.25">
      <c r="A910" s="10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 spans="1:12" x14ac:dyDescent="0.25">
      <c r="A911" s="10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</row>
    <row r="912" spans="1:12" x14ac:dyDescent="0.25">
      <c r="A912" s="10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 spans="1:12" x14ac:dyDescent="0.25">
      <c r="A913" s="10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</row>
    <row r="914" spans="1:12" x14ac:dyDescent="0.25">
      <c r="A914" s="10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 spans="1:12" x14ac:dyDescent="0.25">
      <c r="A915" s="10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 spans="1:12" x14ac:dyDescent="0.25">
      <c r="A916" s="10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 spans="1:12" x14ac:dyDescent="0.25">
      <c r="A917" s="10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</row>
    <row r="918" spans="1:12" x14ac:dyDescent="0.25">
      <c r="A918" s="10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 spans="1:12" x14ac:dyDescent="0.25">
      <c r="A919" s="10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</row>
    <row r="920" spans="1:12" x14ac:dyDescent="0.25">
      <c r="A920" s="10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 spans="1:12" x14ac:dyDescent="0.25">
      <c r="A921" s="10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</row>
    <row r="922" spans="1:12" x14ac:dyDescent="0.25">
      <c r="A922" s="10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 spans="1:12" x14ac:dyDescent="0.25">
      <c r="A923" s="10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</row>
    <row r="924" spans="1:12" x14ac:dyDescent="0.25">
      <c r="A924" s="10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 spans="1:12" x14ac:dyDescent="0.25">
      <c r="A925" s="10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</row>
    <row r="926" spans="1:12" x14ac:dyDescent="0.25">
      <c r="A926" s="10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 spans="1:12" x14ac:dyDescent="0.25">
      <c r="A927" s="10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 spans="1:12" x14ac:dyDescent="0.25">
      <c r="A928" s="10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 spans="1:12" x14ac:dyDescent="0.25">
      <c r="A929" s="10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 spans="1:12" x14ac:dyDescent="0.25">
      <c r="A930" s="10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 spans="1:12" x14ac:dyDescent="0.25">
      <c r="A931" s="10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</row>
    <row r="932" spans="1:12" x14ac:dyDescent="0.25">
      <c r="A932" s="10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 spans="1:12" x14ac:dyDescent="0.25">
      <c r="A933" s="10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 spans="1:12" x14ac:dyDescent="0.25">
      <c r="A934" s="10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 spans="1:12" x14ac:dyDescent="0.25">
      <c r="A935" s="10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 spans="1:12" x14ac:dyDescent="0.25">
      <c r="A936" s="10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 spans="1:12" x14ac:dyDescent="0.25">
      <c r="A937" s="10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 spans="1:12" x14ac:dyDescent="0.25">
      <c r="A938" s="10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 spans="1:12" x14ac:dyDescent="0.25">
      <c r="A939" s="10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 spans="1:12" x14ac:dyDescent="0.25">
      <c r="A940" s="10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 spans="1:12" x14ac:dyDescent="0.25">
      <c r="A941" s="10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 spans="1:12" x14ac:dyDescent="0.25">
      <c r="A942" s="10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 spans="1:12" x14ac:dyDescent="0.25">
      <c r="A943" s="10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 spans="1:12" x14ac:dyDescent="0.25">
      <c r="A944" s="10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 spans="1:12" x14ac:dyDescent="0.25">
      <c r="A945" s="10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 spans="1:12" x14ac:dyDescent="0.25">
      <c r="A946" s="10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 spans="1:12" x14ac:dyDescent="0.25">
      <c r="A947" s="10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 spans="1:12" x14ac:dyDescent="0.25">
      <c r="A948" s="10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 spans="1:12" x14ac:dyDescent="0.25">
      <c r="A949" s="10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spans="1:12" x14ac:dyDescent="0.25">
      <c r="A950" s="10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spans="1:12" x14ac:dyDescent="0.25">
      <c r="A951" s="10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 spans="1:12" x14ac:dyDescent="0.25">
      <c r="A952" s="10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spans="1:12" x14ac:dyDescent="0.25">
      <c r="A953" s="10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spans="1:12" x14ac:dyDescent="0.25">
      <c r="A954" s="10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spans="1:12" x14ac:dyDescent="0.25">
      <c r="A955" s="10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spans="1:12" x14ac:dyDescent="0.25">
      <c r="A956" s="10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spans="1:12" x14ac:dyDescent="0.25">
      <c r="A957" s="10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 spans="1:12" x14ac:dyDescent="0.25">
      <c r="A958" s="10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spans="1:12" x14ac:dyDescent="0.25">
      <c r="A959" s="10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 spans="1:12" x14ac:dyDescent="0.25">
      <c r="A960" s="10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spans="1:12" x14ac:dyDescent="0.25">
      <c r="A961" s="10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spans="1:12" x14ac:dyDescent="0.25">
      <c r="A962" s="10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spans="1:12" x14ac:dyDescent="0.25">
      <c r="A963" s="10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 spans="1:12" x14ac:dyDescent="0.25">
      <c r="A964" s="10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spans="1:12" x14ac:dyDescent="0.25">
      <c r="A965" s="10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 spans="1:12" x14ac:dyDescent="0.25">
      <c r="A966" s="10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spans="1:12" x14ac:dyDescent="0.25">
      <c r="A967" s="10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spans="1:12" x14ac:dyDescent="0.25">
      <c r="A968" s="10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spans="1:12" x14ac:dyDescent="0.25">
      <c r="A969" s="10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spans="1:12" x14ac:dyDescent="0.25">
      <c r="A970" s="10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spans="1:12" x14ac:dyDescent="0.25">
      <c r="A971" s="10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spans="1:12" x14ac:dyDescent="0.25">
      <c r="A972" s="10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spans="1:12" x14ac:dyDescent="0.25">
      <c r="A973" s="10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spans="1:12" x14ac:dyDescent="0.25">
      <c r="A974" s="10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spans="1:12" x14ac:dyDescent="0.25">
      <c r="A975" s="10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spans="1:12" x14ac:dyDescent="0.25">
      <c r="A976" s="10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spans="1:12" x14ac:dyDescent="0.25">
      <c r="A977" s="10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</row>
    <row r="978" spans="1:12" x14ac:dyDescent="0.25">
      <c r="A978" s="10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 spans="1:12" x14ac:dyDescent="0.25">
      <c r="A979" s="10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</row>
    <row r="980" spans="1:12" x14ac:dyDescent="0.25">
      <c r="A980" s="10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</row>
    <row r="981" spans="1:12" x14ac:dyDescent="0.25">
      <c r="A981" s="10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</row>
    <row r="982" spans="1:12" x14ac:dyDescent="0.25">
      <c r="A982" s="10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</row>
    <row r="983" spans="1:12" x14ac:dyDescent="0.25">
      <c r="A983" s="10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</row>
    <row r="984" spans="1:12" x14ac:dyDescent="0.25">
      <c r="A984" s="10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 spans="1:12" x14ac:dyDescent="0.25">
      <c r="A985" s="10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</row>
    <row r="986" spans="1:12" x14ac:dyDescent="0.25">
      <c r="A986" s="10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</row>
    <row r="987" spans="1:12" x14ac:dyDescent="0.25">
      <c r="A987" s="10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</row>
    <row r="988" spans="1:12" x14ac:dyDescent="0.25">
      <c r="A988" s="10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 spans="1:12" x14ac:dyDescent="0.25">
      <c r="A989" s="10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</row>
    <row r="990" spans="1:12" x14ac:dyDescent="0.25">
      <c r="A990" s="10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</row>
    <row r="991" spans="1:12" x14ac:dyDescent="0.25">
      <c r="A991" s="10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</row>
    <row r="992" spans="1:12" x14ac:dyDescent="0.25">
      <c r="A992" s="10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 spans="1:12" x14ac:dyDescent="0.25">
      <c r="A993" s="10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</row>
    <row r="994" spans="1:12" x14ac:dyDescent="0.25">
      <c r="A994" s="10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</row>
    <row r="995" spans="1:12" x14ac:dyDescent="0.25">
      <c r="A995" s="10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</row>
    <row r="996" spans="1:12" x14ac:dyDescent="0.25">
      <c r="A996" s="10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 spans="1:12" x14ac:dyDescent="0.25">
      <c r="A997" s="10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</row>
    <row r="998" spans="1:12" x14ac:dyDescent="0.25">
      <c r="A998" s="10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</row>
    <row r="999" spans="1:12" x14ac:dyDescent="0.25">
      <c r="A999" s="10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</row>
    <row r="1000" spans="1:12" x14ac:dyDescent="0.25">
      <c r="A1000" s="10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</row>
  </sheetData>
  <dataValidations count="2">
    <dataValidation type="list" sqref="G2:G1001" xr:uid="{00000000-0002-0000-0400-000000000000}">
      <formula1>"Sí,No"</formula1>
      <formula2>0</formula2>
    </dataValidation>
    <dataValidation type="list" sqref="E2:E1001" xr:uid="{00000000-0002-0000-0400-000001000000}">
      <formula1>"Local,Visitante"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01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10" defaultColWidth="9.140625" defaultRowHeight="15" x14ac:dyDescent="0.25"/>
  <cols>
    <col min="1" max="4" width="30.7109375" style="8" customWidth="1"/>
    <col min="6" max="6" width="22" style="7" hidden="1" customWidth="1"/>
    <col min="7" max="7" width="16" style="7" hidden="1" customWidth="1"/>
    <col min="8" max="10" width="13" style="7" hidden="1" customWidth="1"/>
  </cols>
  <sheetData>
    <row r="1" spans="1:10" ht="15" customHeight="1" x14ac:dyDescent="0.25">
      <c r="A1" s="1" t="s">
        <v>63</v>
      </c>
      <c r="B1" s="1" t="s">
        <v>77</v>
      </c>
      <c r="C1" s="1" t="s">
        <v>64</v>
      </c>
      <c r="D1" s="1" t="s">
        <v>110</v>
      </c>
      <c r="F1" s="2" t="s">
        <v>75</v>
      </c>
      <c r="G1" s="2"/>
      <c r="H1" s="5" t="s">
        <v>75</v>
      </c>
    </row>
    <row r="2" spans="1:10" ht="15" customHeight="1" x14ac:dyDescent="0.25">
      <c r="A2" s="8">
        <f>IF(COUNT($J$2:$J$1501)&gt;=1,1,"")</f>
        <v>1</v>
      </c>
      <c r="B2" s="8" t="str">
        <f t="shared" ref="B2:B65" si="0">IF($A2="","",INDEX($F$2:$F$1501,MATCH($A2,$J$2:$J$1501,0)))</f>
        <v>Rondón Salomon</v>
      </c>
      <c r="C2" s="8" t="str">
        <f t="shared" ref="C2:C65" si="1">IF($A2="","",INDEX($G$2:$G$1501,MATCH($A2,$J$2:$J$1501,0)))</f>
        <v>Pachuca</v>
      </c>
      <c r="D2" s="8">
        <f t="shared" ref="D2:D65" si="2">IF($A2="","",INDEX($H$2:$H$1501,MATCH($A2,$J$2:$J$1501,0)))</f>
        <v>2</v>
      </c>
      <c r="F2" s="4" t="str">
        <f>IF(Jugadores!B2="","",Jugadores!B2)</f>
        <v>Camacho Cesar</v>
      </c>
      <c r="G2" s="4" t="str">
        <f>IF(Jugadores!B2="","",Jugadores!A2)</f>
        <v>Pachuca</v>
      </c>
      <c r="H2" s="4">
        <f>IF(F2="","",SUMIF('Estadísticas Jugadores'!$F$2:$F$7001,F2,'Estadísticas Jugadores'!$I$2:$I$7001))</f>
        <v>0</v>
      </c>
      <c r="I2" s="4">
        <f t="shared" ref="I2:I65" si="3">IF(F2="","",H2*1000-ROW()*0.0000001)</f>
        <v>-1.9999999999999999E-7</v>
      </c>
      <c r="J2" s="4">
        <f t="shared" ref="J2:J65" si="4">IF(F2="","",RANK(I2,$I$2:$I$1501))</f>
        <v>26</v>
      </c>
    </row>
    <row r="3" spans="1:10" ht="15" customHeight="1" x14ac:dyDescent="0.25">
      <c r="A3" s="8">
        <f>IF(COUNT($J$2:$J$1501)&gt;=2,2,"")</f>
        <v>2</v>
      </c>
      <c r="B3" s="8" t="str">
        <f t="shared" si="0"/>
        <v>El Ghezouani Mourad</v>
      </c>
      <c r="C3" s="8" t="str">
        <f t="shared" si="1"/>
        <v>Tijuana</v>
      </c>
      <c r="D3" s="8">
        <f t="shared" si="2"/>
        <v>2</v>
      </c>
      <c r="F3" s="4" t="str">
        <f>IF(Jugadores!B3="","",Jugadores!B3)</f>
        <v>Eulogio Jose</v>
      </c>
      <c r="G3" s="4" t="str">
        <f>IF(Jugadores!B3="","",Jugadores!A3)</f>
        <v>Pachuca</v>
      </c>
      <c r="H3" s="4">
        <f>IF(F3="","",SUMIF('Estadísticas Jugadores'!$F$2:$F$7001,F3,'Estadísticas Jugadores'!$I$2:$I$7001))</f>
        <v>0</v>
      </c>
      <c r="I3" s="4">
        <f t="shared" si="3"/>
        <v>-2.9999999999999999E-7</v>
      </c>
      <c r="J3" s="4">
        <f t="shared" si="4"/>
        <v>27</v>
      </c>
    </row>
    <row r="4" spans="1:10" ht="15" customHeight="1" x14ac:dyDescent="0.25">
      <c r="A4" s="8">
        <f>IF(COUNT($J$2:$J$1501)&gt;=3,3,"")</f>
        <v>3</v>
      </c>
      <c r="B4" s="8" t="str">
        <f t="shared" si="0"/>
        <v>Ocampos Lucas</v>
      </c>
      <c r="C4" s="8" t="str">
        <f t="shared" si="1"/>
        <v>Monterrey</v>
      </c>
      <c r="D4" s="8">
        <f t="shared" si="2"/>
        <v>2</v>
      </c>
      <c r="F4" s="4" t="str">
        <f>IF(Jugadores!B4="","",Jugadores!B4)</f>
        <v>Moreno Carlos</v>
      </c>
      <c r="G4" s="4" t="str">
        <f>IF(Jugadores!B4="","",Jugadores!A4)</f>
        <v>Pachuca</v>
      </c>
      <c r="H4" s="4">
        <f>IF(F4="","",SUMIF('Estadísticas Jugadores'!$F$2:$F$7001,F4,'Estadísticas Jugadores'!$I$2:$I$7001))</f>
        <v>0</v>
      </c>
      <c r="I4" s="4">
        <f t="shared" si="3"/>
        <v>-3.9999999999999998E-7</v>
      </c>
      <c r="J4" s="4">
        <f t="shared" si="4"/>
        <v>28</v>
      </c>
    </row>
    <row r="5" spans="1:10" ht="15" customHeight="1" x14ac:dyDescent="0.25">
      <c r="A5" s="8">
        <f>IF(COUNT($J$2:$J$1501)&gt;=4,4,"")</f>
        <v>4</v>
      </c>
      <c r="B5" s="8" t="str">
        <f t="shared" si="0"/>
        <v>Márquez Jeremy</v>
      </c>
      <c r="C5" s="8" t="str">
        <f t="shared" si="1"/>
        <v>Cruz Azul</v>
      </c>
      <c r="D5" s="8">
        <f t="shared" si="2"/>
        <v>2</v>
      </c>
      <c r="F5" s="4" t="str">
        <f>IF(Jugadores!B5="","",Jugadores!B5)</f>
        <v>Barreto Sergio Damian</v>
      </c>
      <c r="G5" s="4" t="str">
        <f>IF(Jugadores!B5="","",Jugadores!A5)</f>
        <v>Pachuca</v>
      </c>
      <c r="H5" s="4">
        <f>IF(F5="","",SUMIF('Estadísticas Jugadores'!$F$2:$F$7001,F5,'Estadísticas Jugadores'!$I$2:$I$7001))</f>
        <v>0</v>
      </c>
      <c r="I5" s="4">
        <f t="shared" si="3"/>
        <v>-4.9999999999999998E-7</v>
      </c>
      <c r="J5" s="4">
        <f t="shared" si="4"/>
        <v>29</v>
      </c>
    </row>
    <row r="6" spans="1:10" ht="15" customHeight="1" x14ac:dyDescent="0.25">
      <c r="A6" s="8">
        <f>IF(COUNT($J$2:$J$1501)&gt;=5,5,"")</f>
        <v>5</v>
      </c>
      <c r="B6" s="8" t="str">
        <f t="shared" si="0"/>
        <v>Montiel Elias</v>
      </c>
      <c r="C6" s="8" t="str">
        <f t="shared" si="1"/>
        <v>Pachuca</v>
      </c>
      <c r="D6" s="8">
        <f t="shared" si="2"/>
        <v>1</v>
      </c>
      <c r="F6" s="4" t="str">
        <f>IF(Jugadores!B6="","",Jugadores!B6)</f>
        <v>Berlanga Jorge</v>
      </c>
      <c r="G6" s="4" t="str">
        <f>IF(Jugadores!B6="","",Jugadores!A6)</f>
        <v>Pachuca</v>
      </c>
      <c r="H6" s="4">
        <f>IF(F6="","",SUMIF('Estadísticas Jugadores'!$F$2:$F$7001,F6,'Estadísticas Jugadores'!$I$2:$I$7001))</f>
        <v>0</v>
      </c>
      <c r="I6" s="4">
        <f t="shared" si="3"/>
        <v>-5.9999999999999997E-7</v>
      </c>
      <c r="J6" s="4">
        <f t="shared" si="4"/>
        <v>30</v>
      </c>
    </row>
    <row r="7" spans="1:10" ht="15" customHeight="1" x14ac:dyDescent="0.25">
      <c r="A7" s="8">
        <f>IF(COUNT($J$2:$J$1501)&gt;=6,6,"")</f>
        <v>6</v>
      </c>
      <c r="B7" s="8" t="str">
        <f t="shared" si="0"/>
        <v>Arciga Ramiro</v>
      </c>
      <c r="C7" s="8" t="str">
        <f t="shared" si="1"/>
        <v>Tijuana</v>
      </c>
      <c r="D7" s="8">
        <f t="shared" si="2"/>
        <v>1</v>
      </c>
      <c r="F7" s="4" t="str">
        <f>IF(Jugadores!B7="","",Jugadores!B7)</f>
        <v>Collazo David</v>
      </c>
      <c r="G7" s="4" t="str">
        <f>IF(Jugadores!B7="","",Jugadores!A7)</f>
        <v>Pachuca</v>
      </c>
      <c r="H7" s="4">
        <f>IF(F7="","",SUMIF('Estadísticas Jugadores'!$F$2:$F$7001,F7,'Estadísticas Jugadores'!$I$2:$I$7001))</f>
        <v>0</v>
      </c>
      <c r="I7" s="4">
        <f t="shared" si="3"/>
        <v>-6.9999999999999997E-7</v>
      </c>
      <c r="J7" s="4">
        <f t="shared" si="4"/>
        <v>31</v>
      </c>
    </row>
    <row r="8" spans="1:10" ht="15" customHeight="1" x14ac:dyDescent="0.25">
      <c r="A8" s="8">
        <f>IF(COUNT($J$2:$J$1501)&gt;=7,7,"")</f>
        <v>7</v>
      </c>
      <c r="B8" s="8" t="str">
        <f t="shared" si="0"/>
        <v>Gallardo Jesus</v>
      </c>
      <c r="C8" s="8" t="str">
        <f t="shared" si="1"/>
        <v>Toluca</v>
      </c>
      <c r="D8" s="8">
        <f t="shared" si="2"/>
        <v>1</v>
      </c>
      <c r="F8" s="4" t="str">
        <f>IF(Jugadores!B8="","",Jugadores!B8)</f>
        <v>Eduardo Bauermann</v>
      </c>
      <c r="G8" s="4" t="str">
        <f>IF(Jugadores!B8="","",Jugadores!A8)</f>
        <v>Pachuca</v>
      </c>
      <c r="H8" s="4">
        <f>IF(F8="","",SUMIF('Estadísticas Jugadores'!$F$2:$F$7001,F8,'Estadísticas Jugadores'!$I$2:$I$7001))</f>
        <v>0</v>
      </c>
      <c r="I8" s="4">
        <f t="shared" si="3"/>
        <v>-7.9999999999999996E-7</v>
      </c>
      <c r="J8" s="4">
        <f t="shared" si="4"/>
        <v>32</v>
      </c>
    </row>
    <row r="9" spans="1:10" ht="15" customHeight="1" x14ac:dyDescent="0.25">
      <c r="A9" s="8">
        <f>IF(COUNT($J$2:$J$1501)&gt;=8,8,"")</f>
        <v>8</v>
      </c>
      <c r="B9" s="8" t="str">
        <f t="shared" si="0"/>
        <v>Vega Alexis</v>
      </c>
      <c r="C9" s="8" t="str">
        <f t="shared" si="1"/>
        <v>Toluca</v>
      </c>
      <c r="D9" s="8">
        <f t="shared" si="2"/>
        <v>1</v>
      </c>
      <c r="F9" s="4" t="str">
        <f>IF(Jugadores!B9="","",Jugadores!B9)</f>
        <v>Gamez Juan</v>
      </c>
      <c r="G9" s="4" t="str">
        <f>IF(Jugadores!B9="","",Jugadores!A9)</f>
        <v>Pachuca</v>
      </c>
      <c r="H9" s="4">
        <f>IF(F9="","",SUMIF('Estadísticas Jugadores'!$F$2:$F$7001,F9,'Estadísticas Jugadores'!$I$2:$I$7001))</f>
        <v>0</v>
      </c>
      <c r="I9" s="4">
        <f t="shared" si="3"/>
        <v>-8.9999999999999996E-7</v>
      </c>
      <c r="J9" s="4">
        <f t="shared" si="4"/>
        <v>33</v>
      </c>
    </row>
    <row r="10" spans="1:10" ht="15" customHeight="1" x14ac:dyDescent="0.25">
      <c r="A10" s="8">
        <f>IF(COUNT($J$2:$J$1501)&gt;=9,9,"")</f>
        <v>9</v>
      </c>
      <c r="B10" s="8" t="str">
        <f t="shared" si="0"/>
        <v>Corona Jesús Manuel</v>
      </c>
      <c r="C10" s="8" t="str">
        <f t="shared" si="1"/>
        <v>Monterrey</v>
      </c>
      <c r="D10" s="8">
        <f t="shared" si="2"/>
        <v>1</v>
      </c>
      <c r="F10" s="4" t="str">
        <f>IF(Jugadores!B10="","",Jugadores!B10)</f>
        <v>Isais Mauricio</v>
      </c>
      <c r="G10" s="4" t="str">
        <f>IF(Jugadores!B10="","",Jugadores!A10)</f>
        <v>Pachuca</v>
      </c>
      <c r="H10" s="4">
        <f>IF(F10="","",SUMIF('Estadísticas Jugadores'!$F$2:$F$7001,F10,'Estadísticas Jugadores'!$I$2:$I$7001))</f>
        <v>0</v>
      </c>
      <c r="I10" s="4">
        <f t="shared" si="3"/>
        <v>-9.9999999999999995E-7</v>
      </c>
      <c r="J10" s="4">
        <f t="shared" si="4"/>
        <v>34</v>
      </c>
    </row>
    <row r="11" spans="1:10" ht="15" customHeight="1" x14ac:dyDescent="0.25">
      <c r="A11" s="8">
        <f>IF(COUNT($J$2:$J$1501)&gt;=10,10,"")</f>
        <v>10</v>
      </c>
      <c r="B11" s="8" t="str">
        <f t="shared" si="0"/>
        <v>Fernández Gabriel</v>
      </c>
      <c r="C11" s="8" t="str">
        <f t="shared" si="1"/>
        <v>Cruz Azul</v>
      </c>
      <c r="D11" s="8">
        <f t="shared" si="2"/>
        <v>1</v>
      </c>
      <c r="F11" s="4" t="str">
        <f>IF(Jugadores!B11="","",Jugadores!B11)</f>
        <v>Lopez Abutro Rene</v>
      </c>
      <c r="G11" s="4" t="str">
        <f>IF(Jugadores!B11="","",Jugadores!A11)</f>
        <v>Pachuca</v>
      </c>
      <c r="H11" s="4">
        <f>IF(F11="","",SUMIF('Estadísticas Jugadores'!$F$2:$F$7001,F11,'Estadísticas Jugadores'!$I$2:$I$7001))</f>
        <v>0</v>
      </c>
      <c r="I11" s="4">
        <f t="shared" si="3"/>
        <v>-1.1000000000000001E-6</v>
      </c>
      <c r="J11" s="4">
        <f t="shared" si="4"/>
        <v>35</v>
      </c>
    </row>
    <row r="12" spans="1:10" ht="15" customHeight="1" x14ac:dyDescent="0.25">
      <c r="A12" s="8">
        <f>IF(COUNT($J$2:$J$1501)&gt;=11,11,"")</f>
        <v>11</v>
      </c>
      <c r="B12" s="8" t="str">
        <f t="shared" si="0"/>
        <v>Rocha Aldo</v>
      </c>
      <c r="C12" s="8" t="str">
        <f t="shared" si="1"/>
        <v>Atlas</v>
      </c>
      <c r="D12" s="8">
        <f t="shared" si="2"/>
        <v>1</v>
      </c>
      <c r="F12" s="4" t="str">
        <f>IF(Jugadores!B12="","",Jugadores!B12)</f>
        <v>Mozo Alan</v>
      </c>
      <c r="G12" s="4" t="str">
        <f>IF(Jugadores!B12="","",Jugadores!A12)</f>
        <v>Pachuca</v>
      </c>
      <c r="H12" s="4">
        <f>IF(F12="","",SUMIF('Estadísticas Jugadores'!$F$2:$F$7001,F12,'Estadísticas Jugadores'!$I$2:$I$7001))</f>
        <v>0</v>
      </c>
      <c r="I12" s="4">
        <f t="shared" si="3"/>
        <v>-1.1999999999999999E-6</v>
      </c>
      <c r="J12" s="4">
        <f t="shared" si="4"/>
        <v>36</v>
      </c>
    </row>
    <row r="13" spans="1:10" ht="15" customHeight="1" x14ac:dyDescent="0.25">
      <c r="A13" s="8">
        <f>IF(COUNT($J$2:$J$1501)&gt;=12,12,"")</f>
        <v>12</v>
      </c>
      <c r="B13" s="8" t="str">
        <f t="shared" si="0"/>
        <v>Duk</v>
      </c>
      <c r="C13" s="8" t="str">
        <f t="shared" si="1"/>
        <v>Atlas</v>
      </c>
      <c r="D13" s="8">
        <f t="shared" si="2"/>
        <v>1</v>
      </c>
      <c r="F13" s="4" t="str">
        <f>IF(Jugadores!B13="","",Jugadores!B13)</f>
        <v>Sanchez Carlos</v>
      </c>
      <c r="G13" s="4" t="str">
        <f>IF(Jugadores!B13="","",Jugadores!A13)</f>
        <v>Pachuca</v>
      </c>
      <c r="H13" s="4">
        <f>IF(F13="","",SUMIF('Estadísticas Jugadores'!$F$2:$F$7001,F13,'Estadísticas Jugadores'!$I$2:$I$7001))</f>
        <v>0</v>
      </c>
      <c r="I13" s="4">
        <f t="shared" si="3"/>
        <v>-1.2999999999999998E-6</v>
      </c>
      <c r="J13" s="4">
        <f t="shared" si="4"/>
        <v>37</v>
      </c>
    </row>
    <row r="14" spans="1:10" ht="15" customHeight="1" x14ac:dyDescent="0.25">
      <c r="A14" s="8">
        <f>IF(COUNT($J$2:$J$1501)&gt;=13,13,"")</f>
        <v>13</v>
      </c>
      <c r="B14" s="8" t="str">
        <f t="shared" si="0"/>
        <v>Gonzalez Arturo</v>
      </c>
      <c r="C14" s="8" t="str">
        <f t="shared" si="1"/>
        <v>Atlas</v>
      </c>
      <c r="D14" s="8">
        <f t="shared" si="2"/>
        <v>1</v>
      </c>
      <c r="F14" s="4" t="str">
        <f>IF(Jugadores!B14="","",Jugadores!B14)</f>
        <v>Sánchez Moñino Edwin</v>
      </c>
      <c r="G14" s="4" t="str">
        <f>IF(Jugadores!B14="","",Jugadores!A14)</f>
        <v>Pachuca</v>
      </c>
      <c r="H14" s="4">
        <f>IF(F14="","",SUMIF('Estadísticas Jugadores'!$F$2:$F$7001,F14,'Estadísticas Jugadores'!$I$2:$I$7001))</f>
        <v>0</v>
      </c>
      <c r="I14" s="4">
        <f t="shared" si="3"/>
        <v>-1.3999999999999999E-6</v>
      </c>
      <c r="J14" s="4">
        <f t="shared" si="4"/>
        <v>38</v>
      </c>
    </row>
    <row r="15" spans="1:10" ht="15" customHeight="1" x14ac:dyDescent="0.25">
      <c r="A15" s="8">
        <f>IF(COUNT($J$2:$J$1501)&gt;=14,14,"")</f>
        <v>14</v>
      </c>
      <c r="B15" s="8" t="str">
        <f t="shared" si="0"/>
        <v>Carranza Julian</v>
      </c>
      <c r="C15" s="8" t="str">
        <f t="shared" si="1"/>
        <v>Necaxa</v>
      </c>
      <c r="D15" s="8">
        <f t="shared" si="2"/>
        <v>1</v>
      </c>
      <c r="F15" s="4" t="str">
        <f>IF(Jugadores!B15="","",Jugadores!B15)</f>
        <v>Venegas Moreno Francisco Eduardo</v>
      </c>
      <c r="G15" s="4" t="str">
        <f>IF(Jugadores!B15="","",Jugadores!A15)</f>
        <v>Pachuca</v>
      </c>
      <c r="H15" s="4">
        <f>IF(F15="","",SUMIF('Estadísticas Jugadores'!$F$2:$F$7001,F15,'Estadísticas Jugadores'!$I$2:$I$7001))</f>
        <v>0</v>
      </c>
      <c r="I15" s="4">
        <f t="shared" si="3"/>
        <v>-1.5E-6</v>
      </c>
      <c r="J15" s="4">
        <f t="shared" si="4"/>
        <v>39</v>
      </c>
    </row>
    <row r="16" spans="1:10" ht="15" customHeight="1" x14ac:dyDescent="0.25">
      <c r="A16" s="8">
        <f>IF(COUNT($J$2:$J$1501)&gt;=15,15,"")</f>
        <v>15</v>
      </c>
      <c r="B16" s="8" t="str">
        <f t="shared" si="0"/>
        <v>Pedroza Misael</v>
      </c>
      <c r="C16" s="8" t="str">
        <f t="shared" si="1"/>
        <v>Necaxa</v>
      </c>
      <c r="D16" s="8">
        <f t="shared" si="2"/>
        <v>1</v>
      </c>
      <c r="F16" s="4" t="str">
        <f>IF(Jugadores!B16="","",Jugadores!B16)</f>
        <v>Alvarez Gaël</v>
      </c>
      <c r="G16" s="4" t="str">
        <f>IF(Jugadores!B16="","",Jugadores!A16)</f>
        <v>Pachuca</v>
      </c>
      <c r="H16" s="4">
        <f>IF(F16="","",SUMIF('Estadísticas Jugadores'!$F$2:$F$7001,F16,'Estadísticas Jugadores'!$I$2:$I$7001))</f>
        <v>0</v>
      </c>
      <c r="I16" s="4">
        <f t="shared" si="3"/>
        <v>-1.5999999999999999E-6</v>
      </c>
      <c r="J16" s="4">
        <f t="shared" si="4"/>
        <v>40</v>
      </c>
    </row>
    <row r="17" spans="1:10" ht="15" customHeight="1" x14ac:dyDescent="0.25">
      <c r="A17" s="8">
        <f>IF(COUNT($J$2:$J$1501)&gt;=16,16,"")</f>
        <v>16</v>
      </c>
      <c r="B17" s="8" t="str">
        <f t="shared" si="0"/>
        <v>Violante Isaias</v>
      </c>
      <c r="C17" s="8" t="str">
        <f t="shared" si="1"/>
        <v>Club América</v>
      </c>
      <c r="D17" s="8">
        <f t="shared" si="2"/>
        <v>1</v>
      </c>
      <c r="F17" s="4" t="str">
        <f>IF(Jugadores!B17="","",Jugadores!B17)</f>
        <v>Bautista Alan</v>
      </c>
      <c r="G17" s="4" t="str">
        <f>IF(Jugadores!B17="","",Jugadores!A17)</f>
        <v>Pachuca</v>
      </c>
      <c r="H17" s="4">
        <f>IF(F17="","",SUMIF('Estadísticas Jugadores'!$F$2:$F$7001,F17,'Estadísticas Jugadores'!$I$2:$I$7001))</f>
        <v>0</v>
      </c>
      <c r="I17" s="4">
        <f t="shared" si="3"/>
        <v>-1.6999999999999998E-6</v>
      </c>
      <c r="J17" s="4">
        <f t="shared" si="4"/>
        <v>41</v>
      </c>
    </row>
    <row r="18" spans="1:10" ht="15" customHeight="1" x14ac:dyDescent="0.25">
      <c r="A18" s="8">
        <f>IF(COUNT($J$2:$J$1501)&gt;=17,17,"")</f>
        <v>17</v>
      </c>
      <c r="B18" s="8" t="str">
        <f t="shared" si="0"/>
        <v>Maestro Ignacio</v>
      </c>
      <c r="C18" s="8" t="str">
        <f t="shared" si="1"/>
        <v>Puebla</v>
      </c>
      <c r="D18" s="8">
        <f t="shared" si="2"/>
        <v>1</v>
      </c>
      <c r="F18" s="4" t="str">
        <f>IF(Jugadores!B18="","",Jugadores!B18)</f>
        <v>Contreras Ari</v>
      </c>
      <c r="G18" s="4" t="str">
        <f>IF(Jugadores!B18="","",Jugadores!A18)</f>
        <v>Pachuca</v>
      </c>
      <c r="H18" s="4">
        <f>IF(F18="","",SUMIF('Estadísticas Jugadores'!$F$2:$F$7001,F18,'Estadísticas Jugadores'!$I$2:$I$7001))</f>
        <v>0</v>
      </c>
      <c r="I18" s="4">
        <f t="shared" si="3"/>
        <v>-1.7999999999999999E-6</v>
      </c>
      <c r="J18" s="4">
        <f t="shared" si="4"/>
        <v>42</v>
      </c>
    </row>
    <row r="19" spans="1:10" ht="15" customHeight="1" x14ac:dyDescent="0.25">
      <c r="A19" s="8">
        <f>IF(COUNT($J$2:$J$1501)&gt;=18,18,"")</f>
        <v>18</v>
      </c>
      <c r="B19" s="8" t="str">
        <f t="shared" si="0"/>
        <v>Aguirre Eduardo</v>
      </c>
      <c r="C19" s="8" t="str">
        <f t="shared" si="1"/>
        <v>Santos Laguna</v>
      </c>
      <c r="D19" s="8">
        <f t="shared" si="2"/>
        <v>1</v>
      </c>
      <c r="F19" s="4" t="str">
        <f>IF(Jugadores!B19="","",Jugadores!B19)</f>
        <v>Montiel Elias</v>
      </c>
      <c r="G19" s="4" t="str">
        <f>IF(Jugadores!B19="","",Jugadores!A19)</f>
        <v>Pachuca</v>
      </c>
      <c r="H19" s="4">
        <f>IF(F19="","",SUMIF('Estadísticas Jugadores'!$F$2:$F$7001,F19,'Estadísticas Jugadores'!$I$2:$I$7001))</f>
        <v>1</v>
      </c>
      <c r="I19" s="4">
        <f t="shared" si="3"/>
        <v>999.99999809999997</v>
      </c>
      <c r="J19" s="4">
        <f t="shared" si="4"/>
        <v>5</v>
      </c>
    </row>
    <row r="20" spans="1:10" ht="15" customHeight="1" x14ac:dyDescent="0.25">
      <c r="A20" s="8">
        <f>IF(COUNT($J$2:$J$1501)&gt;=19,19,"")</f>
        <v>19</v>
      </c>
      <c r="B20" s="8" t="str">
        <f t="shared" si="0"/>
        <v>Di Yorio Lucas</v>
      </c>
      <c r="C20" s="8" t="str">
        <f t="shared" si="1"/>
        <v>Santos Laguna</v>
      </c>
      <c r="D20" s="8">
        <f t="shared" si="2"/>
        <v>1</v>
      </c>
      <c r="F20" s="4" t="str">
        <f>IF(Jugadores!B20="","",Jugadores!B20)</f>
        <v>Pizarro Rodolfo</v>
      </c>
      <c r="G20" s="4" t="str">
        <f>IF(Jugadores!B20="","",Jugadores!A20)</f>
        <v>Pachuca</v>
      </c>
      <c r="H20" s="4">
        <f>IF(F20="","",SUMIF('Estadísticas Jugadores'!$F$2:$F$7001,F20,'Estadísticas Jugadores'!$I$2:$I$7001))</f>
        <v>0</v>
      </c>
      <c r="I20" s="4">
        <f t="shared" si="3"/>
        <v>-1.9999999999999999E-6</v>
      </c>
      <c r="J20" s="4">
        <f t="shared" si="4"/>
        <v>43</v>
      </c>
    </row>
    <row r="21" spans="1:10" ht="15" customHeight="1" x14ac:dyDescent="0.25">
      <c r="A21" s="8">
        <f>IF(COUNT($J$2:$J$1501)&gt;=20,20,"")</f>
        <v>20</v>
      </c>
      <c r="B21" s="8" t="str">
        <f t="shared" si="0"/>
        <v>Salles-Lamonge Sebastien</v>
      </c>
      <c r="C21" s="8" t="str">
        <f t="shared" si="1"/>
        <v>Atlético de San Luis</v>
      </c>
      <c r="D21" s="8">
        <f t="shared" si="2"/>
        <v>1</v>
      </c>
      <c r="F21" s="4" t="str">
        <f>IF(Jugadores!B21="","",Jugadores!B21)</f>
        <v>Rivera Christian</v>
      </c>
      <c r="G21" s="4" t="str">
        <f>IF(Jugadores!B21="","",Jugadores!A21)</f>
        <v>Pachuca</v>
      </c>
      <c r="H21" s="4">
        <f>IF(F21="","",SUMIF('Estadísticas Jugadores'!$F$2:$F$7001,F21,'Estadísticas Jugadores'!$I$2:$I$7001))</f>
        <v>0</v>
      </c>
      <c r="I21" s="4">
        <f t="shared" si="3"/>
        <v>-2.0999999999999998E-6</v>
      </c>
      <c r="J21" s="4">
        <f t="shared" si="4"/>
        <v>44</v>
      </c>
    </row>
    <row r="22" spans="1:10" ht="15" customHeight="1" x14ac:dyDescent="0.25">
      <c r="A22" s="8">
        <f>IF(COUNT($J$2:$J$1501)&gt;=21,21,"")</f>
        <v>21</v>
      </c>
      <c r="B22" s="8" t="str">
        <f t="shared" si="0"/>
        <v>Llorente Rafa</v>
      </c>
      <c r="C22" s="8" t="str">
        <f t="shared" si="1"/>
        <v>Atlético de San Luis</v>
      </c>
      <c r="D22" s="8">
        <f t="shared" si="2"/>
        <v>1</v>
      </c>
      <c r="F22" s="4" t="str">
        <f>IF(Jugadores!B22="","",Jugadores!B22)</f>
        <v>Rodriguez Sergio</v>
      </c>
      <c r="G22" s="4" t="str">
        <f>IF(Jugadores!B22="","",Jugadores!A22)</f>
        <v>Pachuca</v>
      </c>
      <c r="H22" s="4">
        <f>IF(F22="","",SUMIF('Estadísticas Jugadores'!$F$2:$F$7001,F22,'Estadísticas Jugadores'!$I$2:$I$7001))</f>
        <v>0</v>
      </c>
      <c r="I22" s="4">
        <f t="shared" si="3"/>
        <v>-2.2000000000000001E-6</v>
      </c>
      <c r="J22" s="4">
        <f t="shared" si="4"/>
        <v>45</v>
      </c>
    </row>
    <row r="23" spans="1:10" ht="15" customHeight="1" x14ac:dyDescent="0.25">
      <c r="A23" s="8">
        <f>IF(COUNT($J$2:$J$1501)&gt;=22,22,"")</f>
        <v>22</v>
      </c>
      <c r="B23" s="8" t="str">
        <f t="shared" si="0"/>
        <v>Cambindo Abonia Diber Armando</v>
      </c>
      <c r="C23" s="8" t="str">
        <f t="shared" si="1"/>
        <v>León</v>
      </c>
      <c r="D23" s="8">
        <f t="shared" si="2"/>
        <v>1</v>
      </c>
      <c r="F23" s="4" t="str">
        <f>IF(Jugadores!B23="","",Jugadores!B23)</f>
        <v>Alcaraz Adrián</v>
      </c>
      <c r="G23" s="4" t="str">
        <f>IF(Jugadores!B23="","",Jugadores!A23)</f>
        <v>Pachuca</v>
      </c>
      <c r="H23" s="4">
        <f>IF(F23="","",SUMIF('Estadísticas Jugadores'!$F$2:$F$7001,F23,'Estadísticas Jugadores'!$I$2:$I$7001))</f>
        <v>0</v>
      </c>
      <c r="I23" s="4">
        <f t="shared" si="3"/>
        <v>-2.3E-6</v>
      </c>
      <c r="J23" s="4">
        <f t="shared" si="4"/>
        <v>46</v>
      </c>
    </row>
    <row r="24" spans="1:10" ht="15" customHeight="1" x14ac:dyDescent="0.25">
      <c r="A24" s="8">
        <f>IF(COUNT($J$2:$J$1501)&gt;=23,23,"")</f>
        <v>23</v>
      </c>
      <c r="B24" s="8" t="str">
        <f t="shared" si="0"/>
        <v>Cortizo Jordi</v>
      </c>
      <c r="C24" s="8" t="str">
        <f t="shared" si="1"/>
        <v>León</v>
      </c>
      <c r="D24" s="8">
        <f t="shared" si="2"/>
        <v>1</v>
      </c>
      <c r="F24" s="4" t="str">
        <f>IF(Jugadores!B24="","",Jugadores!B24)</f>
        <v>Dominguez Alexei</v>
      </c>
      <c r="G24" s="4" t="str">
        <f>IF(Jugadores!B24="","",Jugadores!A24)</f>
        <v>Pachuca</v>
      </c>
      <c r="H24" s="4">
        <f>IF(F24="","",SUMIF('Estadísticas Jugadores'!$F$2:$F$7001,F24,'Estadísticas Jugadores'!$I$2:$I$7001))</f>
        <v>0</v>
      </c>
      <c r="I24" s="4">
        <f t="shared" si="3"/>
        <v>-2.3999999999999999E-6</v>
      </c>
      <c r="J24" s="4">
        <f t="shared" si="4"/>
        <v>47</v>
      </c>
    </row>
    <row r="25" spans="1:10" ht="15" customHeight="1" x14ac:dyDescent="0.25">
      <c r="A25" s="8">
        <f>IF(COUNT($J$2:$J$1501)&gt;=24,24,"")</f>
        <v>24</v>
      </c>
      <c r="B25" s="8" t="str">
        <f t="shared" si="0"/>
        <v>Pizzuto Eugenio</v>
      </c>
      <c r="C25" s="8" t="str">
        <f t="shared" si="1"/>
        <v>Atlante</v>
      </c>
      <c r="D25" s="8">
        <f t="shared" si="2"/>
        <v>1</v>
      </c>
      <c r="F25" s="4" t="str">
        <f>IF(Jugadores!B25="","",Jugadores!B25)</f>
        <v>Hernandez Cristobal</v>
      </c>
      <c r="G25" s="4" t="str">
        <f>IF(Jugadores!B25="","",Jugadores!A25)</f>
        <v>Pachuca</v>
      </c>
      <c r="H25" s="4">
        <f>IF(F25="","",SUMIF('Estadísticas Jugadores'!$F$2:$F$7001,F25,'Estadísticas Jugadores'!$I$2:$I$7001))</f>
        <v>0</v>
      </c>
      <c r="I25" s="4">
        <f t="shared" si="3"/>
        <v>-2.4999999999999998E-6</v>
      </c>
      <c r="J25" s="4">
        <f t="shared" si="4"/>
        <v>48</v>
      </c>
    </row>
    <row r="26" spans="1:10" ht="15" customHeight="1" x14ac:dyDescent="0.25">
      <c r="A26" s="8">
        <f>IF(COUNT($J$2:$J$1501)&gt;=25,25,"")</f>
        <v>25</v>
      </c>
      <c r="B26" s="8" t="str">
        <f t="shared" si="0"/>
        <v>Herrera Ozziel</v>
      </c>
      <c r="C26" s="8" t="str">
        <f t="shared" si="1"/>
        <v>Tigres UANL</v>
      </c>
      <c r="D26" s="8">
        <f t="shared" si="2"/>
        <v>1</v>
      </c>
      <c r="F26" s="4" t="str">
        <f>IF(Jugadores!B26="","",Jugadores!B26)</f>
        <v>Hernández Illian</v>
      </c>
      <c r="G26" s="4" t="str">
        <f>IF(Jugadores!B26="","",Jugadores!A26)</f>
        <v>Pachuca</v>
      </c>
      <c r="H26" s="4">
        <f>IF(F26="","",SUMIF('Estadísticas Jugadores'!$F$2:$F$7001,F26,'Estadísticas Jugadores'!$I$2:$I$7001))</f>
        <v>0</v>
      </c>
      <c r="I26" s="4">
        <f t="shared" si="3"/>
        <v>-2.5999999999999997E-6</v>
      </c>
      <c r="J26" s="4">
        <f t="shared" si="4"/>
        <v>49</v>
      </c>
    </row>
    <row r="27" spans="1:10" ht="15" customHeight="1" x14ac:dyDescent="0.25">
      <c r="A27" s="8">
        <f>IF(COUNT($J$2:$J$1501)&gt;=26,26,"")</f>
        <v>26</v>
      </c>
      <c r="B27" s="8" t="str">
        <f t="shared" si="0"/>
        <v>Camacho Cesar</v>
      </c>
      <c r="C27" s="8" t="str">
        <f t="shared" si="1"/>
        <v>Pachuca</v>
      </c>
      <c r="D27" s="8">
        <f t="shared" si="2"/>
        <v>0</v>
      </c>
      <c r="F27" s="4" t="str">
        <f>IF(Jugadores!B27="","",Jugadores!B27)</f>
        <v>Idrissi Oussama</v>
      </c>
      <c r="G27" s="4" t="str">
        <f>IF(Jugadores!B27="","",Jugadores!A27)</f>
        <v>Pachuca</v>
      </c>
      <c r="H27" s="4">
        <f>IF(F27="","",SUMIF('Estadísticas Jugadores'!$F$2:$F$7001,F27,'Estadísticas Jugadores'!$I$2:$I$7001))</f>
        <v>0</v>
      </c>
      <c r="I27" s="4">
        <f t="shared" si="3"/>
        <v>-2.7E-6</v>
      </c>
      <c r="J27" s="4">
        <f t="shared" si="4"/>
        <v>50</v>
      </c>
    </row>
    <row r="28" spans="1:10" ht="15" customHeight="1" x14ac:dyDescent="0.25">
      <c r="A28" s="8">
        <f>IF(COUNT($J$2:$J$1501)&gt;=27,27,"")</f>
        <v>27</v>
      </c>
      <c r="B28" s="8" t="str">
        <f t="shared" si="0"/>
        <v>Eulogio Jose</v>
      </c>
      <c r="C28" s="8" t="str">
        <f t="shared" si="1"/>
        <v>Pachuca</v>
      </c>
      <c r="D28" s="8">
        <f t="shared" si="2"/>
        <v>0</v>
      </c>
      <c r="F28" s="4" t="str">
        <f>IF(Jugadores!B28="","",Jugadores!B28)</f>
        <v>Kenedy</v>
      </c>
      <c r="G28" s="4" t="str">
        <f>IF(Jugadores!B28="","",Jugadores!A28)</f>
        <v>Pachuca</v>
      </c>
      <c r="H28" s="4">
        <f>IF(F28="","",SUMIF('Estadísticas Jugadores'!$F$2:$F$7001,F28,'Estadísticas Jugadores'!$I$2:$I$7001))</f>
        <v>0</v>
      </c>
      <c r="I28" s="4">
        <f t="shared" si="3"/>
        <v>-2.7999999999999999E-6</v>
      </c>
      <c r="J28" s="4">
        <f t="shared" si="4"/>
        <v>51</v>
      </c>
    </row>
    <row r="29" spans="1:10" ht="15" customHeight="1" x14ac:dyDescent="0.25">
      <c r="A29" s="8">
        <f>IF(COUNT($J$2:$J$1501)&gt;=28,28,"")</f>
        <v>28</v>
      </c>
      <c r="B29" s="8" t="str">
        <f t="shared" si="0"/>
        <v>Moreno Carlos</v>
      </c>
      <c r="C29" s="8" t="str">
        <f t="shared" si="1"/>
        <v>Pachuca</v>
      </c>
      <c r="D29" s="8">
        <f t="shared" si="2"/>
        <v>0</v>
      </c>
      <c r="F29" s="4" t="str">
        <f>IF(Jugadores!B29="","",Jugadores!B29)</f>
        <v>Mendez Daniel</v>
      </c>
      <c r="G29" s="4" t="str">
        <f>IF(Jugadores!B29="","",Jugadores!A29)</f>
        <v>Pachuca</v>
      </c>
      <c r="H29" s="4">
        <f>IF(F29="","",SUMIF('Estadísticas Jugadores'!$F$2:$F$7001,F29,'Estadísticas Jugadores'!$I$2:$I$7001))</f>
        <v>0</v>
      </c>
      <c r="I29" s="4">
        <f t="shared" si="3"/>
        <v>-2.8999999999999998E-6</v>
      </c>
      <c r="J29" s="4">
        <f t="shared" si="4"/>
        <v>52</v>
      </c>
    </row>
    <row r="30" spans="1:10" ht="15" customHeight="1" x14ac:dyDescent="0.25">
      <c r="A30" s="8">
        <f>IF(COUNT($J$2:$J$1501)&gt;=29,29,"")</f>
        <v>29</v>
      </c>
      <c r="B30" s="8" t="str">
        <f t="shared" si="0"/>
        <v>Barreto Sergio Damian</v>
      </c>
      <c r="C30" s="8" t="str">
        <f t="shared" si="1"/>
        <v>Pachuca</v>
      </c>
      <c r="D30" s="8">
        <f t="shared" si="2"/>
        <v>0</v>
      </c>
      <c r="F30" s="4" t="str">
        <f>IF(Jugadores!B30="","",Jugadores!B30)</f>
        <v>Ramirez Jonatan</v>
      </c>
      <c r="G30" s="4" t="str">
        <f>IF(Jugadores!B30="","",Jugadores!A30)</f>
        <v>Pachuca</v>
      </c>
      <c r="H30" s="4">
        <f>IF(F30="","",SUMIF('Estadísticas Jugadores'!$F$2:$F$7001,F30,'Estadísticas Jugadores'!$I$2:$I$7001))</f>
        <v>0</v>
      </c>
      <c r="I30" s="4">
        <f t="shared" si="3"/>
        <v>-3.0000000000000001E-6</v>
      </c>
      <c r="J30" s="4">
        <f t="shared" si="4"/>
        <v>53</v>
      </c>
    </row>
    <row r="31" spans="1:10" ht="15" customHeight="1" x14ac:dyDescent="0.25">
      <c r="A31" s="8">
        <f>IF(COUNT($J$2:$J$1501)&gt;=30,30,"")</f>
        <v>30</v>
      </c>
      <c r="B31" s="8" t="str">
        <f t="shared" si="0"/>
        <v>Berlanga Jorge</v>
      </c>
      <c r="C31" s="8" t="str">
        <f t="shared" si="1"/>
        <v>Pachuca</v>
      </c>
      <c r="D31" s="8">
        <f t="shared" si="2"/>
        <v>0</v>
      </c>
      <c r="F31" s="4" t="str">
        <f>IF(Jugadores!B31="","",Jugadores!B31)</f>
        <v>Rondón Salomon</v>
      </c>
      <c r="G31" s="4" t="str">
        <f>IF(Jugadores!B31="","",Jugadores!A31)</f>
        <v>Pachuca</v>
      </c>
      <c r="H31" s="4">
        <f>IF(F31="","",SUMIF('Estadísticas Jugadores'!$F$2:$F$7001,F31,'Estadísticas Jugadores'!$I$2:$I$7001))</f>
        <v>2</v>
      </c>
      <c r="I31" s="4">
        <f t="shared" si="3"/>
        <v>1999.9999969</v>
      </c>
      <c r="J31" s="4">
        <f t="shared" si="4"/>
        <v>1</v>
      </c>
    </row>
    <row r="32" spans="1:10" ht="15" customHeight="1" x14ac:dyDescent="0.25">
      <c r="A32" s="8">
        <f>IF(COUNT($J$2:$J$1501)&gt;=31,31,"")</f>
        <v>31</v>
      </c>
      <c r="B32" s="8" t="str">
        <f t="shared" si="0"/>
        <v>Collazo David</v>
      </c>
      <c r="C32" s="8" t="str">
        <f t="shared" si="1"/>
        <v>Pachuca</v>
      </c>
      <c r="D32" s="8">
        <f t="shared" si="2"/>
        <v>0</v>
      </c>
      <c r="F32" s="4" t="str">
        <f>IF(Jugadores!B32="","",Jugadores!B32)</f>
        <v>Vallejo Nicolas</v>
      </c>
      <c r="G32" s="4" t="str">
        <f>IF(Jugadores!B32="","",Jugadores!A32)</f>
        <v>Pachuca</v>
      </c>
      <c r="H32" s="4">
        <f>IF(F32="","",SUMIF('Estadísticas Jugadores'!$F$2:$F$7001,F32,'Estadísticas Jugadores'!$I$2:$I$7001))</f>
        <v>0</v>
      </c>
      <c r="I32" s="4">
        <f t="shared" si="3"/>
        <v>-3.1999999999999999E-6</v>
      </c>
      <c r="J32" s="4">
        <f t="shared" si="4"/>
        <v>54</v>
      </c>
    </row>
    <row r="33" spans="1:10" ht="15" customHeight="1" x14ac:dyDescent="0.25">
      <c r="A33" s="8">
        <f>IF(COUNT($J$2:$J$1501)&gt;=32,32,"")</f>
        <v>32</v>
      </c>
      <c r="B33" s="8" t="str">
        <f t="shared" si="0"/>
        <v>Eduardo Bauermann</v>
      </c>
      <c r="C33" s="8" t="str">
        <f t="shared" si="1"/>
        <v>Pachuca</v>
      </c>
      <c r="D33" s="8">
        <f t="shared" si="2"/>
        <v>0</v>
      </c>
      <c r="F33" s="4" t="str">
        <f>IF(Jugadores!B33="","",Jugadores!B33)</f>
        <v>Hernández Jorge</v>
      </c>
      <c r="G33" s="4" t="str">
        <f>IF(Jugadores!B33="","",Jugadores!A33)</f>
        <v>Tijuana</v>
      </c>
      <c r="H33" s="4">
        <f>IF(F33="","",SUMIF('Estadísticas Jugadores'!$F$2:$F$7001,F33,'Estadísticas Jugadores'!$I$2:$I$7001))</f>
        <v>0</v>
      </c>
      <c r="I33" s="4">
        <f t="shared" si="3"/>
        <v>-3.2999999999999997E-6</v>
      </c>
      <c r="J33" s="4">
        <f t="shared" si="4"/>
        <v>55</v>
      </c>
    </row>
    <row r="34" spans="1:10" ht="15" customHeight="1" x14ac:dyDescent="0.25">
      <c r="A34" s="8">
        <f>IF(COUNT($J$2:$J$1501)&gt;=33,33,"")</f>
        <v>33</v>
      </c>
      <c r="B34" s="8" t="str">
        <f t="shared" si="0"/>
        <v>Gamez Juan</v>
      </c>
      <c r="C34" s="8" t="str">
        <f t="shared" si="1"/>
        <v>Pachuca</v>
      </c>
      <c r="D34" s="8">
        <f t="shared" si="2"/>
        <v>0</v>
      </c>
      <c r="F34" s="4" t="str">
        <f>IF(Jugadores!B34="","",Jugadores!B34)</f>
        <v>Rodríguez Antonio</v>
      </c>
      <c r="G34" s="4" t="str">
        <f>IF(Jugadores!B34="","",Jugadores!A34)</f>
        <v>Tijuana</v>
      </c>
      <c r="H34" s="4">
        <f>IF(F34="","",SUMIF('Estadísticas Jugadores'!$F$2:$F$7001,F34,'Estadísticas Jugadores'!$I$2:$I$7001))</f>
        <v>0</v>
      </c>
      <c r="I34" s="4">
        <f t="shared" si="3"/>
        <v>-3.3999999999999996E-6</v>
      </c>
      <c r="J34" s="4">
        <f t="shared" si="4"/>
        <v>56</v>
      </c>
    </row>
    <row r="35" spans="1:10" ht="15" customHeight="1" x14ac:dyDescent="0.25">
      <c r="A35" s="8">
        <f>IF(COUNT($J$2:$J$1501)&gt;=34,34,"")</f>
        <v>34</v>
      </c>
      <c r="B35" s="8" t="str">
        <f t="shared" si="0"/>
        <v>Isais Mauricio</v>
      </c>
      <c r="C35" s="8" t="str">
        <f t="shared" si="1"/>
        <v>Pachuca</v>
      </c>
      <c r="D35" s="8">
        <f t="shared" si="2"/>
        <v>0</v>
      </c>
      <c r="F35" s="4" t="str">
        <f>IF(Jugadores!B35="","",Jugadores!B35)</f>
        <v>Bilbao Arteta Unai</v>
      </c>
      <c r="G35" s="4" t="str">
        <f>IF(Jugadores!B35="","",Jugadores!A35)</f>
        <v>Tijuana</v>
      </c>
      <c r="H35" s="4">
        <f>IF(F35="","",SUMIF('Estadísticas Jugadores'!$F$2:$F$7001,F35,'Estadísticas Jugadores'!$I$2:$I$7001))</f>
        <v>0</v>
      </c>
      <c r="I35" s="4">
        <f t="shared" si="3"/>
        <v>-3.4999999999999999E-6</v>
      </c>
      <c r="J35" s="4">
        <f t="shared" si="4"/>
        <v>57</v>
      </c>
    </row>
    <row r="36" spans="1:10" ht="15" customHeight="1" x14ac:dyDescent="0.25">
      <c r="A36" s="8">
        <f>IF(COUNT($J$2:$J$1501)&gt;=35,35,"")</f>
        <v>35</v>
      </c>
      <c r="B36" s="8" t="str">
        <f t="shared" si="0"/>
        <v>Lopez Abutro Rene</v>
      </c>
      <c r="C36" s="8" t="str">
        <f t="shared" si="1"/>
        <v>Pachuca</v>
      </c>
      <c r="D36" s="8">
        <f t="shared" si="2"/>
        <v>0</v>
      </c>
      <c r="F36" s="4" t="str">
        <f>IF(Jugadores!B36="","",Jugadores!B36)</f>
        <v>Cordero Vega Alan</v>
      </c>
      <c r="G36" s="4" t="str">
        <f>IF(Jugadores!B36="","",Jugadores!A36)</f>
        <v>Tijuana</v>
      </c>
      <c r="H36" s="4">
        <f>IF(F36="","",SUMIF('Estadísticas Jugadores'!$F$2:$F$7001,F36,'Estadísticas Jugadores'!$I$2:$I$7001))</f>
        <v>0</v>
      </c>
      <c r="I36" s="4">
        <f t="shared" si="3"/>
        <v>-3.5999999999999998E-6</v>
      </c>
      <c r="J36" s="4">
        <f t="shared" si="4"/>
        <v>58</v>
      </c>
    </row>
    <row r="37" spans="1:10" ht="15" customHeight="1" x14ac:dyDescent="0.25">
      <c r="A37" s="8">
        <f>IF(COUNT($J$2:$J$1501)&gt;=36,36,"")</f>
        <v>36</v>
      </c>
      <c r="B37" s="8" t="str">
        <f t="shared" si="0"/>
        <v>Mozo Alan</v>
      </c>
      <c r="C37" s="8" t="str">
        <f t="shared" si="1"/>
        <v>Pachuca</v>
      </c>
      <c r="D37" s="8">
        <f t="shared" si="2"/>
        <v>0</v>
      </c>
      <c r="F37" s="4" t="str">
        <f>IF(Jugadores!B37="","",Jugadores!B37)</f>
        <v>Fernández Rafael</v>
      </c>
      <c r="G37" s="4" t="str">
        <f>IF(Jugadores!B37="","",Jugadores!A37)</f>
        <v>Tijuana</v>
      </c>
      <c r="H37" s="4">
        <f>IF(F37="","",SUMIF('Estadísticas Jugadores'!$F$2:$F$7001,F37,'Estadísticas Jugadores'!$I$2:$I$7001))</f>
        <v>0</v>
      </c>
      <c r="I37" s="4">
        <f t="shared" si="3"/>
        <v>-3.6999999999999997E-6</v>
      </c>
      <c r="J37" s="4">
        <f t="shared" si="4"/>
        <v>59</v>
      </c>
    </row>
    <row r="38" spans="1:10" ht="15" customHeight="1" x14ac:dyDescent="0.25">
      <c r="A38" s="8">
        <f>IF(COUNT($J$2:$J$1501)&gt;=37,37,"")</f>
        <v>37</v>
      </c>
      <c r="B38" s="8" t="str">
        <f t="shared" si="0"/>
        <v>Sanchez Carlos</v>
      </c>
      <c r="C38" s="8" t="str">
        <f t="shared" si="1"/>
        <v>Pachuca</v>
      </c>
      <c r="D38" s="8">
        <f t="shared" si="2"/>
        <v>0</v>
      </c>
      <c r="F38" s="4" t="str">
        <f>IF(Jugadores!B38="","",Jugadores!B38)</f>
        <v>Gomez Alejandro</v>
      </c>
      <c r="G38" s="4" t="str">
        <f>IF(Jugadores!B38="","",Jugadores!A38)</f>
        <v>Tijuana</v>
      </c>
      <c r="H38" s="4">
        <f>IF(F38="","",SUMIF('Estadísticas Jugadores'!$F$2:$F$7001,F38,'Estadísticas Jugadores'!$I$2:$I$7001))</f>
        <v>0</v>
      </c>
      <c r="I38" s="4">
        <f t="shared" si="3"/>
        <v>-3.8E-6</v>
      </c>
      <c r="J38" s="4">
        <f t="shared" si="4"/>
        <v>60</v>
      </c>
    </row>
    <row r="39" spans="1:10" ht="15" customHeight="1" x14ac:dyDescent="0.25">
      <c r="A39" s="8">
        <f>IF(COUNT($J$2:$J$1501)&gt;=38,38,"")</f>
        <v>38</v>
      </c>
      <c r="B39" s="8" t="str">
        <f t="shared" si="0"/>
        <v>Sánchez Moñino Edwin</v>
      </c>
      <c r="C39" s="8" t="str">
        <f t="shared" si="1"/>
        <v>Pachuca</v>
      </c>
      <c r="D39" s="8">
        <f t="shared" si="2"/>
        <v>0</v>
      </c>
      <c r="F39" s="4" t="str">
        <f>IF(Jugadores!B39="","",Jugadores!B39)</f>
        <v>Manzanarez Oscar</v>
      </c>
      <c r="G39" s="4" t="str">
        <f>IF(Jugadores!B39="","",Jugadores!A39)</f>
        <v>Tijuana</v>
      </c>
      <c r="H39" s="4">
        <f>IF(F39="","",SUMIF('Estadísticas Jugadores'!$F$2:$F$7001,F39,'Estadísticas Jugadores'!$I$2:$I$7001))</f>
        <v>0</v>
      </c>
      <c r="I39" s="4">
        <f t="shared" si="3"/>
        <v>-3.8999999999999999E-6</v>
      </c>
      <c r="J39" s="4">
        <f t="shared" si="4"/>
        <v>61</v>
      </c>
    </row>
    <row r="40" spans="1:10" ht="15" customHeight="1" x14ac:dyDescent="0.25">
      <c r="A40" s="8">
        <f>IF(COUNT($J$2:$J$1501)&gt;=39,39,"")</f>
        <v>39</v>
      </c>
      <c r="B40" s="8" t="str">
        <f t="shared" si="0"/>
        <v>Venegas Moreno Francisco Eduardo</v>
      </c>
      <c r="C40" s="8" t="str">
        <f t="shared" si="1"/>
        <v>Pachuca</v>
      </c>
      <c r="D40" s="8">
        <f t="shared" si="2"/>
        <v>0</v>
      </c>
      <c r="F40" s="4" t="str">
        <f>IF(Jugadores!B40="","",Jugadores!B40)</f>
        <v>Ortiz Orozco Pablo Nicolas</v>
      </c>
      <c r="G40" s="4" t="str">
        <f>IF(Jugadores!B40="","",Jugadores!A40)</f>
        <v>Tijuana</v>
      </c>
      <c r="H40" s="4">
        <f>IF(F40="","",SUMIF('Estadísticas Jugadores'!$F$2:$F$7001,F40,'Estadísticas Jugadores'!$I$2:$I$7001))</f>
        <v>0</v>
      </c>
      <c r="I40" s="4">
        <f t="shared" si="3"/>
        <v>-3.9999999999999998E-6</v>
      </c>
      <c r="J40" s="4">
        <f t="shared" si="4"/>
        <v>62</v>
      </c>
    </row>
    <row r="41" spans="1:10" ht="15" customHeight="1" x14ac:dyDescent="0.25">
      <c r="A41" s="8">
        <f>IF(COUNT($J$2:$J$1501)&gt;=40,40,"")</f>
        <v>40</v>
      </c>
      <c r="B41" s="8" t="str">
        <f t="shared" si="0"/>
        <v>Alvarez Gaël</v>
      </c>
      <c r="C41" s="8" t="str">
        <f t="shared" si="1"/>
        <v>Pachuca</v>
      </c>
      <c r="D41" s="8">
        <f t="shared" si="2"/>
        <v>0</v>
      </c>
      <c r="F41" s="4" t="str">
        <f>IF(Jugadores!B41="","",Jugadores!B41)</f>
        <v>Porozo Jackson</v>
      </c>
      <c r="G41" s="4" t="str">
        <f>IF(Jugadores!B41="","",Jugadores!A41)</f>
        <v>Tijuana</v>
      </c>
      <c r="H41" s="4">
        <f>IF(F41="","",SUMIF('Estadísticas Jugadores'!$F$2:$F$7001,F41,'Estadísticas Jugadores'!$I$2:$I$7001))</f>
        <v>0</v>
      </c>
      <c r="I41" s="4">
        <f t="shared" si="3"/>
        <v>-4.0999999999999997E-6</v>
      </c>
      <c r="J41" s="4">
        <f t="shared" si="4"/>
        <v>63</v>
      </c>
    </row>
    <row r="42" spans="1:10" ht="15" customHeight="1" x14ac:dyDescent="0.25">
      <c r="A42" s="8">
        <f>IF(COUNT($J$2:$J$1501)&gt;=41,41,"")</f>
        <v>41</v>
      </c>
      <c r="B42" s="8" t="str">
        <f t="shared" si="0"/>
        <v>Bautista Alan</v>
      </c>
      <c r="C42" s="8" t="str">
        <f t="shared" si="1"/>
        <v>Pachuca</v>
      </c>
      <c r="D42" s="8">
        <f t="shared" si="2"/>
        <v>0</v>
      </c>
      <c r="F42" s="4" t="str">
        <f>IF(Jugadores!B42="","",Jugadores!B42)</f>
        <v>Arciga Ramiro</v>
      </c>
      <c r="G42" s="4" t="str">
        <f>IF(Jugadores!B42="","",Jugadores!A42)</f>
        <v>Tijuana</v>
      </c>
      <c r="H42" s="4">
        <f>IF(F42="","",SUMIF('Estadísticas Jugadores'!$F$2:$F$7001,F42,'Estadísticas Jugadores'!$I$2:$I$7001))</f>
        <v>1</v>
      </c>
      <c r="I42" s="4">
        <f t="shared" si="3"/>
        <v>999.99999579999997</v>
      </c>
      <c r="J42" s="4">
        <f t="shared" si="4"/>
        <v>6</v>
      </c>
    </row>
    <row r="43" spans="1:10" ht="15" customHeight="1" x14ac:dyDescent="0.25">
      <c r="A43" s="8">
        <f>IF(COUNT($J$2:$J$1501)&gt;=42,42,"")</f>
        <v>42</v>
      </c>
      <c r="B43" s="8" t="str">
        <f t="shared" si="0"/>
        <v>Contreras Ari</v>
      </c>
      <c r="C43" s="8" t="str">
        <f t="shared" si="1"/>
        <v>Pachuca</v>
      </c>
      <c r="D43" s="8">
        <f t="shared" si="2"/>
        <v>0</v>
      </c>
      <c r="F43" s="4" t="str">
        <f>IF(Jugadores!B43="","",Jugadores!B43)</f>
        <v>Boya Frank</v>
      </c>
      <c r="G43" s="4" t="str">
        <f>IF(Jugadores!B43="","",Jugadores!A43)</f>
        <v>Tijuana</v>
      </c>
      <c r="H43" s="4">
        <f>IF(F43="","",SUMIF('Estadísticas Jugadores'!$F$2:$F$7001,F43,'Estadísticas Jugadores'!$I$2:$I$7001))</f>
        <v>0</v>
      </c>
      <c r="I43" s="4">
        <f t="shared" si="3"/>
        <v>-4.2999999999999995E-6</v>
      </c>
      <c r="J43" s="4">
        <f t="shared" si="4"/>
        <v>64</v>
      </c>
    </row>
    <row r="44" spans="1:10" ht="15" customHeight="1" x14ac:dyDescent="0.25">
      <c r="A44" s="8">
        <f>IF(COUNT($J$2:$J$1501)&gt;=43,43,"")</f>
        <v>43</v>
      </c>
      <c r="B44" s="8" t="str">
        <f t="shared" si="0"/>
        <v>Pizarro Rodolfo</v>
      </c>
      <c r="C44" s="8" t="str">
        <f t="shared" si="1"/>
        <v>Pachuca</v>
      </c>
      <c r="D44" s="8">
        <f t="shared" si="2"/>
        <v>0</v>
      </c>
      <c r="F44" s="4" t="str">
        <f>IF(Jugadores!B44="","",Jugadores!B44)</f>
        <v>Escamilla Kevin</v>
      </c>
      <c r="G44" s="4" t="str">
        <f>IF(Jugadores!B44="","",Jugadores!A44)</f>
        <v>Tijuana</v>
      </c>
      <c r="H44" s="4">
        <f>IF(F44="","",SUMIF('Estadísticas Jugadores'!$F$2:$F$7001,F44,'Estadísticas Jugadores'!$I$2:$I$7001))</f>
        <v>0</v>
      </c>
      <c r="I44" s="4">
        <f t="shared" si="3"/>
        <v>-4.4000000000000002E-6</v>
      </c>
      <c r="J44" s="4">
        <f t="shared" si="4"/>
        <v>65</v>
      </c>
    </row>
    <row r="45" spans="1:10" ht="15" customHeight="1" x14ac:dyDescent="0.25">
      <c r="A45" s="8">
        <f>IF(COUNT($J$2:$J$1501)&gt;=44,44,"")</f>
        <v>44</v>
      </c>
      <c r="B45" s="8" t="str">
        <f t="shared" si="0"/>
        <v>Rivera Christian</v>
      </c>
      <c r="C45" s="8" t="str">
        <f t="shared" si="1"/>
        <v>Pachuca</v>
      </c>
      <c r="D45" s="8">
        <f t="shared" si="2"/>
        <v>0</v>
      </c>
      <c r="F45" s="4" t="str">
        <f>IF(Jugadores!B45="","",Jugadores!B45)</f>
        <v>Gonzalez Joban</v>
      </c>
      <c r="G45" s="4" t="str">
        <f>IF(Jugadores!B45="","",Jugadores!A45)</f>
        <v>Tijuana</v>
      </c>
      <c r="H45" s="4">
        <f>IF(F45="","",SUMIF('Estadísticas Jugadores'!$F$2:$F$7001,F45,'Estadísticas Jugadores'!$I$2:$I$7001))</f>
        <v>0</v>
      </c>
      <c r="I45" s="4">
        <f t="shared" si="3"/>
        <v>-4.5000000000000001E-6</v>
      </c>
      <c r="J45" s="4">
        <f t="shared" si="4"/>
        <v>66</v>
      </c>
    </row>
    <row r="46" spans="1:10" ht="15" customHeight="1" x14ac:dyDescent="0.25">
      <c r="A46" s="8">
        <f>IF(COUNT($J$2:$J$1501)&gt;=45,45,"")</f>
        <v>45</v>
      </c>
      <c r="B46" s="8" t="str">
        <f t="shared" si="0"/>
        <v>Rodriguez Sergio</v>
      </c>
      <c r="C46" s="8" t="str">
        <f t="shared" si="1"/>
        <v>Pachuca</v>
      </c>
      <c r="D46" s="8">
        <f t="shared" si="2"/>
        <v>0</v>
      </c>
      <c r="F46" s="4" t="str">
        <f>IF(Jugadores!B46="","",Jugadores!B46)</f>
        <v>Mora Gilberto</v>
      </c>
      <c r="G46" s="4" t="str">
        <f>IF(Jugadores!B46="","",Jugadores!A46)</f>
        <v>Tijuana</v>
      </c>
      <c r="H46" s="4">
        <f>IF(F46="","",SUMIF('Estadísticas Jugadores'!$F$2:$F$7001,F46,'Estadísticas Jugadores'!$I$2:$I$7001))</f>
        <v>0</v>
      </c>
      <c r="I46" s="4">
        <f t="shared" si="3"/>
        <v>-4.6E-6</v>
      </c>
      <c r="J46" s="4">
        <f t="shared" si="4"/>
        <v>67</v>
      </c>
    </row>
    <row r="47" spans="1:10" ht="15" customHeight="1" x14ac:dyDescent="0.25">
      <c r="A47" s="8">
        <f>IF(COUNT($J$2:$J$1501)&gt;=46,46,"")</f>
        <v>46</v>
      </c>
      <c r="B47" s="8" t="str">
        <f t="shared" si="0"/>
        <v>Alcaraz Adrián</v>
      </c>
      <c r="C47" s="8" t="str">
        <f t="shared" si="1"/>
        <v>Pachuca</v>
      </c>
      <c r="D47" s="8">
        <f t="shared" si="2"/>
        <v>0</v>
      </c>
      <c r="F47" s="4" t="str">
        <f>IF(Jugadores!B47="","",Jugadores!B47)</f>
        <v>Orduno Jesús</v>
      </c>
      <c r="G47" s="4" t="str">
        <f>IF(Jugadores!B47="","",Jugadores!A47)</f>
        <v>Tijuana</v>
      </c>
      <c r="H47" s="4">
        <f>IF(F47="","",SUMIF('Estadísticas Jugadores'!$F$2:$F$7001,F47,'Estadísticas Jugadores'!$I$2:$I$7001))</f>
        <v>0</v>
      </c>
      <c r="I47" s="4">
        <f t="shared" si="3"/>
        <v>-4.6999999999999999E-6</v>
      </c>
      <c r="J47" s="4">
        <f t="shared" si="4"/>
        <v>68</v>
      </c>
    </row>
    <row r="48" spans="1:10" ht="15" customHeight="1" x14ac:dyDescent="0.25">
      <c r="A48" s="8">
        <f>IF(COUNT($J$2:$J$1501)&gt;=47,47,"")</f>
        <v>47</v>
      </c>
      <c r="B48" s="8" t="str">
        <f t="shared" si="0"/>
        <v>Dominguez Alexei</v>
      </c>
      <c r="C48" s="8" t="str">
        <f t="shared" si="1"/>
        <v>Pachuca</v>
      </c>
      <c r="D48" s="8">
        <f t="shared" si="2"/>
        <v>0</v>
      </c>
      <c r="F48" s="4" t="str">
        <f>IF(Jugadores!B48="","",Jugadores!B48)</f>
        <v>Padilla German</v>
      </c>
      <c r="G48" s="4" t="str">
        <f>IF(Jugadores!B48="","",Jugadores!A48)</f>
        <v>Tijuana</v>
      </c>
      <c r="H48" s="4">
        <f>IF(F48="","",SUMIF('Estadísticas Jugadores'!$F$2:$F$7001,F48,'Estadísticas Jugadores'!$I$2:$I$7001))</f>
        <v>0</v>
      </c>
      <c r="I48" s="4">
        <f t="shared" si="3"/>
        <v>-4.7999999999999998E-6</v>
      </c>
      <c r="J48" s="4">
        <f t="shared" si="4"/>
        <v>69</v>
      </c>
    </row>
    <row r="49" spans="1:10" ht="15" customHeight="1" x14ac:dyDescent="0.25">
      <c r="A49" s="8">
        <f>IF(COUNT($J$2:$J$1501)&gt;=48,48,"")</f>
        <v>48</v>
      </c>
      <c r="B49" s="8" t="str">
        <f t="shared" si="0"/>
        <v>Hernandez Cristobal</v>
      </c>
      <c r="C49" s="8" t="str">
        <f t="shared" si="1"/>
        <v>Pachuca</v>
      </c>
      <c r="D49" s="8">
        <f t="shared" si="2"/>
        <v>0</v>
      </c>
      <c r="F49" s="4" t="str">
        <f>IF(Jugadores!B49="","",Jugadores!B49)</f>
        <v>Padilla Nanitamo</v>
      </c>
      <c r="G49" s="4" t="str">
        <f>IF(Jugadores!B49="","",Jugadores!A49)</f>
        <v>Tijuana</v>
      </c>
      <c r="H49" s="4">
        <f>IF(F49="","",SUMIF('Estadísticas Jugadores'!$F$2:$F$7001,F49,'Estadísticas Jugadores'!$I$2:$I$7001))</f>
        <v>0</v>
      </c>
      <c r="I49" s="4">
        <f t="shared" si="3"/>
        <v>-4.8999999999999997E-6</v>
      </c>
      <c r="J49" s="4">
        <f t="shared" si="4"/>
        <v>70</v>
      </c>
    </row>
    <row r="50" spans="1:10" ht="15" customHeight="1" x14ac:dyDescent="0.25">
      <c r="A50" s="8">
        <f>IF(COUNT($J$2:$J$1501)&gt;=49,49,"")</f>
        <v>49</v>
      </c>
      <c r="B50" s="8" t="str">
        <f t="shared" si="0"/>
        <v>Hernández Illian</v>
      </c>
      <c r="C50" s="8" t="str">
        <f t="shared" si="1"/>
        <v>Pachuca</v>
      </c>
      <c r="D50" s="8">
        <f t="shared" si="2"/>
        <v>0</v>
      </c>
      <c r="F50" s="4" t="str">
        <f>IF(Jugadores!B50="","",Jugadores!B50)</f>
        <v>Perez Aldahir</v>
      </c>
      <c r="G50" s="4" t="str">
        <f>IF(Jugadores!B50="","",Jugadores!A50)</f>
        <v>Tijuana</v>
      </c>
      <c r="H50" s="4">
        <f>IF(F50="","",SUMIF('Estadísticas Jugadores'!$F$2:$F$7001,F50,'Estadísticas Jugadores'!$I$2:$I$7001))</f>
        <v>0</v>
      </c>
      <c r="I50" s="4">
        <f t="shared" si="3"/>
        <v>-4.9999999999999996E-6</v>
      </c>
      <c r="J50" s="4">
        <f t="shared" si="4"/>
        <v>71</v>
      </c>
    </row>
    <row r="51" spans="1:10" ht="15" customHeight="1" x14ac:dyDescent="0.25">
      <c r="A51" s="8">
        <f>IF(COUNT($J$2:$J$1501)&gt;=50,50,"")</f>
        <v>50</v>
      </c>
      <c r="B51" s="8" t="str">
        <f t="shared" si="0"/>
        <v>Idrissi Oussama</v>
      </c>
      <c r="C51" s="8" t="str">
        <f t="shared" si="1"/>
        <v>Pachuca</v>
      </c>
      <c r="D51" s="8">
        <f t="shared" si="2"/>
        <v>0</v>
      </c>
      <c r="F51" s="4" t="str">
        <f>IF(Jugadores!B51="","",Jugadores!B51)</f>
        <v>Preciado Quintero Adonis Stalin</v>
      </c>
      <c r="G51" s="4" t="str">
        <f>IF(Jugadores!B51="","",Jugadores!A51)</f>
        <v>Tijuana</v>
      </c>
      <c r="H51" s="4">
        <f>IF(F51="","",SUMIF('Estadísticas Jugadores'!$F$2:$F$7001,F51,'Estadísticas Jugadores'!$I$2:$I$7001))</f>
        <v>0</v>
      </c>
      <c r="I51" s="4">
        <f t="shared" si="3"/>
        <v>-5.0999999999999995E-6</v>
      </c>
      <c r="J51" s="4">
        <f t="shared" si="4"/>
        <v>72</v>
      </c>
    </row>
    <row r="52" spans="1:10" ht="15" customHeight="1" x14ac:dyDescent="0.25">
      <c r="A52" s="8">
        <f>IF(COUNT($J$2:$J$1501)&gt;=51,51,"")</f>
        <v>51</v>
      </c>
      <c r="B52" s="8" t="str">
        <f t="shared" si="0"/>
        <v>Kenedy</v>
      </c>
      <c r="C52" s="8" t="str">
        <f t="shared" si="1"/>
        <v>Pachuca</v>
      </c>
      <c r="D52" s="8">
        <f t="shared" si="2"/>
        <v>0</v>
      </c>
      <c r="F52" s="4" t="str">
        <f>IF(Jugadores!B52="","",Jugadores!B52)</f>
        <v>Rivero Ignacio</v>
      </c>
      <c r="G52" s="4" t="str">
        <f>IF(Jugadores!B52="","",Jugadores!A52)</f>
        <v>Tijuana</v>
      </c>
      <c r="H52" s="4">
        <f>IF(F52="","",SUMIF('Estadísticas Jugadores'!$F$2:$F$7001,F52,'Estadísticas Jugadores'!$I$2:$I$7001))</f>
        <v>0</v>
      </c>
      <c r="I52" s="4">
        <f t="shared" si="3"/>
        <v>-5.1999999999999993E-6</v>
      </c>
      <c r="J52" s="4">
        <f t="shared" si="4"/>
        <v>73</v>
      </c>
    </row>
    <row r="53" spans="1:10" ht="15" customHeight="1" x14ac:dyDescent="0.25">
      <c r="A53" s="8">
        <f>IF(COUNT($J$2:$J$1501)&gt;=52,52,"")</f>
        <v>52</v>
      </c>
      <c r="B53" s="8" t="str">
        <f t="shared" si="0"/>
        <v>Mendez Daniel</v>
      </c>
      <c r="C53" s="8" t="str">
        <f t="shared" si="1"/>
        <v>Pachuca</v>
      </c>
      <c r="D53" s="8">
        <f t="shared" si="2"/>
        <v>0</v>
      </c>
      <c r="F53" s="4" t="str">
        <f>IF(Jugadores!B53="","",Jugadores!B53)</f>
        <v>Tona Ivan</v>
      </c>
      <c r="G53" s="4" t="str">
        <f>IF(Jugadores!B53="","",Jugadores!A53)</f>
        <v>Tijuana</v>
      </c>
      <c r="H53" s="4">
        <f>IF(F53="","",SUMIF('Estadísticas Jugadores'!$F$2:$F$7001,F53,'Estadísticas Jugadores'!$I$2:$I$7001))</f>
        <v>0</v>
      </c>
      <c r="I53" s="4">
        <f t="shared" si="3"/>
        <v>-5.3000000000000001E-6</v>
      </c>
      <c r="J53" s="4">
        <f t="shared" si="4"/>
        <v>74</v>
      </c>
    </row>
    <row r="54" spans="1:10" ht="15" customHeight="1" x14ac:dyDescent="0.25">
      <c r="A54" s="8">
        <f>IF(COUNT($J$2:$J$1501)&gt;=53,53,"")</f>
        <v>53</v>
      </c>
      <c r="B54" s="8" t="str">
        <f t="shared" si="0"/>
        <v>Ramirez Jonatan</v>
      </c>
      <c r="C54" s="8" t="str">
        <f t="shared" si="1"/>
        <v>Pachuca</v>
      </c>
      <c r="D54" s="8">
        <f t="shared" si="2"/>
        <v>0</v>
      </c>
      <c r="F54" s="4" t="str">
        <f>IF(Jugadores!B54="","",Jugadores!B54)</f>
        <v>Zapata Angel</v>
      </c>
      <c r="G54" s="4" t="str">
        <f>IF(Jugadores!B54="","",Jugadores!A54)</f>
        <v>Tijuana</v>
      </c>
      <c r="H54" s="4">
        <f>IF(F54="","",SUMIF('Estadísticas Jugadores'!$F$2:$F$7001,F54,'Estadísticas Jugadores'!$I$2:$I$7001))</f>
        <v>0</v>
      </c>
      <c r="I54" s="4">
        <f t="shared" si="3"/>
        <v>-5.4E-6</v>
      </c>
      <c r="J54" s="4">
        <f t="shared" si="4"/>
        <v>75</v>
      </c>
    </row>
    <row r="55" spans="1:10" ht="15" customHeight="1" x14ac:dyDescent="0.25">
      <c r="A55" s="8">
        <f>IF(COUNT($J$2:$J$1501)&gt;=54,54,"")</f>
        <v>54</v>
      </c>
      <c r="B55" s="8" t="str">
        <f t="shared" si="0"/>
        <v>Vallejo Nicolas</v>
      </c>
      <c r="C55" s="8" t="str">
        <f t="shared" si="1"/>
        <v>Pachuca</v>
      </c>
      <c r="D55" s="8">
        <f t="shared" si="2"/>
        <v>0</v>
      </c>
      <c r="F55" s="4" t="str">
        <f>IF(Jugadores!B55="","",Jugadores!B55)</f>
        <v>Abreu Diego</v>
      </c>
      <c r="G55" s="4" t="str">
        <f>IF(Jugadores!B55="","",Jugadores!A55)</f>
        <v>Tijuana</v>
      </c>
      <c r="H55" s="4">
        <f>IF(F55="","",SUMIF('Estadísticas Jugadores'!$F$2:$F$7001,F55,'Estadísticas Jugadores'!$I$2:$I$7001))</f>
        <v>0</v>
      </c>
      <c r="I55" s="4">
        <f t="shared" si="3"/>
        <v>-5.4999999999999999E-6</v>
      </c>
      <c r="J55" s="4">
        <f t="shared" si="4"/>
        <v>76</v>
      </c>
    </row>
    <row r="56" spans="1:10" ht="15" customHeight="1" x14ac:dyDescent="0.25">
      <c r="A56" s="8">
        <f>IF(COUNT($J$2:$J$1501)&gt;=55,55,"")</f>
        <v>55</v>
      </c>
      <c r="B56" s="8" t="str">
        <f t="shared" si="0"/>
        <v>Hernández Jorge</v>
      </c>
      <c r="C56" s="8" t="str">
        <f t="shared" si="1"/>
        <v>Tijuana</v>
      </c>
      <c r="D56" s="8">
        <f t="shared" si="2"/>
        <v>0</v>
      </c>
      <c r="F56" s="4" t="str">
        <f>IF(Jugadores!B56="","",Jugadores!B56)</f>
        <v>El Ghezouani Mourad</v>
      </c>
      <c r="G56" s="4" t="str">
        <f>IF(Jugadores!B56="","",Jugadores!A56)</f>
        <v>Tijuana</v>
      </c>
      <c r="H56" s="4">
        <f>IF(F56="","",SUMIF('Estadísticas Jugadores'!$F$2:$F$7001,F56,'Estadísticas Jugadores'!$I$2:$I$7001))</f>
        <v>2</v>
      </c>
      <c r="I56" s="4">
        <f t="shared" si="3"/>
        <v>1999.9999944000001</v>
      </c>
      <c r="J56" s="4">
        <f t="shared" si="4"/>
        <v>2</v>
      </c>
    </row>
    <row r="57" spans="1:10" ht="15" customHeight="1" x14ac:dyDescent="0.25">
      <c r="A57" s="8">
        <f>IF(COUNT($J$2:$J$1501)&gt;=56,56,"")</f>
        <v>56</v>
      </c>
      <c r="B57" s="8" t="str">
        <f t="shared" si="0"/>
        <v>Rodríguez Antonio</v>
      </c>
      <c r="C57" s="8" t="str">
        <f t="shared" si="1"/>
        <v>Tijuana</v>
      </c>
      <c r="D57" s="8">
        <f t="shared" si="2"/>
        <v>0</v>
      </c>
      <c r="F57" s="4" t="str">
        <f>IF(Jugadores!B57="","",Jugadores!B57)</f>
        <v>Leyva Christian</v>
      </c>
      <c r="G57" s="4" t="str">
        <f>IF(Jugadores!B57="","",Jugadores!A57)</f>
        <v>Tijuana</v>
      </c>
      <c r="H57" s="4">
        <f>IF(F57="","",SUMIF('Estadísticas Jugadores'!$F$2:$F$7001,F57,'Estadísticas Jugadores'!$I$2:$I$7001))</f>
        <v>0</v>
      </c>
      <c r="I57" s="4">
        <f t="shared" si="3"/>
        <v>-5.6999999999999996E-6</v>
      </c>
      <c r="J57" s="4">
        <f t="shared" si="4"/>
        <v>77</v>
      </c>
    </row>
    <row r="58" spans="1:10" ht="15" customHeight="1" x14ac:dyDescent="0.25">
      <c r="A58" s="8">
        <f>IF(COUNT($J$2:$J$1501)&gt;=57,57,"")</f>
        <v>57</v>
      </c>
      <c r="B58" s="8" t="str">
        <f t="shared" si="0"/>
        <v>Bilbao Arteta Unai</v>
      </c>
      <c r="C58" s="8" t="str">
        <f t="shared" si="1"/>
        <v>Tijuana</v>
      </c>
      <c r="D58" s="8">
        <f t="shared" si="2"/>
        <v>0</v>
      </c>
      <c r="F58" s="4" t="str">
        <f>IF(Jugadores!B58="","",Jugadores!B58)</f>
        <v>Magallon Alejandro</v>
      </c>
      <c r="G58" s="4" t="str">
        <f>IF(Jugadores!B58="","",Jugadores!A58)</f>
        <v>Tijuana</v>
      </c>
      <c r="H58" s="4">
        <f>IF(F58="","",SUMIF('Estadísticas Jugadores'!$F$2:$F$7001,F58,'Estadísticas Jugadores'!$I$2:$I$7001))</f>
        <v>0</v>
      </c>
      <c r="I58" s="4">
        <f t="shared" si="3"/>
        <v>-5.7999999999999995E-6</v>
      </c>
      <c r="J58" s="4">
        <f t="shared" si="4"/>
        <v>78</v>
      </c>
    </row>
    <row r="59" spans="1:10" ht="15" customHeight="1" x14ac:dyDescent="0.25">
      <c r="A59" s="8">
        <f>IF(COUNT($J$2:$J$1501)&gt;=58,58,"")</f>
        <v>58</v>
      </c>
      <c r="B59" s="8" t="str">
        <f t="shared" si="0"/>
        <v>Cordero Vega Alan</v>
      </c>
      <c r="C59" s="8" t="str">
        <f t="shared" si="1"/>
        <v>Tijuana</v>
      </c>
      <c r="D59" s="8">
        <f t="shared" si="2"/>
        <v>0</v>
      </c>
      <c r="F59" s="4" t="str">
        <f>IF(Jugadores!B59="","",Jugadores!B59)</f>
        <v>Martinez Josef</v>
      </c>
      <c r="G59" s="4" t="str">
        <f>IF(Jugadores!B59="","",Jugadores!A59)</f>
        <v>Tijuana</v>
      </c>
      <c r="H59" s="4">
        <f>IF(F59="","",SUMIF('Estadísticas Jugadores'!$F$2:$F$7001,F59,'Estadísticas Jugadores'!$I$2:$I$7001))</f>
        <v>0</v>
      </c>
      <c r="I59" s="4">
        <f t="shared" si="3"/>
        <v>-5.8999999999999994E-6</v>
      </c>
      <c r="J59" s="4">
        <f t="shared" si="4"/>
        <v>79</v>
      </c>
    </row>
    <row r="60" spans="1:10" ht="15" customHeight="1" x14ac:dyDescent="0.25">
      <c r="A60" s="8">
        <f>IF(COUNT($J$2:$J$1501)&gt;=59,59,"")</f>
        <v>59</v>
      </c>
      <c r="B60" s="8" t="str">
        <f t="shared" si="0"/>
        <v>Fernández Rafael</v>
      </c>
      <c r="C60" s="8" t="str">
        <f t="shared" si="1"/>
        <v>Tijuana</v>
      </c>
      <c r="D60" s="8">
        <f t="shared" si="2"/>
        <v>0</v>
      </c>
      <c r="F60" s="4" t="str">
        <f>IF(Jugadores!B60="","",Jugadores!B60)</f>
        <v>Garcia Palomera Luis Manuel</v>
      </c>
      <c r="G60" s="4" t="str">
        <f>IF(Jugadores!B60="","",Jugadores!A60)</f>
        <v>Toluca</v>
      </c>
      <c r="H60" s="4">
        <f>IF(F60="","",SUMIF('Estadísticas Jugadores'!$F$2:$F$7001,F60,'Estadísticas Jugadores'!$I$2:$I$7001))</f>
        <v>0</v>
      </c>
      <c r="I60" s="4">
        <f t="shared" si="3"/>
        <v>-6.0000000000000002E-6</v>
      </c>
      <c r="J60" s="4">
        <f t="shared" si="4"/>
        <v>80</v>
      </c>
    </row>
    <row r="61" spans="1:10" ht="15" customHeight="1" x14ac:dyDescent="0.25">
      <c r="A61" s="8">
        <f>IF(COUNT($J$2:$J$1501)&gt;=60,60,"")</f>
        <v>60</v>
      </c>
      <c r="B61" s="8" t="str">
        <f t="shared" si="0"/>
        <v>Gomez Alejandro</v>
      </c>
      <c r="C61" s="8" t="str">
        <f t="shared" si="1"/>
        <v>Tijuana</v>
      </c>
      <c r="D61" s="8">
        <f t="shared" si="2"/>
        <v>0</v>
      </c>
      <c r="F61" s="4" t="str">
        <f>IF(Jugadores!B61="","",Jugadores!B61)</f>
        <v>Gonzalez Duran Hugo Alfonso</v>
      </c>
      <c r="G61" s="4" t="str">
        <f>IF(Jugadores!B61="","",Jugadores!A61)</f>
        <v>Toluca</v>
      </c>
      <c r="H61" s="4">
        <f>IF(F61="","",SUMIF('Estadísticas Jugadores'!$F$2:$F$7001,F61,'Estadísticas Jugadores'!$I$2:$I$7001))</f>
        <v>0</v>
      </c>
      <c r="I61" s="4">
        <f t="shared" si="3"/>
        <v>-6.1E-6</v>
      </c>
      <c r="J61" s="4">
        <f t="shared" si="4"/>
        <v>81</v>
      </c>
    </row>
    <row r="62" spans="1:10" ht="15" customHeight="1" x14ac:dyDescent="0.25">
      <c r="A62" s="8">
        <f>IF(COUNT($J$2:$J$1501)&gt;=61,61,"")</f>
        <v>61</v>
      </c>
      <c r="B62" s="8" t="str">
        <f t="shared" si="0"/>
        <v>Manzanarez Oscar</v>
      </c>
      <c r="C62" s="8" t="str">
        <f t="shared" si="1"/>
        <v>Tijuana</v>
      </c>
      <c r="D62" s="8">
        <f t="shared" si="2"/>
        <v>0</v>
      </c>
      <c r="F62" s="4" t="str">
        <f>IF(Jugadores!B62="","",Jugadores!B62)</f>
        <v>Aceves Sebastian</v>
      </c>
      <c r="G62" s="4" t="str">
        <f>IF(Jugadores!B62="","",Jugadores!A62)</f>
        <v>Toluca</v>
      </c>
      <c r="H62" s="4">
        <f>IF(F62="","",SUMIF('Estadísticas Jugadores'!$F$2:$F$7001,F62,'Estadísticas Jugadores'!$I$2:$I$7001))</f>
        <v>0</v>
      </c>
      <c r="I62" s="4">
        <f t="shared" si="3"/>
        <v>-6.1999999999999999E-6</v>
      </c>
      <c r="J62" s="4">
        <f t="shared" si="4"/>
        <v>82</v>
      </c>
    </row>
    <row r="63" spans="1:10" ht="15" customHeight="1" x14ac:dyDescent="0.25">
      <c r="A63" s="8">
        <f>IF(COUNT($J$2:$J$1501)&gt;=62,62,"")</f>
        <v>62</v>
      </c>
      <c r="B63" s="8" t="str">
        <f t="shared" si="0"/>
        <v>Ortiz Orozco Pablo Nicolas</v>
      </c>
      <c r="C63" s="8" t="str">
        <f t="shared" si="1"/>
        <v>Tijuana</v>
      </c>
      <c r="D63" s="8">
        <f t="shared" si="2"/>
        <v>0</v>
      </c>
      <c r="F63" s="4" t="str">
        <f>IF(Jugadores!B63="","",Jugadores!B63)</f>
        <v>Barbosa Diego</v>
      </c>
      <c r="G63" s="4" t="str">
        <f>IF(Jugadores!B63="","",Jugadores!A63)</f>
        <v>Toluca</v>
      </c>
      <c r="H63" s="4">
        <f>IF(F63="","",SUMIF('Estadísticas Jugadores'!$F$2:$F$7001,F63,'Estadísticas Jugadores'!$I$2:$I$7001))</f>
        <v>0</v>
      </c>
      <c r="I63" s="4">
        <f t="shared" si="3"/>
        <v>-6.2999999999999998E-6</v>
      </c>
      <c r="J63" s="4">
        <f t="shared" si="4"/>
        <v>83</v>
      </c>
    </row>
    <row r="64" spans="1:10" ht="15" customHeight="1" x14ac:dyDescent="0.25">
      <c r="A64" s="8">
        <f>IF(COUNT($J$2:$J$1501)&gt;=63,63,"")</f>
        <v>63</v>
      </c>
      <c r="B64" s="8" t="str">
        <f t="shared" si="0"/>
        <v>Porozo Jackson</v>
      </c>
      <c r="C64" s="8" t="str">
        <f t="shared" si="1"/>
        <v>Tijuana</v>
      </c>
      <c r="D64" s="8">
        <f t="shared" si="2"/>
        <v>0</v>
      </c>
      <c r="F64" s="4" t="str">
        <f>IF(Jugadores!B64="","",Jugadores!B64)</f>
        <v>Briseno Antonio</v>
      </c>
      <c r="G64" s="4" t="str">
        <f>IF(Jugadores!B64="","",Jugadores!A64)</f>
        <v>Toluca</v>
      </c>
      <c r="H64" s="4">
        <f>IF(F64="","",SUMIF('Estadísticas Jugadores'!$F$2:$F$7001,F64,'Estadísticas Jugadores'!$I$2:$I$7001))</f>
        <v>0</v>
      </c>
      <c r="I64" s="4">
        <f t="shared" si="3"/>
        <v>-6.3999999999999997E-6</v>
      </c>
      <c r="J64" s="4">
        <f t="shared" si="4"/>
        <v>84</v>
      </c>
    </row>
    <row r="65" spans="1:10" ht="15" customHeight="1" x14ac:dyDescent="0.25">
      <c r="A65" s="8">
        <f>IF(COUNT($J$2:$J$1501)&gt;=64,64,"")</f>
        <v>64</v>
      </c>
      <c r="B65" s="8" t="str">
        <f t="shared" si="0"/>
        <v>Boya Frank</v>
      </c>
      <c r="C65" s="8" t="str">
        <f t="shared" si="1"/>
        <v>Tijuana</v>
      </c>
      <c r="D65" s="8">
        <f t="shared" si="2"/>
        <v>0</v>
      </c>
      <c r="F65" s="4" t="str">
        <f>IF(Jugadores!B65="","",Jugadores!B65)</f>
        <v>Bruno Méndez</v>
      </c>
      <c r="G65" s="4" t="str">
        <f>IF(Jugadores!B65="","",Jugadores!A65)</f>
        <v>Toluca</v>
      </c>
      <c r="H65" s="4">
        <f>IF(F65="","",SUMIF('Estadísticas Jugadores'!$F$2:$F$7001,F65,'Estadísticas Jugadores'!$I$2:$I$7001))</f>
        <v>0</v>
      </c>
      <c r="I65" s="4">
        <f t="shared" si="3"/>
        <v>-6.4999999999999996E-6</v>
      </c>
      <c r="J65" s="4">
        <f t="shared" si="4"/>
        <v>85</v>
      </c>
    </row>
    <row r="66" spans="1:10" ht="15" customHeight="1" x14ac:dyDescent="0.25">
      <c r="A66" s="8">
        <f>IF(COUNT($J$2:$J$1501)&gt;=65,65,"")</f>
        <v>65</v>
      </c>
      <c r="B66" s="8" t="str">
        <f t="shared" ref="B66:B129" si="5">IF($A66="","",INDEX($F$2:$F$1501,MATCH($A66,$J$2:$J$1501,0)))</f>
        <v>Escamilla Kevin</v>
      </c>
      <c r="C66" s="8" t="str">
        <f t="shared" ref="C66:C129" si="6">IF($A66="","",INDEX($G$2:$G$1501,MATCH($A66,$J$2:$J$1501,0)))</f>
        <v>Tijuana</v>
      </c>
      <c r="D66" s="8">
        <f t="shared" ref="D66:D129" si="7">IF($A66="","",INDEX($H$2:$H$1501,MATCH($A66,$J$2:$J$1501,0)))</f>
        <v>0</v>
      </c>
      <c r="F66" s="4" t="str">
        <f>IF(Jugadores!B66="","",Jugadores!B66)</f>
        <v>Gallardo Jesus</v>
      </c>
      <c r="G66" s="4" t="str">
        <f>IF(Jugadores!B66="","",Jugadores!A66)</f>
        <v>Toluca</v>
      </c>
      <c r="H66" s="4">
        <f>IF(F66="","",SUMIF('Estadísticas Jugadores'!$F$2:$F$7001,F66,'Estadísticas Jugadores'!$I$2:$I$7001))</f>
        <v>1</v>
      </c>
      <c r="I66" s="4">
        <f t="shared" ref="I66:I129" si="8">IF(F66="","",H66*1000-ROW()*0.0000001)</f>
        <v>999.99999339999999</v>
      </c>
      <c r="J66" s="4">
        <f t="shared" ref="J66:J129" si="9">IF(F66="","",RANK(I66,$I$2:$I$1501))</f>
        <v>7</v>
      </c>
    </row>
    <row r="67" spans="1:10" ht="15" customHeight="1" x14ac:dyDescent="0.25">
      <c r="A67" s="8">
        <f>IF(COUNT($J$2:$J$1501)&gt;=66,66,"")</f>
        <v>66</v>
      </c>
      <c r="B67" s="8" t="str">
        <f t="shared" si="5"/>
        <v>Gonzalez Joban</v>
      </c>
      <c r="C67" s="8" t="str">
        <f t="shared" si="6"/>
        <v>Tijuana</v>
      </c>
      <c r="D67" s="8">
        <f t="shared" si="7"/>
        <v>0</v>
      </c>
      <c r="F67" s="4" t="str">
        <f>IF(Jugadores!B67="","",Jugadores!B67)</f>
        <v>Garcia Caprizo Brian Alberto</v>
      </c>
      <c r="G67" s="4" t="str">
        <f>IF(Jugadores!B67="","",Jugadores!A67)</f>
        <v>Toluca</v>
      </c>
      <c r="H67" s="4">
        <f>IF(F67="","",SUMIF('Estadísticas Jugadores'!$F$2:$F$7001,F67,'Estadísticas Jugadores'!$I$2:$I$7001))</f>
        <v>0</v>
      </c>
      <c r="I67" s="4">
        <f t="shared" si="8"/>
        <v>-6.6999999999999994E-6</v>
      </c>
      <c r="J67" s="4">
        <f t="shared" si="9"/>
        <v>86</v>
      </c>
    </row>
    <row r="68" spans="1:10" ht="15" customHeight="1" x14ac:dyDescent="0.25">
      <c r="A68" s="8">
        <f>IF(COUNT($J$2:$J$1501)&gt;=67,67,"")</f>
        <v>67</v>
      </c>
      <c r="B68" s="8" t="str">
        <f t="shared" si="5"/>
        <v>Mora Gilberto</v>
      </c>
      <c r="C68" s="8" t="str">
        <f t="shared" si="6"/>
        <v>Tijuana</v>
      </c>
      <c r="D68" s="8">
        <f t="shared" si="7"/>
        <v>0</v>
      </c>
      <c r="F68" s="4" t="str">
        <f>IF(Jugadores!B68="","",Jugadores!B68)</f>
        <v>Luan</v>
      </c>
      <c r="G68" s="4" t="str">
        <f>IF(Jugadores!B68="","",Jugadores!A68)</f>
        <v>Toluca</v>
      </c>
      <c r="H68" s="4">
        <f>IF(F68="","",SUMIF('Estadísticas Jugadores'!$F$2:$F$7001,F68,'Estadísticas Jugadores'!$I$2:$I$7001))</f>
        <v>0</v>
      </c>
      <c r="I68" s="4">
        <f t="shared" si="8"/>
        <v>-6.7999999999999993E-6</v>
      </c>
      <c r="J68" s="4">
        <f t="shared" si="9"/>
        <v>87</v>
      </c>
    </row>
    <row r="69" spans="1:10" ht="15" customHeight="1" x14ac:dyDescent="0.25">
      <c r="A69" s="8">
        <f>IF(COUNT($J$2:$J$1501)&gt;=68,68,"")</f>
        <v>68</v>
      </c>
      <c r="B69" s="8" t="str">
        <f t="shared" si="5"/>
        <v>Orduno Jesús</v>
      </c>
      <c r="C69" s="8" t="str">
        <f t="shared" si="6"/>
        <v>Tijuana</v>
      </c>
      <c r="D69" s="8">
        <f t="shared" si="7"/>
        <v>0</v>
      </c>
      <c r="F69" s="4" t="str">
        <f>IF(Jugadores!B69="","",Jugadores!B69)</f>
        <v>Orta Erick</v>
      </c>
      <c r="G69" s="4" t="str">
        <f>IF(Jugadores!B69="","",Jugadores!A69)</f>
        <v>Toluca</v>
      </c>
      <c r="H69" s="4">
        <f>IF(F69="","",SUMIF('Estadísticas Jugadores'!$F$2:$F$7001,F69,'Estadísticas Jugadores'!$I$2:$I$7001))</f>
        <v>0</v>
      </c>
      <c r="I69" s="4">
        <f t="shared" si="8"/>
        <v>-6.9E-6</v>
      </c>
      <c r="J69" s="4">
        <f t="shared" si="9"/>
        <v>88</v>
      </c>
    </row>
    <row r="70" spans="1:10" ht="15" customHeight="1" x14ac:dyDescent="0.25">
      <c r="A70" s="8">
        <f>IF(COUNT($J$2:$J$1501)&gt;=69,69,"")</f>
        <v>69</v>
      </c>
      <c r="B70" s="8" t="str">
        <f t="shared" si="5"/>
        <v>Padilla German</v>
      </c>
      <c r="C70" s="8" t="str">
        <f t="shared" si="6"/>
        <v>Tijuana</v>
      </c>
      <c r="D70" s="8">
        <f t="shared" si="7"/>
        <v>0</v>
      </c>
      <c r="F70" s="4" t="str">
        <f>IF(Jugadores!B70="","",Jugadores!B70)</f>
        <v>Pereira Federico</v>
      </c>
      <c r="G70" s="4" t="str">
        <f>IF(Jugadores!B70="","",Jugadores!A70)</f>
        <v>Toluca</v>
      </c>
      <c r="H70" s="4">
        <f>IF(F70="","",SUMIF('Estadísticas Jugadores'!$F$2:$F$7001,F70,'Estadísticas Jugadores'!$I$2:$I$7001))</f>
        <v>0</v>
      </c>
      <c r="I70" s="4">
        <f t="shared" si="8"/>
        <v>-6.9999999999999999E-6</v>
      </c>
      <c r="J70" s="4">
        <f t="shared" si="9"/>
        <v>89</v>
      </c>
    </row>
    <row r="71" spans="1:10" ht="15" customHeight="1" x14ac:dyDescent="0.25">
      <c r="A71" s="8">
        <f>IF(COUNT($J$2:$J$1501)&gt;=70,70,"")</f>
        <v>70</v>
      </c>
      <c r="B71" s="8" t="str">
        <f t="shared" si="5"/>
        <v>Padilla Nanitamo</v>
      </c>
      <c r="C71" s="8" t="str">
        <f t="shared" si="6"/>
        <v>Tijuana</v>
      </c>
      <c r="D71" s="8">
        <f t="shared" si="7"/>
        <v>0</v>
      </c>
      <c r="F71" s="4" t="str">
        <f>IF(Jugadores!B71="","",Jugadores!B71)</f>
        <v>Simon Santiago</v>
      </c>
      <c r="G71" s="4" t="str">
        <f>IF(Jugadores!B71="","",Jugadores!A71)</f>
        <v>Toluca</v>
      </c>
      <c r="H71" s="4">
        <f>IF(F71="","",SUMIF('Estadísticas Jugadores'!$F$2:$F$7001,F71,'Estadísticas Jugadores'!$I$2:$I$7001))</f>
        <v>0</v>
      </c>
      <c r="I71" s="4">
        <f t="shared" si="8"/>
        <v>-7.0999999999999998E-6</v>
      </c>
      <c r="J71" s="4">
        <f t="shared" si="9"/>
        <v>90</v>
      </c>
    </row>
    <row r="72" spans="1:10" ht="15" customHeight="1" x14ac:dyDescent="0.25">
      <c r="A72" s="8">
        <f>IF(COUNT($J$2:$J$1501)&gt;=71,71,"")</f>
        <v>71</v>
      </c>
      <c r="B72" s="8" t="str">
        <f t="shared" si="5"/>
        <v>Perez Aldahir</v>
      </c>
      <c r="C72" s="8" t="str">
        <f t="shared" si="6"/>
        <v>Tijuana</v>
      </c>
      <c r="D72" s="8">
        <f t="shared" si="7"/>
        <v>0</v>
      </c>
      <c r="F72" s="4" t="str">
        <f>IF(Jugadores!B72="","",Jugadores!B72)</f>
        <v>del Villar Everardo</v>
      </c>
      <c r="G72" s="4" t="str">
        <f>IF(Jugadores!B72="","",Jugadores!A72)</f>
        <v>Toluca</v>
      </c>
      <c r="H72" s="4">
        <f>IF(F72="","",SUMIF('Estadísticas Jugadores'!$F$2:$F$7001,F72,'Estadísticas Jugadores'!$I$2:$I$7001))</f>
        <v>0</v>
      </c>
      <c r="I72" s="4">
        <f t="shared" si="8"/>
        <v>-7.1999999999999997E-6</v>
      </c>
      <c r="J72" s="4">
        <f t="shared" si="9"/>
        <v>91</v>
      </c>
    </row>
    <row r="73" spans="1:10" ht="15" customHeight="1" x14ac:dyDescent="0.25">
      <c r="A73" s="8">
        <f>IF(COUNT($J$2:$J$1501)&gt;=72,72,"")</f>
        <v>72</v>
      </c>
      <c r="B73" s="8" t="str">
        <f t="shared" si="5"/>
        <v>Preciado Quintero Adonis Stalin</v>
      </c>
      <c r="C73" s="8" t="str">
        <f t="shared" si="6"/>
        <v>Tijuana</v>
      </c>
      <c r="D73" s="8">
        <f t="shared" si="7"/>
        <v>0</v>
      </c>
      <c r="F73" s="4" t="str">
        <f>IF(Jugadores!B73="","",Jugadores!B73)</f>
        <v>Angulo Jesus</v>
      </c>
      <c r="G73" s="4" t="str">
        <f>IF(Jugadores!B73="","",Jugadores!A73)</f>
        <v>Toluca</v>
      </c>
      <c r="H73" s="4">
        <f>IF(F73="","",SUMIF('Estadísticas Jugadores'!$F$2:$F$7001,F73,'Estadísticas Jugadores'!$I$2:$I$7001))</f>
        <v>0</v>
      </c>
      <c r="I73" s="4">
        <f t="shared" si="8"/>
        <v>-7.2999999999999996E-6</v>
      </c>
      <c r="J73" s="4">
        <f t="shared" si="9"/>
        <v>92</v>
      </c>
    </row>
    <row r="74" spans="1:10" ht="15" customHeight="1" x14ac:dyDescent="0.25">
      <c r="A74" s="8">
        <f>IF(COUNT($J$2:$J$1501)&gt;=73,73,"")</f>
        <v>73</v>
      </c>
      <c r="B74" s="8" t="str">
        <f t="shared" si="5"/>
        <v>Rivero Ignacio</v>
      </c>
      <c r="C74" s="8" t="str">
        <f t="shared" si="6"/>
        <v>Tijuana</v>
      </c>
      <c r="D74" s="8">
        <f t="shared" si="7"/>
        <v>0</v>
      </c>
      <c r="F74" s="4" t="str">
        <f>IF(Jugadores!B74="","",Jugadores!B74)</f>
        <v>Arce Juarez Fernando David</v>
      </c>
      <c r="G74" s="4" t="str">
        <f>IF(Jugadores!B74="","",Jugadores!A74)</f>
        <v>Toluca</v>
      </c>
      <c r="H74" s="4">
        <f>IF(F74="","",SUMIF('Estadísticas Jugadores'!$F$2:$F$7001,F74,'Estadísticas Jugadores'!$I$2:$I$7001))</f>
        <v>0</v>
      </c>
      <c r="I74" s="4">
        <f t="shared" si="8"/>
        <v>-7.3999999999999995E-6</v>
      </c>
      <c r="J74" s="4">
        <f t="shared" si="9"/>
        <v>93</v>
      </c>
    </row>
    <row r="75" spans="1:10" ht="15" customHeight="1" x14ac:dyDescent="0.25">
      <c r="A75" s="8">
        <f>IF(COUNT($J$2:$J$1501)&gt;=74,74,"")</f>
        <v>74</v>
      </c>
      <c r="B75" s="8" t="str">
        <f t="shared" si="5"/>
        <v>Tona Ivan</v>
      </c>
      <c r="C75" s="8" t="str">
        <f t="shared" si="6"/>
        <v>Tijuana</v>
      </c>
      <c r="D75" s="8">
        <f t="shared" si="7"/>
        <v>0</v>
      </c>
      <c r="F75" s="4" t="str">
        <f>IF(Jugadores!B75="","",Jugadores!B75)</f>
        <v>Castro Nicolas</v>
      </c>
      <c r="G75" s="4" t="str">
        <f>IF(Jugadores!B75="","",Jugadores!A75)</f>
        <v>Toluca</v>
      </c>
      <c r="H75" s="4">
        <f>IF(F75="","",SUMIF('Estadísticas Jugadores'!$F$2:$F$7001,F75,'Estadísticas Jugadores'!$I$2:$I$7001))</f>
        <v>0</v>
      </c>
      <c r="I75" s="4">
        <f t="shared" si="8"/>
        <v>-7.4999999999999993E-6</v>
      </c>
      <c r="J75" s="4">
        <f t="shared" si="9"/>
        <v>94</v>
      </c>
    </row>
    <row r="76" spans="1:10" ht="15" customHeight="1" x14ac:dyDescent="0.25">
      <c r="A76" s="8">
        <f>IF(COUNT($J$2:$J$1501)&gt;=75,75,"")</f>
        <v>75</v>
      </c>
      <c r="B76" s="8" t="str">
        <f t="shared" si="5"/>
        <v>Zapata Angel</v>
      </c>
      <c r="C76" s="8" t="str">
        <f t="shared" si="6"/>
        <v>Tijuana</v>
      </c>
      <c r="D76" s="8">
        <f t="shared" si="7"/>
        <v>0</v>
      </c>
      <c r="F76" s="4" t="str">
        <f>IF(Jugadores!B76="","",Jugadores!B76)</f>
        <v>Gutiérrez Érick</v>
      </c>
      <c r="G76" s="4" t="str">
        <f>IF(Jugadores!B76="","",Jugadores!A76)</f>
        <v>Toluca</v>
      </c>
      <c r="H76" s="4">
        <f>IF(F76="","",SUMIF('Estadísticas Jugadores'!$F$2:$F$7001,F76,'Estadísticas Jugadores'!$I$2:$I$7001))</f>
        <v>0</v>
      </c>
      <c r="I76" s="4">
        <f t="shared" si="8"/>
        <v>-7.6000000000000001E-6</v>
      </c>
      <c r="J76" s="4">
        <f t="shared" si="9"/>
        <v>95</v>
      </c>
    </row>
    <row r="77" spans="1:10" ht="15" customHeight="1" x14ac:dyDescent="0.25">
      <c r="A77" s="8">
        <f>IF(COUNT($J$2:$J$1501)&gt;=76,76,"")</f>
        <v>76</v>
      </c>
      <c r="B77" s="8" t="str">
        <f t="shared" si="5"/>
        <v>Abreu Diego</v>
      </c>
      <c r="C77" s="8" t="str">
        <f t="shared" si="6"/>
        <v>Tijuana</v>
      </c>
      <c r="D77" s="8">
        <f t="shared" si="7"/>
        <v>0</v>
      </c>
      <c r="F77" s="4" t="str">
        <f>IF(Jugadores!B77="","",Jugadores!B77)</f>
        <v>Guzmán Víctor Alfonso</v>
      </c>
      <c r="G77" s="4" t="str">
        <f>IF(Jugadores!B77="","",Jugadores!A77)</f>
        <v>Toluca</v>
      </c>
      <c r="H77" s="4">
        <f>IF(F77="","",SUMIF('Estadísticas Jugadores'!$F$2:$F$7001,F77,'Estadísticas Jugadores'!$I$2:$I$7001))</f>
        <v>0</v>
      </c>
      <c r="I77" s="4">
        <f t="shared" si="8"/>
        <v>-7.6999999999999991E-6</v>
      </c>
      <c r="J77" s="4">
        <f t="shared" si="9"/>
        <v>96</v>
      </c>
    </row>
    <row r="78" spans="1:10" ht="15" customHeight="1" x14ac:dyDescent="0.25">
      <c r="A78" s="8">
        <f>IF(COUNT($J$2:$J$1501)&gt;=77,77,"")</f>
        <v>77</v>
      </c>
      <c r="B78" s="8" t="str">
        <f t="shared" si="5"/>
        <v>Leyva Christian</v>
      </c>
      <c r="C78" s="8" t="str">
        <f t="shared" si="6"/>
        <v>Tijuana</v>
      </c>
      <c r="D78" s="8">
        <f t="shared" si="7"/>
        <v>0</v>
      </c>
      <c r="F78" s="4" t="str">
        <f>IF(Jugadores!B78="","",Jugadores!B78)</f>
        <v>Navarrete Luis</v>
      </c>
      <c r="G78" s="4" t="str">
        <f>IF(Jugadores!B78="","",Jugadores!A78)</f>
        <v>Toluca</v>
      </c>
      <c r="H78" s="4">
        <f>IF(F78="","",SUMIF('Estadísticas Jugadores'!$F$2:$F$7001,F78,'Estadísticas Jugadores'!$I$2:$I$7001))</f>
        <v>0</v>
      </c>
      <c r="I78" s="4">
        <f t="shared" si="8"/>
        <v>-7.7999999999999999E-6</v>
      </c>
      <c r="J78" s="4">
        <f t="shared" si="9"/>
        <v>97</v>
      </c>
    </row>
    <row r="79" spans="1:10" ht="15" customHeight="1" x14ac:dyDescent="0.25">
      <c r="A79" s="8">
        <f>IF(COUNT($J$2:$J$1501)&gt;=78,78,"")</f>
        <v>78</v>
      </c>
      <c r="B79" s="8" t="str">
        <f t="shared" si="5"/>
        <v>Magallon Alejandro</v>
      </c>
      <c r="C79" s="8" t="str">
        <f t="shared" si="6"/>
        <v>Tijuana</v>
      </c>
      <c r="D79" s="8">
        <f t="shared" si="7"/>
        <v>0</v>
      </c>
      <c r="F79" s="4" t="str">
        <f>IF(Jugadores!B79="","",Jugadores!B79)</f>
        <v>Romero Franco</v>
      </c>
      <c r="G79" s="4" t="str">
        <f>IF(Jugadores!B79="","",Jugadores!A79)</f>
        <v>Toluca</v>
      </c>
      <c r="H79" s="4">
        <f>IF(F79="","",SUMIF('Estadísticas Jugadores'!$F$2:$F$7001,F79,'Estadísticas Jugadores'!$I$2:$I$7001))</f>
        <v>0</v>
      </c>
      <c r="I79" s="4">
        <f t="shared" si="8"/>
        <v>-7.8999999999999989E-6</v>
      </c>
      <c r="J79" s="4">
        <f t="shared" si="9"/>
        <v>98</v>
      </c>
    </row>
    <row r="80" spans="1:10" ht="15" customHeight="1" x14ac:dyDescent="0.25">
      <c r="A80" s="8">
        <f>IF(COUNT($J$2:$J$1501)&gt;=79,79,"")</f>
        <v>79</v>
      </c>
      <c r="B80" s="8" t="str">
        <f t="shared" si="5"/>
        <v>Martinez Josef</v>
      </c>
      <c r="C80" s="8" t="str">
        <f t="shared" si="6"/>
        <v>Tijuana</v>
      </c>
      <c r="D80" s="8">
        <f t="shared" si="7"/>
        <v>0</v>
      </c>
      <c r="F80" s="4" t="str">
        <f>IF(Jugadores!B80="","",Jugadores!B80)</f>
        <v>Ruiz Marcel</v>
      </c>
      <c r="G80" s="4" t="str">
        <f>IF(Jugadores!B80="","",Jugadores!A80)</f>
        <v>Toluca</v>
      </c>
      <c r="H80" s="4">
        <f>IF(F80="","",SUMIF('Estadísticas Jugadores'!$F$2:$F$7001,F80,'Estadísticas Jugadores'!$I$2:$I$7001))</f>
        <v>0</v>
      </c>
      <c r="I80" s="4">
        <f t="shared" si="8"/>
        <v>-7.9999999999999996E-6</v>
      </c>
      <c r="J80" s="4">
        <f t="shared" si="9"/>
        <v>99</v>
      </c>
    </row>
    <row r="81" spans="1:10" ht="15" customHeight="1" x14ac:dyDescent="0.25">
      <c r="A81" s="8">
        <f>IF(COUNT($J$2:$J$1501)&gt;=80,80,"")</f>
        <v>80</v>
      </c>
      <c r="B81" s="8" t="str">
        <f t="shared" si="5"/>
        <v>Garcia Palomera Luis Manuel</v>
      </c>
      <c r="C81" s="8" t="str">
        <f t="shared" si="6"/>
        <v>Toluca</v>
      </c>
      <c r="D81" s="8">
        <f t="shared" si="7"/>
        <v>0</v>
      </c>
      <c r="F81" s="4" t="str">
        <f>IF(Jugadores!B81="","",Jugadores!B81)</f>
        <v>Alvarez Alek</v>
      </c>
      <c r="G81" s="4" t="str">
        <f>IF(Jugadores!B81="","",Jugadores!A81)</f>
        <v>Toluca</v>
      </c>
      <c r="H81" s="4">
        <f>IF(F81="","",SUMIF('Estadísticas Jugadores'!$F$2:$F$7001,F81,'Estadísticas Jugadores'!$I$2:$I$7001))</f>
        <v>0</v>
      </c>
      <c r="I81" s="4">
        <f t="shared" si="8"/>
        <v>-8.1000000000000004E-6</v>
      </c>
      <c r="J81" s="4">
        <f t="shared" si="9"/>
        <v>100</v>
      </c>
    </row>
    <row r="82" spans="1:10" ht="15" customHeight="1" x14ac:dyDescent="0.25">
      <c r="A82" s="8">
        <f>IF(COUNT($J$2:$J$1501)&gt;=81,81,"")</f>
        <v>81</v>
      </c>
      <c r="B82" s="8" t="str">
        <f t="shared" si="5"/>
        <v>Gonzalez Duran Hugo Alfonso</v>
      </c>
      <c r="C82" s="8" t="str">
        <f t="shared" si="6"/>
        <v>Toluca</v>
      </c>
      <c r="D82" s="8">
        <f t="shared" si="7"/>
        <v>0</v>
      </c>
      <c r="F82" s="4" t="str">
        <f>IF(Jugadores!B82="","",Jugadores!B82)</f>
        <v>Carrillo Carlos</v>
      </c>
      <c r="G82" s="4" t="str">
        <f>IF(Jugadores!B82="","",Jugadores!A82)</f>
        <v>Toluca</v>
      </c>
      <c r="H82" s="4">
        <f>IF(F82="","",SUMIF('Estadísticas Jugadores'!$F$2:$F$7001,F82,'Estadísticas Jugadores'!$I$2:$I$7001))</f>
        <v>0</v>
      </c>
      <c r="I82" s="4">
        <f t="shared" si="8"/>
        <v>-8.1999999999999994E-6</v>
      </c>
      <c r="J82" s="4">
        <f t="shared" si="9"/>
        <v>101</v>
      </c>
    </row>
    <row r="83" spans="1:10" ht="15" customHeight="1" x14ac:dyDescent="0.25">
      <c r="A83" s="8">
        <f>IF(COUNT($J$2:$J$1501)&gt;=82,82,"")</f>
        <v>82</v>
      </c>
      <c r="B83" s="8" t="str">
        <f t="shared" si="5"/>
        <v>Aceves Sebastian</v>
      </c>
      <c r="C83" s="8" t="str">
        <f t="shared" si="6"/>
        <v>Toluca</v>
      </c>
      <c r="D83" s="8">
        <f t="shared" si="7"/>
        <v>0</v>
      </c>
      <c r="F83" s="4" t="str">
        <f>IF(Jugadores!B83="","",Jugadores!B83)</f>
        <v>Diaz Price Jorge</v>
      </c>
      <c r="G83" s="4" t="str">
        <f>IF(Jugadores!B83="","",Jugadores!A83)</f>
        <v>Toluca</v>
      </c>
      <c r="H83" s="4">
        <f>IF(F83="","",SUMIF('Estadísticas Jugadores'!$F$2:$F$7001,F83,'Estadísticas Jugadores'!$I$2:$I$7001))</f>
        <v>0</v>
      </c>
      <c r="I83" s="4">
        <f t="shared" si="8"/>
        <v>-8.3000000000000002E-6</v>
      </c>
      <c r="J83" s="4">
        <f t="shared" si="9"/>
        <v>102</v>
      </c>
    </row>
    <row r="84" spans="1:10" ht="15" customHeight="1" x14ac:dyDescent="0.25">
      <c r="A84" s="8">
        <f>IF(COUNT($J$2:$J$1501)&gt;=83,83,"")</f>
        <v>83</v>
      </c>
      <c r="B84" s="8" t="str">
        <f t="shared" si="5"/>
        <v>Barbosa Diego</v>
      </c>
      <c r="C84" s="8" t="str">
        <f t="shared" si="6"/>
        <v>Toluca</v>
      </c>
      <c r="D84" s="8">
        <f t="shared" si="7"/>
        <v>0</v>
      </c>
      <c r="F84" s="4" t="str">
        <f>IF(Jugadores!B84="","",Jugadores!B84)</f>
        <v>Estrada Jose</v>
      </c>
      <c r="G84" s="4" t="str">
        <f>IF(Jugadores!B84="","",Jugadores!A84)</f>
        <v>Toluca</v>
      </c>
      <c r="H84" s="4">
        <f>IF(F84="","",SUMIF('Estadísticas Jugadores'!$F$2:$F$7001,F84,'Estadísticas Jugadores'!$I$2:$I$7001))</f>
        <v>0</v>
      </c>
      <c r="I84" s="4">
        <f t="shared" si="8"/>
        <v>-8.3999999999999992E-6</v>
      </c>
      <c r="J84" s="4">
        <f t="shared" si="9"/>
        <v>103</v>
      </c>
    </row>
    <row r="85" spans="1:10" ht="15" customHeight="1" x14ac:dyDescent="0.25">
      <c r="A85" s="8">
        <f>IF(COUNT($J$2:$J$1501)&gt;=84,84,"")</f>
        <v>84</v>
      </c>
      <c r="B85" s="8" t="str">
        <f t="shared" si="5"/>
        <v>Briseno Antonio</v>
      </c>
      <c r="C85" s="8" t="str">
        <f t="shared" si="6"/>
        <v>Toluca</v>
      </c>
      <c r="D85" s="8">
        <f t="shared" si="7"/>
        <v>0</v>
      </c>
      <c r="F85" s="4" t="str">
        <f>IF(Jugadores!B85="","",Jugadores!B85)</f>
        <v>Helinho</v>
      </c>
      <c r="G85" s="4" t="str">
        <f>IF(Jugadores!B85="","",Jugadores!A85)</f>
        <v>Toluca</v>
      </c>
      <c r="H85" s="4">
        <f>IF(F85="","",SUMIF('Estadísticas Jugadores'!$F$2:$F$7001,F85,'Estadísticas Jugadores'!$I$2:$I$7001))</f>
        <v>0</v>
      </c>
      <c r="I85" s="4">
        <f t="shared" si="8"/>
        <v>-8.4999999999999999E-6</v>
      </c>
      <c r="J85" s="4">
        <f t="shared" si="9"/>
        <v>104</v>
      </c>
    </row>
    <row r="86" spans="1:10" ht="15" customHeight="1" x14ac:dyDescent="0.25">
      <c r="A86" s="8">
        <f>IF(COUNT($J$2:$J$1501)&gt;=85,85,"")</f>
        <v>85</v>
      </c>
      <c r="B86" s="8" t="str">
        <f t="shared" si="5"/>
        <v>Bruno Méndez</v>
      </c>
      <c r="C86" s="8" t="str">
        <f t="shared" si="6"/>
        <v>Toluca</v>
      </c>
      <c r="D86" s="8">
        <f t="shared" si="7"/>
        <v>0</v>
      </c>
      <c r="F86" s="4" t="str">
        <f>IF(Jugadores!B86="","",Jugadores!B86)</f>
        <v>Paulinho</v>
      </c>
      <c r="G86" s="4" t="str">
        <f>IF(Jugadores!B86="","",Jugadores!A86)</f>
        <v>Toluca</v>
      </c>
      <c r="H86" s="4">
        <f>IF(F86="","",SUMIF('Estadísticas Jugadores'!$F$2:$F$7001,F86,'Estadísticas Jugadores'!$I$2:$I$7001))</f>
        <v>0</v>
      </c>
      <c r="I86" s="4">
        <f t="shared" si="8"/>
        <v>-8.599999999999999E-6</v>
      </c>
      <c r="J86" s="4">
        <f t="shared" si="9"/>
        <v>105</v>
      </c>
    </row>
    <row r="87" spans="1:10" ht="15" customHeight="1" x14ac:dyDescent="0.25">
      <c r="A87" s="8">
        <f>IF(COUNT($J$2:$J$1501)&gt;=86,86,"")</f>
        <v>86</v>
      </c>
      <c r="B87" s="8" t="str">
        <f t="shared" si="5"/>
        <v>Garcia Caprizo Brian Alberto</v>
      </c>
      <c r="C87" s="8" t="str">
        <f t="shared" si="6"/>
        <v>Toluca</v>
      </c>
      <c r="D87" s="8">
        <f t="shared" si="7"/>
        <v>0</v>
      </c>
      <c r="F87" s="4" t="str">
        <f>IF(Jugadores!B87="","",Jugadores!B87)</f>
        <v>Pérez Pavel</v>
      </c>
      <c r="G87" s="4" t="str">
        <f>IF(Jugadores!B87="","",Jugadores!A87)</f>
        <v>Toluca</v>
      </c>
      <c r="H87" s="4">
        <f>IF(F87="","",SUMIF('Estadísticas Jugadores'!$F$2:$F$7001,F87,'Estadísticas Jugadores'!$I$2:$I$7001))</f>
        <v>0</v>
      </c>
      <c r="I87" s="4">
        <f t="shared" si="8"/>
        <v>-8.6999999999999997E-6</v>
      </c>
      <c r="J87" s="4">
        <f t="shared" si="9"/>
        <v>106</v>
      </c>
    </row>
    <row r="88" spans="1:10" ht="15" customHeight="1" x14ac:dyDescent="0.25">
      <c r="A88" s="8">
        <f>IF(COUNT($J$2:$J$1501)&gt;=87,87,"")</f>
        <v>87</v>
      </c>
      <c r="B88" s="8" t="str">
        <f t="shared" si="5"/>
        <v>Luan</v>
      </c>
      <c r="C88" s="8" t="str">
        <f t="shared" si="6"/>
        <v>Toluca</v>
      </c>
      <c r="D88" s="8">
        <f t="shared" si="7"/>
        <v>0</v>
      </c>
      <c r="F88" s="4" t="str">
        <f>IF(Jugadores!B88="","",Jugadores!B88)</f>
        <v>Rossi Franco</v>
      </c>
      <c r="G88" s="4" t="str">
        <f>IF(Jugadores!B88="","",Jugadores!A88)</f>
        <v>Toluca</v>
      </c>
      <c r="H88" s="4">
        <f>IF(F88="","",SUMIF('Estadísticas Jugadores'!$F$2:$F$7001,F88,'Estadísticas Jugadores'!$I$2:$I$7001))</f>
        <v>0</v>
      </c>
      <c r="I88" s="4">
        <f t="shared" si="8"/>
        <v>-8.8000000000000004E-6</v>
      </c>
      <c r="J88" s="4">
        <f t="shared" si="9"/>
        <v>107</v>
      </c>
    </row>
    <row r="89" spans="1:10" ht="15" customHeight="1" x14ac:dyDescent="0.25">
      <c r="A89" s="8">
        <f>IF(COUNT($J$2:$J$1501)&gt;=88,88,"")</f>
        <v>88</v>
      </c>
      <c r="B89" s="8" t="str">
        <f t="shared" si="5"/>
        <v>Orta Erick</v>
      </c>
      <c r="C89" s="8" t="str">
        <f t="shared" si="6"/>
        <v>Toluca</v>
      </c>
      <c r="D89" s="8">
        <f t="shared" si="7"/>
        <v>0</v>
      </c>
      <c r="F89" s="4" t="str">
        <f>IF(Jugadores!B89="","",Jugadores!B89)</f>
        <v>Vega Alexis</v>
      </c>
      <c r="G89" s="4" t="str">
        <f>IF(Jugadores!B89="","",Jugadores!A89)</f>
        <v>Toluca</v>
      </c>
      <c r="H89" s="4">
        <f>IF(F89="","",SUMIF('Estadísticas Jugadores'!$F$2:$F$7001,F89,'Estadísticas Jugadores'!$I$2:$I$7001))</f>
        <v>1</v>
      </c>
      <c r="I89" s="4">
        <f t="shared" si="8"/>
        <v>999.99999109999999</v>
      </c>
      <c r="J89" s="4">
        <f t="shared" si="9"/>
        <v>8</v>
      </c>
    </row>
    <row r="90" spans="1:10" ht="15" customHeight="1" x14ac:dyDescent="0.25">
      <c r="A90" s="8">
        <f>IF(COUNT($J$2:$J$1501)&gt;=89,89,"")</f>
        <v>89</v>
      </c>
      <c r="B90" s="8" t="str">
        <f t="shared" si="5"/>
        <v>Pereira Federico</v>
      </c>
      <c r="C90" s="8" t="str">
        <f t="shared" si="6"/>
        <v>Toluca</v>
      </c>
      <c r="D90" s="8">
        <f t="shared" si="7"/>
        <v>0</v>
      </c>
      <c r="F90" s="4" t="str">
        <f>IF(Jugadores!B90="","",Jugadores!B90)</f>
        <v>Virgen Oswaldo</v>
      </c>
      <c r="G90" s="4" t="str">
        <f>IF(Jugadores!B90="","",Jugadores!A90)</f>
        <v>Toluca</v>
      </c>
      <c r="H90" s="4">
        <f>IF(F90="","",SUMIF('Estadísticas Jugadores'!$F$2:$F$7001,F90,'Estadísticas Jugadores'!$I$2:$I$7001))</f>
        <v>0</v>
      </c>
      <c r="I90" s="4">
        <f t="shared" si="8"/>
        <v>-9.0000000000000002E-6</v>
      </c>
      <c r="J90" s="4">
        <f t="shared" si="9"/>
        <v>108</v>
      </c>
    </row>
    <row r="91" spans="1:10" ht="15" customHeight="1" x14ac:dyDescent="0.25">
      <c r="A91" s="8">
        <f>IF(COUNT($J$2:$J$1501)&gt;=90,90,"")</f>
        <v>90</v>
      </c>
      <c r="B91" s="8" t="str">
        <f t="shared" si="5"/>
        <v>Simon Santiago</v>
      </c>
      <c r="C91" s="8" t="str">
        <f t="shared" si="6"/>
        <v>Toluca</v>
      </c>
      <c r="D91" s="8">
        <f t="shared" si="7"/>
        <v>0</v>
      </c>
      <c r="F91" s="4" t="str">
        <f>IF(Jugadores!B91="","",Jugadores!B91)</f>
        <v>Cardenas Luis</v>
      </c>
      <c r="G91" s="4" t="str">
        <f>IF(Jugadores!B91="","",Jugadores!A91)</f>
        <v>Monterrey</v>
      </c>
      <c r="H91" s="4">
        <f>IF(F91="","",SUMIF('Estadísticas Jugadores'!$F$2:$F$7001,F91,'Estadísticas Jugadores'!$I$2:$I$7001))</f>
        <v>0</v>
      </c>
      <c r="I91" s="4">
        <f t="shared" si="8"/>
        <v>-9.0999999999999993E-6</v>
      </c>
      <c r="J91" s="4">
        <f t="shared" si="9"/>
        <v>109</v>
      </c>
    </row>
    <row r="92" spans="1:10" ht="15" customHeight="1" x14ac:dyDescent="0.25">
      <c r="A92" s="8">
        <f>IF(COUNT($J$2:$J$1501)&gt;=91,91,"")</f>
        <v>91</v>
      </c>
      <c r="B92" s="8" t="str">
        <f t="shared" si="5"/>
        <v>del Villar Everardo</v>
      </c>
      <c r="C92" s="8" t="str">
        <f t="shared" si="6"/>
        <v>Toluca</v>
      </c>
      <c r="D92" s="8">
        <f t="shared" si="7"/>
        <v>0</v>
      </c>
      <c r="F92" s="4" t="str">
        <f>IF(Jugadores!B92="","",Jugadores!B92)</f>
        <v>Cuneo Kevin</v>
      </c>
      <c r="G92" s="4" t="str">
        <f>IF(Jugadores!B92="","",Jugadores!A92)</f>
        <v>Monterrey</v>
      </c>
      <c r="H92" s="4">
        <f>IF(F92="","",SUMIF('Estadísticas Jugadores'!$F$2:$F$7001,F92,'Estadísticas Jugadores'!$I$2:$I$7001))</f>
        <v>0</v>
      </c>
      <c r="I92" s="4">
        <f t="shared" si="8"/>
        <v>-9.2E-6</v>
      </c>
      <c r="J92" s="4">
        <f t="shared" si="9"/>
        <v>110</v>
      </c>
    </row>
    <row r="93" spans="1:10" ht="15" customHeight="1" x14ac:dyDescent="0.25">
      <c r="A93" s="8">
        <f>IF(COUNT($J$2:$J$1501)&gt;=92,92,"")</f>
        <v>92</v>
      </c>
      <c r="B93" s="8" t="str">
        <f t="shared" si="5"/>
        <v>Angulo Jesus</v>
      </c>
      <c r="C93" s="8" t="str">
        <f t="shared" si="6"/>
        <v>Toluca</v>
      </c>
      <c r="D93" s="8">
        <f t="shared" si="7"/>
        <v>0</v>
      </c>
      <c r="F93" s="4" t="str">
        <f>IF(Jugadores!B93="","",Jugadores!B93)</f>
        <v>Mele Santiago</v>
      </c>
      <c r="G93" s="4" t="str">
        <f>IF(Jugadores!B93="","",Jugadores!A93)</f>
        <v>Monterrey</v>
      </c>
      <c r="H93" s="4">
        <f>IF(F93="","",SUMIF('Estadísticas Jugadores'!$F$2:$F$7001,F93,'Estadísticas Jugadores'!$I$2:$I$7001))</f>
        <v>0</v>
      </c>
      <c r="I93" s="4">
        <f t="shared" si="8"/>
        <v>-9.299999999999999E-6</v>
      </c>
      <c r="J93" s="4">
        <f t="shared" si="9"/>
        <v>111</v>
      </c>
    </row>
    <row r="94" spans="1:10" ht="15" customHeight="1" x14ac:dyDescent="0.25">
      <c r="A94" s="8">
        <f>IF(COUNT($J$2:$J$1501)&gt;=93,93,"")</f>
        <v>93</v>
      </c>
      <c r="B94" s="8" t="str">
        <f t="shared" si="5"/>
        <v>Arce Juarez Fernando David</v>
      </c>
      <c r="C94" s="8" t="str">
        <f t="shared" si="6"/>
        <v>Toluca</v>
      </c>
      <c r="D94" s="8">
        <f t="shared" si="7"/>
        <v>0</v>
      </c>
      <c r="F94" s="4" t="str">
        <f>IF(Jugadores!B94="","",Jugadores!B94)</f>
        <v>Perez Santiago</v>
      </c>
      <c r="G94" s="4" t="str">
        <f>IF(Jugadores!B94="","",Jugadores!A94)</f>
        <v>Monterrey</v>
      </c>
      <c r="H94" s="4">
        <f>IF(F94="","",SUMIF('Estadísticas Jugadores'!$F$2:$F$7001,F94,'Estadísticas Jugadores'!$I$2:$I$7001))</f>
        <v>0</v>
      </c>
      <c r="I94" s="4">
        <f t="shared" si="8"/>
        <v>-9.3999999999999998E-6</v>
      </c>
      <c r="J94" s="4">
        <f t="shared" si="9"/>
        <v>112</v>
      </c>
    </row>
    <row r="95" spans="1:10" ht="15" customHeight="1" x14ac:dyDescent="0.25">
      <c r="A95" s="8">
        <f>IF(COUNT($J$2:$J$1501)&gt;=94,94,"")</f>
        <v>94</v>
      </c>
      <c r="B95" s="8" t="str">
        <f t="shared" si="5"/>
        <v>Castro Nicolas</v>
      </c>
      <c r="C95" s="8" t="str">
        <f t="shared" si="6"/>
        <v>Toluca</v>
      </c>
      <c r="D95" s="8">
        <f t="shared" si="7"/>
        <v>0</v>
      </c>
      <c r="F95" s="4" t="str">
        <f>IF(Jugadores!B95="","",Jugadores!B95)</f>
        <v>Ramos Cesar</v>
      </c>
      <c r="G95" s="4" t="str">
        <f>IF(Jugadores!B95="","",Jugadores!A95)</f>
        <v>Monterrey</v>
      </c>
      <c r="H95" s="4">
        <f>IF(F95="","",SUMIF('Estadísticas Jugadores'!$F$2:$F$7001,F95,'Estadísticas Jugadores'!$I$2:$I$7001))</f>
        <v>0</v>
      </c>
      <c r="I95" s="4">
        <f t="shared" si="8"/>
        <v>-9.4999999999999988E-6</v>
      </c>
      <c r="J95" s="4">
        <f t="shared" si="9"/>
        <v>113</v>
      </c>
    </row>
    <row r="96" spans="1:10" ht="15" customHeight="1" x14ac:dyDescent="0.25">
      <c r="A96" s="8">
        <f>IF(COUNT($J$2:$J$1501)&gt;=95,95,"")</f>
        <v>95</v>
      </c>
      <c r="B96" s="8" t="str">
        <f t="shared" si="5"/>
        <v>Gutiérrez Érick</v>
      </c>
      <c r="C96" s="8" t="str">
        <f t="shared" si="6"/>
        <v>Toluca</v>
      </c>
      <c r="D96" s="8">
        <f t="shared" si="7"/>
        <v>0</v>
      </c>
      <c r="F96" s="4" t="str">
        <f>IF(Jugadores!B96="","",Jugadores!B96)</f>
        <v>Aceves Alonso</v>
      </c>
      <c r="G96" s="4" t="str">
        <f>IF(Jugadores!B96="","",Jugadores!A96)</f>
        <v>Monterrey</v>
      </c>
      <c r="H96" s="4">
        <f>IF(F96="","",SUMIF('Estadísticas Jugadores'!$F$2:$F$7001,F96,'Estadísticas Jugadores'!$I$2:$I$7001))</f>
        <v>0</v>
      </c>
      <c r="I96" s="4">
        <f t="shared" si="8"/>
        <v>-9.5999999999999996E-6</v>
      </c>
      <c r="J96" s="4">
        <f t="shared" si="9"/>
        <v>114</v>
      </c>
    </row>
    <row r="97" spans="1:10" ht="15" customHeight="1" x14ac:dyDescent="0.25">
      <c r="A97" s="8">
        <f>IF(COUNT($J$2:$J$1501)&gt;=96,96,"")</f>
        <v>96</v>
      </c>
      <c r="B97" s="8" t="str">
        <f t="shared" si="5"/>
        <v>Guzmán Víctor Alfonso</v>
      </c>
      <c r="C97" s="8" t="str">
        <f t="shared" si="6"/>
        <v>Toluca</v>
      </c>
      <c r="D97" s="8">
        <f t="shared" si="7"/>
        <v>0</v>
      </c>
      <c r="F97" s="4" t="str">
        <f>IF(Jugadores!B97="","",Jugadores!B97)</f>
        <v>Aguirre Erick</v>
      </c>
      <c r="G97" s="4" t="str">
        <f>IF(Jugadores!B97="","",Jugadores!A97)</f>
        <v>Monterrey</v>
      </c>
      <c r="H97" s="4">
        <f>IF(F97="","",SUMIF('Estadísticas Jugadores'!$F$2:$F$7001,F97,'Estadísticas Jugadores'!$I$2:$I$7001))</f>
        <v>0</v>
      </c>
      <c r="I97" s="4">
        <f t="shared" si="8"/>
        <v>-9.7000000000000003E-6</v>
      </c>
      <c r="J97" s="4">
        <f t="shared" si="9"/>
        <v>115</v>
      </c>
    </row>
    <row r="98" spans="1:10" ht="15" customHeight="1" x14ac:dyDescent="0.25">
      <c r="A98" s="8">
        <f>IF(COUNT($J$2:$J$1501)&gt;=97,97,"")</f>
        <v>97</v>
      </c>
      <c r="B98" s="8" t="str">
        <f t="shared" si="5"/>
        <v>Navarrete Luis</v>
      </c>
      <c r="C98" s="8" t="str">
        <f t="shared" si="6"/>
        <v>Toluca</v>
      </c>
      <c r="D98" s="8">
        <f t="shared" si="7"/>
        <v>0</v>
      </c>
      <c r="F98" s="4" t="str">
        <f>IF(Jugadores!B98="","",Jugadores!B98)</f>
        <v>Arteaga Gerardo</v>
      </c>
      <c r="G98" s="4" t="str">
        <f>IF(Jugadores!B98="","",Jugadores!A98)</f>
        <v>Monterrey</v>
      </c>
      <c r="H98" s="4">
        <f>IF(F98="","",SUMIF('Estadísticas Jugadores'!$F$2:$F$7001,F98,'Estadísticas Jugadores'!$I$2:$I$7001))</f>
        <v>0</v>
      </c>
      <c r="I98" s="4">
        <f t="shared" si="8"/>
        <v>-9.7999999999999993E-6</v>
      </c>
      <c r="J98" s="4">
        <f t="shared" si="9"/>
        <v>116</v>
      </c>
    </row>
    <row r="99" spans="1:10" ht="15" customHeight="1" x14ac:dyDescent="0.25">
      <c r="A99" s="8">
        <f>IF(COUNT($J$2:$J$1501)&gt;=98,98,"")</f>
        <v>98</v>
      </c>
      <c r="B99" s="8" t="str">
        <f t="shared" si="5"/>
        <v>Romero Franco</v>
      </c>
      <c r="C99" s="8" t="str">
        <f t="shared" si="6"/>
        <v>Toluca</v>
      </c>
      <c r="D99" s="8">
        <f t="shared" si="7"/>
        <v>0</v>
      </c>
      <c r="F99" s="4" t="str">
        <f>IF(Jugadores!B99="","",Jugadores!B99)</f>
        <v>Bustos Cesar</v>
      </c>
      <c r="G99" s="4" t="str">
        <f>IF(Jugadores!B99="","",Jugadores!A99)</f>
        <v>Monterrey</v>
      </c>
      <c r="H99" s="4">
        <f>IF(F99="","",SUMIF('Estadísticas Jugadores'!$F$2:$F$7001,F99,'Estadísticas Jugadores'!$I$2:$I$7001))</f>
        <v>0</v>
      </c>
      <c r="I99" s="4">
        <f t="shared" si="8"/>
        <v>-9.9000000000000001E-6</v>
      </c>
      <c r="J99" s="4">
        <f t="shared" si="9"/>
        <v>117</v>
      </c>
    </row>
    <row r="100" spans="1:10" ht="15" customHeight="1" x14ac:dyDescent="0.25">
      <c r="A100" s="8">
        <f>IF(COUNT($J$2:$J$1501)&gt;=99,99,"")</f>
        <v>99</v>
      </c>
      <c r="B100" s="8" t="str">
        <f t="shared" si="5"/>
        <v>Ruiz Marcel</v>
      </c>
      <c r="C100" s="8" t="str">
        <f t="shared" si="6"/>
        <v>Toluca</v>
      </c>
      <c r="D100" s="8">
        <f t="shared" si="7"/>
        <v>0</v>
      </c>
      <c r="F100" s="4" t="str">
        <f>IF(Jugadores!B100="","",Jugadores!B100)</f>
        <v>Casillas Javier</v>
      </c>
      <c r="G100" s="4" t="str">
        <f>IF(Jugadores!B100="","",Jugadores!A100)</f>
        <v>Monterrey</v>
      </c>
      <c r="H100" s="4">
        <f>IF(F100="","",SUMIF('Estadísticas Jugadores'!$F$2:$F$7001,F100,'Estadísticas Jugadores'!$I$2:$I$7001))</f>
        <v>0</v>
      </c>
      <c r="I100" s="4">
        <f t="shared" si="8"/>
        <v>-9.9999999999999991E-6</v>
      </c>
      <c r="J100" s="4">
        <f t="shared" si="9"/>
        <v>118</v>
      </c>
    </row>
    <row r="101" spans="1:10" ht="15" customHeight="1" x14ac:dyDescent="0.25">
      <c r="A101" s="8">
        <f>IF(COUNT($J$2:$J$1501)&gt;=100,100,"")</f>
        <v>100</v>
      </c>
      <c r="B101" s="8" t="str">
        <f t="shared" si="5"/>
        <v>Alvarez Alek</v>
      </c>
      <c r="C101" s="8" t="str">
        <f t="shared" si="6"/>
        <v>Toluca</v>
      </c>
      <c r="D101" s="8">
        <f t="shared" si="7"/>
        <v>0</v>
      </c>
      <c r="F101" s="4" t="str">
        <f>IF(Jugadores!B101="","",Jugadores!B101)</f>
        <v>Chavez Ricardo</v>
      </c>
      <c r="G101" s="4" t="str">
        <f>IF(Jugadores!B101="","",Jugadores!A101)</f>
        <v>Monterrey</v>
      </c>
      <c r="H101" s="4">
        <f>IF(F101="","",SUMIF('Estadísticas Jugadores'!$F$2:$F$7001,F101,'Estadísticas Jugadores'!$I$2:$I$7001))</f>
        <v>0</v>
      </c>
      <c r="I101" s="4">
        <f t="shared" si="8"/>
        <v>-1.01E-5</v>
      </c>
      <c r="J101" s="4">
        <f t="shared" si="9"/>
        <v>119</v>
      </c>
    </row>
    <row r="102" spans="1:10" ht="15" customHeight="1" x14ac:dyDescent="0.25">
      <c r="A102" s="8">
        <f>IF(COUNT($J$2:$J$1501)&gt;=101,101,"")</f>
        <v>101</v>
      </c>
      <c r="B102" s="8" t="str">
        <f t="shared" si="5"/>
        <v>Carrillo Carlos</v>
      </c>
      <c r="C102" s="8" t="str">
        <f t="shared" si="6"/>
        <v>Toluca</v>
      </c>
      <c r="D102" s="8">
        <f t="shared" si="7"/>
        <v>0</v>
      </c>
      <c r="F102" s="4" t="str">
        <f>IF(Jugadores!B102="","",Jugadores!B102)</f>
        <v>Frayde Carlos</v>
      </c>
      <c r="G102" s="4" t="str">
        <f>IF(Jugadores!B102="","",Jugadores!A102)</f>
        <v>Monterrey</v>
      </c>
      <c r="H102" s="4">
        <f>IF(F102="","",SUMIF('Estadísticas Jugadores'!$F$2:$F$7001,F102,'Estadísticas Jugadores'!$I$2:$I$7001))</f>
        <v>0</v>
      </c>
      <c r="I102" s="4">
        <f t="shared" si="8"/>
        <v>-1.0199999999999999E-5</v>
      </c>
      <c r="J102" s="4">
        <f t="shared" si="9"/>
        <v>120</v>
      </c>
    </row>
    <row r="103" spans="1:10" ht="15" customHeight="1" x14ac:dyDescent="0.25">
      <c r="A103" s="8">
        <f>IF(COUNT($J$2:$J$1501)&gt;=102,102,"")</f>
        <v>102</v>
      </c>
      <c r="B103" s="8" t="str">
        <f t="shared" si="5"/>
        <v>Diaz Price Jorge</v>
      </c>
      <c r="C103" s="8" t="str">
        <f t="shared" si="6"/>
        <v>Toluca</v>
      </c>
      <c r="D103" s="8">
        <f t="shared" si="7"/>
        <v>0</v>
      </c>
      <c r="F103" s="4" t="str">
        <f>IF(Jugadores!B103="","",Jugadores!B103)</f>
        <v>Garcia Diego</v>
      </c>
      <c r="G103" s="4" t="str">
        <f>IF(Jugadores!B103="","",Jugadores!A103)</f>
        <v>Monterrey</v>
      </c>
      <c r="H103" s="4">
        <f>IF(F103="","",SUMIF('Estadísticas Jugadores'!$F$2:$F$7001,F103,'Estadísticas Jugadores'!$I$2:$I$7001))</f>
        <v>0</v>
      </c>
      <c r="I103" s="4">
        <f t="shared" si="8"/>
        <v>-1.03E-5</v>
      </c>
      <c r="J103" s="4">
        <f t="shared" si="9"/>
        <v>121</v>
      </c>
    </row>
    <row r="104" spans="1:10" ht="15" customHeight="1" x14ac:dyDescent="0.25">
      <c r="A104" s="8">
        <f>IF(COUNT($J$2:$J$1501)&gt;=103,103,"")</f>
        <v>103</v>
      </c>
      <c r="B104" s="8" t="str">
        <f t="shared" si="5"/>
        <v>Estrada Jose</v>
      </c>
      <c r="C104" s="8" t="str">
        <f t="shared" si="6"/>
        <v>Toluca</v>
      </c>
      <c r="D104" s="8">
        <f t="shared" si="7"/>
        <v>0</v>
      </c>
      <c r="F104" s="4" t="str">
        <f>IF(Jugadores!B104="","",Jugadores!B104)</f>
        <v>Guzman Victor</v>
      </c>
      <c r="G104" s="4" t="str">
        <f>IF(Jugadores!B104="","",Jugadores!A104)</f>
        <v>Monterrey</v>
      </c>
      <c r="H104" s="4">
        <f>IF(F104="","",SUMIF('Estadísticas Jugadores'!$F$2:$F$7001,F104,'Estadísticas Jugadores'!$I$2:$I$7001))</f>
        <v>0</v>
      </c>
      <c r="I104" s="4">
        <f t="shared" si="8"/>
        <v>-1.0399999999999999E-5</v>
      </c>
      <c r="J104" s="4">
        <f t="shared" si="9"/>
        <v>122</v>
      </c>
    </row>
    <row r="105" spans="1:10" ht="15" customHeight="1" x14ac:dyDescent="0.25">
      <c r="A105" s="8">
        <f>IF(COUNT($J$2:$J$1501)&gt;=104,104,"")</f>
        <v>104</v>
      </c>
      <c r="B105" s="8" t="str">
        <f t="shared" si="5"/>
        <v>Helinho</v>
      </c>
      <c r="C105" s="8" t="str">
        <f t="shared" si="6"/>
        <v>Toluca</v>
      </c>
      <c r="D105" s="8">
        <f t="shared" si="7"/>
        <v>0</v>
      </c>
      <c r="F105" s="4" t="str">
        <f>IF(Jugadores!B105="","",Jugadores!B105)</f>
        <v>Medina Stefan</v>
      </c>
      <c r="G105" s="4" t="str">
        <f>IF(Jugadores!B105="","",Jugadores!A105)</f>
        <v>Monterrey</v>
      </c>
      <c r="H105" s="4">
        <f>IF(F105="","",SUMIF('Estadísticas Jugadores'!$F$2:$F$7001,F105,'Estadísticas Jugadores'!$I$2:$I$7001))</f>
        <v>0</v>
      </c>
      <c r="I105" s="4">
        <f t="shared" si="8"/>
        <v>-1.0499999999999999E-5</v>
      </c>
      <c r="J105" s="4">
        <f t="shared" si="9"/>
        <v>123</v>
      </c>
    </row>
    <row r="106" spans="1:10" ht="15" customHeight="1" x14ac:dyDescent="0.25">
      <c r="A106" s="8">
        <f>IF(COUNT($J$2:$J$1501)&gt;=105,105,"")</f>
        <v>105</v>
      </c>
      <c r="B106" s="8" t="str">
        <f t="shared" si="5"/>
        <v>Paulinho</v>
      </c>
      <c r="C106" s="8" t="str">
        <f t="shared" si="6"/>
        <v>Toluca</v>
      </c>
      <c r="D106" s="8">
        <f t="shared" si="7"/>
        <v>0</v>
      </c>
      <c r="F106" s="4" t="str">
        <f>IF(Jugadores!B106="","",Jugadores!B106)</f>
        <v>Reyes Luis</v>
      </c>
      <c r="G106" s="4" t="str">
        <f>IF(Jugadores!B106="","",Jugadores!A106)</f>
        <v>Monterrey</v>
      </c>
      <c r="H106" s="4">
        <f>IF(F106="","",SUMIF('Estadísticas Jugadores'!$F$2:$F$7001,F106,'Estadísticas Jugadores'!$I$2:$I$7001))</f>
        <v>0</v>
      </c>
      <c r="I106" s="4">
        <f t="shared" si="8"/>
        <v>-1.06E-5</v>
      </c>
      <c r="J106" s="4">
        <f t="shared" si="9"/>
        <v>124</v>
      </c>
    </row>
    <row r="107" spans="1:10" ht="15" customHeight="1" x14ac:dyDescent="0.25">
      <c r="A107" s="8">
        <f>IF(COUNT($J$2:$J$1501)&gt;=106,106,"")</f>
        <v>106</v>
      </c>
      <c r="B107" s="8" t="str">
        <f t="shared" si="5"/>
        <v>Pérez Pavel</v>
      </c>
      <c r="C107" s="8" t="str">
        <f t="shared" si="6"/>
        <v>Toluca</v>
      </c>
      <c r="D107" s="8">
        <f t="shared" si="7"/>
        <v>0</v>
      </c>
      <c r="F107" s="4" t="str">
        <f>IF(Jugadores!B107="","",Jugadores!B107)</f>
        <v>Salcedo Carlos</v>
      </c>
      <c r="G107" s="4" t="str">
        <f>IF(Jugadores!B107="","",Jugadores!A107)</f>
        <v>Monterrey</v>
      </c>
      <c r="H107" s="4">
        <f>IF(F107="","",SUMIF('Estadísticas Jugadores'!$F$2:$F$7001,F107,'Estadísticas Jugadores'!$I$2:$I$7001))</f>
        <v>0</v>
      </c>
      <c r="I107" s="4">
        <f t="shared" si="8"/>
        <v>-1.0699999999999999E-5</v>
      </c>
      <c r="J107" s="4">
        <f t="shared" si="9"/>
        <v>125</v>
      </c>
    </row>
    <row r="108" spans="1:10" ht="15" customHeight="1" x14ac:dyDescent="0.25">
      <c r="A108" s="8">
        <f>IF(COUNT($J$2:$J$1501)&gt;=107,107,"")</f>
        <v>107</v>
      </c>
      <c r="B108" s="8" t="str">
        <f t="shared" si="5"/>
        <v>Rossi Franco</v>
      </c>
      <c r="C108" s="8" t="str">
        <f t="shared" si="6"/>
        <v>Toluca</v>
      </c>
      <c r="D108" s="8">
        <f t="shared" si="7"/>
        <v>0</v>
      </c>
      <c r="F108" s="4" t="str">
        <f>IF(Jugadores!B108="","",Jugadores!B108)</f>
        <v>Ambriz Fidel</v>
      </c>
      <c r="G108" s="4" t="str">
        <f>IF(Jugadores!B108="","",Jugadores!A108)</f>
        <v>Monterrey</v>
      </c>
      <c r="H108" s="4">
        <f>IF(F108="","",SUMIF('Estadísticas Jugadores'!$F$2:$F$7001,F108,'Estadísticas Jugadores'!$I$2:$I$7001))</f>
        <v>0</v>
      </c>
      <c r="I108" s="4">
        <f t="shared" si="8"/>
        <v>-1.08E-5</v>
      </c>
      <c r="J108" s="4">
        <f t="shared" si="9"/>
        <v>126</v>
      </c>
    </row>
    <row r="109" spans="1:10" ht="15" customHeight="1" x14ac:dyDescent="0.25">
      <c r="A109" s="8">
        <f>IF(COUNT($J$2:$J$1501)&gt;=108,108,"")</f>
        <v>108</v>
      </c>
      <c r="B109" s="8" t="str">
        <f t="shared" si="5"/>
        <v>Virgen Oswaldo</v>
      </c>
      <c r="C109" s="8" t="str">
        <f t="shared" si="6"/>
        <v>Toluca</v>
      </c>
      <c r="D109" s="8">
        <f t="shared" si="7"/>
        <v>0</v>
      </c>
      <c r="F109" s="4" t="str">
        <f>IF(Jugadores!B109="","",Jugadores!B109)</f>
        <v>Dominguez Joel</v>
      </c>
      <c r="G109" s="4" t="str">
        <f>IF(Jugadores!B109="","",Jugadores!A109)</f>
        <v>Monterrey</v>
      </c>
      <c r="H109" s="4">
        <f>IF(F109="","",SUMIF('Estadísticas Jugadores'!$F$2:$F$7001,F109,'Estadísticas Jugadores'!$I$2:$I$7001))</f>
        <v>0</v>
      </c>
      <c r="I109" s="4">
        <f t="shared" si="8"/>
        <v>-1.0899999999999999E-5</v>
      </c>
      <c r="J109" s="4">
        <f t="shared" si="9"/>
        <v>127</v>
      </c>
    </row>
    <row r="110" spans="1:10" ht="15" customHeight="1" x14ac:dyDescent="0.25">
      <c r="A110" s="8">
        <f>IF(COUNT($J$2:$J$1501)&gt;=109,109,"")</f>
        <v>109</v>
      </c>
      <c r="B110" s="8" t="str">
        <f t="shared" si="5"/>
        <v>Cardenas Luis</v>
      </c>
      <c r="C110" s="8" t="str">
        <f t="shared" si="6"/>
        <v>Monterrey</v>
      </c>
      <c r="D110" s="8">
        <f t="shared" si="7"/>
        <v>0</v>
      </c>
      <c r="F110" s="4" t="str">
        <f>IF(Jugadores!B110="","",Jugadores!B110)</f>
        <v>Fimbres Iker</v>
      </c>
      <c r="G110" s="4" t="str">
        <f>IF(Jugadores!B110="","",Jugadores!A110)</f>
        <v>Monterrey</v>
      </c>
      <c r="H110" s="4">
        <f>IF(F110="","",SUMIF('Estadísticas Jugadores'!$F$2:$F$7001,F110,'Estadísticas Jugadores'!$I$2:$I$7001))</f>
        <v>0</v>
      </c>
      <c r="I110" s="4">
        <f t="shared" si="8"/>
        <v>-1.1E-5</v>
      </c>
      <c r="J110" s="4">
        <f t="shared" si="9"/>
        <v>128</v>
      </c>
    </row>
    <row r="111" spans="1:10" ht="15" customHeight="1" x14ac:dyDescent="0.25">
      <c r="A111" s="8">
        <f>IF(COUNT($J$2:$J$1501)&gt;=110,110,"")</f>
        <v>110</v>
      </c>
      <c r="B111" s="8" t="str">
        <f t="shared" si="5"/>
        <v>Cuneo Kevin</v>
      </c>
      <c r="C111" s="8" t="str">
        <f t="shared" si="6"/>
        <v>Monterrey</v>
      </c>
      <c r="D111" s="8">
        <f t="shared" si="7"/>
        <v>0</v>
      </c>
      <c r="F111" s="4" t="str">
        <f>IF(Jugadores!B111="","",Jugadores!B111)</f>
        <v>Galvez Omar</v>
      </c>
      <c r="G111" s="4" t="str">
        <f>IF(Jugadores!B111="","",Jugadores!A111)</f>
        <v>Monterrey</v>
      </c>
      <c r="H111" s="4">
        <f>IF(F111="","",SUMIF('Estadísticas Jugadores'!$F$2:$F$7001,F111,'Estadísticas Jugadores'!$I$2:$I$7001))</f>
        <v>0</v>
      </c>
      <c r="I111" s="4">
        <f t="shared" si="8"/>
        <v>-1.1099999999999999E-5</v>
      </c>
      <c r="J111" s="4">
        <f t="shared" si="9"/>
        <v>129</v>
      </c>
    </row>
    <row r="112" spans="1:10" ht="15" customHeight="1" x14ac:dyDescent="0.25">
      <c r="A112" s="8">
        <f>IF(COUNT($J$2:$J$1501)&gt;=111,111,"")</f>
        <v>111</v>
      </c>
      <c r="B112" s="8" t="str">
        <f t="shared" si="5"/>
        <v>Mele Santiago</v>
      </c>
      <c r="C112" s="8" t="str">
        <f t="shared" si="6"/>
        <v>Monterrey</v>
      </c>
      <c r="D112" s="8">
        <f t="shared" si="7"/>
        <v>0</v>
      </c>
      <c r="F112" s="4" t="str">
        <f>IF(Jugadores!B112="","",Jugadores!B112)</f>
        <v>Garza Cesar</v>
      </c>
      <c r="G112" s="4" t="str">
        <f>IF(Jugadores!B112="","",Jugadores!A112)</f>
        <v>Monterrey</v>
      </c>
      <c r="H112" s="4">
        <f>IF(F112="","",SUMIF('Estadísticas Jugadores'!$F$2:$F$7001,F112,'Estadísticas Jugadores'!$I$2:$I$7001))</f>
        <v>0</v>
      </c>
      <c r="I112" s="4">
        <f t="shared" si="8"/>
        <v>-1.1199999999999999E-5</v>
      </c>
      <c r="J112" s="4">
        <f t="shared" si="9"/>
        <v>130</v>
      </c>
    </row>
    <row r="113" spans="1:10" ht="15" customHeight="1" x14ac:dyDescent="0.25">
      <c r="A113" s="8">
        <f>IF(COUNT($J$2:$J$1501)&gt;=112,112,"")</f>
        <v>112</v>
      </c>
      <c r="B113" s="8" t="str">
        <f t="shared" si="5"/>
        <v>Perez Santiago</v>
      </c>
      <c r="C113" s="8" t="str">
        <f t="shared" si="6"/>
        <v>Monterrey</v>
      </c>
      <c r="D113" s="8">
        <f t="shared" si="7"/>
        <v>0</v>
      </c>
      <c r="F113" s="4" t="str">
        <f>IF(Jugadores!B113="","",Jugadores!B113)</f>
        <v>Pineda Orbelín</v>
      </c>
      <c r="G113" s="4" t="str">
        <f>IF(Jugadores!B113="","",Jugadores!A113)</f>
        <v>Monterrey</v>
      </c>
      <c r="H113" s="4">
        <f>IF(F113="","",SUMIF('Estadísticas Jugadores'!$F$2:$F$7001,F113,'Estadísticas Jugadores'!$I$2:$I$7001))</f>
        <v>0</v>
      </c>
      <c r="I113" s="4">
        <f t="shared" si="8"/>
        <v>-1.13E-5</v>
      </c>
      <c r="J113" s="4">
        <f t="shared" si="9"/>
        <v>131</v>
      </c>
    </row>
    <row r="114" spans="1:10" ht="15" customHeight="1" x14ac:dyDescent="0.25">
      <c r="A114" s="8">
        <f>IF(COUNT($J$2:$J$1501)&gt;=113,113,"")</f>
        <v>113</v>
      </c>
      <c r="B114" s="8" t="str">
        <f t="shared" si="5"/>
        <v>Ramos Cesar</v>
      </c>
      <c r="C114" s="8" t="str">
        <f t="shared" si="6"/>
        <v>Monterrey</v>
      </c>
      <c r="D114" s="8">
        <f t="shared" si="7"/>
        <v>0</v>
      </c>
      <c r="F114" s="4" t="str">
        <f>IF(Jugadores!B114="","",Jugadores!B114)</f>
        <v>Reyes Bermudez Cristian Isaac</v>
      </c>
      <c r="G114" s="4" t="str">
        <f>IF(Jugadores!B114="","",Jugadores!A114)</f>
        <v>Monterrey</v>
      </c>
      <c r="H114" s="4">
        <f>IF(F114="","",SUMIF('Estadísticas Jugadores'!$F$2:$F$7001,F114,'Estadísticas Jugadores'!$I$2:$I$7001))</f>
        <v>0</v>
      </c>
      <c r="I114" s="4">
        <f t="shared" si="8"/>
        <v>-1.1399999999999999E-5</v>
      </c>
      <c r="J114" s="4">
        <f t="shared" si="9"/>
        <v>132</v>
      </c>
    </row>
    <row r="115" spans="1:10" ht="15" customHeight="1" x14ac:dyDescent="0.25">
      <c r="A115" s="8">
        <f>IF(COUNT($J$2:$J$1501)&gt;=114,114,"")</f>
        <v>114</v>
      </c>
      <c r="B115" s="8" t="str">
        <f t="shared" si="5"/>
        <v>Aceves Alonso</v>
      </c>
      <c r="C115" s="8" t="str">
        <f t="shared" si="6"/>
        <v>Monterrey</v>
      </c>
      <c r="D115" s="8">
        <f t="shared" si="7"/>
        <v>0</v>
      </c>
      <c r="F115" s="4" t="str">
        <f>IF(Jugadores!B115="","",Jugadores!B115)</f>
        <v>Rodriguez Jorge</v>
      </c>
      <c r="G115" s="4" t="str">
        <f>IF(Jugadores!B115="","",Jugadores!A115)</f>
        <v>Monterrey</v>
      </c>
      <c r="H115" s="4">
        <f>IF(F115="","",SUMIF('Estadísticas Jugadores'!$F$2:$F$7001,F115,'Estadísticas Jugadores'!$I$2:$I$7001))</f>
        <v>0</v>
      </c>
      <c r="I115" s="4">
        <f t="shared" si="8"/>
        <v>-1.15E-5</v>
      </c>
      <c r="J115" s="4">
        <f t="shared" si="9"/>
        <v>133</v>
      </c>
    </row>
    <row r="116" spans="1:10" ht="15" customHeight="1" x14ac:dyDescent="0.25">
      <c r="A116" s="8">
        <f>IF(COUNT($J$2:$J$1501)&gt;=115,115,"")</f>
        <v>115</v>
      </c>
      <c r="B116" s="8" t="str">
        <f t="shared" si="5"/>
        <v>Aguirre Erick</v>
      </c>
      <c r="C116" s="8" t="str">
        <f t="shared" si="6"/>
        <v>Monterrey</v>
      </c>
      <c r="D116" s="8">
        <f t="shared" si="7"/>
        <v>0</v>
      </c>
      <c r="F116" s="4" t="str">
        <f>IF(Jugadores!B116="","",Jugadores!B116)</f>
        <v>Rodriguez Sebastian</v>
      </c>
      <c r="G116" s="4" t="str">
        <f>IF(Jugadores!B116="","",Jugadores!A116)</f>
        <v>Monterrey</v>
      </c>
      <c r="H116" s="4">
        <f>IF(F116="","",SUMIF('Estadísticas Jugadores'!$F$2:$F$7001,F116,'Estadísticas Jugadores'!$I$2:$I$7001))</f>
        <v>0</v>
      </c>
      <c r="I116" s="4">
        <f t="shared" si="8"/>
        <v>-1.1599999999999999E-5</v>
      </c>
      <c r="J116" s="4">
        <f t="shared" si="9"/>
        <v>134</v>
      </c>
    </row>
    <row r="117" spans="1:10" ht="15" customHeight="1" x14ac:dyDescent="0.25">
      <c r="A117" s="8">
        <f>IF(COUNT($J$2:$J$1501)&gt;=116,116,"")</f>
        <v>116</v>
      </c>
      <c r="B117" s="8" t="str">
        <f t="shared" si="5"/>
        <v>Arteaga Gerardo</v>
      </c>
      <c r="C117" s="8" t="str">
        <f t="shared" si="6"/>
        <v>Monterrey</v>
      </c>
      <c r="D117" s="8">
        <f t="shared" si="7"/>
        <v>0</v>
      </c>
      <c r="F117" s="4" t="str">
        <f>IF(Jugadores!B117="","",Jugadores!B117)</f>
        <v>Rojas Allen</v>
      </c>
      <c r="G117" s="4" t="str">
        <f>IF(Jugadores!B117="","",Jugadores!A117)</f>
        <v>Monterrey</v>
      </c>
      <c r="H117" s="4">
        <f>IF(F117="","",SUMIF('Estadísticas Jugadores'!$F$2:$F$7001,F117,'Estadísticas Jugadores'!$I$2:$I$7001))</f>
        <v>0</v>
      </c>
      <c r="I117" s="4">
        <f t="shared" si="8"/>
        <v>-1.17E-5</v>
      </c>
      <c r="J117" s="4">
        <f t="shared" si="9"/>
        <v>135</v>
      </c>
    </row>
    <row r="118" spans="1:10" ht="15" customHeight="1" x14ac:dyDescent="0.25">
      <c r="A118" s="8">
        <f>IF(COUNT($J$2:$J$1501)&gt;=117,117,"")</f>
        <v>117</v>
      </c>
      <c r="B118" s="8" t="str">
        <f t="shared" si="5"/>
        <v>Bustos Cesar</v>
      </c>
      <c r="C118" s="8" t="str">
        <f t="shared" si="6"/>
        <v>Monterrey</v>
      </c>
      <c r="D118" s="8">
        <f t="shared" si="7"/>
        <v>0</v>
      </c>
      <c r="F118" s="4" t="str">
        <f>IF(Jugadores!B118="","",Jugadores!B118)</f>
        <v>Torres Óliver</v>
      </c>
      <c r="G118" s="4" t="str">
        <f>IF(Jugadores!B118="","",Jugadores!A118)</f>
        <v>Monterrey</v>
      </c>
      <c r="H118" s="4">
        <f>IF(F118="","",SUMIF('Estadísticas Jugadores'!$F$2:$F$7001,F118,'Estadísticas Jugadores'!$I$2:$I$7001))</f>
        <v>0</v>
      </c>
      <c r="I118" s="4">
        <f t="shared" si="8"/>
        <v>-1.1799999999999999E-5</v>
      </c>
      <c r="J118" s="4">
        <f t="shared" si="9"/>
        <v>136</v>
      </c>
    </row>
    <row r="119" spans="1:10" ht="15" customHeight="1" x14ac:dyDescent="0.25">
      <c r="A119" s="8">
        <f>IF(COUNT($J$2:$J$1501)&gt;=118,118,"")</f>
        <v>118</v>
      </c>
      <c r="B119" s="8" t="str">
        <f t="shared" si="5"/>
        <v>Casillas Javier</v>
      </c>
      <c r="C119" s="8" t="str">
        <f t="shared" si="6"/>
        <v>Monterrey</v>
      </c>
      <c r="D119" s="8">
        <f t="shared" si="7"/>
        <v>0</v>
      </c>
      <c r="F119" s="4" t="str">
        <f>IF(Jugadores!B119="","",Jugadores!B119)</f>
        <v>Urias Alejandro</v>
      </c>
      <c r="G119" s="4" t="str">
        <f>IF(Jugadores!B119="","",Jugadores!A119)</f>
        <v>Monterrey</v>
      </c>
      <c r="H119" s="4">
        <f>IF(F119="","",SUMIF('Estadísticas Jugadores'!$F$2:$F$7001,F119,'Estadísticas Jugadores'!$I$2:$I$7001))</f>
        <v>0</v>
      </c>
      <c r="I119" s="4">
        <f t="shared" si="8"/>
        <v>-1.19E-5</v>
      </c>
      <c r="J119" s="4">
        <f t="shared" si="9"/>
        <v>137</v>
      </c>
    </row>
    <row r="120" spans="1:10" ht="15" customHeight="1" x14ac:dyDescent="0.25">
      <c r="A120" s="8">
        <f>IF(COUNT($J$2:$J$1501)&gt;=119,119,"")</f>
        <v>119</v>
      </c>
      <c r="B120" s="8" t="str">
        <f t="shared" si="5"/>
        <v>Chavez Ricardo</v>
      </c>
      <c r="C120" s="8" t="str">
        <f t="shared" si="6"/>
        <v>Monterrey</v>
      </c>
      <c r="D120" s="8">
        <f t="shared" si="7"/>
        <v>0</v>
      </c>
      <c r="F120" s="4" t="str">
        <f>IF(Jugadores!B120="","",Jugadores!B120)</f>
        <v>Corona Jesús Manuel</v>
      </c>
      <c r="G120" s="4" t="str">
        <f>IF(Jugadores!B120="","",Jugadores!A120)</f>
        <v>Monterrey</v>
      </c>
      <c r="H120" s="4">
        <f>IF(F120="","",SUMIF('Estadísticas Jugadores'!$F$2:$F$7001,F120,'Estadísticas Jugadores'!$I$2:$I$7001))</f>
        <v>1</v>
      </c>
      <c r="I120" s="4">
        <f t="shared" si="8"/>
        <v>999.99998800000003</v>
      </c>
      <c r="J120" s="4">
        <f t="shared" si="9"/>
        <v>9</v>
      </c>
    </row>
    <row r="121" spans="1:10" ht="15" customHeight="1" x14ac:dyDescent="0.25">
      <c r="A121" s="8">
        <f>IF(COUNT($J$2:$J$1501)&gt;=120,120,"")</f>
        <v>120</v>
      </c>
      <c r="B121" s="8" t="str">
        <f t="shared" si="5"/>
        <v>Frayde Carlos</v>
      </c>
      <c r="C121" s="8" t="str">
        <f t="shared" si="6"/>
        <v>Monterrey</v>
      </c>
      <c r="D121" s="8">
        <f t="shared" si="7"/>
        <v>0</v>
      </c>
      <c r="F121" s="4" t="str">
        <f>IF(Jugadores!B121="","",Jugadores!B121)</f>
        <v>Djurdjevic Uros</v>
      </c>
      <c r="G121" s="4" t="str">
        <f>IF(Jugadores!B121="","",Jugadores!A121)</f>
        <v>Monterrey</v>
      </c>
      <c r="H121" s="4">
        <f>IF(F121="","",SUMIF('Estadísticas Jugadores'!$F$2:$F$7001,F121,'Estadísticas Jugadores'!$I$2:$I$7001))</f>
        <v>0</v>
      </c>
      <c r="I121" s="4">
        <f t="shared" si="8"/>
        <v>-1.2099999999999999E-5</v>
      </c>
      <c r="J121" s="4">
        <f t="shared" si="9"/>
        <v>138</v>
      </c>
    </row>
    <row r="122" spans="1:10" ht="15" customHeight="1" x14ac:dyDescent="0.25">
      <c r="A122" s="8">
        <f>IF(COUNT($J$2:$J$1501)&gt;=121,121,"")</f>
        <v>121</v>
      </c>
      <c r="B122" s="8" t="str">
        <f t="shared" si="5"/>
        <v>Garcia Diego</v>
      </c>
      <c r="C122" s="8" t="str">
        <f t="shared" si="6"/>
        <v>Monterrey</v>
      </c>
      <c r="D122" s="8">
        <f t="shared" si="7"/>
        <v>0</v>
      </c>
      <c r="F122" s="4" t="str">
        <f>IF(Jugadores!B122="","",Jugadores!B122)</f>
        <v>Ocampos Lucas</v>
      </c>
      <c r="G122" s="4" t="str">
        <f>IF(Jugadores!B122="","",Jugadores!A122)</f>
        <v>Monterrey</v>
      </c>
      <c r="H122" s="4">
        <f>IF(F122="","",SUMIF('Estadísticas Jugadores'!$F$2:$F$7001,F122,'Estadísticas Jugadores'!$I$2:$I$7001))</f>
        <v>2</v>
      </c>
      <c r="I122" s="4">
        <f t="shared" si="8"/>
        <v>1999.9999878000001</v>
      </c>
      <c r="J122" s="4">
        <f t="shared" si="9"/>
        <v>3</v>
      </c>
    </row>
    <row r="123" spans="1:10" ht="15" customHeight="1" x14ac:dyDescent="0.25">
      <c r="A123" s="8">
        <f>IF(COUNT($J$2:$J$1501)&gt;=122,122,"")</f>
        <v>122</v>
      </c>
      <c r="B123" s="8" t="str">
        <f t="shared" si="5"/>
        <v>Guzman Victor</v>
      </c>
      <c r="C123" s="8" t="str">
        <f t="shared" si="6"/>
        <v>Monterrey</v>
      </c>
      <c r="D123" s="8">
        <f t="shared" si="7"/>
        <v>0</v>
      </c>
      <c r="F123" s="4" t="str">
        <f>IF(Jugadores!B123="","",Jugadores!B123)</f>
        <v>Orellano Luca</v>
      </c>
      <c r="G123" s="4" t="str">
        <f>IF(Jugadores!B123="","",Jugadores!A123)</f>
        <v>Monterrey</v>
      </c>
      <c r="H123" s="4">
        <f>IF(F123="","",SUMIF('Estadísticas Jugadores'!$F$2:$F$7001,F123,'Estadísticas Jugadores'!$I$2:$I$7001))</f>
        <v>0</v>
      </c>
      <c r="I123" s="4">
        <f t="shared" si="8"/>
        <v>-1.2299999999999999E-5</v>
      </c>
      <c r="J123" s="4">
        <f t="shared" si="9"/>
        <v>139</v>
      </c>
    </row>
    <row r="124" spans="1:10" ht="15" customHeight="1" x14ac:dyDescent="0.25">
      <c r="A124" s="8">
        <f>IF(COUNT($J$2:$J$1501)&gt;=123,123,"")</f>
        <v>123</v>
      </c>
      <c r="B124" s="8" t="str">
        <f t="shared" si="5"/>
        <v>Medina Stefan</v>
      </c>
      <c r="C124" s="8" t="str">
        <f t="shared" si="6"/>
        <v>Monterrey</v>
      </c>
      <c r="D124" s="8">
        <f t="shared" si="7"/>
        <v>0</v>
      </c>
      <c r="F124" s="4" t="str">
        <f>IF(Jugadores!B124="","",Jugadores!B124)</f>
        <v>Rossi Diego</v>
      </c>
      <c r="G124" s="4" t="str">
        <f>IF(Jugadores!B124="","",Jugadores!A124)</f>
        <v>Monterrey</v>
      </c>
      <c r="H124" s="4">
        <f>IF(F124="","",SUMIF('Estadísticas Jugadores'!$F$2:$F$7001,F124,'Estadísticas Jugadores'!$I$2:$I$7001))</f>
        <v>0</v>
      </c>
      <c r="I124" s="4">
        <f t="shared" si="8"/>
        <v>-1.24E-5</v>
      </c>
      <c r="J124" s="4">
        <f t="shared" si="9"/>
        <v>140</v>
      </c>
    </row>
    <row r="125" spans="1:10" ht="15" customHeight="1" x14ac:dyDescent="0.25">
      <c r="A125" s="8">
        <f>IF(COUNT($J$2:$J$1501)&gt;=124,124,"")</f>
        <v>124</v>
      </c>
      <c r="B125" s="8" t="str">
        <f t="shared" si="5"/>
        <v>Reyes Luis</v>
      </c>
      <c r="C125" s="8" t="str">
        <f t="shared" si="6"/>
        <v>Monterrey</v>
      </c>
      <c r="D125" s="8">
        <f t="shared" si="7"/>
        <v>0</v>
      </c>
      <c r="F125" s="4" t="str">
        <f>IF(Jugadores!B125="","",Jugadores!B125)</f>
        <v>de la Rosa Roberto</v>
      </c>
      <c r="G125" s="4" t="str">
        <f>IF(Jugadores!B125="","",Jugadores!A125)</f>
        <v>Monterrey</v>
      </c>
      <c r="H125" s="4">
        <f>IF(F125="","",SUMIF('Estadísticas Jugadores'!$F$2:$F$7001,F125,'Estadísticas Jugadores'!$I$2:$I$7001))</f>
        <v>0</v>
      </c>
      <c r="I125" s="4">
        <f t="shared" si="8"/>
        <v>-1.2499999999999999E-5</v>
      </c>
      <c r="J125" s="4">
        <f t="shared" si="9"/>
        <v>141</v>
      </c>
    </row>
    <row r="126" spans="1:10" ht="15" customHeight="1" x14ac:dyDescent="0.25">
      <c r="A126" s="8">
        <f>IF(COUNT($J$2:$J$1501)&gt;=125,125,"")</f>
        <v>125</v>
      </c>
      <c r="B126" s="8" t="str">
        <f t="shared" si="5"/>
        <v>Salcedo Carlos</v>
      </c>
      <c r="C126" s="8" t="str">
        <f t="shared" si="6"/>
        <v>Monterrey</v>
      </c>
      <c r="D126" s="8">
        <f t="shared" si="7"/>
        <v>0</v>
      </c>
      <c r="F126" s="4" t="str">
        <f>IF(Jugadores!B126="","",Jugadores!B126)</f>
        <v>Gudino Portillo Andres Guillermo</v>
      </c>
      <c r="G126" s="4" t="str">
        <f>IF(Jugadores!B126="","",Jugadores!A126)</f>
        <v>Cruz Azul</v>
      </c>
      <c r="H126" s="4">
        <f>IF(F126="","",SUMIF('Estadísticas Jugadores'!$F$2:$F$7001,F126,'Estadísticas Jugadores'!$I$2:$I$7001))</f>
        <v>0</v>
      </c>
      <c r="I126" s="4">
        <f t="shared" si="8"/>
        <v>-1.26E-5</v>
      </c>
      <c r="J126" s="4">
        <f t="shared" si="9"/>
        <v>142</v>
      </c>
    </row>
    <row r="127" spans="1:10" ht="15" customHeight="1" x14ac:dyDescent="0.25">
      <c r="A127" s="8">
        <f>IF(COUNT($J$2:$J$1501)&gt;=126,126,"")</f>
        <v>126</v>
      </c>
      <c r="B127" s="8" t="str">
        <f t="shared" si="5"/>
        <v>Ambriz Fidel</v>
      </c>
      <c r="C127" s="8" t="str">
        <f t="shared" si="6"/>
        <v>Monterrey</v>
      </c>
      <c r="D127" s="8">
        <f t="shared" si="7"/>
        <v>0</v>
      </c>
      <c r="F127" s="4" t="str">
        <f>IF(Jugadores!B127="","",Jugadores!B127)</f>
        <v>Mier Kevin</v>
      </c>
      <c r="G127" s="4" t="str">
        <f>IF(Jugadores!B127="","",Jugadores!A127)</f>
        <v>Cruz Azul</v>
      </c>
      <c r="H127" s="4">
        <f>IF(F127="","",SUMIF('Estadísticas Jugadores'!$F$2:$F$7001,F127,'Estadísticas Jugadores'!$I$2:$I$7001))</f>
        <v>0</v>
      </c>
      <c r="I127" s="4">
        <f t="shared" si="8"/>
        <v>-1.2699999999999999E-5</v>
      </c>
      <c r="J127" s="4">
        <f t="shared" si="9"/>
        <v>143</v>
      </c>
    </row>
    <row r="128" spans="1:10" ht="15" customHeight="1" x14ac:dyDescent="0.25">
      <c r="A128" s="8">
        <f>IF(COUNT($J$2:$J$1501)&gt;=127,127,"")</f>
        <v>127</v>
      </c>
      <c r="B128" s="8" t="str">
        <f t="shared" si="5"/>
        <v>Dominguez Joel</v>
      </c>
      <c r="C128" s="8" t="str">
        <f t="shared" si="6"/>
        <v>Monterrey</v>
      </c>
      <c r="D128" s="8">
        <f t="shared" si="7"/>
        <v>0</v>
      </c>
      <c r="F128" s="4" t="str">
        <f>IF(Jugadores!B128="","",Jugadores!B128)</f>
        <v>Ochoa Emmanuel</v>
      </c>
      <c r="G128" s="4" t="str">
        <f>IF(Jugadores!B128="","",Jugadores!A128)</f>
        <v>Cruz Azul</v>
      </c>
      <c r="H128" s="4">
        <f>IF(F128="","",SUMIF('Estadísticas Jugadores'!$F$2:$F$7001,F128,'Estadísticas Jugadores'!$I$2:$I$7001))</f>
        <v>0</v>
      </c>
      <c r="I128" s="4">
        <f t="shared" si="8"/>
        <v>-1.2799999999999999E-5</v>
      </c>
      <c r="J128" s="4">
        <f t="shared" si="9"/>
        <v>144</v>
      </c>
    </row>
    <row r="129" spans="1:10" ht="15" customHeight="1" x14ac:dyDescent="0.25">
      <c r="A129" s="8">
        <f>IF(COUNT($J$2:$J$1501)&gt;=128,128,"")</f>
        <v>128</v>
      </c>
      <c r="B129" s="8" t="str">
        <f t="shared" si="5"/>
        <v>Fimbres Iker</v>
      </c>
      <c r="C129" s="8" t="str">
        <f t="shared" si="6"/>
        <v>Monterrey</v>
      </c>
      <c r="D129" s="8">
        <f t="shared" si="7"/>
        <v>0</v>
      </c>
      <c r="F129" s="4" t="str">
        <f>IF(Jugadores!B129="","",Jugadores!B129)</f>
        <v>Salgado Bruno</v>
      </c>
      <c r="G129" s="4" t="str">
        <f>IF(Jugadores!B129="","",Jugadores!A129)</f>
        <v>Cruz Azul</v>
      </c>
      <c r="H129" s="4">
        <f>IF(F129="","",SUMIF('Estadísticas Jugadores'!$F$2:$F$7001,F129,'Estadísticas Jugadores'!$I$2:$I$7001))</f>
        <v>0</v>
      </c>
      <c r="I129" s="4">
        <f t="shared" si="8"/>
        <v>-1.29E-5</v>
      </c>
      <c r="J129" s="4">
        <f t="shared" si="9"/>
        <v>145</v>
      </c>
    </row>
    <row r="130" spans="1:10" ht="15" customHeight="1" x14ac:dyDescent="0.25">
      <c r="A130" s="8">
        <f>IF(COUNT($J$2:$J$1501)&gt;=129,129,"")</f>
        <v>129</v>
      </c>
      <c r="B130" s="8" t="str">
        <f t="shared" ref="B130:B193" si="10">IF($A130="","",INDEX($F$2:$F$1501,MATCH($A130,$J$2:$J$1501,0)))</f>
        <v>Galvez Omar</v>
      </c>
      <c r="C130" s="8" t="str">
        <f t="shared" ref="C130:C193" si="11">IF($A130="","",INDEX($G$2:$G$1501,MATCH($A130,$J$2:$J$1501,0)))</f>
        <v>Monterrey</v>
      </c>
      <c r="D130" s="8">
        <f t="shared" ref="D130:D193" si="12">IF($A130="","",INDEX($H$2:$H$1501,MATCH($A130,$J$2:$J$1501,0)))</f>
        <v>0</v>
      </c>
      <c r="F130" s="4" t="str">
        <f>IF(Jugadores!B130="","",Jugadores!B130)</f>
        <v>Campos Omar</v>
      </c>
      <c r="G130" s="4" t="str">
        <f>IF(Jugadores!B130="","",Jugadores!A130)</f>
        <v>Cruz Azul</v>
      </c>
      <c r="H130" s="4">
        <f>IF(F130="","",SUMIF('Estadísticas Jugadores'!$F$2:$F$7001,F130,'Estadísticas Jugadores'!$I$2:$I$7001))</f>
        <v>0</v>
      </c>
      <c r="I130" s="4">
        <f t="shared" ref="I130:I193" si="13">IF(F130="","",H130*1000-ROW()*0.0000001)</f>
        <v>-1.2999999999999999E-5</v>
      </c>
      <c r="J130" s="4">
        <f t="shared" ref="J130:J193" si="14">IF(F130="","",RANK(I130,$I$2:$I$1501))</f>
        <v>146</v>
      </c>
    </row>
    <row r="131" spans="1:10" ht="15" customHeight="1" x14ac:dyDescent="0.25">
      <c r="A131" s="8">
        <f>IF(COUNT($J$2:$J$1501)&gt;=130,130,"")</f>
        <v>130</v>
      </c>
      <c r="B131" s="8" t="str">
        <f t="shared" si="10"/>
        <v>Garza Cesar</v>
      </c>
      <c r="C131" s="8" t="str">
        <f t="shared" si="11"/>
        <v>Monterrey</v>
      </c>
      <c r="D131" s="8">
        <f t="shared" si="12"/>
        <v>0</v>
      </c>
      <c r="F131" s="4" t="str">
        <f>IF(Jugadores!B131="","",Jugadores!B131)</f>
        <v>Diaz Josue</v>
      </c>
      <c r="G131" s="4" t="str">
        <f>IF(Jugadores!B131="","",Jugadores!A131)</f>
        <v>Cruz Azul</v>
      </c>
      <c r="H131" s="4">
        <f>IF(F131="","",SUMIF('Estadísticas Jugadores'!$F$2:$F$7001,F131,'Estadísticas Jugadores'!$I$2:$I$7001))</f>
        <v>0</v>
      </c>
      <c r="I131" s="4">
        <f t="shared" si="13"/>
        <v>-1.31E-5</v>
      </c>
      <c r="J131" s="4">
        <f t="shared" si="14"/>
        <v>147</v>
      </c>
    </row>
    <row r="132" spans="1:10" ht="15" customHeight="1" x14ac:dyDescent="0.25">
      <c r="A132" s="8">
        <f>IF(COUNT($J$2:$J$1501)&gt;=131,131,"")</f>
        <v>131</v>
      </c>
      <c r="B132" s="8" t="str">
        <f t="shared" si="10"/>
        <v>Pineda Orbelín</v>
      </c>
      <c r="C132" s="8" t="str">
        <f t="shared" si="11"/>
        <v>Monterrey</v>
      </c>
      <c r="D132" s="8">
        <f t="shared" si="12"/>
        <v>0</v>
      </c>
      <c r="F132" s="4" t="str">
        <f>IF(Jugadores!B132="","",Jugadores!B132)</f>
        <v>Ditta Willer</v>
      </c>
      <c r="G132" s="4" t="str">
        <f>IF(Jugadores!B132="","",Jugadores!A132)</f>
        <v>Cruz Azul</v>
      </c>
      <c r="H132" s="4">
        <f>IF(F132="","",SUMIF('Estadísticas Jugadores'!$F$2:$F$7001,F132,'Estadísticas Jugadores'!$I$2:$I$7001))</f>
        <v>0</v>
      </c>
      <c r="I132" s="4">
        <f t="shared" si="13"/>
        <v>-1.3199999999999999E-5</v>
      </c>
      <c r="J132" s="4">
        <f t="shared" si="14"/>
        <v>148</v>
      </c>
    </row>
    <row r="133" spans="1:10" ht="15" customHeight="1" x14ac:dyDescent="0.25">
      <c r="A133" s="8">
        <f>IF(COUNT($J$2:$J$1501)&gt;=132,132,"")</f>
        <v>132</v>
      </c>
      <c r="B133" s="8" t="str">
        <f t="shared" si="10"/>
        <v>Reyes Bermudez Cristian Isaac</v>
      </c>
      <c r="C133" s="8" t="str">
        <f t="shared" si="11"/>
        <v>Monterrey</v>
      </c>
      <c r="D133" s="8">
        <f t="shared" si="12"/>
        <v>0</v>
      </c>
      <c r="F133" s="4" t="str">
        <f>IF(Jugadores!B133="","",Jugadores!B133)</f>
        <v>Jimenez Cristian</v>
      </c>
      <c r="G133" s="4" t="str">
        <f>IF(Jugadores!B133="","",Jugadores!A133)</f>
        <v>Cruz Azul</v>
      </c>
      <c r="H133" s="4">
        <f>IF(F133="","",SUMIF('Estadísticas Jugadores'!$F$2:$F$7001,F133,'Estadísticas Jugadores'!$I$2:$I$7001))</f>
        <v>0</v>
      </c>
      <c r="I133" s="4">
        <f t="shared" si="13"/>
        <v>-1.33E-5</v>
      </c>
      <c r="J133" s="4">
        <f t="shared" si="14"/>
        <v>149</v>
      </c>
    </row>
    <row r="134" spans="1:10" ht="15" customHeight="1" x14ac:dyDescent="0.25">
      <c r="A134" s="8">
        <f>IF(COUNT($J$2:$J$1501)&gt;=133,133,"")</f>
        <v>133</v>
      </c>
      <c r="B134" s="8" t="str">
        <f t="shared" si="10"/>
        <v>Rodriguez Jorge</v>
      </c>
      <c r="C134" s="8" t="str">
        <f t="shared" si="11"/>
        <v>Monterrey</v>
      </c>
      <c r="D134" s="8">
        <f t="shared" si="12"/>
        <v>0</v>
      </c>
      <c r="F134" s="4" t="str">
        <f>IF(Jugadores!B134="","",Jugadores!B134)</f>
        <v>Montes Alan</v>
      </c>
      <c r="G134" s="4" t="str">
        <f>IF(Jugadores!B134="","",Jugadores!A134)</f>
        <v>Cruz Azul</v>
      </c>
      <c r="H134" s="4">
        <f>IF(F134="","",SUMIF('Estadísticas Jugadores'!$F$2:$F$7001,F134,'Estadísticas Jugadores'!$I$2:$I$7001))</f>
        <v>0</v>
      </c>
      <c r="I134" s="4">
        <f t="shared" si="13"/>
        <v>-1.3399999999999999E-5</v>
      </c>
      <c r="J134" s="4">
        <f t="shared" si="14"/>
        <v>150</v>
      </c>
    </row>
    <row r="135" spans="1:10" ht="15" customHeight="1" x14ac:dyDescent="0.25">
      <c r="A135" s="8">
        <f>IF(COUNT($J$2:$J$1501)&gt;=134,134,"")</f>
        <v>134</v>
      </c>
      <c r="B135" s="8" t="str">
        <f t="shared" si="10"/>
        <v>Rodriguez Sebastian</v>
      </c>
      <c r="C135" s="8" t="str">
        <f t="shared" si="11"/>
        <v>Monterrey</v>
      </c>
      <c r="D135" s="8">
        <f t="shared" si="12"/>
        <v>0</v>
      </c>
      <c r="F135" s="4" t="str">
        <f>IF(Jugadores!B135="","",Jugadores!B135)</f>
        <v>Orozco Jesus</v>
      </c>
      <c r="G135" s="4" t="str">
        <f>IF(Jugadores!B135="","",Jugadores!A135)</f>
        <v>Cruz Azul</v>
      </c>
      <c r="H135" s="4">
        <f>IF(F135="","",SUMIF('Estadísticas Jugadores'!$F$2:$F$7001,F135,'Estadísticas Jugadores'!$I$2:$I$7001))</f>
        <v>0</v>
      </c>
      <c r="I135" s="4">
        <f t="shared" si="13"/>
        <v>-1.3499999999999999E-5</v>
      </c>
      <c r="J135" s="4">
        <f t="shared" si="14"/>
        <v>151</v>
      </c>
    </row>
    <row r="136" spans="1:10" ht="15" customHeight="1" x14ac:dyDescent="0.25">
      <c r="A136" s="8">
        <f>IF(COUNT($J$2:$J$1501)&gt;=135,135,"")</f>
        <v>135</v>
      </c>
      <c r="B136" s="8" t="str">
        <f t="shared" si="10"/>
        <v>Rojas Allen</v>
      </c>
      <c r="C136" s="8" t="str">
        <f t="shared" si="11"/>
        <v>Monterrey</v>
      </c>
      <c r="D136" s="8">
        <f t="shared" si="12"/>
        <v>0</v>
      </c>
      <c r="F136" s="4" t="str">
        <f>IF(Jugadores!B136="","",Jugadores!B136)</f>
        <v>Piovi Gonzalo</v>
      </c>
      <c r="G136" s="4" t="str">
        <f>IF(Jugadores!B136="","",Jugadores!A136)</f>
        <v>Cruz Azul</v>
      </c>
      <c r="H136" s="4">
        <f>IF(F136="","",SUMIF('Estadísticas Jugadores'!$F$2:$F$7001,F136,'Estadísticas Jugadores'!$I$2:$I$7001))</f>
        <v>0</v>
      </c>
      <c r="I136" s="4">
        <f t="shared" si="13"/>
        <v>-1.3599999999999999E-5</v>
      </c>
      <c r="J136" s="4">
        <f t="shared" si="14"/>
        <v>152</v>
      </c>
    </row>
    <row r="137" spans="1:10" ht="15" customHeight="1" x14ac:dyDescent="0.25">
      <c r="A137" s="8">
        <f>IF(COUNT($J$2:$J$1501)&gt;=136,136,"")</f>
        <v>136</v>
      </c>
      <c r="B137" s="8" t="str">
        <f t="shared" si="10"/>
        <v>Torres Óliver</v>
      </c>
      <c r="C137" s="8" t="str">
        <f t="shared" si="11"/>
        <v>Monterrey</v>
      </c>
      <c r="D137" s="8">
        <f t="shared" si="12"/>
        <v>0</v>
      </c>
      <c r="F137" s="4" t="str">
        <f>IF(Jugadores!B137="","",Jugadores!B137)</f>
        <v>Ramirez Diego</v>
      </c>
      <c r="G137" s="4" t="str">
        <f>IF(Jugadores!B137="","",Jugadores!A137)</f>
        <v>Cruz Azul</v>
      </c>
      <c r="H137" s="4">
        <f>IF(F137="","",SUMIF('Estadísticas Jugadores'!$F$2:$F$7001,F137,'Estadísticas Jugadores'!$I$2:$I$7001))</f>
        <v>0</v>
      </c>
      <c r="I137" s="4">
        <f t="shared" si="13"/>
        <v>-1.3699999999999999E-5</v>
      </c>
      <c r="J137" s="4">
        <f t="shared" si="14"/>
        <v>153</v>
      </c>
    </row>
    <row r="138" spans="1:10" ht="15" customHeight="1" x14ac:dyDescent="0.25">
      <c r="A138" s="8">
        <f>IF(COUNT($J$2:$J$1501)&gt;=137,137,"")</f>
        <v>137</v>
      </c>
      <c r="B138" s="8" t="str">
        <f t="shared" si="10"/>
        <v>Urias Alejandro</v>
      </c>
      <c r="C138" s="8" t="str">
        <f t="shared" si="11"/>
        <v>Monterrey</v>
      </c>
      <c r="D138" s="8">
        <f t="shared" si="12"/>
        <v>0</v>
      </c>
      <c r="F138" s="4" t="str">
        <f>IF(Jugadores!B138="","",Jugadores!B138)</f>
        <v>Rodarte Jorge</v>
      </c>
      <c r="G138" s="4" t="str">
        <f>IF(Jugadores!B138="","",Jugadores!A138)</f>
        <v>Cruz Azul</v>
      </c>
      <c r="H138" s="4">
        <f>IF(F138="","",SUMIF('Estadísticas Jugadores'!$F$2:$F$7001,F138,'Estadísticas Jugadores'!$I$2:$I$7001))</f>
        <v>0</v>
      </c>
      <c r="I138" s="4">
        <f t="shared" si="13"/>
        <v>-1.38E-5</v>
      </c>
      <c r="J138" s="4">
        <f t="shared" si="14"/>
        <v>154</v>
      </c>
    </row>
    <row r="139" spans="1:10" ht="15" customHeight="1" x14ac:dyDescent="0.25">
      <c r="A139" s="8">
        <f>IF(COUNT($J$2:$J$1501)&gt;=138,138,"")</f>
        <v>138</v>
      </c>
      <c r="B139" s="8" t="str">
        <f t="shared" si="10"/>
        <v>Djurdjevic Uros</v>
      </c>
      <c r="C139" s="8" t="str">
        <f t="shared" si="11"/>
        <v>Monterrey</v>
      </c>
      <c r="D139" s="8">
        <f t="shared" si="12"/>
        <v>0</v>
      </c>
      <c r="F139" s="4" t="str">
        <f>IF(Jugadores!B139="","",Jugadores!B139)</f>
        <v>Rubio Raymundo</v>
      </c>
      <c r="G139" s="4" t="str">
        <f>IF(Jugadores!B139="","",Jugadores!A139)</f>
        <v>Cruz Azul</v>
      </c>
      <c r="H139" s="4">
        <f>IF(F139="","",SUMIF('Estadísticas Jugadores'!$F$2:$F$7001,F139,'Estadísticas Jugadores'!$I$2:$I$7001))</f>
        <v>0</v>
      </c>
      <c r="I139" s="4">
        <f t="shared" si="13"/>
        <v>-1.3899999999999999E-5</v>
      </c>
      <c r="J139" s="4">
        <f t="shared" si="14"/>
        <v>155</v>
      </c>
    </row>
    <row r="140" spans="1:10" ht="15" customHeight="1" x14ac:dyDescent="0.25">
      <c r="A140" s="8">
        <f>IF(COUNT($J$2:$J$1501)&gt;=139,139,"")</f>
        <v>139</v>
      </c>
      <c r="B140" s="8" t="str">
        <f t="shared" si="10"/>
        <v>Orellano Luca</v>
      </c>
      <c r="C140" s="8" t="str">
        <f t="shared" si="11"/>
        <v>Monterrey</v>
      </c>
      <c r="D140" s="8">
        <f t="shared" si="12"/>
        <v>0</v>
      </c>
      <c r="F140" s="4" t="str">
        <f>IF(Jugadores!B140="","",Jugadores!B140)</f>
        <v>Garcia Amaury</v>
      </c>
      <c r="G140" s="4" t="str">
        <f>IF(Jugadores!B140="","",Jugadores!A140)</f>
        <v>Cruz Azul</v>
      </c>
      <c r="H140" s="4">
        <f>IF(F140="","",SUMIF('Estadísticas Jugadores'!$F$2:$F$7001,F140,'Estadísticas Jugadores'!$I$2:$I$7001))</f>
        <v>0</v>
      </c>
      <c r="I140" s="4">
        <f t="shared" si="13"/>
        <v>-1.4E-5</v>
      </c>
      <c r="J140" s="4">
        <f t="shared" si="14"/>
        <v>156</v>
      </c>
    </row>
    <row r="141" spans="1:10" ht="15" customHeight="1" x14ac:dyDescent="0.25">
      <c r="A141" s="8">
        <f>IF(COUNT($J$2:$J$1501)&gt;=140,140,"")</f>
        <v>140</v>
      </c>
      <c r="B141" s="8" t="str">
        <f t="shared" si="10"/>
        <v>Rossi Diego</v>
      </c>
      <c r="C141" s="8" t="str">
        <f t="shared" si="11"/>
        <v>Monterrey</v>
      </c>
      <c r="D141" s="8">
        <f t="shared" si="12"/>
        <v>0</v>
      </c>
      <c r="F141" s="4" t="str">
        <f>IF(Jugadores!B141="","",Jugadores!B141)</f>
        <v>Gonzalez Rogelio</v>
      </c>
      <c r="G141" s="4" t="str">
        <f>IF(Jugadores!B141="","",Jugadores!A141)</f>
        <v>Cruz Azul</v>
      </c>
      <c r="H141" s="4">
        <f>IF(F141="","",SUMIF('Estadísticas Jugadores'!$F$2:$F$7001,F141,'Estadísticas Jugadores'!$I$2:$I$7001))</f>
        <v>0</v>
      </c>
      <c r="I141" s="4">
        <f t="shared" si="13"/>
        <v>-1.4099999999999999E-5</v>
      </c>
      <c r="J141" s="4">
        <f t="shared" si="14"/>
        <v>157</v>
      </c>
    </row>
    <row r="142" spans="1:10" ht="15" customHeight="1" x14ac:dyDescent="0.25">
      <c r="A142" s="8">
        <f>IF(COUNT($J$2:$J$1501)&gt;=141,141,"")</f>
        <v>141</v>
      </c>
      <c r="B142" s="8" t="str">
        <f t="shared" si="10"/>
        <v>de la Rosa Roberto</v>
      </c>
      <c r="C142" s="8" t="str">
        <f t="shared" si="11"/>
        <v>Monterrey</v>
      </c>
      <c r="D142" s="8">
        <f t="shared" si="12"/>
        <v>0</v>
      </c>
      <c r="F142" s="4" t="str">
        <f>IF(Jugadores!B142="","",Jugadores!B142)</f>
        <v>León Cristhian</v>
      </c>
      <c r="G142" s="4" t="str">
        <f>IF(Jugadores!B142="","",Jugadores!A142)</f>
        <v>Cruz Azul</v>
      </c>
      <c r="H142" s="4">
        <f>IF(F142="","",SUMIF('Estadísticas Jugadores'!$F$2:$F$7001,F142,'Estadísticas Jugadores'!$I$2:$I$7001))</f>
        <v>0</v>
      </c>
      <c r="I142" s="4">
        <f t="shared" si="13"/>
        <v>-1.42E-5</v>
      </c>
      <c r="J142" s="4">
        <f t="shared" si="14"/>
        <v>158</v>
      </c>
    </row>
    <row r="143" spans="1:10" ht="15" customHeight="1" x14ac:dyDescent="0.25">
      <c r="A143" s="8">
        <f>IF(COUNT($J$2:$J$1501)&gt;=142,142,"")</f>
        <v>142</v>
      </c>
      <c r="B143" s="8" t="str">
        <f t="shared" si="10"/>
        <v>Gudino Portillo Andres Guillermo</v>
      </c>
      <c r="C143" s="8" t="str">
        <f t="shared" si="11"/>
        <v>Cruz Azul</v>
      </c>
      <c r="D143" s="8">
        <f t="shared" si="12"/>
        <v>0</v>
      </c>
      <c r="F143" s="4" t="str">
        <f>IF(Jugadores!B143="","",Jugadores!B143)</f>
        <v>Lira Erik</v>
      </c>
      <c r="G143" s="4" t="str">
        <f>IF(Jugadores!B143="","",Jugadores!A143)</f>
        <v>Cruz Azul</v>
      </c>
      <c r="H143" s="4">
        <f>IF(F143="","",SUMIF('Estadísticas Jugadores'!$F$2:$F$7001,F143,'Estadísticas Jugadores'!$I$2:$I$7001))</f>
        <v>0</v>
      </c>
      <c r="I143" s="4">
        <f t="shared" si="13"/>
        <v>-1.4299999999999999E-5</v>
      </c>
      <c r="J143" s="4">
        <f t="shared" si="14"/>
        <v>159</v>
      </c>
    </row>
    <row r="144" spans="1:10" ht="15" customHeight="1" x14ac:dyDescent="0.25">
      <c r="A144" s="8">
        <f>IF(COUNT($J$2:$J$1501)&gt;=143,143,"")</f>
        <v>143</v>
      </c>
      <c r="B144" s="8" t="str">
        <f t="shared" si="10"/>
        <v>Mier Kevin</v>
      </c>
      <c r="C144" s="8" t="str">
        <f t="shared" si="11"/>
        <v>Cruz Azul</v>
      </c>
      <c r="D144" s="8">
        <f t="shared" si="12"/>
        <v>0</v>
      </c>
      <c r="F144" s="4" t="str">
        <f>IF(Jugadores!B144="","",Jugadores!B144)</f>
        <v>Martínez Ariel</v>
      </c>
      <c r="G144" s="4" t="str">
        <f>IF(Jugadores!B144="","",Jugadores!A144)</f>
        <v>Cruz Azul</v>
      </c>
      <c r="H144" s="4">
        <f>IF(F144="","",SUMIF('Estadísticas Jugadores'!$F$2:$F$7001,F144,'Estadísticas Jugadores'!$I$2:$I$7001))</f>
        <v>0</v>
      </c>
      <c r="I144" s="4">
        <f t="shared" si="13"/>
        <v>-1.4399999999999999E-5</v>
      </c>
      <c r="J144" s="4">
        <f t="shared" si="14"/>
        <v>160</v>
      </c>
    </row>
    <row r="145" spans="1:10" ht="15" customHeight="1" x14ac:dyDescent="0.25">
      <c r="A145" s="8">
        <f>IF(COUNT($J$2:$J$1501)&gt;=144,144,"")</f>
        <v>144</v>
      </c>
      <c r="B145" s="8" t="str">
        <f t="shared" si="10"/>
        <v>Ochoa Emmanuel</v>
      </c>
      <c r="C145" s="8" t="str">
        <f t="shared" si="11"/>
        <v>Cruz Azul</v>
      </c>
      <c r="D145" s="8">
        <f t="shared" si="12"/>
        <v>0</v>
      </c>
      <c r="F145" s="4" t="str">
        <f>IF(Jugadores!B145="","",Jugadores!B145)</f>
        <v>Montano Andres</v>
      </c>
      <c r="G145" s="4" t="str">
        <f>IF(Jugadores!B145="","",Jugadores!A145)</f>
        <v>Cruz Azul</v>
      </c>
      <c r="H145" s="4">
        <f>IF(F145="","",SUMIF('Estadísticas Jugadores'!$F$2:$F$7001,F145,'Estadísticas Jugadores'!$I$2:$I$7001))</f>
        <v>0</v>
      </c>
      <c r="I145" s="4">
        <f t="shared" si="13"/>
        <v>-1.45E-5</v>
      </c>
      <c r="J145" s="4">
        <f t="shared" si="14"/>
        <v>161</v>
      </c>
    </row>
    <row r="146" spans="1:10" ht="15" customHeight="1" x14ac:dyDescent="0.25">
      <c r="A146" s="8">
        <f>IF(COUNT($J$2:$J$1501)&gt;=145,145,"")</f>
        <v>145</v>
      </c>
      <c r="B146" s="8" t="str">
        <f t="shared" si="10"/>
        <v>Salgado Bruno</v>
      </c>
      <c r="C146" s="8" t="str">
        <f t="shared" si="11"/>
        <v>Cruz Azul</v>
      </c>
      <c r="D146" s="8">
        <f t="shared" si="12"/>
        <v>0</v>
      </c>
      <c r="F146" s="4" t="str">
        <f>IF(Jugadores!B146="","",Jugadores!B146)</f>
        <v>Márquez Jeremy</v>
      </c>
      <c r="G146" s="4" t="str">
        <f>IF(Jugadores!B146="","",Jugadores!A146)</f>
        <v>Cruz Azul</v>
      </c>
      <c r="H146" s="4">
        <f>IF(F146="","",SUMIF('Estadísticas Jugadores'!$F$2:$F$7001,F146,'Estadísticas Jugadores'!$I$2:$I$7001))</f>
        <v>2</v>
      </c>
      <c r="I146" s="4">
        <f t="shared" si="13"/>
        <v>1999.9999854</v>
      </c>
      <c r="J146" s="4">
        <f t="shared" si="14"/>
        <v>4</v>
      </c>
    </row>
    <row r="147" spans="1:10" ht="15" customHeight="1" x14ac:dyDescent="0.25">
      <c r="A147" s="8">
        <f>IF(COUNT($J$2:$J$1501)&gt;=146,146,"")</f>
        <v>146</v>
      </c>
      <c r="B147" s="8" t="str">
        <f t="shared" si="10"/>
        <v>Campos Omar</v>
      </c>
      <c r="C147" s="8" t="str">
        <f t="shared" si="11"/>
        <v>Cruz Azul</v>
      </c>
      <c r="D147" s="8">
        <f t="shared" si="12"/>
        <v>0</v>
      </c>
      <c r="F147" s="4" t="str">
        <f>IF(Jugadores!B147="","",Jugadores!B147)</f>
        <v>Palavecino Agustin</v>
      </c>
      <c r="G147" s="4" t="str">
        <f>IF(Jugadores!B147="","",Jugadores!A147)</f>
        <v>Cruz Azul</v>
      </c>
      <c r="H147" s="4">
        <f>IF(F147="","",SUMIF('Estadísticas Jugadores'!$F$2:$F$7001,F147,'Estadísticas Jugadores'!$I$2:$I$7001))</f>
        <v>0</v>
      </c>
      <c r="I147" s="4">
        <f t="shared" si="13"/>
        <v>-1.47E-5</v>
      </c>
      <c r="J147" s="4">
        <f t="shared" si="14"/>
        <v>162</v>
      </c>
    </row>
    <row r="148" spans="1:10" ht="15" customHeight="1" x14ac:dyDescent="0.25">
      <c r="A148" s="8">
        <f>IF(COUNT($J$2:$J$1501)&gt;=147,147,"")</f>
        <v>147</v>
      </c>
      <c r="B148" s="8" t="str">
        <f t="shared" si="10"/>
        <v>Diaz Josue</v>
      </c>
      <c r="C148" s="8" t="str">
        <f t="shared" si="11"/>
        <v>Cruz Azul</v>
      </c>
      <c r="D148" s="8">
        <f t="shared" si="12"/>
        <v>0</v>
      </c>
      <c r="F148" s="4" t="str">
        <f>IF(Jugadores!B148="","",Jugadores!B148)</f>
        <v>Paradela Jose</v>
      </c>
      <c r="G148" s="4" t="str">
        <f>IF(Jugadores!B148="","",Jugadores!A148)</f>
        <v>Cruz Azul</v>
      </c>
      <c r="H148" s="4">
        <f>IF(F148="","",SUMIF('Estadísticas Jugadores'!$F$2:$F$7001,F148,'Estadísticas Jugadores'!$I$2:$I$7001))</f>
        <v>0</v>
      </c>
      <c r="I148" s="4">
        <f t="shared" si="13"/>
        <v>-1.4799999999999999E-5</v>
      </c>
      <c r="J148" s="4">
        <f t="shared" si="14"/>
        <v>163</v>
      </c>
    </row>
    <row r="149" spans="1:10" ht="15" customHeight="1" x14ac:dyDescent="0.25">
      <c r="A149" s="8">
        <f>IF(COUNT($J$2:$J$1501)&gt;=148,148,"")</f>
        <v>148</v>
      </c>
      <c r="B149" s="8" t="str">
        <f t="shared" si="10"/>
        <v>Ditta Willer</v>
      </c>
      <c r="C149" s="8" t="str">
        <f t="shared" si="11"/>
        <v>Cruz Azul</v>
      </c>
      <c r="D149" s="8">
        <f t="shared" si="12"/>
        <v>0</v>
      </c>
      <c r="F149" s="4" t="str">
        <f>IF(Jugadores!B149="","",Jugadores!B149)</f>
        <v>Ramirez Jacobo</v>
      </c>
      <c r="G149" s="4" t="str">
        <f>IF(Jugadores!B149="","",Jugadores!A149)</f>
        <v>Cruz Azul</v>
      </c>
      <c r="H149" s="4">
        <f>IF(F149="","",SUMIF('Estadísticas Jugadores'!$F$2:$F$7001,F149,'Estadísticas Jugadores'!$I$2:$I$7001))</f>
        <v>0</v>
      </c>
      <c r="I149" s="4">
        <f t="shared" si="13"/>
        <v>-1.49E-5</v>
      </c>
      <c r="J149" s="4">
        <f t="shared" si="14"/>
        <v>164</v>
      </c>
    </row>
    <row r="150" spans="1:10" ht="15" customHeight="1" x14ac:dyDescent="0.25">
      <c r="A150" s="8">
        <f>IF(COUNT($J$2:$J$1501)&gt;=149,149,"")</f>
        <v>149</v>
      </c>
      <c r="B150" s="8" t="str">
        <f t="shared" si="10"/>
        <v>Jimenez Cristian</v>
      </c>
      <c r="C150" s="8" t="str">
        <f t="shared" si="11"/>
        <v>Cruz Azul</v>
      </c>
      <c r="D150" s="8">
        <f t="shared" si="12"/>
        <v>0</v>
      </c>
      <c r="F150" s="4" t="str">
        <f>IF(Jugadores!B150="","",Jugadores!B150)</f>
        <v>Rodriguez Carlos</v>
      </c>
      <c r="G150" s="4" t="str">
        <f>IF(Jugadores!B150="","",Jugadores!A150)</f>
        <v>Cruz Azul</v>
      </c>
      <c r="H150" s="4">
        <f>IF(F150="","",SUMIF('Estadísticas Jugadores'!$F$2:$F$7001,F150,'Estadísticas Jugadores'!$I$2:$I$7001))</f>
        <v>0</v>
      </c>
      <c r="I150" s="4">
        <f t="shared" si="13"/>
        <v>-1.4999999999999999E-5</v>
      </c>
      <c r="J150" s="4">
        <f t="shared" si="14"/>
        <v>165</v>
      </c>
    </row>
    <row r="151" spans="1:10" ht="15" customHeight="1" x14ac:dyDescent="0.25">
      <c r="A151" s="8">
        <f>IF(COUNT($J$2:$J$1501)&gt;=150,150,"")</f>
        <v>150</v>
      </c>
      <c r="B151" s="8" t="str">
        <f t="shared" si="10"/>
        <v>Montes Alan</v>
      </c>
      <c r="C151" s="8" t="str">
        <f t="shared" si="11"/>
        <v>Cruz Azul</v>
      </c>
      <c r="D151" s="8">
        <f t="shared" si="12"/>
        <v>0</v>
      </c>
      <c r="F151" s="4" t="str">
        <f>IF(Jugadores!B151="","",Jugadores!B151)</f>
        <v>Sanchez Emmanuel</v>
      </c>
      <c r="G151" s="4" t="str">
        <f>IF(Jugadores!B151="","",Jugadores!A151)</f>
        <v>Cruz Azul</v>
      </c>
      <c r="H151" s="4">
        <f>IF(F151="","",SUMIF('Estadísticas Jugadores'!$F$2:$F$7001,F151,'Estadísticas Jugadores'!$I$2:$I$7001))</f>
        <v>0</v>
      </c>
      <c r="I151" s="4">
        <f t="shared" si="13"/>
        <v>-1.5099999999999999E-5</v>
      </c>
      <c r="J151" s="4">
        <f t="shared" si="14"/>
        <v>166</v>
      </c>
    </row>
    <row r="152" spans="1:10" ht="15" customHeight="1" x14ac:dyDescent="0.25">
      <c r="A152" s="8">
        <f>IF(COUNT($J$2:$J$1501)&gt;=151,151,"")</f>
        <v>151</v>
      </c>
      <c r="B152" s="8" t="str">
        <f t="shared" si="10"/>
        <v>Orozco Jesus</v>
      </c>
      <c r="C152" s="8" t="str">
        <f t="shared" si="11"/>
        <v>Cruz Azul</v>
      </c>
      <c r="D152" s="8">
        <f t="shared" si="12"/>
        <v>0</v>
      </c>
      <c r="F152" s="4" t="str">
        <f>IF(Jugadores!B152="","",Jugadores!B152)</f>
        <v>Silva Ivan</v>
      </c>
      <c r="G152" s="4" t="str">
        <f>IF(Jugadores!B152="","",Jugadores!A152)</f>
        <v>Cruz Azul</v>
      </c>
      <c r="H152" s="4">
        <f>IF(F152="","",SUMIF('Estadísticas Jugadores'!$F$2:$F$7001,F152,'Estadísticas Jugadores'!$I$2:$I$7001))</f>
        <v>0</v>
      </c>
      <c r="I152" s="4">
        <f t="shared" si="13"/>
        <v>-1.52E-5</v>
      </c>
      <c r="J152" s="4">
        <f t="shared" si="14"/>
        <v>167</v>
      </c>
    </row>
    <row r="153" spans="1:10" ht="15" customHeight="1" x14ac:dyDescent="0.25">
      <c r="A153" s="8">
        <f>IF(COUNT($J$2:$J$1501)&gt;=152,152,"")</f>
        <v>152</v>
      </c>
      <c r="B153" s="8" t="str">
        <f t="shared" si="10"/>
        <v>Piovi Gonzalo</v>
      </c>
      <c r="C153" s="8" t="str">
        <f t="shared" si="11"/>
        <v>Cruz Azul</v>
      </c>
      <c r="D153" s="8">
        <f t="shared" si="12"/>
        <v>0</v>
      </c>
      <c r="F153" s="4" t="str">
        <f>IF(Jugadores!B153="","",Jugadores!B153)</f>
        <v>Valdez Diego</v>
      </c>
      <c r="G153" s="4" t="str">
        <f>IF(Jugadores!B153="","",Jugadores!A153)</f>
        <v>Cruz Azul</v>
      </c>
      <c r="H153" s="4">
        <f>IF(F153="","",SUMIF('Estadísticas Jugadores'!$F$2:$F$7001,F153,'Estadísticas Jugadores'!$I$2:$I$7001))</f>
        <v>0</v>
      </c>
      <c r="I153" s="4">
        <f t="shared" si="13"/>
        <v>-1.5299999999999999E-5</v>
      </c>
      <c r="J153" s="4">
        <f t="shared" si="14"/>
        <v>168</v>
      </c>
    </row>
    <row r="154" spans="1:10" ht="15" customHeight="1" x14ac:dyDescent="0.25">
      <c r="A154" s="8">
        <f>IF(COUNT($J$2:$J$1501)&gt;=153,153,"")</f>
        <v>153</v>
      </c>
      <c r="B154" s="8" t="str">
        <f t="shared" si="10"/>
        <v>Ramirez Diego</v>
      </c>
      <c r="C154" s="8" t="str">
        <f t="shared" si="11"/>
        <v>Cruz Azul</v>
      </c>
      <c r="D154" s="8">
        <f t="shared" si="12"/>
        <v>0</v>
      </c>
      <c r="F154" s="4" t="str">
        <f>IF(Jugadores!B154="","",Jugadores!B154)</f>
        <v>Velázquez Karol</v>
      </c>
      <c r="G154" s="4" t="str">
        <f>IF(Jugadores!B154="","",Jugadores!A154)</f>
        <v>Cruz Azul</v>
      </c>
      <c r="H154" s="4">
        <f>IF(F154="","",SUMIF('Estadísticas Jugadores'!$F$2:$F$7001,F154,'Estadísticas Jugadores'!$I$2:$I$7001))</f>
        <v>0</v>
      </c>
      <c r="I154" s="4">
        <f t="shared" si="13"/>
        <v>-1.5399999999999998E-5</v>
      </c>
      <c r="J154" s="4">
        <f t="shared" si="14"/>
        <v>169</v>
      </c>
    </row>
    <row r="155" spans="1:10" ht="15" customHeight="1" x14ac:dyDescent="0.25">
      <c r="A155" s="8">
        <f>IF(COUNT($J$2:$J$1501)&gt;=154,154,"")</f>
        <v>154</v>
      </c>
      <c r="B155" s="8" t="str">
        <f t="shared" si="10"/>
        <v>Rodarte Jorge</v>
      </c>
      <c r="C155" s="8" t="str">
        <f t="shared" si="11"/>
        <v>Cruz Azul</v>
      </c>
      <c r="D155" s="8">
        <f t="shared" si="12"/>
        <v>0</v>
      </c>
      <c r="F155" s="4" t="str">
        <f>IF(Jugadores!B155="","",Jugadores!B155)</f>
        <v>Calero Juan</v>
      </c>
      <c r="G155" s="4" t="str">
        <f>IF(Jugadores!B155="","",Jugadores!A155)</f>
        <v>Cruz Azul</v>
      </c>
      <c r="H155" s="4">
        <f>IF(F155="","",SUMIF('Estadísticas Jugadores'!$F$2:$F$7001,F155,'Estadísticas Jugadores'!$I$2:$I$7001))</f>
        <v>0</v>
      </c>
      <c r="I155" s="4">
        <f t="shared" si="13"/>
        <v>-1.5500000000000001E-5</v>
      </c>
      <c r="J155" s="4">
        <f t="shared" si="14"/>
        <v>170</v>
      </c>
    </row>
    <row r="156" spans="1:10" ht="15" customHeight="1" x14ac:dyDescent="0.25">
      <c r="A156" s="8">
        <f>IF(COUNT($J$2:$J$1501)&gt;=155,155,"")</f>
        <v>155</v>
      </c>
      <c r="B156" s="8" t="str">
        <f t="shared" si="10"/>
        <v>Rubio Raymundo</v>
      </c>
      <c r="C156" s="8" t="str">
        <f t="shared" si="11"/>
        <v>Cruz Azul</v>
      </c>
      <c r="D156" s="8">
        <f t="shared" si="12"/>
        <v>0</v>
      </c>
      <c r="F156" s="4" t="str">
        <f>IF(Jugadores!B156="","",Jugadores!B156)</f>
        <v>Ebere Christian</v>
      </c>
      <c r="G156" s="4" t="str">
        <f>IF(Jugadores!B156="","",Jugadores!A156)</f>
        <v>Cruz Azul</v>
      </c>
      <c r="H156" s="4">
        <f>IF(F156="","",SUMIF('Estadísticas Jugadores'!$F$2:$F$7001,F156,'Estadísticas Jugadores'!$I$2:$I$7001))</f>
        <v>0</v>
      </c>
      <c r="I156" s="4">
        <f t="shared" si="13"/>
        <v>-1.56E-5</v>
      </c>
      <c r="J156" s="4">
        <f t="shared" si="14"/>
        <v>171</v>
      </c>
    </row>
    <row r="157" spans="1:10" ht="15" customHeight="1" x14ac:dyDescent="0.25">
      <c r="A157" s="8">
        <f>IF(COUNT($J$2:$J$1501)&gt;=156,156,"")</f>
        <v>156</v>
      </c>
      <c r="B157" s="8" t="str">
        <f t="shared" si="10"/>
        <v>Garcia Amaury</v>
      </c>
      <c r="C157" s="8" t="str">
        <f t="shared" si="11"/>
        <v>Cruz Azul</v>
      </c>
      <c r="D157" s="8">
        <f t="shared" si="12"/>
        <v>0</v>
      </c>
      <c r="F157" s="4" t="str">
        <f>IF(Jugadores!B157="","",Jugadores!B157)</f>
        <v>Fernández Gabriel</v>
      </c>
      <c r="G157" s="4" t="str">
        <f>IF(Jugadores!B157="","",Jugadores!A157)</f>
        <v>Cruz Azul</v>
      </c>
      <c r="H157" s="4">
        <f>IF(F157="","",SUMIF('Estadísticas Jugadores'!$F$2:$F$7001,F157,'Estadísticas Jugadores'!$I$2:$I$7001))</f>
        <v>1</v>
      </c>
      <c r="I157" s="4">
        <f t="shared" si="13"/>
        <v>999.99998430000005</v>
      </c>
      <c r="J157" s="4">
        <f t="shared" si="14"/>
        <v>10</v>
      </c>
    </row>
    <row r="158" spans="1:10" ht="15" customHeight="1" x14ac:dyDescent="0.25">
      <c r="A158" s="8">
        <f>IF(COUNT($J$2:$J$1501)&gt;=157,157,"")</f>
        <v>157</v>
      </c>
      <c r="B158" s="8" t="str">
        <f t="shared" si="10"/>
        <v>Gonzalez Rogelio</v>
      </c>
      <c r="C158" s="8" t="str">
        <f t="shared" si="11"/>
        <v>Cruz Azul</v>
      </c>
      <c r="D158" s="8">
        <f t="shared" si="12"/>
        <v>0</v>
      </c>
      <c r="F158" s="4" t="str">
        <f>IF(Jugadores!B158="","",Jugadores!B158)</f>
        <v>Gamboa Bryan</v>
      </c>
      <c r="G158" s="4" t="str">
        <f>IF(Jugadores!B158="","",Jugadores!A158)</f>
        <v>Cruz Azul</v>
      </c>
      <c r="H158" s="4">
        <f>IF(F158="","",SUMIF('Estadísticas Jugadores'!$F$2:$F$7001,F158,'Estadísticas Jugadores'!$I$2:$I$7001))</f>
        <v>0</v>
      </c>
      <c r="I158" s="4">
        <f t="shared" si="13"/>
        <v>-1.5799999999999998E-5</v>
      </c>
      <c r="J158" s="4">
        <f t="shared" si="14"/>
        <v>172</v>
      </c>
    </row>
    <row r="159" spans="1:10" ht="15" customHeight="1" x14ac:dyDescent="0.25">
      <c r="A159" s="8">
        <f>IF(COUNT($J$2:$J$1501)&gt;=158,158,"")</f>
        <v>158</v>
      </c>
      <c r="B159" s="8" t="str">
        <f t="shared" si="10"/>
        <v>León Cristhian</v>
      </c>
      <c r="C159" s="8" t="str">
        <f t="shared" si="11"/>
        <v>Cruz Azul</v>
      </c>
      <c r="D159" s="8">
        <f t="shared" si="12"/>
        <v>0</v>
      </c>
      <c r="F159" s="4" t="str">
        <f>IF(Jugadores!B159="","",Jugadores!B159)</f>
        <v>Ibáñez Nicolás</v>
      </c>
      <c r="G159" s="4" t="str">
        <f>IF(Jugadores!B159="","",Jugadores!A159)</f>
        <v>Cruz Azul</v>
      </c>
      <c r="H159" s="4">
        <f>IF(F159="","",SUMIF('Estadísticas Jugadores'!$F$2:$F$7001,F159,'Estadísticas Jugadores'!$I$2:$I$7001))</f>
        <v>0</v>
      </c>
      <c r="I159" s="4">
        <f t="shared" si="13"/>
        <v>-1.59E-5</v>
      </c>
      <c r="J159" s="4">
        <f t="shared" si="14"/>
        <v>173</v>
      </c>
    </row>
    <row r="160" spans="1:10" ht="15" customHeight="1" x14ac:dyDescent="0.25">
      <c r="A160" s="8">
        <f>IF(COUNT($J$2:$J$1501)&gt;=159,159,"")</f>
        <v>159</v>
      </c>
      <c r="B160" s="8" t="str">
        <f t="shared" si="10"/>
        <v>Lira Erik</v>
      </c>
      <c r="C160" s="8" t="str">
        <f t="shared" si="11"/>
        <v>Cruz Azul</v>
      </c>
      <c r="D160" s="8">
        <f t="shared" si="12"/>
        <v>0</v>
      </c>
      <c r="F160" s="4" t="str">
        <f>IF(Jugadores!B160="","",Jugadores!B160)</f>
        <v>Levy Mateo</v>
      </c>
      <c r="G160" s="4" t="str">
        <f>IF(Jugadores!B160="","",Jugadores!A160)</f>
        <v>Cruz Azul</v>
      </c>
      <c r="H160" s="4">
        <f>IF(F160="","",SUMIF('Estadísticas Jugadores'!$F$2:$F$7001,F160,'Estadísticas Jugadores'!$I$2:$I$7001))</f>
        <v>0</v>
      </c>
      <c r="I160" s="4">
        <f t="shared" si="13"/>
        <v>-1.5999999999999999E-5</v>
      </c>
      <c r="J160" s="4">
        <f t="shared" si="14"/>
        <v>174</v>
      </c>
    </row>
    <row r="161" spans="1:10" ht="15" customHeight="1" x14ac:dyDescent="0.25">
      <c r="A161" s="8">
        <f>IF(COUNT($J$2:$J$1501)&gt;=160,160,"")</f>
        <v>160</v>
      </c>
      <c r="B161" s="8" t="str">
        <f t="shared" si="10"/>
        <v>Martínez Ariel</v>
      </c>
      <c r="C161" s="8" t="str">
        <f t="shared" si="11"/>
        <v>Cruz Azul</v>
      </c>
      <c r="D161" s="8">
        <f t="shared" si="12"/>
        <v>0</v>
      </c>
      <c r="F161" s="4" t="str">
        <f>IF(Jugadores!B161="","",Jugadores!B161)</f>
        <v>Morales Amaury</v>
      </c>
      <c r="G161" s="4" t="str">
        <f>IF(Jugadores!B161="","",Jugadores!A161)</f>
        <v>Cruz Azul</v>
      </c>
      <c r="H161" s="4">
        <f>IF(F161="","",SUMIF('Estadísticas Jugadores'!$F$2:$F$7001,F161,'Estadísticas Jugadores'!$I$2:$I$7001))</f>
        <v>0</v>
      </c>
      <c r="I161" s="4">
        <f t="shared" si="13"/>
        <v>-1.6099999999999998E-5</v>
      </c>
      <c r="J161" s="4">
        <f t="shared" si="14"/>
        <v>175</v>
      </c>
    </row>
    <row r="162" spans="1:10" ht="15" customHeight="1" x14ac:dyDescent="0.25">
      <c r="A162" s="8">
        <f>IF(COUNT($J$2:$J$1501)&gt;=161,161,"")</f>
        <v>161</v>
      </c>
      <c r="B162" s="8" t="str">
        <f t="shared" si="10"/>
        <v>Montano Andres</v>
      </c>
      <c r="C162" s="8" t="str">
        <f t="shared" si="11"/>
        <v>Cruz Azul</v>
      </c>
      <c r="D162" s="8">
        <f t="shared" si="12"/>
        <v>0</v>
      </c>
      <c r="F162" s="4" t="str">
        <f>IF(Jugadores!B162="","",Jugadores!B162)</f>
        <v>Romero Luka</v>
      </c>
      <c r="G162" s="4" t="str">
        <f>IF(Jugadores!B162="","",Jugadores!A162)</f>
        <v>Cruz Azul</v>
      </c>
      <c r="H162" s="4">
        <f>IF(F162="","",SUMIF('Estadísticas Jugadores'!$F$2:$F$7001,F162,'Estadísticas Jugadores'!$I$2:$I$7001))</f>
        <v>0</v>
      </c>
      <c r="I162" s="4">
        <f t="shared" si="13"/>
        <v>-1.6200000000000001E-5</v>
      </c>
      <c r="J162" s="4">
        <f t="shared" si="14"/>
        <v>176</v>
      </c>
    </row>
    <row r="163" spans="1:10" ht="15" customHeight="1" x14ac:dyDescent="0.25">
      <c r="A163" s="8">
        <f>IF(COUNT($J$2:$J$1501)&gt;=162,162,"")</f>
        <v>162</v>
      </c>
      <c r="B163" s="8" t="str">
        <f t="shared" si="10"/>
        <v>Palavecino Agustin</v>
      </c>
      <c r="C163" s="8" t="str">
        <f t="shared" si="11"/>
        <v>Cruz Azul</v>
      </c>
      <c r="D163" s="8">
        <f t="shared" si="12"/>
        <v>0</v>
      </c>
      <c r="F163" s="4" t="str">
        <f>IF(Jugadores!B163="","",Jugadores!B163)</f>
        <v>Rotondi Carlos</v>
      </c>
      <c r="G163" s="4" t="str">
        <f>IF(Jugadores!B163="","",Jugadores!A163)</f>
        <v>Cruz Azul</v>
      </c>
      <c r="H163" s="4">
        <f>IF(F163="","",SUMIF('Estadísticas Jugadores'!$F$2:$F$7001,F163,'Estadísticas Jugadores'!$I$2:$I$7001))</f>
        <v>0</v>
      </c>
      <c r="I163" s="4">
        <f t="shared" si="13"/>
        <v>-1.63E-5</v>
      </c>
      <c r="J163" s="4">
        <f t="shared" si="14"/>
        <v>177</v>
      </c>
    </row>
    <row r="164" spans="1:10" ht="15" customHeight="1" x14ac:dyDescent="0.25">
      <c r="A164" s="8">
        <f>IF(COUNT($J$2:$J$1501)&gt;=163,163,"")</f>
        <v>163</v>
      </c>
      <c r="B164" s="8" t="str">
        <f t="shared" si="10"/>
        <v>Paradela Jose</v>
      </c>
      <c r="C164" s="8" t="str">
        <f t="shared" si="11"/>
        <v>Cruz Azul</v>
      </c>
      <c r="D164" s="8">
        <f t="shared" si="12"/>
        <v>0</v>
      </c>
      <c r="F164" s="4" t="str">
        <f>IF(Jugadores!B164="","",Jugadores!B164)</f>
        <v>Hernandez Luis</v>
      </c>
      <c r="G164" s="4" t="str">
        <f>IF(Jugadores!B164="","",Jugadores!A164)</f>
        <v>Atlas</v>
      </c>
      <c r="H164" s="4">
        <f>IF(F164="","",SUMIF('Estadísticas Jugadores'!$F$2:$F$7001,F164,'Estadísticas Jugadores'!$I$2:$I$7001))</f>
        <v>0</v>
      </c>
      <c r="I164" s="4">
        <f t="shared" si="13"/>
        <v>-1.6399999999999999E-5</v>
      </c>
      <c r="J164" s="4">
        <f t="shared" si="14"/>
        <v>178</v>
      </c>
    </row>
    <row r="165" spans="1:10" ht="15" customHeight="1" x14ac:dyDescent="0.25">
      <c r="A165" s="8">
        <f>IF(COUNT($J$2:$J$1501)&gt;=164,164,"")</f>
        <v>164</v>
      </c>
      <c r="B165" s="8" t="str">
        <f t="shared" si="10"/>
        <v>Ramirez Jacobo</v>
      </c>
      <c r="C165" s="8" t="str">
        <f t="shared" si="11"/>
        <v>Cruz Azul</v>
      </c>
      <c r="D165" s="8">
        <f t="shared" si="12"/>
        <v>0</v>
      </c>
      <c r="F165" s="4" t="str">
        <f>IF(Jugadores!B165="","",Jugadores!B165)</f>
        <v>Sanchez Antonio</v>
      </c>
      <c r="G165" s="4" t="str">
        <f>IF(Jugadores!B165="","",Jugadores!A165)</f>
        <v>Atlas</v>
      </c>
      <c r="H165" s="4">
        <f>IF(F165="","",SUMIF('Estadísticas Jugadores'!$F$2:$F$7001,F165,'Estadísticas Jugadores'!$I$2:$I$7001))</f>
        <v>0</v>
      </c>
      <c r="I165" s="4">
        <f t="shared" si="13"/>
        <v>-1.6499999999999998E-5</v>
      </c>
      <c r="J165" s="4">
        <f t="shared" si="14"/>
        <v>179</v>
      </c>
    </row>
    <row r="166" spans="1:10" ht="15" customHeight="1" x14ac:dyDescent="0.25">
      <c r="A166" s="8">
        <f>IF(COUNT($J$2:$J$1501)&gt;=165,165,"")</f>
        <v>165</v>
      </c>
      <c r="B166" s="8" t="str">
        <f t="shared" si="10"/>
        <v>Rodriguez Carlos</v>
      </c>
      <c r="C166" s="8" t="str">
        <f t="shared" si="11"/>
        <v>Cruz Azul</v>
      </c>
      <c r="D166" s="8">
        <f t="shared" si="12"/>
        <v>0</v>
      </c>
      <c r="F166" s="4" t="str">
        <f>IF(Jugadores!B166="","",Jugadores!B166)</f>
        <v>Vargas Camilo</v>
      </c>
      <c r="G166" s="4" t="str">
        <f>IF(Jugadores!B166="","",Jugadores!A166)</f>
        <v>Atlas</v>
      </c>
      <c r="H166" s="4">
        <f>IF(F166="","",SUMIF('Estadísticas Jugadores'!$F$2:$F$7001,F166,'Estadísticas Jugadores'!$I$2:$I$7001))</f>
        <v>0</v>
      </c>
      <c r="I166" s="4">
        <f t="shared" si="13"/>
        <v>-1.66E-5</v>
      </c>
      <c r="J166" s="4">
        <f t="shared" si="14"/>
        <v>180</v>
      </c>
    </row>
    <row r="167" spans="1:10" ht="15" customHeight="1" x14ac:dyDescent="0.25">
      <c r="A167" s="8">
        <f>IF(COUNT($J$2:$J$1501)&gt;=166,166,"")</f>
        <v>166</v>
      </c>
      <c r="B167" s="8" t="str">
        <f t="shared" si="10"/>
        <v>Sanchez Emmanuel</v>
      </c>
      <c r="C167" s="8" t="str">
        <f t="shared" si="11"/>
        <v>Cruz Azul</v>
      </c>
      <c r="D167" s="8">
        <f t="shared" si="12"/>
        <v>0</v>
      </c>
      <c r="F167" s="4" t="str">
        <f>IF(Jugadores!B167="","",Jugadores!B167)</f>
        <v>Aguirre Ledesma Gaddi</v>
      </c>
      <c r="G167" s="4" t="str">
        <f>IF(Jugadores!B167="","",Jugadores!A167)</f>
        <v>Atlas</v>
      </c>
      <c r="H167" s="4">
        <f>IF(F167="","",SUMIF('Estadísticas Jugadores'!$F$2:$F$7001,F167,'Estadísticas Jugadores'!$I$2:$I$7001))</f>
        <v>0</v>
      </c>
      <c r="I167" s="4">
        <f t="shared" si="13"/>
        <v>-1.6699999999999999E-5</v>
      </c>
      <c r="J167" s="4">
        <f t="shared" si="14"/>
        <v>181</v>
      </c>
    </row>
    <row r="168" spans="1:10" ht="15" customHeight="1" x14ac:dyDescent="0.25">
      <c r="A168" s="8">
        <f>IF(COUNT($J$2:$J$1501)&gt;=167,167,"")</f>
        <v>167</v>
      </c>
      <c r="B168" s="8" t="str">
        <f t="shared" si="10"/>
        <v>Silva Ivan</v>
      </c>
      <c r="C168" s="8" t="str">
        <f t="shared" si="11"/>
        <v>Cruz Azul</v>
      </c>
      <c r="D168" s="8">
        <f t="shared" si="12"/>
        <v>0</v>
      </c>
      <c r="F168" s="4" t="str">
        <f>IF(Jugadores!B168="","",Jugadores!B168)</f>
        <v>Capasso Manuel</v>
      </c>
      <c r="G168" s="4" t="str">
        <f>IF(Jugadores!B168="","",Jugadores!A168)</f>
        <v>Atlas</v>
      </c>
      <c r="H168" s="4">
        <f>IF(F168="","",SUMIF('Estadísticas Jugadores'!$F$2:$F$7001,F168,'Estadísticas Jugadores'!$I$2:$I$7001))</f>
        <v>0</v>
      </c>
      <c r="I168" s="4">
        <f t="shared" si="13"/>
        <v>-1.6799999999999998E-5</v>
      </c>
      <c r="J168" s="4">
        <f t="shared" si="14"/>
        <v>182</v>
      </c>
    </row>
    <row r="169" spans="1:10" ht="15" customHeight="1" x14ac:dyDescent="0.25">
      <c r="A169" s="8">
        <f>IF(COUNT($J$2:$J$1501)&gt;=168,168,"")</f>
        <v>168</v>
      </c>
      <c r="B169" s="8" t="str">
        <f t="shared" si="10"/>
        <v>Valdez Diego</v>
      </c>
      <c r="C169" s="8" t="str">
        <f t="shared" si="11"/>
        <v>Cruz Azul</v>
      </c>
      <c r="D169" s="8">
        <f t="shared" si="12"/>
        <v>0</v>
      </c>
      <c r="F169" s="4" t="str">
        <f>IF(Jugadores!B169="","",Jugadores!B169)</f>
        <v>Gustavo Ferrareis</v>
      </c>
      <c r="G169" s="4" t="str">
        <f>IF(Jugadores!B169="","",Jugadores!A169)</f>
        <v>Atlas</v>
      </c>
      <c r="H169" s="4">
        <f>IF(F169="","",SUMIF('Estadísticas Jugadores'!$F$2:$F$7001,F169,'Estadísticas Jugadores'!$I$2:$I$7001))</f>
        <v>0</v>
      </c>
      <c r="I169" s="4">
        <f t="shared" si="13"/>
        <v>-1.6900000000000001E-5</v>
      </c>
      <c r="J169" s="4">
        <f t="shared" si="14"/>
        <v>183</v>
      </c>
    </row>
    <row r="170" spans="1:10" ht="15" customHeight="1" x14ac:dyDescent="0.25">
      <c r="A170" s="8">
        <f>IF(COUNT($J$2:$J$1501)&gt;=169,169,"")</f>
        <v>169</v>
      </c>
      <c r="B170" s="8" t="str">
        <f t="shared" si="10"/>
        <v>Velázquez Karol</v>
      </c>
      <c r="C170" s="8" t="str">
        <f t="shared" si="11"/>
        <v>Cruz Azul</v>
      </c>
      <c r="D170" s="8">
        <f t="shared" si="12"/>
        <v>0</v>
      </c>
      <c r="F170" s="4" t="str">
        <f>IF(Jugadores!B170="","",Jugadores!B170)</f>
        <v>Lozano Jose</v>
      </c>
      <c r="G170" s="4" t="str">
        <f>IF(Jugadores!B170="","",Jugadores!A170)</f>
        <v>Atlas</v>
      </c>
      <c r="H170" s="4">
        <f>IF(F170="","",SUMIF('Estadísticas Jugadores'!$F$2:$F$7001,F170,'Estadísticas Jugadores'!$I$2:$I$7001))</f>
        <v>0</v>
      </c>
      <c r="I170" s="4">
        <f t="shared" si="13"/>
        <v>-1.7E-5</v>
      </c>
      <c r="J170" s="4">
        <f t="shared" si="14"/>
        <v>184</v>
      </c>
    </row>
    <row r="171" spans="1:10" ht="15" customHeight="1" x14ac:dyDescent="0.25">
      <c r="A171" s="8">
        <f>IF(COUNT($J$2:$J$1501)&gt;=170,170,"")</f>
        <v>170</v>
      </c>
      <c r="B171" s="8" t="str">
        <f t="shared" si="10"/>
        <v>Calero Juan</v>
      </c>
      <c r="C171" s="8" t="str">
        <f t="shared" si="11"/>
        <v>Cruz Azul</v>
      </c>
      <c r="D171" s="8">
        <f t="shared" si="12"/>
        <v>0</v>
      </c>
      <c r="F171" s="4" t="str">
        <f>IF(Jugadores!B171="","",Jugadores!B171)</f>
        <v>Mora Adrián</v>
      </c>
      <c r="G171" s="4" t="str">
        <f>IF(Jugadores!B171="","",Jugadores!A171)</f>
        <v>Atlas</v>
      </c>
      <c r="H171" s="4">
        <f>IF(F171="","",SUMIF('Estadísticas Jugadores'!$F$2:$F$7001,F171,'Estadísticas Jugadores'!$I$2:$I$7001))</f>
        <v>0</v>
      </c>
      <c r="I171" s="4">
        <f t="shared" si="13"/>
        <v>-1.7099999999999999E-5</v>
      </c>
      <c r="J171" s="4">
        <f t="shared" si="14"/>
        <v>185</v>
      </c>
    </row>
    <row r="172" spans="1:10" ht="15" customHeight="1" x14ac:dyDescent="0.25">
      <c r="A172" s="8">
        <f>IF(COUNT($J$2:$J$1501)&gt;=171,171,"")</f>
        <v>171</v>
      </c>
      <c r="B172" s="8" t="str">
        <f t="shared" si="10"/>
        <v>Ebere Christian</v>
      </c>
      <c r="C172" s="8" t="str">
        <f t="shared" si="11"/>
        <v>Cruz Azul</v>
      </c>
      <c r="D172" s="8">
        <f t="shared" si="12"/>
        <v>0</v>
      </c>
      <c r="F172" s="4" t="str">
        <f>IF(Jugadores!B172="","",Jugadores!B172)</f>
        <v>Pier Roberto</v>
      </c>
      <c r="G172" s="4" t="str">
        <f>IF(Jugadores!B172="","",Jugadores!A172)</f>
        <v>Atlas</v>
      </c>
      <c r="H172" s="4">
        <f>IF(F172="","",SUMIF('Estadísticas Jugadores'!$F$2:$F$7001,F172,'Estadísticas Jugadores'!$I$2:$I$7001))</f>
        <v>0</v>
      </c>
      <c r="I172" s="4">
        <f t="shared" si="13"/>
        <v>-1.7199999999999998E-5</v>
      </c>
      <c r="J172" s="4">
        <f t="shared" si="14"/>
        <v>186</v>
      </c>
    </row>
    <row r="173" spans="1:10" ht="15" customHeight="1" x14ac:dyDescent="0.25">
      <c r="A173" s="8">
        <f>IF(COUNT($J$2:$J$1501)&gt;=172,172,"")</f>
        <v>172</v>
      </c>
      <c r="B173" s="8" t="str">
        <f t="shared" si="10"/>
        <v>Gamboa Bryan</v>
      </c>
      <c r="C173" s="8" t="str">
        <f t="shared" si="11"/>
        <v>Cruz Azul</v>
      </c>
      <c r="D173" s="8">
        <f t="shared" si="12"/>
        <v>0</v>
      </c>
      <c r="F173" s="4" t="str">
        <f>IF(Jugadores!B173="","",Jugadores!B173)</f>
        <v>Rodriguez Jorge</v>
      </c>
      <c r="G173" s="4" t="str">
        <f>IF(Jugadores!B173="","",Jugadores!A173)</f>
        <v>Atlas</v>
      </c>
      <c r="H173" s="4">
        <f>IF(F173="","",SUMIF('Estadísticas Jugadores'!$F$2:$F$7001,F173,'Estadísticas Jugadores'!$I$2:$I$7001))</f>
        <v>0</v>
      </c>
      <c r="I173" s="4">
        <f t="shared" si="13"/>
        <v>-1.73E-5</v>
      </c>
      <c r="J173" s="4">
        <f t="shared" si="14"/>
        <v>187</v>
      </c>
    </row>
    <row r="174" spans="1:10" ht="15" customHeight="1" x14ac:dyDescent="0.25">
      <c r="A174" s="8">
        <f>IF(COUNT($J$2:$J$1501)&gt;=173,173,"")</f>
        <v>173</v>
      </c>
      <c r="B174" s="8" t="str">
        <f t="shared" si="10"/>
        <v>Ibáñez Nicolás</v>
      </c>
      <c r="C174" s="8" t="str">
        <f t="shared" si="11"/>
        <v>Cruz Azul</v>
      </c>
      <c r="D174" s="8">
        <f t="shared" si="12"/>
        <v>0</v>
      </c>
      <c r="F174" s="4" t="str">
        <f>IF(Jugadores!B174="","",Jugadores!B174)</f>
        <v>San Martin Jorge</v>
      </c>
      <c r="G174" s="4" t="str">
        <f>IF(Jugadores!B174="","",Jugadores!A174)</f>
        <v>Atlas</v>
      </c>
      <c r="H174" s="4">
        <f>IF(F174="","",SUMIF('Estadísticas Jugadores'!$F$2:$F$7001,F174,'Estadísticas Jugadores'!$I$2:$I$7001))</f>
        <v>0</v>
      </c>
      <c r="I174" s="4">
        <f t="shared" si="13"/>
        <v>-1.7399999999999999E-5</v>
      </c>
      <c r="J174" s="4">
        <f t="shared" si="14"/>
        <v>188</v>
      </c>
    </row>
    <row r="175" spans="1:10" ht="15" customHeight="1" x14ac:dyDescent="0.25">
      <c r="A175" s="8">
        <f>IF(COUNT($J$2:$J$1501)&gt;=174,174,"")</f>
        <v>174</v>
      </c>
      <c r="B175" s="8" t="str">
        <f t="shared" si="10"/>
        <v>Levy Mateo</v>
      </c>
      <c r="C175" s="8" t="str">
        <f t="shared" si="11"/>
        <v>Cruz Azul</v>
      </c>
      <c r="D175" s="8">
        <f t="shared" si="12"/>
        <v>0</v>
      </c>
      <c r="F175" s="4" t="str">
        <f>IF(Jugadores!B175="","",Jugadores!B175)</f>
        <v>Schlegel Rodrigo</v>
      </c>
      <c r="G175" s="4" t="str">
        <f>IF(Jugadores!B175="","",Jugadores!A175)</f>
        <v>Atlas</v>
      </c>
      <c r="H175" s="4">
        <f>IF(F175="","",SUMIF('Estadísticas Jugadores'!$F$2:$F$7001,F175,'Estadísticas Jugadores'!$I$2:$I$7001))</f>
        <v>0</v>
      </c>
      <c r="I175" s="4">
        <f t="shared" si="13"/>
        <v>-1.7499999999999998E-5</v>
      </c>
      <c r="J175" s="4">
        <f t="shared" si="14"/>
        <v>189</v>
      </c>
    </row>
    <row r="176" spans="1:10" ht="15" customHeight="1" x14ac:dyDescent="0.25">
      <c r="A176" s="8">
        <f>IF(COUNT($J$2:$J$1501)&gt;=175,175,"")</f>
        <v>175</v>
      </c>
      <c r="B176" s="8" t="str">
        <f t="shared" si="10"/>
        <v>Morales Amaury</v>
      </c>
      <c r="C176" s="8" t="str">
        <f t="shared" si="11"/>
        <v>Cruz Azul</v>
      </c>
      <c r="D176" s="8">
        <f t="shared" si="12"/>
        <v>0</v>
      </c>
      <c r="F176" s="4" t="str">
        <f>IF(Jugadores!B176="","",Jugadores!B176)</f>
        <v>Sánchez Jorge</v>
      </c>
      <c r="G176" s="4" t="str">
        <f>IF(Jugadores!B176="","",Jugadores!A176)</f>
        <v>Atlas</v>
      </c>
      <c r="H176" s="4">
        <f>IF(F176="","",SUMIF('Estadísticas Jugadores'!$F$2:$F$7001,F176,'Estadísticas Jugadores'!$I$2:$I$7001))</f>
        <v>0</v>
      </c>
      <c r="I176" s="4">
        <f t="shared" si="13"/>
        <v>-1.7600000000000001E-5</v>
      </c>
      <c r="J176" s="4">
        <f t="shared" si="14"/>
        <v>190</v>
      </c>
    </row>
    <row r="177" spans="1:10" ht="15" customHeight="1" x14ac:dyDescent="0.25">
      <c r="A177" s="8">
        <f>IF(COUNT($J$2:$J$1501)&gt;=176,176,"")</f>
        <v>176</v>
      </c>
      <c r="B177" s="8" t="str">
        <f t="shared" si="10"/>
        <v>Romero Luka</v>
      </c>
      <c r="C177" s="8" t="str">
        <f t="shared" si="11"/>
        <v>Cruz Azul</v>
      </c>
      <c r="D177" s="8">
        <f t="shared" si="12"/>
        <v>0</v>
      </c>
      <c r="F177" s="4" t="str">
        <f>IF(Jugadores!B177="","",Jugadores!B177)</f>
        <v>Valenzuela Milton</v>
      </c>
      <c r="G177" s="4" t="str">
        <f>IF(Jugadores!B177="","",Jugadores!A177)</f>
        <v>Atlas</v>
      </c>
      <c r="H177" s="4">
        <f>IF(F177="","",SUMIF('Estadísticas Jugadores'!$F$2:$F$7001,F177,'Estadísticas Jugadores'!$I$2:$I$7001))</f>
        <v>0</v>
      </c>
      <c r="I177" s="4">
        <f t="shared" si="13"/>
        <v>-1.77E-5</v>
      </c>
      <c r="J177" s="4">
        <f t="shared" si="14"/>
        <v>191</v>
      </c>
    </row>
    <row r="178" spans="1:10" ht="15" customHeight="1" x14ac:dyDescent="0.25">
      <c r="A178" s="8">
        <f>IF(COUNT($J$2:$J$1501)&gt;=177,177,"")</f>
        <v>177</v>
      </c>
      <c r="B178" s="8" t="str">
        <f t="shared" si="10"/>
        <v>Rotondi Carlos</v>
      </c>
      <c r="C178" s="8" t="str">
        <f t="shared" si="11"/>
        <v>Cruz Azul</v>
      </c>
      <c r="D178" s="8">
        <f t="shared" si="12"/>
        <v>0</v>
      </c>
      <c r="F178" s="4" t="str">
        <f>IF(Jugadores!B178="","",Jugadores!B178)</f>
        <v>Blanco Luis</v>
      </c>
      <c r="G178" s="4" t="str">
        <f>IF(Jugadores!B178="","",Jugadores!A178)</f>
        <v>Atlas</v>
      </c>
      <c r="H178" s="4">
        <f>IF(F178="","",SUMIF('Estadísticas Jugadores'!$F$2:$F$7001,F178,'Estadísticas Jugadores'!$I$2:$I$7001))</f>
        <v>0</v>
      </c>
      <c r="I178" s="4">
        <f t="shared" si="13"/>
        <v>-1.7799999999999999E-5</v>
      </c>
      <c r="J178" s="4">
        <f t="shared" si="14"/>
        <v>192</v>
      </c>
    </row>
    <row r="179" spans="1:10" ht="15" customHeight="1" x14ac:dyDescent="0.25">
      <c r="A179" s="8">
        <f>IF(COUNT($J$2:$J$1501)&gt;=178,178,"")</f>
        <v>178</v>
      </c>
      <c r="B179" s="8" t="str">
        <f t="shared" si="10"/>
        <v>Hernandez Luis</v>
      </c>
      <c r="C179" s="8" t="str">
        <f t="shared" si="11"/>
        <v>Atlas</v>
      </c>
      <c r="D179" s="8">
        <f t="shared" si="12"/>
        <v>0</v>
      </c>
      <c r="F179" s="4" t="str">
        <f>IF(Jugadores!B179="","",Jugadores!B179)</f>
        <v>Esteves Luis</v>
      </c>
      <c r="G179" s="4" t="str">
        <f>IF(Jugadores!B179="","",Jugadores!A179)</f>
        <v>Atlas</v>
      </c>
      <c r="H179" s="4">
        <f>IF(F179="","",SUMIF('Estadísticas Jugadores'!$F$2:$F$7001,F179,'Estadísticas Jugadores'!$I$2:$I$7001))</f>
        <v>0</v>
      </c>
      <c r="I179" s="4">
        <f t="shared" si="13"/>
        <v>-1.7899999999999998E-5</v>
      </c>
      <c r="J179" s="4">
        <f t="shared" si="14"/>
        <v>193</v>
      </c>
    </row>
    <row r="180" spans="1:10" ht="15" customHeight="1" x14ac:dyDescent="0.25">
      <c r="A180" s="8">
        <f>IF(COUNT($J$2:$J$1501)&gt;=179,179,"")</f>
        <v>179</v>
      </c>
      <c r="B180" s="8" t="str">
        <f t="shared" si="10"/>
        <v>Sanchez Antonio</v>
      </c>
      <c r="C180" s="8" t="str">
        <f t="shared" si="11"/>
        <v>Atlas</v>
      </c>
      <c r="D180" s="8">
        <f t="shared" si="12"/>
        <v>0</v>
      </c>
      <c r="F180" s="4" t="str">
        <f>IF(Jugadores!B180="","",Jugadores!B180)</f>
        <v>Guillen Jesús</v>
      </c>
      <c r="G180" s="4" t="str">
        <f>IF(Jugadores!B180="","",Jugadores!A180)</f>
        <v>Atlas</v>
      </c>
      <c r="H180" s="4">
        <f>IF(F180="","",SUMIF('Estadísticas Jugadores'!$F$2:$F$7001,F180,'Estadísticas Jugadores'!$I$2:$I$7001))</f>
        <v>0</v>
      </c>
      <c r="I180" s="4">
        <f t="shared" si="13"/>
        <v>-1.8E-5</v>
      </c>
      <c r="J180" s="4">
        <f t="shared" si="14"/>
        <v>194</v>
      </c>
    </row>
    <row r="181" spans="1:10" ht="15" customHeight="1" x14ac:dyDescent="0.25">
      <c r="A181" s="8">
        <f>IF(COUNT($J$2:$J$1501)&gt;=180,180,"")</f>
        <v>180</v>
      </c>
      <c r="B181" s="8" t="str">
        <f t="shared" si="10"/>
        <v>Vargas Camilo</v>
      </c>
      <c r="C181" s="8" t="str">
        <f t="shared" si="11"/>
        <v>Atlas</v>
      </c>
      <c r="D181" s="8">
        <f t="shared" si="12"/>
        <v>0</v>
      </c>
      <c r="F181" s="4" t="str">
        <f>IF(Jugadores!B181="","",Jugadores!B181)</f>
        <v>Hernandez Sergio</v>
      </c>
      <c r="G181" s="4" t="str">
        <f>IF(Jugadores!B181="","",Jugadores!A181)</f>
        <v>Atlas</v>
      </c>
      <c r="H181" s="4">
        <f>IF(F181="","",SUMIF('Estadísticas Jugadores'!$F$2:$F$7001,F181,'Estadísticas Jugadores'!$I$2:$I$7001))</f>
        <v>0</v>
      </c>
      <c r="I181" s="4">
        <f t="shared" si="13"/>
        <v>-1.8099999999999999E-5</v>
      </c>
      <c r="J181" s="4">
        <f t="shared" si="14"/>
        <v>195</v>
      </c>
    </row>
    <row r="182" spans="1:10" ht="15" customHeight="1" x14ac:dyDescent="0.25">
      <c r="A182" s="8">
        <f>IF(COUNT($J$2:$J$1501)&gt;=181,181,"")</f>
        <v>181</v>
      </c>
      <c r="B182" s="8" t="str">
        <f t="shared" si="10"/>
        <v>Aguirre Ledesma Gaddi</v>
      </c>
      <c r="C182" s="8" t="str">
        <f t="shared" si="11"/>
        <v>Atlas</v>
      </c>
      <c r="D182" s="8">
        <f t="shared" si="12"/>
        <v>0</v>
      </c>
      <c r="F182" s="4" t="str">
        <f>IF(Jugadores!B182="","",Jugadores!B182)</f>
        <v>Ramirez Paulo</v>
      </c>
      <c r="G182" s="4" t="str">
        <f>IF(Jugadores!B182="","",Jugadores!A182)</f>
        <v>Atlas</v>
      </c>
      <c r="H182" s="4">
        <f>IF(F182="","",SUMIF('Estadísticas Jugadores'!$F$2:$F$7001,F182,'Estadísticas Jugadores'!$I$2:$I$7001))</f>
        <v>0</v>
      </c>
      <c r="I182" s="4">
        <f t="shared" si="13"/>
        <v>-1.8199999999999999E-5</v>
      </c>
      <c r="J182" s="4">
        <f t="shared" si="14"/>
        <v>196</v>
      </c>
    </row>
    <row r="183" spans="1:10" ht="15" customHeight="1" x14ac:dyDescent="0.25">
      <c r="A183" s="8">
        <f>IF(COUNT($J$2:$J$1501)&gt;=182,182,"")</f>
        <v>182</v>
      </c>
      <c r="B183" s="8" t="str">
        <f t="shared" si="10"/>
        <v>Capasso Manuel</v>
      </c>
      <c r="C183" s="8" t="str">
        <f t="shared" si="11"/>
        <v>Atlas</v>
      </c>
      <c r="D183" s="8">
        <f t="shared" si="12"/>
        <v>0</v>
      </c>
      <c r="F183" s="4" t="str">
        <f>IF(Jugadores!B183="","",Jugadores!B183)</f>
        <v>Rios De Alba Victor Hugo</v>
      </c>
      <c r="G183" s="4" t="str">
        <f>IF(Jugadores!B183="","",Jugadores!A183)</f>
        <v>Atlas</v>
      </c>
      <c r="H183" s="4">
        <f>IF(F183="","",SUMIF('Estadísticas Jugadores'!$F$2:$F$7001,F183,'Estadísticas Jugadores'!$I$2:$I$7001))</f>
        <v>0</v>
      </c>
      <c r="I183" s="4">
        <f t="shared" si="13"/>
        <v>-1.8299999999999998E-5</v>
      </c>
      <c r="J183" s="4">
        <f t="shared" si="14"/>
        <v>197</v>
      </c>
    </row>
    <row r="184" spans="1:10" ht="15" customHeight="1" x14ac:dyDescent="0.25">
      <c r="A184" s="8">
        <f>IF(COUNT($J$2:$J$1501)&gt;=183,183,"")</f>
        <v>183</v>
      </c>
      <c r="B184" s="8" t="str">
        <f t="shared" si="10"/>
        <v>Gustavo Ferrareis</v>
      </c>
      <c r="C184" s="8" t="str">
        <f t="shared" si="11"/>
        <v>Atlas</v>
      </c>
      <c r="D184" s="8">
        <f t="shared" si="12"/>
        <v>0</v>
      </c>
      <c r="F184" s="4" t="str">
        <f>IF(Jugadores!B184="","",Jugadores!B184)</f>
        <v>Rocha Aldo</v>
      </c>
      <c r="G184" s="4" t="str">
        <f>IF(Jugadores!B184="","",Jugadores!A184)</f>
        <v>Atlas</v>
      </c>
      <c r="H184" s="4">
        <f>IF(F184="","",SUMIF('Estadísticas Jugadores'!$F$2:$F$7001,F184,'Estadísticas Jugadores'!$I$2:$I$7001))</f>
        <v>1</v>
      </c>
      <c r="I184" s="4">
        <f t="shared" si="13"/>
        <v>999.99998159999996</v>
      </c>
      <c r="J184" s="4">
        <f t="shared" si="14"/>
        <v>11</v>
      </c>
    </row>
    <row r="185" spans="1:10" ht="15" customHeight="1" x14ac:dyDescent="0.25">
      <c r="A185" s="8">
        <f>IF(COUNT($J$2:$J$1501)&gt;=184,184,"")</f>
        <v>184</v>
      </c>
      <c r="B185" s="8" t="str">
        <f t="shared" si="10"/>
        <v>Lozano Jose</v>
      </c>
      <c r="C185" s="8" t="str">
        <f t="shared" si="11"/>
        <v>Atlas</v>
      </c>
      <c r="D185" s="8">
        <f t="shared" si="12"/>
        <v>0</v>
      </c>
      <c r="F185" s="4" t="str">
        <f>IF(Jugadores!B185="","",Jugadores!B185)</f>
        <v>Serrato Jesus</v>
      </c>
      <c r="G185" s="4" t="str">
        <f>IF(Jugadores!B185="","",Jugadores!A185)</f>
        <v>Atlas</v>
      </c>
      <c r="H185" s="4">
        <f>IF(F185="","",SUMIF('Estadísticas Jugadores'!$F$2:$F$7001,F185,'Estadísticas Jugadores'!$I$2:$I$7001))</f>
        <v>0</v>
      </c>
      <c r="I185" s="4">
        <f t="shared" si="13"/>
        <v>-1.8499999999999999E-5</v>
      </c>
      <c r="J185" s="4">
        <f t="shared" si="14"/>
        <v>198</v>
      </c>
    </row>
    <row r="186" spans="1:10" ht="15" customHeight="1" x14ac:dyDescent="0.25">
      <c r="A186" s="8">
        <f>IF(COUNT($J$2:$J$1501)&gt;=185,185,"")</f>
        <v>185</v>
      </c>
      <c r="B186" s="8" t="str">
        <f t="shared" si="10"/>
        <v>Mora Adrián</v>
      </c>
      <c r="C186" s="8" t="str">
        <f t="shared" si="11"/>
        <v>Atlas</v>
      </c>
      <c r="D186" s="8">
        <f t="shared" si="12"/>
        <v>0</v>
      </c>
      <c r="F186" s="4" t="str">
        <f>IF(Jugadores!B186="","",Jugadores!B186)</f>
        <v>Zaldivar Valverde Edgar</v>
      </c>
      <c r="G186" s="4" t="str">
        <f>IF(Jugadores!B186="","",Jugadores!A186)</f>
        <v>Atlas</v>
      </c>
      <c r="H186" s="4">
        <f>IF(F186="","",SUMIF('Estadísticas Jugadores'!$F$2:$F$7001,F186,'Estadísticas Jugadores'!$I$2:$I$7001))</f>
        <v>0</v>
      </c>
      <c r="I186" s="4">
        <f t="shared" si="13"/>
        <v>-1.8599999999999998E-5</v>
      </c>
      <c r="J186" s="4">
        <f t="shared" si="14"/>
        <v>199</v>
      </c>
    </row>
    <row r="187" spans="1:10" ht="15" customHeight="1" x14ac:dyDescent="0.25">
      <c r="A187" s="8">
        <f>IF(COUNT($J$2:$J$1501)&gt;=186,186,"")</f>
        <v>186</v>
      </c>
      <c r="B187" s="8" t="str">
        <f t="shared" si="10"/>
        <v>Pier Roberto</v>
      </c>
      <c r="C187" s="8" t="str">
        <f t="shared" si="11"/>
        <v>Atlas</v>
      </c>
      <c r="D187" s="8">
        <f t="shared" si="12"/>
        <v>0</v>
      </c>
      <c r="F187" s="4" t="str">
        <f>IF(Jugadores!B187="","",Jugadores!B187)</f>
        <v>Duk</v>
      </c>
      <c r="G187" s="4" t="str">
        <f>IF(Jugadores!B187="","",Jugadores!A187)</f>
        <v>Atlas</v>
      </c>
      <c r="H187" s="4">
        <f>IF(F187="","",SUMIF('Estadísticas Jugadores'!$F$2:$F$7001,F187,'Estadísticas Jugadores'!$I$2:$I$7001))</f>
        <v>1</v>
      </c>
      <c r="I187" s="4">
        <f t="shared" si="13"/>
        <v>999.99998129999994</v>
      </c>
      <c r="J187" s="4">
        <f t="shared" si="14"/>
        <v>12</v>
      </c>
    </row>
    <row r="188" spans="1:10" ht="15" customHeight="1" x14ac:dyDescent="0.25">
      <c r="A188" s="8">
        <f>IF(COUNT($J$2:$J$1501)&gt;=187,187,"")</f>
        <v>187</v>
      </c>
      <c r="B188" s="8" t="str">
        <f t="shared" si="10"/>
        <v>Rodriguez Jorge</v>
      </c>
      <c r="C188" s="8" t="str">
        <f t="shared" si="11"/>
        <v>Atlas</v>
      </c>
      <c r="D188" s="8">
        <f t="shared" si="12"/>
        <v>0</v>
      </c>
      <c r="F188" s="4" t="str">
        <f>IF(Jugadores!B188="","",Jugadores!B188)</f>
        <v>Gamboa Luis</v>
      </c>
      <c r="G188" s="4" t="str">
        <f>IF(Jugadores!B188="","",Jugadores!A188)</f>
        <v>Atlas</v>
      </c>
      <c r="H188" s="4">
        <f>IF(F188="","",SUMIF('Estadísticas Jugadores'!$F$2:$F$7001,F188,'Estadísticas Jugadores'!$I$2:$I$7001))</f>
        <v>0</v>
      </c>
      <c r="I188" s="4">
        <f t="shared" si="13"/>
        <v>-1.88E-5</v>
      </c>
      <c r="J188" s="4">
        <f t="shared" si="14"/>
        <v>200</v>
      </c>
    </row>
    <row r="189" spans="1:10" ht="15" customHeight="1" x14ac:dyDescent="0.25">
      <c r="A189" s="8">
        <f>IF(COUNT($J$2:$J$1501)&gt;=188,188,"")</f>
        <v>188</v>
      </c>
      <c r="B189" s="8" t="str">
        <f t="shared" si="10"/>
        <v>San Martin Jorge</v>
      </c>
      <c r="C189" s="8" t="str">
        <f t="shared" si="11"/>
        <v>Atlas</v>
      </c>
      <c r="D189" s="8">
        <f t="shared" si="12"/>
        <v>0</v>
      </c>
      <c r="F189" s="4" t="str">
        <f>IF(Jugadores!B189="","",Jugadores!B189)</f>
        <v>García Mateo Ezequiel</v>
      </c>
      <c r="G189" s="4" t="str">
        <f>IF(Jugadores!B189="","",Jugadores!A189)</f>
        <v>Atlas</v>
      </c>
      <c r="H189" s="4">
        <f>IF(F189="","",SUMIF('Estadísticas Jugadores'!$F$2:$F$7001,F189,'Estadísticas Jugadores'!$I$2:$I$7001))</f>
        <v>0</v>
      </c>
      <c r="I189" s="4">
        <f t="shared" si="13"/>
        <v>-1.8899999999999999E-5</v>
      </c>
      <c r="J189" s="4">
        <f t="shared" si="14"/>
        <v>201</v>
      </c>
    </row>
    <row r="190" spans="1:10" ht="15" customHeight="1" x14ac:dyDescent="0.25">
      <c r="A190" s="8">
        <f>IF(COUNT($J$2:$J$1501)&gt;=189,189,"")</f>
        <v>189</v>
      </c>
      <c r="B190" s="8" t="str">
        <f t="shared" si="10"/>
        <v>Schlegel Rodrigo</v>
      </c>
      <c r="C190" s="8" t="str">
        <f t="shared" si="11"/>
        <v>Atlas</v>
      </c>
      <c r="D190" s="8">
        <f t="shared" si="12"/>
        <v>0</v>
      </c>
      <c r="F190" s="4" t="str">
        <f>IF(Jugadores!B190="","",Jugadores!B190)</f>
        <v>Gonzalez Arturo</v>
      </c>
      <c r="G190" s="4" t="str">
        <f>IF(Jugadores!B190="","",Jugadores!A190)</f>
        <v>Atlas</v>
      </c>
      <c r="H190" s="4">
        <f>IF(F190="","",SUMIF('Estadísticas Jugadores'!$F$2:$F$7001,F190,'Estadísticas Jugadores'!$I$2:$I$7001))</f>
        <v>1</v>
      </c>
      <c r="I190" s="4">
        <f t="shared" si="13"/>
        <v>999.99998100000005</v>
      </c>
      <c r="J190" s="4">
        <f t="shared" si="14"/>
        <v>13</v>
      </c>
    </row>
    <row r="191" spans="1:10" ht="15" customHeight="1" x14ac:dyDescent="0.25">
      <c r="A191" s="8">
        <f>IF(COUNT($J$2:$J$1501)&gt;=190,190,"")</f>
        <v>190</v>
      </c>
      <c r="B191" s="8" t="str">
        <f t="shared" si="10"/>
        <v>Sánchez Jorge</v>
      </c>
      <c r="C191" s="8" t="str">
        <f t="shared" si="11"/>
        <v>Atlas</v>
      </c>
      <c r="D191" s="8">
        <f t="shared" si="12"/>
        <v>0</v>
      </c>
      <c r="F191" s="4" t="str">
        <f>IF(Jugadores!B191="","",Jugadores!B191)</f>
        <v>Martin Jose</v>
      </c>
      <c r="G191" s="4" t="str">
        <f>IF(Jugadores!B191="","",Jugadores!A191)</f>
        <v>Atlas</v>
      </c>
      <c r="H191" s="4">
        <f>IF(F191="","",SUMIF('Estadísticas Jugadores'!$F$2:$F$7001,F191,'Estadísticas Jugadores'!$I$2:$I$7001))</f>
        <v>0</v>
      </c>
      <c r="I191" s="4">
        <f t="shared" si="13"/>
        <v>-1.91E-5</v>
      </c>
      <c r="J191" s="4">
        <f t="shared" si="14"/>
        <v>202</v>
      </c>
    </row>
    <row r="192" spans="1:10" ht="15" customHeight="1" x14ac:dyDescent="0.25">
      <c r="A192" s="8">
        <f>IF(COUNT($J$2:$J$1501)&gt;=191,191,"")</f>
        <v>191</v>
      </c>
      <c r="B192" s="8" t="str">
        <f t="shared" si="10"/>
        <v>Valenzuela Milton</v>
      </c>
      <c r="C192" s="8" t="str">
        <f t="shared" si="11"/>
        <v>Atlas</v>
      </c>
      <c r="D192" s="8">
        <f t="shared" si="12"/>
        <v>0</v>
      </c>
      <c r="F192" s="4" t="str">
        <f>IF(Jugadores!B192="","",Jugadores!B192)</f>
        <v>Mmaee Ryan</v>
      </c>
      <c r="G192" s="4" t="str">
        <f>IF(Jugadores!B192="","",Jugadores!A192)</f>
        <v>Atlas</v>
      </c>
      <c r="H192" s="4">
        <f>IF(F192="","",SUMIF('Estadísticas Jugadores'!$F$2:$F$7001,F192,'Estadísticas Jugadores'!$I$2:$I$7001))</f>
        <v>0</v>
      </c>
      <c r="I192" s="4">
        <f t="shared" si="13"/>
        <v>-1.9199999999999999E-5</v>
      </c>
      <c r="J192" s="4">
        <f t="shared" si="14"/>
        <v>203</v>
      </c>
    </row>
    <row r="193" spans="1:10" ht="15" customHeight="1" x14ac:dyDescent="0.25">
      <c r="A193" s="8">
        <f>IF(COUNT($J$2:$J$1501)&gt;=192,192,"")</f>
        <v>192</v>
      </c>
      <c r="B193" s="8" t="str">
        <f t="shared" si="10"/>
        <v>Blanco Luis</v>
      </c>
      <c r="C193" s="8" t="str">
        <f t="shared" si="11"/>
        <v>Atlas</v>
      </c>
      <c r="D193" s="8">
        <f t="shared" si="12"/>
        <v>0</v>
      </c>
      <c r="F193" s="4" t="str">
        <f>IF(Jugadores!B193="","",Jugadores!B193)</f>
        <v>Rodriguez Agustin</v>
      </c>
      <c r="G193" s="4" t="str">
        <f>IF(Jugadores!B193="","",Jugadores!A193)</f>
        <v>Atlas</v>
      </c>
      <c r="H193" s="4">
        <f>IF(F193="","",SUMIF('Estadísticas Jugadores'!$F$2:$F$7001,F193,'Estadísticas Jugadores'!$I$2:$I$7001))</f>
        <v>0</v>
      </c>
      <c r="I193" s="4">
        <f t="shared" si="13"/>
        <v>-1.9299999999999998E-5</v>
      </c>
      <c r="J193" s="4">
        <f t="shared" si="14"/>
        <v>204</v>
      </c>
    </row>
    <row r="194" spans="1:10" ht="15" customHeight="1" x14ac:dyDescent="0.25">
      <c r="A194" s="8">
        <f>IF(COUNT($J$2:$J$1501)&gt;=193,193,"")</f>
        <v>193</v>
      </c>
      <c r="B194" s="8" t="str">
        <f t="shared" ref="B194:B257" si="15">IF($A194="","",INDEX($F$2:$F$1501,MATCH($A194,$J$2:$J$1501,0)))</f>
        <v>Esteves Luis</v>
      </c>
      <c r="C194" s="8" t="str">
        <f t="shared" ref="C194:C257" si="16">IF($A194="","",INDEX($G$2:$G$1501,MATCH($A194,$J$2:$J$1501,0)))</f>
        <v>Atlas</v>
      </c>
      <c r="D194" s="8">
        <f t="shared" ref="D194:D257" si="17">IF($A194="","",INDEX($H$2:$H$1501,MATCH($A194,$J$2:$J$1501,0)))</f>
        <v>0</v>
      </c>
      <c r="F194" s="4" t="str">
        <f>IF(Jugadores!B194="","",Jugadores!B194)</f>
        <v>del Prete Gustavo</v>
      </c>
      <c r="G194" s="4" t="str">
        <f>IF(Jugadores!B194="","",Jugadores!A194)</f>
        <v>Atlas</v>
      </c>
      <c r="H194" s="4">
        <f>IF(F194="","",SUMIF('Estadísticas Jugadores'!$F$2:$F$7001,F194,'Estadísticas Jugadores'!$I$2:$I$7001))</f>
        <v>0</v>
      </c>
      <c r="I194" s="4">
        <f t="shared" ref="I194:I257" si="18">IF(F194="","",H194*1000-ROW()*0.0000001)</f>
        <v>-1.9400000000000001E-5</v>
      </c>
      <c r="J194" s="4">
        <f t="shared" ref="J194:J257" si="19">IF(F194="","",RANK(I194,$I$2:$I$1501))</f>
        <v>205</v>
      </c>
    </row>
    <row r="195" spans="1:10" ht="15" customHeight="1" x14ac:dyDescent="0.25">
      <c r="A195" s="8">
        <f>IF(COUNT($J$2:$J$1501)&gt;=194,194,"")</f>
        <v>194</v>
      </c>
      <c r="B195" s="8" t="str">
        <f t="shared" si="15"/>
        <v>Guillen Jesús</v>
      </c>
      <c r="C195" s="8" t="str">
        <f t="shared" si="16"/>
        <v>Atlas</v>
      </c>
      <c r="D195" s="8">
        <f t="shared" si="17"/>
        <v>0</v>
      </c>
      <c r="F195" s="4" t="str">
        <f>IF(Jugadores!B195="","",Jugadores!B195)</f>
        <v>Andrade Christopher</v>
      </c>
      <c r="G195" s="4" t="str">
        <f>IF(Jugadores!B195="","",Jugadores!A195)</f>
        <v>Necaxa</v>
      </c>
      <c r="H195" s="4">
        <f>IF(F195="","",SUMIF('Estadísticas Jugadores'!$F$2:$F$7001,F195,'Estadísticas Jugadores'!$I$2:$I$7001))</f>
        <v>0</v>
      </c>
      <c r="I195" s="4">
        <f t="shared" si="18"/>
        <v>-1.95E-5</v>
      </c>
      <c r="J195" s="4">
        <f t="shared" si="19"/>
        <v>206</v>
      </c>
    </row>
    <row r="196" spans="1:10" ht="15" customHeight="1" x14ac:dyDescent="0.25">
      <c r="A196" s="8">
        <f>IF(COUNT($J$2:$J$1501)&gt;=195,195,"")</f>
        <v>195</v>
      </c>
      <c r="B196" s="8" t="str">
        <f t="shared" si="15"/>
        <v>Hernandez Sergio</v>
      </c>
      <c r="C196" s="8" t="str">
        <f t="shared" si="16"/>
        <v>Atlas</v>
      </c>
      <c r="D196" s="8">
        <f t="shared" si="17"/>
        <v>0</v>
      </c>
      <c r="F196" s="4" t="str">
        <f>IF(Jugadores!B196="","",Jugadores!B196)</f>
        <v>Jimenez Luis</v>
      </c>
      <c r="G196" s="4" t="str">
        <f>IF(Jugadores!B196="","",Jugadores!A196)</f>
        <v>Necaxa</v>
      </c>
      <c r="H196" s="4">
        <f>IF(F196="","",SUMIF('Estadísticas Jugadores'!$F$2:$F$7001,F196,'Estadísticas Jugadores'!$I$2:$I$7001))</f>
        <v>0</v>
      </c>
      <c r="I196" s="4">
        <f t="shared" si="18"/>
        <v>-1.9599999999999999E-5</v>
      </c>
      <c r="J196" s="4">
        <f t="shared" si="19"/>
        <v>207</v>
      </c>
    </row>
    <row r="197" spans="1:10" ht="15" customHeight="1" x14ac:dyDescent="0.25">
      <c r="A197" s="8">
        <f>IF(COUNT($J$2:$J$1501)&gt;=196,196,"")</f>
        <v>196</v>
      </c>
      <c r="B197" s="8" t="str">
        <f t="shared" si="15"/>
        <v>Ramirez Paulo</v>
      </c>
      <c r="C197" s="8" t="str">
        <f t="shared" si="16"/>
        <v>Atlas</v>
      </c>
      <c r="D197" s="8">
        <f t="shared" si="17"/>
        <v>0</v>
      </c>
      <c r="F197" s="4" t="str">
        <f>IF(Jugadores!B197="","",Jugadores!B197)</f>
        <v>Alonso Ricardo</v>
      </c>
      <c r="G197" s="4" t="str">
        <f>IF(Jugadores!B197="","",Jugadores!A197)</f>
        <v>Necaxa</v>
      </c>
      <c r="H197" s="4">
        <f>IF(F197="","",SUMIF('Estadísticas Jugadores'!$F$2:$F$7001,F197,'Estadísticas Jugadores'!$I$2:$I$7001))</f>
        <v>0</v>
      </c>
      <c r="I197" s="4">
        <f t="shared" si="18"/>
        <v>-1.9699999999999998E-5</v>
      </c>
      <c r="J197" s="4">
        <f t="shared" si="19"/>
        <v>208</v>
      </c>
    </row>
    <row r="198" spans="1:10" ht="15" customHeight="1" x14ac:dyDescent="0.25">
      <c r="A198" s="8">
        <f>IF(COUNT($J$2:$J$1501)&gt;=197,197,"")</f>
        <v>197</v>
      </c>
      <c r="B198" s="8" t="str">
        <f t="shared" si="15"/>
        <v>Rios De Alba Victor Hugo</v>
      </c>
      <c r="C198" s="8" t="str">
        <f t="shared" si="16"/>
        <v>Atlas</v>
      </c>
      <c r="D198" s="8">
        <f t="shared" si="17"/>
        <v>0</v>
      </c>
      <c r="F198" s="4" t="str">
        <f>IF(Jugadores!B198="","",Jugadores!B198)</f>
        <v>Martinez Emilio</v>
      </c>
      <c r="G198" s="4" t="str">
        <f>IF(Jugadores!B198="","",Jugadores!A198)</f>
        <v>Necaxa</v>
      </c>
      <c r="H198" s="4">
        <f>IF(F198="","",SUMIF('Estadísticas Jugadores'!$F$2:$F$7001,F198,'Estadísticas Jugadores'!$I$2:$I$7001))</f>
        <v>0</v>
      </c>
      <c r="I198" s="4">
        <f t="shared" si="18"/>
        <v>-1.98E-5</v>
      </c>
      <c r="J198" s="4">
        <f t="shared" si="19"/>
        <v>209</v>
      </c>
    </row>
    <row r="199" spans="1:10" ht="15" customHeight="1" x14ac:dyDescent="0.25">
      <c r="A199" s="8">
        <f>IF(COUNT($J$2:$J$1501)&gt;=198,198,"")</f>
        <v>198</v>
      </c>
      <c r="B199" s="8" t="str">
        <f t="shared" si="15"/>
        <v>Serrato Jesus</v>
      </c>
      <c r="C199" s="8" t="str">
        <f t="shared" si="16"/>
        <v>Atlas</v>
      </c>
      <c r="D199" s="8">
        <f t="shared" si="17"/>
        <v>0</v>
      </c>
      <c r="F199" s="4" t="str">
        <f>IF(Jugadores!B199="","",Jugadores!B199)</f>
        <v>Martinez Raul</v>
      </c>
      <c r="G199" s="4" t="str">
        <f>IF(Jugadores!B199="","",Jugadores!A199)</f>
        <v>Necaxa</v>
      </c>
      <c r="H199" s="4">
        <f>IF(F199="","",SUMIF('Estadísticas Jugadores'!$F$2:$F$7001,F199,'Estadísticas Jugadores'!$I$2:$I$7001))</f>
        <v>0</v>
      </c>
      <c r="I199" s="4">
        <f t="shared" si="18"/>
        <v>-1.9899999999999999E-5</v>
      </c>
      <c r="J199" s="4">
        <f t="shared" si="19"/>
        <v>210</v>
      </c>
    </row>
    <row r="200" spans="1:10" ht="15" customHeight="1" x14ac:dyDescent="0.25">
      <c r="A200" s="8">
        <f>IF(COUNT($J$2:$J$1501)&gt;=199,199,"")</f>
        <v>199</v>
      </c>
      <c r="B200" s="8" t="str">
        <f t="shared" si="15"/>
        <v>Zaldivar Valverde Edgar</v>
      </c>
      <c r="C200" s="8" t="str">
        <f t="shared" si="16"/>
        <v>Atlas</v>
      </c>
      <c r="D200" s="8">
        <f t="shared" si="17"/>
        <v>0</v>
      </c>
      <c r="F200" s="4" t="str">
        <f>IF(Jugadores!B200="","",Jugadores!B200)</f>
        <v>Mendez Francisco</v>
      </c>
      <c r="G200" s="4" t="str">
        <f>IF(Jugadores!B200="","",Jugadores!A200)</f>
        <v>Necaxa</v>
      </c>
      <c r="H200" s="4">
        <f>IF(F200="","",SUMIF('Estadísticas Jugadores'!$F$2:$F$7001,F200,'Estadísticas Jugadores'!$I$2:$I$7001))</f>
        <v>0</v>
      </c>
      <c r="I200" s="4">
        <f t="shared" si="18"/>
        <v>-1.9999999999999998E-5</v>
      </c>
      <c r="J200" s="4">
        <f t="shared" si="19"/>
        <v>211</v>
      </c>
    </row>
    <row r="201" spans="1:10" ht="15" customHeight="1" x14ac:dyDescent="0.25">
      <c r="A201" s="8">
        <f>IF(COUNT($J$2:$J$1501)&gt;=200,200,"")</f>
        <v>200</v>
      </c>
      <c r="B201" s="8" t="str">
        <f t="shared" si="15"/>
        <v>Gamboa Luis</v>
      </c>
      <c r="C201" s="8" t="str">
        <f t="shared" si="16"/>
        <v>Atlas</v>
      </c>
      <c r="D201" s="8">
        <f t="shared" si="17"/>
        <v>0</v>
      </c>
      <c r="F201" s="4" t="str">
        <f>IF(Jugadores!B201="","",Jugadores!B201)</f>
        <v>Ochoa Diego</v>
      </c>
      <c r="G201" s="4" t="str">
        <f>IF(Jugadores!B201="","",Jugadores!A201)</f>
        <v>Necaxa</v>
      </c>
      <c r="H201" s="4">
        <f>IF(F201="","",SUMIF('Estadísticas Jugadores'!$F$2:$F$7001,F201,'Estadísticas Jugadores'!$I$2:$I$7001))</f>
        <v>0</v>
      </c>
      <c r="I201" s="4">
        <f t="shared" si="18"/>
        <v>-2.0100000000000001E-5</v>
      </c>
      <c r="J201" s="4">
        <f t="shared" si="19"/>
        <v>212</v>
      </c>
    </row>
    <row r="202" spans="1:10" ht="15" customHeight="1" x14ac:dyDescent="0.25">
      <c r="A202" s="8">
        <f>IF(COUNT($J$2:$J$1501)&gt;=201,201,"")</f>
        <v>201</v>
      </c>
      <c r="B202" s="8" t="str">
        <f t="shared" si="15"/>
        <v>García Mateo Ezequiel</v>
      </c>
      <c r="C202" s="8" t="str">
        <f t="shared" si="16"/>
        <v>Atlas</v>
      </c>
      <c r="D202" s="8">
        <f t="shared" si="17"/>
        <v>0</v>
      </c>
      <c r="F202" s="4" t="str">
        <f>IF(Jugadores!B202="","",Jugadores!B202)</f>
        <v>Oliveros Agustin</v>
      </c>
      <c r="G202" s="4" t="str">
        <f>IF(Jugadores!B202="","",Jugadores!A202)</f>
        <v>Necaxa</v>
      </c>
      <c r="H202" s="4">
        <f>IF(F202="","",SUMIF('Estadísticas Jugadores'!$F$2:$F$7001,F202,'Estadísticas Jugadores'!$I$2:$I$7001))</f>
        <v>0</v>
      </c>
      <c r="I202" s="4">
        <f t="shared" si="18"/>
        <v>-2.02E-5</v>
      </c>
      <c r="J202" s="4">
        <f t="shared" si="19"/>
        <v>213</v>
      </c>
    </row>
    <row r="203" spans="1:10" ht="15" customHeight="1" x14ac:dyDescent="0.25">
      <c r="A203" s="8">
        <f>IF(COUNT($J$2:$J$1501)&gt;=202,202,"")</f>
        <v>202</v>
      </c>
      <c r="B203" s="8" t="str">
        <f t="shared" si="15"/>
        <v>Martin Jose</v>
      </c>
      <c r="C203" s="8" t="str">
        <f t="shared" si="16"/>
        <v>Atlas</v>
      </c>
      <c r="D203" s="8">
        <f t="shared" si="17"/>
        <v>0</v>
      </c>
      <c r="F203" s="4" t="str">
        <f>IF(Jugadores!B203="","",Jugadores!B203)</f>
        <v>Pena Alexis</v>
      </c>
      <c r="G203" s="4" t="str">
        <f>IF(Jugadores!B203="","",Jugadores!A203)</f>
        <v>Necaxa</v>
      </c>
      <c r="H203" s="4">
        <f>IF(F203="","",SUMIF('Estadísticas Jugadores'!$F$2:$F$7001,F203,'Estadísticas Jugadores'!$I$2:$I$7001))</f>
        <v>0</v>
      </c>
      <c r="I203" s="4">
        <f t="shared" si="18"/>
        <v>-2.0299999999999999E-5</v>
      </c>
      <c r="J203" s="4">
        <f t="shared" si="19"/>
        <v>214</v>
      </c>
    </row>
    <row r="204" spans="1:10" ht="15" customHeight="1" x14ac:dyDescent="0.25">
      <c r="A204" s="8">
        <f>IF(COUNT($J$2:$J$1501)&gt;=203,203,"")</f>
        <v>203</v>
      </c>
      <c r="B204" s="8" t="str">
        <f t="shared" si="15"/>
        <v>Mmaee Ryan</v>
      </c>
      <c r="C204" s="8" t="str">
        <f t="shared" si="16"/>
        <v>Atlas</v>
      </c>
      <c r="D204" s="8">
        <f t="shared" si="17"/>
        <v>0</v>
      </c>
      <c r="F204" s="4" t="str">
        <f>IF(Jugadores!B204="","",Jugadores!B204)</f>
        <v>Vargas Carlos</v>
      </c>
      <c r="G204" s="4" t="str">
        <f>IF(Jugadores!B204="","",Jugadores!A204)</f>
        <v>Necaxa</v>
      </c>
      <c r="H204" s="4">
        <f>IF(F204="","",SUMIF('Estadísticas Jugadores'!$F$2:$F$7001,F204,'Estadísticas Jugadores'!$I$2:$I$7001))</f>
        <v>0</v>
      </c>
      <c r="I204" s="4">
        <f t="shared" si="18"/>
        <v>-2.0399999999999998E-5</v>
      </c>
      <c r="J204" s="4">
        <f t="shared" si="19"/>
        <v>215</v>
      </c>
    </row>
    <row r="205" spans="1:10" ht="15" customHeight="1" x14ac:dyDescent="0.25">
      <c r="A205" s="8">
        <f>IF(COUNT($J$2:$J$1501)&gt;=204,204,"")</f>
        <v>204</v>
      </c>
      <c r="B205" s="8" t="str">
        <f t="shared" si="15"/>
        <v>Rodriguez Agustin</v>
      </c>
      <c r="C205" s="8" t="str">
        <f t="shared" si="16"/>
        <v>Atlas</v>
      </c>
      <c r="D205" s="8">
        <f t="shared" si="17"/>
        <v>0</v>
      </c>
      <c r="F205" s="4" t="str">
        <f>IF(Jugadores!B205="","",Jugadores!B205)</f>
        <v>Zaleta Oropeza Mauro Aldair</v>
      </c>
      <c r="G205" s="4" t="str">
        <f>IF(Jugadores!B205="","",Jugadores!A205)</f>
        <v>Necaxa</v>
      </c>
      <c r="H205" s="4">
        <f>IF(F205="","",SUMIF('Estadísticas Jugadores'!$F$2:$F$7001,F205,'Estadísticas Jugadores'!$I$2:$I$7001))</f>
        <v>0</v>
      </c>
      <c r="I205" s="4">
        <f t="shared" si="18"/>
        <v>-2.05E-5</v>
      </c>
      <c r="J205" s="4">
        <f t="shared" si="19"/>
        <v>216</v>
      </c>
    </row>
    <row r="206" spans="1:10" ht="15" customHeight="1" x14ac:dyDescent="0.25">
      <c r="A206" s="8">
        <f>IF(COUNT($J$2:$J$1501)&gt;=205,205,"")</f>
        <v>205</v>
      </c>
      <c r="B206" s="8" t="str">
        <f t="shared" si="15"/>
        <v>del Prete Gustavo</v>
      </c>
      <c r="C206" s="8" t="str">
        <f t="shared" si="16"/>
        <v>Atlas</v>
      </c>
      <c r="D206" s="8">
        <f t="shared" si="17"/>
        <v>0</v>
      </c>
      <c r="F206" s="4" t="str">
        <f>IF(Jugadores!B206="","",Jugadores!B206)</f>
        <v>Cortez Rogelio</v>
      </c>
      <c r="G206" s="4" t="str">
        <f>IF(Jugadores!B206="","",Jugadores!A206)</f>
        <v>Necaxa</v>
      </c>
      <c r="H206" s="4">
        <f>IF(F206="","",SUMIF('Estadísticas Jugadores'!$F$2:$F$7001,F206,'Estadísticas Jugadores'!$I$2:$I$7001))</f>
        <v>0</v>
      </c>
      <c r="I206" s="4">
        <f t="shared" si="18"/>
        <v>-2.0599999999999999E-5</v>
      </c>
      <c r="J206" s="4">
        <f t="shared" si="19"/>
        <v>217</v>
      </c>
    </row>
    <row r="207" spans="1:10" ht="15" customHeight="1" x14ac:dyDescent="0.25">
      <c r="A207" s="8">
        <f>IF(COUNT($J$2:$J$1501)&gt;=206,206,"")</f>
        <v>206</v>
      </c>
      <c r="B207" s="8" t="str">
        <f t="shared" si="15"/>
        <v>Andrade Christopher</v>
      </c>
      <c r="C207" s="8" t="str">
        <f t="shared" si="16"/>
        <v>Necaxa</v>
      </c>
      <c r="D207" s="8">
        <f t="shared" si="17"/>
        <v>0</v>
      </c>
      <c r="F207" s="4" t="str">
        <f>IF(Jugadores!B207="","",Jugadores!B207)</f>
        <v>Espindola Matias</v>
      </c>
      <c r="G207" s="4" t="str">
        <f>IF(Jugadores!B207="","",Jugadores!A207)</f>
        <v>Necaxa</v>
      </c>
      <c r="H207" s="4">
        <f>IF(F207="","",SUMIF('Estadísticas Jugadores'!$F$2:$F$7001,F207,'Estadísticas Jugadores'!$I$2:$I$7001))</f>
        <v>0</v>
      </c>
      <c r="I207" s="4">
        <f t="shared" si="18"/>
        <v>-2.0699999999999998E-5</v>
      </c>
      <c r="J207" s="4">
        <f t="shared" si="19"/>
        <v>218</v>
      </c>
    </row>
    <row r="208" spans="1:10" ht="15" customHeight="1" x14ac:dyDescent="0.25">
      <c r="A208" s="8">
        <f>IF(COUNT($J$2:$J$1501)&gt;=207,207,"")</f>
        <v>207</v>
      </c>
      <c r="B208" s="8" t="str">
        <f t="shared" si="15"/>
        <v>Jimenez Luis</v>
      </c>
      <c r="C208" s="8" t="str">
        <f t="shared" si="16"/>
        <v>Necaxa</v>
      </c>
      <c r="D208" s="8">
        <f t="shared" si="17"/>
        <v>0</v>
      </c>
      <c r="F208" s="4" t="str">
        <f>IF(Jugadores!B208="","",Jugadores!B208)</f>
        <v>Faravelli Lorenzo</v>
      </c>
      <c r="G208" s="4" t="str">
        <f>IF(Jugadores!B208="","",Jugadores!A208)</f>
        <v>Necaxa</v>
      </c>
      <c r="H208" s="4">
        <f>IF(F208="","",SUMIF('Estadísticas Jugadores'!$F$2:$F$7001,F208,'Estadísticas Jugadores'!$I$2:$I$7001))</f>
        <v>0</v>
      </c>
      <c r="I208" s="4">
        <f t="shared" si="18"/>
        <v>-2.0799999999999997E-5</v>
      </c>
      <c r="J208" s="4">
        <f t="shared" si="19"/>
        <v>219</v>
      </c>
    </row>
    <row r="209" spans="1:10" ht="15" customHeight="1" x14ac:dyDescent="0.25">
      <c r="A209" s="8">
        <f>IF(COUNT($J$2:$J$1501)&gt;=208,208,"")</f>
        <v>208</v>
      </c>
      <c r="B209" s="8" t="str">
        <f t="shared" si="15"/>
        <v>Alonso Ricardo</v>
      </c>
      <c r="C209" s="8" t="str">
        <f t="shared" si="16"/>
        <v>Necaxa</v>
      </c>
      <c r="D209" s="8">
        <f t="shared" si="17"/>
        <v>0</v>
      </c>
      <c r="F209" s="4" t="str">
        <f>IF(Jugadores!B209="","",Jugadores!B209)</f>
        <v>Ibarra Luis</v>
      </c>
      <c r="G209" s="4" t="str">
        <f>IF(Jugadores!B209="","",Jugadores!A209)</f>
        <v>Necaxa</v>
      </c>
      <c r="H209" s="4">
        <f>IF(F209="","",SUMIF('Estadísticas Jugadores'!$F$2:$F$7001,F209,'Estadísticas Jugadores'!$I$2:$I$7001))</f>
        <v>0</v>
      </c>
      <c r="I209" s="4">
        <f t="shared" si="18"/>
        <v>-2.09E-5</v>
      </c>
      <c r="J209" s="4">
        <f t="shared" si="19"/>
        <v>220</v>
      </c>
    </row>
    <row r="210" spans="1:10" ht="15" customHeight="1" x14ac:dyDescent="0.25">
      <c r="A210" s="8">
        <f>IF(COUNT($J$2:$J$1501)&gt;=209,209,"")</f>
        <v>209</v>
      </c>
      <c r="B210" s="8" t="str">
        <f t="shared" si="15"/>
        <v>Martinez Emilio</v>
      </c>
      <c r="C210" s="8" t="str">
        <f t="shared" si="16"/>
        <v>Necaxa</v>
      </c>
      <c r="D210" s="8">
        <f t="shared" si="17"/>
        <v>0</v>
      </c>
      <c r="F210" s="4" t="str">
        <f>IF(Jugadores!B210="","",Jugadores!B210)</f>
        <v>Leyva Danny</v>
      </c>
      <c r="G210" s="4" t="str">
        <f>IF(Jugadores!B210="","",Jugadores!A210)</f>
        <v>Necaxa</v>
      </c>
      <c r="H210" s="4">
        <f>IF(F210="","",SUMIF('Estadísticas Jugadores'!$F$2:$F$7001,F210,'Estadísticas Jugadores'!$I$2:$I$7001))</f>
        <v>0</v>
      </c>
      <c r="I210" s="4">
        <f t="shared" si="18"/>
        <v>-2.0999999999999999E-5</v>
      </c>
      <c r="J210" s="4">
        <f t="shared" si="19"/>
        <v>221</v>
      </c>
    </row>
    <row r="211" spans="1:10" ht="15" customHeight="1" x14ac:dyDescent="0.25">
      <c r="A211" s="8">
        <f>IF(COUNT($J$2:$J$1501)&gt;=210,210,"")</f>
        <v>210</v>
      </c>
      <c r="B211" s="8" t="str">
        <f t="shared" si="15"/>
        <v>Martinez Raul</v>
      </c>
      <c r="C211" s="8" t="str">
        <f t="shared" si="16"/>
        <v>Necaxa</v>
      </c>
      <c r="D211" s="8">
        <f t="shared" si="17"/>
        <v>0</v>
      </c>
      <c r="F211" s="4" t="str">
        <f>IF(Jugadores!B211="","",Jugadores!B211)</f>
        <v>Moreno Arath</v>
      </c>
      <c r="G211" s="4" t="str">
        <f>IF(Jugadores!B211="","",Jugadores!A211)</f>
        <v>Necaxa</v>
      </c>
      <c r="H211" s="4">
        <f>IF(F211="","",SUMIF('Estadísticas Jugadores'!$F$2:$F$7001,F211,'Estadísticas Jugadores'!$I$2:$I$7001))</f>
        <v>0</v>
      </c>
      <c r="I211" s="4">
        <f t="shared" si="18"/>
        <v>-2.1099999999999998E-5</v>
      </c>
      <c r="J211" s="4">
        <f t="shared" si="19"/>
        <v>222</v>
      </c>
    </row>
    <row r="212" spans="1:10" ht="15" customHeight="1" x14ac:dyDescent="0.25">
      <c r="A212" s="8">
        <f>IF(COUNT($J$2:$J$1501)&gt;=211,211,"")</f>
        <v>211</v>
      </c>
      <c r="B212" s="8" t="str">
        <f t="shared" si="15"/>
        <v>Mendez Francisco</v>
      </c>
      <c r="C212" s="8" t="str">
        <f t="shared" si="16"/>
        <v>Necaxa</v>
      </c>
      <c r="D212" s="8">
        <f t="shared" si="17"/>
        <v>0</v>
      </c>
      <c r="F212" s="4" t="str">
        <f>IF(Jugadores!B212="","",Jugadores!B212)</f>
        <v>Palacios Joshua</v>
      </c>
      <c r="G212" s="4" t="str">
        <f>IF(Jugadores!B212="","",Jugadores!A212)</f>
        <v>Necaxa</v>
      </c>
      <c r="H212" s="4">
        <f>IF(F212="","",SUMIF('Estadísticas Jugadores'!$F$2:$F$7001,F212,'Estadísticas Jugadores'!$I$2:$I$7001))</f>
        <v>0</v>
      </c>
      <c r="I212" s="4">
        <f t="shared" si="18"/>
        <v>-2.12E-5</v>
      </c>
      <c r="J212" s="4">
        <f t="shared" si="19"/>
        <v>223</v>
      </c>
    </row>
    <row r="213" spans="1:10" ht="15" customHeight="1" x14ac:dyDescent="0.25">
      <c r="A213" s="8">
        <f>IF(COUNT($J$2:$J$1501)&gt;=212,212,"")</f>
        <v>212</v>
      </c>
      <c r="B213" s="8" t="str">
        <f t="shared" si="15"/>
        <v>Ochoa Diego</v>
      </c>
      <c r="C213" s="8" t="str">
        <f t="shared" si="16"/>
        <v>Necaxa</v>
      </c>
      <c r="D213" s="8">
        <f t="shared" si="17"/>
        <v>0</v>
      </c>
      <c r="F213" s="4" t="str">
        <f>IF(Jugadores!B213="","",Jugadores!B213)</f>
        <v>Pedraza Pedro</v>
      </c>
      <c r="G213" s="4" t="str">
        <f>IF(Jugadores!B213="","",Jugadores!A213)</f>
        <v>Necaxa</v>
      </c>
      <c r="H213" s="4">
        <f>IF(F213="","",SUMIF('Estadísticas Jugadores'!$F$2:$F$7001,F213,'Estadísticas Jugadores'!$I$2:$I$7001))</f>
        <v>0</v>
      </c>
      <c r="I213" s="4">
        <f t="shared" si="18"/>
        <v>-2.1299999999999999E-5</v>
      </c>
      <c r="J213" s="4">
        <f t="shared" si="19"/>
        <v>224</v>
      </c>
    </row>
    <row r="214" spans="1:10" ht="15" customHeight="1" x14ac:dyDescent="0.25">
      <c r="A214" s="8">
        <f>IF(COUNT($J$2:$J$1501)&gt;=213,213,"")</f>
        <v>213</v>
      </c>
      <c r="B214" s="8" t="str">
        <f t="shared" si="15"/>
        <v>Oliveros Agustin</v>
      </c>
      <c r="C214" s="8" t="str">
        <f t="shared" si="16"/>
        <v>Necaxa</v>
      </c>
      <c r="D214" s="8">
        <f t="shared" si="17"/>
        <v>0</v>
      </c>
      <c r="F214" s="4" t="str">
        <f>IF(Jugadores!B214="","",Jugadores!B214)</f>
        <v>Ruiz Javier</v>
      </c>
      <c r="G214" s="4" t="str">
        <f>IF(Jugadores!B214="","",Jugadores!A214)</f>
        <v>Necaxa</v>
      </c>
      <c r="H214" s="4">
        <f>IF(F214="","",SUMIF('Estadísticas Jugadores'!$F$2:$F$7001,F214,'Estadísticas Jugadores'!$I$2:$I$7001))</f>
        <v>0</v>
      </c>
      <c r="I214" s="4">
        <f t="shared" si="18"/>
        <v>-2.1399999999999998E-5</v>
      </c>
      <c r="J214" s="4">
        <f t="shared" si="19"/>
        <v>225</v>
      </c>
    </row>
    <row r="215" spans="1:10" ht="15" customHeight="1" x14ac:dyDescent="0.25">
      <c r="A215" s="8">
        <f>IF(COUNT($J$2:$J$1501)&gt;=214,214,"")</f>
        <v>214</v>
      </c>
      <c r="B215" s="8" t="str">
        <f t="shared" si="15"/>
        <v>Pena Alexis</v>
      </c>
      <c r="C215" s="8" t="str">
        <f t="shared" si="16"/>
        <v>Necaxa</v>
      </c>
      <c r="D215" s="8">
        <f t="shared" si="17"/>
        <v>0</v>
      </c>
      <c r="F215" s="4" t="str">
        <f>IF(Jugadores!B215="","",Jugadores!B215)</f>
        <v>Tello Israel</v>
      </c>
      <c r="G215" s="4" t="str">
        <f>IF(Jugadores!B215="","",Jugadores!A215)</f>
        <v>Necaxa</v>
      </c>
      <c r="H215" s="4">
        <f>IF(F215="","",SUMIF('Estadísticas Jugadores'!$F$2:$F$7001,F215,'Estadísticas Jugadores'!$I$2:$I$7001))</f>
        <v>0</v>
      </c>
      <c r="I215" s="4">
        <f t="shared" si="18"/>
        <v>-2.1499999999999997E-5</v>
      </c>
      <c r="J215" s="4">
        <f t="shared" si="19"/>
        <v>226</v>
      </c>
    </row>
    <row r="216" spans="1:10" ht="15" customHeight="1" x14ac:dyDescent="0.25">
      <c r="A216" s="8">
        <f>IF(COUNT($J$2:$J$1501)&gt;=215,215,"")</f>
        <v>215</v>
      </c>
      <c r="B216" s="8" t="str">
        <f t="shared" si="15"/>
        <v>Vargas Carlos</v>
      </c>
      <c r="C216" s="8" t="str">
        <f t="shared" si="16"/>
        <v>Necaxa</v>
      </c>
      <c r="D216" s="8">
        <f t="shared" si="17"/>
        <v>0</v>
      </c>
      <c r="F216" s="4" t="str">
        <f>IF(Jugadores!B216="","",Jugadores!B216)</f>
        <v>Torres Patino Juan Pablo</v>
      </c>
      <c r="G216" s="4" t="str">
        <f>IF(Jugadores!B216="","",Jugadores!A216)</f>
        <v>Necaxa</v>
      </c>
      <c r="H216" s="4">
        <f>IF(F216="","",SUMIF('Estadísticas Jugadores'!$F$2:$F$7001,F216,'Estadísticas Jugadores'!$I$2:$I$7001))</f>
        <v>0</v>
      </c>
      <c r="I216" s="4">
        <f t="shared" si="18"/>
        <v>-2.16E-5</v>
      </c>
      <c r="J216" s="4">
        <f t="shared" si="19"/>
        <v>227</v>
      </c>
    </row>
    <row r="217" spans="1:10" ht="15" customHeight="1" x14ac:dyDescent="0.25">
      <c r="A217" s="8">
        <f>IF(COUNT($J$2:$J$1501)&gt;=216,216,"")</f>
        <v>216</v>
      </c>
      <c r="B217" s="8" t="str">
        <f t="shared" si="15"/>
        <v>Zaleta Oropeza Mauro Aldair</v>
      </c>
      <c r="C217" s="8" t="str">
        <f t="shared" si="16"/>
        <v>Necaxa</v>
      </c>
      <c r="D217" s="8">
        <f t="shared" si="17"/>
        <v>0</v>
      </c>
      <c r="F217" s="4" t="str">
        <f>IF(Jugadores!B217="","",Jugadores!B217)</f>
        <v>Carranza Julian</v>
      </c>
      <c r="G217" s="4" t="str">
        <f>IF(Jugadores!B217="","",Jugadores!A217)</f>
        <v>Necaxa</v>
      </c>
      <c r="H217" s="4">
        <f>IF(F217="","",SUMIF('Estadísticas Jugadores'!$F$2:$F$7001,F217,'Estadísticas Jugadores'!$I$2:$I$7001))</f>
        <v>1</v>
      </c>
      <c r="I217" s="4">
        <f t="shared" si="18"/>
        <v>999.99997829999995</v>
      </c>
      <c r="J217" s="4">
        <f t="shared" si="19"/>
        <v>14</v>
      </c>
    </row>
    <row r="218" spans="1:10" ht="15" customHeight="1" x14ac:dyDescent="0.25">
      <c r="A218" s="8">
        <f>IF(COUNT($J$2:$J$1501)&gt;=217,217,"")</f>
        <v>217</v>
      </c>
      <c r="B218" s="8" t="str">
        <f t="shared" si="15"/>
        <v>Cortez Rogelio</v>
      </c>
      <c r="C218" s="8" t="str">
        <f t="shared" si="16"/>
        <v>Necaxa</v>
      </c>
      <c r="D218" s="8">
        <f t="shared" si="17"/>
        <v>0</v>
      </c>
      <c r="F218" s="4" t="str">
        <f>IF(Jugadores!B218="","",Jugadores!B218)</f>
        <v>Marquez Gomez Daniel</v>
      </c>
      <c r="G218" s="4" t="str">
        <f>IF(Jugadores!B218="","",Jugadores!A218)</f>
        <v>Necaxa</v>
      </c>
      <c r="H218" s="4">
        <f>IF(F218="","",SUMIF('Estadísticas Jugadores'!$F$2:$F$7001,F218,'Estadísticas Jugadores'!$I$2:$I$7001))</f>
        <v>0</v>
      </c>
      <c r="I218" s="4">
        <f t="shared" si="18"/>
        <v>-2.1799999999999998E-5</v>
      </c>
      <c r="J218" s="4">
        <f t="shared" si="19"/>
        <v>228</v>
      </c>
    </row>
    <row r="219" spans="1:10" ht="15" customHeight="1" x14ac:dyDescent="0.25">
      <c r="A219" s="8">
        <f>IF(COUNT($J$2:$J$1501)&gt;=218,218,"")</f>
        <v>218</v>
      </c>
      <c r="B219" s="8" t="str">
        <f t="shared" si="15"/>
        <v>Espindola Matias</v>
      </c>
      <c r="C219" s="8" t="str">
        <f t="shared" si="16"/>
        <v>Necaxa</v>
      </c>
      <c r="D219" s="8">
        <f t="shared" si="17"/>
        <v>0</v>
      </c>
      <c r="F219" s="4" t="str">
        <f>IF(Jugadores!B219="","",Jugadores!B219)</f>
        <v>Monreal Ricardo</v>
      </c>
      <c r="G219" s="4" t="str">
        <f>IF(Jugadores!B219="","",Jugadores!A219)</f>
        <v>Necaxa</v>
      </c>
      <c r="H219" s="4">
        <f>IF(F219="","",SUMIF('Estadísticas Jugadores'!$F$2:$F$7001,F219,'Estadísticas Jugadores'!$I$2:$I$7001))</f>
        <v>0</v>
      </c>
      <c r="I219" s="4">
        <f t="shared" si="18"/>
        <v>-2.19E-5</v>
      </c>
      <c r="J219" s="4">
        <f t="shared" si="19"/>
        <v>229</v>
      </c>
    </row>
    <row r="220" spans="1:10" ht="15" customHeight="1" x14ac:dyDescent="0.25">
      <c r="A220" s="8">
        <f>IF(COUNT($J$2:$J$1501)&gt;=219,219,"")</f>
        <v>219</v>
      </c>
      <c r="B220" s="8" t="str">
        <f t="shared" si="15"/>
        <v>Faravelli Lorenzo</v>
      </c>
      <c r="C220" s="8" t="str">
        <f t="shared" si="16"/>
        <v>Necaxa</v>
      </c>
      <c r="D220" s="8">
        <f t="shared" si="17"/>
        <v>0</v>
      </c>
      <c r="F220" s="4" t="str">
        <f>IF(Jugadores!B220="","",Jugadores!B220)</f>
        <v>Pedroza Misael</v>
      </c>
      <c r="G220" s="4" t="str">
        <f>IF(Jugadores!B220="","",Jugadores!A220)</f>
        <v>Necaxa</v>
      </c>
      <c r="H220" s="4">
        <f>IF(F220="","",SUMIF('Estadísticas Jugadores'!$F$2:$F$7001,F220,'Estadísticas Jugadores'!$I$2:$I$7001))</f>
        <v>1</v>
      </c>
      <c r="I220" s="4">
        <f t="shared" si="18"/>
        <v>999.99997800000006</v>
      </c>
      <c r="J220" s="4">
        <f t="shared" si="19"/>
        <v>15</v>
      </c>
    </row>
    <row r="221" spans="1:10" ht="15" customHeight="1" x14ac:dyDescent="0.25">
      <c r="A221" s="8">
        <f>IF(COUNT($J$2:$J$1501)&gt;=220,220,"")</f>
        <v>220</v>
      </c>
      <c r="B221" s="8" t="str">
        <f t="shared" si="15"/>
        <v>Ibarra Luis</v>
      </c>
      <c r="C221" s="8" t="str">
        <f t="shared" si="16"/>
        <v>Necaxa</v>
      </c>
      <c r="D221" s="8">
        <f t="shared" si="17"/>
        <v>0</v>
      </c>
      <c r="F221" s="4" t="str">
        <f>IF(Jugadores!B221="","",Jugadores!B221)</f>
        <v>Rodriguez Emilio</v>
      </c>
      <c r="G221" s="4" t="str">
        <f>IF(Jugadores!B221="","",Jugadores!A221)</f>
        <v>Necaxa</v>
      </c>
      <c r="H221" s="4">
        <f>IF(F221="","",SUMIF('Estadísticas Jugadores'!$F$2:$F$7001,F221,'Estadísticas Jugadores'!$I$2:$I$7001))</f>
        <v>0</v>
      </c>
      <c r="I221" s="4">
        <f t="shared" si="18"/>
        <v>-2.2099999999999998E-5</v>
      </c>
      <c r="J221" s="4">
        <f t="shared" si="19"/>
        <v>230</v>
      </c>
    </row>
    <row r="222" spans="1:10" ht="15" customHeight="1" x14ac:dyDescent="0.25">
      <c r="A222" s="8">
        <f>IF(COUNT($J$2:$J$1501)&gt;=221,221,"")</f>
        <v>221</v>
      </c>
      <c r="B222" s="8" t="str">
        <f t="shared" si="15"/>
        <v>Leyva Danny</v>
      </c>
      <c r="C222" s="8" t="str">
        <f t="shared" si="16"/>
        <v>Necaxa</v>
      </c>
      <c r="D222" s="8">
        <f t="shared" si="17"/>
        <v>0</v>
      </c>
      <c r="F222" s="4" t="str">
        <f>IF(Jugadores!B222="","",Jugadores!B222)</f>
        <v>Rosero Kevin</v>
      </c>
      <c r="G222" s="4" t="str">
        <f>IF(Jugadores!B222="","",Jugadores!A222)</f>
        <v>Necaxa</v>
      </c>
      <c r="H222" s="4">
        <f>IF(F222="","",SUMIF('Estadísticas Jugadores'!$F$2:$F$7001,F222,'Estadísticas Jugadores'!$I$2:$I$7001))</f>
        <v>0</v>
      </c>
      <c r="I222" s="4">
        <f t="shared" si="18"/>
        <v>-2.2199999999999998E-5</v>
      </c>
      <c r="J222" s="4">
        <f t="shared" si="19"/>
        <v>231</v>
      </c>
    </row>
    <row r="223" spans="1:10" ht="15" customHeight="1" x14ac:dyDescent="0.25">
      <c r="A223" s="8">
        <f>IF(COUNT($J$2:$J$1501)&gt;=222,222,"")</f>
        <v>222</v>
      </c>
      <c r="B223" s="8" t="str">
        <f t="shared" si="15"/>
        <v>Moreno Arath</v>
      </c>
      <c r="C223" s="8" t="str">
        <f t="shared" si="16"/>
        <v>Necaxa</v>
      </c>
      <c r="D223" s="8">
        <f t="shared" si="17"/>
        <v>0</v>
      </c>
      <c r="F223" s="4" t="str">
        <f>IF(Jugadores!B223="","",Jugadores!B223)</f>
        <v>Valencia Juan</v>
      </c>
      <c r="G223" s="4" t="str">
        <f>IF(Jugadores!B223="","",Jugadores!A223)</f>
        <v>Necaxa</v>
      </c>
      <c r="H223" s="4">
        <f>IF(F223="","",SUMIF('Estadísticas Jugadores'!$F$2:$F$7001,F223,'Estadísticas Jugadores'!$I$2:$I$7001))</f>
        <v>0</v>
      </c>
      <c r="I223" s="4">
        <f t="shared" si="18"/>
        <v>-2.23E-5</v>
      </c>
      <c r="J223" s="4">
        <f t="shared" si="19"/>
        <v>232</v>
      </c>
    </row>
    <row r="224" spans="1:10" ht="15" customHeight="1" x14ac:dyDescent="0.25">
      <c r="A224" s="8">
        <f>IF(COUNT($J$2:$J$1501)&gt;=223,223,"")</f>
        <v>223</v>
      </c>
      <c r="B224" s="8" t="str">
        <f t="shared" si="15"/>
        <v>Palacios Joshua</v>
      </c>
      <c r="C224" s="8" t="str">
        <f t="shared" si="16"/>
        <v>Necaxa</v>
      </c>
      <c r="D224" s="8">
        <f t="shared" si="17"/>
        <v>0</v>
      </c>
      <c r="F224" s="4" t="str">
        <f>IF(Jugadores!B224="","",Jugadores!B224)</f>
        <v>Cota Rodolfo</v>
      </c>
      <c r="G224" s="4" t="str">
        <f>IF(Jugadores!B224="","",Jugadores!A224)</f>
        <v>Club América</v>
      </c>
      <c r="H224" s="4">
        <f>IF(F224="","",SUMIF('Estadísticas Jugadores'!$F$2:$F$7001,F224,'Estadísticas Jugadores'!$I$2:$I$7001))</f>
        <v>0</v>
      </c>
      <c r="I224" s="4">
        <f t="shared" si="18"/>
        <v>-2.2399999999999999E-5</v>
      </c>
      <c r="J224" s="4">
        <f t="shared" si="19"/>
        <v>233</v>
      </c>
    </row>
    <row r="225" spans="1:10" ht="15" customHeight="1" x14ac:dyDescent="0.25">
      <c r="A225" s="8">
        <f>IF(COUNT($J$2:$J$1501)&gt;=224,224,"")</f>
        <v>224</v>
      </c>
      <c r="B225" s="8" t="str">
        <f t="shared" si="15"/>
        <v>Pedraza Pedro</v>
      </c>
      <c r="C225" s="8" t="str">
        <f t="shared" si="16"/>
        <v>Necaxa</v>
      </c>
      <c r="D225" s="8">
        <f t="shared" si="17"/>
        <v>0</v>
      </c>
      <c r="F225" s="4" t="str">
        <f>IF(Jugadores!B225="","",Jugadores!B225)</f>
        <v>Lugo Cesar</v>
      </c>
      <c r="G225" s="4" t="str">
        <f>IF(Jugadores!B225="","",Jugadores!A225)</f>
        <v>Club América</v>
      </c>
      <c r="H225" s="4">
        <f>IF(F225="","",SUMIF('Estadísticas Jugadores'!$F$2:$F$7001,F225,'Estadísticas Jugadores'!$I$2:$I$7001))</f>
        <v>0</v>
      </c>
      <c r="I225" s="4">
        <f t="shared" si="18"/>
        <v>-2.2499999999999998E-5</v>
      </c>
      <c r="J225" s="4">
        <f t="shared" si="19"/>
        <v>234</v>
      </c>
    </row>
    <row r="226" spans="1:10" ht="15" customHeight="1" x14ac:dyDescent="0.25">
      <c r="A226" s="8">
        <f>IF(COUNT($J$2:$J$1501)&gt;=225,225,"")</f>
        <v>225</v>
      </c>
      <c r="B226" s="8" t="str">
        <f t="shared" si="15"/>
        <v>Ruiz Javier</v>
      </c>
      <c r="C226" s="8" t="str">
        <f t="shared" si="16"/>
        <v>Necaxa</v>
      </c>
      <c r="D226" s="8">
        <f t="shared" si="17"/>
        <v>0</v>
      </c>
      <c r="F226" s="4" t="str">
        <f>IF(Jugadores!B226="","",Jugadores!B226)</f>
        <v>Malagon Luis</v>
      </c>
      <c r="G226" s="4" t="str">
        <f>IF(Jugadores!B226="","",Jugadores!A226)</f>
        <v>Club América</v>
      </c>
      <c r="H226" s="4">
        <f>IF(F226="","",SUMIF('Estadísticas Jugadores'!$F$2:$F$7001,F226,'Estadísticas Jugadores'!$I$2:$I$7001))</f>
        <v>0</v>
      </c>
      <c r="I226" s="4">
        <f t="shared" si="18"/>
        <v>-2.26E-5</v>
      </c>
      <c r="J226" s="4">
        <f t="shared" si="19"/>
        <v>235</v>
      </c>
    </row>
    <row r="227" spans="1:10" ht="15" customHeight="1" x14ac:dyDescent="0.25">
      <c r="A227" s="8">
        <f>IF(COUNT($J$2:$J$1501)&gt;=226,226,"")</f>
        <v>226</v>
      </c>
      <c r="B227" s="8" t="str">
        <f t="shared" si="15"/>
        <v>Tello Israel</v>
      </c>
      <c r="C227" s="8" t="str">
        <f t="shared" si="16"/>
        <v>Necaxa</v>
      </c>
      <c r="D227" s="8">
        <f t="shared" si="17"/>
        <v>0</v>
      </c>
      <c r="F227" s="4" t="str">
        <f>IF(Jugadores!B227="","",Jugadores!B227)</f>
        <v>Tapia Fernando</v>
      </c>
      <c r="G227" s="4" t="str">
        <f>IF(Jugadores!B227="","",Jugadores!A227)</f>
        <v>Club América</v>
      </c>
      <c r="H227" s="4">
        <f>IF(F227="","",SUMIF('Estadísticas Jugadores'!$F$2:$F$7001,F227,'Estadísticas Jugadores'!$I$2:$I$7001))</f>
        <v>0</v>
      </c>
      <c r="I227" s="4">
        <f t="shared" si="18"/>
        <v>-2.27E-5</v>
      </c>
      <c r="J227" s="4">
        <f t="shared" si="19"/>
        <v>236</v>
      </c>
    </row>
    <row r="228" spans="1:10" ht="15" customHeight="1" x14ac:dyDescent="0.25">
      <c r="A228" s="8">
        <f>IF(COUNT($J$2:$J$1501)&gt;=227,227,"")</f>
        <v>227</v>
      </c>
      <c r="B228" s="8" t="str">
        <f t="shared" si="15"/>
        <v>Torres Patino Juan Pablo</v>
      </c>
      <c r="C228" s="8" t="str">
        <f t="shared" si="16"/>
        <v>Necaxa</v>
      </c>
      <c r="D228" s="8">
        <f t="shared" si="17"/>
        <v>0</v>
      </c>
      <c r="F228" s="4" t="str">
        <f>IF(Jugadores!B228="","",Jugadores!B228)</f>
        <v>Alvarez Kevin</v>
      </c>
      <c r="G228" s="4" t="str">
        <f>IF(Jugadores!B228="","",Jugadores!A228)</f>
        <v>Club América</v>
      </c>
      <c r="H228" s="4">
        <f>IF(F228="","",SUMIF('Estadísticas Jugadores'!$F$2:$F$7001,F228,'Estadísticas Jugadores'!$I$2:$I$7001))</f>
        <v>0</v>
      </c>
      <c r="I228" s="4">
        <f t="shared" si="18"/>
        <v>-2.2799999999999999E-5</v>
      </c>
      <c r="J228" s="4">
        <f t="shared" si="19"/>
        <v>237</v>
      </c>
    </row>
    <row r="229" spans="1:10" ht="15" customHeight="1" x14ac:dyDescent="0.25">
      <c r="A229" s="8">
        <f>IF(COUNT($J$2:$J$1501)&gt;=228,228,"")</f>
        <v>228</v>
      </c>
      <c r="B229" s="8" t="str">
        <f t="shared" si="15"/>
        <v>Marquez Gomez Daniel</v>
      </c>
      <c r="C229" s="8" t="str">
        <f t="shared" si="16"/>
        <v>Necaxa</v>
      </c>
      <c r="D229" s="8">
        <f t="shared" si="17"/>
        <v>0</v>
      </c>
      <c r="F229" s="4" t="str">
        <f>IF(Jugadores!B229="","",Jugadores!B229)</f>
        <v>Araujo Munoz Andres Marioni</v>
      </c>
      <c r="G229" s="4" t="str">
        <f>IF(Jugadores!B229="","",Jugadores!A229)</f>
        <v>Club América</v>
      </c>
      <c r="H229" s="4">
        <f>IF(F229="","",SUMIF('Estadísticas Jugadores'!$F$2:$F$7001,F229,'Estadísticas Jugadores'!$I$2:$I$7001))</f>
        <v>0</v>
      </c>
      <c r="I229" s="4">
        <f t="shared" si="18"/>
        <v>-2.2899999999999998E-5</v>
      </c>
      <c r="J229" s="4">
        <f t="shared" si="19"/>
        <v>238</v>
      </c>
    </row>
    <row r="230" spans="1:10" ht="15" customHeight="1" x14ac:dyDescent="0.25">
      <c r="A230" s="8">
        <f>IF(COUNT($J$2:$J$1501)&gt;=229,229,"")</f>
        <v>229</v>
      </c>
      <c r="B230" s="8" t="str">
        <f t="shared" si="15"/>
        <v>Monreal Ricardo</v>
      </c>
      <c r="C230" s="8" t="str">
        <f t="shared" si="16"/>
        <v>Necaxa</v>
      </c>
      <c r="D230" s="8">
        <f t="shared" si="17"/>
        <v>0</v>
      </c>
      <c r="F230" s="4" t="str">
        <f>IF(Jugadores!B230="","",Jugadores!B230)</f>
        <v>Borja Cristian</v>
      </c>
      <c r="G230" s="4" t="str">
        <f>IF(Jugadores!B230="","",Jugadores!A230)</f>
        <v>Club América</v>
      </c>
      <c r="H230" s="4">
        <f>IF(F230="","",SUMIF('Estadísticas Jugadores'!$F$2:$F$7001,F230,'Estadísticas Jugadores'!$I$2:$I$7001))</f>
        <v>0</v>
      </c>
      <c r="I230" s="4">
        <f t="shared" si="18"/>
        <v>-2.3E-5</v>
      </c>
      <c r="J230" s="4">
        <f t="shared" si="19"/>
        <v>239</v>
      </c>
    </row>
    <row r="231" spans="1:10" ht="15" customHeight="1" x14ac:dyDescent="0.25">
      <c r="A231" s="8">
        <f>IF(COUNT($J$2:$J$1501)&gt;=230,230,"")</f>
        <v>230</v>
      </c>
      <c r="B231" s="8" t="str">
        <f t="shared" si="15"/>
        <v>Rodriguez Emilio</v>
      </c>
      <c r="C231" s="8" t="str">
        <f t="shared" si="16"/>
        <v>Necaxa</v>
      </c>
      <c r="D231" s="8">
        <f t="shared" si="17"/>
        <v>0</v>
      </c>
      <c r="F231" s="4" t="str">
        <f>IF(Jugadores!B231="","",Jugadores!B231)</f>
        <v>Caceres Sebastian</v>
      </c>
      <c r="G231" s="4" t="str">
        <f>IF(Jugadores!B231="","",Jugadores!A231)</f>
        <v>Club América</v>
      </c>
      <c r="H231" s="4">
        <f>IF(F231="","",SUMIF('Estadísticas Jugadores'!$F$2:$F$7001,F231,'Estadísticas Jugadores'!$I$2:$I$7001))</f>
        <v>0</v>
      </c>
      <c r="I231" s="4">
        <f t="shared" si="18"/>
        <v>-2.3099999999999999E-5</v>
      </c>
      <c r="J231" s="4">
        <f t="shared" si="19"/>
        <v>240</v>
      </c>
    </row>
    <row r="232" spans="1:10" ht="15" customHeight="1" x14ac:dyDescent="0.25">
      <c r="A232" s="8">
        <f>IF(COUNT($J$2:$J$1501)&gt;=231,231,"")</f>
        <v>231</v>
      </c>
      <c r="B232" s="8" t="str">
        <f t="shared" si="15"/>
        <v>Rosero Kevin</v>
      </c>
      <c r="C232" s="8" t="str">
        <f t="shared" si="16"/>
        <v>Necaxa</v>
      </c>
      <c r="D232" s="8">
        <f t="shared" si="17"/>
        <v>0</v>
      </c>
      <c r="F232" s="4" t="str">
        <f>IF(Jugadores!B232="","",Jugadores!B232)</f>
        <v>Espinosa Dovat Thiago Nahuel</v>
      </c>
      <c r="G232" s="4" t="str">
        <f>IF(Jugadores!B232="","",Jugadores!A232)</f>
        <v>Club América</v>
      </c>
      <c r="H232" s="4">
        <f>IF(F232="","",SUMIF('Estadísticas Jugadores'!$F$2:$F$7001,F232,'Estadísticas Jugadores'!$I$2:$I$7001))</f>
        <v>0</v>
      </c>
      <c r="I232" s="4">
        <f t="shared" si="18"/>
        <v>-2.3199999999999998E-5</v>
      </c>
      <c r="J232" s="4">
        <f t="shared" si="19"/>
        <v>241</v>
      </c>
    </row>
    <row r="233" spans="1:10" ht="15" customHeight="1" x14ac:dyDescent="0.25">
      <c r="A233" s="8">
        <f>IF(COUNT($J$2:$J$1501)&gt;=232,232,"")</f>
        <v>232</v>
      </c>
      <c r="B233" s="8" t="str">
        <f t="shared" si="15"/>
        <v>Valencia Juan</v>
      </c>
      <c r="C233" s="8" t="str">
        <f t="shared" si="16"/>
        <v>Necaxa</v>
      </c>
      <c r="D233" s="8">
        <f t="shared" si="17"/>
        <v>0</v>
      </c>
      <c r="F233" s="4" t="str">
        <f>IF(Jugadores!B233="","",Jugadores!B233)</f>
        <v>Espinoza Dagoberto</v>
      </c>
      <c r="G233" s="4" t="str">
        <f>IF(Jugadores!B233="","",Jugadores!A233)</f>
        <v>Club América</v>
      </c>
      <c r="H233" s="4">
        <f>IF(F233="","",SUMIF('Estadísticas Jugadores'!$F$2:$F$7001,F233,'Estadísticas Jugadores'!$I$2:$I$7001))</f>
        <v>0</v>
      </c>
      <c r="I233" s="4">
        <f t="shared" si="18"/>
        <v>-2.3300000000000001E-5</v>
      </c>
      <c r="J233" s="4">
        <f t="shared" si="19"/>
        <v>242</v>
      </c>
    </row>
    <row r="234" spans="1:10" ht="15" customHeight="1" x14ac:dyDescent="0.25">
      <c r="A234" s="8">
        <f>IF(COUNT($J$2:$J$1501)&gt;=233,233,"")</f>
        <v>233</v>
      </c>
      <c r="B234" s="8" t="str">
        <f t="shared" si="15"/>
        <v>Cota Rodolfo</v>
      </c>
      <c r="C234" s="8" t="str">
        <f t="shared" si="16"/>
        <v>Club América</v>
      </c>
      <c r="D234" s="8">
        <f t="shared" si="17"/>
        <v>0</v>
      </c>
      <c r="F234" s="4" t="str">
        <f>IF(Jugadores!B234="","",Jugadores!B234)</f>
        <v>Juarez Ramon</v>
      </c>
      <c r="G234" s="4" t="str">
        <f>IF(Jugadores!B234="","",Jugadores!A234)</f>
        <v>Club América</v>
      </c>
      <c r="H234" s="4">
        <f>IF(F234="","",SUMIF('Estadísticas Jugadores'!$F$2:$F$7001,F234,'Estadísticas Jugadores'!$I$2:$I$7001))</f>
        <v>0</v>
      </c>
      <c r="I234" s="4">
        <f t="shared" si="18"/>
        <v>-2.34E-5</v>
      </c>
      <c r="J234" s="4">
        <f t="shared" si="19"/>
        <v>243</v>
      </c>
    </row>
    <row r="235" spans="1:10" ht="15" customHeight="1" x14ac:dyDescent="0.25">
      <c r="A235" s="8">
        <f>IF(COUNT($J$2:$J$1501)&gt;=234,234,"")</f>
        <v>234</v>
      </c>
      <c r="B235" s="8" t="str">
        <f t="shared" si="15"/>
        <v>Lugo Cesar</v>
      </c>
      <c r="C235" s="8" t="str">
        <f t="shared" si="16"/>
        <v>Club América</v>
      </c>
      <c r="D235" s="8">
        <f t="shared" si="17"/>
        <v>0</v>
      </c>
      <c r="F235" s="4" t="str">
        <f>IF(Jugadores!B235="","",Jugadores!B235)</f>
        <v>Mejáa Aaron</v>
      </c>
      <c r="G235" s="4" t="str">
        <f>IF(Jugadores!B235="","",Jugadores!A235)</f>
        <v>Club América</v>
      </c>
      <c r="H235" s="4">
        <f>IF(F235="","",SUMIF('Estadísticas Jugadores'!$F$2:$F$7001,F235,'Estadísticas Jugadores'!$I$2:$I$7001))</f>
        <v>0</v>
      </c>
      <c r="I235" s="4">
        <f t="shared" si="18"/>
        <v>-2.3499999999999999E-5</v>
      </c>
      <c r="J235" s="4">
        <f t="shared" si="19"/>
        <v>244</v>
      </c>
    </row>
    <row r="236" spans="1:10" ht="15" customHeight="1" x14ac:dyDescent="0.25">
      <c r="A236" s="8">
        <f>IF(COUNT($J$2:$J$1501)&gt;=235,235,"")</f>
        <v>235</v>
      </c>
      <c r="B236" s="8" t="str">
        <f t="shared" si="15"/>
        <v>Malagon Luis</v>
      </c>
      <c r="C236" s="8" t="str">
        <f t="shared" si="16"/>
        <v>Club América</v>
      </c>
      <c r="D236" s="8">
        <f t="shared" si="17"/>
        <v>0</v>
      </c>
      <c r="F236" s="4" t="str">
        <f>IF(Jugadores!B236="","",Jugadores!B236)</f>
        <v>Reyes Israel</v>
      </c>
      <c r="G236" s="4" t="str">
        <f>IF(Jugadores!B236="","",Jugadores!A236)</f>
        <v>Club América</v>
      </c>
      <c r="H236" s="4">
        <f>IF(F236="","",SUMIF('Estadísticas Jugadores'!$F$2:$F$7001,F236,'Estadísticas Jugadores'!$I$2:$I$7001))</f>
        <v>0</v>
      </c>
      <c r="I236" s="4">
        <f t="shared" si="18"/>
        <v>-2.3599999999999998E-5</v>
      </c>
      <c r="J236" s="4">
        <f t="shared" si="19"/>
        <v>245</v>
      </c>
    </row>
    <row r="237" spans="1:10" ht="15" customHeight="1" x14ac:dyDescent="0.25">
      <c r="A237" s="8">
        <f>IF(COUNT($J$2:$J$1501)&gt;=236,236,"")</f>
        <v>236</v>
      </c>
      <c r="B237" s="8" t="str">
        <f t="shared" si="15"/>
        <v>Tapia Fernando</v>
      </c>
      <c r="C237" s="8" t="str">
        <f t="shared" si="16"/>
        <v>Club América</v>
      </c>
      <c r="D237" s="8">
        <f t="shared" si="17"/>
        <v>0</v>
      </c>
      <c r="F237" s="4" t="str">
        <f>IF(Jugadores!B237="","",Jugadores!B237)</f>
        <v>Rossano Franco</v>
      </c>
      <c r="G237" s="4" t="str">
        <f>IF(Jugadores!B237="","",Jugadores!A237)</f>
        <v>Club América</v>
      </c>
      <c r="H237" s="4">
        <f>IF(F237="","",SUMIF('Estadísticas Jugadores'!$F$2:$F$7001,F237,'Estadísticas Jugadores'!$I$2:$I$7001))</f>
        <v>0</v>
      </c>
      <c r="I237" s="4">
        <f t="shared" si="18"/>
        <v>-2.37E-5</v>
      </c>
      <c r="J237" s="4">
        <f t="shared" si="19"/>
        <v>246</v>
      </c>
    </row>
    <row r="238" spans="1:10" ht="15" customHeight="1" x14ac:dyDescent="0.25">
      <c r="A238" s="8">
        <f>IF(COUNT($J$2:$J$1501)&gt;=237,237,"")</f>
        <v>237</v>
      </c>
      <c r="B238" s="8" t="str">
        <f t="shared" si="15"/>
        <v>Alvarez Kevin</v>
      </c>
      <c r="C238" s="8" t="str">
        <f t="shared" si="16"/>
        <v>Club América</v>
      </c>
      <c r="D238" s="8">
        <f t="shared" si="17"/>
        <v>0</v>
      </c>
      <c r="F238" s="4" t="str">
        <f>IF(Jugadores!B238="","",Jugadores!B238)</f>
        <v>Vazquez Miguel</v>
      </c>
      <c r="G238" s="4" t="str">
        <f>IF(Jugadores!B238="","",Jugadores!A238)</f>
        <v>Club América</v>
      </c>
      <c r="H238" s="4">
        <f>IF(F238="","",SUMIF('Estadísticas Jugadores'!$F$2:$F$7001,F238,'Estadísticas Jugadores'!$I$2:$I$7001))</f>
        <v>0</v>
      </c>
      <c r="I238" s="4">
        <f t="shared" si="18"/>
        <v>-2.3799999999999999E-5</v>
      </c>
      <c r="J238" s="4">
        <f t="shared" si="19"/>
        <v>247</v>
      </c>
    </row>
    <row r="239" spans="1:10" ht="15" customHeight="1" x14ac:dyDescent="0.25">
      <c r="A239" s="8">
        <f>IF(COUNT($J$2:$J$1501)&gt;=238,238,"")</f>
        <v>238</v>
      </c>
      <c r="B239" s="8" t="str">
        <f t="shared" si="15"/>
        <v>Araujo Munoz Andres Marioni</v>
      </c>
      <c r="C239" s="8" t="str">
        <f t="shared" si="16"/>
        <v>Club América</v>
      </c>
      <c r="D239" s="8">
        <f t="shared" si="17"/>
        <v>0</v>
      </c>
      <c r="F239" s="4" t="str">
        <f>IF(Jugadores!B239="","",Jugadores!B239)</f>
        <v>Arriaga Diego</v>
      </c>
      <c r="G239" s="4" t="str">
        <f>IF(Jugadores!B239="","",Jugadores!A239)</f>
        <v>Club América</v>
      </c>
      <c r="H239" s="4">
        <f>IF(F239="","",SUMIF('Estadísticas Jugadores'!$F$2:$F$7001,F239,'Estadísticas Jugadores'!$I$2:$I$7001))</f>
        <v>0</v>
      </c>
      <c r="I239" s="4">
        <f t="shared" si="18"/>
        <v>-2.3899999999999998E-5</v>
      </c>
      <c r="J239" s="4">
        <f t="shared" si="19"/>
        <v>248</v>
      </c>
    </row>
    <row r="240" spans="1:10" ht="15" customHeight="1" x14ac:dyDescent="0.25">
      <c r="A240" s="8">
        <f>IF(COUNT($J$2:$J$1501)&gt;=239,239,"")</f>
        <v>239</v>
      </c>
      <c r="B240" s="8" t="str">
        <f t="shared" si="15"/>
        <v>Borja Cristian</v>
      </c>
      <c r="C240" s="8" t="str">
        <f t="shared" si="16"/>
        <v>Club América</v>
      </c>
      <c r="D240" s="8">
        <f t="shared" si="17"/>
        <v>0</v>
      </c>
      <c r="F240" s="4" t="str">
        <f>IF(Jugadores!B240="","",Jugadores!B240)</f>
        <v>Cervantes Martin del Campo Alan Jhosue</v>
      </c>
      <c r="G240" s="4" t="str">
        <f>IF(Jugadores!B240="","",Jugadores!A240)</f>
        <v>Club América</v>
      </c>
      <c r="H240" s="4">
        <f>IF(F240="","",SUMIF('Estadísticas Jugadores'!$F$2:$F$7001,F240,'Estadísticas Jugadores'!$I$2:$I$7001))</f>
        <v>0</v>
      </c>
      <c r="I240" s="4">
        <f t="shared" si="18"/>
        <v>-2.4000000000000001E-5</v>
      </c>
      <c r="J240" s="4">
        <f t="shared" si="19"/>
        <v>249</v>
      </c>
    </row>
    <row r="241" spans="1:10" ht="15" customHeight="1" x14ac:dyDescent="0.25">
      <c r="A241" s="8">
        <f>IF(COUNT($J$2:$J$1501)&gt;=240,240,"")</f>
        <v>240</v>
      </c>
      <c r="B241" s="8" t="str">
        <f t="shared" si="15"/>
        <v>Caceres Sebastian</v>
      </c>
      <c r="C241" s="8" t="str">
        <f t="shared" si="16"/>
        <v>Club América</v>
      </c>
      <c r="D241" s="8">
        <f t="shared" si="17"/>
        <v>0</v>
      </c>
      <c r="F241" s="4" t="str">
        <f>IF(Jugadores!B241="","",Jugadores!B241)</f>
        <v>Gutierrez Torres Alexis Hazael</v>
      </c>
      <c r="G241" s="4" t="str">
        <f>IF(Jugadores!B241="","",Jugadores!A241)</f>
        <v>Club América</v>
      </c>
      <c r="H241" s="4">
        <f>IF(F241="","",SUMIF('Estadísticas Jugadores'!$F$2:$F$7001,F241,'Estadísticas Jugadores'!$I$2:$I$7001))</f>
        <v>0</v>
      </c>
      <c r="I241" s="4">
        <f t="shared" si="18"/>
        <v>-2.41E-5</v>
      </c>
      <c r="J241" s="4">
        <f t="shared" si="19"/>
        <v>250</v>
      </c>
    </row>
    <row r="242" spans="1:10" ht="15" customHeight="1" x14ac:dyDescent="0.25">
      <c r="A242" s="8">
        <f>IF(COUNT($J$2:$J$1501)&gt;=241,241,"")</f>
        <v>241</v>
      </c>
      <c r="B242" s="8" t="str">
        <f t="shared" si="15"/>
        <v>Espinosa Dovat Thiago Nahuel</v>
      </c>
      <c r="C242" s="8" t="str">
        <f t="shared" si="16"/>
        <v>Club América</v>
      </c>
      <c r="D242" s="8">
        <f t="shared" si="17"/>
        <v>0</v>
      </c>
      <c r="F242" s="4" t="str">
        <f>IF(Jugadores!B242="","",Jugadores!B242)</f>
        <v>Icaro</v>
      </c>
      <c r="G242" s="4" t="str">
        <f>IF(Jugadores!B242="","",Jugadores!A242)</f>
        <v>Club América</v>
      </c>
      <c r="H242" s="4">
        <f>IF(F242="","",SUMIF('Estadísticas Jugadores'!$F$2:$F$7001,F242,'Estadísticas Jugadores'!$I$2:$I$7001))</f>
        <v>0</v>
      </c>
      <c r="I242" s="4">
        <f t="shared" si="18"/>
        <v>-2.4199999999999999E-5</v>
      </c>
      <c r="J242" s="4">
        <f t="shared" si="19"/>
        <v>251</v>
      </c>
    </row>
    <row r="243" spans="1:10" ht="15" customHeight="1" x14ac:dyDescent="0.25">
      <c r="A243" s="8">
        <f>IF(COUNT($J$2:$J$1501)&gt;=242,242,"")</f>
        <v>242</v>
      </c>
      <c r="B243" s="8" t="str">
        <f t="shared" si="15"/>
        <v>Espinoza Dagoberto</v>
      </c>
      <c r="C243" s="8" t="str">
        <f t="shared" si="16"/>
        <v>Club América</v>
      </c>
      <c r="D243" s="8">
        <f t="shared" si="17"/>
        <v>0</v>
      </c>
      <c r="F243" s="4" t="str">
        <f>IF(Jugadores!B243="","",Jugadores!B243)</f>
        <v>Lima</v>
      </c>
      <c r="G243" s="4" t="str">
        <f>IF(Jugadores!B243="","",Jugadores!A243)</f>
        <v>Club América</v>
      </c>
      <c r="H243" s="4">
        <f>IF(F243="","",SUMIF('Estadísticas Jugadores'!$F$2:$F$7001,F243,'Estadísticas Jugadores'!$I$2:$I$7001))</f>
        <v>0</v>
      </c>
      <c r="I243" s="4">
        <f t="shared" si="18"/>
        <v>-2.4299999999999998E-5</v>
      </c>
      <c r="J243" s="4">
        <f t="shared" si="19"/>
        <v>252</v>
      </c>
    </row>
    <row r="244" spans="1:10" ht="15" customHeight="1" x14ac:dyDescent="0.25">
      <c r="A244" s="8">
        <f>IF(COUNT($J$2:$J$1501)&gt;=243,243,"")</f>
        <v>243</v>
      </c>
      <c r="B244" s="8" t="str">
        <f t="shared" si="15"/>
        <v>Juarez Ramon</v>
      </c>
      <c r="C244" s="8" t="str">
        <f t="shared" si="16"/>
        <v>Club América</v>
      </c>
      <c r="D244" s="8">
        <f t="shared" si="17"/>
        <v>0</v>
      </c>
      <c r="F244" s="4" t="str">
        <f>IF(Jugadores!B244="","",Jugadores!B244)</f>
        <v>Naveda Santiago</v>
      </c>
      <c r="G244" s="4" t="str">
        <f>IF(Jugadores!B244="","",Jugadores!A244)</f>
        <v>Club América</v>
      </c>
      <c r="H244" s="4">
        <f>IF(F244="","",SUMIF('Estadísticas Jugadores'!$F$2:$F$7001,F244,'Estadísticas Jugadores'!$I$2:$I$7001))</f>
        <v>0</v>
      </c>
      <c r="I244" s="4">
        <f t="shared" si="18"/>
        <v>-2.44E-5</v>
      </c>
      <c r="J244" s="4">
        <f t="shared" si="19"/>
        <v>253</v>
      </c>
    </row>
    <row r="245" spans="1:10" ht="15" customHeight="1" x14ac:dyDescent="0.25">
      <c r="A245" s="8">
        <f>IF(COUNT($J$2:$J$1501)&gt;=244,244,"")</f>
        <v>244</v>
      </c>
      <c r="B245" s="8" t="str">
        <f t="shared" si="15"/>
        <v>Mejáa Aaron</v>
      </c>
      <c r="C245" s="8" t="str">
        <f t="shared" si="16"/>
        <v>Club América</v>
      </c>
      <c r="D245" s="8">
        <f t="shared" si="17"/>
        <v>0</v>
      </c>
      <c r="F245" s="4" t="str">
        <f>IF(Jugadores!B245="","",Jugadores!B245)</f>
        <v>Raphael Veiga</v>
      </c>
      <c r="G245" s="4" t="str">
        <f>IF(Jugadores!B245="","",Jugadores!A245)</f>
        <v>Club América</v>
      </c>
      <c r="H245" s="4">
        <f>IF(F245="","",SUMIF('Estadísticas Jugadores'!$F$2:$F$7001,F245,'Estadísticas Jugadores'!$I$2:$I$7001))</f>
        <v>0</v>
      </c>
      <c r="I245" s="4">
        <f t="shared" si="18"/>
        <v>-2.4499999999999999E-5</v>
      </c>
      <c r="J245" s="4">
        <f t="shared" si="19"/>
        <v>254</v>
      </c>
    </row>
    <row r="246" spans="1:10" ht="15" customHeight="1" x14ac:dyDescent="0.25">
      <c r="A246" s="8">
        <f>IF(COUNT($J$2:$J$1501)&gt;=245,245,"")</f>
        <v>245</v>
      </c>
      <c r="B246" s="8" t="str">
        <f t="shared" si="15"/>
        <v>Reyes Israel</v>
      </c>
      <c r="C246" s="8" t="str">
        <f t="shared" si="16"/>
        <v>Club América</v>
      </c>
      <c r="D246" s="8">
        <f t="shared" si="17"/>
        <v>0</v>
      </c>
      <c r="F246" s="4" t="str">
        <f>IF(Jugadores!B246="","",Jugadores!B246)</f>
        <v>Rodrigo Dourado</v>
      </c>
      <c r="G246" s="4" t="str">
        <f>IF(Jugadores!B246="","",Jugadores!A246)</f>
        <v>Club América</v>
      </c>
      <c r="H246" s="4">
        <f>IF(F246="","",SUMIF('Estadísticas Jugadores'!$F$2:$F$7001,F246,'Estadísticas Jugadores'!$I$2:$I$7001))</f>
        <v>0</v>
      </c>
      <c r="I246" s="4">
        <f t="shared" si="18"/>
        <v>-2.4599999999999998E-5</v>
      </c>
      <c r="J246" s="4">
        <f t="shared" si="19"/>
        <v>255</v>
      </c>
    </row>
    <row r="247" spans="1:10" ht="15" customHeight="1" x14ac:dyDescent="0.25">
      <c r="A247" s="8">
        <f>IF(COUNT($J$2:$J$1501)&gt;=246,246,"")</f>
        <v>246</v>
      </c>
      <c r="B247" s="8" t="str">
        <f t="shared" si="15"/>
        <v>Rossano Franco</v>
      </c>
      <c r="C247" s="8" t="str">
        <f t="shared" si="16"/>
        <v>Club América</v>
      </c>
      <c r="D247" s="8">
        <f t="shared" si="17"/>
        <v>0</v>
      </c>
      <c r="F247" s="4" t="str">
        <f>IF(Jugadores!B247="","",Jugadores!B247)</f>
        <v>Sánchez Erick</v>
      </c>
      <c r="G247" s="4" t="str">
        <f>IF(Jugadores!B247="","",Jugadores!A247)</f>
        <v>Club América</v>
      </c>
      <c r="H247" s="4">
        <f>IF(F247="","",SUMIF('Estadísticas Jugadores'!$F$2:$F$7001,F247,'Estadísticas Jugadores'!$I$2:$I$7001))</f>
        <v>0</v>
      </c>
      <c r="I247" s="4">
        <f t="shared" si="18"/>
        <v>-2.4699999999999997E-5</v>
      </c>
      <c r="J247" s="4">
        <f t="shared" si="19"/>
        <v>256</v>
      </c>
    </row>
    <row r="248" spans="1:10" ht="15" customHeight="1" x14ac:dyDescent="0.25">
      <c r="A248" s="8">
        <f>IF(COUNT($J$2:$J$1501)&gt;=247,247,"")</f>
        <v>247</v>
      </c>
      <c r="B248" s="8" t="str">
        <f t="shared" si="15"/>
        <v>Vazquez Miguel</v>
      </c>
      <c r="C248" s="8" t="str">
        <f t="shared" si="16"/>
        <v>Club América</v>
      </c>
      <c r="D248" s="8">
        <f t="shared" si="17"/>
        <v>0</v>
      </c>
      <c r="F248" s="4" t="str">
        <f>IF(Jugadores!B248="","",Jugadores!B248)</f>
        <v>dos Santos Jonathan</v>
      </c>
      <c r="G248" s="4" t="str">
        <f>IF(Jugadores!B248="","",Jugadores!A248)</f>
        <v>Club América</v>
      </c>
      <c r="H248" s="4">
        <f>IF(F248="","",SUMIF('Estadísticas Jugadores'!$F$2:$F$7001,F248,'Estadísticas Jugadores'!$I$2:$I$7001))</f>
        <v>0</v>
      </c>
      <c r="I248" s="4">
        <f t="shared" si="18"/>
        <v>-2.48E-5</v>
      </c>
      <c r="J248" s="4">
        <f t="shared" si="19"/>
        <v>257</v>
      </c>
    </row>
    <row r="249" spans="1:10" ht="15" customHeight="1" x14ac:dyDescent="0.25">
      <c r="A249" s="8">
        <f>IF(COUNT($J$2:$J$1501)&gt;=248,248,"")</f>
        <v>248</v>
      </c>
      <c r="B249" s="8" t="str">
        <f t="shared" si="15"/>
        <v>Arriaga Diego</v>
      </c>
      <c r="C249" s="8" t="str">
        <f t="shared" si="16"/>
        <v>Club América</v>
      </c>
      <c r="D249" s="8">
        <f t="shared" si="17"/>
        <v>0</v>
      </c>
      <c r="F249" s="4" t="str">
        <f>IF(Jugadores!B249="","",Jugadores!B249)</f>
        <v>Cárdenas Alejandro</v>
      </c>
      <c r="G249" s="4" t="str">
        <f>IF(Jugadores!B249="","",Jugadores!A249)</f>
        <v>Club América</v>
      </c>
      <c r="H249" s="4">
        <f>IF(F249="","",SUMIF('Estadísticas Jugadores'!$F$2:$F$7001,F249,'Estadísticas Jugadores'!$I$2:$I$7001))</f>
        <v>0</v>
      </c>
      <c r="I249" s="4">
        <f t="shared" si="18"/>
        <v>-2.4899999999999999E-5</v>
      </c>
      <c r="J249" s="4">
        <f t="shared" si="19"/>
        <v>258</v>
      </c>
    </row>
    <row r="250" spans="1:10" ht="15" customHeight="1" x14ac:dyDescent="0.25">
      <c r="A250" s="8">
        <f>IF(COUNT($J$2:$J$1501)&gt;=249,249,"")</f>
        <v>249</v>
      </c>
      <c r="B250" s="8" t="str">
        <f t="shared" si="15"/>
        <v>Cervantes Martin del Campo Alan Jhosue</v>
      </c>
      <c r="C250" s="8" t="str">
        <f t="shared" si="16"/>
        <v>Club América</v>
      </c>
      <c r="D250" s="8">
        <f t="shared" si="17"/>
        <v>0</v>
      </c>
      <c r="F250" s="4" t="str">
        <f>IF(Jugadores!B250="","",Jugadores!B250)</f>
        <v>Davila Victor</v>
      </c>
      <c r="G250" s="4" t="str">
        <f>IF(Jugadores!B250="","",Jugadores!A250)</f>
        <v>Club América</v>
      </c>
      <c r="H250" s="4">
        <f>IF(F250="","",SUMIF('Estadísticas Jugadores'!$F$2:$F$7001,F250,'Estadísticas Jugadores'!$I$2:$I$7001))</f>
        <v>0</v>
      </c>
      <c r="I250" s="4">
        <f t="shared" si="18"/>
        <v>-2.4999999999999998E-5</v>
      </c>
      <c r="J250" s="4">
        <f t="shared" si="19"/>
        <v>259</v>
      </c>
    </row>
    <row r="251" spans="1:10" ht="15" customHeight="1" x14ac:dyDescent="0.25">
      <c r="A251" s="8">
        <f>IF(COUNT($J$2:$J$1501)&gt;=250,250,"")</f>
        <v>250</v>
      </c>
      <c r="B251" s="8" t="str">
        <f t="shared" si="15"/>
        <v>Gutierrez Torres Alexis Hazael</v>
      </c>
      <c r="C251" s="8" t="str">
        <f t="shared" si="16"/>
        <v>Club América</v>
      </c>
      <c r="D251" s="8">
        <f t="shared" si="17"/>
        <v>0</v>
      </c>
      <c r="F251" s="4" t="str">
        <f>IF(Jugadores!B251="","",Jugadores!B251)</f>
        <v>Lozano Esteban</v>
      </c>
      <c r="G251" s="4" t="str">
        <f>IF(Jugadores!B251="","",Jugadores!A251)</f>
        <v>Club América</v>
      </c>
      <c r="H251" s="4">
        <f>IF(F251="","",SUMIF('Estadísticas Jugadores'!$F$2:$F$7001,F251,'Estadísticas Jugadores'!$I$2:$I$7001))</f>
        <v>0</v>
      </c>
      <c r="I251" s="4">
        <f t="shared" si="18"/>
        <v>-2.51E-5</v>
      </c>
      <c r="J251" s="4">
        <f t="shared" si="19"/>
        <v>260</v>
      </c>
    </row>
    <row r="252" spans="1:10" ht="15" customHeight="1" x14ac:dyDescent="0.25">
      <c r="A252" s="8">
        <f>IF(COUNT($J$2:$J$1501)&gt;=251,251,"")</f>
        <v>251</v>
      </c>
      <c r="B252" s="8" t="str">
        <f t="shared" si="15"/>
        <v>Icaro</v>
      </c>
      <c r="C252" s="8" t="str">
        <f t="shared" si="16"/>
        <v>Club América</v>
      </c>
      <c r="D252" s="8">
        <f t="shared" si="17"/>
        <v>0</v>
      </c>
      <c r="F252" s="4" t="str">
        <f>IF(Jugadores!B252="","",Jugadores!B252)</f>
        <v>Martin Henry</v>
      </c>
      <c r="G252" s="4" t="str">
        <f>IF(Jugadores!B252="","",Jugadores!A252)</f>
        <v>Club América</v>
      </c>
      <c r="H252" s="4">
        <f>IF(F252="","",SUMIF('Estadísticas Jugadores'!$F$2:$F$7001,F252,'Estadísticas Jugadores'!$I$2:$I$7001))</f>
        <v>0</v>
      </c>
      <c r="I252" s="4">
        <f t="shared" si="18"/>
        <v>-2.5199999999999999E-5</v>
      </c>
      <c r="J252" s="4">
        <f t="shared" si="19"/>
        <v>261</v>
      </c>
    </row>
    <row r="253" spans="1:10" ht="15" customHeight="1" x14ac:dyDescent="0.25">
      <c r="A253" s="8">
        <f>IF(COUNT($J$2:$J$1501)&gt;=252,252,"")</f>
        <v>252</v>
      </c>
      <c r="B253" s="8" t="str">
        <f t="shared" si="15"/>
        <v>Lima</v>
      </c>
      <c r="C253" s="8" t="str">
        <f t="shared" si="16"/>
        <v>Club América</v>
      </c>
      <c r="D253" s="8">
        <f t="shared" si="17"/>
        <v>0</v>
      </c>
      <c r="F253" s="4" t="str">
        <f>IF(Jugadores!B253="","",Jugadores!B253)</f>
        <v>Rodriguez Brian</v>
      </c>
      <c r="G253" s="4" t="str">
        <f>IF(Jugadores!B253="","",Jugadores!A253)</f>
        <v>Club América</v>
      </c>
      <c r="H253" s="4">
        <f>IF(F253="","",SUMIF('Estadísticas Jugadores'!$F$2:$F$7001,F253,'Estadísticas Jugadores'!$I$2:$I$7001))</f>
        <v>0</v>
      </c>
      <c r="I253" s="4">
        <f t="shared" si="18"/>
        <v>-2.5299999999999998E-5</v>
      </c>
      <c r="J253" s="4">
        <f t="shared" si="19"/>
        <v>262</v>
      </c>
    </row>
    <row r="254" spans="1:10" ht="15" customHeight="1" x14ac:dyDescent="0.25">
      <c r="A254" s="8">
        <f>IF(COUNT($J$2:$J$1501)&gt;=253,253,"")</f>
        <v>253</v>
      </c>
      <c r="B254" s="8" t="str">
        <f t="shared" si="15"/>
        <v>Naveda Santiago</v>
      </c>
      <c r="C254" s="8" t="str">
        <f t="shared" si="16"/>
        <v>Club América</v>
      </c>
      <c r="D254" s="8">
        <f t="shared" si="17"/>
        <v>0</v>
      </c>
      <c r="F254" s="4" t="str">
        <f>IF(Jugadores!B254="","",Jugadores!B254)</f>
        <v>Salas Patricio</v>
      </c>
      <c r="G254" s="4" t="str">
        <f>IF(Jugadores!B254="","",Jugadores!A254)</f>
        <v>Club América</v>
      </c>
      <c r="H254" s="4">
        <f>IF(F254="","",SUMIF('Estadísticas Jugadores'!$F$2:$F$7001,F254,'Estadísticas Jugadores'!$I$2:$I$7001))</f>
        <v>0</v>
      </c>
      <c r="I254" s="4">
        <f t="shared" si="18"/>
        <v>-2.5399999999999997E-5</v>
      </c>
      <c r="J254" s="4">
        <f t="shared" si="19"/>
        <v>263</v>
      </c>
    </row>
    <row r="255" spans="1:10" ht="15" customHeight="1" x14ac:dyDescent="0.25">
      <c r="A255" s="8">
        <f>IF(COUNT($J$2:$J$1501)&gt;=254,254,"")</f>
        <v>254</v>
      </c>
      <c r="B255" s="8" t="str">
        <f t="shared" si="15"/>
        <v>Raphael Veiga</v>
      </c>
      <c r="C255" s="8" t="str">
        <f t="shared" si="16"/>
        <v>Club América</v>
      </c>
      <c r="D255" s="8">
        <f t="shared" si="17"/>
        <v>0</v>
      </c>
      <c r="F255" s="4" t="str">
        <f>IF(Jugadores!B255="","",Jugadores!B255)</f>
        <v>Violante Isaias</v>
      </c>
      <c r="G255" s="4" t="str">
        <f>IF(Jugadores!B255="","",Jugadores!A255)</f>
        <v>Club América</v>
      </c>
      <c r="H255" s="4">
        <f>IF(F255="","",SUMIF('Estadísticas Jugadores'!$F$2:$F$7001,F255,'Estadísticas Jugadores'!$I$2:$I$7001))</f>
        <v>1</v>
      </c>
      <c r="I255" s="4">
        <f t="shared" si="18"/>
        <v>999.99997450000001</v>
      </c>
      <c r="J255" s="4">
        <f t="shared" si="19"/>
        <v>16</v>
      </c>
    </row>
    <row r="256" spans="1:10" ht="15" customHeight="1" x14ac:dyDescent="0.25">
      <c r="A256" s="8">
        <f>IF(COUNT($J$2:$J$1501)&gt;=255,255,"")</f>
        <v>255</v>
      </c>
      <c r="B256" s="8" t="str">
        <f t="shared" si="15"/>
        <v>Rodrigo Dourado</v>
      </c>
      <c r="C256" s="8" t="str">
        <f t="shared" si="16"/>
        <v>Club América</v>
      </c>
      <c r="D256" s="8">
        <f t="shared" si="17"/>
        <v>0</v>
      </c>
      <c r="F256" s="4" t="str">
        <f>IF(Jugadores!B256="","",Jugadores!B256)</f>
        <v>Zendejas Alex</v>
      </c>
      <c r="G256" s="4" t="str">
        <f>IF(Jugadores!B256="","",Jugadores!A256)</f>
        <v>Club América</v>
      </c>
      <c r="H256" s="4">
        <f>IF(F256="","",SUMIF('Estadísticas Jugadores'!$F$2:$F$7001,F256,'Estadísticas Jugadores'!$I$2:$I$7001))</f>
        <v>0</v>
      </c>
      <c r="I256" s="4">
        <f t="shared" si="18"/>
        <v>-2.5599999999999999E-5</v>
      </c>
      <c r="J256" s="4">
        <f t="shared" si="19"/>
        <v>264</v>
      </c>
    </row>
    <row r="257" spans="1:10" ht="15" customHeight="1" x14ac:dyDescent="0.25">
      <c r="A257" s="8">
        <f>IF(COUNT($J$2:$J$1501)&gt;=256,256,"")</f>
        <v>256</v>
      </c>
      <c r="B257" s="8" t="str">
        <f t="shared" si="15"/>
        <v>Sánchez Erick</v>
      </c>
      <c r="C257" s="8" t="str">
        <f t="shared" si="16"/>
        <v>Club América</v>
      </c>
      <c r="D257" s="8">
        <f t="shared" si="17"/>
        <v>0</v>
      </c>
      <c r="F257" s="4" t="str">
        <f>IF(Jugadores!B257="","",Jugadores!B257)</f>
        <v>Zúñiga Jose</v>
      </c>
      <c r="G257" s="4" t="str">
        <f>IF(Jugadores!B257="","",Jugadores!A257)</f>
        <v>Club América</v>
      </c>
      <c r="H257" s="4">
        <f>IF(F257="","",SUMIF('Estadísticas Jugadores'!$F$2:$F$7001,F257,'Estadísticas Jugadores'!$I$2:$I$7001))</f>
        <v>0</v>
      </c>
      <c r="I257" s="4">
        <f t="shared" si="18"/>
        <v>-2.5699999999999998E-5</v>
      </c>
      <c r="J257" s="4">
        <f t="shared" si="19"/>
        <v>265</v>
      </c>
    </row>
    <row r="258" spans="1:10" ht="15" customHeight="1" x14ac:dyDescent="0.25">
      <c r="A258" s="8">
        <f>IF(COUNT($J$2:$J$1501)&gt;=257,257,"")</f>
        <v>257</v>
      </c>
      <c r="B258" s="8" t="str">
        <f t="shared" ref="B258:B321" si="20">IF($A258="","",INDEX($F$2:$F$1501,MATCH($A258,$J$2:$J$1501,0)))</f>
        <v>dos Santos Jonathan</v>
      </c>
      <c r="C258" s="8" t="str">
        <f t="shared" ref="C258:C321" si="21">IF($A258="","",INDEX($G$2:$G$1501,MATCH($A258,$J$2:$J$1501,0)))</f>
        <v>Club América</v>
      </c>
      <c r="D258" s="8">
        <f t="shared" ref="D258:D321" si="22">IF($A258="","",INDEX($H$2:$H$1501,MATCH($A258,$J$2:$J$1501,0)))</f>
        <v>0</v>
      </c>
      <c r="F258" s="4" t="str">
        <f>IF(Jugadores!B258="","",Jugadores!B258)</f>
        <v>Gutierrez Daniel</v>
      </c>
      <c r="G258" s="4" t="str">
        <f>IF(Jugadores!B258="","",Jugadores!A258)</f>
        <v>Puebla</v>
      </c>
      <c r="H258" s="4">
        <f>IF(F258="","",SUMIF('Estadísticas Jugadores'!$F$2:$F$7001,F258,'Estadísticas Jugadores'!$I$2:$I$7001))</f>
        <v>0</v>
      </c>
      <c r="I258" s="4">
        <f t="shared" ref="I258:I321" si="23">IF(F258="","",H258*1000-ROW()*0.0000001)</f>
        <v>-2.58E-5</v>
      </c>
      <c r="J258" s="4">
        <f t="shared" ref="J258:J321" si="24">IF(F258="","",RANK(I258,$I$2:$I$1501))</f>
        <v>266</v>
      </c>
    </row>
    <row r="259" spans="1:10" ht="15" customHeight="1" x14ac:dyDescent="0.25">
      <c r="A259" s="8">
        <f>IF(COUNT($J$2:$J$1501)&gt;=258,258,"")</f>
        <v>258</v>
      </c>
      <c r="B259" s="8" t="str">
        <f t="shared" si="20"/>
        <v>Cárdenas Alejandro</v>
      </c>
      <c r="C259" s="8" t="str">
        <f t="shared" si="21"/>
        <v>Club América</v>
      </c>
      <c r="D259" s="8">
        <f t="shared" si="22"/>
        <v>0</v>
      </c>
      <c r="F259" s="4" t="str">
        <f>IF(Jugadores!B259="","",Jugadores!B259)</f>
        <v>Rodríguez Jesus Ivan</v>
      </c>
      <c r="G259" s="4" t="str">
        <f>IF(Jugadores!B259="","",Jugadores!A259)</f>
        <v>Puebla</v>
      </c>
      <c r="H259" s="4">
        <f>IF(F259="","",SUMIF('Estadísticas Jugadores'!$F$2:$F$7001,F259,'Estadísticas Jugadores'!$I$2:$I$7001))</f>
        <v>0</v>
      </c>
      <c r="I259" s="4">
        <f t="shared" si="23"/>
        <v>-2.5899999999999999E-5</v>
      </c>
      <c r="J259" s="4">
        <f t="shared" si="24"/>
        <v>267</v>
      </c>
    </row>
    <row r="260" spans="1:10" ht="15" customHeight="1" x14ac:dyDescent="0.25">
      <c r="A260" s="8">
        <f>IF(COUNT($J$2:$J$1501)&gt;=259,259,"")</f>
        <v>259</v>
      </c>
      <c r="B260" s="8" t="str">
        <f t="shared" si="20"/>
        <v>Davila Victor</v>
      </c>
      <c r="C260" s="8" t="str">
        <f t="shared" si="21"/>
        <v>Club América</v>
      </c>
      <c r="D260" s="8">
        <f t="shared" si="22"/>
        <v>0</v>
      </c>
      <c r="F260" s="4" t="str">
        <f>IF(Jugadores!B260="","",Jugadores!B260)</f>
        <v>Almada Facundo Ezequiel</v>
      </c>
      <c r="G260" s="4" t="str">
        <f>IF(Jugadores!B260="","",Jugadores!A260)</f>
        <v>Puebla</v>
      </c>
      <c r="H260" s="4">
        <f>IF(F260="","",SUMIF('Estadísticas Jugadores'!$F$2:$F$7001,F260,'Estadísticas Jugadores'!$I$2:$I$7001))</f>
        <v>0</v>
      </c>
      <c r="I260" s="4">
        <f t="shared" si="23"/>
        <v>-2.5999999999999998E-5</v>
      </c>
      <c r="J260" s="4">
        <f t="shared" si="24"/>
        <v>268</v>
      </c>
    </row>
    <row r="261" spans="1:10" ht="15" customHeight="1" x14ac:dyDescent="0.25">
      <c r="A261" s="8">
        <f>IF(COUNT($J$2:$J$1501)&gt;=260,260,"")</f>
        <v>260</v>
      </c>
      <c r="B261" s="8" t="str">
        <f t="shared" si="20"/>
        <v>Lozano Esteban</v>
      </c>
      <c r="C261" s="8" t="str">
        <f t="shared" si="21"/>
        <v>Club América</v>
      </c>
      <c r="D261" s="8">
        <f t="shared" si="22"/>
        <v>0</v>
      </c>
      <c r="F261" s="4" t="str">
        <f>IF(Jugadores!B261="","",Jugadores!B261)</f>
        <v>Leyva Angel</v>
      </c>
      <c r="G261" s="4" t="str">
        <f>IF(Jugadores!B261="","",Jugadores!A261)</f>
        <v>Puebla</v>
      </c>
      <c r="H261" s="4">
        <f>IF(F261="","",SUMIF('Estadísticas Jugadores'!$F$2:$F$7001,F261,'Estadísticas Jugadores'!$I$2:$I$7001))</f>
        <v>0</v>
      </c>
      <c r="I261" s="4">
        <f t="shared" si="23"/>
        <v>-2.6099999999999997E-5</v>
      </c>
      <c r="J261" s="4">
        <f t="shared" si="24"/>
        <v>269</v>
      </c>
    </row>
    <row r="262" spans="1:10" ht="15" customHeight="1" x14ac:dyDescent="0.25">
      <c r="A262" s="8">
        <f>IF(COUNT($J$2:$J$1501)&gt;=261,261,"")</f>
        <v>261</v>
      </c>
      <c r="B262" s="8" t="str">
        <f t="shared" si="20"/>
        <v>Martin Henry</v>
      </c>
      <c r="C262" s="8" t="str">
        <f t="shared" si="21"/>
        <v>Club América</v>
      </c>
      <c r="D262" s="8">
        <f t="shared" si="22"/>
        <v>0</v>
      </c>
      <c r="F262" s="4" t="str">
        <f>IF(Jugadores!B262="","",Jugadores!B262)</f>
        <v>Moreno Iker</v>
      </c>
      <c r="G262" s="4" t="str">
        <f>IF(Jugadores!B262="","",Jugadores!A262)</f>
        <v>Puebla</v>
      </c>
      <c r="H262" s="4">
        <f>IF(F262="","",SUMIF('Estadísticas Jugadores'!$F$2:$F$7001,F262,'Estadísticas Jugadores'!$I$2:$I$7001))</f>
        <v>0</v>
      </c>
      <c r="I262" s="4">
        <f t="shared" si="23"/>
        <v>-2.62E-5</v>
      </c>
      <c r="J262" s="4">
        <f t="shared" si="24"/>
        <v>270</v>
      </c>
    </row>
    <row r="263" spans="1:10" ht="15" customHeight="1" x14ac:dyDescent="0.25">
      <c r="A263" s="8">
        <f>IF(COUNT($J$2:$J$1501)&gt;=262,262,"")</f>
        <v>262</v>
      </c>
      <c r="B263" s="8" t="str">
        <f t="shared" si="20"/>
        <v>Rodriguez Brian</v>
      </c>
      <c r="C263" s="8" t="str">
        <f t="shared" si="21"/>
        <v>Club América</v>
      </c>
      <c r="D263" s="8">
        <f t="shared" si="22"/>
        <v>0</v>
      </c>
      <c r="F263" s="4" t="str">
        <f>IF(Jugadores!B263="","",Jugadores!B263)</f>
        <v>Navarro Eduardo</v>
      </c>
      <c r="G263" s="4" t="str">
        <f>IF(Jugadores!B263="","",Jugadores!A263)</f>
        <v>Puebla</v>
      </c>
      <c r="H263" s="4">
        <f>IF(F263="","",SUMIF('Estadísticas Jugadores'!$F$2:$F$7001,F263,'Estadísticas Jugadores'!$I$2:$I$7001))</f>
        <v>0</v>
      </c>
      <c r="I263" s="4">
        <f t="shared" si="23"/>
        <v>-2.6299999999999999E-5</v>
      </c>
      <c r="J263" s="4">
        <f t="shared" si="24"/>
        <v>271</v>
      </c>
    </row>
    <row r="264" spans="1:10" ht="15" customHeight="1" x14ac:dyDescent="0.25">
      <c r="A264" s="8">
        <f>IF(COUNT($J$2:$J$1501)&gt;=263,263,"")</f>
        <v>263</v>
      </c>
      <c r="B264" s="8" t="str">
        <f t="shared" si="20"/>
        <v>Salas Patricio</v>
      </c>
      <c r="C264" s="8" t="str">
        <f t="shared" si="21"/>
        <v>Club América</v>
      </c>
      <c r="D264" s="8">
        <f t="shared" si="22"/>
        <v>0</v>
      </c>
      <c r="F264" s="4" t="str">
        <f>IF(Jugadores!B264="","",Jugadores!B264)</f>
        <v>Pachuca Martinez Jose Rodrigo</v>
      </c>
      <c r="G264" s="4" t="str">
        <f>IF(Jugadores!B264="","",Jugadores!A264)</f>
        <v>Puebla</v>
      </c>
      <c r="H264" s="4">
        <f>IF(F264="","",SUMIF('Estadísticas Jugadores'!$F$2:$F$7001,F264,'Estadísticas Jugadores'!$I$2:$I$7001))</f>
        <v>0</v>
      </c>
      <c r="I264" s="4">
        <f t="shared" si="23"/>
        <v>-2.6399999999999998E-5</v>
      </c>
      <c r="J264" s="4">
        <f t="shared" si="24"/>
        <v>272</v>
      </c>
    </row>
    <row r="265" spans="1:10" ht="15" customHeight="1" x14ac:dyDescent="0.25">
      <c r="A265" s="8">
        <f>IF(COUNT($J$2:$J$1501)&gt;=264,264,"")</f>
        <v>264</v>
      </c>
      <c r="B265" s="8" t="str">
        <f t="shared" si="20"/>
        <v>Zendejas Alex</v>
      </c>
      <c r="C265" s="8" t="str">
        <f t="shared" si="21"/>
        <v>Club América</v>
      </c>
      <c r="D265" s="8">
        <f t="shared" si="22"/>
        <v>0</v>
      </c>
      <c r="F265" s="4" t="str">
        <f>IF(Jugadores!B265="","",Jugadores!B265)</f>
        <v>Vargas Juan</v>
      </c>
      <c r="G265" s="4" t="str">
        <f>IF(Jugadores!B265="","",Jugadores!A265)</f>
        <v>Puebla</v>
      </c>
      <c r="H265" s="4">
        <f>IF(F265="","",SUMIF('Estadísticas Jugadores'!$F$2:$F$7001,F265,'Estadísticas Jugadores'!$I$2:$I$7001))</f>
        <v>0</v>
      </c>
      <c r="I265" s="4">
        <f t="shared" si="23"/>
        <v>-2.65E-5</v>
      </c>
      <c r="J265" s="4">
        <f t="shared" si="24"/>
        <v>273</v>
      </c>
    </row>
    <row r="266" spans="1:10" ht="15" customHeight="1" x14ac:dyDescent="0.25">
      <c r="A266" s="8">
        <f>IF(COUNT($J$2:$J$1501)&gt;=265,265,"")</f>
        <v>265</v>
      </c>
      <c r="B266" s="8" t="str">
        <f t="shared" si="20"/>
        <v>Zúñiga Jose</v>
      </c>
      <c r="C266" s="8" t="str">
        <f t="shared" si="21"/>
        <v>Club América</v>
      </c>
      <c r="D266" s="8">
        <f t="shared" si="22"/>
        <v>0</v>
      </c>
      <c r="F266" s="4" t="str">
        <f>IF(Jugadores!B266="","",Jugadores!B266)</f>
        <v>Villa Oscar</v>
      </c>
      <c r="G266" s="4" t="str">
        <f>IF(Jugadores!B266="","",Jugadores!A266)</f>
        <v>Puebla</v>
      </c>
      <c r="H266" s="4">
        <f>IF(F266="","",SUMIF('Estadísticas Jugadores'!$F$2:$F$7001,F266,'Estadísticas Jugadores'!$I$2:$I$7001))</f>
        <v>0</v>
      </c>
      <c r="I266" s="4">
        <f t="shared" si="23"/>
        <v>-2.6599999999999999E-5</v>
      </c>
      <c r="J266" s="4">
        <f t="shared" si="24"/>
        <v>274</v>
      </c>
    </row>
    <row r="267" spans="1:10" ht="15" customHeight="1" x14ac:dyDescent="0.25">
      <c r="A267" s="8">
        <f>IF(COUNT($J$2:$J$1501)&gt;=266,266,"")</f>
        <v>266</v>
      </c>
      <c r="B267" s="8" t="str">
        <f t="shared" si="20"/>
        <v>Gutierrez Daniel</v>
      </c>
      <c r="C267" s="8" t="str">
        <f t="shared" si="21"/>
        <v>Puebla</v>
      </c>
      <c r="D267" s="8">
        <f t="shared" si="22"/>
        <v>0</v>
      </c>
      <c r="F267" s="4" t="str">
        <f>IF(Jugadores!B267="","",Jugadores!B267)</f>
        <v>Baltazar Carlos</v>
      </c>
      <c r="G267" s="4" t="str">
        <f>IF(Jugadores!B267="","",Jugadores!A267)</f>
        <v>Puebla</v>
      </c>
      <c r="H267" s="4">
        <f>IF(F267="","",SUMIF('Estadísticas Jugadores'!$F$2:$F$7001,F267,'Estadísticas Jugadores'!$I$2:$I$7001))</f>
        <v>0</v>
      </c>
      <c r="I267" s="4">
        <f t="shared" si="23"/>
        <v>-2.6699999999999998E-5</v>
      </c>
      <c r="J267" s="4">
        <f t="shared" si="24"/>
        <v>275</v>
      </c>
    </row>
    <row r="268" spans="1:10" ht="15" customHeight="1" x14ac:dyDescent="0.25">
      <c r="A268" s="8">
        <f>IF(COUNT($J$2:$J$1501)&gt;=267,267,"")</f>
        <v>267</v>
      </c>
      <c r="B268" s="8" t="str">
        <f t="shared" si="20"/>
        <v>Rodríguez Jesus Ivan</v>
      </c>
      <c r="C268" s="8" t="str">
        <f t="shared" si="21"/>
        <v>Puebla</v>
      </c>
      <c r="D268" s="8">
        <f t="shared" si="22"/>
        <v>0</v>
      </c>
      <c r="F268" s="4" t="str">
        <f>IF(Jugadores!B268="","",Jugadores!B268)</f>
        <v>Castillo Raul</v>
      </c>
      <c r="G268" s="4" t="str">
        <f>IF(Jugadores!B268="","",Jugadores!A268)</f>
        <v>Puebla</v>
      </c>
      <c r="H268" s="4">
        <f>IF(F268="","",SUMIF('Estadísticas Jugadores'!$F$2:$F$7001,F268,'Estadísticas Jugadores'!$I$2:$I$7001))</f>
        <v>0</v>
      </c>
      <c r="I268" s="4">
        <f t="shared" si="23"/>
        <v>-2.6799999999999998E-5</v>
      </c>
      <c r="J268" s="4">
        <f t="shared" si="24"/>
        <v>276</v>
      </c>
    </row>
    <row r="269" spans="1:10" ht="15" customHeight="1" x14ac:dyDescent="0.25">
      <c r="A269" s="8">
        <f>IF(COUNT($J$2:$J$1501)&gt;=268,268,"")</f>
        <v>268</v>
      </c>
      <c r="B269" s="8" t="str">
        <f t="shared" si="20"/>
        <v>Almada Facundo Ezequiel</v>
      </c>
      <c r="C269" s="8" t="str">
        <f t="shared" si="21"/>
        <v>Puebla</v>
      </c>
      <c r="D269" s="8">
        <f t="shared" si="22"/>
        <v>0</v>
      </c>
      <c r="F269" s="4" t="str">
        <f>IF(Jugadores!B269="","",Jugadores!B269)</f>
        <v>Gonzalez Owen</v>
      </c>
      <c r="G269" s="4" t="str">
        <f>IF(Jugadores!B269="","",Jugadores!A269)</f>
        <v>Puebla</v>
      </c>
      <c r="H269" s="4">
        <f>IF(F269="","",SUMIF('Estadísticas Jugadores'!$F$2:$F$7001,F269,'Estadísticas Jugadores'!$I$2:$I$7001))</f>
        <v>0</v>
      </c>
      <c r="I269" s="4">
        <f t="shared" si="23"/>
        <v>-2.69E-5</v>
      </c>
      <c r="J269" s="4">
        <f t="shared" si="24"/>
        <v>277</v>
      </c>
    </row>
    <row r="270" spans="1:10" ht="15" customHeight="1" x14ac:dyDescent="0.25">
      <c r="A270" s="8">
        <f>IF(COUNT($J$2:$J$1501)&gt;=269,269,"")</f>
        <v>269</v>
      </c>
      <c r="B270" s="8" t="str">
        <f t="shared" si="20"/>
        <v>Leyva Angel</v>
      </c>
      <c r="C270" s="8" t="str">
        <f t="shared" si="21"/>
        <v>Puebla</v>
      </c>
      <c r="D270" s="8">
        <f t="shared" si="22"/>
        <v>0</v>
      </c>
      <c r="F270" s="4" t="str">
        <f>IF(Jugadores!B270="","",Jugadores!B270)</f>
        <v>Herrera Alberto</v>
      </c>
      <c r="G270" s="4" t="str">
        <f>IF(Jugadores!B270="","",Jugadores!A270)</f>
        <v>Puebla</v>
      </c>
      <c r="H270" s="4">
        <f>IF(F270="","",SUMIF('Estadísticas Jugadores'!$F$2:$F$7001,F270,'Estadísticas Jugadores'!$I$2:$I$7001))</f>
        <v>0</v>
      </c>
      <c r="I270" s="4">
        <f t="shared" si="23"/>
        <v>-2.6999999999999999E-5</v>
      </c>
      <c r="J270" s="4">
        <f t="shared" si="24"/>
        <v>278</v>
      </c>
    </row>
    <row r="271" spans="1:10" ht="15" customHeight="1" x14ac:dyDescent="0.25">
      <c r="A271" s="8">
        <f>IF(COUNT($J$2:$J$1501)&gt;=270,270,"")</f>
        <v>270</v>
      </c>
      <c r="B271" s="8" t="str">
        <f t="shared" si="20"/>
        <v>Moreno Iker</v>
      </c>
      <c r="C271" s="8" t="str">
        <f t="shared" si="21"/>
        <v>Puebla</v>
      </c>
      <c r="D271" s="8">
        <f t="shared" si="22"/>
        <v>0</v>
      </c>
      <c r="F271" s="4" t="str">
        <f>IF(Jugadores!B271="","",Jugadores!B271)</f>
        <v>Lucas Camilo</v>
      </c>
      <c r="G271" s="4" t="str">
        <f>IF(Jugadores!B271="","",Jugadores!A271)</f>
        <v>Puebla</v>
      </c>
      <c r="H271" s="4">
        <f>IF(F271="","",SUMIF('Estadísticas Jugadores'!$F$2:$F$7001,F271,'Estadísticas Jugadores'!$I$2:$I$7001))</f>
        <v>0</v>
      </c>
      <c r="I271" s="4">
        <f t="shared" si="23"/>
        <v>-2.7099999999999998E-5</v>
      </c>
      <c r="J271" s="4">
        <f t="shared" si="24"/>
        <v>279</v>
      </c>
    </row>
    <row r="272" spans="1:10" ht="15" customHeight="1" x14ac:dyDescent="0.25">
      <c r="A272" s="8">
        <f>IF(COUNT($J$2:$J$1501)&gt;=271,271,"")</f>
        <v>271</v>
      </c>
      <c r="B272" s="8" t="str">
        <f t="shared" si="20"/>
        <v>Navarro Eduardo</v>
      </c>
      <c r="C272" s="8" t="str">
        <f t="shared" si="21"/>
        <v>Puebla</v>
      </c>
      <c r="D272" s="8">
        <f t="shared" si="22"/>
        <v>0</v>
      </c>
      <c r="F272" s="4" t="str">
        <f>IF(Jugadores!B272="","",Jugadores!B272)</f>
        <v>Organista Orozco Alejandro</v>
      </c>
      <c r="G272" s="4" t="str">
        <f>IF(Jugadores!B272="","",Jugadores!A272)</f>
        <v>Puebla</v>
      </c>
      <c r="H272" s="4">
        <f>IF(F272="","",SUMIF('Estadísticas Jugadores'!$F$2:$F$7001,F272,'Estadísticas Jugadores'!$I$2:$I$7001))</f>
        <v>0</v>
      </c>
      <c r="I272" s="4">
        <f t="shared" si="23"/>
        <v>-2.7199999999999997E-5</v>
      </c>
      <c r="J272" s="4">
        <f t="shared" si="24"/>
        <v>280</v>
      </c>
    </row>
    <row r="273" spans="1:10" ht="15" customHeight="1" x14ac:dyDescent="0.25">
      <c r="A273" s="8">
        <f>IF(COUNT($J$2:$J$1501)&gt;=272,272,"")</f>
        <v>272</v>
      </c>
      <c r="B273" s="8" t="str">
        <f t="shared" si="20"/>
        <v>Pachuca Martinez Jose Rodrigo</v>
      </c>
      <c r="C273" s="8" t="str">
        <f t="shared" si="21"/>
        <v>Puebla</v>
      </c>
      <c r="D273" s="8">
        <f t="shared" si="22"/>
        <v>0</v>
      </c>
      <c r="F273" s="4" t="str">
        <f>IF(Jugadores!B273="","",Jugadores!B273)</f>
        <v>Ramirez Alonso</v>
      </c>
      <c r="G273" s="4" t="str">
        <f>IF(Jugadores!B273="","",Jugadores!A273)</f>
        <v>Puebla</v>
      </c>
      <c r="H273" s="4">
        <f>IF(F273="","",SUMIF('Estadísticas Jugadores'!$F$2:$F$7001,F273,'Estadísticas Jugadores'!$I$2:$I$7001))</f>
        <v>0</v>
      </c>
      <c r="I273" s="4">
        <f t="shared" si="23"/>
        <v>-2.73E-5</v>
      </c>
      <c r="J273" s="4">
        <f t="shared" si="24"/>
        <v>281</v>
      </c>
    </row>
    <row r="274" spans="1:10" ht="15" customHeight="1" x14ac:dyDescent="0.25">
      <c r="A274" s="8">
        <f>IF(COUNT($J$2:$J$1501)&gt;=273,273,"")</f>
        <v>273</v>
      </c>
      <c r="B274" s="8" t="str">
        <f t="shared" si="20"/>
        <v>Vargas Juan</v>
      </c>
      <c r="C274" s="8" t="str">
        <f t="shared" si="21"/>
        <v>Puebla</v>
      </c>
      <c r="D274" s="8">
        <f t="shared" si="22"/>
        <v>0</v>
      </c>
      <c r="F274" s="4" t="str">
        <f>IF(Jugadores!B274="","",Jugadores!B274)</f>
        <v>Sanabria Sergio</v>
      </c>
      <c r="G274" s="4" t="str">
        <f>IF(Jugadores!B274="","",Jugadores!A274)</f>
        <v>Puebla</v>
      </c>
      <c r="H274" s="4">
        <f>IF(F274="","",SUMIF('Estadísticas Jugadores'!$F$2:$F$7001,F274,'Estadísticas Jugadores'!$I$2:$I$7001))</f>
        <v>0</v>
      </c>
      <c r="I274" s="4">
        <f t="shared" si="23"/>
        <v>-2.7399999999999999E-5</v>
      </c>
      <c r="J274" s="4">
        <f t="shared" si="24"/>
        <v>282</v>
      </c>
    </row>
    <row r="275" spans="1:10" ht="15" customHeight="1" x14ac:dyDescent="0.25">
      <c r="A275" s="8">
        <f>IF(COUNT($J$2:$J$1501)&gt;=274,274,"")</f>
        <v>274</v>
      </c>
      <c r="B275" s="8" t="str">
        <f t="shared" si="20"/>
        <v>Villa Oscar</v>
      </c>
      <c r="C275" s="8" t="str">
        <f t="shared" si="21"/>
        <v>Puebla</v>
      </c>
      <c r="D275" s="8">
        <f t="shared" si="22"/>
        <v>0</v>
      </c>
      <c r="F275" s="4" t="str">
        <f>IF(Jugadores!B275="","",Jugadores!B275)</f>
        <v>Tomas Mathias</v>
      </c>
      <c r="G275" s="4" t="str">
        <f>IF(Jugadores!B275="","",Jugadores!A275)</f>
        <v>Puebla</v>
      </c>
      <c r="H275" s="4">
        <f>IF(F275="","",SUMIF('Estadísticas Jugadores'!$F$2:$F$7001,F275,'Estadísticas Jugadores'!$I$2:$I$7001))</f>
        <v>0</v>
      </c>
      <c r="I275" s="4">
        <f t="shared" si="23"/>
        <v>-2.7499999999999998E-5</v>
      </c>
      <c r="J275" s="4">
        <f t="shared" si="24"/>
        <v>283</v>
      </c>
    </row>
    <row r="276" spans="1:10" ht="15" customHeight="1" x14ac:dyDescent="0.25">
      <c r="A276" s="8">
        <f>IF(COUNT($J$2:$J$1501)&gt;=275,275,"")</f>
        <v>275</v>
      </c>
      <c r="B276" s="8" t="str">
        <f t="shared" si="20"/>
        <v>Baltazar Carlos</v>
      </c>
      <c r="C276" s="8" t="str">
        <f t="shared" si="21"/>
        <v>Puebla</v>
      </c>
      <c r="D276" s="8">
        <f t="shared" si="22"/>
        <v>0</v>
      </c>
      <c r="F276" s="4" t="str">
        <f>IF(Jugadores!B276="","",Jugadores!B276)</f>
        <v>de la Rosa Alvaro</v>
      </c>
      <c r="G276" s="4" t="str">
        <f>IF(Jugadores!B276="","",Jugadores!A276)</f>
        <v>Puebla</v>
      </c>
      <c r="H276" s="4">
        <f>IF(F276="","",SUMIF('Estadísticas Jugadores'!$F$2:$F$7001,F276,'Estadísticas Jugadores'!$I$2:$I$7001))</f>
        <v>0</v>
      </c>
      <c r="I276" s="4">
        <f t="shared" si="23"/>
        <v>-2.76E-5</v>
      </c>
      <c r="J276" s="4">
        <f t="shared" si="24"/>
        <v>284</v>
      </c>
    </row>
    <row r="277" spans="1:10" ht="15" customHeight="1" x14ac:dyDescent="0.25">
      <c r="A277" s="8">
        <f>IF(COUNT($J$2:$J$1501)&gt;=276,276,"")</f>
        <v>276</v>
      </c>
      <c r="B277" s="8" t="str">
        <f t="shared" si="20"/>
        <v>Castillo Raul</v>
      </c>
      <c r="C277" s="8" t="str">
        <f t="shared" si="21"/>
        <v>Puebla</v>
      </c>
      <c r="D277" s="8">
        <f t="shared" si="22"/>
        <v>0</v>
      </c>
      <c r="F277" s="4" t="str">
        <f>IF(Jugadores!B277="","",Jugadores!B277)</f>
        <v>Garnica Brayan</v>
      </c>
      <c r="G277" s="4" t="str">
        <f>IF(Jugadores!B277="","",Jugadores!A277)</f>
        <v>Puebla</v>
      </c>
      <c r="H277" s="4">
        <f>IF(F277="","",SUMIF('Estadísticas Jugadores'!$F$2:$F$7001,F277,'Estadísticas Jugadores'!$I$2:$I$7001))</f>
        <v>0</v>
      </c>
      <c r="I277" s="4">
        <f t="shared" si="23"/>
        <v>-2.7699999999999999E-5</v>
      </c>
      <c r="J277" s="4">
        <f t="shared" si="24"/>
        <v>285</v>
      </c>
    </row>
    <row r="278" spans="1:10" ht="15" customHeight="1" x14ac:dyDescent="0.25">
      <c r="A278" s="8">
        <f>IF(COUNT($J$2:$J$1501)&gt;=277,277,"")</f>
        <v>277</v>
      </c>
      <c r="B278" s="8" t="str">
        <f t="shared" si="20"/>
        <v>Gonzalez Owen</v>
      </c>
      <c r="C278" s="8" t="str">
        <f t="shared" si="21"/>
        <v>Puebla</v>
      </c>
      <c r="D278" s="8">
        <f t="shared" si="22"/>
        <v>0</v>
      </c>
      <c r="F278" s="4" t="str">
        <f>IF(Jugadores!B278="","",Jugadores!B278)</f>
        <v>Gomez Emiliano</v>
      </c>
      <c r="G278" s="4" t="str">
        <f>IF(Jugadores!B278="","",Jugadores!A278)</f>
        <v>Puebla</v>
      </c>
      <c r="H278" s="4">
        <f>IF(F278="","",SUMIF('Estadísticas Jugadores'!$F$2:$F$7001,F278,'Estadísticas Jugadores'!$I$2:$I$7001))</f>
        <v>0</v>
      </c>
      <c r="I278" s="4">
        <f t="shared" si="23"/>
        <v>-2.7799999999999998E-5</v>
      </c>
      <c r="J278" s="4">
        <f t="shared" si="24"/>
        <v>286</v>
      </c>
    </row>
    <row r="279" spans="1:10" ht="15" customHeight="1" x14ac:dyDescent="0.25">
      <c r="A279" s="8">
        <f>IF(COUNT($J$2:$J$1501)&gt;=278,278,"")</f>
        <v>278</v>
      </c>
      <c r="B279" s="8" t="str">
        <f t="shared" si="20"/>
        <v>Herrera Alberto</v>
      </c>
      <c r="C279" s="8" t="str">
        <f t="shared" si="21"/>
        <v>Puebla</v>
      </c>
      <c r="D279" s="8">
        <f t="shared" si="22"/>
        <v>0</v>
      </c>
      <c r="F279" s="4" t="str">
        <f>IF(Jugadores!B279="","",Jugadores!B279)</f>
        <v>Hernández Luifer</v>
      </c>
      <c r="G279" s="4" t="str">
        <f>IF(Jugadores!B279="","",Jugadores!A279)</f>
        <v>Puebla</v>
      </c>
      <c r="H279" s="4">
        <f>IF(F279="","",SUMIF('Estadísticas Jugadores'!$F$2:$F$7001,F279,'Estadísticas Jugadores'!$I$2:$I$7001))</f>
        <v>0</v>
      </c>
      <c r="I279" s="4">
        <f t="shared" si="23"/>
        <v>-2.7899999999999997E-5</v>
      </c>
      <c r="J279" s="4">
        <f t="shared" si="24"/>
        <v>287</v>
      </c>
    </row>
    <row r="280" spans="1:10" ht="15" customHeight="1" x14ac:dyDescent="0.25">
      <c r="A280" s="8">
        <f>IF(COUNT($J$2:$J$1501)&gt;=279,279,"")</f>
        <v>279</v>
      </c>
      <c r="B280" s="8" t="str">
        <f t="shared" si="20"/>
        <v>Lucas Camilo</v>
      </c>
      <c r="C280" s="8" t="str">
        <f t="shared" si="21"/>
        <v>Puebla</v>
      </c>
      <c r="D280" s="8">
        <f t="shared" si="22"/>
        <v>0</v>
      </c>
      <c r="F280" s="4" t="str">
        <f>IF(Jugadores!B280="","",Jugadores!B280)</f>
        <v>Maestro Ignacio</v>
      </c>
      <c r="G280" s="4" t="str">
        <f>IF(Jugadores!B280="","",Jugadores!A280)</f>
        <v>Puebla</v>
      </c>
      <c r="H280" s="4">
        <f>IF(F280="","",SUMIF('Estadísticas Jugadores'!$F$2:$F$7001,F280,'Estadísticas Jugadores'!$I$2:$I$7001))</f>
        <v>1</v>
      </c>
      <c r="I280" s="4">
        <f t="shared" si="23"/>
        <v>999.99997199999996</v>
      </c>
      <c r="J280" s="4">
        <f t="shared" si="24"/>
        <v>17</v>
      </c>
    </row>
    <row r="281" spans="1:10" ht="15" customHeight="1" x14ac:dyDescent="0.25">
      <c r="A281" s="8">
        <f>IF(COUNT($J$2:$J$1501)&gt;=280,280,"")</f>
        <v>280</v>
      </c>
      <c r="B281" s="8" t="str">
        <f t="shared" si="20"/>
        <v>Organista Orozco Alejandro</v>
      </c>
      <c r="C281" s="8" t="str">
        <f t="shared" si="21"/>
        <v>Puebla</v>
      </c>
      <c r="D281" s="8">
        <f t="shared" si="22"/>
        <v>0</v>
      </c>
      <c r="F281" s="4" t="str">
        <f>IF(Jugadores!B281="","",Jugadores!B281)</f>
        <v>Monarrez Ochoa Fernando</v>
      </c>
      <c r="G281" s="4" t="str">
        <f>IF(Jugadores!B281="","",Jugadores!A281)</f>
        <v>Puebla</v>
      </c>
      <c r="H281" s="4">
        <f>IF(F281="","",SUMIF('Estadísticas Jugadores'!$F$2:$F$7001,F281,'Estadísticas Jugadores'!$I$2:$I$7001))</f>
        <v>0</v>
      </c>
      <c r="I281" s="4">
        <f t="shared" si="23"/>
        <v>-2.8099999999999999E-5</v>
      </c>
      <c r="J281" s="4">
        <f t="shared" si="24"/>
        <v>288</v>
      </c>
    </row>
    <row r="282" spans="1:10" ht="15" customHeight="1" x14ac:dyDescent="0.25">
      <c r="A282" s="8">
        <f>IF(COUNT($J$2:$J$1501)&gt;=281,281,"")</f>
        <v>281</v>
      </c>
      <c r="B282" s="8" t="str">
        <f t="shared" si="20"/>
        <v>Ramirez Alonso</v>
      </c>
      <c r="C282" s="8" t="str">
        <f t="shared" si="21"/>
        <v>Puebla</v>
      </c>
      <c r="D282" s="8">
        <f t="shared" si="22"/>
        <v>0</v>
      </c>
      <c r="F282" s="4" t="str">
        <f>IF(Jugadores!B282="","",Jugadores!B282)</f>
        <v>Moreno Villegas Omar Fernando</v>
      </c>
      <c r="G282" s="4" t="str">
        <f>IF(Jugadores!B282="","",Jugadores!A282)</f>
        <v>Puebla</v>
      </c>
      <c r="H282" s="4">
        <f>IF(F282="","",SUMIF('Estadísticas Jugadores'!$F$2:$F$7001,F282,'Estadísticas Jugadores'!$I$2:$I$7001))</f>
        <v>0</v>
      </c>
      <c r="I282" s="4">
        <f t="shared" si="23"/>
        <v>-2.8199999999999998E-5</v>
      </c>
      <c r="J282" s="4">
        <f t="shared" si="24"/>
        <v>289</v>
      </c>
    </row>
    <row r="283" spans="1:10" ht="15" customHeight="1" x14ac:dyDescent="0.25">
      <c r="A283" s="8">
        <f>IF(COUNT($J$2:$J$1501)&gt;=282,282,"")</f>
        <v>282</v>
      </c>
      <c r="B283" s="8" t="str">
        <f t="shared" si="20"/>
        <v>Sanabria Sergio</v>
      </c>
      <c r="C283" s="8" t="str">
        <f t="shared" si="21"/>
        <v>Puebla</v>
      </c>
      <c r="D283" s="8">
        <f t="shared" si="22"/>
        <v>0</v>
      </c>
      <c r="F283" s="4" t="str">
        <f>IF(Jugadores!B283="","",Jugadores!B283)</f>
        <v>Mustre Eduardo</v>
      </c>
      <c r="G283" s="4" t="str">
        <f>IF(Jugadores!B283="","",Jugadores!A283)</f>
        <v>Puebla</v>
      </c>
      <c r="H283" s="4">
        <f>IF(F283="","",SUMIF('Estadísticas Jugadores'!$F$2:$F$7001,F283,'Estadísticas Jugadores'!$I$2:$I$7001))</f>
        <v>0</v>
      </c>
      <c r="I283" s="4">
        <f t="shared" si="23"/>
        <v>-2.83E-5</v>
      </c>
      <c r="J283" s="4">
        <f t="shared" si="24"/>
        <v>290</v>
      </c>
    </row>
    <row r="284" spans="1:10" ht="15" customHeight="1" x14ac:dyDescent="0.25">
      <c r="A284" s="8">
        <f>IF(COUNT($J$2:$J$1501)&gt;=283,283,"")</f>
        <v>283</v>
      </c>
      <c r="B284" s="8" t="str">
        <f t="shared" si="20"/>
        <v>Tomas Mathias</v>
      </c>
      <c r="C284" s="8" t="str">
        <f t="shared" si="21"/>
        <v>Puebla</v>
      </c>
      <c r="D284" s="8">
        <f t="shared" si="22"/>
        <v>0</v>
      </c>
      <c r="F284" s="4" t="str">
        <f>IF(Jugadores!B284="","",Jugadores!B284)</f>
        <v>Perez Arez</v>
      </c>
      <c r="G284" s="4" t="str">
        <f>IF(Jugadores!B284="","",Jugadores!A284)</f>
        <v>Puebla</v>
      </c>
      <c r="H284" s="4">
        <f>IF(F284="","",SUMIF('Estadísticas Jugadores'!$F$2:$F$7001,F284,'Estadísticas Jugadores'!$I$2:$I$7001))</f>
        <v>0</v>
      </c>
      <c r="I284" s="4">
        <f t="shared" si="23"/>
        <v>-2.8399999999999999E-5</v>
      </c>
      <c r="J284" s="4">
        <f t="shared" si="24"/>
        <v>291</v>
      </c>
    </row>
    <row r="285" spans="1:10" ht="15" customHeight="1" x14ac:dyDescent="0.25">
      <c r="A285" s="8">
        <f>IF(COUNT($J$2:$J$1501)&gt;=284,284,"")</f>
        <v>284</v>
      </c>
      <c r="B285" s="8" t="str">
        <f t="shared" si="20"/>
        <v>de la Rosa Alvaro</v>
      </c>
      <c r="C285" s="8" t="str">
        <f t="shared" si="21"/>
        <v>Puebla</v>
      </c>
      <c r="D285" s="8">
        <f t="shared" si="22"/>
        <v>0</v>
      </c>
      <c r="F285" s="4" t="str">
        <f>IF(Jugadores!B285="","",Jugadores!B285)</f>
        <v>Velasco Kevin</v>
      </c>
      <c r="G285" s="4" t="str">
        <f>IF(Jugadores!B285="","",Jugadores!A285)</f>
        <v>Puebla</v>
      </c>
      <c r="H285" s="4">
        <f>IF(F285="","",SUMIF('Estadísticas Jugadores'!$F$2:$F$7001,F285,'Estadísticas Jugadores'!$I$2:$I$7001))</f>
        <v>0</v>
      </c>
      <c r="I285" s="4">
        <f t="shared" si="23"/>
        <v>-2.8499999999999998E-5</v>
      </c>
      <c r="J285" s="4">
        <f t="shared" si="24"/>
        <v>292</v>
      </c>
    </row>
    <row r="286" spans="1:10" ht="15" customHeight="1" x14ac:dyDescent="0.25">
      <c r="A286" s="8">
        <f>IF(COUNT($J$2:$J$1501)&gt;=285,285,"")</f>
        <v>285</v>
      </c>
      <c r="B286" s="8" t="str">
        <f t="shared" si="20"/>
        <v>Garnica Brayan</v>
      </c>
      <c r="C286" s="8" t="str">
        <f t="shared" si="21"/>
        <v>Puebla</v>
      </c>
      <c r="D286" s="8">
        <f t="shared" si="22"/>
        <v>0</v>
      </c>
      <c r="F286" s="4" t="str">
        <f>IF(Jugadores!B286="","",Jugadores!B286)</f>
        <v>Acevedo Carlos</v>
      </c>
      <c r="G286" s="4" t="str">
        <f>IF(Jugadores!B286="","",Jugadores!A286)</f>
        <v>Santos Laguna</v>
      </c>
      <c r="H286" s="4">
        <f>IF(F286="","",SUMIF('Estadísticas Jugadores'!$F$2:$F$7001,F286,'Estadísticas Jugadores'!$I$2:$I$7001))</f>
        <v>0</v>
      </c>
      <c r="I286" s="4">
        <f t="shared" si="23"/>
        <v>-2.8599999999999997E-5</v>
      </c>
      <c r="J286" s="4">
        <f t="shared" si="24"/>
        <v>293</v>
      </c>
    </row>
    <row r="287" spans="1:10" ht="15" customHeight="1" x14ac:dyDescent="0.25">
      <c r="A287" s="8">
        <f>IF(COUNT($J$2:$J$1501)&gt;=286,286,"")</f>
        <v>286</v>
      </c>
      <c r="B287" s="8" t="str">
        <f t="shared" si="20"/>
        <v>Gomez Emiliano</v>
      </c>
      <c r="C287" s="8" t="str">
        <f t="shared" si="21"/>
        <v>Puebla</v>
      </c>
      <c r="D287" s="8">
        <f t="shared" si="22"/>
        <v>0</v>
      </c>
      <c r="F287" s="4" t="str">
        <f>IF(Jugadores!B287="","",Jugadores!B287)</f>
        <v>Holguin Hector</v>
      </c>
      <c r="G287" s="4" t="str">
        <f>IF(Jugadores!B287="","",Jugadores!A287)</f>
        <v>Santos Laguna</v>
      </c>
      <c r="H287" s="4">
        <f>IF(F287="","",SUMIF('Estadísticas Jugadores'!$F$2:$F$7001,F287,'Estadísticas Jugadores'!$I$2:$I$7001))</f>
        <v>0</v>
      </c>
      <c r="I287" s="4">
        <f t="shared" si="23"/>
        <v>-2.87E-5</v>
      </c>
      <c r="J287" s="4">
        <f t="shared" si="24"/>
        <v>294</v>
      </c>
    </row>
    <row r="288" spans="1:10" ht="15" customHeight="1" x14ac:dyDescent="0.25">
      <c r="A288" s="8">
        <f>IF(COUNT($J$2:$J$1501)&gt;=287,287,"")</f>
        <v>287</v>
      </c>
      <c r="B288" s="8" t="str">
        <f t="shared" si="20"/>
        <v>Hernández Luifer</v>
      </c>
      <c r="C288" s="8" t="str">
        <f t="shared" si="21"/>
        <v>Puebla</v>
      </c>
      <c r="D288" s="8">
        <f t="shared" si="22"/>
        <v>0</v>
      </c>
      <c r="F288" s="4" t="str">
        <f>IF(Jugadores!B288="","",Jugadores!B288)</f>
        <v>Abella Jose</v>
      </c>
      <c r="G288" s="4" t="str">
        <f>IF(Jugadores!B288="","",Jugadores!A288)</f>
        <v>Santos Laguna</v>
      </c>
      <c r="H288" s="4">
        <f>IF(F288="","",SUMIF('Estadísticas Jugadores'!$F$2:$F$7001,F288,'Estadísticas Jugadores'!$I$2:$I$7001))</f>
        <v>0</v>
      </c>
      <c r="I288" s="4">
        <f t="shared" si="23"/>
        <v>-2.8799999999999999E-5</v>
      </c>
      <c r="J288" s="4">
        <f t="shared" si="24"/>
        <v>295</v>
      </c>
    </row>
    <row r="289" spans="1:10" ht="15" customHeight="1" x14ac:dyDescent="0.25">
      <c r="A289" s="8">
        <f>IF(COUNT($J$2:$J$1501)&gt;=288,288,"")</f>
        <v>288</v>
      </c>
      <c r="B289" s="8" t="str">
        <f t="shared" si="20"/>
        <v>Monarrez Ochoa Fernando</v>
      </c>
      <c r="C289" s="8" t="str">
        <f t="shared" si="21"/>
        <v>Puebla</v>
      </c>
      <c r="D289" s="8">
        <f t="shared" si="22"/>
        <v>0</v>
      </c>
      <c r="F289" s="4" t="str">
        <f>IF(Jugadores!B289="","",Jugadores!B289)</f>
        <v>Amione Bruno</v>
      </c>
      <c r="G289" s="4" t="str">
        <f>IF(Jugadores!B289="","",Jugadores!A289)</f>
        <v>Santos Laguna</v>
      </c>
      <c r="H289" s="4">
        <f>IF(F289="","",SUMIF('Estadísticas Jugadores'!$F$2:$F$7001,F289,'Estadísticas Jugadores'!$I$2:$I$7001))</f>
        <v>0</v>
      </c>
      <c r="I289" s="4">
        <f t="shared" si="23"/>
        <v>-2.8899999999999998E-5</v>
      </c>
      <c r="J289" s="4">
        <f t="shared" si="24"/>
        <v>296</v>
      </c>
    </row>
    <row r="290" spans="1:10" ht="15" customHeight="1" x14ac:dyDescent="0.25">
      <c r="A290" s="8">
        <f>IF(COUNT($J$2:$J$1501)&gt;=289,289,"")</f>
        <v>289</v>
      </c>
      <c r="B290" s="8" t="str">
        <f t="shared" si="20"/>
        <v>Moreno Villegas Omar Fernando</v>
      </c>
      <c r="C290" s="8" t="str">
        <f t="shared" si="21"/>
        <v>Puebla</v>
      </c>
      <c r="D290" s="8">
        <f t="shared" si="22"/>
        <v>0</v>
      </c>
      <c r="F290" s="4" t="str">
        <f>IF(Jugadores!B290="","",Jugadores!B290)</f>
        <v>Cuevas Mauricio</v>
      </c>
      <c r="G290" s="4" t="str">
        <f>IF(Jugadores!B290="","",Jugadores!A290)</f>
        <v>Santos Laguna</v>
      </c>
      <c r="H290" s="4">
        <f>IF(F290="","",SUMIF('Estadísticas Jugadores'!$F$2:$F$7001,F290,'Estadísticas Jugadores'!$I$2:$I$7001))</f>
        <v>0</v>
      </c>
      <c r="I290" s="4">
        <f t="shared" si="23"/>
        <v>-2.9E-5</v>
      </c>
      <c r="J290" s="4">
        <f t="shared" si="24"/>
        <v>297</v>
      </c>
    </row>
    <row r="291" spans="1:10" ht="15" customHeight="1" x14ac:dyDescent="0.25">
      <c r="A291" s="8">
        <f>IF(COUNT($J$2:$J$1501)&gt;=290,290,"")</f>
        <v>290</v>
      </c>
      <c r="B291" s="8" t="str">
        <f t="shared" si="20"/>
        <v>Mustre Eduardo</v>
      </c>
      <c r="C291" s="8" t="str">
        <f t="shared" si="21"/>
        <v>Puebla</v>
      </c>
      <c r="D291" s="8">
        <f t="shared" si="22"/>
        <v>0</v>
      </c>
      <c r="F291" s="4" t="str">
        <f>IF(Jugadores!B291="","",Jugadores!B291)</f>
        <v>Echeverria Emmanuel</v>
      </c>
      <c r="G291" s="4" t="str">
        <f>IF(Jugadores!B291="","",Jugadores!A291)</f>
        <v>Santos Laguna</v>
      </c>
      <c r="H291" s="4">
        <f>IF(F291="","",SUMIF('Estadísticas Jugadores'!$F$2:$F$7001,F291,'Estadísticas Jugadores'!$I$2:$I$7001))</f>
        <v>0</v>
      </c>
      <c r="I291" s="4">
        <f t="shared" si="23"/>
        <v>-2.9099999999999999E-5</v>
      </c>
      <c r="J291" s="4">
        <f t="shared" si="24"/>
        <v>298</v>
      </c>
    </row>
    <row r="292" spans="1:10" ht="15" customHeight="1" x14ac:dyDescent="0.25">
      <c r="A292" s="8">
        <f>IF(COUNT($J$2:$J$1501)&gt;=291,291,"")</f>
        <v>291</v>
      </c>
      <c r="B292" s="8" t="str">
        <f t="shared" si="20"/>
        <v>Perez Arez</v>
      </c>
      <c r="C292" s="8" t="str">
        <f t="shared" si="21"/>
        <v>Puebla</v>
      </c>
      <c r="D292" s="8">
        <f t="shared" si="22"/>
        <v>0</v>
      </c>
      <c r="F292" s="4" t="str">
        <f>IF(Jugadores!B292="","",Jugadores!B292)</f>
        <v>Echilvestre Juan</v>
      </c>
      <c r="G292" s="4" t="str">
        <f>IF(Jugadores!B292="","",Jugadores!A292)</f>
        <v>Santos Laguna</v>
      </c>
      <c r="H292" s="4">
        <f>IF(F292="","",SUMIF('Estadísticas Jugadores'!$F$2:$F$7001,F292,'Estadísticas Jugadores'!$I$2:$I$7001))</f>
        <v>0</v>
      </c>
      <c r="I292" s="4">
        <f t="shared" si="23"/>
        <v>-2.9199999999999998E-5</v>
      </c>
      <c r="J292" s="4">
        <f t="shared" si="24"/>
        <v>299</v>
      </c>
    </row>
    <row r="293" spans="1:10" ht="15" customHeight="1" x14ac:dyDescent="0.25">
      <c r="A293" s="8">
        <f>IF(COUNT($J$2:$J$1501)&gt;=292,292,"")</f>
        <v>292</v>
      </c>
      <c r="B293" s="8" t="str">
        <f t="shared" si="20"/>
        <v>Velasco Kevin</v>
      </c>
      <c r="C293" s="8" t="str">
        <f t="shared" si="21"/>
        <v>Puebla</v>
      </c>
      <c r="D293" s="8">
        <f t="shared" si="22"/>
        <v>0</v>
      </c>
      <c r="F293" s="4" t="str">
        <f>IF(Jugadores!B293="","",Jugadores!B293)</f>
        <v>Orona Zavala Efrain</v>
      </c>
      <c r="G293" s="4" t="str">
        <f>IF(Jugadores!B293="","",Jugadores!A293)</f>
        <v>Santos Laguna</v>
      </c>
      <c r="H293" s="4">
        <f>IF(F293="","",SUMIF('Estadísticas Jugadores'!$F$2:$F$7001,F293,'Estadísticas Jugadores'!$I$2:$I$7001))</f>
        <v>0</v>
      </c>
      <c r="I293" s="4">
        <f t="shared" si="23"/>
        <v>-2.9299999999999997E-5</v>
      </c>
      <c r="J293" s="4">
        <f t="shared" si="24"/>
        <v>300</v>
      </c>
    </row>
    <row r="294" spans="1:10" ht="15" customHeight="1" x14ac:dyDescent="0.25">
      <c r="A294" s="8">
        <f>IF(COUNT($J$2:$J$1501)&gt;=293,293,"")</f>
        <v>293</v>
      </c>
      <c r="B294" s="8" t="str">
        <f t="shared" si="20"/>
        <v>Acevedo Carlos</v>
      </c>
      <c r="C294" s="8" t="str">
        <f t="shared" si="21"/>
        <v>Santos Laguna</v>
      </c>
      <c r="D294" s="8">
        <f t="shared" si="22"/>
        <v>0</v>
      </c>
      <c r="F294" s="4" t="str">
        <f>IF(Jugadores!B294="","",Jugadores!B294)</f>
        <v>Pardo Franco</v>
      </c>
      <c r="G294" s="4" t="str">
        <f>IF(Jugadores!B294="","",Jugadores!A294)</f>
        <v>Santos Laguna</v>
      </c>
      <c r="H294" s="4">
        <f>IF(F294="","",SUMIF('Estadísticas Jugadores'!$F$2:$F$7001,F294,'Estadísticas Jugadores'!$I$2:$I$7001))</f>
        <v>0</v>
      </c>
      <c r="I294" s="4">
        <f t="shared" si="23"/>
        <v>-2.94E-5</v>
      </c>
      <c r="J294" s="4">
        <f t="shared" si="24"/>
        <v>301</v>
      </c>
    </row>
    <row r="295" spans="1:10" ht="15" customHeight="1" x14ac:dyDescent="0.25">
      <c r="A295" s="8">
        <f>IF(COUNT($J$2:$J$1501)&gt;=294,294,"")</f>
        <v>294</v>
      </c>
      <c r="B295" s="8" t="str">
        <f t="shared" si="20"/>
        <v>Holguin Hector</v>
      </c>
      <c r="C295" s="8" t="str">
        <f t="shared" si="21"/>
        <v>Santos Laguna</v>
      </c>
      <c r="D295" s="8">
        <f t="shared" si="22"/>
        <v>0</v>
      </c>
      <c r="F295" s="4" t="str">
        <f>IF(Jugadores!B295="","",Jugadores!B295)</f>
        <v>Perez Jonathan</v>
      </c>
      <c r="G295" s="4" t="str">
        <f>IF(Jugadores!B295="","",Jugadores!A295)</f>
        <v>Santos Laguna</v>
      </c>
      <c r="H295" s="4">
        <f>IF(F295="","",SUMIF('Estadísticas Jugadores'!$F$2:$F$7001,F295,'Estadísticas Jugadores'!$I$2:$I$7001))</f>
        <v>0</v>
      </c>
      <c r="I295" s="4">
        <f t="shared" si="23"/>
        <v>-2.9499999999999999E-5</v>
      </c>
      <c r="J295" s="4">
        <f t="shared" si="24"/>
        <v>302</v>
      </c>
    </row>
    <row r="296" spans="1:10" ht="15" customHeight="1" x14ac:dyDescent="0.25">
      <c r="A296" s="8">
        <f>IF(COUNT($J$2:$J$1501)&gt;=295,295,"")</f>
        <v>295</v>
      </c>
      <c r="B296" s="8" t="str">
        <f t="shared" si="20"/>
        <v>Abella Jose</v>
      </c>
      <c r="C296" s="8" t="str">
        <f t="shared" si="21"/>
        <v>Santos Laguna</v>
      </c>
      <c r="D296" s="8">
        <f t="shared" si="22"/>
        <v>0</v>
      </c>
      <c r="F296" s="4" t="str">
        <f>IF(Jugadores!B296="","",Jugadores!B296)</f>
        <v>Picon Kevin</v>
      </c>
      <c r="G296" s="4" t="str">
        <f>IF(Jugadores!B296="","",Jugadores!A296)</f>
        <v>Santos Laguna</v>
      </c>
      <c r="H296" s="4">
        <f>IF(F296="","",SUMIF('Estadísticas Jugadores'!$F$2:$F$7001,F296,'Estadísticas Jugadores'!$I$2:$I$7001))</f>
        <v>0</v>
      </c>
      <c r="I296" s="4">
        <f t="shared" si="23"/>
        <v>-2.9599999999999998E-5</v>
      </c>
      <c r="J296" s="4">
        <f t="shared" si="24"/>
        <v>303</v>
      </c>
    </row>
    <row r="297" spans="1:10" ht="15" customHeight="1" x14ac:dyDescent="0.25">
      <c r="A297" s="8">
        <f>IF(COUNT($J$2:$J$1501)&gt;=296,296,"")</f>
        <v>296</v>
      </c>
      <c r="B297" s="8" t="str">
        <f t="shared" si="20"/>
        <v>Amione Bruno</v>
      </c>
      <c r="C297" s="8" t="str">
        <f t="shared" si="21"/>
        <v>Santos Laguna</v>
      </c>
      <c r="D297" s="8">
        <f t="shared" si="22"/>
        <v>0</v>
      </c>
      <c r="F297" s="4" t="str">
        <f>IF(Jugadores!B297="","",Jugadores!B297)</f>
        <v>Sanchez Filipe</v>
      </c>
      <c r="G297" s="4" t="str">
        <f>IF(Jugadores!B297="","",Jugadores!A297)</f>
        <v>Santos Laguna</v>
      </c>
      <c r="H297" s="4">
        <f>IF(F297="","",SUMIF('Estadísticas Jugadores'!$F$2:$F$7001,F297,'Estadísticas Jugadores'!$I$2:$I$7001))</f>
        <v>0</v>
      </c>
      <c r="I297" s="4">
        <f t="shared" si="23"/>
        <v>-2.97E-5</v>
      </c>
      <c r="J297" s="4">
        <f t="shared" si="24"/>
        <v>304</v>
      </c>
    </row>
    <row r="298" spans="1:10" ht="15" customHeight="1" x14ac:dyDescent="0.25">
      <c r="A298" s="8">
        <f>IF(COUNT($J$2:$J$1501)&gt;=297,297,"")</f>
        <v>297</v>
      </c>
      <c r="B298" s="8" t="str">
        <f t="shared" si="20"/>
        <v>Cuevas Mauricio</v>
      </c>
      <c r="C298" s="8" t="str">
        <f t="shared" si="21"/>
        <v>Santos Laguna</v>
      </c>
      <c r="D298" s="8">
        <f t="shared" si="22"/>
        <v>0</v>
      </c>
      <c r="F298" s="4" t="str">
        <f>IF(Jugadores!B298="","",Jugadores!B298)</f>
        <v>Bullaude Ezequiel</v>
      </c>
      <c r="G298" s="4" t="str">
        <f>IF(Jugadores!B298="","",Jugadores!A298)</f>
        <v>Santos Laguna</v>
      </c>
      <c r="H298" s="4">
        <f>IF(F298="","",SUMIF('Estadísticas Jugadores'!$F$2:$F$7001,F298,'Estadísticas Jugadores'!$I$2:$I$7001))</f>
        <v>0</v>
      </c>
      <c r="I298" s="4">
        <f t="shared" si="23"/>
        <v>-2.9799999999999999E-5</v>
      </c>
      <c r="J298" s="4">
        <f t="shared" si="24"/>
        <v>305</v>
      </c>
    </row>
    <row r="299" spans="1:10" ht="15" customHeight="1" x14ac:dyDescent="0.25">
      <c r="A299" s="8">
        <f>IF(COUNT($J$2:$J$1501)&gt;=298,298,"")</f>
        <v>298</v>
      </c>
      <c r="B299" s="8" t="str">
        <f t="shared" si="20"/>
        <v>Echeverria Emmanuel</v>
      </c>
      <c r="C299" s="8" t="str">
        <f t="shared" si="21"/>
        <v>Santos Laguna</v>
      </c>
      <c r="D299" s="8">
        <f t="shared" si="22"/>
        <v>0</v>
      </c>
      <c r="F299" s="4" t="str">
        <f>IF(Jugadores!B299="","",Jugadores!B299)</f>
        <v>Cedillo Nelson</v>
      </c>
      <c r="G299" s="4" t="str">
        <f>IF(Jugadores!B299="","",Jugadores!A299)</f>
        <v>Santos Laguna</v>
      </c>
      <c r="H299" s="4">
        <f>IF(F299="","",SUMIF('Estadísticas Jugadores'!$F$2:$F$7001,F299,'Estadísticas Jugadores'!$I$2:$I$7001))</f>
        <v>0</v>
      </c>
      <c r="I299" s="4">
        <f t="shared" si="23"/>
        <v>-2.9899999999999998E-5</v>
      </c>
      <c r="J299" s="4">
        <f t="shared" si="24"/>
        <v>306</v>
      </c>
    </row>
    <row r="300" spans="1:10" ht="15" customHeight="1" x14ac:dyDescent="0.25">
      <c r="A300" s="8">
        <f>IF(COUNT($J$2:$J$1501)&gt;=299,299,"")</f>
        <v>299</v>
      </c>
      <c r="B300" s="8" t="str">
        <f t="shared" si="20"/>
        <v>Echilvestre Juan</v>
      </c>
      <c r="C300" s="8" t="str">
        <f t="shared" si="21"/>
        <v>Santos Laguna</v>
      </c>
      <c r="D300" s="8">
        <f t="shared" si="22"/>
        <v>0</v>
      </c>
      <c r="F300" s="4" t="str">
        <f>IF(Jugadores!B300="","",Jugadores!B300)</f>
        <v>Gomez Luis</v>
      </c>
      <c r="G300" s="4" t="str">
        <f>IF(Jugadores!B300="","",Jugadores!A300)</f>
        <v>Santos Laguna</v>
      </c>
      <c r="H300" s="4">
        <f>IF(F300="","",SUMIF('Estadísticas Jugadores'!$F$2:$F$7001,F300,'Estadísticas Jugadores'!$I$2:$I$7001))</f>
        <v>0</v>
      </c>
      <c r="I300" s="4">
        <f t="shared" si="23"/>
        <v>-2.9999999999999997E-5</v>
      </c>
      <c r="J300" s="4">
        <f t="shared" si="24"/>
        <v>307</v>
      </c>
    </row>
    <row r="301" spans="1:10" ht="15" customHeight="1" x14ac:dyDescent="0.25">
      <c r="A301" s="8">
        <f>IF(COUNT($J$2:$J$1501)&gt;=300,300,"")</f>
        <v>300</v>
      </c>
      <c r="B301" s="8" t="str">
        <f t="shared" si="20"/>
        <v>Orona Zavala Efrain</v>
      </c>
      <c r="C301" s="8" t="str">
        <f t="shared" si="21"/>
        <v>Santos Laguna</v>
      </c>
      <c r="D301" s="8">
        <f t="shared" si="22"/>
        <v>0</v>
      </c>
      <c r="F301" s="4" t="str">
        <f>IF(Jugadores!B301="","",Jugadores!B301)</f>
        <v>Gruezo Carlos</v>
      </c>
      <c r="G301" s="4" t="str">
        <f>IF(Jugadores!B301="","",Jugadores!A301)</f>
        <v>Santos Laguna</v>
      </c>
      <c r="H301" s="4">
        <f>IF(F301="","",SUMIF('Estadísticas Jugadores'!$F$2:$F$7001,F301,'Estadísticas Jugadores'!$I$2:$I$7001))</f>
        <v>0</v>
      </c>
      <c r="I301" s="4">
        <f t="shared" si="23"/>
        <v>-3.01E-5</v>
      </c>
      <c r="J301" s="4">
        <f t="shared" si="24"/>
        <v>308</v>
      </c>
    </row>
    <row r="302" spans="1:10" ht="15" customHeight="1" x14ac:dyDescent="0.25">
      <c r="A302" s="8">
        <f>IF(COUNT($J$2:$J$1501)&gt;=301,301,"")</f>
        <v>301</v>
      </c>
      <c r="B302" s="8" t="str">
        <f t="shared" si="20"/>
        <v>Pardo Franco</v>
      </c>
      <c r="C302" s="8" t="str">
        <f t="shared" si="21"/>
        <v>Santos Laguna</v>
      </c>
      <c r="D302" s="8">
        <f t="shared" si="22"/>
        <v>0</v>
      </c>
      <c r="F302" s="4" t="str">
        <f>IF(Jugadores!B302="","",Jugadores!B302)</f>
        <v>Guemez Javier</v>
      </c>
      <c r="G302" s="4" t="str">
        <f>IF(Jugadores!B302="","",Jugadores!A302)</f>
        <v>Santos Laguna</v>
      </c>
      <c r="H302" s="4">
        <f>IF(F302="","",SUMIF('Estadísticas Jugadores'!$F$2:$F$7001,F302,'Estadísticas Jugadores'!$I$2:$I$7001))</f>
        <v>0</v>
      </c>
      <c r="I302" s="4">
        <f t="shared" si="23"/>
        <v>-3.0199999999999999E-5</v>
      </c>
      <c r="J302" s="4">
        <f t="shared" si="24"/>
        <v>309</v>
      </c>
    </row>
    <row r="303" spans="1:10" ht="15" customHeight="1" x14ac:dyDescent="0.25">
      <c r="A303" s="8">
        <f>IF(COUNT($J$2:$J$1501)&gt;=302,302,"")</f>
        <v>302</v>
      </c>
      <c r="B303" s="8" t="str">
        <f t="shared" si="20"/>
        <v>Perez Jonathan</v>
      </c>
      <c r="C303" s="8" t="str">
        <f t="shared" si="21"/>
        <v>Santos Laguna</v>
      </c>
      <c r="D303" s="8">
        <f t="shared" si="22"/>
        <v>0</v>
      </c>
      <c r="F303" s="4" t="str">
        <f>IF(Jugadores!B303="","",Jugadores!B303)</f>
        <v>López Aldo</v>
      </c>
      <c r="G303" s="4" t="str">
        <f>IF(Jugadores!B303="","",Jugadores!A303)</f>
        <v>Santos Laguna</v>
      </c>
      <c r="H303" s="4">
        <f>IF(F303="","",SUMIF('Estadísticas Jugadores'!$F$2:$F$7001,F303,'Estadísticas Jugadores'!$I$2:$I$7001))</f>
        <v>0</v>
      </c>
      <c r="I303" s="4">
        <f t="shared" si="23"/>
        <v>-3.0299999999999998E-5</v>
      </c>
      <c r="J303" s="4">
        <f t="shared" si="24"/>
        <v>310</v>
      </c>
    </row>
    <row r="304" spans="1:10" ht="15" customHeight="1" x14ac:dyDescent="0.25">
      <c r="A304" s="8">
        <f>IF(COUNT($J$2:$J$1501)&gt;=303,303,"")</f>
        <v>303</v>
      </c>
      <c r="B304" s="8" t="str">
        <f t="shared" si="20"/>
        <v>Picon Kevin</v>
      </c>
      <c r="C304" s="8" t="str">
        <f t="shared" si="21"/>
        <v>Santos Laguna</v>
      </c>
      <c r="D304" s="8">
        <f t="shared" si="22"/>
        <v>0</v>
      </c>
      <c r="F304" s="4" t="str">
        <f>IF(Jugadores!B304="","",Jugadores!B304)</f>
        <v>Mancha Joshua</v>
      </c>
      <c r="G304" s="4" t="str">
        <f>IF(Jugadores!B304="","",Jugadores!A304)</f>
        <v>Santos Laguna</v>
      </c>
      <c r="H304" s="4">
        <f>IF(F304="","",SUMIF('Estadísticas Jugadores'!$F$2:$F$7001,F304,'Estadísticas Jugadores'!$I$2:$I$7001))</f>
        <v>0</v>
      </c>
      <c r="I304" s="4">
        <f t="shared" si="23"/>
        <v>-3.04E-5</v>
      </c>
      <c r="J304" s="4">
        <f t="shared" si="24"/>
        <v>311</v>
      </c>
    </row>
    <row r="305" spans="1:10" ht="15" customHeight="1" x14ac:dyDescent="0.25">
      <c r="A305" s="8">
        <f>IF(COUNT($J$2:$J$1501)&gt;=304,304,"")</f>
        <v>304</v>
      </c>
      <c r="B305" s="8" t="str">
        <f t="shared" si="20"/>
        <v>Sanchez Filipe</v>
      </c>
      <c r="C305" s="8" t="str">
        <f t="shared" si="21"/>
        <v>Santos Laguna</v>
      </c>
      <c r="D305" s="8">
        <f t="shared" si="22"/>
        <v>0</v>
      </c>
      <c r="F305" s="4" t="str">
        <f>IF(Jugadores!B305="","",Jugadores!B305)</f>
        <v>Mariscal Murra Salvador</v>
      </c>
      <c r="G305" s="4" t="str">
        <f>IF(Jugadores!B305="","",Jugadores!A305)</f>
        <v>Santos Laguna</v>
      </c>
      <c r="H305" s="4">
        <f>IF(F305="","",SUMIF('Estadísticas Jugadores'!$F$2:$F$7001,F305,'Estadísticas Jugadores'!$I$2:$I$7001))</f>
        <v>0</v>
      </c>
      <c r="I305" s="4">
        <f t="shared" si="23"/>
        <v>-3.0499999999999999E-5</v>
      </c>
      <c r="J305" s="4">
        <f t="shared" si="24"/>
        <v>312</v>
      </c>
    </row>
    <row r="306" spans="1:10" ht="15" customHeight="1" x14ac:dyDescent="0.25">
      <c r="A306" s="8">
        <f>IF(COUNT($J$2:$J$1501)&gt;=305,305,"")</f>
        <v>305</v>
      </c>
      <c r="B306" s="8" t="str">
        <f t="shared" si="20"/>
        <v>Bullaude Ezequiel</v>
      </c>
      <c r="C306" s="8" t="str">
        <f t="shared" si="21"/>
        <v>Santos Laguna</v>
      </c>
      <c r="D306" s="8">
        <f t="shared" si="22"/>
        <v>0</v>
      </c>
      <c r="F306" s="4" t="str">
        <f>IF(Jugadores!B306="","",Jugadores!B306)</f>
        <v>Ulloa Jose</v>
      </c>
      <c r="G306" s="4" t="str">
        <f>IF(Jugadores!B306="","",Jugadores!A306)</f>
        <v>Santos Laguna</v>
      </c>
      <c r="H306" s="4">
        <f>IF(F306="","",SUMIF('Estadísticas Jugadores'!$F$2:$F$7001,F306,'Estadísticas Jugadores'!$I$2:$I$7001))</f>
        <v>0</v>
      </c>
      <c r="I306" s="4">
        <f t="shared" si="23"/>
        <v>-3.0599999999999998E-5</v>
      </c>
      <c r="J306" s="4">
        <f t="shared" si="24"/>
        <v>313</v>
      </c>
    </row>
    <row r="307" spans="1:10" ht="15" customHeight="1" x14ac:dyDescent="0.25">
      <c r="A307" s="8">
        <f>IF(COUNT($J$2:$J$1501)&gt;=306,306,"")</f>
        <v>306</v>
      </c>
      <c r="B307" s="8" t="str">
        <f t="shared" si="20"/>
        <v>Cedillo Nelson</v>
      </c>
      <c r="C307" s="8" t="str">
        <f t="shared" si="21"/>
        <v>Santos Laguna</v>
      </c>
      <c r="D307" s="8">
        <f t="shared" si="22"/>
        <v>0</v>
      </c>
      <c r="F307" s="4" t="str">
        <f>IF(Jugadores!B307="","",Jugadores!B307)</f>
        <v>Villalba Francisco</v>
      </c>
      <c r="G307" s="4" t="str">
        <f>IF(Jugadores!B307="","",Jugadores!A307)</f>
        <v>Santos Laguna</v>
      </c>
      <c r="H307" s="4">
        <f>IF(F307="","",SUMIF('Estadísticas Jugadores'!$F$2:$F$7001,F307,'Estadísticas Jugadores'!$I$2:$I$7001))</f>
        <v>0</v>
      </c>
      <c r="I307" s="4">
        <f t="shared" si="23"/>
        <v>-3.0700000000000001E-5</v>
      </c>
      <c r="J307" s="4">
        <f t="shared" si="24"/>
        <v>314</v>
      </c>
    </row>
    <row r="308" spans="1:10" ht="15" customHeight="1" x14ac:dyDescent="0.25">
      <c r="A308" s="8">
        <f>IF(COUNT($J$2:$J$1501)&gt;=307,307,"")</f>
        <v>307</v>
      </c>
      <c r="B308" s="8" t="str">
        <f t="shared" si="20"/>
        <v>Gomez Luis</v>
      </c>
      <c r="C308" s="8" t="str">
        <f t="shared" si="21"/>
        <v>Santos Laguna</v>
      </c>
      <c r="D308" s="8">
        <f t="shared" si="22"/>
        <v>0</v>
      </c>
      <c r="F308" s="4" t="str">
        <f>IF(Jugadores!B308="","",Jugadores!B308)</f>
        <v>Aguirre Eduardo</v>
      </c>
      <c r="G308" s="4" t="str">
        <f>IF(Jugadores!B308="","",Jugadores!A308)</f>
        <v>Santos Laguna</v>
      </c>
      <c r="H308" s="4">
        <f>IF(F308="","",SUMIF('Estadísticas Jugadores'!$F$2:$F$7001,F308,'Estadísticas Jugadores'!$I$2:$I$7001))</f>
        <v>1</v>
      </c>
      <c r="I308" s="4">
        <f t="shared" si="23"/>
        <v>999.99996920000001</v>
      </c>
      <c r="J308" s="4">
        <f t="shared" si="24"/>
        <v>18</v>
      </c>
    </row>
    <row r="309" spans="1:10" ht="15" customHeight="1" x14ac:dyDescent="0.25">
      <c r="A309" s="8">
        <f>IF(COUNT($J$2:$J$1501)&gt;=308,308,"")</f>
        <v>308</v>
      </c>
      <c r="B309" s="8" t="str">
        <f t="shared" si="20"/>
        <v>Gruezo Carlos</v>
      </c>
      <c r="C309" s="8" t="str">
        <f t="shared" si="21"/>
        <v>Santos Laguna</v>
      </c>
      <c r="D309" s="8">
        <f t="shared" si="22"/>
        <v>0</v>
      </c>
      <c r="F309" s="4" t="str">
        <f>IF(Jugadores!B309="","",Jugadores!B309)</f>
        <v>Di Yorio Lucas</v>
      </c>
      <c r="G309" s="4" t="str">
        <f>IF(Jugadores!B309="","",Jugadores!A309)</f>
        <v>Santos Laguna</v>
      </c>
      <c r="H309" s="4">
        <f>IF(F309="","",SUMIF('Estadísticas Jugadores'!$F$2:$F$7001,F309,'Estadísticas Jugadores'!$I$2:$I$7001))</f>
        <v>1</v>
      </c>
      <c r="I309" s="4">
        <f t="shared" si="23"/>
        <v>999.99996910000004</v>
      </c>
      <c r="J309" s="4">
        <f t="shared" si="24"/>
        <v>19</v>
      </c>
    </row>
    <row r="310" spans="1:10" ht="15" customHeight="1" x14ac:dyDescent="0.25">
      <c r="A310" s="8">
        <f>IF(COUNT($J$2:$J$1501)&gt;=309,309,"")</f>
        <v>309</v>
      </c>
      <c r="B310" s="8" t="str">
        <f t="shared" si="20"/>
        <v>Guemez Javier</v>
      </c>
      <c r="C310" s="8" t="str">
        <f t="shared" si="21"/>
        <v>Santos Laguna</v>
      </c>
      <c r="D310" s="8">
        <f t="shared" si="22"/>
        <v>0</v>
      </c>
      <c r="F310" s="4" t="str">
        <f>IF(Jugadores!B310="","",Jugadores!B310)</f>
        <v>Gonzalez Diego</v>
      </c>
      <c r="G310" s="4" t="str">
        <f>IF(Jugadores!B310="","",Jugadores!A310)</f>
        <v>Santos Laguna</v>
      </c>
      <c r="H310" s="4">
        <f>IF(F310="","",SUMIF('Estadísticas Jugadores'!$F$2:$F$7001,F310,'Estadísticas Jugadores'!$I$2:$I$7001))</f>
        <v>0</v>
      </c>
      <c r="I310" s="4">
        <f t="shared" si="23"/>
        <v>-3.1000000000000001E-5</v>
      </c>
      <c r="J310" s="4">
        <f t="shared" si="24"/>
        <v>315</v>
      </c>
    </row>
    <row r="311" spans="1:10" ht="15" customHeight="1" x14ac:dyDescent="0.25">
      <c r="A311" s="8">
        <f>IF(COUNT($J$2:$J$1501)&gt;=310,310,"")</f>
        <v>310</v>
      </c>
      <c r="B311" s="8" t="str">
        <f t="shared" si="20"/>
        <v>López Aldo</v>
      </c>
      <c r="C311" s="8" t="str">
        <f t="shared" si="21"/>
        <v>Santos Laguna</v>
      </c>
      <c r="D311" s="8">
        <f t="shared" si="22"/>
        <v>0</v>
      </c>
      <c r="F311" s="4" t="str">
        <f>IF(Jugadores!B311="","",Jugadores!B311)</f>
        <v>Jimenez Tahiel</v>
      </c>
      <c r="G311" s="4" t="str">
        <f>IF(Jugadores!B311="","",Jugadores!A311)</f>
        <v>Santos Laguna</v>
      </c>
      <c r="H311" s="4">
        <f>IF(F311="","",SUMIF('Estadísticas Jugadores'!$F$2:$F$7001,F311,'Estadísticas Jugadores'!$I$2:$I$7001))</f>
        <v>0</v>
      </c>
      <c r="I311" s="4">
        <f t="shared" si="23"/>
        <v>-3.1099999999999997E-5</v>
      </c>
      <c r="J311" s="4">
        <f t="shared" si="24"/>
        <v>316</v>
      </c>
    </row>
    <row r="312" spans="1:10" ht="15" customHeight="1" x14ac:dyDescent="0.25">
      <c r="A312" s="8">
        <f>IF(COUNT($J$2:$J$1501)&gt;=311,311,"")</f>
        <v>311</v>
      </c>
      <c r="B312" s="8" t="str">
        <f t="shared" si="20"/>
        <v>Mancha Joshua</v>
      </c>
      <c r="C312" s="8" t="str">
        <f t="shared" si="21"/>
        <v>Santos Laguna</v>
      </c>
      <c r="D312" s="8">
        <f t="shared" si="22"/>
        <v>0</v>
      </c>
      <c r="F312" s="4" t="str">
        <f>IF(Jugadores!B312="","",Jugadores!B312)</f>
        <v>Medina Diego</v>
      </c>
      <c r="G312" s="4" t="str">
        <f>IF(Jugadores!B312="","",Jugadores!A312)</f>
        <v>Santos Laguna</v>
      </c>
      <c r="H312" s="4">
        <f>IF(F312="","",SUMIF('Estadísticas Jugadores'!$F$2:$F$7001,F312,'Estadísticas Jugadores'!$I$2:$I$7001))</f>
        <v>0</v>
      </c>
      <c r="I312" s="4">
        <f t="shared" si="23"/>
        <v>-3.1199999999999999E-5</v>
      </c>
      <c r="J312" s="4">
        <f t="shared" si="24"/>
        <v>317</v>
      </c>
    </row>
    <row r="313" spans="1:10" ht="15" customHeight="1" x14ac:dyDescent="0.25">
      <c r="A313" s="8">
        <f>IF(COUNT($J$2:$J$1501)&gt;=312,312,"")</f>
        <v>312</v>
      </c>
      <c r="B313" s="8" t="str">
        <f t="shared" si="20"/>
        <v>Mariscal Murra Salvador</v>
      </c>
      <c r="C313" s="8" t="str">
        <f t="shared" si="21"/>
        <v>Santos Laguna</v>
      </c>
      <c r="D313" s="8">
        <f t="shared" si="22"/>
        <v>0</v>
      </c>
      <c r="F313" s="4" t="str">
        <f>IF(Jugadores!B313="","",Jugadores!B313)</f>
        <v>Palacios Kevin</v>
      </c>
      <c r="G313" s="4" t="str">
        <f>IF(Jugadores!B313="","",Jugadores!A313)</f>
        <v>Santos Laguna</v>
      </c>
      <c r="H313" s="4">
        <f>IF(F313="","",SUMIF('Estadísticas Jugadores'!$F$2:$F$7001,F313,'Estadísticas Jugadores'!$I$2:$I$7001))</f>
        <v>0</v>
      </c>
      <c r="I313" s="4">
        <f t="shared" si="23"/>
        <v>-3.1300000000000002E-5</v>
      </c>
      <c r="J313" s="4">
        <f t="shared" si="24"/>
        <v>318</v>
      </c>
    </row>
    <row r="314" spans="1:10" ht="15" customHeight="1" x14ac:dyDescent="0.25">
      <c r="A314" s="8">
        <f>IF(COUNT($J$2:$J$1501)&gt;=313,313,"")</f>
        <v>313</v>
      </c>
      <c r="B314" s="8" t="str">
        <f t="shared" si="20"/>
        <v>Ulloa Jose</v>
      </c>
      <c r="C314" s="8" t="str">
        <f t="shared" si="21"/>
        <v>Santos Laguna</v>
      </c>
      <c r="D314" s="8">
        <f t="shared" si="22"/>
        <v>0</v>
      </c>
      <c r="F314" s="4" t="str">
        <f>IF(Jugadores!B314="","",Jugadores!B314)</f>
        <v>Sordo Ramiro</v>
      </c>
      <c r="G314" s="4" t="str">
        <f>IF(Jugadores!B314="","",Jugadores!A314)</f>
        <v>Santos Laguna</v>
      </c>
      <c r="H314" s="4">
        <f>IF(F314="","",SUMIF('Estadísticas Jugadores'!$F$2:$F$7001,F314,'Estadísticas Jugadores'!$I$2:$I$7001))</f>
        <v>0</v>
      </c>
      <c r="I314" s="4">
        <f t="shared" si="23"/>
        <v>-3.1399999999999998E-5</v>
      </c>
      <c r="J314" s="4">
        <f t="shared" si="24"/>
        <v>319</v>
      </c>
    </row>
    <row r="315" spans="1:10" ht="15" customHeight="1" x14ac:dyDescent="0.25">
      <c r="A315" s="8">
        <f>IF(COUNT($J$2:$J$1501)&gt;=314,314,"")</f>
        <v>314</v>
      </c>
      <c r="B315" s="8" t="str">
        <f t="shared" si="20"/>
        <v>Villalba Francisco</v>
      </c>
      <c r="C315" s="8" t="str">
        <f t="shared" si="21"/>
        <v>Santos Laguna</v>
      </c>
      <c r="D315" s="8">
        <f t="shared" si="22"/>
        <v>0</v>
      </c>
      <c r="F315" s="4" t="str">
        <f>IF(Jugadores!B315="","",Jugadores!B315)</f>
        <v>Vuoso Lucca</v>
      </c>
      <c r="G315" s="4" t="str">
        <f>IF(Jugadores!B315="","",Jugadores!A315)</f>
        <v>Santos Laguna</v>
      </c>
      <c r="H315" s="4">
        <f>IF(F315="","",SUMIF('Estadísticas Jugadores'!$F$2:$F$7001,F315,'Estadísticas Jugadores'!$I$2:$I$7001))</f>
        <v>0</v>
      </c>
      <c r="I315" s="4">
        <f t="shared" si="23"/>
        <v>-3.15E-5</v>
      </c>
      <c r="J315" s="4">
        <f t="shared" si="24"/>
        <v>320</v>
      </c>
    </row>
    <row r="316" spans="1:10" ht="15" customHeight="1" x14ac:dyDescent="0.25">
      <c r="A316" s="8">
        <f>IF(COUNT($J$2:$J$1501)&gt;=315,315,"")</f>
        <v>315</v>
      </c>
      <c r="B316" s="8" t="str">
        <f t="shared" si="20"/>
        <v>Gonzalez Diego</v>
      </c>
      <c r="C316" s="8" t="str">
        <f t="shared" si="21"/>
        <v>Santos Laguna</v>
      </c>
      <c r="D316" s="8">
        <f t="shared" si="22"/>
        <v>0</v>
      </c>
      <c r="F316" s="4" t="str">
        <f>IF(Jugadores!B316="","",Jugadores!B316)</f>
        <v>Lajud Manuel Gibran</v>
      </c>
      <c r="G316" s="4" t="str">
        <f>IF(Jugadores!B316="","",Jugadores!A316)</f>
        <v>Atlético de San Luis</v>
      </c>
      <c r="H316" s="4">
        <f>IF(F316="","",SUMIF('Estadísticas Jugadores'!$F$2:$F$7001,F316,'Estadísticas Jugadores'!$I$2:$I$7001))</f>
        <v>0</v>
      </c>
      <c r="I316" s="4">
        <f t="shared" si="23"/>
        <v>-3.1599999999999996E-5</v>
      </c>
      <c r="J316" s="4">
        <f t="shared" si="24"/>
        <v>321</v>
      </c>
    </row>
    <row r="317" spans="1:10" ht="15" customHeight="1" x14ac:dyDescent="0.25">
      <c r="A317" s="8">
        <f>IF(COUNT($J$2:$J$1501)&gt;=316,316,"")</f>
        <v>316</v>
      </c>
      <c r="B317" s="8" t="str">
        <f t="shared" si="20"/>
        <v>Jimenez Tahiel</v>
      </c>
      <c r="C317" s="8" t="str">
        <f t="shared" si="21"/>
        <v>Santos Laguna</v>
      </c>
      <c r="D317" s="8">
        <f t="shared" si="22"/>
        <v>0</v>
      </c>
      <c r="F317" s="4" t="str">
        <f>IF(Jugadores!B317="","",Jugadores!B317)</f>
        <v>Sanchez Andres</v>
      </c>
      <c r="G317" s="4" t="str">
        <f>IF(Jugadores!B317="","",Jugadores!A317)</f>
        <v>Atlético de San Luis</v>
      </c>
      <c r="H317" s="4">
        <f>IF(F317="","",SUMIF('Estadísticas Jugadores'!$F$2:$F$7001,F317,'Estadísticas Jugadores'!$I$2:$I$7001))</f>
        <v>0</v>
      </c>
      <c r="I317" s="4">
        <f t="shared" si="23"/>
        <v>-3.1699999999999998E-5</v>
      </c>
      <c r="J317" s="4">
        <f t="shared" si="24"/>
        <v>322</v>
      </c>
    </row>
    <row r="318" spans="1:10" ht="15" customHeight="1" x14ac:dyDescent="0.25">
      <c r="A318" s="8">
        <f>IF(COUNT($J$2:$J$1501)&gt;=317,317,"")</f>
        <v>317</v>
      </c>
      <c r="B318" s="8" t="str">
        <f t="shared" si="20"/>
        <v>Medina Diego</v>
      </c>
      <c r="C318" s="8" t="str">
        <f t="shared" si="21"/>
        <v>Santos Laguna</v>
      </c>
      <c r="D318" s="8">
        <f t="shared" si="22"/>
        <v>0</v>
      </c>
      <c r="F318" s="4" t="str">
        <f>IF(Jugadores!B318="","",Jugadores!B318)</f>
        <v>Aguila Eduardo</v>
      </c>
      <c r="G318" s="4" t="str">
        <f>IF(Jugadores!B318="","",Jugadores!A318)</f>
        <v>Atlético de San Luis</v>
      </c>
      <c r="H318" s="4">
        <f>IF(F318="","",SUMIF('Estadísticas Jugadores'!$F$2:$F$7001,F318,'Estadísticas Jugadores'!$I$2:$I$7001))</f>
        <v>0</v>
      </c>
      <c r="I318" s="4">
        <f t="shared" si="23"/>
        <v>-3.18E-5</v>
      </c>
      <c r="J318" s="4">
        <f t="shared" si="24"/>
        <v>323</v>
      </c>
    </row>
    <row r="319" spans="1:10" ht="15" customHeight="1" x14ac:dyDescent="0.25">
      <c r="A319" s="8">
        <f>IF(COUNT($J$2:$J$1501)&gt;=318,318,"")</f>
        <v>318</v>
      </c>
      <c r="B319" s="8" t="str">
        <f t="shared" si="20"/>
        <v>Palacios Kevin</v>
      </c>
      <c r="C319" s="8" t="str">
        <f t="shared" si="21"/>
        <v>Santos Laguna</v>
      </c>
      <c r="D319" s="8">
        <f t="shared" si="22"/>
        <v>0</v>
      </c>
      <c r="F319" s="4" t="str">
        <f>IF(Jugadores!B319="","",Jugadores!B319)</f>
        <v>Carrillo Luis</v>
      </c>
      <c r="G319" s="4" t="str">
        <f>IF(Jugadores!B319="","",Jugadores!A319)</f>
        <v>Atlético de San Luis</v>
      </c>
      <c r="H319" s="4">
        <f>IF(F319="","",SUMIF('Estadísticas Jugadores'!$F$2:$F$7001,F319,'Estadísticas Jugadores'!$I$2:$I$7001))</f>
        <v>0</v>
      </c>
      <c r="I319" s="4">
        <f t="shared" si="23"/>
        <v>-3.1899999999999996E-5</v>
      </c>
      <c r="J319" s="4">
        <f t="shared" si="24"/>
        <v>324</v>
      </c>
    </row>
    <row r="320" spans="1:10" ht="15" customHeight="1" x14ac:dyDescent="0.25">
      <c r="A320" s="8">
        <f>IF(COUNT($J$2:$J$1501)&gt;=319,319,"")</f>
        <v>319</v>
      </c>
      <c r="B320" s="8" t="str">
        <f t="shared" si="20"/>
        <v>Sordo Ramiro</v>
      </c>
      <c r="C320" s="8" t="str">
        <f t="shared" si="21"/>
        <v>Santos Laguna</v>
      </c>
      <c r="D320" s="8">
        <f t="shared" si="22"/>
        <v>0</v>
      </c>
      <c r="F320" s="4" t="str">
        <f>IF(Jugadores!B320="","",Jugadores!B320)</f>
        <v>Cruz Aldo</v>
      </c>
      <c r="G320" s="4" t="str">
        <f>IF(Jugadores!B320="","",Jugadores!A320)</f>
        <v>Atlético de San Luis</v>
      </c>
      <c r="H320" s="4">
        <f>IF(F320="","",SUMIF('Estadísticas Jugadores'!$F$2:$F$7001,F320,'Estadísticas Jugadores'!$I$2:$I$7001))</f>
        <v>0</v>
      </c>
      <c r="I320" s="4">
        <f t="shared" si="23"/>
        <v>-3.1999999999999999E-5</v>
      </c>
      <c r="J320" s="4">
        <f t="shared" si="24"/>
        <v>325</v>
      </c>
    </row>
    <row r="321" spans="1:10" ht="15" customHeight="1" x14ac:dyDescent="0.25">
      <c r="A321" s="8">
        <f>IF(COUNT($J$2:$J$1501)&gt;=320,320,"")</f>
        <v>320</v>
      </c>
      <c r="B321" s="8" t="str">
        <f t="shared" si="20"/>
        <v>Vuoso Lucca</v>
      </c>
      <c r="C321" s="8" t="str">
        <f t="shared" si="21"/>
        <v>Santos Laguna</v>
      </c>
      <c r="D321" s="8">
        <f t="shared" si="22"/>
        <v>0</v>
      </c>
      <c r="F321" s="4" t="str">
        <f>IF(Jugadores!B321="","",Jugadores!B321)</f>
        <v>Domínguez Julio Cesar</v>
      </c>
      <c r="G321" s="4" t="str">
        <f>IF(Jugadores!B321="","",Jugadores!A321)</f>
        <v>Atlético de San Luis</v>
      </c>
      <c r="H321" s="4">
        <f>IF(F321="","",SUMIF('Estadísticas Jugadores'!$F$2:$F$7001,F321,'Estadísticas Jugadores'!$I$2:$I$7001))</f>
        <v>0</v>
      </c>
      <c r="I321" s="4">
        <f t="shared" si="23"/>
        <v>-3.2100000000000001E-5</v>
      </c>
      <c r="J321" s="4">
        <f t="shared" si="24"/>
        <v>326</v>
      </c>
    </row>
    <row r="322" spans="1:10" ht="15" customHeight="1" x14ac:dyDescent="0.25">
      <c r="A322" s="8">
        <f>IF(COUNT($J$2:$J$1501)&gt;=321,321,"")</f>
        <v>321</v>
      </c>
      <c r="B322" s="8" t="str">
        <f t="shared" ref="B322:B385" si="25">IF($A322="","",INDEX($F$2:$F$1501,MATCH($A322,$J$2:$J$1501,0)))</f>
        <v>Lajud Manuel Gibran</v>
      </c>
      <c r="C322" s="8" t="str">
        <f t="shared" ref="C322:C385" si="26">IF($A322="","",INDEX($G$2:$G$1501,MATCH($A322,$J$2:$J$1501,0)))</f>
        <v>Atlético de San Luis</v>
      </c>
      <c r="D322" s="8">
        <f t="shared" ref="D322:D385" si="27">IF($A322="","",INDEX($H$2:$H$1501,MATCH($A322,$J$2:$J$1501,0)))</f>
        <v>0</v>
      </c>
      <c r="F322" s="4" t="str">
        <f>IF(Jugadores!B322="","",Jugadores!B322)</f>
        <v>Galindo Cruz Benjamin</v>
      </c>
      <c r="G322" s="4" t="str">
        <f>IF(Jugadores!B322="","",Jugadores!A322)</f>
        <v>Atlético de San Luis</v>
      </c>
      <c r="H322" s="4">
        <f>IF(F322="","",SUMIF('Estadísticas Jugadores'!$F$2:$F$7001,F322,'Estadísticas Jugadores'!$I$2:$I$7001))</f>
        <v>0</v>
      </c>
      <c r="I322" s="4">
        <f t="shared" ref="I322:I385" si="28">IF(F322="","",H322*1000-ROW()*0.0000001)</f>
        <v>-3.2199999999999997E-5</v>
      </c>
      <c r="J322" s="4">
        <f t="shared" ref="J322:J385" si="29">IF(F322="","",RANK(I322,$I$2:$I$1501))</f>
        <v>327</v>
      </c>
    </row>
    <row r="323" spans="1:10" ht="15" customHeight="1" x14ac:dyDescent="0.25">
      <c r="A323" s="8">
        <f>IF(COUNT($J$2:$J$1501)&gt;=322,322,"")</f>
        <v>322</v>
      </c>
      <c r="B323" s="8" t="str">
        <f t="shared" si="25"/>
        <v>Sanchez Andres</v>
      </c>
      <c r="C323" s="8" t="str">
        <f t="shared" si="26"/>
        <v>Atlético de San Luis</v>
      </c>
      <c r="D323" s="8">
        <f t="shared" si="27"/>
        <v>0</v>
      </c>
      <c r="F323" s="4" t="str">
        <f>IF(Jugadores!B323="","",Jugadores!B323)</f>
        <v>Juanpe</v>
      </c>
      <c r="G323" s="4" t="str">
        <f>IF(Jugadores!B323="","",Jugadores!A323)</f>
        <v>Atlético de San Luis</v>
      </c>
      <c r="H323" s="4">
        <f>IF(F323="","",SUMIF('Estadísticas Jugadores'!$F$2:$F$7001,F323,'Estadísticas Jugadores'!$I$2:$I$7001))</f>
        <v>0</v>
      </c>
      <c r="I323" s="4">
        <f t="shared" si="28"/>
        <v>-3.2299999999999999E-5</v>
      </c>
      <c r="J323" s="4">
        <f t="shared" si="29"/>
        <v>328</v>
      </c>
    </row>
    <row r="324" spans="1:10" ht="15" customHeight="1" x14ac:dyDescent="0.25">
      <c r="A324" s="8">
        <f>IF(COUNT($J$2:$J$1501)&gt;=323,323,"")</f>
        <v>323</v>
      </c>
      <c r="B324" s="8" t="str">
        <f t="shared" si="25"/>
        <v>Aguila Eduardo</v>
      </c>
      <c r="C324" s="8" t="str">
        <f t="shared" si="26"/>
        <v>Atlético de San Luis</v>
      </c>
      <c r="D324" s="8">
        <f t="shared" si="27"/>
        <v>0</v>
      </c>
      <c r="F324" s="4" t="str">
        <f>IF(Jugadores!B324="","",Jugadores!B324)</f>
        <v>Lucas Esteves</v>
      </c>
      <c r="G324" s="4" t="str">
        <f>IF(Jugadores!B324="","",Jugadores!A324)</f>
        <v>Atlético de San Luis</v>
      </c>
      <c r="H324" s="4">
        <f>IF(F324="","",SUMIF('Estadísticas Jugadores'!$F$2:$F$7001,F324,'Estadísticas Jugadores'!$I$2:$I$7001))</f>
        <v>0</v>
      </c>
      <c r="I324" s="4">
        <f t="shared" si="28"/>
        <v>-3.2400000000000001E-5</v>
      </c>
      <c r="J324" s="4">
        <f t="shared" si="29"/>
        <v>329</v>
      </c>
    </row>
    <row r="325" spans="1:10" ht="15" customHeight="1" x14ac:dyDescent="0.25">
      <c r="A325" s="8">
        <f>IF(COUNT($J$2:$J$1501)&gt;=324,324,"")</f>
        <v>324</v>
      </c>
      <c r="B325" s="8" t="str">
        <f t="shared" si="25"/>
        <v>Carrillo Luis</v>
      </c>
      <c r="C325" s="8" t="str">
        <f t="shared" si="26"/>
        <v>Atlético de San Luis</v>
      </c>
      <c r="D325" s="8">
        <f t="shared" si="27"/>
        <v>0</v>
      </c>
      <c r="F325" s="4" t="str">
        <f>IF(Jugadores!B325="","",Jugadores!B325)</f>
        <v>Robson Bambu</v>
      </c>
      <c r="G325" s="4" t="str">
        <f>IF(Jugadores!B325="","",Jugadores!A325)</f>
        <v>Atlético de San Luis</v>
      </c>
      <c r="H325" s="4">
        <f>IF(F325="","",SUMIF('Estadísticas Jugadores'!$F$2:$F$7001,F325,'Estadísticas Jugadores'!$I$2:$I$7001))</f>
        <v>0</v>
      </c>
      <c r="I325" s="4">
        <f t="shared" si="28"/>
        <v>-3.2499999999999997E-5</v>
      </c>
      <c r="J325" s="4">
        <f t="shared" si="29"/>
        <v>330</v>
      </c>
    </row>
    <row r="326" spans="1:10" ht="15" customHeight="1" x14ac:dyDescent="0.25">
      <c r="A326" s="8">
        <f>IF(COUNT($J$2:$J$1501)&gt;=325,325,"")</f>
        <v>325</v>
      </c>
      <c r="B326" s="8" t="str">
        <f t="shared" si="25"/>
        <v>Cruz Aldo</v>
      </c>
      <c r="C326" s="8" t="str">
        <f t="shared" si="26"/>
        <v>Atlético de San Luis</v>
      </c>
      <c r="D326" s="8">
        <f t="shared" si="27"/>
        <v>0</v>
      </c>
      <c r="F326" s="4" t="str">
        <f>IF(Jugadores!B326="","",Jugadores!B326)</f>
        <v>Suarez Javier</v>
      </c>
      <c r="G326" s="4" t="str">
        <f>IF(Jugadores!B326="","",Jugadores!A326)</f>
        <v>Atlético de San Luis</v>
      </c>
      <c r="H326" s="4">
        <f>IF(F326="","",SUMIF('Estadísticas Jugadores'!$F$2:$F$7001,F326,'Estadísticas Jugadores'!$I$2:$I$7001))</f>
        <v>0</v>
      </c>
      <c r="I326" s="4">
        <f t="shared" si="28"/>
        <v>-3.26E-5</v>
      </c>
      <c r="J326" s="4">
        <f t="shared" si="29"/>
        <v>331</v>
      </c>
    </row>
    <row r="327" spans="1:10" ht="15" customHeight="1" x14ac:dyDescent="0.25">
      <c r="A327" s="8">
        <f>IF(COUNT($J$2:$J$1501)&gt;=326,326,"")</f>
        <v>326</v>
      </c>
      <c r="B327" s="8" t="str">
        <f t="shared" si="25"/>
        <v>Domínguez Julio Cesar</v>
      </c>
      <c r="C327" s="8" t="str">
        <f t="shared" si="26"/>
        <v>Atlético de San Luis</v>
      </c>
      <c r="D327" s="8">
        <f t="shared" si="27"/>
        <v>0</v>
      </c>
      <c r="F327" s="4" t="str">
        <f>IF(Jugadores!B327="","",Jugadores!B327)</f>
        <v>Torres Acosta Roman</v>
      </c>
      <c r="G327" s="4" t="str">
        <f>IF(Jugadores!B327="","",Jugadores!A327)</f>
        <v>Atlético de San Luis</v>
      </c>
      <c r="H327" s="4">
        <f>IF(F327="","",SUMIF('Estadísticas Jugadores'!$F$2:$F$7001,F327,'Estadísticas Jugadores'!$I$2:$I$7001))</f>
        <v>0</v>
      </c>
      <c r="I327" s="4">
        <f t="shared" si="28"/>
        <v>-3.2699999999999995E-5</v>
      </c>
      <c r="J327" s="4">
        <f t="shared" si="29"/>
        <v>332</v>
      </c>
    </row>
    <row r="328" spans="1:10" ht="15" customHeight="1" x14ac:dyDescent="0.25">
      <c r="A328" s="8">
        <f>IF(COUNT($J$2:$J$1501)&gt;=327,327,"")</f>
        <v>327</v>
      </c>
      <c r="B328" s="8" t="str">
        <f t="shared" si="25"/>
        <v>Galindo Cruz Benjamin</v>
      </c>
      <c r="C328" s="8" t="str">
        <f t="shared" si="26"/>
        <v>Atlético de San Luis</v>
      </c>
      <c r="D328" s="8">
        <f t="shared" si="27"/>
        <v>0</v>
      </c>
      <c r="F328" s="4" t="str">
        <f>IF(Jugadores!B328="","",Jugadores!B328)</f>
        <v>Galdames Benjamin</v>
      </c>
      <c r="G328" s="4" t="str">
        <f>IF(Jugadores!B328="","",Jugadores!A328)</f>
        <v>Atlético de San Luis</v>
      </c>
      <c r="H328" s="4">
        <f>IF(F328="","",SUMIF('Estadísticas Jugadores'!$F$2:$F$7001,F328,'Estadísticas Jugadores'!$I$2:$I$7001))</f>
        <v>0</v>
      </c>
      <c r="I328" s="4">
        <f t="shared" si="28"/>
        <v>-3.2799999999999998E-5</v>
      </c>
      <c r="J328" s="4">
        <f t="shared" si="29"/>
        <v>333</v>
      </c>
    </row>
    <row r="329" spans="1:10" ht="15" customHeight="1" x14ac:dyDescent="0.25">
      <c r="A329" s="8">
        <f>IF(COUNT($J$2:$J$1501)&gt;=328,328,"")</f>
        <v>328</v>
      </c>
      <c r="B329" s="8" t="str">
        <f t="shared" si="25"/>
        <v>Juanpe</v>
      </c>
      <c r="C329" s="8" t="str">
        <f t="shared" si="26"/>
        <v>Atlético de San Luis</v>
      </c>
      <c r="D329" s="8">
        <f t="shared" si="27"/>
        <v>0</v>
      </c>
      <c r="F329" s="4" t="str">
        <f>IF(Jugadores!B329="","",Jugadores!B329)</f>
        <v>Garcia Miguel</v>
      </c>
      <c r="G329" s="4" t="str">
        <f>IF(Jugadores!B329="","",Jugadores!A329)</f>
        <v>Atlético de San Luis</v>
      </c>
      <c r="H329" s="4">
        <f>IF(F329="","",SUMIF('Estadísticas Jugadores'!$F$2:$F$7001,F329,'Estadísticas Jugadores'!$I$2:$I$7001))</f>
        <v>0</v>
      </c>
      <c r="I329" s="4">
        <f t="shared" si="28"/>
        <v>-3.29E-5</v>
      </c>
      <c r="J329" s="4">
        <f t="shared" si="29"/>
        <v>334</v>
      </c>
    </row>
    <row r="330" spans="1:10" ht="15" customHeight="1" x14ac:dyDescent="0.25">
      <c r="A330" s="8">
        <f>IF(COUNT($J$2:$J$1501)&gt;=329,329,"")</f>
        <v>329</v>
      </c>
      <c r="B330" s="8" t="str">
        <f t="shared" si="25"/>
        <v>Lucas Esteves</v>
      </c>
      <c r="C330" s="8" t="str">
        <f t="shared" si="26"/>
        <v>Atlético de San Luis</v>
      </c>
      <c r="D330" s="8">
        <f t="shared" si="27"/>
        <v>0</v>
      </c>
      <c r="F330" s="4" t="str">
        <f>IF(Jugadores!B330="","",Jugadores!B330)</f>
        <v>Macias Oscar</v>
      </c>
      <c r="G330" s="4" t="str">
        <f>IF(Jugadores!B330="","",Jugadores!A330)</f>
        <v>Atlético de San Luis</v>
      </c>
      <c r="H330" s="4">
        <f>IF(F330="","",SUMIF('Estadísticas Jugadores'!$F$2:$F$7001,F330,'Estadísticas Jugadores'!$I$2:$I$7001))</f>
        <v>0</v>
      </c>
      <c r="I330" s="4">
        <f t="shared" si="28"/>
        <v>-3.2999999999999996E-5</v>
      </c>
      <c r="J330" s="4">
        <f t="shared" si="29"/>
        <v>335</v>
      </c>
    </row>
    <row r="331" spans="1:10" ht="15" customHeight="1" x14ac:dyDescent="0.25">
      <c r="A331" s="8">
        <f>IF(COUNT($J$2:$J$1501)&gt;=330,330,"")</f>
        <v>330</v>
      </c>
      <c r="B331" s="8" t="str">
        <f t="shared" si="25"/>
        <v>Robson Bambu</v>
      </c>
      <c r="C331" s="8" t="str">
        <f t="shared" si="26"/>
        <v>Atlético de San Luis</v>
      </c>
      <c r="D331" s="8">
        <f t="shared" si="27"/>
        <v>0</v>
      </c>
      <c r="F331" s="4" t="str">
        <f>IF(Jugadores!B331="","",Jugadores!B331)</f>
        <v>Meraz Roberto</v>
      </c>
      <c r="G331" s="4" t="str">
        <f>IF(Jugadores!B331="","",Jugadores!A331)</f>
        <v>Atlético de San Luis</v>
      </c>
      <c r="H331" s="4">
        <f>IF(F331="","",SUMIF('Estadísticas Jugadores'!$F$2:$F$7001,F331,'Estadísticas Jugadores'!$I$2:$I$7001))</f>
        <v>0</v>
      </c>
      <c r="I331" s="4">
        <f t="shared" si="28"/>
        <v>-3.3099999999999998E-5</v>
      </c>
      <c r="J331" s="4">
        <f t="shared" si="29"/>
        <v>336</v>
      </c>
    </row>
    <row r="332" spans="1:10" ht="15" customHeight="1" x14ac:dyDescent="0.25">
      <c r="A332" s="8">
        <f>IF(COUNT($J$2:$J$1501)&gt;=331,331,"")</f>
        <v>331</v>
      </c>
      <c r="B332" s="8" t="str">
        <f t="shared" si="25"/>
        <v>Suarez Javier</v>
      </c>
      <c r="C332" s="8" t="str">
        <f t="shared" si="26"/>
        <v>Atlético de San Luis</v>
      </c>
      <c r="D332" s="8">
        <f t="shared" si="27"/>
        <v>0</v>
      </c>
      <c r="F332" s="4" t="str">
        <f>IF(Jugadores!B332="","",Jugadores!B332)</f>
        <v>Ortega Kevin</v>
      </c>
      <c r="G332" s="4" t="str">
        <f>IF(Jugadores!B332="","",Jugadores!A332)</f>
        <v>Atlético de San Luis</v>
      </c>
      <c r="H332" s="4">
        <f>IF(F332="","",SUMIF('Estadísticas Jugadores'!$F$2:$F$7001,F332,'Estadísticas Jugadores'!$I$2:$I$7001))</f>
        <v>0</v>
      </c>
      <c r="I332" s="4">
        <f t="shared" si="28"/>
        <v>-3.3200000000000001E-5</v>
      </c>
      <c r="J332" s="4">
        <f t="shared" si="29"/>
        <v>337</v>
      </c>
    </row>
    <row r="333" spans="1:10" ht="15" customHeight="1" x14ac:dyDescent="0.25">
      <c r="A333" s="8">
        <f>IF(COUNT($J$2:$J$1501)&gt;=332,332,"")</f>
        <v>332</v>
      </c>
      <c r="B333" s="8" t="str">
        <f t="shared" si="25"/>
        <v>Torres Acosta Roman</v>
      </c>
      <c r="C333" s="8" t="str">
        <f t="shared" si="26"/>
        <v>Atlético de San Luis</v>
      </c>
      <c r="D333" s="8">
        <f t="shared" si="27"/>
        <v>0</v>
      </c>
      <c r="F333" s="4" t="str">
        <f>IF(Jugadores!B333="","",Jugadores!B333)</f>
        <v>Perez Sebastian</v>
      </c>
      <c r="G333" s="4" t="str">
        <f>IF(Jugadores!B333="","",Jugadores!A333)</f>
        <v>Atlético de San Luis</v>
      </c>
      <c r="H333" s="4">
        <f>IF(F333="","",SUMIF('Estadísticas Jugadores'!$F$2:$F$7001,F333,'Estadísticas Jugadores'!$I$2:$I$7001))</f>
        <v>0</v>
      </c>
      <c r="I333" s="4">
        <f t="shared" si="28"/>
        <v>-3.3299999999999996E-5</v>
      </c>
      <c r="J333" s="4">
        <f t="shared" si="29"/>
        <v>338</v>
      </c>
    </row>
    <row r="334" spans="1:10" ht="15" customHeight="1" x14ac:dyDescent="0.25">
      <c r="A334" s="8">
        <f>IF(COUNT($J$2:$J$1501)&gt;=333,333,"")</f>
        <v>333</v>
      </c>
      <c r="B334" s="8" t="str">
        <f t="shared" si="25"/>
        <v>Galdames Benjamin</v>
      </c>
      <c r="C334" s="8" t="str">
        <f t="shared" si="26"/>
        <v>Atlético de San Luis</v>
      </c>
      <c r="D334" s="8">
        <f t="shared" si="27"/>
        <v>0</v>
      </c>
      <c r="F334" s="4" t="str">
        <f>IF(Jugadores!B334="","",Jugadores!B334)</f>
        <v>Reyes Angel</v>
      </c>
      <c r="G334" s="4" t="str">
        <f>IF(Jugadores!B334="","",Jugadores!A334)</f>
        <v>Atlético de San Luis</v>
      </c>
      <c r="H334" s="4">
        <f>IF(F334="","",SUMIF('Estadísticas Jugadores'!$F$2:$F$7001,F334,'Estadísticas Jugadores'!$I$2:$I$7001))</f>
        <v>0</v>
      </c>
      <c r="I334" s="4">
        <f t="shared" si="28"/>
        <v>-3.3399999999999999E-5</v>
      </c>
      <c r="J334" s="4">
        <f t="shared" si="29"/>
        <v>339</v>
      </c>
    </row>
    <row r="335" spans="1:10" ht="15" customHeight="1" x14ac:dyDescent="0.25">
      <c r="A335" s="8">
        <f>IF(COUNT($J$2:$J$1501)&gt;=334,334,"")</f>
        <v>334</v>
      </c>
      <c r="B335" s="8" t="str">
        <f t="shared" si="25"/>
        <v>Garcia Miguel</v>
      </c>
      <c r="C335" s="8" t="str">
        <f t="shared" si="26"/>
        <v>Atlético de San Luis</v>
      </c>
      <c r="D335" s="8">
        <f t="shared" si="27"/>
        <v>0</v>
      </c>
      <c r="F335" s="4" t="str">
        <f>IF(Jugadores!B335="","",Jugadores!B335)</f>
        <v>Rodriguez David</v>
      </c>
      <c r="G335" s="4" t="str">
        <f>IF(Jugadores!B335="","",Jugadores!A335)</f>
        <v>Atlético de San Luis</v>
      </c>
      <c r="H335" s="4">
        <f>IF(F335="","",SUMIF('Estadísticas Jugadores'!$F$2:$F$7001,F335,'Estadísticas Jugadores'!$I$2:$I$7001))</f>
        <v>0</v>
      </c>
      <c r="I335" s="4">
        <f t="shared" si="28"/>
        <v>-3.3500000000000001E-5</v>
      </c>
      <c r="J335" s="4">
        <f t="shared" si="29"/>
        <v>340</v>
      </c>
    </row>
    <row r="336" spans="1:10" ht="15" customHeight="1" x14ac:dyDescent="0.25">
      <c r="A336" s="8">
        <f>IF(COUNT($J$2:$J$1501)&gt;=335,335,"")</f>
        <v>335</v>
      </c>
      <c r="B336" s="8" t="str">
        <f t="shared" si="25"/>
        <v>Macias Oscar</v>
      </c>
      <c r="C336" s="8" t="str">
        <f t="shared" si="26"/>
        <v>Atlético de San Luis</v>
      </c>
      <c r="D336" s="8">
        <f t="shared" si="27"/>
        <v>0</v>
      </c>
      <c r="F336" s="4" t="str">
        <f>IF(Jugadores!B336="","",Jugadores!B336)</f>
        <v>Salles-Lamonge Sebastien</v>
      </c>
      <c r="G336" s="4" t="str">
        <f>IF(Jugadores!B336="","",Jugadores!A336)</f>
        <v>Atlético de San Luis</v>
      </c>
      <c r="H336" s="4">
        <f>IF(F336="","",SUMIF('Estadísticas Jugadores'!$F$2:$F$7001,F336,'Estadísticas Jugadores'!$I$2:$I$7001))</f>
        <v>1</v>
      </c>
      <c r="I336" s="4">
        <f t="shared" si="28"/>
        <v>999.99996639999995</v>
      </c>
      <c r="J336" s="4">
        <f t="shared" si="29"/>
        <v>20</v>
      </c>
    </row>
    <row r="337" spans="1:10" ht="15" customHeight="1" x14ac:dyDescent="0.25">
      <c r="A337" s="8">
        <f>IF(COUNT($J$2:$J$1501)&gt;=336,336,"")</f>
        <v>336</v>
      </c>
      <c r="B337" s="8" t="str">
        <f t="shared" si="25"/>
        <v>Meraz Roberto</v>
      </c>
      <c r="C337" s="8" t="str">
        <f t="shared" si="26"/>
        <v>Atlético de San Luis</v>
      </c>
      <c r="D337" s="8">
        <f t="shared" si="27"/>
        <v>0</v>
      </c>
      <c r="F337" s="4" t="str">
        <f>IF(Jugadores!B337="","",Jugadores!B337)</f>
        <v>Duarte Anderson</v>
      </c>
      <c r="G337" s="4" t="str">
        <f>IF(Jugadores!B337="","",Jugadores!A337)</f>
        <v>Atlético de San Luis</v>
      </c>
      <c r="H337" s="4">
        <f>IF(F337="","",SUMIF('Estadísticas Jugadores'!$F$2:$F$7001,F337,'Estadísticas Jugadores'!$I$2:$I$7001))</f>
        <v>0</v>
      </c>
      <c r="I337" s="4">
        <f t="shared" si="28"/>
        <v>-3.3699999999999999E-5</v>
      </c>
      <c r="J337" s="4">
        <f t="shared" si="29"/>
        <v>341</v>
      </c>
    </row>
    <row r="338" spans="1:10" ht="15" customHeight="1" x14ac:dyDescent="0.25">
      <c r="A338" s="8">
        <f>IF(COUNT($J$2:$J$1501)&gt;=337,337,"")</f>
        <v>337</v>
      </c>
      <c r="B338" s="8" t="str">
        <f t="shared" si="25"/>
        <v>Ortega Kevin</v>
      </c>
      <c r="C338" s="8" t="str">
        <f t="shared" si="26"/>
        <v>Atlético de San Luis</v>
      </c>
      <c r="D338" s="8">
        <f t="shared" si="27"/>
        <v>0</v>
      </c>
      <c r="F338" s="4" t="str">
        <f>IF(Jugadores!B338="","",Jugadores!B338)</f>
        <v>Flores Leonardo</v>
      </c>
      <c r="G338" s="4" t="str">
        <f>IF(Jugadores!B338="","",Jugadores!A338)</f>
        <v>Atlético de San Luis</v>
      </c>
      <c r="H338" s="4">
        <f>IF(F338="","",SUMIF('Estadísticas Jugadores'!$F$2:$F$7001,F338,'Estadísticas Jugadores'!$I$2:$I$7001))</f>
        <v>0</v>
      </c>
      <c r="I338" s="4">
        <f t="shared" si="28"/>
        <v>-3.3800000000000002E-5</v>
      </c>
      <c r="J338" s="4">
        <f t="shared" si="29"/>
        <v>342</v>
      </c>
    </row>
    <row r="339" spans="1:10" ht="15" customHeight="1" x14ac:dyDescent="0.25">
      <c r="A339" s="8">
        <f>IF(COUNT($J$2:$J$1501)&gt;=338,338,"")</f>
        <v>338</v>
      </c>
      <c r="B339" s="8" t="str">
        <f t="shared" si="25"/>
        <v>Perez Sebastian</v>
      </c>
      <c r="C339" s="8" t="str">
        <f t="shared" si="26"/>
        <v>Atlético de San Luis</v>
      </c>
      <c r="D339" s="8">
        <f t="shared" si="27"/>
        <v>0</v>
      </c>
      <c r="F339" s="4" t="str">
        <f>IF(Jugadores!B339="","",Jugadores!B339)</f>
        <v>Joao Pedro Galvao</v>
      </c>
      <c r="G339" s="4" t="str">
        <f>IF(Jugadores!B339="","",Jugadores!A339)</f>
        <v>Atlético de San Luis</v>
      </c>
      <c r="H339" s="4">
        <f>IF(F339="","",SUMIF('Estadísticas Jugadores'!$F$2:$F$7001,F339,'Estadísticas Jugadores'!$I$2:$I$7001))</f>
        <v>0</v>
      </c>
      <c r="I339" s="4">
        <f t="shared" si="28"/>
        <v>-3.3899999999999997E-5</v>
      </c>
      <c r="J339" s="4">
        <f t="shared" si="29"/>
        <v>343</v>
      </c>
    </row>
    <row r="340" spans="1:10" ht="15" customHeight="1" x14ac:dyDescent="0.25">
      <c r="A340" s="8">
        <f>IF(COUNT($J$2:$J$1501)&gt;=339,339,"")</f>
        <v>339</v>
      </c>
      <c r="B340" s="8" t="str">
        <f t="shared" si="25"/>
        <v>Reyes Angel</v>
      </c>
      <c r="C340" s="8" t="str">
        <f t="shared" si="26"/>
        <v>Atlético de San Luis</v>
      </c>
      <c r="D340" s="8">
        <f t="shared" si="27"/>
        <v>0</v>
      </c>
      <c r="F340" s="4" t="str">
        <f>IF(Jugadores!B340="","",Jugadores!B340)</f>
        <v>Llorente Rafa</v>
      </c>
      <c r="G340" s="4" t="str">
        <f>IF(Jugadores!B340="","",Jugadores!A340)</f>
        <v>Atlético de San Luis</v>
      </c>
      <c r="H340" s="4">
        <f>IF(F340="","",SUMIF('Estadísticas Jugadores'!$F$2:$F$7001,F340,'Estadísticas Jugadores'!$I$2:$I$7001))</f>
        <v>1</v>
      </c>
      <c r="I340" s="4">
        <f t="shared" si="28"/>
        <v>999.99996599999997</v>
      </c>
      <c r="J340" s="4">
        <f t="shared" si="29"/>
        <v>21</v>
      </c>
    </row>
    <row r="341" spans="1:10" ht="15" customHeight="1" x14ac:dyDescent="0.25">
      <c r="A341" s="8">
        <f>IF(COUNT($J$2:$J$1501)&gt;=340,340,"")</f>
        <v>340</v>
      </c>
      <c r="B341" s="8" t="str">
        <f t="shared" si="25"/>
        <v>Rodriguez David</v>
      </c>
      <c r="C341" s="8" t="str">
        <f t="shared" si="26"/>
        <v>Atlético de San Luis</v>
      </c>
      <c r="D341" s="8">
        <f t="shared" si="27"/>
        <v>0</v>
      </c>
      <c r="F341" s="4" t="str">
        <f>IF(Jugadores!B341="","",Jugadores!B341)</f>
        <v>Medina Jesus</v>
      </c>
      <c r="G341" s="4" t="str">
        <f>IF(Jugadores!B341="","",Jugadores!A341)</f>
        <v>Atlético de San Luis</v>
      </c>
      <c r="H341" s="4">
        <f>IF(F341="","",SUMIF('Estadísticas Jugadores'!$F$2:$F$7001,F341,'Estadísticas Jugadores'!$I$2:$I$7001))</f>
        <v>0</v>
      </c>
      <c r="I341" s="4">
        <f t="shared" si="28"/>
        <v>-3.4099999999999995E-5</v>
      </c>
      <c r="J341" s="4">
        <f t="shared" si="29"/>
        <v>344</v>
      </c>
    </row>
    <row r="342" spans="1:10" ht="15" customHeight="1" x14ac:dyDescent="0.25">
      <c r="A342" s="8">
        <f>IF(COUNT($J$2:$J$1501)&gt;=341,341,"")</f>
        <v>341</v>
      </c>
      <c r="B342" s="8" t="str">
        <f t="shared" si="25"/>
        <v>Duarte Anderson</v>
      </c>
      <c r="C342" s="8" t="str">
        <f t="shared" si="26"/>
        <v>Atlético de San Luis</v>
      </c>
      <c r="D342" s="8">
        <f t="shared" si="27"/>
        <v>0</v>
      </c>
      <c r="F342" s="4" t="str">
        <f>IF(Jugadores!B342="","",Jugadores!B342)</f>
        <v>Muñoz Santiago</v>
      </c>
      <c r="G342" s="4" t="str">
        <f>IF(Jugadores!B342="","",Jugadores!A342)</f>
        <v>Atlético de San Luis</v>
      </c>
      <c r="H342" s="4">
        <f>IF(F342="","",SUMIF('Estadísticas Jugadores'!$F$2:$F$7001,F342,'Estadísticas Jugadores'!$I$2:$I$7001))</f>
        <v>0</v>
      </c>
      <c r="I342" s="4">
        <f t="shared" si="28"/>
        <v>-3.4199999999999998E-5</v>
      </c>
      <c r="J342" s="4">
        <f t="shared" si="29"/>
        <v>345</v>
      </c>
    </row>
    <row r="343" spans="1:10" ht="15" customHeight="1" x14ac:dyDescent="0.25">
      <c r="A343" s="8">
        <f>IF(COUNT($J$2:$J$1501)&gt;=342,342,"")</f>
        <v>342</v>
      </c>
      <c r="B343" s="8" t="str">
        <f t="shared" si="25"/>
        <v>Flores Leonardo</v>
      </c>
      <c r="C343" s="8" t="str">
        <f t="shared" si="26"/>
        <v>Atlético de San Luis</v>
      </c>
      <c r="D343" s="8">
        <f t="shared" si="27"/>
        <v>0</v>
      </c>
      <c r="F343" s="4" t="str">
        <f>IF(Jugadores!B343="","",Jugadores!B343)</f>
        <v>Najera Ronaldo</v>
      </c>
      <c r="G343" s="4" t="str">
        <f>IF(Jugadores!B343="","",Jugadores!A343)</f>
        <v>Atlético de San Luis</v>
      </c>
      <c r="H343" s="4">
        <f>IF(F343="","",SUMIF('Estadísticas Jugadores'!$F$2:$F$7001,F343,'Estadísticas Jugadores'!$I$2:$I$7001))</f>
        <v>0</v>
      </c>
      <c r="I343" s="4">
        <f t="shared" si="28"/>
        <v>-3.43E-5</v>
      </c>
      <c r="J343" s="4">
        <f t="shared" si="29"/>
        <v>346</v>
      </c>
    </row>
    <row r="344" spans="1:10" ht="15" customHeight="1" x14ac:dyDescent="0.25">
      <c r="A344" s="8">
        <f>IF(COUNT($J$2:$J$1501)&gt;=343,343,"")</f>
        <v>343</v>
      </c>
      <c r="B344" s="8" t="str">
        <f t="shared" si="25"/>
        <v>Joao Pedro Galvao</v>
      </c>
      <c r="C344" s="8" t="str">
        <f t="shared" si="26"/>
        <v>Atlético de San Luis</v>
      </c>
      <c r="D344" s="8">
        <f t="shared" si="27"/>
        <v>0</v>
      </c>
      <c r="F344" s="4" t="str">
        <f>IF(Jugadores!B344="","",Jugadores!B344)</f>
        <v>Garcia Jordan</v>
      </c>
      <c r="G344" s="4" t="str">
        <f>IF(Jugadores!B344="","",Jugadores!A344)</f>
        <v>León</v>
      </c>
      <c r="H344" s="4">
        <f>IF(F344="","",SUMIF('Estadísticas Jugadores'!$F$2:$F$7001,F344,'Estadísticas Jugadores'!$I$2:$I$7001))</f>
        <v>0</v>
      </c>
      <c r="I344" s="4">
        <f t="shared" si="28"/>
        <v>-3.4399999999999996E-5</v>
      </c>
      <c r="J344" s="4">
        <f t="shared" si="29"/>
        <v>347</v>
      </c>
    </row>
    <row r="345" spans="1:10" ht="15" customHeight="1" x14ac:dyDescent="0.25">
      <c r="A345" s="8">
        <f>IF(COUNT($J$2:$J$1501)&gt;=344,344,"")</f>
        <v>344</v>
      </c>
      <c r="B345" s="8" t="str">
        <f t="shared" si="25"/>
        <v>Medina Jesus</v>
      </c>
      <c r="C345" s="8" t="str">
        <f t="shared" si="26"/>
        <v>Atlético de San Luis</v>
      </c>
      <c r="D345" s="8">
        <f t="shared" si="27"/>
        <v>0</v>
      </c>
      <c r="F345" s="4" t="str">
        <f>IF(Jugadores!B345="","",Jugadores!B345)</f>
        <v>Garcia Oscar</v>
      </c>
      <c r="G345" s="4" t="str">
        <f>IF(Jugadores!B345="","",Jugadores!A345)</f>
        <v>León</v>
      </c>
      <c r="H345" s="4">
        <f>IF(F345="","",SUMIF('Estadísticas Jugadores'!$F$2:$F$7001,F345,'Estadísticas Jugadores'!$I$2:$I$7001))</f>
        <v>0</v>
      </c>
      <c r="I345" s="4">
        <f t="shared" si="28"/>
        <v>-3.4499999999999998E-5</v>
      </c>
      <c r="J345" s="4">
        <f t="shared" si="29"/>
        <v>348</v>
      </c>
    </row>
    <row r="346" spans="1:10" ht="15" customHeight="1" x14ac:dyDescent="0.25">
      <c r="A346" s="8">
        <f>IF(COUNT($J$2:$J$1501)&gt;=345,345,"")</f>
        <v>345</v>
      </c>
      <c r="B346" s="8" t="str">
        <f t="shared" si="25"/>
        <v>Muñoz Santiago</v>
      </c>
      <c r="C346" s="8" t="str">
        <f t="shared" si="26"/>
        <v>Atlético de San Luis</v>
      </c>
      <c r="D346" s="8">
        <f t="shared" si="27"/>
        <v>0</v>
      </c>
      <c r="F346" s="4" t="str">
        <f>IF(Jugadores!B346="","",Jugadores!B346)</f>
        <v>Barreiro Stiven</v>
      </c>
      <c r="G346" s="4" t="str">
        <f>IF(Jugadores!B346="","",Jugadores!A346)</f>
        <v>León</v>
      </c>
      <c r="H346" s="4">
        <f>IF(F346="","",SUMIF('Estadísticas Jugadores'!$F$2:$F$7001,F346,'Estadísticas Jugadores'!$I$2:$I$7001))</f>
        <v>0</v>
      </c>
      <c r="I346" s="4">
        <f t="shared" si="28"/>
        <v>-3.4600000000000001E-5</v>
      </c>
      <c r="J346" s="4">
        <f t="shared" si="29"/>
        <v>349</v>
      </c>
    </row>
    <row r="347" spans="1:10" ht="15" customHeight="1" x14ac:dyDescent="0.25">
      <c r="A347" s="8">
        <f>IF(COUNT($J$2:$J$1501)&gt;=346,346,"")</f>
        <v>346</v>
      </c>
      <c r="B347" s="8" t="str">
        <f t="shared" si="25"/>
        <v>Najera Ronaldo</v>
      </c>
      <c r="C347" s="8" t="str">
        <f t="shared" si="26"/>
        <v>Atlético de San Luis</v>
      </c>
      <c r="D347" s="8">
        <f t="shared" si="27"/>
        <v>0</v>
      </c>
      <c r="F347" s="4" t="str">
        <f>IF(Jugadores!B347="","",Jugadores!B347)</f>
        <v>Bellon Paul</v>
      </c>
      <c r="G347" s="4" t="str">
        <f>IF(Jugadores!B347="","",Jugadores!A347)</f>
        <v>León</v>
      </c>
      <c r="H347" s="4">
        <f>IF(F347="","",SUMIF('Estadísticas Jugadores'!$F$2:$F$7001,F347,'Estadísticas Jugadores'!$I$2:$I$7001))</f>
        <v>0</v>
      </c>
      <c r="I347" s="4">
        <f t="shared" si="28"/>
        <v>-3.4699999999999996E-5</v>
      </c>
      <c r="J347" s="4">
        <f t="shared" si="29"/>
        <v>350</v>
      </c>
    </row>
    <row r="348" spans="1:10" ht="15" customHeight="1" x14ac:dyDescent="0.25">
      <c r="A348" s="8">
        <f>IF(COUNT($J$2:$J$1501)&gt;=347,347,"")</f>
        <v>347</v>
      </c>
      <c r="B348" s="8" t="str">
        <f t="shared" si="25"/>
        <v>Garcia Jordan</v>
      </c>
      <c r="C348" s="8" t="str">
        <f t="shared" si="26"/>
        <v>León</v>
      </c>
      <c r="D348" s="8">
        <f t="shared" si="27"/>
        <v>0</v>
      </c>
      <c r="F348" s="4" t="str">
        <f>IF(Jugadores!B348="","",Jugadores!B348)</f>
        <v>Colula Bryan</v>
      </c>
      <c r="G348" s="4" t="str">
        <f>IF(Jugadores!B348="","",Jugadores!A348)</f>
        <v>León</v>
      </c>
      <c r="H348" s="4">
        <f>IF(F348="","",SUMIF('Estadísticas Jugadores'!$F$2:$F$7001,F348,'Estadísticas Jugadores'!$I$2:$I$7001))</f>
        <v>0</v>
      </c>
      <c r="I348" s="4">
        <f t="shared" si="28"/>
        <v>-3.4799999999999999E-5</v>
      </c>
      <c r="J348" s="4">
        <f t="shared" si="29"/>
        <v>351</v>
      </c>
    </row>
    <row r="349" spans="1:10" ht="15" customHeight="1" x14ac:dyDescent="0.25">
      <c r="A349" s="8">
        <f>IF(COUNT($J$2:$J$1501)&gt;=348,348,"")</f>
        <v>348</v>
      </c>
      <c r="B349" s="8" t="str">
        <f t="shared" si="25"/>
        <v>Garcia Oscar</v>
      </c>
      <c r="C349" s="8" t="str">
        <f t="shared" si="26"/>
        <v>León</v>
      </c>
      <c r="D349" s="8">
        <f t="shared" si="27"/>
        <v>0</v>
      </c>
      <c r="F349" s="4" t="str">
        <f>IF(Jugadores!B349="","",Jugadores!B349)</f>
        <v>Gauthier Valentin</v>
      </c>
      <c r="G349" s="4" t="str">
        <f>IF(Jugadores!B349="","",Jugadores!A349)</f>
        <v>León</v>
      </c>
      <c r="H349" s="4">
        <f>IF(F349="","",SUMIF('Estadísticas Jugadores'!$F$2:$F$7001,F349,'Estadísticas Jugadores'!$I$2:$I$7001))</f>
        <v>0</v>
      </c>
      <c r="I349" s="4">
        <f t="shared" si="28"/>
        <v>-3.4900000000000001E-5</v>
      </c>
      <c r="J349" s="4">
        <f t="shared" si="29"/>
        <v>352</v>
      </c>
    </row>
    <row r="350" spans="1:10" ht="15" customHeight="1" x14ac:dyDescent="0.25">
      <c r="A350" s="8">
        <f>IF(COUNT($J$2:$J$1501)&gt;=349,349,"")</f>
        <v>349</v>
      </c>
      <c r="B350" s="8" t="str">
        <f t="shared" si="25"/>
        <v>Barreiro Stiven</v>
      </c>
      <c r="C350" s="8" t="str">
        <f t="shared" si="26"/>
        <v>León</v>
      </c>
      <c r="D350" s="8">
        <f t="shared" si="27"/>
        <v>0</v>
      </c>
      <c r="F350" s="4" t="str">
        <f>IF(Jugadores!B350="","",Jugadores!B350)</f>
        <v>Guevara Juan</v>
      </c>
      <c r="G350" s="4" t="str">
        <f>IF(Jugadores!B350="","",Jugadores!A350)</f>
        <v>León</v>
      </c>
      <c r="H350" s="4">
        <f>IF(F350="","",SUMIF('Estadísticas Jugadores'!$F$2:$F$7001,F350,'Estadísticas Jugadores'!$I$2:$I$7001))</f>
        <v>0</v>
      </c>
      <c r="I350" s="4">
        <f t="shared" si="28"/>
        <v>-3.4999999999999997E-5</v>
      </c>
      <c r="J350" s="4">
        <f t="shared" si="29"/>
        <v>353</v>
      </c>
    </row>
    <row r="351" spans="1:10" ht="15" customHeight="1" x14ac:dyDescent="0.25">
      <c r="A351" s="8">
        <f>IF(COUNT($J$2:$J$1501)&gt;=350,350,"")</f>
        <v>350</v>
      </c>
      <c r="B351" s="8" t="str">
        <f t="shared" si="25"/>
        <v>Bellon Paul</v>
      </c>
      <c r="C351" s="8" t="str">
        <f t="shared" si="26"/>
        <v>León</v>
      </c>
      <c r="D351" s="8">
        <f t="shared" si="27"/>
        <v>0</v>
      </c>
      <c r="F351" s="4" t="str">
        <f>IF(Jugadores!B351="","",Jugadores!B351)</f>
        <v>Mora Christopher</v>
      </c>
      <c r="G351" s="4" t="str">
        <f>IF(Jugadores!B351="","",Jugadores!A351)</f>
        <v>León</v>
      </c>
      <c r="H351" s="4">
        <f>IF(F351="","",SUMIF('Estadísticas Jugadores'!$F$2:$F$7001,F351,'Estadísticas Jugadores'!$I$2:$I$7001))</f>
        <v>0</v>
      </c>
      <c r="I351" s="4">
        <f t="shared" si="28"/>
        <v>-3.5099999999999999E-5</v>
      </c>
      <c r="J351" s="4">
        <f t="shared" si="29"/>
        <v>354</v>
      </c>
    </row>
    <row r="352" spans="1:10" ht="15" customHeight="1" x14ac:dyDescent="0.25">
      <c r="A352" s="8">
        <f>IF(COUNT($J$2:$J$1501)&gt;=351,351,"")</f>
        <v>351</v>
      </c>
      <c r="B352" s="8" t="str">
        <f t="shared" si="25"/>
        <v>Colula Bryan</v>
      </c>
      <c r="C352" s="8" t="str">
        <f t="shared" si="26"/>
        <v>León</v>
      </c>
      <c r="D352" s="8">
        <f t="shared" si="27"/>
        <v>0</v>
      </c>
      <c r="F352" s="4" t="str">
        <f>IF(Jugadores!B352="","",Jugadores!B352)</f>
        <v>Ramirez David</v>
      </c>
      <c r="G352" s="4" t="str">
        <f>IF(Jugadores!B352="","",Jugadores!A352)</f>
        <v>León</v>
      </c>
      <c r="H352" s="4">
        <f>IF(F352="","",SUMIF('Estadísticas Jugadores'!$F$2:$F$7001,F352,'Estadísticas Jugadores'!$I$2:$I$7001))</f>
        <v>0</v>
      </c>
      <c r="I352" s="4">
        <f t="shared" si="28"/>
        <v>-3.5200000000000002E-5</v>
      </c>
      <c r="J352" s="4">
        <f t="shared" si="29"/>
        <v>355</v>
      </c>
    </row>
    <row r="353" spans="1:10" ht="15" customHeight="1" x14ac:dyDescent="0.25">
      <c r="A353" s="8">
        <f>IF(COUNT($J$2:$J$1501)&gt;=352,352,"")</f>
        <v>352</v>
      </c>
      <c r="B353" s="8" t="str">
        <f t="shared" si="25"/>
        <v>Gauthier Valentin</v>
      </c>
      <c r="C353" s="8" t="str">
        <f t="shared" si="26"/>
        <v>León</v>
      </c>
      <c r="D353" s="8">
        <f t="shared" si="27"/>
        <v>0</v>
      </c>
      <c r="F353" s="4" t="str">
        <f>IF(Jugadores!B353="","",Jugadores!B353)</f>
        <v>Reyes Salvador</v>
      </c>
      <c r="G353" s="4" t="str">
        <f>IF(Jugadores!B353="","",Jugadores!A353)</f>
        <v>León</v>
      </c>
      <c r="H353" s="4">
        <f>IF(F353="","",SUMIF('Estadísticas Jugadores'!$F$2:$F$7001,F353,'Estadísticas Jugadores'!$I$2:$I$7001))</f>
        <v>0</v>
      </c>
      <c r="I353" s="4">
        <f t="shared" si="28"/>
        <v>-3.5299999999999997E-5</v>
      </c>
      <c r="J353" s="4">
        <f t="shared" si="29"/>
        <v>356</v>
      </c>
    </row>
    <row r="354" spans="1:10" ht="15" customHeight="1" x14ac:dyDescent="0.25">
      <c r="A354" s="8">
        <f>IF(COUNT($J$2:$J$1501)&gt;=353,353,"")</f>
        <v>353</v>
      </c>
      <c r="B354" s="8" t="str">
        <f t="shared" si="25"/>
        <v>Guevara Juan</v>
      </c>
      <c r="C354" s="8" t="str">
        <f t="shared" si="26"/>
        <v>León</v>
      </c>
      <c r="D354" s="8">
        <f t="shared" si="27"/>
        <v>0</v>
      </c>
      <c r="F354" s="4" t="str">
        <f>IF(Jugadores!B354="","",Jugadores!B354)</f>
        <v>Romana Jhohan</v>
      </c>
      <c r="G354" s="4" t="str">
        <f>IF(Jugadores!B354="","",Jugadores!A354)</f>
        <v>León</v>
      </c>
      <c r="H354" s="4">
        <f>IF(F354="","",SUMIF('Estadísticas Jugadores'!$F$2:$F$7001,F354,'Estadísticas Jugadores'!$I$2:$I$7001))</f>
        <v>0</v>
      </c>
      <c r="I354" s="4">
        <f t="shared" si="28"/>
        <v>-3.54E-5</v>
      </c>
      <c r="J354" s="4">
        <f t="shared" si="29"/>
        <v>357</v>
      </c>
    </row>
    <row r="355" spans="1:10" ht="15" customHeight="1" x14ac:dyDescent="0.25">
      <c r="A355" s="8">
        <f>IF(COUNT($J$2:$J$1501)&gt;=354,354,"")</f>
        <v>354</v>
      </c>
      <c r="B355" s="8" t="str">
        <f t="shared" si="25"/>
        <v>Mora Christopher</v>
      </c>
      <c r="C355" s="8" t="str">
        <f t="shared" si="26"/>
        <v>León</v>
      </c>
      <c r="D355" s="8">
        <f t="shared" si="27"/>
        <v>0</v>
      </c>
      <c r="F355" s="4" t="str">
        <f>IF(Jugadores!B355="","",Jugadores!B355)</f>
        <v>Vegas Sebastian</v>
      </c>
      <c r="G355" s="4" t="str">
        <f>IF(Jugadores!B355="","",Jugadores!A355)</f>
        <v>León</v>
      </c>
      <c r="H355" s="4">
        <f>IF(F355="","",SUMIF('Estadísticas Jugadores'!$F$2:$F$7001,F355,'Estadísticas Jugadores'!$I$2:$I$7001))</f>
        <v>0</v>
      </c>
      <c r="I355" s="4">
        <f t="shared" si="28"/>
        <v>-3.5499999999999996E-5</v>
      </c>
      <c r="J355" s="4">
        <f t="shared" si="29"/>
        <v>358</v>
      </c>
    </row>
    <row r="356" spans="1:10" ht="15" customHeight="1" x14ac:dyDescent="0.25">
      <c r="A356" s="8">
        <f>IF(COUNT($J$2:$J$1501)&gt;=355,355,"")</f>
        <v>355</v>
      </c>
      <c r="B356" s="8" t="str">
        <f t="shared" si="25"/>
        <v>Ramirez David</v>
      </c>
      <c r="C356" s="8" t="str">
        <f t="shared" si="26"/>
        <v>León</v>
      </c>
      <c r="D356" s="8">
        <f t="shared" si="27"/>
        <v>0</v>
      </c>
      <c r="F356" s="4" t="str">
        <f>IF(Jugadores!B356="","",Jugadores!B356)</f>
        <v>Villegas Abraham</v>
      </c>
      <c r="G356" s="4" t="str">
        <f>IF(Jugadores!B356="","",Jugadores!A356)</f>
        <v>León</v>
      </c>
      <c r="H356" s="4">
        <f>IF(F356="","",SUMIF('Estadísticas Jugadores'!$F$2:$F$7001,F356,'Estadísticas Jugadores'!$I$2:$I$7001))</f>
        <v>0</v>
      </c>
      <c r="I356" s="4">
        <f t="shared" si="28"/>
        <v>-3.5599999999999998E-5</v>
      </c>
      <c r="J356" s="4">
        <f t="shared" si="29"/>
        <v>359</v>
      </c>
    </row>
    <row r="357" spans="1:10" ht="15" customHeight="1" x14ac:dyDescent="0.25">
      <c r="A357" s="8">
        <f>IF(COUNT($J$2:$J$1501)&gt;=356,356,"")</f>
        <v>356</v>
      </c>
      <c r="B357" s="8" t="str">
        <f t="shared" si="25"/>
        <v>Reyes Salvador</v>
      </c>
      <c r="C357" s="8" t="str">
        <f t="shared" si="26"/>
        <v>León</v>
      </c>
      <c r="D357" s="8">
        <f t="shared" si="27"/>
        <v>0</v>
      </c>
      <c r="F357" s="4" t="str">
        <f>IF(Jugadores!B357="","",Jugadores!B357)</f>
        <v>Arcila Daniel</v>
      </c>
      <c r="G357" s="4" t="str">
        <f>IF(Jugadores!B357="","",Jugadores!A357)</f>
        <v>León</v>
      </c>
      <c r="H357" s="4">
        <f>IF(F357="","",SUMIF('Estadísticas Jugadores'!$F$2:$F$7001,F357,'Estadísticas Jugadores'!$I$2:$I$7001))</f>
        <v>0</v>
      </c>
      <c r="I357" s="4">
        <f t="shared" si="28"/>
        <v>-3.57E-5</v>
      </c>
      <c r="J357" s="4">
        <f t="shared" si="29"/>
        <v>360</v>
      </c>
    </row>
    <row r="358" spans="1:10" ht="15" customHeight="1" x14ac:dyDescent="0.25">
      <c r="A358" s="8">
        <f>IF(COUNT($J$2:$J$1501)&gt;=357,357,"")</f>
        <v>357</v>
      </c>
      <c r="B358" s="8" t="str">
        <f t="shared" si="25"/>
        <v>Romana Jhohan</v>
      </c>
      <c r="C358" s="8" t="str">
        <f t="shared" si="26"/>
        <v>León</v>
      </c>
      <c r="D358" s="8">
        <f t="shared" si="27"/>
        <v>0</v>
      </c>
      <c r="F358" s="4" t="str">
        <f>IF(Jugadores!B358="","",Jugadores!B358)</f>
        <v>Beltran Cruz Fernando</v>
      </c>
      <c r="G358" s="4" t="str">
        <f>IF(Jugadores!B358="","",Jugadores!A358)</f>
        <v>León</v>
      </c>
      <c r="H358" s="4">
        <f>IF(F358="","",SUMIF('Estadísticas Jugadores'!$F$2:$F$7001,F358,'Estadísticas Jugadores'!$I$2:$I$7001))</f>
        <v>0</v>
      </c>
      <c r="I358" s="4">
        <f t="shared" si="28"/>
        <v>-3.5799999999999996E-5</v>
      </c>
      <c r="J358" s="4">
        <f t="shared" si="29"/>
        <v>361</v>
      </c>
    </row>
    <row r="359" spans="1:10" ht="15" customHeight="1" x14ac:dyDescent="0.25">
      <c r="A359" s="8">
        <f>IF(COUNT($J$2:$J$1501)&gt;=358,358,"")</f>
        <v>358</v>
      </c>
      <c r="B359" s="8" t="str">
        <f t="shared" si="25"/>
        <v>Vegas Sebastian</v>
      </c>
      <c r="C359" s="8" t="str">
        <f t="shared" si="26"/>
        <v>León</v>
      </c>
      <c r="D359" s="8">
        <f t="shared" si="27"/>
        <v>0</v>
      </c>
      <c r="F359" s="4" t="str">
        <f>IF(Jugadores!B359="","",Jugadores!B359)</f>
        <v>Dominguez Chonteco Juan Pablo</v>
      </c>
      <c r="G359" s="4" t="str">
        <f>IF(Jugadores!B359="","",Jugadores!A359)</f>
        <v>León</v>
      </c>
      <c r="H359" s="4">
        <f>IF(F359="","",SUMIF('Estadísticas Jugadores'!$F$2:$F$7001,F359,'Estadísticas Jugadores'!$I$2:$I$7001))</f>
        <v>0</v>
      </c>
      <c r="I359" s="4">
        <f t="shared" si="28"/>
        <v>-3.5899999999999998E-5</v>
      </c>
      <c r="J359" s="4">
        <f t="shared" si="29"/>
        <v>362</v>
      </c>
    </row>
    <row r="360" spans="1:10" ht="15" customHeight="1" x14ac:dyDescent="0.25">
      <c r="A360" s="8">
        <f>IF(COUNT($J$2:$J$1501)&gt;=359,359,"")</f>
        <v>359</v>
      </c>
      <c r="B360" s="8" t="str">
        <f t="shared" si="25"/>
        <v>Villegas Abraham</v>
      </c>
      <c r="C360" s="8" t="str">
        <f t="shared" si="26"/>
        <v>León</v>
      </c>
      <c r="D360" s="8">
        <f t="shared" si="27"/>
        <v>0</v>
      </c>
      <c r="F360" s="4" t="str">
        <f>IF(Jugadores!B360="","",Jugadores!B360)</f>
        <v>Echeverria Rodrigo</v>
      </c>
      <c r="G360" s="4" t="str">
        <f>IF(Jugadores!B360="","",Jugadores!A360)</f>
        <v>León</v>
      </c>
      <c r="H360" s="4">
        <f>IF(F360="","",SUMIF('Estadísticas Jugadores'!$F$2:$F$7001,F360,'Estadísticas Jugadores'!$I$2:$I$7001))</f>
        <v>0</v>
      </c>
      <c r="I360" s="4">
        <f t="shared" si="28"/>
        <v>-3.6000000000000001E-5</v>
      </c>
      <c r="J360" s="4">
        <f t="shared" si="29"/>
        <v>363</v>
      </c>
    </row>
    <row r="361" spans="1:10" ht="15" customHeight="1" x14ac:dyDescent="0.25">
      <c r="A361" s="8">
        <f>IF(COUNT($J$2:$J$1501)&gt;=360,360,"")</f>
        <v>360</v>
      </c>
      <c r="B361" s="8" t="str">
        <f t="shared" si="25"/>
        <v>Arcila Daniel</v>
      </c>
      <c r="C361" s="8" t="str">
        <f t="shared" si="26"/>
        <v>León</v>
      </c>
      <c r="D361" s="8">
        <f t="shared" si="27"/>
        <v>0</v>
      </c>
      <c r="F361" s="4" t="str">
        <f>IF(Jugadores!B361="","",Jugadores!B361)</f>
        <v>Estrada Angel</v>
      </c>
      <c r="G361" s="4" t="str">
        <f>IF(Jugadores!B361="","",Jugadores!A361)</f>
        <v>León</v>
      </c>
      <c r="H361" s="4">
        <f>IF(F361="","",SUMIF('Estadísticas Jugadores'!$F$2:$F$7001,F361,'Estadísticas Jugadores'!$I$2:$I$7001))</f>
        <v>0</v>
      </c>
      <c r="I361" s="4">
        <f t="shared" si="28"/>
        <v>-3.6099999999999997E-5</v>
      </c>
      <c r="J361" s="4">
        <f t="shared" si="29"/>
        <v>364</v>
      </c>
    </row>
    <row r="362" spans="1:10" ht="15" customHeight="1" x14ac:dyDescent="0.25">
      <c r="A362" s="8">
        <f>IF(COUNT($J$2:$J$1501)&gt;=361,361,"")</f>
        <v>361</v>
      </c>
      <c r="B362" s="8" t="str">
        <f t="shared" si="25"/>
        <v>Beltran Cruz Fernando</v>
      </c>
      <c r="C362" s="8" t="str">
        <f t="shared" si="26"/>
        <v>León</v>
      </c>
      <c r="D362" s="8">
        <f t="shared" si="27"/>
        <v>0</v>
      </c>
      <c r="F362" s="4" t="str">
        <f>IF(Jugadores!B362="","",Jugadores!B362)</f>
        <v>Lara Jesús</v>
      </c>
      <c r="G362" s="4" t="str">
        <f>IF(Jugadores!B362="","",Jugadores!A362)</f>
        <v>León</v>
      </c>
      <c r="H362" s="4">
        <f>IF(F362="","",SUMIF('Estadísticas Jugadores'!$F$2:$F$7001,F362,'Estadísticas Jugadores'!$I$2:$I$7001))</f>
        <v>0</v>
      </c>
      <c r="I362" s="4">
        <f t="shared" si="28"/>
        <v>-3.6199999999999999E-5</v>
      </c>
      <c r="J362" s="4">
        <f t="shared" si="29"/>
        <v>365</v>
      </c>
    </row>
    <row r="363" spans="1:10" ht="15" customHeight="1" x14ac:dyDescent="0.25">
      <c r="A363" s="8">
        <f>IF(COUNT($J$2:$J$1501)&gt;=362,362,"")</f>
        <v>362</v>
      </c>
      <c r="B363" s="8" t="str">
        <f t="shared" si="25"/>
        <v>Dominguez Chonteco Juan Pablo</v>
      </c>
      <c r="C363" s="8" t="str">
        <f t="shared" si="26"/>
        <v>León</v>
      </c>
      <c r="D363" s="8">
        <f t="shared" si="27"/>
        <v>0</v>
      </c>
      <c r="F363" s="4" t="str">
        <f>IF(Jugadores!B363="","",Jugadores!B363)</f>
        <v>Rodriguez Ivan</v>
      </c>
      <c r="G363" s="4" t="str">
        <f>IF(Jugadores!B363="","",Jugadores!A363)</f>
        <v>León</v>
      </c>
      <c r="H363" s="4">
        <f>IF(F363="","",SUMIF('Estadísticas Jugadores'!$F$2:$F$7001,F363,'Estadísticas Jugadores'!$I$2:$I$7001))</f>
        <v>0</v>
      </c>
      <c r="I363" s="4">
        <f t="shared" si="28"/>
        <v>-3.6300000000000001E-5</v>
      </c>
      <c r="J363" s="4">
        <f t="shared" si="29"/>
        <v>366</v>
      </c>
    </row>
    <row r="364" spans="1:10" ht="15" customHeight="1" x14ac:dyDescent="0.25">
      <c r="A364" s="8">
        <f>IF(COUNT($J$2:$J$1501)&gt;=363,363,"")</f>
        <v>363</v>
      </c>
      <c r="B364" s="8" t="str">
        <f t="shared" si="25"/>
        <v>Echeverria Rodrigo</v>
      </c>
      <c r="C364" s="8" t="str">
        <f t="shared" si="26"/>
        <v>León</v>
      </c>
      <c r="D364" s="8">
        <f t="shared" si="27"/>
        <v>0</v>
      </c>
      <c r="F364" s="4" t="str">
        <f>IF(Jugadores!B364="","",Jugadores!B364)</f>
        <v>Santos Sebastian</v>
      </c>
      <c r="G364" s="4" t="str">
        <f>IF(Jugadores!B364="","",Jugadores!A364)</f>
        <v>León</v>
      </c>
      <c r="H364" s="4">
        <f>IF(F364="","",SUMIF('Estadísticas Jugadores'!$F$2:$F$7001,F364,'Estadísticas Jugadores'!$I$2:$I$7001))</f>
        <v>0</v>
      </c>
      <c r="I364" s="4">
        <f t="shared" si="28"/>
        <v>-3.6399999999999997E-5</v>
      </c>
      <c r="J364" s="4">
        <f t="shared" si="29"/>
        <v>367</v>
      </c>
    </row>
    <row r="365" spans="1:10" ht="15" customHeight="1" x14ac:dyDescent="0.25">
      <c r="A365" s="8">
        <f>IF(COUNT($J$2:$J$1501)&gt;=364,364,"")</f>
        <v>364</v>
      </c>
      <c r="B365" s="8" t="str">
        <f t="shared" si="25"/>
        <v>Estrada Angel</v>
      </c>
      <c r="C365" s="8" t="str">
        <f t="shared" si="26"/>
        <v>León</v>
      </c>
      <c r="D365" s="8">
        <f t="shared" si="27"/>
        <v>0</v>
      </c>
      <c r="F365" s="4" t="str">
        <f>IF(Jugadores!B365="","",Jugadores!B365)</f>
        <v>Valadez Luis</v>
      </c>
      <c r="G365" s="4" t="str">
        <f>IF(Jugadores!B365="","",Jugadores!A365)</f>
        <v>León</v>
      </c>
      <c r="H365" s="4">
        <f>IF(F365="","",SUMIF('Estadísticas Jugadores'!$F$2:$F$7001,F365,'Estadísticas Jugadores'!$I$2:$I$7001))</f>
        <v>0</v>
      </c>
      <c r="I365" s="4">
        <f t="shared" si="28"/>
        <v>-3.65E-5</v>
      </c>
      <c r="J365" s="4">
        <f t="shared" si="29"/>
        <v>368</v>
      </c>
    </row>
    <row r="366" spans="1:10" ht="15" customHeight="1" x14ac:dyDescent="0.25">
      <c r="A366" s="8">
        <f>IF(COUNT($J$2:$J$1501)&gt;=365,365,"")</f>
        <v>365</v>
      </c>
      <c r="B366" s="8" t="str">
        <f t="shared" si="25"/>
        <v>Lara Jesús</v>
      </c>
      <c r="C366" s="8" t="str">
        <f t="shared" si="26"/>
        <v>León</v>
      </c>
      <c r="D366" s="8">
        <f t="shared" si="27"/>
        <v>0</v>
      </c>
      <c r="F366" s="4" t="str">
        <f>IF(Jugadores!B366="","",Jugadores!B366)</f>
        <v>Alvarado Alfonso</v>
      </c>
      <c r="G366" s="4" t="str">
        <f>IF(Jugadores!B366="","",Jugadores!A366)</f>
        <v>León</v>
      </c>
      <c r="H366" s="4">
        <f>IF(F366="","",SUMIF('Estadísticas Jugadores'!$F$2:$F$7001,F366,'Estadísticas Jugadores'!$I$2:$I$7001))</f>
        <v>0</v>
      </c>
      <c r="I366" s="4">
        <f t="shared" si="28"/>
        <v>-3.6599999999999995E-5</v>
      </c>
      <c r="J366" s="4">
        <f t="shared" si="29"/>
        <v>369</v>
      </c>
    </row>
    <row r="367" spans="1:10" ht="15" customHeight="1" x14ac:dyDescent="0.25">
      <c r="A367" s="8">
        <f>IF(COUNT($J$2:$J$1501)&gt;=366,366,"")</f>
        <v>366</v>
      </c>
      <c r="B367" s="8" t="str">
        <f t="shared" si="25"/>
        <v>Rodriguez Ivan</v>
      </c>
      <c r="C367" s="8" t="str">
        <f t="shared" si="26"/>
        <v>León</v>
      </c>
      <c r="D367" s="8">
        <f t="shared" si="27"/>
        <v>0</v>
      </c>
      <c r="F367" s="4" t="str">
        <f>IF(Jugadores!B367="","",Jugadores!B367)</f>
        <v>Cambindo Abonia Diber Armando</v>
      </c>
      <c r="G367" s="4" t="str">
        <f>IF(Jugadores!B367="","",Jugadores!A367)</f>
        <v>León</v>
      </c>
      <c r="H367" s="4">
        <f>IF(F367="","",SUMIF('Estadísticas Jugadores'!$F$2:$F$7001,F367,'Estadísticas Jugadores'!$I$2:$I$7001))</f>
        <v>1</v>
      </c>
      <c r="I367" s="4">
        <f t="shared" si="28"/>
        <v>999.99996329999999</v>
      </c>
      <c r="J367" s="4">
        <f t="shared" si="29"/>
        <v>22</v>
      </c>
    </row>
    <row r="368" spans="1:10" ht="15" customHeight="1" x14ac:dyDescent="0.25">
      <c r="A368" s="8">
        <f>IF(COUNT($J$2:$J$1501)&gt;=367,367,"")</f>
        <v>367</v>
      </c>
      <c r="B368" s="8" t="str">
        <f t="shared" si="25"/>
        <v>Santos Sebastian</v>
      </c>
      <c r="C368" s="8" t="str">
        <f t="shared" si="26"/>
        <v>León</v>
      </c>
      <c r="D368" s="8">
        <f t="shared" si="27"/>
        <v>0</v>
      </c>
      <c r="F368" s="4" t="str">
        <f>IF(Jugadores!B368="","",Jugadores!B368)</f>
        <v>Cortizo Jordi</v>
      </c>
      <c r="G368" s="4" t="str">
        <f>IF(Jugadores!B368="","",Jugadores!A368)</f>
        <v>León</v>
      </c>
      <c r="H368" s="4">
        <f>IF(F368="","",SUMIF('Estadísticas Jugadores'!$F$2:$F$7001,F368,'Estadísticas Jugadores'!$I$2:$I$7001))</f>
        <v>1</v>
      </c>
      <c r="I368" s="4">
        <f t="shared" si="28"/>
        <v>999.99996320000002</v>
      </c>
      <c r="J368" s="4">
        <f t="shared" si="29"/>
        <v>23</v>
      </c>
    </row>
    <row r="369" spans="1:10" ht="15" customHeight="1" x14ac:dyDescent="0.25">
      <c r="A369" s="8">
        <f>IF(COUNT($J$2:$J$1501)&gt;=368,368,"")</f>
        <v>368</v>
      </c>
      <c r="B369" s="8" t="str">
        <f t="shared" si="25"/>
        <v>Valadez Luis</v>
      </c>
      <c r="C369" s="8" t="str">
        <f t="shared" si="26"/>
        <v>León</v>
      </c>
      <c r="D369" s="8">
        <f t="shared" si="27"/>
        <v>0</v>
      </c>
      <c r="F369" s="4" t="str">
        <f>IF(Jugadores!B369="","",Jugadores!B369)</f>
        <v>Diaz Ismael</v>
      </c>
      <c r="G369" s="4" t="str">
        <f>IF(Jugadores!B369="","",Jugadores!A369)</f>
        <v>León</v>
      </c>
      <c r="H369" s="4">
        <f>IF(F369="","",SUMIF('Estadísticas Jugadores'!$F$2:$F$7001,F369,'Estadísticas Jugadores'!$I$2:$I$7001))</f>
        <v>0</v>
      </c>
      <c r="I369" s="4">
        <f t="shared" si="28"/>
        <v>-3.6899999999999996E-5</v>
      </c>
      <c r="J369" s="4">
        <f t="shared" si="29"/>
        <v>370</v>
      </c>
    </row>
    <row r="370" spans="1:10" ht="15" customHeight="1" x14ac:dyDescent="0.25">
      <c r="A370" s="8">
        <f>IF(COUNT($J$2:$J$1501)&gt;=369,369,"")</f>
        <v>369</v>
      </c>
      <c r="B370" s="8" t="str">
        <f t="shared" si="25"/>
        <v>Alvarado Alfonso</v>
      </c>
      <c r="C370" s="8" t="str">
        <f t="shared" si="26"/>
        <v>León</v>
      </c>
      <c r="D370" s="8">
        <f t="shared" si="27"/>
        <v>0</v>
      </c>
      <c r="F370" s="4" t="str">
        <f>IF(Jugadores!B370="","",Jugadores!B370)</f>
        <v>Funes Mori Rogelio</v>
      </c>
      <c r="G370" s="4" t="str">
        <f>IF(Jugadores!B370="","",Jugadores!A370)</f>
        <v>León</v>
      </c>
      <c r="H370" s="4">
        <f>IF(F370="","",SUMIF('Estadísticas Jugadores'!$F$2:$F$7001,F370,'Estadísticas Jugadores'!$I$2:$I$7001))</f>
        <v>0</v>
      </c>
      <c r="I370" s="4">
        <f t="shared" si="28"/>
        <v>-3.6999999999999998E-5</v>
      </c>
      <c r="J370" s="4">
        <f t="shared" si="29"/>
        <v>371</v>
      </c>
    </row>
    <row r="371" spans="1:10" ht="15" customHeight="1" x14ac:dyDescent="0.25">
      <c r="A371" s="8">
        <f>IF(COUNT($J$2:$J$1501)&gt;=370,370,"")</f>
        <v>370</v>
      </c>
      <c r="B371" s="8" t="str">
        <f t="shared" si="25"/>
        <v>Diaz Ismael</v>
      </c>
      <c r="C371" s="8" t="str">
        <f t="shared" si="26"/>
        <v>León</v>
      </c>
      <c r="D371" s="8">
        <f t="shared" si="27"/>
        <v>0</v>
      </c>
      <c r="F371" s="4" t="str">
        <f>IF(Jugadores!B371="","",Jugadores!B371)</f>
        <v>Guerra Edgar</v>
      </c>
      <c r="G371" s="4" t="str">
        <f>IF(Jugadores!B371="","",Jugadores!A371)</f>
        <v>León</v>
      </c>
      <c r="H371" s="4">
        <f>IF(F371="","",SUMIF('Estadísticas Jugadores'!$F$2:$F$7001,F371,'Estadísticas Jugadores'!$I$2:$I$7001))</f>
        <v>0</v>
      </c>
      <c r="I371" s="4">
        <f t="shared" si="28"/>
        <v>-3.7100000000000001E-5</v>
      </c>
      <c r="J371" s="4">
        <f t="shared" si="29"/>
        <v>372</v>
      </c>
    </row>
    <row r="372" spans="1:10" ht="15" customHeight="1" x14ac:dyDescent="0.25">
      <c r="A372" s="8">
        <f>IF(COUNT($J$2:$J$1501)&gt;=371,371,"")</f>
        <v>371</v>
      </c>
      <c r="B372" s="8" t="str">
        <f t="shared" si="25"/>
        <v>Funes Mori Rogelio</v>
      </c>
      <c r="C372" s="8" t="str">
        <f t="shared" si="26"/>
        <v>León</v>
      </c>
      <c r="D372" s="8">
        <f t="shared" si="27"/>
        <v>0</v>
      </c>
      <c r="F372" s="4" t="str">
        <f>IF(Jugadores!B372="","",Jugadores!B372)</f>
        <v>Moreno Ivan</v>
      </c>
      <c r="G372" s="4" t="str">
        <f>IF(Jugadores!B372="","",Jugadores!A372)</f>
        <v>León</v>
      </c>
      <c r="H372" s="4">
        <f>IF(F372="","",SUMIF('Estadísticas Jugadores'!$F$2:$F$7001,F372,'Estadísticas Jugadores'!$I$2:$I$7001))</f>
        <v>0</v>
      </c>
      <c r="I372" s="4">
        <f t="shared" si="28"/>
        <v>-3.7199999999999996E-5</v>
      </c>
      <c r="J372" s="4">
        <f t="shared" si="29"/>
        <v>373</v>
      </c>
    </row>
    <row r="373" spans="1:10" ht="15" customHeight="1" x14ac:dyDescent="0.25">
      <c r="A373" s="8">
        <f>IF(COUNT($J$2:$J$1501)&gt;=372,372,"")</f>
        <v>372</v>
      </c>
      <c r="B373" s="8" t="str">
        <f t="shared" si="25"/>
        <v>Guerra Edgar</v>
      </c>
      <c r="C373" s="8" t="str">
        <f t="shared" si="26"/>
        <v>León</v>
      </c>
      <c r="D373" s="8">
        <f t="shared" si="27"/>
        <v>0</v>
      </c>
      <c r="F373" s="4" t="str">
        <f>IF(Jugadores!B373="","",Jugadores!B373)</f>
        <v>Barragán Roberto</v>
      </c>
      <c r="G373" s="4" t="str">
        <f>IF(Jugadores!B373="","",Jugadores!A373)</f>
        <v>Atlante</v>
      </c>
      <c r="H373" s="4">
        <f>IF(F373="","",SUMIF('Estadísticas Jugadores'!$F$2:$F$7001,F373,'Estadísticas Jugadores'!$I$2:$I$7001))</f>
        <v>0</v>
      </c>
      <c r="I373" s="4">
        <f t="shared" si="28"/>
        <v>-3.7299999999999999E-5</v>
      </c>
      <c r="J373" s="4">
        <f t="shared" si="29"/>
        <v>374</v>
      </c>
    </row>
    <row r="374" spans="1:10" ht="15" customHeight="1" x14ac:dyDescent="0.25">
      <c r="A374" s="8">
        <f>IF(COUNT($J$2:$J$1501)&gt;=373,373,"")</f>
        <v>373</v>
      </c>
      <c r="B374" s="8" t="str">
        <f t="shared" si="25"/>
        <v>Moreno Ivan</v>
      </c>
      <c r="C374" s="8" t="str">
        <f t="shared" si="26"/>
        <v>León</v>
      </c>
      <c r="D374" s="8">
        <f t="shared" si="27"/>
        <v>0</v>
      </c>
      <c r="F374" s="4" t="str">
        <f>IF(Jugadores!B374="","",Jugadores!B374)</f>
        <v>Beltran Ronaldo</v>
      </c>
      <c r="G374" s="4" t="str">
        <f>IF(Jugadores!B374="","",Jugadores!A374)</f>
        <v>Atlante</v>
      </c>
      <c r="H374" s="4">
        <f>IF(F374="","",SUMIF('Estadísticas Jugadores'!$F$2:$F$7001,F374,'Estadísticas Jugadores'!$I$2:$I$7001))</f>
        <v>0</v>
      </c>
      <c r="I374" s="4">
        <f t="shared" si="28"/>
        <v>-3.7400000000000001E-5</v>
      </c>
      <c r="J374" s="4">
        <f t="shared" si="29"/>
        <v>375</v>
      </c>
    </row>
    <row r="375" spans="1:10" ht="15" customHeight="1" x14ac:dyDescent="0.25">
      <c r="A375" s="8">
        <f>IF(COUNT($J$2:$J$1501)&gt;=374,374,"")</f>
        <v>374</v>
      </c>
      <c r="B375" s="8" t="str">
        <f t="shared" si="25"/>
        <v>Barragán Roberto</v>
      </c>
      <c r="C375" s="8" t="str">
        <f t="shared" si="26"/>
        <v>Atlante</v>
      </c>
      <c r="D375" s="8">
        <f t="shared" si="27"/>
        <v>0</v>
      </c>
      <c r="F375" s="4" t="str">
        <f>IF(Jugadores!B375="","",Jugadores!B375)</f>
        <v>Jimenez Oscar</v>
      </c>
      <c r="G375" s="4" t="str">
        <f>IF(Jugadores!B375="","",Jugadores!A375)</f>
        <v>Atlante</v>
      </c>
      <c r="H375" s="4">
        <f>IF(F375="","",SUMIF('Estadísticas Jugadores'!$F$2:$F$7001,F375,'Estadísticas Jugadores'!$I$2:$I$7001))</f>
        <v>0</v>
      </c>
      <c r="I375" s="4">
        <f t="shared" si="28"/>
        <v>-3.7499999999999997E-5</v>
      </c>
      <c r="J375" s="4">
        <f t="shared" si="29"/>
        <v>376</v>
      </c>
    </row>
    <row r="376" spans="1:10" ht="15" customHeight="1" x14ac:dyDescent="0.25">
      <c r="A376" s="8">
        <f>IF(COUNT($J$2:$J$1501)&gt;=375,375,"")</f>
        <v>375</v>
      </c>
      <c r="B376" s="8" t="str">
        <f t="shared" si="25"/>
        <v>Beltran Ronaldo</v>
      </c>
      <c r="C376" s="8" t="str">
        <f t="shared" si="26"/>
        <v>Atlante</v>
      </c>
      <c r="D376" s="8">
        <f t="shared" si="27"/>
        <v>0</v>
      </c>
      <c r="F376" s="4" t="str">
        <f>IF(Jugadores!B376="","",Jugadores!B376)</f>
        <v>Alfaro Cristobal</v>
      </c>
      <c r="G376" s="4" t="str">
        <f>IF(Jugadores!B376="","",Jugadores!A376)</f>
        <v>Atlante</v>
      </c>
      <c r="H376" s="4">
        <f>IF(F376="","",SUMIF('Estadísticas Jugadores'!$F$2:$F$7001,F376,'Estadísticas Jugadores'!$I$2:$I$7001))</f>
        <v>0</v>
      </c>
      <c r="I376" s="4">
        <f t="shared" si="28"/>
        <v>-3.7599999999999999E-5</v>
      </c>
      <c r="J376" s="4">
        <f t="shared" si="29"/>
        <v>377</v>
      </c>
    </row>
    <row r="377" spans="1:10" ht="15" customHeight="1" x14ac:dyDescent="0.25">
      <c r="A377" s="8">
        <f>IF(COUNT($J$2:$J$1501)&gt;=376,376,"")</f>
        <v>376</v>
      </c>
      <c r="B377" s="8" t="str">
        <f t="shared" si="25"/>
        <v>Jimenez Oscar</v>
      </c>
      <c r="C377" s="8" t="str">
        <f t="shared" si="26"/>
        <v>Atlante</v>
      </c>
      <c r="D377" s="8">
        <f t="shared" si="27"/>
        <v>0</v>
      </c>
      <c r="F377" s="4" t="str">
        <f>IF(Jugadores!B377="","",Jugadores!B377)</f>
        <v>Bagui Tobar Diogo Osmar</v>
      </c>
      <c r="G377" s="4" t="str">
        <f>IF(Jugadores!B377="","",Jugadores!A377)</f>
        <v>Atlante</v>
      </c>
      <c r="H377" s="4">
        <f>IF(F377="","",SUMIF('Estadísticas Jugadores'!$F$2:$F$7001,F377,'Estadísticas Jugadores'!$I$2:$I$7001))</f>
        <v>0</v>
      </c>
      <c r="I377" s="4">
        <f t="shared" si="28"/>
        <v>-3.7700000000000002E-5</v>
      </c>
      <c r="J377" s="4">
        <f t="shared" si="29"/>
        <v>378</v>
      </c>
    </row>
    <row r="378" spans="1:10" ht="15" customHeight="1" x14ac:dyDescent="0.25">
      <c r="A378" s="8">
        <f>IF(COUNT($J$2:$J$1501)&gt;=377,377,"")</f>
        <v>377</v>
      </c>
      <c r="B378" s="8" t="str">
        <f t="shared" si="25"/>
        <v>Alfaro Cristobal</v>
      </c>
      <c r="C378" s="8" t="str">
        <f t="shared" si="26"/>
        <v>Atlante</v>
      </c>
      <c r="D378" s="8">
        <f t="shared" si="27"/>
        <v>0</v>
      </c>
      <c r="F378" s="4" t="str">
        <f>IF(Jugadores!B378="","",Jugadores!B378)</f>
        <v>Carrera Juan Nicolas</v>
      </c>
      <c r="G378" s="4" t="str">
        <f>IF(Jugadores!B378="","",Jugadores!A378)</f>
        <v>Atlante</v>
      </c>
      <c r="H378" s="4">
        <f>IF(F378="","",SUMIF('Estadísticas Jugadores'!$F$2:$F$7001,F378,'Estadísticas Jugadores'!$I$2:$I$7001))</f>
        <v>0</v>
      </c>
      <c r="I378" s="4">
        <f t="shared" si="28"/>
        <v>-3.7799999999999997E-5</v>
      </c>
      <c r="J378" s="4">
        <f t="shared" si="29"/>
        <v>379</v>
      </c>
    </row>
    <row r="379" spans="1:10" ht="15" customHeight="1" x14ac:dyDescent="0.25">
      <c r="A379" s="8">
        <f>IF(COUNT($J$2:$J$1501)&gt;=378,378,"")</f>
        <v>378</v>
      </c>
      <c r="B379" s="8" t="str">
        <f t="shared" si="25"/>
        <v>Bagui Tobar Diogo Osmar</v>
      </c>
      <c r="C379" s="8" t="str">
        <f t="shared" si="26"/>
        <v>Atlante</v>
      </c>
      <c r="D379" s="8">
        <f t="shared" si="27"/>
        <v>0</v>
      </c>
      <c r="F379" s="4" t="str">
        <f>IF(Jugadores!B379="","",Jugadores!B379)</f>
        <v>Espinoza Emiliano</v>
      </c>
      <c r="G379" s="4" t="str">
        <f>IF(Jugadores!B379="","",Jugadores!A379)</f>
        <v>Atlante</v>
      </c>
      <c r="H379" s="4">
        <f>IF(F379="","",SUMIF('Estadísticas Jugadores'!$F$2:$F$7001,F379,'Estadísticas Jugadores'!$I$2:$I$7001))</f>
        <v>0</v>
      </c>
      <c r="I379" s="4">
        <f t="shared" si="28"/>
        <v>-3.79E-5</v>
      </c>
      <c r="J379" s="4">
        <f t="shared" si="29"/>
        <v>380</v>
      </c>
    </row>
    <row r="380" spans="1:10" ht="15" customHeight="1" x14ac:dyDescent="0.25">
      <c r="A380" s="8">
        <f>IF(COUNT($J$2:$J$1501)&gt;=379,379,"")</f>
        <v>379</v>
      </c>
      <c r="B380" s="8" t="str">
        <f t="shared" si="25"/>
        <v>Carrera Juan Nicolas</v>
      </c>
      <c r="C380" s="8" t="str">
        <f t="shared" si="26"/>
        <v>Atlante</v>
      </c>
      <c r="D380" s="8">
        <f t="shared" si="27"/>
        <v>0</v>
      </c>
      <c r="F380" s="4" t="str">
        <f>IF(Jugadores!B380="","",Jugadores!B380)</f>
        <v>Padilla Axl</v>
      </c>
      <c r="G380" s="4" t="str">
        <f>IF(Jugadores!B380="","",Jugadores!A380)</f>
        <v>Atlante</v>
      </c>
      <c r="H380" s="4">
        <f>IF(F380="","",SUMIF('Estadísticas Jugadores'!$F$2:$F$7001,F380,'Estadísticas Jugadores'!$I$2:$I$7001))</f>
        <v>0</v>
      </c>
      <c r="I380" s="4">
        <f t="shared" si="28"/>
        <v>-3.7999999999999995E-5</v>
      </c>
      <c r="J380" s="4">
        <f t="shared" si="29"/>
        <v>381</v>
      </c>
    </row>
    <row r="381" spans="1:10" ht="15" customHeight="1" x14ac:dyDescent="0.25">
      <c r="A381" s="8">
        <f>IF(COUNT($J$2:$J$1501)&gt;=380,380,"")</f>
        <v>380</v>
      </c>
      <c r="B381" s="8" t="str">
        <f t="shared" si="25"/>
        <v>Espinoza Emiliano</v>
      </c>
      <c r="C381" s="8" t="str">
        <f t="shared" si="26"/>
        <v>Atlante</v>
      </c>
      <c r="D381" s="8">
        <f t="shared" si="27"/>
        <v>0</v>
      </c>
      <c r="F381" s="4" t="str">
        <f>IF(Jugadores!B381="","",Jugadores!B381)</f>
        <v>Portales Walter</v>
      </c>
      <c r="G381" s="4" t="str">
        <f>IF(Jugadores!B381="","",Jugadores!A381)</f>
        <v>Atlante</v>
      </c>
      <c r="H381" s="4">
        <f>IF(F381="","",SUMIF('Estadísticas Jugadores'!$F$2:$F$7001,F381,'Estadísticas Jugadores'!$I$2:$I$7001))</f>
        <v>0</v>
      </c>
      <c r="I381" s="4">
        <f t="shared" si="28"/>
        <v>-3.8099999999999998E-5</v>
      </c>
      <c r="J381" s="4">
        <f t="shared" si="29"/>
        <v>382</v>
      </c>
    </row>
    <row r="382" spans="1:10" ht="15" customHeight="1" x14ac:dyDescent="0.25">
      <c r="A382" s="8">
        <f>IF(COUNT($J$2:$J$1501)&gt;=381,381,"")</f>
        <v>381</v>
      </c>
      <c r="B382" s="8" t="str">
        <f t="shared" si="25"/>
        <v>Padilla Axl</v>
      </c>
      <c r="C382" s="8" t="str">
        <f t="shared" si="26"/>
        <v>Atlante</v>
      </c>
      <c r="D382" s="8">
        <f t="shared" si="27"/>
        <v>0</v>
      </c>
      <c r="F382" s="4" t="str">
        <f>IF(Jugadores!B382="","",Jugadores!B382)</f>
        <v>Sanchez Luis</v>
      </c>
      <c r="G382" s="4" t="str">
        <f>IF(Jugadores!B382="","",Jugadores!A382)</f>
        <v>Atlante</v>
      </c>
      <c r="H382" s="4">
        <f>IF(F382="","",SUMIF('Estadísticas Jugadores'!$F$2:$F$7001,F382,'Estadísticas Jugadores'!$I$2:$I$7001))</f>
        <v>0</v>
      </c>
      <c r="I382" s="4">
        <f t="shared" si="28"/>
        <v>-3.82E-5</v>
      </c>
      <c r="J382" s="4">
        <f t="shared" si="29"/>
        <v>383</v>
      </c>
    </row>
    <row r="383" spans="1:10" ht="15" customHeight="1" x14ac:dyDescent="0.25">
      <c r="A383" s="8">
        <f>IF(COUNT($J$2:$J$1501)&gt;=382,382,"")</f>
        <v>382</v>
      </c>
      <c r="B383" s="8" t="str">
        <f t="shared" si="25"/>
        <v>Portales Walter</v>
      </c>
      <c r="C383" s="8" t="str">
        <f t="shared" si="26"/>
        <v>Atlante</v>
      </c>
      <c r="D383" s="8">
        <f t="shared" si="27"/>
        <v>0</v>
      </c>
      <c r="F383" s="4" t="str">
        <f>IF(Jugadores!B383="","",Jugadores!B383)</f>
        <v>Tercero Mendez Eduardo Santiago</v>
      </c>
      <c r="G383" s="4" t="str">
        <f>IF(Jugadores!B383="","",Jugadores!A383)</f>
        <v>Atlante</v>
      </c>
      <c r="H383" s="4">
        <f>IF(F383="","",SUMIF('Estadísticas Jugadores'!$F$2:$F$7001,F383,'Estadísticas Jugadores'!$I$2:$I$7001))</f>
        <v>0</v>
      </c>
      <c r="I383" s="4">
        <f t="shared" si="28"/>
        <v>-3.8299999999999996E-5</v>
      </c>
      <c r="J383" s="4">
        <f t="shared" si="29"/>
        <v>384</v>
      </c>
    </row>
    <row r="384" spans="1:10" ht="15" customHeight="1" x14ac:dyDescent="0.25">
      <c r="A384" s="8">
        <f>IF(COUNT($J$2:$J$1501)&gt;=383,383,"")</f>
        <v>383</v>
      </c>
      <c r="B384" s="8" t="str">
        <f t="shared" si="25"/>
        <v>Sanchez Luis</v>
      </c>
      <c r="C384" s="8" t="str">
        <f t="shared" si="26"/>
        <v>Atlante</v>
      </c>
      <c r="D384" s="8">
        <f t="shared" si="27"/>
        <v>0</v>
      </c>
      <c r="F384" s="4" t="str">
        <f>IF(Jugadores!B384="","",Jugadores!B384)</f>
        <v>Bermudez Christian</v>
      </c>
      <c r="G384" s="4" t="str">
        <f>IF(Jugadores!B384="","",Jugadores!A384)</f>
        <v>Atlante</v>
      </c>
      <c r="H384" s="4">
        <f>IF(F384="","",SUMIF('Estadísticas Jugadores'!$F$2:$F$7001,F384,'Estadísticas Jugadores'!$I$2:$I$7001))</f>
        <v>0</v>
      </c>
      <c r="I384" s="4">
        <f t="shared" si="28"/>
        <v>-3.8399999999999998E-5</v>
      </c>
      <c r="J384" s="4">
        <f t="shared" si="29"/>
        <v>385</v>
      </c>
    </row>
    <row r="385" spans="1:10" ht="15" customHeight="1" x14ac:dyDescent="0.25">
      <c r="A385" s="8">
        <f>IF(COUNT($J$2:$J$1501)&gt;=384,384,"")</f>
        <v>384</v>
      </c>
      <c r="B385" s="8" t="str">
        <f t="shared" si="25"/>
        <v>Tercero Mendez Eduardo Santiago</v>
      </c>
      <c r="C385" s="8" t="str">
        <f t="shared" si="26"/>
        <v>Atlante</v>
      </c>
      <c r="D385" s="8">
        <f t="shared" si="27"/>
        <v>0</v>
      </c>
      <c r="F385" s="4" t="str">
        <f>IF(Jugadores!B385="","",Jugadores!B385)</f>
        <v>Clar Walter</v>
      </c>
      <c r="G385" s="4" t="str">
        <f>IF(Jugadores!B385="","",Jugadores!A385)</f>
        <v>Atlante</v>
      </c>
      <c r="H385" s="4">
        <f>IF(F385="","",SUMIF('Estadísticas Jugadores'!$F$2:$F$7001,F385,'Estadísticas Jugadores'!$I$2:$I$7001))</f>
        <v>0</v>
      </c>
      <c r="I385" s="4">
        <f t="shared" si="28"/>
        <v>-3.8500000000000001E-5</v>
      </c>
      <c r="J385" s="4">
        <f t="shared" si="29"/>
        <v>386</v>
      </c>
    </row>
    <row r="386" spans="1:10" ht="15" customHeight="1" x14ac:dyDescent="0.25">
      <c r="A386" s="8">
        <f>IF(COUNT($J$2:$J$1501)&gt;=385,385,"")</f>
        <v>385</v>
      </c>
      <c r="B386" s="8" t="str">
        <f t="shared" ref="B386:B449" si="30">IF($A386="","",INDEX($F$2:$F$1501,MATCH($A386,$J$2:$J$1501,0)))</f>
        <v>Bermudez Christian</v>
      </c>
      <c r="C386" s="8" t="str">
        <f t="shared" ref="C386:C449" si="31">IF($A386="","",INDEX($G$2:$G$1501,MATCH($A386,$J$2:$J$1501,0)))</f>
        <v>Atlante</v>
      </c>
      <c r="D386" s="8">
        <f t="shared" ref="D386:D449" si="32">IF($A386="","",INDEX($H$2:$H$1501,MATCH($A386,$J$2:$J$1501,0)))</f>
        <v>0</v>
      </c>
      <c r="F386" s="4" t="str">
        <f>IF(Jugadores!B386="","",Jugadores!B386)</f>
        <v>Escobar Armando</v>
      </c>
      <c r="G386" s="4" t="str">
        <f>IF(Jugadores!B386="","",Jugadores!A386)</f>
        <v>Atlante</v>
      </c>
      <c r="H386" s="4">
        <f>IF(F386="","",SUMIF('Estadísticas Jugadores'!$F$2:$F$7001,F386,'Estadísticas Jugadores'!$I$2:$I$7001))</f>
        <v>0</v>
      </c>
      <c r="I386" s="4">
        <f t="shared" ref="I386:I449" si="33">IF(F386="","",H386*1000-ROW()*0.0000001)</f>
        <v>-3.8599999999999996E-5</v>
      </c>
      <c r="J386" s="4">
        <f t="shared" ref="J386:J449" si="34">IF(F386="","",RANK(I386,$I$2:$I$1501))</f>
        <v>387</v>
      </c>
    </row>
    <row r="387" spans="1:10" ht="15" customHeight="1" x14ac:dyDescent="0.25">
      <c r="A387" s="8">
        <f>IF(COUNT($J$2:$J$1501)&gt;=386,386,"")</f>
        <v>386</v>
      </c>
      <c r="B387" s="8" t="str">
        <f t="shared" si="30"/>
        <v>Clar Walter</v>
      </c>
      <c r="C387" s="8" t="str">
        <f t="shared" si="31"/>
        <v>Atlante</v>
      </c>
      <c r="D387" s="8">
        <f t="shared" si="32"/>
        <v>0</v>
      </c>
      <c r="F387" s="4" t="str">
        <f>IF(Jugadores!B387="","",Jugadores!B387)</f>
        <v>Fernández Martin</v>
      </c>
      <c r="G387" s="4" t="str">
        <f>IF(Jugadores!B387="","",Jugadores!A387)</f>
        <v>Atlante</v>
      </c>
      <c r="H387" s="4">
        <f>IF(F387="","",SUMIF('Estadísticas Jugadores'!$F$2:$F$7001,F387,'Estadísticas Jugadores'!$I$2:$I$7001))</f>
        <v>0</v>
      </c>
      <c r="I387" s="4">
        <f t="shared" si="33"/>
        <v>-3.8699999999999999E-5</v>
      </c>
      <c r="J387" s="4">
        <f t="shared" si="34"/>
        <v>388</v>
      </c>
    </row>
    <row r="388" spans="1:10" ht="15" customHeight="1" x14ac:dyDescent="0.25">
      <c r="A388" s="8">
        <f>IF(COUNT($J$2:$J$1501)&gt;=387,387,"")</f>
        <v>387</v>
      </c>
      <c r="B388" s="8" t="str">
        <f t="shared" si="30"/>
        <v>Escobar Armando</v>
      </c>
      <c r="C388" s="8" t="str">
        <f t="shared" si="31"/>
        <v>Atlante</v>
      </c>
      <c r="D388" s="8">
        <f t="shared" si="32"/>
        <v>0</v>
      </c>
      <c r="F388" s="4" t="str">
        <f>IF(Jugadores!B388="","",Jugadores!B388)</f>
        <v>Garcia Pardo Maximiliano</v>
      </c>
      <c r="G388" s="4" t="str">
        <f>IF(Jugadores!B388="","",Jugadores!A388)</f>
        <v>Atlante</v>
      </c>
      <c r="H388" s="4">
        <f>IF(F388="","",SUMIF('Estadísticas Jugadores'!$F$2:$F$7001,F388,'Estadísticas Jugadores'!$I$2:$I$7001))</f>
        <v>0</v>
      </c>
      <c r="I388" s="4">
        <f t="shared" si="33"/>
        <v>-3.8800000000000001E-5</v>
      </c>
      <c r="J388" s="4">
        <f t="shared" si="34"/>
        <v>389</v>
      </c>
    </row>
    <row r="389" spans="1:10" ht="15" customHeight="1" x14ac:dyDescent="0.25">
      <c r="A389" s="8">
        <f>IF(COUNT($J$2:$J$1501)&gt;=388,388,"")</f>
        <v>388</v>
      </c>
      <c r="B389" s="8" t="str">
        <f t="shared" si="30"/>
        <v>Fernández Martin</v>
      </c>
      <c r="C389" s="8" t="str">
        <f t="shared" si="31"/>
        <v>Atlante</v>
      </c>
      <c r="D389" s="8">
        <f t="shared" si="32"/>
        <v>0</v>
      </c>
      <c r="F389" s="4" t="str">
        <f>IF(Jugadores!B389="","",Jugadores!B389)</f>
        <v>Ibarra de la Rosa Javier Eduardo</v>
      </c>
      <c r="G389" s="4" t="str">
        <f>IF(Jugadores!B389="","",Jugadores!A389)</f>
        <v>Atlante</v>
      </c>
      <c r="H389" s="4">
        <f>IF(F389="","",SUMIF('Estadísticas Jugadores'!$F$2:$F$7001,F389,'Estadísticas Jugadores'!$I$2:$I$7001))</f>
        <v>0</v>
      </c>
      <c r="I389" s="4">
        <f t="shared" si="33"/>
        <v>-3.8899999999999997E-5</v>
      </c>
      <c r="J389" s="4">
        <f t="shared" si="34"/>
        <v>390</v>
      </c>
    </row>
    <row r="390" spans="1:10" ht="15" customHeight="1" x14ac:dyDescent="0.25">
      <c r="A390" s="8">
        <f>IF(COUNT($J$2:$J$1501)&gt;=389,389,"")</f>
        <v>389</v>
      </c>
      <c r="B390" s="8" t="str">
        <f t="shared" si="30"/>
        <v>Garcia Pardo Maximiliano</v>
      </c>
      <c r="C390" s="8" t="str">
        <f t="shared" si="31"/>
        <v>Atlante</v>
      </c>
      <c r="D390" s="8">
        <f t="shared" si="32"/>
        <v>0</v>
      </c>
      <c r="F390" s="4" t="str">
        <f>IF(Jugadores!B390="","",Jugadores!B390)</f>
        <v>Jhojan Julio</v>
      </c>
      <c r="G390" s="4" t="str">
        <f>IF(Jugadores!B390="","",Jugadores!A390)</f>
        <v>Atlante</v>
      </c>
      <c r="H390" s="4">
        <f>IF(F390="","",SUMIF('Estadísticas Jugadores'!$F$2:$F$7001,F390,'Estadísticas Jugadores'!$I$2:$I$7001))</f>
        <v>0</v>
      </c>
      <c r="I390" s="4">
        <f t="shared" si="33"/>
        <v>-3.8999999999999999E-5</v>
      </c>
      <c r="J390" s="4">
        <f t="shared" si="34"/>
        <v>391</v>
      </c>
    </row>
    <row r="391" spans="1:10" ht="15" customHeight="1" x14ac:dyDescent="0.25">
      <c r="A391" s="8">
        <f>IF(COUNT($J$2:$J$1501)&gt;=390,390,"")</f>
        <v>390</v>
      </c>
      <c r="B391" s="8" t="str">
        <f t="shared" si="30"/>
        <v>Ibarra de la Rosa Javier Eduardo</v>
      </c>
      <c r="C391" s="8" t="str">
        <f t="shared" si="31"/>
        <v>Atlante</v>
      </c>
      <c r="D391" s="8">
        <f t="shared" si="32"/>
        <v>0</v>
      </c>
      <c r="F391" s="4" t="str">
        <f>IF(Jugadores!B391="","",Jugadores!B391)</f>
        <v>Mejia Leonardo</v>
      </c>
      <c r="G391" s="4" t="str">
        <f>IF(Jugadores!B391="","",Jugadores!A391)</f>
        <v>Atlante</v>
      </c>
      <c r="H391" s="4">
        <f>IF(F391="","",SUMIF('Estadísticas Jugadores'!$F$2:$F$7001,F391,'Estadísticas Jugadores'!$I$2:$I$7001))</f>
        <v>0</v>
      </c>
      <c r="I391" s="4">
        <f t="shared" si="33"/>
        <v>-3.9099999999999995E-5</v>
      </c>
      <c r="J391" s="4">
        <f t="shared" si="34"/>
        <v>392</v>
      </c>
    </row>
    <row r="392" spans="1:10" ht="15" customHeight="1" x14ac:dyDescent="0.25">
      <c r="A392" s="8">
        <f>IF(COUNT($J$2:$J$1501)&gt;=391,391,"")</f>
        <v>391</v>
      </c>
      <c r="B392" s="8" t="str">
        <f t="shared" si="30"/>
        <v>Jhojan Julio</v>
      </c>
      <c r="C392" s="8" t="str">
        <f t="shared" si="31"/>
        <v>Atlante</v>
      </c>
      <c r="D392" s="8">
        <f t="shared" si="32"/>
        <v>0</v>
      </c>
      <c r="F392" s="4" t="str">
        <f>IF(Jugadores!B392="","",Jugadores!B392)</f>
        <v>Meza Hardy</v>
      </c>
      <c r="G392" s="4" t="str">
        <f>IF(Jugadores!B392="","",Jugadores!A392)</f>
        <v>Atlante</v>
      </c>
      <c r="H392" s="4">
        <f>IF(F392="","",SUMIF('Estadísticas Jugadores'!$F$2:$F$7001,F392,'Estadísticas Jugadores'!$I$2:$I$7001))</f>
        <v>0</v>
      </c>
      <c r="I392" s="4">
        <f t="shared" si="33"/>
        <v>-3.9199999999999997E-5</v>
      </c>
      <c r="J392" s="4">
        <f t="shared" si="34"/>
        <v>393</v>
      </c>
    </row>
    <row r="393" spans="1:10" ht="15" customHeight="1" x14ac:dyDescent="0.25">
      <c r="A393" s="8">
        <f>IF(COUNT($J$2:$J$1501)&gt;=392,392,"")</f>
        <v>392</v>
      </c>
      <c r="B393" s="8" t="str">
        <f t="shared" si="30"/>
        <v>Mejia Leonardo</v>
      </c>
      <c r="C393" s="8" t="str">
        <f t="shared" si="31"/>
        <v>Atlante</v>
      </c>
      <c r="D393" s="8">
        <f t="shared" si="32"/>
        <v>0</v>
      </c>
      <c r="F393" s="4" t="str">
        <f>IF(Jugadores!B393="","",Jugadores!B393)</f>
        <v>Pizzuto Eugenio</v>
      </c>
      <c r="G393" s="4" t="str">
        <f>IF(Jugadores!B393="","",Jugadores!A393)</f>
        <v>Atlante</v>
      </c>
      <c r="H393" s="4">
        <f>IF(F393="","",SUMIF('Estadísticas Jugadores'!$F$2:$F$7001,F393,'Estadísticas Jugadores'!$I$2:$I$7001))</f>
        <v>1</v>
      </c>
      <c r="I393" s="4">
        <f t="shared" si="33"/>
        <v>999.99996069999997</v>
      </c>
      <c r="J393" s="4">
        <f t="shared" si="34"/>
        <v>24</v>
      </c>
    </row>
    <row r="394" spans="1:10" ht="15" customHeight="1" x14ac:dyDescent="0.25">
      <c r="A394" s="8">
        <f>IF(COUNT($J$2:$J$1501)&gt;=393,393,"")</f>
        <v>393</v>
      </c>
      <c r="B394" s="8" t="str">
        <f t="shared" si="30"/>
        <v>Meza Hardy</v>
      </c>
      <c r="C394" s="8" t="str">
        <f t="shared" si="31"/>
        <v>Atlante</v>
      </c>
      <c r="D394" s="8">
        <f t="shared" si="32"/>
        <v>0</v>
      </c>
      <c r="F394" s="4" t="str">
        <f>IF(Jugadores!B394="","",Jugadores!B394)</f>
        <v>Urzua Alejandro</v>
      </c>
      <c r="G394" s="4" t="str">
        <f>IF(Jugadores!B394="","",Jugadores!A394)</f>
        <v>Atlante</v>
      </c>
      <c r="H394" s="4">
        <f>IF(F394="","",SUMIF('Estadísticas Jugadores'!$F$2:$F$7001,F394,'Estadísticas Jugadores'!$I$2:$I$7001))</f>
        <v>0</v>
      </c>
      <c r="I394" s="4">
        <f t="shared" si="33"/>
        <v>-3.9399999999999995E-5</v>
      </c>
      <c r="J394" s="4">
        <f t="shared" si="34"/>
        <v>394</v>
      </c>
    </row>
    <row r="395" spans="1:10" ht="15" customHeight="1" x14ac:dyDescent="0.25">
      <c r="A395" s="8">
        <f>IF(COUNT($J$2:$J$1501)&gt;=394,394,"")</f>
        <v>394</v>
      </c>
      <c r="B395" s="8" t="str">
        <f t="shared" si="30"/>
        <v>Urzua Alejandro</v>
      </c>
      <c r="C395" s="8" t="str">
        <f t="shared" si="31"/>
        <v>Atlante</v>
      </c>
      <c r="D395" s="8">
        <f t="shared" si="32"/>
        <v>0</v>
      </c>
      <c r="F395" s="4" t="str">
        <f>IF(Jugadores!B395="","",Jugadores!B395)</f>
        <v>Vazquez Octavio</v>
      </c>
      <c r="G395" s="4" t="str">
        <f>IF(Jugadores!B395="","",Jugadores!A395)</f>
        <v>Atlante</v>
      </c>
      <c r="H395" s="4">
        <f>IF(F395="","",SUMIF('Estadísticas Jugadores'!$F$2:$F$7001,F395,'Estadísticas Jugadores'!$I$2:$I$7001))</f>
        <v>0</v>
      </c>
      <c r="I395" s="4">
        <f t="shared" si="33"/>
        <v>-3.9499999999999998E-5</v>
      </c>
      <c r="J395" s="4">
        <f t="shared" si="34"/>
        <v>395</v>
      </c>
    </row>
    <row r="396" spans="1:10" ht="15" customHeight="1" x14ac:dyDescent="0.25">
      <c r="A396" s="8">
        <f>IF(COUNT($J$2:$J$1501)&gt;=395,395,"")</f>
        <v>395</v>
      </c>
      <c r="B396" s="8" t="str">
        <f t="shared" si="30"/>
        <v>Vazquez Octavio</v>
      </c>
      <c r="C396" s="8" t="str">
        <f t="shared" si="31"/>
        <v>Atlante</v>
      </c>
      <c r="D396" s="8">
        <f t="shared" si="32"/>
        <v>0</v>
      </c>
      <c r="F396" s="4" t="str">
        <f>IF(Jugadores!B396="","",Jugadores!B396)</f>
        <v>Adame Gilberto</v>
      </c>
      <c r="G396" s="4" t="str">
        <f>IF(Jugadores!B396="","",Jugadores!A396)</f>
        <v>Atlante</v>
      </c>
      <c r="H396" s="4">
        <f>IF(F396="","",SUMIF('Estadísticas Jugadores'!$F$2:$F$7001,F396,'Estadísticas Jugadores'!$I$2:$I$7001))</f>
        <v>0</v>
      </c>
      <c r="I396" s="4">
        <f t="shared" si="33"/>
        <v>-3.96E-5</v>
      </c>
      <c r="J396" s="4">
        <f t="shared" si="34"/>
        <v>396</v>
      </c>
    </row>
    <row r="397" spans="1:10" ht="15" customHeight="1" x14ac:dyDescent="0.25">
      <c r="A397" s="8">
        <f>IF(COUNT($J$2:$J$1501)&gt;=396,396,"")</f>
        <v>396</v>
      </c>
      <c r="B397" s="8" t="str">
        <f t="shared" si="30"/>
        <v>Adame Gilberto</v>
      </c>
      <c r="C397" s="8" t="str">
        <f t="shared" si="31"/>
        <v>Atlante</v>
      </c>
      <c r="D397" s="8">
        <f t="shared" si="32"/>
        <v>0</v>
      </c>
      <c r="F397" s="4" t="str">
        <f>IF(Jugadores!B397="","",Jugadores!B397)</f>
        <v>Calzadilla Luis</v>
      </c>
      <c r="G397" s="4" t="str">
        <f>IF(Jugadores!B397="","",Jugadores!A397)</f>
        <v>Atlante</v>
      </c>
      <c r="H397" s="4">
        <f>IF(F397="","",SUMIF('Estadísticas Jugadores'!$F$2:$F$7001,F397,'Estadísticas Jugadores'!$I$2:$I$7001))</f>
        <v>0</v>
      </c>
      <c r="I397" s="4">
        <f t="shared" si="33"/>
        <v>-3.9699999999999996E-5</v>
      </c>
      <c r="J397" s="4">
        <f t="shared" si="34"/>
        <v>397</v>
      </c>
    </row>
    <row r="398" spans="1:10" ht="15" customHeight="1" x14ac:dyDescent="0.25">
      <c r="A398" s="8">
        <f>IF(COUNT($J$2:$J$1501)&gt;=397,397,"")</f>
        <v>397</v>
      </c>
      <c r="B398" s="8" t="str">
        <f t="shared" si="30"/>
        <v>Calzadilla Luis</v>
      </c>
      <c r="C398" s="8" t="str">
        <f t="shared" si="31"/>
        <v>Atlante</v>
      </c>
      <c r="D398" s="8">
        <f t="shared" si="32"/>
        <v>0</v>
      </c>
      <c r="F398" s="4" t="str">
        <f>IF(Jugadores!B398="","",Jugadores!B398)</f>
        <v>Charcopa Jairon</v>
      </c>
      <c r="G398" s="4" t="str">
        <f>IF(Jugadores!B398="","",Jugadores!A398)</f>
        <v>Atlante</v>
      </c>
      <c r="H398" s="4">
        <f>IF(F398="","",SUMIF('Estadísticas Jugadores'!$F$2:$F$7001,F398,'Estadísticas Jugadores'!$I$2:$I$7001))</f>
        <v>0</v>
      </c>
      <c r="I398" s="4">
        <f t="shared" si="33"/>
        <v>-3.9799999999999998E-5</v>
      </c>
      <c r="J398" s="4">
        <f t="shared" si="34"/>
        <v>398</v>
      </c>
    </row>
    <row r="399" spans="1:10" ht="15" customHeight="1" x14ac:dyDescent="0.25">
      <c r="A399" s="8">
        <f>IF(COUNT($J$2:$J$1501)&gt;=398,398,"")</f>
        <v>398</v>
      </c>
      <c r="B399" s="8" t="str">
        <f t="shared" si="30"/>
        <v>Charcopa Jairon</v>
      </c>
      <c r="C399" s="8" t="str">
        <f t="shared" si="31"/>
        <v>Atlante</v>
      </c>
      <c r="D399" s="8">
        <f t="shared" si="32"/>
        <v>0</v>
      </c>
      <c r="F399" s="4" t="str">
        <f>IF(Jugadores!B399="","",Jugadores!B399)</f>
        <v>Coubert Ruben</v>
      </c>
      <c r="G399" s="4" t="str">
        <f>IF(Jugadores!B399="","",Jugadores!A399)</f>
        <v>Atlante</v>
      </c>
      <c r="H399" s="4">
        <f>IF(F399="","",SUMIF('Estadísticas Jugadores'!$F$2:$F$7001,F399,'Estadísticas Jugadores'!$I$2:$I$7001))</f>
        <v>0</v>
      </c>
      <c r="I399" s="4">
        <f t="shared" si="33"/>
        <v>-3.9900000000000001E-5</v>
      </c>
      <c r="J399" s="4">
        <f t="shared" si="34"/>
        <v>399</v>
      </c>
    </row>
    <row r="400" spans="1:10" ht="15" customHeight="1" x14ac:dyDescent="0.25">
      <c r="A400" s="8">
        <f>IF(COUNT($J$2:$J$1501)&gt;=399,399,"")</f>
        <v>399</v>
      </c>
      <c r="B400" s="8" t="str">
        <f t="shared" si="30"/>
        <v>Coubert Ruben</v>
      </c>
      <c r="C400" s="8" t="str">
        <f t="shared" si="31"/>
        <v>Atlante</v>
      </c>
      <c r="D400" s="8">
        <f t="shared" si="32"/>
        <v>0</v>
      </c>
      <c r="F400" s="4" t="str">
        <f>IF(Jugadores!B400="","",Jugadores!B400)</f>
        <v>Gonzalez Daniel</v>
      </c>
      <c r="G400" s="4" t="str">
        <f>IF(Jugadores!B400="","",Jugadores!A400)</f>
        <v>Atlante</v>
      </c>
      <c r="H400" s="4">
        <f>IF(F400="","",SUMIF('Estadísticas Jugadores'!$F$2:$F$7001,F400,'Estadísticas Jugadores'!$I$2:$I$7001))</f>
        <v>0</v>
      </c>
      <c r="I400" s="4">
        <f t="shared" si="33"/>
        <v>-3.9999999999999996E-5</v>
      </c>
      <c r="J400" s="4">
        <f t="shared" si="34"/>
        <v>400</v>
      </c>
    </row>
    <row r="401" spans="1:10" ht="15" customHeight="1" x14ac:dyDescent="0.25">
      <c r="A401" s="8">
        <f>IF(COUNT($J$2:$J$1501)&gt;=400,400,"")</f>
        <v>400</v>
      </c>
      <c r="B401" s="8" t="str">
        <f t="shared" si="30"/>
        <v>Gonzalez Daniel</v>
      </c>
      <c r="C401" s="8" t="str">
        <f t="shared" si="31"/>
        <v>Atlante</v>
      </c>
      <c r="D401" s="8">
        <f t="shared" si="32"/>
        <v>0</v>
      </c>
      <c r="F401" s="4" t="str">
        <f>IF(Jugadores!B401="","",Jugadores!B401)</f>
        <v>Jimenez Edgar</v>
      </c>
      <c r="G401" s="4" t="str">
        <f>IF(Jugadores!B401="","",Jugadores!A401)</f>
        <v>Atlante</v>
      </c>
      <c r="H401" s="4">
        <f>IF(F401="","",SUMIF('Estadísticas Jugadores'!$F$2:$F$7001,F401,'Estadísticas Jugadores'!$I$2:$I$7001))</f>
        <v>0</v>
      </c>
      <c r="I401" s="4">
        <f t="shared" si="33"/>
        <v>-4.0099999999999999E-5</v>
      </c>
      <c r="J401" s="4">
        <f t="shared" si="34"/>
        <v>401</v>
      </c>
    </row>
    <row r="402" spans="1:10" ht="15" customHeight="1" x14ac:dyDescent="0.25">
      <c r="A402" s="8">
        <f>IF(COUNT($J$2:$J$1501)&gt;=401,401,"")</f>
        <v>401</v>
      </c>
      <c r="B402" s="8" t="str">
        <f t="shared" si="30"/>
        <v>Jimenez Edgar</v>
      </c>
      <c r="C402" s="8" t="str">
        <f t="shared" si="31"/>
        <v>Atlante</v>
      </c>
      <c r="D402" s="8">
        <f t="shared" si="32"/>
        <v>0</v>
      </c>
      <c r="F402" s="4" t="str">
        <f>IF(Jugadores!B402="","",Jugadores!B402)</f>
        <v>Moxica Roberto</v>
      </c>
      <c r="G402" s="4" t="str">
        <f>IF(Jugadores!B402="","",Jugadores!A402)</f>
        <v>Atlante</v>
      </c>
      <c r="H402" s="4">
        <f>IF(F402="","",SUMIF('Estadísticas Jugadores'!$F$2:$F$7001,F402,'Estadísticas Jugadores'!$I$2:$I$7001))</f>
        <v>0</v>
      </c>
      <c r="I402" s="4">
        <f t="shared" si="33"/>
        <v>-4.0200000000000001E-5</v>
      </c>
      <c r="J402" s="4">
        <f t="shared" si="34"/>
        <v>402</v>
      </c>
    </row>
    <row r="403" spans="1:10" ht="15" customHeight="1" x14ac:dyDescent="0.25">
      <c r="A403" s="8">
        <f>IF(COUNT($J$2:$J$1501)&gt;=402,402,"")</f>
        <v>402</v>
      </c>
      <c r="B403" s="8" t="str">
        <f t="shared" si="30"/>
        <v>Moxica Roberto</v>
      </c>
      <c r="C403" s="8" t="str">
        <f t="shared" si="31"/>
        <v>Atlante</v>
      </c>
      <c r="D403" s="8">
        <f t="shared" si="32"/>
        <v>0</v>
      </c>
      <c r="F403" s="4" t="str">
        <f>IF(Jugadores!B403="","",Jugadores!B403)</f>
        <v>Puente Luis</v>
      </c>
      <c r="G403" s="4" t="str">
        <f>IF(Jugadores!B403="","",Jugadores!A403)</f>
        <v>Atlante</v>
      </c>
      <c r="H403" s="4">
        <f>IF(F403="","",SUMIF('Estadísticas Jugadores'!$F$2:$F$7001,F403,'Estadísticas Jugadores'!$I$2:$I$7001))</f>
        <v>0</v>
      </c>
      <c r="I403" s="4">
        <f t="shared" si="33"/>
        <v>-4.0299999999999997E-5</v>
      </c>
      <c r="J403" s="4">
        <f t="shared" si="34"/>
        <v>403</v>
      </c>
    </row>
    <row r="404" spans="1:10" ht="15" customHeight="1" x14ac:dyDescent="0.25">
      <c r="A404" s="8">
        <f>IF(COUNT($J$2:$J$1501)&gt;=403,403,"")</f>
        <v>403</v>
      </c>
      <c r="B404" s="8" t="str">
        <f t="shared" si="30"/>
        <v>Puente Luis</v>
      </c>
      <c r="C404" s="8" t="str">
        <f t="shared" si="31"/>
        <v>Atlante</v>
      </c>
      <c r="D404" s="8">
        <f t="shared" si="32"/>
        <v>0</v>
      </c>
      <c r="F404" s="4" t="str">
        <f>IF(Jugadores!B404="","",Jugadores!B404)</f>
        <v>Allison Revuelta Guillermo</v>
      </c>
      <c r="G404" s="4" t="str">
        <f>IF(Jugadores!B404="","",Jugadores!A404)</f>
        <v>Querétaro</v>
      </c>
      <c r="H404" s="4">
        <f>IF(F404="","",SUMIF('Estadísticas Jugadores'!$F$2:$F$7001,F404,'Estadísticas Jugadores'!$I$2:$I$7001))</f>
        <v>0</v>
      </c>
      <c r="I404" s="4">
        <f t="shared" si="33"/>
        <v>-4.0399999999999999E-5</v>
      </c>
      <c r="J404" s="4">
        <f t="shared" si="34"/>
        <v>404</v>
      </c>
    </row>
    <row r="405" spans="1:10" ht="15" customHeight="1" x14ac:dyDescent="0.25">
      <c r="A405" s="8">
        <f>IF(COUNT($J$2:$J$1501)&gt;=404,404,"")</f>
        <v>404</v>
      </c>
      <c r="B405" s="8" t="str">
        <f t="shared" si="30"/>
        <v>Allison Revuelta Guillermo</v>
      </c>
      <c r="C405" s="8" t="str">
        <f t="shared" si="31"/>
        <v>Querétaro</v>
      </c>
      <c r="D405" s="8">
        <f t="shared" si="32"/>
        <v>0</v>
      </c>
      <c r="F405" s="4" t="str">
        <f>IF(Jugadores!B405="","",Jugadores!B405)</f>
        <v>Hernandez Jose</v>
      </c>
      <c r="G405" s="4" t="str">
        <f>IF(Jugadores!B405="","",Jugadores!A405)</f>
        <v>Querétaro</v>
      </c>
      <c r="H405" s="4">
        <f>IF(F405="","",SUMIF('Estadísticas Jugadores'!$F$2:$F$7001,F405,'Estadísticas Jugadores'!$I$2:$I$7001))</f>
        <v>0</v>
      </c>
      <c r="I405" s="4">
        <f t="shared" si="33"/>
        <v>-4.0499999999999995E-5</v>
      </c>
      <c r="J405" s="4">
        <f t="shared" si="34"/>
        <v>405</v>
      </c>
    </row>
    <row r="406" spans="1:10" ht="15" customHeight="1" x14ac:dyDescent="0.25">
      <c r="A406" s="8">
        <f>IF(COUNT($J$2:$J$1501)&gt;=405,405,"")</f>
        <v>405</v>
      </c>
      <c r="B406" s="8" t="str">
        <f t="shared" si="30"/>
        <v>Hernandez Jose</v>
      </c>
      <c r="C406" s="8" t="str">
        <f t="shared" si="31"/>
        <v>Querétaro</v>
      </c>
      <c r="D406" s="8">
        <f t="shared" si="32"/>
        <v>0</v>
      </c>
      <c r="F406" s="4" t="str">
        <f>IF(Jugadores!B406="","",Jugadores!B406)</f>
        <v>Abascia Lucas</v>
      </c>
      <c r="G406" s="4" t="str">
        <f>IF(Jugadores!B406="","",Jugadores!A406)</f>
        <v>Querétaro</v>
      </c>
      <c r="H406" s="4">
        <f>IF(F406="","",SUMIF('Estadísticas Jugadores'!$F$2:$F$7001,F406,'Estadísticas Jugadores'!$I$2:$I$7001))</f>
        <v>0</v>
      </c>
      <c r="I406" s="4">
        <f t="shared" si="33"/>
        <v>-4.0599999999999998E-5</v>
      </c>
      <c r="J406" s="4">
        <f t="shared" si="34"/>
        <v>406</v>
      </c>
    </row>
    <row r="407" spans="1:10" ht="15" customHeight="1" x14ac:dyDescent="0.25">
      <c r="A407" s="8">
        <f>IF(COUNT($J$2:$J$1501)&gt;=406,406,"")</f>
        <v>406</v>
      </c>
      <c r="B407" s="8" t="str">
        <f t="shared" si="30"/>
        <v>Abascia Lucas</v>
      </c>
      <c r="C407" s="8" t="str">
        <f t="shared" si="31"/>
        <v>Querétaro</v>
      </c>
      <c r="D407" s="8">
        <f t="shared" si="32"/>
        <v>0</v>
      </c>
      <c r="F407" s="4" t="str">
        <f>IF(Jugadores!B407="","",Jugadores!B407)</f>
        <v>Duarte Bayron</v>
      </c>
      <c r="G407" s="4" t="str">
        <f>IF(Jugadores!B407="","",Jugadores!A407)</f>
        <v>Querétaro</v>
      </c>
      <c r="H407" s="4">
        <f>IF(F407="","",SUMIF('Estadísticas Jugadores'!$F$2:$F$7001,F407,'Estadísticas Jugadores'!$I$2:$I$7001))</f>
        <v>0</v>
      </c>
      <c r="I407" s="4">
        <f t="shared" si="33"/>
        <v>-4.07E-5</v>
      </c>
      <c r="J407" s="4">
        <f t="shared" si="34"/>
        <v>407</v>
      </c>
    </row>
    <row r="408" spans="1:10" ht="15" customHeight="1" x14ac:dyDescent="0.25">
      <c r="A408" s="8">
        <f>IF(COUNT($J$2:$J$1501)&gt;=407,407,"")</f>
        <v>407</v>
      </c>
      <c r="B408" s="8" t="str">
        <f t="shared" si="30"/>
        <v>Duarte Bayron</v>
      </c>
      <c r="C408" s="8" t="str">
        <f t="shared" si="31"/>
        <v>Querétaro</v>
      </c>
      <c r="D408" s="8">
        <f t="shared" si="32"/>
        <v>0</v>
      </c>
      <c r="F408" s="4" t="str">
        <f>IF(Jugadores!B408="","",Jugadores!B408)</f>
        <v>Parra Daniel</v>
      </c>
      <c r="G408" s="4" t="str">
        <f>IF(Jugadores!B408="","",Jugadores!A408)</f>
        <v>Querétaro</v>
      </c>
      <c r="H408" s="4">
        <f>IF(F408="","",SUMIF('Estadísticas Jugadores'!$F$2:$F$7001,F408,'Estadísticas Jugadores'!$I$2:$I$7001))</f>
        <v>0</v>
      </c>
      <c r="I408" s="4">
        <f t="shared" si="33"/>
        <v>-4.0799999999999996E-5</v>
      </c>
      <c r="J408" s="4">
        <f t="shared" si="34"/>
        <v>408</v>
      </c>
    </row>
    <row r="409" spans="1:10" ht="15" customHeight="1" x14ac:dyDescent="0.25">
      <c r="A409" s="8">
        <f>IF(COUNT($J$2:$J$1501)&gt;=408,408,"")</f>
        <v>408</v>
      </c>
      <c r="B409" s="8" t="str">
        <f t="shared" si="30"/>
        <v>Parra Daniel</v>
      </c>
      <c r="C409" s="8" t="str">
        <f t="shared" si="31"/>
        <v>Querétaro</v>
      </c>
      <c r="D409" s="8">
        <f t="shared" si="32"/>
        <v>0</v>
      </c>
      <c r="F409" s="4" t="str">
        <f>IF(Jugadores!B409="","",Jugadores!B409)</f>
        <v>Paulo Victor</v>
      </c>
      <c r="G409" s="4" t="str">
        <f>IF(Jugadores!B409="","",Jugadores!A409)</f>
        <v>Querétaro</v>
      </c>
      <c r="H409" s="4">
        <f>IF(F409="","",SUMIF('Estadísticas Jugadores'!$F$2:$F$7001,F409,'Estadísticas Jugadores'!$I$2:$I$7001))</f>
        <v>0</v>
      </c>
      <c r="I409" s="4">
        <f t="shared" si="33"/>
        <v>-4.0899999999999998E-5</v>
      </c>
      <c r="J409" s="4">
        <f t="shared" si="34"/>
        <v>409</v>
      </c>
    </row>
    <row r="410" spans="1:10" ht="15" customHeight="1" x14ac:dyDescent="0.25">
      <c r="A410" s="8">
        <f>IF(COUNT($J$2:$J$1501)&gt;=409,409,"")</f>
        <v>409</v>
      </c>
      <c r="B410" s="8" t="str">
        <f t="shared" si="30"/>
        <v>Paulo Victor</v>
      </c>
      <c r="C410" s="8" t="str">
        <f t="shared" si="31"/>
        <v>Querétaro</v>
      </c>
      <c r="D410" s="8">
        <f t="shared" si="32"/>
        <v>0</v>
      </c>
      <c r="F410" s="4" t="str">
        <f>IF(Jugadores!B410="","",Jugadores!B410)</f>
        <v>Reyes Diego</v>
      </c>
      <c r="G410" s="4" t="str">
        <f>IF(Jugadores!B410="","",Jugadores!A410)</f>
        <v>Querétaro</v>
      </c>
      <c r="H410" s="4">
        <f>IF(F410="","",SUMIF('Estadísticas Jugadores'!$F$2:$F$7001,F410,'Estadísticas Jugadores'!$I$2:$I$7001))</f>
        <v>0</v>
      </c>
      <c r="I410" s="4">
        <f t="shared" si="33"/>
        <v>-4.1E-5</v>
      </c>
      <c r="J410" s="4">
        <f t="shared" si="34"/>
        <v>410</v>
      </c>
    </row>
    <row r="411" spans="1:10" ht="15" customHeight="1" x14ac:dyDescent="0.25">
      <c r="A411" s="8">
        <f>IF(COUNT($J$2:$J$1501)&gt;=410,410,"")</f>
        <v>410</v>
      </c>
      <c r="B411" s="8" t="str">
        <f t="shared" si="30"/>
        <v>Reyes Diego</v>
      </c>
      <c r="C411" s="8" t="str">
        <f t="shared" si="31"/>
        <v>Querétaro</v>
      </c>
      <c r="D411" s="8">
        <f t="shared" si="32"/>
        <v>0</v>
      </c>
      <c r="F411" s="4" t="str">
        <f>IF(Jugadores!B411="","",Jugadores!B411)</f>
        <v>Villanueva Lopez Carlos Octavio</v>
      </c>
      <c r="G411" s="4" t="str">
        <f>IF(Jugadores!B411="","",Jugadores!A411)</f>
        <v>Querétaro</v>
      </c>
      <c r="H411" s="4">
        <f>IF(F411="","",SUMIF('Estadísticas Jugadores'!$F$2:$F$7001,F411,'Estadísticas Jugadores'!$I$2:$I$7001))</f>
        <v>0</v>
      </c>
      <c r="I411" s="4">
        <f t="shared" si="33"/>
        <v>-4.1099999999999996E-5</v>
      </c>
      <c r="J411" s="4">
        <f t="shared" si="34"/>
        <v>411</v>
      </c>
    </row>
    <row r="412" spans="1:10" ht="15" customHeight="1" x14ac:dyDescent="0.25">
      <c r="A412" s="8">
        <f>IF(COUNT($J$2:$J$1501)&gt;=411,411,"")</f>
        <v>411</v>
      </c>
      <c r="B412" s="8" t="str">
        <f t="shared" si="30"/>
        <v>Villanueva Lopez Carlos Octavio</v>
      </c>
      <c r="C412" s="8" t="str">
        <f t="shared" si="31"/>
        <v>Querétaro</v>
      </c>
      <c r="D412" s="8">
        <f t="shared" si="32"/>
        <v>0</v>
      </c>
      <c r="F412" s="4" t="str">
        <f>IF(Jugadores!B412="","",Jugadores!B412)</f>
        <v>Alcalá Alex</v>
      </c>
      <c r="G412" s="4" t="str">
        <f>IF(Jugadores!B412="","",Jugadores!A412)</f>
        <v>Querétaro</v>
      </c>
      <c r="H412" s="4">
        <f>IF(F412="","",SUMIF('Estadísticas Jugadores'!$F$2:$F$7001,F412,'Estadísticas Jugadores'!$I$2:$I$7001))</f>
        <v>0</v>
      </c>
      <c r="I412" s="4">
        <f t="shared" si="33"/>
        <v>-4.1199999999999999E-5</v>
      </c>
      <c r="J412" s="4">
        <f t="shared" si="34"/>
        <v>412</v>
      </c>
    </row>
    <row r="413" spans="1:10" ht="15" customHeight="1" x14ac:dyDescent="0.25">
      <c r="A413" s="8">
        <f>IF(COUNT($J$2:$J$1501)&gt;=412,412,"")</f>
        <v>412</v>
      </c>
      <c r="B413" s="8" t="str">
        <f t="shared" si="30"/>
        <v>Alcalá Alex</v>
      </c>
      <c r="C413" s="8" t="str">
        <f t="shared" si="31"/>
        <v>Querétaro</v>
      </c>
      <c r="D413" s="8">
        <f t="shared" si="32"/>
        <v>0</v>
      </c>
      <c r="F413" s="4" t="str">
        <f>IF(Jugadores!B413="","",Jugadores!B413)</f>
        <v>Arellano Jesús</v>
      </c>
      <c r="G413" s="4" t="str">
        <f>IF(Jugadores!B413="","",Jugadores!A413)</f>
        <v>Querétaro</v>
      </c>
      <c r="H413" s="4">
        <f>IF(F413="","",SUMIF('Estadísticas Jugadores'!$F$2:$F$7001,F413,'Estadísticas Jugadores'!$I$2:$I$7001))</f>
        <v>0</v>
      </c>
      <c r="I413" s="4">
        <f t="shared" si="33"/>
        <v>-4.1300000000000001E-5</v>
      </c>
      <c r="J413" s="4">
        <f t="shared" si="34"/>
        <v>413</v>
      </c>
    </row>
    <row r="414" spans="1:10" ht="15" customHeight="1" x14ac:dyDescent="0.25">
      <c r="A414" s="8">
        <f>IF(COUNT($J$2:$J$1501)&gt;=413,413,"")</f>
        <v>413</v>
      </c>
      <c r="B414" s="8" t="str">
        <f t="shared" si="30"/>
        <v>Arellano Jesús</v>
      </c>
      <c r="C414" s="8" t="str">
        <f t="shared" si="31"/>
        <v>Querétaro</v>
      </c>
      <c r="D414" s="8">
        <f t="shared" si="32"/>
        <v>0</v>
      </c>
      <c r="F414" s="4" t="str">
        <f>IF(Jugadores!B414="","",Jugadores!B414)</f>
        <v>Cazares Juan</v>
      </c>
      <c r="G414" s="4" t="str">
        <f>IF(Jugadores!B414="","",Jugadores!A414)</f>
        <v>Querétaro</v>
      </c>
      <c r="H414" s="4">
        <f>IF(F414="","",SUMIF('Estadísticas Jugadores'!$F$2:$F$7001,F414,'Estadísticas Jugadores'!$I$2:$I$7001))</f>
        <v>0</v>
      </c>
      <c r="I414" s="4">
        <f t="shared" si="33"/>
        <v>-4.1399999999999997E-5</v>
      </c>
      <c r="J414" s="4">
        <f t="shared" si="34"/>
        <v>414</v>
      </c>
    </row>
    <row r="415" spans="1:10" ht="15" customHeight="1" x14ac:dyDescent="0.25">
      <c r="A415" s="8">
        <f>IF(COUNT($J$2:$J$1501)&gt;=414,414,"")</f>
        <v>414</v>
      </c>
      <c r="B415" s="8" t="str">
        <f t="shared" si="30"/>
        <v>Cazares Juan</v>
      </c>
      <c r="C415" s="8" t="str">
        <f t="shared" si="31"/>
        <v>Querétaro</v>
      </c>
      <c r="D415" s="8">
        <f t="shared" si="32"/>
        <v>0</v>
      </c>
      <c r="F415" s="4" t="str">
        <f>IF(Jugadores!B415="","",Jugadores!B415)</f>
        <v>Dueñas Erik</v>
      </c>
      <c r="G415" s="4" t="str">
        <f>IF(Jugadores!B415="","",Jugadores!A415)</f>
        <v>Querétaro</v>
      </c>
      <c r="H415" s="4">
        <f>IF(F415="","",SUMIF('Estadísticas Jugadores'!$F$2:$F$7001,F415,'Estadísticas Jugadores'!$I$2:$I$7001))</f>
        <v>0</v>
      </c>
      <c r="I415" s="4">
        <f t="shared" si="33"/>
        <v>-4.1499999999999999E-5</v>
      </c>
      <c r="J415" s="4">
        <f t="shared" si="34"/>
        <v>415</v>
      </c>
    </row>
    <row r="416" spans="1:10" ht="15" customHeight="1" x14ac:dyDescent="0.25">
      <c r="A416" s="8">
        <f>IF(COUNT($J$2:$J$1501)&gt;=415,415,"")</f>
        <v>415</v>
      </c>
      <c r="B416" s="8" t="str">
        <f t="shared" si="30"/>
        <v>Dueñas Erik</v>
      </c>
      <c r="C416" s="8" t="str">
        <f t="shared" si="31"/>
        <v>Querétaro</v>
      </c>
      <c r="D416" s="8">
        <f t="shared" si="32"/>
        <v>0</v>
      </c>
      <c r="F416" s="4" t="str">
        <f>IF(Jugadores!B416="","",Jugadores!B416)</f>
        <v>Garcia Sergio</v>
      </c>
      <c r="G416" s="4" t="str">
        <f>IF(Jugadores!B416="","",Jugadores!A416)</f>
        <v>Querétaro</v>
      </c>
      <c r="H416" s="4">
        <f>IF(F416="","",SUMIF('Estadísticas Jugadores'!$F$2:$F$7001,F416,'Estadísticas Jugadores'!$I$2:$I$7001))</f>
        <v>0</v>
      </c>
      <c r="I416" s="4">
        <f t="shared" si="33"/>
        <v>-4.1599999999999995E-5</v>
      </c>
      <c r="J416" s="4">
        <f t="shared" si="34"/>
        <v>416</v>
      </c>
    </row>
    <row r="417" spans="1:10" ht="15" customHeight="1" x14ac:dyDescent="0.25">
      <c r="A417" s="8">
        <f>IF(COUNT($J$2:$J$1501)&gt;=416,416,"")</f>
        <v>416</v>
      </c>
      <c r="B417" s="8" t="str">
        <f t="shared" si="30"/>
        <v>Garcia Sergio</v>
      </c>
      <c r="C417" s="8" t="str">
        <f t="shared" si="31"/>
        <v>Querétaro</v>
      </c>
      <c r="D417" s="8">
        <f t="shared" si="32"/>
        <v>0</v>
      </c>
      <c r="F417" s="4" t="str">
        <f>IF(Jugadores!B417="","",Jugadores!B417)</f>
        <v>García Carlo</v>
      </c>
      <c r="G417" s="4" t="str">
        <f>IF(Jugadores!B417="","",Jugadores!A417)</f>
        <v>Querétaro</v>
      </c>
      <c r="H417" s="4">
        <f>IF(F417="","",SUMIF('Estadísticas Jugadores'!$F$2:$F$7001,F417,'Estadísticas Jugadores'!$I$2:$I$7001))</f>
        <v>0</v>
      </c>
      <c r="I417" s="4">
        <f t="shared" si="33"/>
        <v>-4.1699999999999997E-5</v>
      </c>
      <c r="J417" s="4">
        <f t="shared" si="34"/>
        <v>417</v>
      </c>
    </row>
    <row r="418" spans="1:10" ht="15" customHeight="1" x14ac:dyDescent="0.25">
      <c r="A418" s="8">
        <f>IF(COUNT($J$2:$J$1501)&gt;=417,417,"")</f>
        <v>417</v>
      </c>
      <c r="B418" s="8" t="str">
        <f t="shared" si="30"/>
        <v>García Carlo</v>
      </c>
      <c r="C418" s="8" t="str">
        <f t="shared" si="31"/>
        <v>Querétaro</v>
      </c>
      <c r="D418" s="8">
        <f t="shared" si="32"/>
        <v>0</v>
      </c>
      <c r="F418" s="4" t="str">
        <f>IF(Jugadores!B418="","",Jugadores!B418)</f>
        <v>Gimenez Enzo Daniel</v>
      </c>
      <c r="G418" s="4" t="str">
        <f>IF(Jugadores!B418="","",Jugadores!A418)</f>
        <v>Querétaro</v>
      </c>
      <c r="H418" s="4">
        <f>IF(F418="","",SUMIF('Estadísticas Jugadores'!$F$2:$F$7001,F418,'Estadísticas Jugadores'!$I$2:$I$7001))</f>
        <v>0</v>
      </c>
      <c r="I418" s="4">
        <f t="shared" si="33"/>
        <v>-4.18E-5</v>
      </c>
      <c r="J418" s="4">
        <f t="shared" si="34"/>
        <v>418</v>
      </c>
    </row>
    <row r="419" spans="1:10" ht="15" customHeight="1" x14ac:dyDescent="0.25">
      <c r="A419" s="8">
        <f>IF(COUNT($J$2:$J$1501)&gt;=418,418,"")</f>
        <v>418</v>
      </c>
      <c r="B419" s="8" t="str">
        <f t="shared" si="30"/>
        <v>Gimenez Enzo Daniel</v>
      </c>
      <c r="C419" s="8" t="str">
        <f t="shared" si="31"/>
        <v>Querétaro</v>
      </c>
      <c r="D419" s="8">
        <f t="shared" si="32"/>
        <v>0</v>
      </c>
      <c r="F419" s="4" t="str">
        <f>IF(Jugadores!B419="","",Jugadores!B419)</f>
        <v>Homenchenko Santiago</v>
      </c>
      <c r="G419" s="4" t="str">
        <f>IF(Jugadores!B419="","",Jugadores!A419)</f>
        <v>Querétaro</v>
      </c>
      <c r="H419" s="4">
        <f>IF(F419="","",SUMIF('Estadísticas Jugadores'!$F$2:$F$7001,F419,'Estadísticas Jugadores'!$I$2:$I$7001))</f>
        <v>0</v>
      </c>
      <c r="I419" s="4">
        <f t="shared" si="33"/>
        <v>-4.1899999999999995E-5</v>
      </c>
      <c r="J419" s="4">
        <f t="shared" si="34"/>
        <v>419</v>
      </c>
    </row>
    <row r="420" spans="1:10" ht="15" customHeight="1" x14ac:dyDescent="0.25">
      <c r="A420" s="8">
        <f>IF(COUNT($J$2:$J$1501)&gt;=419,419,"")</f>
        <v>419</v>
      </c>
      <c r="B420" s="8" t="str">
        <f t="shared" si="30"/>
        <v>Homenchenko Santiago</v>
      </c>
      <c r="C420" s="8" t="str">
        <f t="shared" si="31"/>
        <v>Querétaro</v>
      </c>
      <c r="D420" s="8">
        <f t="shared" si="32"/>
        <v>0</v>
      </c>
      <c r="F420" s="4" t="str">
        <f>IF(Jugadores!B420="","",Jugadores!B420)</f>
        <v>Madrid Waldo</v>
      </c>
      <c r="G420" s="4" t="str">
        <f>IF(Jugadores!B420="","",Jugadores!A420)</f>
        <v>Querétaro</v>
      </c>
      <c r="H420" s="4">
        <f>IF(F420="","",SUMIF('Estadísticas Jugadores'!$F$2:$F$7001,F420,'Estadísticas Jugadores'!$I$2:$I$7001))</f>
        <v>0</v>
      </c>
      <c r="I420" s="4">
        <f t="shared" si="33"/>
        <v>-4.1999999999999998E-5</v>
      </c>
      <c r="J420" s="4">
        <f t="shared" si="34"/>
        <v>420</v>
      </c>
    </row>
    <row r="421" spans="1:10" ht="15" customHeight="1" x14ac:dyDescent="0.25">
      <c r="A421" s="8">
        <f>IF(COUNT($J$2:$J$1501)&gt;=420,420,"")</f>
        <v>420</v>
      </c>
      <c r="B421" s="8" t="str">
        <f t="shared" si="30"/>
        <v>Madrid Waldo</v>
      </c>
      <c r="C421" s="8" t="str">
        <f t="shared" si="31"/>
        <v>Querétaro</v>
      </c>
      <c r="D421" s="8">
        <f t="shared" si="32"/>
        <v>0</v>
      </c>
      <c r="F421" s="4" t="str">
        <f>IF(Jugadores!B421="","",Jugadores!B421)</f>
        <v>Martinez Juan</v>
      </c>
      <c r="G421" s="4" t="str">
        <f>IF(Jugadores!B421="","",Jugadores!A421)</f>
        <v>Querétaro</v>
      </c>
      <c r="H421" s="4">
        <f>IF(F421="","",SUMIF('Estadísticas Jugadores'!$F$2:$F$7001,F421,'Estadísticas Jugadores'!$I$2:$I$7001))</f>
        <v>0</v>
      </c>
      <c r="I421" s="4">
        <f t="shared" si="33"/>
        <v>-4.21E-5</v>
      </c>
      <c r="J421" s="4">
        <f t="shared" si="34"/>
        <v>421</v>
      </c>
    </row>
    <row r="422" spans="1:10" ht="15" customHeight="1" x14ac:dyDescent="0.25">
      <c r="A422" s="8">
        <f>IF(COUNT($J$2:$J$1501)&gt;=421,421,"")</f>
        <v>421</v>
      </c>
      <c r="B422" s="8" t="str">
        <f t="shared" si="30"/>
        <v>Martinez Juan</v>
      </c>
      <c r="C422" s="8" t="str">
        <f t="shared" si="31"/>
        <v>Querétaro</v>
      </c>
      <c r="D422" s="8">
        <f t="shared" si="32"/>
        <v>0</v>
      </c>
      <c r="F422" s="4" t="str">
        <f>IF(Jugadores!B422="","",Jugadores!B422)</f>
        <v>Parra Bernardo</v>
      </c>
      <c r="G422" s="4" t="str">
        <f>IF(Jugadores!B422="","",Jugadores!A422)</f>
        <v>Querétaro</v>
      </c>
      <c r="H422" s="4">
        <f>IF(F422="","",SUMIF('Estadísticas Jugadores'!$F$2:$F$7001,F422,'Estadísticas Jugadores'!$I$2:$I$7001))</f>
        <v>0</v>
      </c>
      <c r="I422" s="4">
        <f t="shared" si="33"/>
        <v>-4.2199999999999996E-5</v>
      </c>
      <c r="J422" s="4">
        <f t="shared" si="34"/>
        <v>422</v>
      </c>
    </row>
    <row r="423" spans="1:10" ht="15" customHeight="1" x14ac:dyDescent="0.25">
      <c r="A423" s="8">
        <f>IF(COUNT($J$2:$J$1501)&gt;=422,422,"")</f>
        <v>422</v>
      </c>
      <c r="B423" s="8" t="str">
        <f t="shared" si="30"/>
        <v>Parra Bernardo</v>
      </c>
      <c r="C423" s="8" t="str">
        <f t="shared" si="31"/>
        <v>Querétaro</v>
      </c>
      <c r="D423" s="8">
        <f t="shared" si="32"/>
        <v>0</v>
      </c>
      <c r="F423" s="4" t="str">
        <f>IF(Jugadores!B423="","",Jugadores!B423)</f>
        <v>Unjanque Jean</v>
      </c>
      <c r="G423" s="4" t="str">
        <f>IF(Jugadores!B423="","",Jugadores!A423)</f>
        <v>Querétaro</v>
      </c>
      <c r="H423" s="4">
        <f>IF(F423="","",SUMIF('Estadísticas Jugadores'!$F$2:$F$7001,F423,'Estadísticas Jugadores'!$I$2:$I$7001))</f>
        <v>0</v>
      </c>
      <c r="I423" s="4">
        <f t="shared" si="33"/>
        <v>-4.2299999999999998E-5</v>
      </c>
      <c r="J423" s="4">
        <f t="shared" si="34"/>
        <v>423</v>
      </c>
    </row>
    <row r="424" spans="1:10" ht="15" customHeight="1" x14ac:dyDescent="0.25">
      <c r="A424" s="8">
        <f>IF(COUNT($J$2:$J$1501)&gt;=423,423,"")</f>
        <v>423</v>
      </c>
      <c r="B424" s="8" t="str">
        <f t="shared" si="30"/>
        <v>Unjanque Jean</v>
      </c>
      <c r="C424" s="8" t="str">
        <f t="shared" si="31"/>
        <v>Querétaro</v>
      </c>
      <c r="D424" s="8">
        <f t="shared" si="32"/>
        <v>0</v>
      </c>
      <c r="F424" s="4" t="str">
        <f>IF(Jugadores!B424="","",Jugadores!B424)</f>
        <v>Avila Ali</v>
      </c>
      <c r="G424" s="4" t="str">
        <f>IF(Jugadores!B424="","",Jugadores!A424)</f>
        <v>Querétaro</v>
      </c>
      <c r="H424" s="4">
        <f>IF(F424="","",SUMIF('Estadísticas Jugadores'!$F$2:$F$7001,F424,'Estadísticas Jugadores'!$I$2:$I$7001))</f>
        <v>0</v>
      </c>
      <c r="I424" s="4">
        <f t="shared" si="33"/>
        <v>-4.2400000000000001E-5</v>
      </c>
      <c r="J424" s="4">
        <f t="shared" si="34"/>
        <v>424</v>
      </c>
    </row>
    <row r="425" spans="1:10" ht="15" customHeight="1" x14ac:dyDescent="0.25">
      <c r="A425" s="8">
        <f>IF(COUNT($J$2:$J$1501)&gt;=424,424,"")</f>
        <v>424</v>
      </c>
      <c r="B425" s="8" t="str">
        <f t="shared" si="30"/>
        <v>Avila Ali</v>
      </c>
      <c r="C425" s="8" t="str">
        <f t="shared" si="31"/>
        <v>Querétaro</v>
      </c>
      <c r="D425" s="8">
        <f t="shared" si="32"/>
        <v>0</v>
      </c>
      <c r="F425" s="4" t="str">
        <f>IF(Jugadores!B425="","",Jugadores!B425)</f>
        <v>Coronel Mateo</v>
      </c>
      <c r="G425" s="4" t="str">
        <f>IF(Jugadores!B425="","",Jugadores!A425)</f>
        <v>Querétaro</v>
      </c>
      <c r="H425" s="4">
        <f>IF(F425="","",SUMIF('Estadísticas Jugadores'!$F$2:$F$7001,F425,'Estadísticas Jugadores'!$I$2:$I$7001))</f>
        <v>0</v>
      </c>
      <c r="I425" s="4">
        <f t="shared" si="33"/>
        <v>-4.2499999999999996E-5</v>
      </c>
      <c r="J425" s="4">
        <f t="shared" si="34"/>
        <v>425</v>
      </c>
    </row>
    <row r="426" spans="1:10" ht="15" customHeight="1" x14ac:dyDescent="0.25">
      <c r="A426" s="8">
        <f>IF(COUNT($J$2:$J$1501)&gt;=425,425,"")</f>
        <v>425</v>
      </c>
      <c r="B426" s="8" t="str">
        <f t="shared" si="30"/>
        <v>Coronel Mateo</v>
      </c>
      <c r="C426" s="8" t="str">
        <f t="shared" si="31"/>
        <v>Querétaro</v>
      </c>
      <c r="D426" s="8">
        <f t="shared" si="32"/>
        <v>0</v>
      </c>
      <c r="F426" s="4" t="str">
        <f>IF(Jugadores!B426="","",Jugadores!B426)</f>
        <v>Perez Eduardo</v>
      </c>
      <c r="G426" s="4" t="str">
        <f>IF(Jugadores!B426="","",Jugadores!A426)</f>
        <v>Querétaro</v>
      </c>
      <c r="H426" s="4">
        <f>IF(F426="","",SUMIF('Estadísticas Jugadores'!$F$2:$F$7001,F426,'Estadísticas Jugadores'!$I$2:$I$7001))</f>
        <v>0</v>
      </c>
      <c r="I426" s="4">
        <f t="shared" si="33"/>
        <v>-4.2599999999999999E-5</v>
      </c>
      <c r="J426" s="4">
        <f t="shared" si="34"/>
        <v>426</v>
      </c>
    </row>
    <row r="427" spans="1:10" ht="15" customHeight="1" x14ac:dyDescent="0.25">
      <c r="A427" s="8">
        <f>IF(COUNT($J$2:$J$1501)&gt;=426,426,"")</f>
        <v>426</v>
      </c>
      <c r="B427" s="8" t="str">
        <f t="shared" si="30"/>
        <v>Perez Eduardo</v>
      </c>
      <c r="C427" s="8" t="str">
        <f t="shared" si="31"/>
        <v>Querétaro</v>
      </c>
      <c r="D427" s="8">
        <f t="shared" si="32"/>
        <v>0</v>
      </c>
      <c r="F427" s="4" t="str">
        <f>IF(Jugadores!B427="","",Jugadores!B427)</f>
        <v>Robles Carlos</v>
      </c>
      <c r="G427" s="4" t="str">
        <f>IF(Jugadores!B427="","",Jugadores!A427)</f>
        <v>Querétaro</v>
      </c>
      <c r="H427" s="4">
        <f>IF(F427="","",SUMIF('Estadísticas Jugadores'!$F$2:$F$7001,F427,'Estadísticas Jugadores'!$I$2:$I$7001))</f>
        <v>0</v>
      </c>
      <c r="I427" s="4">
        <f t="shared" si="33"/>
        <v>-4.2700000000000001E-5</v>
      </c>
      <c r="J427" s="4">
        <f t="shared" si="34"/>
        <v>427</v>
      </c>
    </row>
    <row r="428" spans="1:10" ht="15" customHeight="1" x14ac:dyDescent="0.25">
      <c r="A428" s="8">
        <f>IF(COUNT($J$2:$J$1501)&gt;=427,427,"")</f>
        <v>427</v>
      </c>
      <c r="B428" s="8" t="str">
        <f t="shared" si="30"/>
        <v>Robles Carlos</v>
      </c>
      <c r="C428" s="8" t="str">
        <f t="shared" si="31"/>
        <v>Querétaro</v>
      </c>
      <c r="D428" s="8">
        <f t="shared" si="32"/>
        <v>0</v>
      </c>
      <c r="F428" s="4" t="str">
        <f>IF(Jugadores!B428="","",Jugadores!B428)</f>
        <v>Robles Juan</v>
      </c>
      <c r="G428" s="4" t="str">
        <f>IF(Jugadores!B428="","",Jugadores!A428)</f>
        <v>Querétaro</v>
      </c>
      <c r="H428" s="4">
        <f>IF(F428="","",SUMIF('Estadísticas Jugadores'!$F$2:$F$7001,F428,'Estadísticas Jugadores'!$I$2:$I$7001))</f>
        <v>0</v>
      </c>
      <c r="I428" s="4">
        <f t="shared" si="33"/>
        <v>-4.2799999999999997E-5</v>
      </c>
      <c r="J428" s="4">
        <f t="shared" si="34"/>
        <v>428</v>
      </c>
    </row>
    <row r="429" spans="1:10" ht="15" customHeight="1" x14ac:dyDescent="0.25">
      <c r="A429" s="8">
        <f>IF(COUNT($J$2:$J$1501)&gt;=428,428,"")</f>
        <v>428</v>
      </c>
      <c r="B429" s="8" t="str">
        <f t="shared" si="30"/>
        <v>Robles Juan</v>
      </c>
      <c r="C429" s="8" t="str">
        <f t="shared" si="31"/>
        <v>Querétaro</v>
      </c>
      <c r="D429" s="8">
        <f t="shared" si="32"/>
        <v>0</v>
      </c>
      <c r="F429" s="4" t="str">
        <f>IF(Jugadores!B429="","",Jugadores!B429)</f>
        <v>Diaz Benny</v>
      </c>
      <c r="G429" s="4" t="str">
        <f>IF(Jugadores!B429="","",Jugadores!A429)</f>
        <v>Juárez</v>
      </c>
      <c r="H429" s="4">
        <f>IF(F429="","",SUMIF('Estadísticas Jugadores'!$F$2:$F$7001,F429,'Estadísticas Jugadores'!$I$2:$I$7001))</f>
        <v>0</v>
      </c>
      <c r="I429" s="4">
        <f t="shared" si="33"/>
        <v>-4.2899999999999999E-5</v>
      </c>
      <c r="J429" s="4">
        <f t="shared" si="34"/>
        <v>429</v>
      </c>
    </row>
    <row r="430" spans="1:10" ht="15" customHeight="1" x14ac:dyDescent="0.25">
      <c r="A430" s="8">
        <f>IF(COUNT($J$2:$J$1501)&gt;=429,429,"")</f>
        <v>429</v>
      </c>
      <c r="B430" s="8" t="str">
        <f t="shared" si="30"/>
        <v>Diaz Benny</v>
      </c>
      <c r="C430" s="8" t="str">
        <f t="shared" si="31"/>
        <v>Juárez</v>
      </c>
      <c r="D430" s="8">
        <f t="shared" si="32"/>
        <v>0</v>
      </c>
      <c r="F430" s="4" t="str">
        <f>IF(Jugadores!B430="","",Jugadores!B430)</f>
        <v>Jurado Sebastian</v>
      </c>
      <c r="G430" s="4" t="str">
        <f>IF(Jugadores!B430="","",Jugadores!A430)</f>
        <v>Juárez</v>
      </c>
      <c r="H430" s="4">
        <f>IF(F430="","",SUMIF('Estadísticas Jugadores'!$F$2:$F$7001,F430,'Estadísticas Jugadores'!$I$2:$I$7001))</f>
        <v>0</v>
      </c>
      <c r="I430" s="4">
        <f t="shared" si="33"/>
        <v>-4.2999999999999995E-5</v>
      </c>
      <c r="J430" s="4">
        <f t="shared" si="34"/>
        <v>430</v>
      </c>
    </row>
    <row r="431" spans="1:10" ht="15" customHeight="1" x14ac:dyDescent="0.25">
      <c r="A431" s="8">
        <f>IF(COUNT($J$2:$J$1501)&gt;=430,430,"")</f>
        <v>430</v>
      </c>
      <c r="B431" s="8" t="str">
        <f t="shared" si="30"/>
        <v>Jurado Sebastian</v>
      </c>
      <c r="C431" s="8" t="str">
        <f t="shared" si="31"/>
        <v>Juárez</v>
      </c>
      <c r="D431" s="8">
        <f t="shared" si="32"/>
        <v>0</v>
      </c>
      <c r="F431" s="4" t="str">
        <f>IF(Jugadores!B431="","",Jugadores!B431)</f>
        <v>Ruiz Guillermo</v>
      </c>
      <c r="G431" s="4" t="str">
        <f>IF(Jugadores!B431="","",Jugadores!A431)</f>
        <v>Juárez</v>
      </c>
      <c r="H431" s="4">
        <f>IF(F431="","",SUMIF('Estadísticas Jugadores'!$F$2:$F$7001,F431,'Estadísticas Jugadores'!$I$2:$I$7001))</f>
        <v>0</v>
      </c>
      <c r="I431" s="4">
        <f t="shared" si="33"/>
        <v>-4.3099999999999997E-5</v>
      </c>
      <c r="J431" s="4">
        <f t="shared" si="34"/>
        <v>431</v>
      </c>
    </row>
    <row r="432" spans="1:10" ht="15" customHeight="1" x14ac:dyDescent="0.25">
      <c r="A432" s="8">
        <f>IF(COUNT($J$2:$J$1501)&gt;=431,431,"")</f>
        <v>431</v>
      </c>
      <c r="B432" s="8" t="str">
        <f t="shared" si="30"/>
        <v>Ruiz Guillermo</v>
      </c>
      <c r="C432" s="8" t="str">
        <f t="shared" si="31"/>
        <v>Juárez</v>
      </c>
      <c r="D432" s="8">
        <f t="shared" si="32"/>
        <v>0</v>
      </c>
      <c r="F432" s="4" t="str">
        <f>IF(Jugadores!B432="","",Jugadores!B432)</f>
        <v>Carmona Luis</v>
      </c>
      <c r="G432" s="4" t="str">
        <f>IF(Jugadores!B432="","",Jugadores!A432)</f>
        <v>Juárez</v>
      </c>
      <c r="H432" s="4">
        <f>IF(F432="","",SUMIF('Estadísticas Jugadores'!$F$2:$F$7001,F432,'Estadísticas Jugadores'!$I$2:$I$7001))</f>
        <v>0</v>
      </c>
      <c r="I432" s="4">
        <f t="shared" si="33"/>
        <v>-4.32E-5</v>
      </c>
      <c r="J432" s="4">
        <f t="shared" si="34"/>
        <v>432</v>
      </c>
    </row>
    <row r="433" spans="1:10" ht="15" customHeight="1" x14ac:dyDescent="0.25">
      <c r="A433" s="8">
        <f>IF(COUNT($J$2:$J$1501)&gt;=432,432,"")</f>
        <v>432</v>
      </c>
      <c r="B433" s="8" t="str">
        <f t="shared" si="30"/>
        <v>Carmona Luis</v>
      </c>
      <c r="C433" s="8" t="str">
        <f t="shared" si="31"/>
        <v>Juárez</v>
      </c>
      <c r="D433" s="8">
        <f t="shared" si="32"/>
        <v>0</v>
      </c>
      <c r="F433" s="4" t="str">
        <f>IF(Jugadores!B433="","",Jugadores!B433)</f>
        <v>López Eder</v>
      </c>
      <c r="G433" s="4" t="str">
        <f>IF(Jugadores!B433="","",Jugadores!A433)</f>
        <v>Juárez</v>
      </c>
      <c r="H433" s="4">
        <f>IF(F433="","",SUMIF('Estadísticas Jugadores'!$F$2:$F$7001,F433,'Estadísticas Jugadores'!$I$2:$I$7001))</f>
        <v>0</v>
      </c>
      <c r="I433" s="4">
        <f t="shared" si="33"/>
        <v>-4.3299999999999995E-5</v>
      </c>
      <c r="J433" s="4">
        <f t="shared" si="34"/>
        <v>433</v>
      </c>
    </row>
    <row r="434" spans="1:10" ht="15" customHeight="1" x14ac:dyDescent="0.25">
      <c r="A434" s="8">
        <f>IF(COUNT($J$2:$J$1501)&gt;=433,433,"")</f>
        <v>433</v>
      </c>
      <c r="B434" s="8" t="str">
        <f t="shared" si="30"/>
        <v>López Eder</v>
      </c>
      <c r="C434" s="8" t="str">
        <f t="shared" si="31"/>
        <v>Juárez</v>
      </c>
      <c r="D434" s="8">
        <f t="shared" si="32"/>
        <v>0</v>
      </c>
      <c r="F434" s="4" t="str">
        <f>IF(Jugadores!B434="","",Jugadores!B434)</f>
        <v>Manriquez Jose</v>
      </c>
      <c r="G434" s="4" t="str">
        <f>IF(Jugadores!B434="","",Jugadores!A434)</f>
        <v>Juárez</v>
      </c>
      <c r="H434" s="4">
        <f>IF(F434="","",SUMIF('Estadísticas Jugadores'!$F$2:$F$7001,F434,'Estadísticas Jugadores'!$I$2:$I$7001))</f>
        <v>0</v>
      </c>
      <c r="I434" s="4">
        <f t="shared" si="33"/>
        <v>-4.3399999999999998E-5</v>
      </c>
      <c r="J434" s="4">
        <f t="shared" si="34"/>
        <v>434</v>
      </c>
    </row>
    <row r="435" spans="1:10" ht="15" customHeight="1" x14ac:dyDescent="0.25">
      <c r="A435" s="8">
        <f>IF(COUNT($J$2:$J$1501)&gt;=434,434,"")</f>
        <v>434</v>
      </c>
      <c r="B435" s="8" t="str">
        <f t="shared" si="30"/>
        <v>Manriquez Jose</v>
      </c>
      <c r="C435" s="8" t="str">
        <f t="shared" si="31"/>
        <v>Juárez</v>
      </c>
      <c r="D435" s="8">
        <f t="shared" si="32"/>
        <v>0</v>
      </c>
      <c r="F435" s="4" t="str">
        <f>IF(Jugadores!B435="","",Jugadores!B435)</f>
        <v>Mayorga Alejandro</v>
      </c>
      <c r="G435" s="4" t="str">
        <f>IF(Jugadores!B435="","",Jugadores!A435)</f>
        <v>Juárez</v>
      </c>
      <c r="H435" s="4">
        <f>IF(F435="","",SUMIF('Estadísticas Jugadores'!$F$2:$F$7001,F435,'Estadísticas Jugadores'!$I$2:$I$7001))</f>
        <v>0</v>
      </c>
      <c r="I435" s="4">
        <f t="shared" si="33"/>
        <v>-4.35E-5</v>
      </c>
      <c r="J435" s="4">
        <f t="shared" si="34"/>
        <v>435</v>
      </c>
    </row>
    <row r="436" spans="1:10" ht="15" customHeight="1" x14ac:dyDescent="0.25">
      <c r="A436" s="8">
        <f>IF(COUNT($J$2:$J$1501)&gt;=435,435,"")</f>
        <v>435</v>
      </c>
      <c r="B436" s="8" t="str">
        <f t="shared" si="30"/>
        <v>Mayorga Alejandro</v>
      </c>
      <c r="C436" s="8" t="str">
        <f t="shared" si="31"/>
        <v>Juárez</v>
      </c>
      <c r="D436" s="8">
        <f t="shared" si="32"/>
        <v>0</v>
      </c>
      <c r="F436" s="4" t="str">
        <f>IF(Jugadores!B436="","",Jugadores!B436)</f>
        <v>Murillo Jesus</v>
      </c>
      <c r="G436" s="4" t="str">
        <f>IF(Jugadores!B436="","",Jugadores!A436)</f>
        <v>Juárez</v>
      </c>
      <c r="H436" s="4">
        <f>IF(F436="","",SUMIF('Estadísticas Jugadores'!$F$2:$F$7001,F436,'Estadísticas Jugadores'!$I$2:$I$7001))</f>
        <v>0</v>
      </c>
      <c r="I436" s="4">
        <f t="shared" si="33"/>
        <v>-4.3599999999999996E-5</v>
      </c>
      <c r="J436" s="4">
        <f t="shared" si="34"/>
        <v>436</v>
      </c>
    </row>
    <row r="437" spans="1:10" ht="15" customHeight="1" x14ac:dyDescent="0.25">
      <c r="A437" s="8">
        <f>IF(COUNT($J$2:$J$1501)&gt;=436,436,"")</f>
        <v>436</v>
      </c>
      <c r="B437" s="8" t="str">
        <f t="shared" si="30"/>
        <v>Murillo Jesus</v>
      </c>
      <c r="C437" s="8" t="str">
        <f t="shared" si="31"/>
        <v>Juárez</v>
      </c>
      <c r="D437" s="8">
        <f t="shared" si="32"/>
        <v>0</v>
      </c>
      <c r="F437" s="4" t="str">
        <f>IF(Jugadores!B437="","",Jugadores!B437)</f>
        <v>Nevarez Pulgarin Francisco Javier</v>
      </c>
      <c r="G437" s="4" t="str">
        <f>IF(Jugadores!B437="","",Jugadores!A437)</f>
        <v>Juárez</v>
      </c>
      <c r="H437" s="4">
        <f>IF(F437="","",SUMIF('Estadísticas Jugadores'!$F$2:$F$7001,F437,'Estadísticas Jugadores'!$I$2:$I$7001))</f>
        <v>0</v>
      </c>
      <c r="I437" s="4">
        <f t="shared" si="33"/>
        <v>-4.3699999999999998E-5</v>
      </c>
      <c r="J437" s="4">
        <f t="shared" si="34"/>
        <v>437</v>
      </c>
    </row>
    <row r="438" spans="1:10" ht="15" customHeight="1" x14ac:dyDescent="0.25">
      <c r="A438" s="8">
        <f>IF(COUNT($J$2:$J$1501)&gt;=437,437,"")</f>
        <v>437</v>
      </c>
      <c r="B438" s="8" t="str">
        <f t="shared" si="30"/>
        <v>Nevarez Pulgarin Francisco Javier</v>
      </c>
      <c r="C438" s="8" t="str">
        <f t="shared" si="31"/>
        <v>Juárez</v>
      </c>
      <c r="D438" s="8">
        <f t="shared" si="32"/>
        <v>0</v>
      </c>
      <c r="F438" s="4" t="str">
        <f>IF(Jugadores!B438="","",Jugadores!B438)</f>
        <v>Ortega Haret</v>
      </c>
      <c r="G438" s="4" t="str">
        <f>IF(Jugadores!B438="","",Jugadores!A438)</f>
        <v>Juárez</v>
      </c>
      <c r="H438" s="4">
        <f>IF(F438="","",SUMIF('Estadísticas Jugadores'!$F$2:$F$7001,F438,'Estadísticas Jugadores'!$I$2:$I$7001))</f>
        <v>0</v>
      </c>
      <c r="I438" s="4">
        <f t="shared" si="33"/>
        <v>-4.3800000000000001E-5</v>
      </c>
      <c r="J438" s="4">
        <f t="shared" si="34"/>
        <v>438</v>
      </c>
    </row>
    <row r="439" spans="1:10" ht="15" customHeight="1" x14ac:dyDescent="0.25">
      <c r="A439" s="8">
        <f>IF(COUNT($J$2:$J$1501)&gt;=438,438,"")</f>
        <v>438</v>
      </c>
      <c r="B439" s="8" t="str">
        <f t="shared" si="30"/>
        <v>Ortega Haret</v>
      </c>
      <c r="C439" s="8" t="str">
        <f t="shared" si="31"/>
        <v>Juárez</v>
      </c>
      <c r="D439" s="8">
        <f t="shared" si="32"/>
        <v>0</v>
      </c>
      <c r="F439" s="4" t="str">
        <f>IF(Jugadores!B439="","",Jugadores!B439)</f>
        <v>Sepulveda Gilberto</v>
      </c>
      <c r="G439" s="4" t="str">
        <f>IF(Jugadores!B439="","",Jugadores!A439)</f>
        <v>Juárez</v>
      </c>
      <c r="H439" s="4">
        <f>IF(F439="","",SUMIF('Estadísticas Jugadores'!$F$2:$F$7001,F439,'Estadísticas Jugadores'!$I$2:$I$7001))</f>
        <v>0</v>
      </c>
      <c r="I439" s="4">
        <f t="shared" si="33"/>
        <v>-4.3899999999999996E-5</v>
      </c>
      <c r="J439" s="4">
        <f t="shared" si="34"/>
        <v>439</v>
      </c>
    </row>
    <row r="440" spans="1:10" ht="15" customHeight="1" x14ac:dyDescent="0.25">
      <c r="A440" s="8">
        <f>IF(COUNT($J$2:$J$1501)&gt;=439,439,"")</f>
        <v>439</v>
      </c>
      <c r="B440" s="8" t="str">
        <f t="shared" si="30"/>
        <v>Sepulveda Gilberto</v>
      </c>
      <c r="C440" s="8" t="str">
        <f t="shared" si="31"/>
        <v>Juárez</v>
      </c>
      <c r="D440" s="8">
        <f t="shared" si="32"/>
        <v>0</v>
      </c>
      <c r="F440" s="4" t="str">
        <f>IF(Jugadores!B440="","",Jugadores!B440)</f>
        <v>Aquino Javier</v>
      </c>
      <c r="G440" s="4" t="str">
        <f>IF(Jugadores!B440="","",Jugadores!A440)</f>
        <v>Juárez</v>
      </c>
      <c r="H440" s="4">
        <f>IF(F440="","",SUMIF('Estadísticas Jugadores'!$F$2:$F$7001,F440,'Estadísticas Jugadores'!$I$2:$I$7001))</f>
        <v>0</v>
      </c>
      <c r="I440" s="4">
        <f t="shared" si="33"/>
        <v>-4.3999999999999999E-5</v>
      </c>
      <c r="J440" s="4">
        <f t="shared" si="34"/>
        <v>440</v>
      </c>
    </row>
    <row r="441" spans="1:10" ht="15" customHeight="1" x14ac:dyDescent="0.25">
      <c r="A441" s="8">
        <f>IF(COUNT($J$2:$J$1501)&gt;=440,440,"")</f>
        <v>440</v>
      </c>
      <c r="B441" s="8" t="str">
        <f t="shared" si="30"/>
        <v>Aquino Javier</v>
      </c>
      <c r="C441" s="8" t="str">
        <f t="shared" si="31"/>
        <v>Juárez</v>
      </c>
      <c r="D441" s="8">
        <f t="shared" si="32"/>
        <v>0</v>
      </c>
      <c r="F441" s="4" t="str">
        <f>IF(Jugadores!B441="","",Jugadores!B441)</f>
        <v>Carmona Jan</v>
      </c>
      <c r="G441" s="4" t="str">
        <f>IF(Jugadores!B441="","",Jugadores!A441)</f>
        <v>Juárez</v>
      </c>
      <c r="H441" s="4">
        <f>IF(F441="","",SUMIF('Estadísticas Jugadores'!$F$2:$F$7001,F441,'Estadísticas Jugadores'!$I$2:$I$7001))</f>
        <v>0</v>
      </c>
      <c r="I441" s="4">
        <f t="shared" si="33"/>
        <v>-4.4100000000000001E-5</v>
      </c>
      <c r="J441" s="4">
        <f t="shared" si="34"/>
        <v>441</v>
      </c>
    </row>
    <row r="442" spans="1:10" ht="15" customHeight="1" x14ac:dyDescent="0.25">
      <c r="A442" s="8">
        <f>IF(COUNT($J$2:$J$1501)&gt;=441,441,"")</f>
        <v>441</v>
      </c>
      <c r="B442" s="8" t="str">
        <f t="shared" si="30"/>
        <v>Carmona Jan</v>
      </c>
      <c r="C442" s="8" t="str">
        <f t="shared" si="31"/>
        <v>Juárez</v>
      </c>
      <c r="D442" s="8">
        <f t="shared" si="32"/>
        <v>0</v>
      </c>
      <c r="F442" s="4" t="str">
        <f>IF(Jugadores!B442="","",Jugadores!B442)</f>
        <v>Fulgencio Raymundo</v>
      </c>
      <c r="G442" s="4" t="str">
        <f>IF(Jugadores!B442="","",Jugadores!A442)</f>
        <v>Juárez</v>
      </c>
      <c r="H442" s="4">
        <f>IF(F442="","",SUMIF('Estadísticas Jugadores'!$F$2:$F$7001,F442,'Estadísticas Jugadores'!$I$2:$I$7001))</f>
        <v>0</v>
      </c>
      <c r="I442" s="4">
        <f t="shared" si="33"/>
        <v>-4.4199999999999997E-5</v>
      </c>
      <c r="J442" s="4">
        <f t="shared" si="34"/>
        <v>442</v>
      </c>
    </row>
    <row r="443" spans="1:10" ht="15" customHeight="1" x14ac:dyDescent="0.25">
      <c r="A443" s="8">
        <f>IF(COUNT($J$2:$J$1501)&gt;=442,442,"")</f>
        <v>442</v>
      </c>
      <c r="B443" s="8" t="str">
        <f t="shared" si="30"/>
        <v>Fulgencio Raymundo</v>
      </c>
      <c r="C443" s="8" t="str">
        <f t="shared" si="31"/>
        <v>Juárez</v>
      </c>
      <c r="D443" s="8">
        <f t="shared" si="32"/>
        <v>0</v>
      </c>
      <c r="F443" s="4" t="str">
        <f>IF(Jugadores!B443="","",Jugadores!B443)</f>
        <v>Garcia Denzell</v>
      </c>
      <c r="G443" s="4" t="str">
        <f>IF(Jugadores!B443="","",Jugadores!A443)</f>
        <v>Juárez</v>
      </c>
      <c r="H443" s="4">
        <f>IF(F443="","",SUMIF('Estadísticas Jugadores'!$F$2:$F$7001,F443,'Estadísticas Jugadores'!$I$2:$I$7001))</f>
        <v>0</v>
      </c>
      <c r="I443" s="4">
        <f t="shared" si="33"/>
        <v>-4.4299999999999999E-5</v>
      </c>
      <c r="J443" s="4">
        <f t="shared" si="34"/>
        <v>443</v>
      </c>
    </row>
    <row r="444" spans="1:10" ht="15" customHeight="1" x14ac:dyDescent="0.25">
      <c r="A444" s="8">
        <f>IF(COUNT($J$2:$J$1501)&gt;=443,443,"")</f>
        <v>443</v>
      </c>
      <c r="B444" s="8" t="str">
        <f t="shared" si="30"/>
        <v>Garcia Denzell</v>
      </c>
      <c r="C444" s="8" t="str">
        <f t="shared" si="31"/>
        <v>Juárez</v>
      </c>
      <c r="D444" s="8">
        <f t="shared" si="32"/>
        <v>0</v>
      </c>
      <c r="F444" s="4" t="str">
        <f>IF(Jugadores!B444="","",Jugadores!B444)</f>
        <v>Godinez Said</v>
      </c>
      <c r="G444" s="4" t="str">
        <f>IF(Jugadores!B444="","",Jugadores!A444)</f>
        <v>Juárez</v>
      </c>
      <c r="H444" s="4">
        <f>IF(F444="","",SUMIF('Estadísticas Jugadores'!$F$2:$F$7001,F444,'Estadísticas Jugadores'!$I$2:$I$7001))</f>
        <v>0</v>
      </c>
      <c r="I444" s="4">
        <f t="shared" si="33"/>
        <v>-4.4399999999999995E-5</v>
      </c>
      <c r="J444" s="4">
        <f t="shared" si="34"/>
        <v>444</v>
      </c>
    </row>
    <row r="445" spans="1:10" ht="15" customHeight="1" x14ac:dyDescent="0.25">
      <c r="A445" s="8">
        <f>IF(COUNT($J$2:$J$1501)&gt;=444,444,"")</f>
        <v>444</v>
      </c>
      <c r="B445" s="8" t="str">
        <f t="shared" si="30"/>
        <v>Godinez Said</v>
      </c>
      <c r="C445" s="8" t="str">
        <f t="shared" si="31"/>
        <v>Juárez</v>
      </c>
      <c r="D445" s="8">
        <f t="shared" si="32"/>
        <v>0</v>
      </c>
      <c r="F445" s="4" t="str">
        <f>IF(Jugadores!B445="","",Jugadores!B445)</f>
        <v>Guilherme Castilho</v>
      </c>
      <c r="G445" s="4" t="str">
        <f>IF(Jugadores!B445="","",Jugadores!A445)</f>
        <v>Juárez</v>
      </c>
      <c r="H445" s="4">
        <f>IF(F445="","",SUMIF('Estadísticas Jugadores'!$F$2:$F$7001,F445,'Estadísticas Jugadores'!$I$2:$I$7001))</f>
        <v>0</v>
      </c>
      <c r="I445" s="4">
        <f t="shared" si="33"/>
        <v>-4.4499999999999997E-5</v>
      </c>
      <c r="J445" s="4">
        <f t="shared" si="34"/>
        <v>445</v>
      </c>
    </row>
    <row r="446" spans="1:10" ht="15" customHeight="1" x14ac:dyDescent="0.25">
      <c r="A446" s="8">
        <f>IF(COUNT($J$2:$J$1501)&gt;=445,445,"")</f>
        <v>445</v>
      </c>
      <c r="B446" s="8" t="str">
        <f t="shared" si="30"/>
        <v>Guilherme Castilho</v>
      </c>
      <c r="C446" s="8" t="str">
        <f t="shared" si="31"/>
        <v>Juárez</v>
      </c>
      <c r="D446" s="8">
        <f t="shared" si="32"/>
        <v>0</v>
      </c>
      <c r="F446" s="4" t="str">
        <f>IF(Jugadores!B446="","",Jugadores!B446)</f>
        <v>Martinez Kenneth</v>
      </c>
      <c r="G446" s="4" t="str">
        <f>IF(Jugadores!B446="","",Jugadores!A446)</f>
        <v>Juárez</v>
      </c>
      <c r="H446" s="4">
        <f>IF(F446="","",SUMIF('Estadísticas Jugadores'!$F$2:$F$7001,F446,'Estadísticas Jugadores'!$I$2:$I$7001))</f>
        <v>0</v>
      </c>
      <c r="I446" s="4">
        <f t="shared" si="33"/>
        <v>-4.46E-5</v>
      </c>
      <c r="J446" s="4">
        <f t="shared" si="34"/>
        <v>446</v>
      </c>
    </row>
    <row r="447" spans="1:10" ht="15" customHeight="1" x14ac:dyDescent="0.25">
      <c r="A447" s="8">
        <f>IF(COUNT($J$2:$J$1501)&gt;=446,446,"")</f>
        <v>446</v>
      </c>
      <c r="B447" s="8" t="str">
        <f t="shared" si="30"/>
        <v>Martinez Kenneth</v>
      </c>
      <c r="C447" s="8" t="str">
        <f t="shared" si="31"/>
        <v>Juárez</v>
      </c>
      <c r="D447" s="8">
        <f t="shared" si="32"/>
        <v>0</v>
      </c>
      <c r="F447" s="4" t="str">
        <f>IF(Jugadores!B447="","",Jugadores!B447)</f>
        <v>Martinez Yepez Homer Enrique</v>
      </c>
      <c r="G447" s="4" t="str">
        <f>IF(Jugadores!B447="","",Jugadores!A447)</f>
        <v>Juárez</v>
      </c>
      <c r="H447" s="4">
        <f>IF(F447="","",SUMIF('Estadísticas Jugadores'!$F$2:$F$7001,F447,'Estadísticas Jugadores'!$I$2:$I$7001))</f>
        <v>0</v>
      </c>
      <c r="I447" s="4">
        <f t="shared" si="33"/>
        <v>-4.4699999999999996E-5</v>
      </c>
      <c r="J447" s="4">
        <f t="shared" si="34"/>
        <v>447</v>
      </c>
    </row>
    <row r="448" spans="1:10" ht="15" customHeight="1" x14ac:dyDescent="0.25">
      <c r="A448" s="8">
        <f>IF(COUNT($J$2:$J$1501)&gt;=447,447,"")</f>
        <v>447</v>
      </c>
      <c r="B448" s="8" t="str">
        <f t="shared" si="30"/>
        <v>Martinez Yepez Homer Enrique</v>
      </c>
      <c r="C448" s="8" t="str">
        <f t="shared" si="31"/>
        <v>Juárez</v>
      </c>
      <c r="D448" s="8">
        <f t="shared" si="32"/>
        <v>0</v>
      </c>
      <c r="F448" s="4" t="str">
        <f>IF(Jugadores!B448="","",Jugadores!B448)</f>
        <v>Monchu</v>
      </c>
      <c r="G448" s="4" t="str">
        <f>IF(Jugadores!B448="","",Jugadores!A448)</f>
        <v>Juárez</v>
      </c>
      <c r="H448" s="4">
        <f>IF(F448="","",SUMIF('Estadísticas Jugadores'!$F$2:$F$7001,F448,'Estadísticas Jugadores'!$I$2:$I$7001))</f>
        <v>0</v>
      </c>
      <c r="I448" s="4">
        <f t="shared" si="33"/>
        <v>-4.4799999999999998E-5</v>
      </c>
      <c r="J448" s="4">
        <f t="shared" si="34"/>
        <v>448</v>
      </c>
    </row>
    <row r="449" spans="1:10" ht="15" customHeight="1" x14ac:dyDescent="0.25">
      <c r="A449" s="8">
        <f>IF(COUNT($J$2:$J$1501)&gt;=448,448,"")</f>
        <v>448</v>
      </c>
      <c r="B449" s="8" t="str">
        <f t="shared" si="30"/>
        <v>Monchu</v>
      </c>
      <c r="C449" s="8" t="str">
        <f t="shared" si="31"/>
        <v>Juárez</v>
      </c>
      <c r="D449" s="8">
        <f t="shared" si="32"/>
        <v>0</v>
      </c>
      <c r="F449" s="4" t="str">
        <f>IF(Jugadores!B449="","",Jugadores!B449)</f>
        <v>Rodriguez Jose</v>
      </c>
      <c r="G449" s="4" t="str">
        <f>IF(Jugadores!B449="","",Jugadores!A449)</f>
        <v>Juárez</v>
      </c>
      <c r="H449" s="4">
        <f>IF(F449="","",SUMIF('Estadísticas Jugadores'!$F$2:$F$7001,F449,'Estadísticas Jugadores'!$I$2:$I$7001))</f>
        <v>0</v>
      </c>
      <c r="I449" s="4">
        <f t="shared" si="33"/>
        <v>-4.49E-5</v>
      </c>
      <c r="J449" s="4">
        <f t="shared" si="34"/>
        <v>449</v>
      </c>
    </row>
    <row r="450" spans="1:10" ht="15" customHeight="1" x14ac:dyDescent="0.25">
      <c r="A450" s="8">
        <f>IF(COUNT($J$2:$J$1501)&gt;=449,449,"")</f>
        <v>449</v>
      </c>
      <c r="B450" s="8" t="str">
        <f t="shared" ref="B450:B513" si="35">IF($A450="","",INDEX($F$2:$F$1501,MATCH($A450,$J$2:$J$1501,0)))</f>
        <v>Rodriguez Jose</v>
      </c>
      <c r="C450" s="8" t="str">
        <f t="shared" ref="C450:C513" si="36">IF($A450="","",INDEX($G$2:$G$1501,MATCH($A450,$J$2:$J$1501,0)))</f>
        <v>Juárez</v>
      </c>
      <c r="D450" s="8">
        <f t="shared" ref="D450:D513" si="37">IF($A450="","",INDEX($H$2:$H$1501,MATCH($A450,$J$2:$J$1501,0)))</f>
        <v>0</v>
      </c>
      <c r="F450" s="4" t="str">
        <f>IF(Jugadores!B450="","",Jugadores!B450)</f>
        <v>Rodriguez Leonardo</v>
      </c>
      <c r="G450" s="4" t="str">
        <f>IF(Jugadores!B450="","",Jugadores!A450)</f>
        <v>Juárez</v>
      </c>
      <c r="H450" s="4">
        <f>IF(F450="","",SUMIF('Estadísticas Jugadores'!$F$2:$F$7001,F450,'Estadísticas Jugadores'!$I$2:$I$7001))</f>
        <v>0</v>
      </c>
      <c r="I450" s="4">
        <f t="shared" ref="I450:I513" si="38">IF(F450="","",H450*1000-ROW()*0.0000001)</f>
        <v>-4.4999999999999996E-5</v>
      </c>
      <c r="J450" s="4">
        <f t="shared" ref="J450:J513" si="39">IF(F450="","",RANK(I450,$I$2:$I$1501))</f>
        <v>450</v>
      </c>
    </row>
    <row r="451" spans="1:10" ht="15" customHeight="1" x14ac:dyDescent="0.25">
      <c r="A451" s="8">
        <f>IF(COUNT($J$2:$J$1501)&gt;=450,450,"")</f>
        <v>450</v>
      </c>
      <c r="B451" s="8" t="str">
        <f t="shared" si="35"/>
        <v>Rodriguez Leonardo</v>
      </c>
      <c r="C451" s="8" t="str">
        <f t="shared" si="36"/>
        <v>Juárez</v>
      </c>
      <c r="D451" s="8">
        <f t="shared" si="37"/>
        <v>0</v>
      </c>
      <c r="F451" s="4" t="str">
        <f>IF(Jugadores!B451="","",Jugadores!B451)</f>
        <v>Romero Lucas</v>
      </c>
      <c r="G451" s="4" t="str">
        <f>IF(Jugadores!B451="","",Jugadores!A451)</f>
        <v>Juárez</v>
      </c>
      <c r="H451" s="4">
        <f>IF(F451="","",SUMIF('Estadísticas Jugadores'!$F$2:$F$7001,F451,'Estadísticas Jugadores'!$I$2:$I$7001))</f>
        <v>0</v>
      </c>
      <c r="I451" s="4">
        <f t="shared" si="38"/>
        <v>-4.5099999999999998E-5</v>
      </c>
      <c r="J451" s="4">
        <f t="shared" si="39"/>
        <v>451</v>
      </c>
    </row>
    <row r="452" spans="1:10" ht="15" customHeight="1" x14ac:dyDescent="0.25">
      <c r="A452" s="8">
        <f>IF(COUNT($J$2:$J$1501)&gt;=451,451,"")</f>
        <v>451</v>
      </c>
      <c r="B452" s="8" t="str">
        <f t="shared" si="35"/>
        <v>Romero Lucas</v>
      </c>
      <c r="C452" s="8" t="str">
        <f t="shared" si="36"/>
        <v>Juárez</v>
      </c>
      <c r="D452" s="8">
        <f t="shared" si="37"/>
        <v>0</v>
      </c>
      <c r="F452" s="4" t="str">
        <f>IF(Jugadores!B452="","",Jugadores!B452)</f>
        <v>Sigala Juan</v>
      </c>
      <c r="G452" s="4" t="str">
        <f>IF(Jugadores!B452="","",Jugadores!A452)</f>
        <v>Juárez</v>
      </c>
      <c r="H452" s="4">
        <f>IF(F452="","",SUMIF('Estadísticas Jugadores'!$F$2:$F$7001,F452,'Estadísticas Jugadores'!$I$2:$I$7001))</f>
        <v>0</v>
      </c>
      <c r="I452" s="4">
        <f t="shared" si="38"/>
        <v>-4.5200000000000001E-5</v>
      </c>
      <c r="J452" s="4">
        <f t="shared" si="39"/>
        <v>452</v>
      </c>
    </row>
    <row r="453" spans="1:10" ht="15" customHeight="1" x14ac:dyDescent="0.25">
      <c r="A453" s="8">
        <f>IF(COUNT($J$2:$J$1501)&gt;=452,452,"")</f>
        <v>452</v>
      </c>
      <c r="B453" s="8" t="str">
        <f t="shared" si="35"/>
        <v>Sigala Juan</v>
      </c>
      <c r="C453" s="8" t="str">
        <f t="shared" si="36"/>
        <v>Juárez</v>
      </c>
      <c r="D453" s="8">
        <f t="shared" si="37"/>
        <v>0</v>
      </c>
      <c r="F453" s="4" t="str">
        <f>IF(Jugadores!B453="","",Jugadores!B453)</f>
        <v>Ayon Ettson</v>
      </c>
      <c r="G453" s="4" t="str">
        <f>IF(Jugadores!B453="","",Jugadores!A453)</f>
        <v>Juárez</v>
      </c>
      <c r="H453" s="4">
        <f>IF(F453="","",SUMIF('Estadísticas Jugadores'!$F$2:$F$7001,F453,'Estadísticas Jugadores'!$I$2:$I$7001))</f>
        <v>0</v>
      </c>
      <c r="I453" s="4">
        <f t="shared" si="38"/>
        <v>-4.5299999999999997E-5</v>
      </c>
      <c r="J453" s="4">
        <f t="shared" si="39"/>
        <v>453</v>
      </c>
    </row>
    <row r="454" spans="1:10" ht="15" customHeight="1" x14ac:dyDescent="0.25">
      <c r="A454" s="8">
        <f>IF(COUNT($J$2:$J$1501)&gt;=453,453,"")</f>
        <v>453</v>
      </c>
      <c r="B454" s="8" t="str">
        <f t="shared" si="35"/>
        <v>Ayon Ettson</v>
      </c>
      <c r="C454" s="8" t="str">
        <f t="shared" si="36"/>
        <v>Juárez</v>
      </c>
      <c r="D454" s="8">
        <f t="shared" si="37"/>
        <v>0</v>
      </c>
      <c r="F454" s="4" t="str">
        <f>IF(Jugadores!B454="","",Jugadores!B454)</f>
        <v>Dupuy Luca</v>
      </c>
      <c r="G454" s="4" t="str">
        <f>IF(Jugadores!B454="","",Jugadores!A454)</f>
        <v>Juárez</v>
      </c>
      <c r="H454" s="4">
        <f>IF(F454="","",SUMIF('Estadísticas Jugadores'!$F$2:$F$7001,F454,'Estadísticas Jugadores'!$I$2:$I$7001))</f>
        <v>0</v>
      </c>
      <c r="I454" s="4">
        <f t="shared" si="38"/>
        <v>-4.5399999999999999E-5</v>
      </c>
      <c r="J454" s="4">
        <f t="shared" si="39"/>
        <v>454</v>
      </c>
    </row>
    <row r="455" spans="1:10" ht="15" customHeight="1" x14ac:dyDescent="0.25">
      <c r="A455" s="8">
        <f>IF(COUNT($J$2:$J$1501)&gt;=454,454,"")</f>
        <v>454</v>
      </c>
      <c r="B455" s="8" t="str">
        <f t="shared" si="35"/>
        <v>Dupuy Luca</v>
      </c>
      <c r="C455" s="8" t="str">
        <f t="shared" si="36"/>
        <v>Juárez</v>
      </c>
      <c r="D455" s="8">
        <f t="shared" si="37"/>
        <v>0</v>
      </c>
      <c r="F455" s="4" t="str">
        <f>IF(Jugadores!B455="","",Jugadores!B455)</f>
        <v>Estupinan Oscar</v>
      </c>
      <c r="G455" s="4" t="str">
        <f>IF(Jugadores!B455="","",Jugadores!A455)</f>
        <v>Juárez</v>
      </c>
      <c r="H455" s="4">
        <f>IF(F455="","",SUMIF('Estadísticas Jugadores'!$F$2:$F$7001,F455,'Estadísticas Jugadores'!$I$2:$I$7001))</f>
        <v>0</v>
      </c>
      <c r="I455" s="4">
        <f t="shared" si="38"/>
        <v>-4.5499999999999995E-5</v>
      </c>
      <c r="J455" s="4">
        <f t="shared" si="39"/>
        <v>455</v>
      </c>
    </row>
    <row r="456" spans="1:10" ht="15" customHeight="1" x14ac:dyDescent="0.25">
      <c r="A456" s="8">
        <f>IF(COUNT($J$2:$J$1501)&gt;=455,455,"")</f>
        <v>455</v>
      </c>
      <c r="B456" s="8" t="str">
        <f t="shared" si="35"/>
        <v>Estupinan Oscar</v>
      </c>
      <c r="C456" s="8" t="str">
        <f t="shared" si="36"/>
        <v>Juárez</v>
      </c>
      <c r="D456" s="8">
        <f t="shared" si="37"/>
        <v>0</v>
      </c>
      <c r="F456" s="4" t="str">
        <f>IF(Jugadores!B456="","",Jugadores!B456)</f>
        <v>Madson</v>
      </c>
      <c r="G456" s="4" t="str">
        <f>IF(Jugadores!B456="","",Jugadores!A456)</f>
        <v>Juárez</v>
      </c>
      <c r="H456" s="4">
        <f>IF(F456="","",SUMIF('Estadísticas Jugadores'!$F$2:$F$7001,F456,'Estadísticas Jugadores'!$I$2:$I$7001))</f>
        <v>0</v>
      </c>
      <c r="I456" s="4">
        <f t="shared" si="38"/>
        <v>-4.5599999999999997E-5</v>
      </c>
      <c r="J456" s="4">
        <f t="shared" si="39"/>
        <v>456</v>
      </c>
    </row>
    <row r="457" spans="1:10" ht="15" customHeight="1" x14ac:dyDescent="0.25">
      <c r="A457" s="8">
        <f>IF(COUNT($J$2:$J$1501)&gt;=456,456,"")</f>
        <v>456</v>
      </c>
      <c r="B457" s="8" t="str">
        <f t="shared" si="35"/>
        <v>Madson</v>
      </c>
      <c r="C457" s="8" t="str">
        <f t="shared" si="36"/>
        <v>Juárez</v>
      </c>
      <c r="D457" s="8">
        <f t="shared" si="37"/>
        <v>0</v>
      </c>
      <c r="F457" s="4" t="str">
        <f>IF(Jugadores!B457="","",Jugadores!B457)</f>
        <v>Ricardinho</v>
      </c>
      <c r="G457" s="4" t="str">
        <f>IF(Jugadores!B457="","",Jugadores!A457)</f>
        <v>Juárez</v>
      </c>
      <c r="H457" s="4">
        <f>IF(F457="","",SUMIF('Estadísticas Jugadores'!$F$2:$F$7001,F457,'Estadísticas Jugadores'!$I$2:$I$7001))</f>
        <v>0</v>
      </c>
      <c r="I457" s="4">
        <f t="shared" si="38"/>
        <v>-4.57E-5</v>
      </c>
      <c r="J457" s="4">
        <f t="shared" si="39"/>
        <v>457</v>
      </c>
    </row>
    <row r="458" spans="1:10" ht="15" customHeight="1" x14ac:dyDescent="0.25">
      <c r="A458" s="8">
        <f>IF(COUNT($J$2:$J$1501)&gt;=457,457,"")</f>
        <v>457</v>
      </c>
      <c r="B458" s="8" t="str">
        <f t="shared" si="35"/>
        <v>Ricardinho</v>
      </c>
      <c r="C458" s="8" t="str">
        <f t="shared" si="36"/>
        <v>Juárez</v>
      </c>
      <c r="D458" s="8">
        <f t="shared" si="37"/>
        <v>0</v>
      </c>
      <c r="F458" s="4" t="str">
        <f>IF(Jugadores!B458="","",Jugadores!B458)</f>
        <v>Torres Ramirez Ian Jairo Misael</v>
      </c>
      <c r="G458" s="4" t="str">
        <f>IF(Jugadores!B458="","",Jugadores!A458)</f>
        <v>Juárez</v>
      </c>
      <c r="H458" s="4">
        <f>IF(F458="","",SUMIF('Estadísticas Jugadores'!$F$2:$F$7001,F458,'Estadísticas Jugadores'!$I$2:$I$7001))</f>
        <v>0</v>
      </c>
      <c r="I458" s="4">
        <f t="shared" si="38"/>
        <v>-4.5799999999999995E-5</v>
      </c>
      <c r="J458" s="4">
        <f t="shared" si="39"/>
        <v>458</v>
      </c>
    </row>
    <row r="459" spans="1:10" ht="15" customHeight="1" x14ac:dyDescent="0.25">
      <c r="A459" s="8">
        <f>IF(COUNT($J$2:$J$1501)&gt;=458,458,"")</f>
        <v>458</v>
      </c>
      <c r="B459" s="8" t="str">
        <f t="shared" si="35"/>
        <v>Torres Ramirez Ian Jairo Misael</v>
      </c>
      <c r="C459" s="8" t="str">
        <f t="shared" si="36"/>
        <v>Juárez</v>
      </c>
      <c r="D459" s="8">
        <f t="shared" si="37"/>
        <v>0</v>
      </c>
      <c r="F459" s="4" t="str">
        <f>IF(Jugadores!B459="","",Jugadores!B459)</f>
        <v>Carrera Antonio</v>
      </c>
      <c r="G459" s="4" t="str">
        <f>IF(Jugadores!B459="","",Jugadores!A459)</f>
        <v>Tigres UANL</v>
      </c>
      <c r="H459" s="4">
        <f>IF(F459="","",SUMIF('Estadísticas Jugadores'!$F$2:$F$7001,F459,'Estadísticas Jugadores'!$I$2:$I$7001))</f>
        <v>0</v>
      </c>
      <c r="I459" s="4">
        <f t="shared" si="38"/>
        <v>-4.5899999999999998E-5</v>
      </c>
      <c r="J459" s="4">
        <f t="shared" si="39"/>
        <v>459</v>
      </c>
    </row>
    <row r="460" spans="1:10" ht="15" customHeight="1" x14ac:dyDescent="0.25">
      <c r="A460" s="8">
        <f>IF(COUNT($J$2:$J$1501)&gt;=459,459,"")</f>
        <v>459</v>
      </c>
      <c r="B460" s="8" t="str">
        <f t="shared" si="35"/>
        <v>Carrera Antonio</v>
      </c>
      <c r="C460" s="8" t="str">
        <f t="shared" si="36"/>
        <v>Tigres UANL</v>
      </c>
      <c r="D460" s="8">
        <f t="shared" si="37"/>
        <v>0</v>
      </c>
      <c r="F460" s="4" t="str">
        <f>IF(Jugadores!B460="","",Jugadores!B460)</f>
        <v>Guzman Nahuel</v>
      </c>
      <c r="G460" s="4" t="str">
        <f>IF(Jugadores!B460="","",Jugadores!A460)</f>
        <v>Tigres UANL</v>
      </c>
      <c r="H460" s="4">
        <f>IF(F460="","",SUMIF('Estadísticas Jugadores'!$F$2:$F$7001,F460,'Estadísticas Jugadores'!$I$2:$I$7001))</f>
        <v>0</v>
      </c>
      <c r="I460" s="4">
        <f t="shared" si="38"/>
        <v>-4.6E-5</v>
      </c>
      <c r="J460" s="4">
        <f t="shared" si="39"/>
        <v>460</v>
      </c>
    </row>
    <row r="461" spans="1:10" ht="15" customHeight="1" x14ac:dyDescent="0.25">
      <c r="A461" s="8">
        <f>IF(COUNT($J$2:$J$1501)&gt;=460,460,"")</f>
        <v>460</v>
      </c>
      <c r="B461" s="8" t="str">
        <f t="shared" si="35"/>
        <v>Guzman Nahuel</v>
      </c>
      <c r="C461" s="8" t="str">
        <f t="shared" si="36"/>
        <v>Tigres UANL</v>
      </c>
      <c r="D461" s="8">
        <f t="shared" si="37"/>
        <v>0</v>
      </c>
      <c r="F461" s="4" t="str">
        <f>IF(Jugadores!B461="","",Jugadores!B461)</f>
        <v>Rodriguez Felipe</v>
      </c>
      <c r="G461" s="4" t="str">
        <f>IF(Jugadores!B461="","",Jugadores!A461)</f>
        <v>Tigres UANL</v>
      </c>
      <c r="H461" s="4">
        <f>IF(F461="","",SUMIF('Estadísticas Jugadores'!$F$2:$F$7001,F461,'Estadísticas Jugadores'!$I$2:$I$7001))</f>
        <v>0</v>
      </c>
      <c r="I461" s="4">
        <f t="shared" si="38"/>
        <v>-4.6099999999999996E-5</v>
      </c>
      <c r="J461" s="4">
        <f t="shared" si="39"/>
        <v>461</v>
      </c>
    </row>
    <row r="462" spans="1:10" ht="15" customHeight="1" x14ac:dyDescent="0.25">
      <c r="A462" s="8">
        <f>IF(COUNT($J$2:$J$1501)&gt;=461,461,"")</f>
        <v>461</v>
      </c>
      <c r="B462" s="8" t="str">
        <f t="shared" si="35"/>
        <v>Rodriguez Felipe</v>
      </c>
      <c r="C462" s="8" t="str">
        <f t="shared" si="36"/>
        <v>Tigres UANL</v>
      </c>
      <c r="D462" s="8">
        <f t="shared" si="37"/>
        <v>0</v>
      </c>
      <c r="F462" s="4" t="str">
        <f>IF(Jugadores!B462="","",Jugadores!B462)</f>
        <v>Angulo Jesus</v>
      </c>
      <c r="G462" s="4" t="str">
        <f>IF(Jugadores!B462="","",Jugadores!A462)</f>
        <v>Tigres UANL</v>
      </c>
      <c r="H462" s="4">
        <f>IF(F462="","",SUMIF('Estadísticas Jugadores'!$F$2:$F$7001,F462,'Estadísticas Jugadores'!$I$2:$I$7001))</f>
        <v>0</v>
      </c>
      <c r="I462" s="4">
        <f t="shared" si="38"/>
        <v>-4.6199999999999998E-5</v>
      </c>
      <c r="J462" s="4">
        <f t="shared" si="39"/>
        <v>462</v>
      </c>
    </row>
    <row r="463" spans="1:10" ht="15" customHeight="1" x14ac:dyDescent="0.25">
      <c r="A463" s="8">
        <f>IF(COUNT($J$2:$J$1501)&gt;=462,462,"")</f>
        <v>462</v>
      </c>
      <c r="B463" s="8" t="str">
        <f t="shared" si="35"/>
        <v>Angulo Jesus</v>
      </c>
      <c r="C463" s="8" t="str">
        <f t="shared" si="36"/>
        <v>Tigres UANL</v>
      </c>
      <c r="D463" s="8">
        <f t="shared" si="37"/>
        <v>0</v>
      </c>
      <c r="F463" s="4" t="str">
        <f>IF(Jugadores!B463="","",Jugadores!B463)</f>
        <v>Farfán Marco</v>
      </c>
      <c r="G463" s="4" t="str">
        <f>IF(Jugadores!B463="","",Jugadores!A463)</f>
        <v>Tigres UANL</v>
      </c>
      <c r="H463" s="4">
        <f>IF(F463="","",SUMIF('Estadísticas Jugadores'!$F$2:$F$7001,F463,'Estadísticas Jugadores'!$I$2:$I$7001))</f>
        <v>0</v>
      </c>
      <c r="I463" s="4">
        <f t="shared" si="38"/>
        <v>-4.6300000000000001E-5</v>
      </c>
      <c r="J463" s="4">
        <f t="shared" si="39"/>
        <v>463</v>
      </c>
    </row>
    <row r="464" spans="1:10" ht="15" customHeight="1" x14ac:dyDescent="0.25">
      <c r="A464" s="8">
        <f>IF(COUNT($J$2:$J$1501)&gt;=463,463,"")</f>
        <v>463</v>
      </c>
      <c r="B464" s="8" t="str">
        <f t="shared" si="35"/>
        <v>Farfán Marco</v>
      </c>
      <c r="C464" s="8" t="str">
        <f t="shared" si="36"/>
        <v>Tigres UANL</v>
      </c>
      <c r="D464" s="8">
        <f t="shared" si="37"/>
        <v>0</v>
      </c>
      <c r="F464" s="4" t="str">
        <f>IF(Jugadores!B464="","",Jugadores!B464)</f>
        <v>Fernández Francisco</v>
      </c>
      <c r="G464" s="4" t="str">
        <f>IF(Jugadores!B464="","",Jugadores!A464)</f>
        <v>Tigres UANL</v>
      </c>
      <c r="H464" s="4">
        <f>IF(F464="","",SUMIF('Estadísticas Jugadores'!$F$2:$F$7001,F464,'Estadísticas Jugadores'!$I$2:$I$7001))</f>
        <v>0</v>
      </c>
      <c r="I464" s="4">
        <f t="shared" si="38"/>
        <v>-4.6399999999999996E-5</v>
      </c>
      <c r="J464" s="4">
        <f t="shared" si="39"/>
        <v>464</v>
      </c>
    </row>
    <row r="465" spans="1:10" ht="15" customHeight="1" x14ac:dyDescent="0.25">
      <c r="A465" s="8">
        <f>IF(COUNT($J$2:$J$1501)&gt;=464,464,"")</f>
        <v>464</v>
      </c>
      <c r="B465" s="8" t="str">
        <f t="shared" si="35"/>
        <v>Fernández Francisco</v>
      </c>
      <c r="C465" s="8" t="str">
        <f t="shared" si="36"/>
        <v>Tigres UANL</v>
      </c>
      <c r="D465" s="8">
        <f t="shared" si="37"/>
        <v>0</v>
      </c>
      <c r="F465" s="4" t="str">
        <f>IF(Jugadores!B465="","",Jugadores!B465)</f>
        <v>Franco Alan</v>
      </c>
      <c r="G465" s="4" t="str">
        <f>IF(Jugadores!B465="","",Jugadores!A465)</f>
        <v>Tigres UANL</v>
      </c>
      <c r="H465" s="4">
        <f>IF(F465="","",SUMIF('Estadísticas Jugadores'!$F$2:$F$7001,F465,'Estadísticas Jugadores'!$I$2:$I$7001))</f>
        <v>0</v>
      </c>
      <c r="I465" s="4">
        <f t="shared" si="38"/>
        <v>-4.6499999999999999E-5</v>
      </c>
      <c r="J465" s="4">
        <f t="shared" si="39"/>
        <v>465</v>
      </c>
    </row>
    <row r="466" spans="1:10" ht="15" customHeight="1" x14ac:dyDescent="0.25">
      <c r="A466" s="8">
        <f>IF(COUNT($J$2:$J$1501)&gt;=465,465,"")</f>
        <v>465</v>
      </c>
      <c r="B466" s="8" t="str">
        <f t="shared" si="35"/>
        <v>Franco Alan</v>
      </c>
      <c r="C466" s="8" t="str">
        <f t="shared" si="36"/>
        <v>Tigres UANL</v>
      </c>
      <c r="D466" s="8">
        <f t="shared" si="37"/>
        <v>0</v>
      </c>
      <c r="F466" s="4" t="str">
        <f>IF(Jugadores!B466="","",Jugadores!B466)</f>
        <v>Garza Jesus</v>
      </c>
      <c r="G466" s="4" t="str">
        <f>IF(Jugadores!B466="","",Jugadores!A466)</f>
        <v>Tigres UANL</v>
      </c>
      <c r="H466" s="4">
        <f>IF(F466="","",SUMIF('Estadísticas Jugadores'!$F$2:$F$7001,F466,'Estadísticas Jugadores'!$I$2:$I$7001))</f>
        <v>0</v>
      </c>
      <c r="I466" s="4">
        <f t="shared" si="38"/>
        <v>-4.6600000000000001E-5</v>
      </c>
      <c r="J466" s="4">
        <f t="shared" si="39"/>
        <v>466</v>
      </c>
    </row>
    <row r="467" spans="1:10" ht="15" customHeight="1" x14ac:dyDescent="0.25">
      <c r="A467" s="8">
        <f>IF(COUNT($J$2:$J$1501)&gt;=466,466,"")</f>
        <v>466</v>
      </c>
      <c r="B467" s="8" t="str">
        <f t="shared" si="35"/>
        <v>Garza Jesus</v>
      </c>
      <c r="C467" s="8" t="str">
        <f t="shared" si="36"/>
        <v>Tigres UANL</v>
      </c>
      <c r="D467" s="8">
        <f t="shared" si="37"/>
        <v>0</v>
      </c>
      <c r="F467" s="4" t="str">
        <f>IF(Jugadores!B467="","",Jugadores!B467)</f>
        <v>Guerrero Rafael</v>
      </c>
      <c r="G467" s="4" t="str">
        <f>IF(Jugadores!B467="","",Jugadores!A467)</f>
        <v>Tigres UANL</v>
      </c>
      <c r="H467" s="4">
        <f>IF(F467="","",SUMIF('Estadísticas Jugadores'!$F$2:$F$7001,F467,'Estadísticas Jugadores'!$I$2:$I$7001))</f>
        <v>0</v>
      </c>
      <c r="I467" s="4">
        <f t="shared" si="38"/>
        <v>-4.6699999999999997E-5</v>
      </c>
      <c r="J467" s="4">
        <f t="shared" si="39"/>
        <v>467</v>
      </c>
    </row>
    <row r="468" spans="1:10" ht="15" customHeight="1" x14ac:dyDescent="0.25">
      <c r="A468" s="8">
        <f>IF(COUNT($J$2:$J$1501)&gt;=467,467,"")</f>
        <v>467</v>
      </c>
      <c r="B468" s="8" t="str">
        <f t="shared" si="35"/>
        <v>Guerrero Rafael</v>
      </c>
      <c r="C468" s="8" t="str">
        <f t="shared" si="36"/>
        <v>Tigres UANL</v>
      </c>
      <c r="D468" s="8">
        <f t="shared" si="37"/>
        <v>0</v>
      </c>
      <c r="F468" s="4" t="str">
        <f>IF(Jugadores!B468="","",Jugadores!B468)</f>
        <v>Joaquim</v>
      </c>
      <c r="G468" s="4" t="str">
        <f>IF(Jugadores!B468="","",Jugadores!A468)</f>
        <v>Tigres UANL</v>
      </c>
      <c r="H468" s="4">
        <f>IF(F468="","",SUMIF('Estadísticas Jugadores'!$F$2:$F$7001,F468,'Estadísticas Jugadores'!$I$2:$I$7001))</f>
        <v>0</v>
      </c>
      <c r="I468" s="4">
        <f t="shared" si="38"/>
        <v>-4.6799999999999999E-5</v>
      </c>
      <c r="J468" s="4">
        <f t="shared" si="39"/>
        <v>468</v>
      </c>
    </row>
    <row r="469" spans="1:10" ht="15" customHeight="1" x14ac:dyDescent="0.25">
      <c r="A469" s="8">
        <f>IF(COUNT($J$2:$J$1501)&gt;=468,468,"")</f>
        <v>468</v>
      </c>
      <c r="B469" s="8" t="str">
        <f t="shared" si="35"/>
        <v>Joaquim</v>
      </c>
      <c r="C469" s="8" t="str">
        <f t="shared" si="36"/>
        <v>Tigres UANL</v>
      </c>
      <c r="D469" s="8">
        <f t="shared" si="37"/>
        <v>0</v>
      </c>
      <c r="F469" s="4" t="str">
        <f>IF(Jugadores!B469="","",Jugadores!B469)</f>
        <v>Lorona Vladimir</v>
      </c>
      <c r="G469" s="4" t="str">
        <f>IF(Jugadores!B469="","",Jugadores!A469)</f>
        <v>Tigres UANL</v>
      </c>
      <c r="H469" s="4">
        <f>IF(F469="","",SUMIF('Estadísticas Jugadores'!$F$2:$F$7001,F469,'Estadísticas Jugadores'!$I$2:$I$7001))</f>
        <v>0</v>
      </c>
      <c r="I469" s="4">
        <f t="shared" si="38"/>
        <v>-4.6899999999999995E-5</v>
      </c>
      <c r="J469" s="4">
        <f t="shared" si="39"/>
        <v>469</v>
      </c>
    </row>
    <row r="470" spans="1:10" ht="15" customHeight="1" x14ac:dyDescent="0.25">
      <c r="A470" s="8">
        <f>IF(COUNT($J$2:$J$1501)&gt;=469,469,"")</f>
        <v>469</v>
      </c>
      <c r="B470" s="8" t="str">
        <f t="shared" si="35"/>
        <v>Lorona Vladimir</v>
      </c>
      <c r="C470" s="8" t="str">
        <f t="shared" si="36"/>
        <v>Tigres UANL</v>
      </c>
      <c r="D470" s="8">
        <f t="shared" si="37"/>
        <v>0</v>
      </c>
      <c r="F470" s="4" t="str">
        <f>IF(Jugadores!B470="","",Jugadores!B470)</f>
        <v>Ordonez Delgado Fernando Imanol</v>
      </c>
      <c r="G470" s="4" t="str">
        <f>IF(Jugadores!B470="","",Jugadores!A470)</f>
        <v>Tigres UANL</v>
      </c>
      <c r="H470" s="4">
        <f>IF(F470="","",SUMIF('Estadísticas Jugadores'!$F$2:$F$7001,F470,'Estadísticas Jugadores'!$I$2:$I$7001))</f>
        <v>0</v>
      </c>
      <c r="I470" s="4">
        <f t="shared" si="38"/>
        <v>-4.6999999999999997E-5</v>
      </c>
      <c r="J470" s="4">
        <f t="shared" si="39"/>
        <v>470</v>
      </c>
    </row>
    <row r="471" spans="1:10" ht="15" customHeight="1" x14ac:dyDescent="0.25">
      <c r="A471" s="8">
        <f>IF(COUNT($J$2:$J$1501)&gt;=470,470,"")</f>
        <v>470</v>
      </c>
      <c r="B471" s="8" t="str">
        <f t="shared" si="35"/>
        <v>Ordonez Delgado Fernando Imanol</v>
      </c>
      <c r="C471" s="8" t="str">
        <f t="shared" si="36"/>
        <v>Tigres UANL</v>
      </c>
      <c r="D471" s="8">
        <f t="shared" si="37"/>
        <v>0</v>
      </c>
      <c r="F471" s="4" t="str">
        <f>IF(Jugadores!B471="","",Jugadores!B471)</f>
        <v>Rodríguez Osvaldo</v>
      </c>
      <c r="G471" s="4" t="str">
        <f>IF(Jugadores!B471="","",Jugadores!A471)</f>
        <v>Tigres UANL</v>
      </c>
      <c r="H471" s="4">
        <f>IF(F471="","",SUMIF('Estadísticas Jugadores'!$F$2:$F$7001,F471,'Estadísticas Jugadores'!$I$2:$I$7001))</f>
        <v>0</v>
      </c>
      <c r="I471" s="4">
        <f t="shared" si="38"/>
        <v>-4.71E-5</v>
      </c>
      <c r="J471" s="4">
        <f t="shared" si="39"/>
        <v>471</v>
      </c>
    </row>
    <row r="472" spans="1:10" ht="15" customHeight="1" x14ac:dyDescent="0.25">
      <c r="A472" s="8">
        <f>IF(COUNT($J$2:$J$1501)&gt;=471,471,"")</f>
        <v>471</v>
      </c>
      <c r="B472" s="8" t="str">
        <f t="shared" si="35"/>
        <v>Rodríguez Osvaldo</v>
      </c>
      <c r="C472" s="8" t="str">
        <f t="shared" si="36"/>
        <v>Tigres UANL</v>
      </c>
      <c r="D472" s="8">
        <f t="shared" si="37"/>
        <v>0</v>
      </c>
      <c r="F472" s="4" t="str">
        <f>IF(Jugadores!B472="","",Jugadores!B472)</f>
        <v>Salazar Bryan</v>
      </c>
      <c r="G472" s="4" t="str">
        <f>IF(Jugadores!B472="","",Jugadores!A472)</f>
        <v>Tigres UANL</v>
      </c>
      <c r="H472" s="4">
        <f>IF(F472="","",SUMIF('Estadísticas Jugadores'!$F$2:$F$7001,F472,'Estadísticas Jugadores'!$I$2:$I$7001))</f>
        <v>0</v>
      </c>
      <c r="I472" s="4">
        <f t="shared" si="38"/>
        <v>-4.7199999999999995E-5</v>
      </c>
      <c r="J472" s="4">
        <f t="shared" si="39"/>
        <v>472</v>
      </c>
    </row>
    <row r="473" spans="1:10" ht="15" customHeight="1" x14ac:dyDescent="0.25">
      <c r="A473" s="8">
        <f>IF(COUNT($J$2:$J$1501)&gt;=472,472,"")</f>
        <v>472</v>
      </c>
      <c r="B473" s="8" t="str">
        <f t="shared" si="35"/>
        <v>Salazar Bryan</v>
      </c>
      <c r="C473" s="8" t="str">
        <f t="shared" si="36"/>
        <v>Tigres UANL</v>
      </c>
      <c r="D473" s="8">
        <f t="shared" si="37"/>
        <v>0</v>
      </c>
      <c r="F473" s="4" t="str">
        <f>IF(Jugadores!B473="","",Jugadores!B473)</f>
        <v>Sanchez Purata Juan José</v>
      </c>
      <c r="G473" s="4" t="str">
        <f>IF(Jugadores!B473="","",Jugadores!A473)</f>
        <v>Tigres UANL</v>
      </c>
      <c r="H473" s="4">
        <f>IF(F473="","",SUMIF('Estadísticas Jugadores'!$F$2:$F$7001,F473,'Estadísticas Jugadores'!$I$2:$I$7001))</f>
        <v>0</v>
      </c>
      <c r="I473" s="4">
        <f t="shared" si="38"/>
        <v>-4.7299999999999998E-5</v>
      </c>
      <c r="J473" s="4">
        <f t="shared" si="39"/>
        <v>473</v>
      </c>
    </row>
    <row r="474" spans="1:10" ht="15" customHeight="1" x14ac:dyDescent="0.25">
      <c r="A474" s="8">
        <f>IF(COUNT($J$2:$J$1501)&gt;=473,473,"")</f>
        <v>473</v>
      </c>
      <c r="B474" s="8" t="str">
        <f t="shared" si="35"/>
        <v>Sanchez Purata Juan José</v>
      </c>
      <c r="C474" s="8" t="str">
        <f t="shared" si="36"/>
        <v>Tigres UANL</v>
      </c>
      <c r="D474" s="8">
        <f t="shared" si="37"/>
        <v>0</v>
      </c>
      <c r="F474" s="4" t="str">
        <f>IF(Jugadores!B474="","",Jugadores!B474)</f>
        <v>Araujo Cesar</v>
      </c>
      <c r="G474" s="4" t="str">
        <f>IF(Jugadores!B474="","",Jugadores!A474)</f>
        <v>Tigres UANL</v>
      </c>
      <c r="H474" s="4">
        <f>IF(F474="","",SUMIF('Estadísticas Jugadores'!$F$2:$F$7001,F474,'Estadísticas Jugadores'!$I$2:$I$7001))</f>
        <v>0</v>
      </c>
      <c r="I474" s="4">
        <f t="shared" si="38"/>
        <v>-4.74E-5</v>
      </c>
      <c r="J474" s="4">
        <f t="shared" si="39"/>
        <v>474</v>
      </c>
    </row>
    <row r="475" spans="1:10" ht="15" customHeight="1" x14ac:dyDescent="0.25">
      <c r="A475" s="8">
        <f>IF(COUNT($J$2:$J$1501)&gt;=474,474,"")</f>
        <v>474</v>
      </c>
      <c r="B475" s="8" t="str">
        <f t="shared" si="35"/>
        <v>Araujo Cesar</v>
      </c>
      <c r="C475" s="8" t="str">
        <f t="shared" si="36"/>
        <v>Tigres UANL</v>
      </c>
      <c r="D475" s="8">
        <f t="shared" si="37"/>
        <v>0</v>
      </c>
      <c r="F475" s="4" t="str">
        <f>IF(Jugadores!B475="","",Jugadores!B475)</f>
        <v>Correa Ángel</v>
      </c>
      <c r="G475" s="4" t="str">
        <f>IF(Jugadores!B475="","",Jugadores!A475)</f>
        <v>Tigres UANL</v>
      </c>
      <c r="H475" s="4">
        <f>IF(F475="","",SUMIF('Estadísticas Jugadores'!$F$2:$F$7001,F475,'Estadísticas Jugadores'!$I$2:$I$7001))</f>
        <v>0</v>
      </c>
      <c r="I475" s="4">
        <f t="shared" si="38"/>
        <v>-4.7499999999999996E-5</v>
      </c>
      <c r="J475" s="4">
        <f t="shared" si="39"/>
        <v>475</v>
      </c>
    </row>
    <row r="476" spans="1:10" ht="15" customHeight="1" x14ac:dyDescent="0.25">
      <c r="A476" s="8">
        <f>IF(COUNT($J$2:$J$1501)&gt;=475,475,"")</f>
        <v>475</v>
      </c>
      <c r="B476" s="8" t="str">
        <f t="shared" si="35"/>
        <v>Correa Ángel</v>
      </c>
      <c r="C476" s="8" t="str">
        <f t="shared" si="36"/>
        <v>Tigres UANL</v>
      </c>
      <c r="D476" s="8">
        <f t="shared" si="37"/>
        <v>0</v>
      </c>
      <c r="F476" s="4" t="str">
        <f>IF(Jugadores!B476="","",Jugadores!B476)</f>
        <v>Flores Marcelo</v>
      </c>
      <c r="G476" s="4" t="str">
        <f>IF(Jugadores!B476="","",Jugadores!A476)</f>
        <v>Tigres UANL</v>
      </c>
      <c r="H476" s="4">
        <f>IF(F476="","",SUMIF('Estadísticas Jugadores'!$F$2:$F$7001,F476,'Estadísticas Jugadores'!$I$2:$I$7001))</f>
        <v>0</v>
      </c>
      <c r="I476" s="4">
        <f t="shared" si="38"/>
        <v>-4.7599999999999998E-5</v>
      </c>
      <c r="J476" s="4">
        <f t="shared" si="39"/>
        <v>476</v>
      </c>
    </row>
    <row r="477" spans="1:10" ht="15" customHeight="1" x14ac:dyDescent="0.25">
      <c r="A477" s="8">
        <f>IF(COUNT($J$2:$J$1501)&gt;=476,476,"")</f>
        <v>476</v>
      </c>
      <c r="B477" s="8" t="str">
        <f t="shared" si="35"/>
        <v>Flores Marcelo</v>
      </c>
      <c r="C477" s="8" t="str">
        <f t="shared" si="36"/>
        <v>Tigres UANL</v>
      </c>
      <c r="D477" s="8">
        <f t="shared" si="37"/>
        <v>0</v>
      </c>
      <c r="F477" s="4" t="str">
        <f>IF(Jugadores!B477="","",Jugadores!B477)</f>
        <v>Galvan Isac</v>
      </c>
      <c r="G477" s="4" t="str">
        <f>IF(Jugadores!B477="","",Jugadores!A477)</f>
        <v>Tigres UANL</v>
      </c>
      <c r="H477" s="4">
        <f>IF(F477="","",SUMIF('Estadísticas Jugadores'!$F$2:$F$7001,F477,'Estadísticas Jugadores'!$I$2:$I$7001))</f>
        <v>0</v>
      </c>
      <c r="I477" s="4">
        <f t="shared" si="38"/>
        <v>-4.7700000000000001E-5</v>
      </c>
      <c r="J477" s="4">
        <f t="shared" si="39"/>
        <v>477</v>
      </c>
    </row>
    <row r="478" spans="1:10" ht="15" customHeight="1" x14ac:dyDescent="0.25">
      <c r="A478" s="8">
        <f>IF(COUNT($J$2:$J$1501)&gt;=477,477,"")</f>
        <v>477</v>
      </c>
      <c r="B478" s="8" t="str">
        <f t="shared" si="35"/>
        <v>Galvan Isac</v>
      </c>
      <c r="C478" s="8" t="str">
        <f t="shared" si="36"/>
        <v>Tigres UANL</v>
      </c>
      <c r="D478" s="8">
        <f t="shared" si="37"/>
        <v>0</v>
      </c>
      <c r="F478" s="4" t="str">
        <f>IF(Jugadores!B478="","",Jugadores!B478)</f>
        <v>Gorriaran Fontes Fernando</v>
      </c>
      <c r="G478" s="4" t="str">
        <f>IF(Jugadores!B478="","",Jugadores!A478)</f>
        <v>Tigres UANL</v>
      </c>
      <c r="H478" s="4">
        <f>IF(F478="","",SUMIF('Estadísticas Jugadores'!$F$2:$F$7001,F478,'Estadísticas Jugadores'!$I$2:$I$7001))</f>
        <v>0</v>
      </c>
      <c r="I478" s="4">
        <f t="shared" si="38"/>
        <v>-4.7799999999999996E-5</v>
      </c>
      <c r="J478" s="4">
        <f t="shared" si="39"/>
        <v>478</v>
      </c>
    </row>
    <row r="479" spans="1:10" ht="15" customHeight="1" x14ac:dyDescent="0.25">
      <c r="A479" s="8">
        <f>IF(COUNT($J$2:$J$1501)&gt;=478,478,"")</f>
        <v>478</v>
      </c>
      <c r="B479" s="8" t="str">
        <f t="shared" si="35"/>
        <v>Gorriaran Fontes Fernando</v>
      </c>
      <c r="C479" s="8" t="str">
        <f t="shared" si="36"/>
        <v>Tigres UANL</v>
      </c>
      <c r="D479" s="8">
        <f t="shared" si="37"/>
        <v>0</v>
      </c>
      <c r="F479" s="4" t="str">
        <f>IF(Jugadores!B479="","",Jugadores!B479)</f>
        <v>Ramirez Diego</v>
      </c>
      <c r="G479" s="4" t="str">
        <f>IF(Jugadores!B479="","",Jugadores!A479)</f>
        <v>Tigres UANL</v>
      </c>
      <c r="H479" s="4">
        <f>IF(F479="","",SUMIF('Estadísticas Jugadores'!$F$2:$F$7001,F479,'Estadísticas Jugadores'!$I$2:$I$7001))</f>
        <v>0</v>
      </c>
      <c r="I479" s="4">
        <f t="shared" si="38"/>
        <v>-4.7899999999999999E-5</v>
      </c>
      <c r="J479" s="4">
        <f t="shared" si="39"/>
        <v>479</v>
      </c>
    </row>
    <row r="480" spans="1:10" ht="15" customHeight="1" x14ac:dyDescent="0.25">
      <c r="A480" s="8">
        <f>IF(COUNT($J$2:$J$1501)&gt;=479,479,"")</f>
        <v>479</v>
      </c>
      <c r="B480" s="8" t="str">
        <f t="shared" si="35"/>
        <v>Ramirez Diego</v>
      </c>
      <c r="C480" s="8" t="str">
        <f t="shared" si="36"/>
        <v>Tigres UANL</v>
      </c>
      <c r="D480" s="8">
        <f t="shared" si="37"/>
        <v>0</v>
      </c>
      <c r="F480" s="4" t="str">
        <f>IF(Jugadores!B480="","",Jugadores!B480)</f>
        <v>Romulo</v>
      </c>
      <c r="G480" s="4" t="str">
        <f>IF(Jugadores!B480="","",Jugadores!A480)</f>
        <v>Tigres UANL</v>
      </c>
      <c r="H480" s="4">
        <f>IF(F480="","",SUMIF('Estadísticas Jugadores'!$F$2:$F$7001,F480,'Estadísticas Jugadores'!$I$2:$I$7001))</f>
        <v>0</v>
      </c>
      <c r="I480" s="4">
        <f t="shared" si="38"/>
        <v>-4.8000000000000001E-5</v>
      </c>
      <c r="J480" s="4">
        <f t="shared" si="39"/>
        <v>480</v>
      </c>
    </row>
    <row r="481" spans="1:10" ht="15" customHeight="1" x14ac:dyDescent="0.25">
      <c r="A481" s="8">
        <f>IF(COUNT($J$2:$J$1501)&gt;=480,480,"")</f>
        <v>480</v>
      </c>
      <c r="B481" s="8" t="str">
        <f t="shared" si="35"/>
        <v>Romulo</v>
      </c>
      <c r="C481" s="8" t="str">
        <f t="shared" si="36"/>
        <v>Tigres UANL</v>
      </c>
      <c r="D481" s="8">
        <f t="shared" si="37"/>
        <v>0</v>
      </c>
      <c r="F481" s="4" t="str">
        <f>IF(Jugadores!B481="","",Jugadores!B481)</f>
        <v>Salinas Villarreal Marcelo</v>
      </c>
      <c r="G481" s="4" t="str">
        <f>IF(Jugadores!B481="","",Jugadores!A481)</f>
        <v>Tigres UANL</v>
      </c>
      <c r="H481" s="4">
        <f>IF(F481="","",SUMIF('Estadísticas Jugadores'!$F$2:$F$7001,F481,'Estadísticas Jugadores'!$I$2:$I$7001))</f>
        <v>0</v>
      </c>
      <c r="I481" s="4">
        <f t="shared" si="38"/>
        <v>-4.8099999999999997E-5</v>
      </c>
      <c r="J481" s="4">
        <f t="shared" si="39"/>
        <v>481</v>
      </c>
    </row>
    <row r="482" spans="1:10" ht="15" customHeight="1" x14ac:dyDescent="0.25">
      <c r="A482" s="8">
        <f>IF(COUNT($J$2:$J$1501)&gt;=481,481,"")</f>
        <v>481</v>
      </c>
      <c r="B482" s="8" t="str">
        <f t="shared" si="35"/>
        <v>Salinas Villarreal Marcelo</v>
      </c>
      <c r="C482" s="8" t="str">
        <f t="shared" si="36"/>
        <v>Tigres UANL</v>
      </c>
      <c r="D482" s="8">
        <f t="shared" si="37"/>
        <v>0</v>
      </c>
      <c r="F482" s="4" t="str">
        <f>IF(Jugadores!B482="","",Jugadores!B482)</f>
        <v>Sanchez Guevara Diego Alexander</v>
      </c>
      <c r="G482" s="4" t="str">
        <f>IF(Jugadores!B482="","",Jugadores!A482)</f>
        <v>Tigres UANL</v>
      </c>
      <c r="H482" s="4">
        <f>IF(F482="","",SUMIF('Estadísticas Jugadores'!$F$2:$F$7001,F482,'Estadísticas Jugadores'!$I$2:$I$7001))</f>
        <v>0</v>
      </c>
      <c r="I482" s="4">
        <f t="shared" si="38"/>
        <v>-4.8199999999999999E-5</v>
      </c>
      <c r="J482" s="4">
        <f t="shared" si="39"/>
        <v>482</v>
      </c>
    </row>
    <row r="483" spans="1:10" ht="15" customHeight="1" x14ac:dyDescent="0.25">
      <c r="A483" s="8">
        <f>IF(COUNT($J$2:$J$1501)&gt;=482,482,"")</f>
        <v>482</v>
      </c>
      <c r="B483" s="8" t="str">
        <f t="shared" si="35"/>
        <v>Sanchez Guevara Diego Alexander</v>
      </c>
      <c r="C483" s="8" t="str">
        <f t="shared" si="36"/>
        <v>Tigres UANL</v>
      </c>
      <c r="D483" s="8">
        <f t="shared" si="37"/>
        <v>0</v>
      </c>
      <c r="F483" s="4" t="str">
        <f>IF(Jugadores!B483="","",Jugadores!B483)</f>
        <v>Simeone</v>
      </c>
      <c r="G483" s="4" t="str">
        <f>IF(Jugadores!B483="","",Jugadores!A483)</f>
        <v>Tigres UANL</v>
      </c>
      <c r="H483" s="4">
        <f>IF(F483="","",SUMIF('Estadísticas Jugadores'!$F$2:$F$7001,F483,'Estadísticas Jugadores'!$I$2:$I$7001))</f>
        <v>0</v>
      </c>
      <c r="I483" s="4">
        <f t="shared" si="38"/>
        <v>-4.8299999999999995E-5</v>
      </c>
      <c r="J483" s="4">
        <f t="shared" si="39"/>
        <v>483</v>
      </c>
    </row>
    <row r="484" spans="1:10" ht="15" customHeight="1" x14ac:dyDescent="0.25">
      <c r="A484" s="8">
        <f>IF(COUNT($J$2:$J$1501)&gt;=483,483,"")</f>
        <v>483</v>
      </c>
      <c r="B484" s="8" t="str">
        <f t="shared" si="35"/>
        <v>Simeone</v>
      </c>
      <c r="C484" s="8" t="str">
        <f t="shared" si="36"/>
        <v>Tigres UANL</v>
      </c>
      <c r="D484" s="8">
        <f t="shared" si="37"/>
        <v>0</v>
      </c>
      <c r="F484" s="4" t="str">
        <f>IF(Jugadores!B484="","",Jugadores!B484)</f>
        <v>Vigon Cham Juan Pablo</v>
      </c>
      <c r="G484" s="4" t="str">
        <f>IF(Jugadores!B484="","",Jugadores!A484)</f>
        <v>Tigres UANL</v>
      </c>
      <c r="H484" s="4">
        <f>IF(F484="","",SUMIF('Estadísticas Jugadores'!$F$2:$F$7001,F484,'Estadísticas Jugadores'!$I$2:$I$7001))</f>
        <v>0</v>
      </c>
      <c r="I484" s="4">
        <f t="shared" si="38"/>
        <v>-4.8399999999999997E-5</v>
      </c>
      <c r="J484" s="4">
        <f t="shared" si="39"/>
        <v>484</v>
      </c>
    </row>
    <row r="485" spans="1:10" ht="15" customHeight="1" x14ac:dyDescent="0.25">
      <c r="A485" s="8">
        <f>IF(COUNT($J$2:$J$1501)&gt;=484,484,"")</f>
        <v>484</v>
      </c>
      <c r="B485" s="8" t="str">
        <f t="shared" si="35"/>
        <v>Vigon Cham Juan Pablo</v>
      </c>
      <c r="C485" s="8" t="str">
        <f t="shared" si="36"/>
        <v>Tigres UANL</v>
      </c>
      <c r="D485" s="8">
        <f t="shared" si="37"/>
        <v>0</v>
      </c>
      <c r="F485" s="4" t="str">
        <f>IF(Jugadores!B485="","",Jugadores!B485)</f>
        <v>Aguirre Rodrigo</v>
      </c>
      <c r="G485" s="4" t="str">
        <f>IF(Jugadores!B485="","",Jugadores!A485)</f>
        <v>Tigres UANL</v>
      </c>
      <c r="H485" s="4">
        <f>IF(F485="","",SUMIF('Estadísticas Jugadores'!$F$2:$F$7001,F485,'Estadísticas Jugadores'!$I$2:$I$7001))</f>
        <v>0</v>
      </c>
      <c r="I485" s="4">
        <f t="shared" si="38"/>
        <v>-4.85E-5</v>
      </c>
      <c r="J485" s="4">
        <f t="shared" si="39"/>
        <v>485</v>
      </c>
    </row>
    <row r="486" spans="1:10" ht="15" customHeight="1" x14ac:dyDescent="0.25">
      <c r="A486" s="8">
        <f>IF(COUNT($J$2:$J$1501)&gt;=485,485,"")</f>
        <v>485</v>
      </c>
      <c r="B486" s="8" t="str">
        <f t="shared" si="35"/>
        <v>Aguirre Rodrigo</v>
      </c>
      <c r="C486" s="8" t="str">
        <f t="shared" si="36"/>
        <v>Tigres UANL</v>
      </c>
      <c r="D486" s="8">
        <f t="shared" si="37"/>
        <v>0</v>
      </c>
      <c r="F486" s="4" t="str">
        <f>IF(Jugadores!B486="","",Jugadores!B486)</f>
        <v>Brunetta Juan Francisco</v>
      </c>
      <c r="G486" s="4" t="str">
        <f>IF(Jugadores!B486="","",Jugadores!A486)</f>
        <v>Tigres UANL</v>
      </c>
      <c r="H486" s="4">
        <f>IF(F486="","",SUMIF('Estadísticas Jugadores'!$F$2:$F$7001,F486,'Estadísticas Jugadores'!$I$2:$I$7001))</f>
        <v>0</v>
      </c>
      <c r="I486" s="4">
        <f t="shared" si="38"/>
        <v>-4.8599999999999995E-5</v>
      </c>
      <c r="J486" s="4">
        <f t="shared" si="39"/>
        <v>486</v>
      </c>
    </row>
    <row r="487" spans="1:10" ht="15" customHeight="1" x14ac:dyDescent="0.25">
      <c r="A487" s="8">
        <f>IF(COUNT($J$2:$J$1501)&gt;=486,486,"")</f>
        <v>486</v>
      </c>
      <c r="B487" s="8" t="str">
        <f t="shared" si="35"/>
        <v>Brunetta Juan Francisco</v>
      </c>
      <c r="C487" s="8" t="str">
        <f t="shared" si="36"/>
        <v>Tigres UANL</v>
      </c>
      <c r="D487" s="8">
        <f t="shared" si="37"/>
        <v>0</v>
      </c>
      <c r="F487" s="4" t="str">
        <f>IF(Jugadores!B487="","",Jugadores!B487)</f>
        <v>Galvan Isaias</v>
      </c>
      <c r="G487" s="4" t="str">
        <f>IF(Jugadores!B487="","",Jugadores!A487)</f>
        <v>Tigres UANL</v>
      </c>
      <c r="H487" s="4">
        <f>IF(F487="","",SUMIF('Estadísticas Jugadores'!$F$2:$F$7001,F487,'Estadísticas Jugadores'!$I$2:$I$7001))</f>
        <v>0</v>
      </c>
      <c r="I487" s="4">
        <f t="shared" si="38"/>
        <v>-4.8699999999999998E-5</v>
      </c>
      <c r="J487" s="4">
        <f t="shared" si="39"/>
        <v>487</v>
      </c>
    </row>
    <row r="488" spans="1:10" ht="15" customHeight="1" x14ac:dyDescent="0.25">
      <c r="A488" s="8">
        <f>IF(COUNT($J$2:$J$1501)&gt;=487,487,"")</f>
        <v>487</v>
      </c>
      <c r="B488" s="8" t="str">
        <f t="shared" si="35"/>
        <v>Galvan Isaias</v>
      </c>
      <c r="C488" s="8" t="str">
        <f t="shared" si="36"/>
        <v>Tigres UANL</v>
      </c>
      <c r="D488" s="8">
        <f t="shared" si="37"/>
        <v>0</v>
      </c>
      <c r="F488" s="4" t="str">
        <f>IF(Jugadores!B488="","",Jugadores!B488)</f>
        <v>Gignac Andre-Pierre</v>
      </c>
      <c r="G488" s="4" t="str">
        <f>IF(Jugadores!B488="","",Jugadores!A488)</f>
        <v>Tigres UANL</v>
      </c>
      <c r="H488" s="4">
        <f>IF(F488="","",SUMIF('Estadísticas Jugadores'!$F$2:$F$7001,F488,'Estadísticas Jugadores'!$I$2:$I$7001))</f>
        <v>0</v>
      </c>
      <c r="I488" s="4">
        <f t="shared" si="38"/>
        <v>-4.88E-5</v>
      </c>
      <c r="J488" s="4">
        <f t="shared" si="39"/>
        <v>488</v>
      </c>
    </row>
    <row r="489" spans="1:10" ht="15" customHeight="1" x14ac:dyDescent="0.25">
      <c r="A489" s="8">
        <f>IF(COUNT($J$2:$J$1501)&gt;=488,488,"")</f>
        <v>488</v>
      </c>
      <c r="B489" s="8" t="str">
        <f t="shared" si="35"/>
        <v>Gignac Andre-Pierre</v>
      </c>
      <c r="C489" s="8" t="str">
        <f t="shared" si="36"/>
        <v>Tigres UANL</v>
      </c>
      <c r="D489" s="8">
        <f t="shared" si="37"/>
        <v>0</v>
      </c>
      <c r="F489" s="4" t="str">
        <f>IF(Jugadores!B489="","",Jugadores!B489)</f>
        <v>Herrera Ozziel</v>
      </c>
      <c r="G489" s="4" t="str">
        <f>IF(Jugadores!B489="","",Jugadores!A489)</f>
        <v>Tigres UANL</v>
      </c>
      <c r="H489" s="4">
        <f>IF(F489="","",SUMIF('Estadísticas Jugadores'!$F$2:$F$7001,F489,'Estadísticas Jugadores'!$I$2:$I$7001))</f>
        <v>1</v>
      </c>
      <c r="I489" s="4">
        <f t="shared" si="38"/>
        <v>999.99995109999998</v>
      </c>
      <c r="J489" s="4">
        <f t="shared" si="39"/>
        <v>25</v>
      </c>
    </row>
    <row r="490" spans="1:10" ht="15" customHeight="1" x14ac:dyDescent="0.25">
      <c r="A490" s="8">
        <f>IF(COUNT($J$2:$J$1501)&gt;=489,489,"")</f>
        <v>489</v>
      </c>
      <c r="B490" s="8" t="str">
        <f t="shared" si="35"/>
        <v>Lainez Diego</v>
      </c>
      <c r="C490" s="8" t="str">
        <f t="shared" si="36"/>
        <v>Tigres UANL</v>
      </c>
      <c r="D490" s="8">
        <f t="shared" si="37"/>
        <v>0</v>
      </c>
      <c r="F490" s="4" t="str">
        <f>IF(Jugadores!B490="","",Jugadores!B490)</f>
        <v>Lainez Diego</v>
      </c>
      <c r="G490" s="4" t="str">
        <f>IF(Jugadores!B490="","",Jugadores!A490)</f>
        <v>Tigres UANL</v>
      </c>
      <c r="H490" s="4">
        <f>IF(F490="","",SUMIF('Estadísticas Jugadores'!$F$2:$F$7001,F490,'Estadísticas Jugadores'!$I$2:$I$7001))</f>
        <v>0</v>
      </c>
      <c r="I490" s="4">
        <f t="shared" si="38"/>
        <v>-4.8999999999999998E-5</v>
      </c>
      <c r="J490" s="4">
        <f t="shared" si="39"/>
        <v>489</v>
      </c>
    </row>
    <row r="491" spans="1:10" ht="15" customHeight="1" x14ac:dyDescent="0.25">
      <c r="A491" s="8">
        <f>IF(COUNT($J$2:$J$1501)&gt;=490,490,"")</f>
        <v>490</v>
      </c>
      <c r="B491" s="8" t="str">
        <f t="shared" si="35"/>
        <v>de Maria Campos Antoino</v>
      </c>
      <c r="C491" s="8" t="str">
        <f t="shared" si="36"/>
        <v>Tigres UANL</v>
      </c>
      <c r="D491" s="8">
        <f t="shared" si="37"/>
        <v>0</v>
      </c>
      <c r="F491" s="4" t="str">
        <f>IF(Jugadores!B491="","",Jugadores!B491)</f>
        <v>de Maria Campos Antoino</v>
      </c>
      <c r="G491" s="4" t="str">
        <f>IF(Jugadores!B491="","",Jugadores!A491)</f>
        <v>Tigres UANL</v>
      </c>
      <c r="H491" s="4">
        <f>IF(F491="","",SUMIF('Estadísticas Jugadores'!$F$2:$F$7001,F491,'Estadísticas Jugadores'!$I$2:$I$7001))</f>
        <v>0</v>
      </c>
      <c r="I491" s="4">
        <f t="shared" si="38"/>
        <v>-4.9100000000000001E-5</v>
      </c>
      <c r="J491" s="4">
        <f t="shared" si="39"/>
        <v>490</v>
      </c>
    </row>
    <row r="492" spans="1:10" ht="15" customHeight="1" x14ac:dyDescent="0.25">
      <c r="A492" s="8">
        <f>IF(COUNT($J$2:$J$1501)&gt;=491,491,"")</f>
        <v>491</v>
      </c>
      <c r="B492" s="8" t="str">
        <f t="shared" si="35"/>
        <v>Liceaga Juan</v>
      </c>
      <c r="C492" s="8" t="str">
        <f t="shared" si="36"/>
        <v>Guadalajara</v>
      </c>
      <c r="D492" s="8">
        <f t="shared" si="37"/>
        <v>0</v>
      </c>
      <c r="F492" s="4" t="str">
        <f>IF(Jugadores!B492="","",Jugadores!B492)</f>
        <v>Liceaga Juan</v>
      </c>
      <c r="G492" s="4" t="str">
        <f>IF(Jugadores!B492="","",Jugadores!A492)</f>
        <v>Guadalajara</v>
      </c>
      <c r="H492" s="4">
        <f>IF(F492="","",SUMIF('Estadísticas Jugadores'!$F$2:$F$7001,F492,'Estadísticas Jugadores'!$I$2:$I$7001))</f>
        <v>0</v>
      </c>
      <c r="I492" s="4">
        <f t="shared" si="38"/>
        <v>-4.9199999999999997E-5</v>
      </c>
      <c r="J492" s="4">
        <f t="shared" si="39"/>
        <v>491</v>
      </c>
    </row>
    <row r="493" spans="1:10" ht="15" customHeight="1" x14ac:dyDescent="0.25">
      <c r="A493" s="8">
        <f>IF(COUNT($J$2:$J$1501)&gt;=492,492,"")</f>
        <v>492</v>
      </c>
      <c r="B493" s="8" t="str">
        <f t="shared" si="35"/>
        <v>Rangel Raul</v>
      </c>
      <c r="C493" s="8" t="str">
        <f t="shared" si="36"/>
        <v>Guadalajara</v>
      </c>
      <c r="D493" s="8">
        <f t="shared" si="37"/>
        <v>0</v>
      </c>
      <c r="F493" s="4" t="str">
        <f>IF(Jugadores!B493="","",Jugadores!B493)</f>
        <v>Rangel Raul</v>
      </c>
      <c r="G493" s="4" t="str">
        <f>IF(Jugadores!B493="","",Jugadores!A493)</f>
        <v>Guadalajara</v>
      </c>
      <c r="H493" s="4">
        <f>IF(F493="","",SUMIF('Estadísticas Jugadores'!$F$2:$F$7001,F493,'Estadísticas Jugadores'!$I$2:$I$7001))</f>
        <v>0</v>
      </c>
      <c r="I493" s="4">
        <f t="shared" si="38"/>
        <v>-4.9299999999999999E-5</v>
      </c>
      <c r="J493" s="4">
        <f t="shared" si="39"/>
        <v>492</v>
      </c>
    </row>
    <row r="494" spans="1:10" ht="15" customHeight="1" x14ac:dyDescent="0.25">
      <c r="A494" s="8">
        <f>IF(COUNT($J$2:$J$1501)&gt;=493,493,"")</f>
        <v>493</v>
      </c>
      <c r="B494" s="8" t="str">
        <f t="shared" si="35"/>
        <v>Whalley Oscar</v>
      </c>
      <c r="C494" s="8" t="str">
        <f t="shared" si="36"/>
        <v>Guadalajara</v>
      </c>
      <c r="D494" s="8">
        <f t="shared" si="37"/>
        <v>0</v>
      </c>
      <c r="F494" s="4" t="str">
        <f>IF(Jugadores!B494="","",Jugadores!B494)</f>
        <v>Whalley Oscar</v>
      </c>
      <c r="G494" s="4" t="str">
        <f>IF(Jugadores!B494="","",Jugadores!A494)</f>
        <v>Guadalajara</v>
      </c>
      <c r="H494" s="4">
        <f>IF(F494="","",SUMIF('Estadísticas Jugadores'!$F$2:$F$7001,F494,'Estadísticas Jugadores'!$I$2:$I$7001))</f>
        <v>0</v>
      </c>
      <c r="I494" s="4">
        <f t="shared" si="38"/>
        <v>-4.9399999999999995E-5</v>
      </c>
      <c r="J494" s="4">
        <f t="shared" si="39"/>
        <v>493</v>
      </c>
    </row>
    <row r="495" spans="1:10" ht="15" customHeight="1" x14ac:dyDescent="0.25">
      <c r="A495" s="8">
        <f>IF(COUNT($J$2:$J$1501)&gt;=494,494,"")</f>
        <v>494</v>
      </c>
      <c r="B495" s="8" t="str">
        <f t="shared" si="35"/>
        <v>Aguirre Daniel</v>
      </c>
      <c r="C495" s="8" t="str">
        <f t="shared" si="36"/>
        <v>Guadalajara</v>
      </c>
      <c r="D495" s="8">
        <f t="shared" si="37"/>
        <v>0</v>
      </c>
      <c r="F495" s="4" t="str">
        <f>IF(Jugadores!B495="","",Jugadores!B495)</f>
        <v>Aguirre Daniel</v>
      </c>
      <c r="G495" s="4" t="str">
        <f>IF(Jugadores!B495="","",Jugadores!A495)</f>
        <v>Guadalajara</v>
      </c>
      <c r="H495" s="4">
        <f>IF(F495="","",SUMIF('Estadísticas Jugadores'!$F$2:$F$7001,F495,'Estadísticas Jugadores'!$I$2:$I$7001))</f>
        <v>0</v>
      </c>
      <c r="I495" s="4">
        <f t="shared" si="38"/>
        <v>-4.9499999999999997E-5</v>
      </c>
      <c r="J495" s="4">
        <f t="shared" si="39"/>
        <v>494</v>
      </c>
    </row>
    <row r="496" spans="1:10" ht="15" customHeight="1" x14ac:dyDescent="0.25">
      <c r="A496" s="8">
        <f>IF(COUNT($J$2:$J$1501)&gt;=495,495,"")</f>
        <v>495</v>
      </c>
      <c r="B496" s="8" t="str">
        <f t="shared" si="35"/>
        <v>Campillo Del Campo Diego</v>
      </c>
      <c r="C496" s="8" t="str">
        <f t="shared" si="36"/>
        <v>Guadalajara</v>
      </c>
      <c r="D496" s="8">
        <f t="shared" si="37"/>
        <v>0</v>
      </c>
      <c r="F496" s="4" t="str">
        <f>IF(Jugadores!B496="","",Jugadores!B496)</f>
        <v>Campillo Del Campo Diego</v>
      </c>
      <c r="G496" s="4" t="str">
        <f>IF(Jugadores!B496="","",Jugadores!A496)</f>
        <v>Guadalajara</v>
      </c>
      <c r="H496" s="4">
        <f>IF(F496="","",SUMIF('Estadísticas Jugadores'!$F$2:$F$7001,F496,'Estadísticas Jugadores'!$I$2:$I$7001))</f>
        <v>0</v>
      </c>
      <c r="I496" s="4">
        <f t="shared" si="38"/>
        <v>-4.9599999999999999E-5</v>
      </c>
      <c r="J496" s="4">
        <f t="shared" si="39"/>
        <v>495</v>
      </c>
    </row>
    <row r="497" spans="1:10" ht="15" customHeight="1" x14ac:dyDescent="0.25">
      <c r="A497" s="8">
        <f>IF(COUNT($J$2:$J$1501)&gt;=496,496,"")</f>
        <v>496</v>
      </c>
      <c r="B497" s="8" t="str">
        <f t="shared" si="35"/>
        <v>Castillo Perez Jose</v>
      </c>
      <c r="C497" s="8" t="str">
        <f t="shared" si="36"/>
        <v>Guadalajara</v>
      </c>
      <c r="D497" s="8">
        <f t="shared" si="37"/>
        <v>0</v>
      </c>
      <c r="F497" s="4" t="str">
        <f>IF(Jugadores!B497="","",Jugadores!B497)</f>
        <v>Castillo Perez Jose</v>
      </c>
      <c r="G497" s="4" t="str">
        <f>IF(Jugadores!B497="","",Jugadores!A497)</f>
        <v>Guadalajara</v>
      </c>
      <c r="H497" s="4">
        <f>IF(F497="","",SUMIF('Estadísticas Jugadores'!$F$2:$F$7001,F497,'Estadísticas Jugadores'!$I$2:$I$7001))</f>
        <v>0</v>
      </c>
      <c r="I497" s="4">
        <f t="shared" si="38"/>
        <v>-4.9699999999999995E-5</v>
      </c>
      <c r="J497" s="4">
        <f t="shared" si="39"/>
        <v>496</v>
      </c>
    </row>
    <row r="498" spans="1:10" ht="15" customHeight="1" x14ac:dyDescent="0.25">
      <c r="A498" s="8">
        <f>IF(COUNT($J$2:$J$1501)&gt;=497,497,"")</f>
        <v>497</v>
      </c>
      <c r="B498" s="8" t="str">
        <f t="shared" si="35"/>
        <v>Chavez Angel</v>
      </c>
      <c r="C498" s="8" t="str">
        <f t="shared" si="36"/>
        <v>Guadalajara</v>
      </c>
      <c r="D498" s="8">
        <f t="shared" si="37"/>
        <v>0</v>
      </c>
      <c r="F498" s="4" t="str">
        <f>IF(Jugadores!B498="","",Jugadores!B498)</f>
        <v>Chavez Angel</v>
      </c>
      <c r="G498" s="4" t="str">
        <f>IF(Jugadores!B498="","",Jugadores!A498)</f>
        <v>Guadalajara</v>
      </c>
      <c r="H498" s="4">
        <f>IF(F498="","",SUMIF('Estadísticas Jugadores'!$F$2:$F$7001,F498,'Estadísticas Jugadores'!$I$2:$I$7001))</f>
        <v>0</v>
      </c>
      <c r="I498" s="4">
        <f t="shared" si="38"/>
        <v>-4.9799999999999998E-5</v>
      </c>
      <c r="J498" s="4">
        <f t="shared" si="39"/>
        <v>497</v>
      </c>
    </row>
    <row r="499" spans="1:10" ht="15" customHeight="1" x14ac:dyDescent="0.25">
      <c r="A499" s="8">
        <f>IF(COUNT($J$2:$J$1501)&gt;=498,498,"")</f>
        <v>498</v>
      </c>
      <c r="B499" s="8" t="str">
        <f t="shared" si="35"/>
        <v>Gomez Miguel</v>
      </c>
      <c r="C499" s="8" t="str">
        <f t="shared" si="36"/>
        <v>Guadalajara</v>
      </c>
      <c r="D499" s="8">
        <f t="shared" si="37"/>
        <v>0</v>
      </c>
      <c r="F499" s="4" t="str">
        <f>IF(Jugadores!B499="","",Jugadores!B499)</f>
        <v>Gomez Miguel</v>
      </c>
      <c r="G499" s="4" t="str">
        <f>IF(Jugadores!B499="","",Jugadores!A499)</f>
        <v>Guadalajara</v>
      </c>
      <c r="H499" s="4">
        <f>IF(F499="","",SUMIF('Estadísticas Jugadores'!$F$2:$F$7001,F499,'Estadísticas Jugadores'!$I$2:$I$7001))</f>
        <v>0</v>
      </c>
      <c r="I499" s="4">
        <f t="shared" si="38"/>
        <v>-4.99E-5</v>
      </c>
      <c r="J499" s="4">
        <f t="shared" si="39"/>
        <v>498</v>
      </c>
    </row>
    <row r="500" spans="1:10" ht="15" customHeight="1" x14ac:dyDescent="0.25">
      <c r="A500" s="8">
        <f>IF(COUNT($J$2:$J$1501)&gt;=499,499,"")</f>
        <v>499</v>
      </c>
      <c r="B500" s="8" t="str">
        <f t="shared" si="35"/>
        <v>Gonzalez Bryan</v>
      </c>
      <c r="C500" s="8" t="str">
        <f t="shared" si="36"/>
        <v>Guadalajara</v>
      </c>
      <c r="D500" s="8">
        <f t="shared" si="37"/>
        <v>0</v>
      </c>
      <c r="F500" s="4" t="str">
        <f>IF(Jugadores!B500="","",Jugadores!B500)</f>
        <v>Gonzalez Bryan</v>
      </c>
      <c r="G500" s="4" t="str">
        <f>IF(Jugadores!B500="","",Jugadores!A500)</f>
        <v>Guadalajara</v>
      </c>
      <c r="H500" s="4">
        <f>IF(F500="","",SUMIF('Estadísticas Jugadores'!$F$2:$F$7001,F500,'Estadísticas Jugadores'!$I$2:$I$7001))</f>
        <v>0</v>
      </c>
      <c r="I500" s="4">
        <f t="shared" si="38"/>
        <v>-4.9999999999999996E-5</v>
      </c>
      <c r="J500" s="4">
        <f t="shared" si="39"/>
        <v>499</v>
      </c>
    </row>
    <row r="501" spans="1:10" ht="15" customHeight="1" x14ac:dyDescent="0.25">
      <c r="A501" s="8">
        <f>IF(COUNT($J$2:$J$1501)&gt;=500,500,"")</f>
        <v>500</v>
      </c>
      <c r="B501" s="8" t="str">
        <f t="shared" si="35"/>
        <v>Ledezma Richard</v>
      </c>
      <c r="C501" s="8" t="str">
        <f t="shared" si="36"/>
        <v>Guadalajara</v>
      </c>
      <c r="D501" s="8">
        <f t="shared" si="37"/>
        <v>0</v>
      </c>
      <c r="F501" s="4" t="str">
        <f>IF(Jugadores!B501="","",Jugadores!B501)</f>
        <v>Ledezma Richard</v>
      </c>
      <c r="G501" s="4" t="str">
        <f>IF(Jugadores!B501="","",Jugadores!A501)</f>
        <v>Guadalajara</v>
      </c>
      <c r="H501" s="4">
        <f>IF(F501="","",SUMIF('Estadísticas Jugadores'!$F$2:$F$7001,F501,'Estadísticas Jugadores'!$I$2:$I$7001))</f>
        <v>0</v>
      </c>
      <c r="I501" s="4">
        <f t="shared" si="38"/>
        <v>-5.0099999999999998E-5</v>
      </c>
      <c r="J501" s="4">
        <f t="shared" si="39"/>
        <v>500</v>
      </c>
    </row>
    <row r="502" spans="1:10" ht="15" customHeight="1" x14ac:dyDescent="0.25">
      <c r="A502" s="8">
        <f>IF(COUNT($J$2:$J$1501)&gt;=501,501,"")</f>
        <v>501</v>
      </c>
      <c r="B502" s="8" t="str">
        <f t="shared" si="35"/>
        <v>Tapias Miguel</v>
      </c>
      <c r="C502" s="8" t="str">
        <f t="shared" si="36"/>
        <v>Guadalajara</v>
      </c>
      <c r="D502" s="8">
        <f t="shared" si="37"/>
        <v>0</v>
      </c>
      <c r="F502" s="4" t="str">
        <f>IF(Jugadores!B502="","",Jugadores!B502)</f>
        <v>Tapias Miguel</v>
      </c>
      <c r="G502" s="4" t="str">
        <f>IF(Jugadores!B502="","",Jugadores!A502)</f>
        <v>Guadalajara</v>
      </c>
      <c r="H502" s="4">
        <f>IF(F502="","",SUMIF('Estadísticas Jugadores'!$F$2:$F$7001,F502,'Estadísticas Jugadores'!$I$2:$I$7001))</f>
        <v>0</v>
      </c>
      <c r="I502" s="4">
        <f t="shared" si="38"/>
        <v>-5.02E-5</v>
      </c>
      <c r="J502" s="4">
        <f t="shared" si="39"/>
        <v>501</v>
      </c>
    </row>
    <row r="503" spans="1:10" ht="15" customHeight="1" x14ac:dyDescent="0.25">
      <c r="A503" s="8">
        <f>IF(COUNT($J$2:$J$1501)&gt;=502,502,"")</f>
        <v>502</v>
      </c>
      <c r="B503" s="8" t="str">
        <f t="shared" si="35"/>
        <v>Alvarado Roberto</v>
      </c>
      <c r="C503" s="8" t="str">
        <f t="shared" si="36"/>
        <v>Guadalajara</v>
      </c>
      <c r="D503" s="8">
        <f t="shared" si="37"/>
        <v>0</v>
      </c>
      <c r="F503" s="4" t="str">
        <f>IF(Jugadores!B503="","",Jugadores!B503)</f>
        <v>Alvarado Roberto</v>
      </c>
      <c r="G503" s="4" t="str">
        <f>IF(Jugadores!B503="","",Jugadores!A503)</f>
        <v>Guadalajara</v>
      </c>
      <c r="H503" s="4">
        <f>IF(F503="","",SUMIF('Estadísticas Jugadores'!$F$2:$F$7001,F503,'Estadísticas Jugadores'!$I$2:$I$7001))</f>
        <v>0</v>
      </c>
      <c r="I503" s="4">
        <f t="shared" si="38"/>
        <v>-5.0299999999999996E-5</v>
      </c>
      <c r="J503" s="4">
        <f t="shared" si="39"/>
        <v>502</v>
      </c>
    </row>
    <row r="504" spans="1:10" ht="15" customHeight="1" x14ac:dyDescent="0.25">
      <c r="A504" s="8">
        <f>IF(COUNT($J$2:$J$1501)&gt;=503,503,"")</f>
        <v>503</v>
      </c>
      <c r="B504" s="8" t="str">
        <f t="shared" si="35"/>
        <v>Alvarez Efrain</v>
      </c>
      <c r="C504" s="8" t="str">
        <f t="shared" si="36"/>
        <v>Guadalajara</v>
      </c>
      <c r="D504" s="8">
        <f t="shared" si="37"/>
        <v>0</v>
      </c>
      <c r="F504" s="4" t="str">
        <f>IF(Jugadores!B504="","",Jugadores!B504)</f>
        <v>Alvarez Efrain</v>
      </c>
      <c r="G504" s="4" t="str">
        <f>IF(Jugadores!B504="","",Jugadores!A504)</f>
        <v>Guadalajara</v>
      </c>
      <c r="H504" s="4">
        <f>IF(F504="","",SUMIF('Estadísticas Jugadores'!$F$2:$F$7001,F504,'Estadísticas Jugadores'!$I$2:$I$7001))</f>
        <v>0</v>
      </c>
      <c r="I504" s="4">
        <f t="shared" si="38"/>
        <v>-5.0399999999999999E-5</v>
      </c>
      <c r="J504" s="4">
        <f t="shared" si="39"/>
        <v>503</v>
      </c>
    </row>
    <row r="505" spans="1:10" ht="15" customHeight="1" x14ac:dyDescent="0.25">
      <c r="A505" s="8">
        <f>IF(COUNT($J$2:$J$1501)&gt;=504,504,"")</f>
        <v>504</v>
      </c>
      <c r="B505" s="8" t="str">
        <f t="shared" si="35"/>
        <v>Castaneda Kevin</v>
      </c>
      <c r="C505" s="8" t="str">
        <f t="shared" si="36"/>
        <v>Guadalajara</v>
      </c>
      <c r="D505" s="8">
        <f t="shared" si="37"/>
        <v>0</v>
      </c>
      <c r="F505" s="4" t="str">
        <f>IF(Jugadores!B505="","",Jugadores!B505)</f>
        <v>Castaneda Kevin</v>
      </c>
      <c r="G505" s="4" t="str">
        <f>IF(Jugadores!B505="","",Jugadores!A505)</f>
        <v>Guadalajara</v>
      </c>
      <c r="H505" s="4">
        <f>IF(F505="","",SUMIF('Estadísticas Jugadores'!$F$2:$F$7001,F505,'Estadísticas Jugadores'!$I$2:$I$7001))</f>
        <v>0</v>
      </c>
      <c r="I505" s="4">
        <f t="shared" si="38"/>
        <v>-5.0500000000000001E-5</v>
      </c>
      <c r="J505" s="4">
        <f t="shared" si="39"/>
        <v>504</v>
      </c>
    </row>
    <row r="506" spans="1:10" ht="15" customHeight="1" x14ac:dyDescent="0.25">
      <c r="A506" s="8">
        <f>IF(COUNT($J$2:$J$1501)&gt;=505,505,"")</f>
        <v>505</v>
      </c>
      <c r="B506" s="8" t="str">
        <f t="shared" si="35"/>
        <v>Gonzalez Fernando</v>
      </c>
      <c r="C506" s="8" t="str">
        <f t="shared" si="36"/>
        <v>Guadalajara</v>
      </c>
      <c r="D506" s="8">
        <f t="shared" si="37"/>
        <v>0</v>
      </c>
      <c r="F506" s="4" t="str">
        <f>IF(Jugadores!B506="","",Jugadores!B506)</f>
        <v>Gonzalez Fernando</v>
      </c>
      <c r="G506" s="4" t="str">
        <f>IF(Jugadores!B506="","",Jugadores!A506)</f>
        <v>Guadalajara</v>
      </c>
      <c r="H506" s="4">
        <f>IF(F506="","",SUMIF('Estadísticas Jugadores'!$F$2:$F$7001,F506,'Estadísticas Jugadores'!$I$2:$I$7001))</f>
        <v>0</v>
      </c>
      <c r="I506" s="4">
        <f t="shared" si="38"/>
        <v>-5.0599999999999997E-5</v>
      </c>
      <c r="J506" s="4">
        <f t="shared" si="39"/>
        <v>505</v>
      </c>
    </row>
    <row r="507" spans="1:10" ht="15" customHeight="1" x14ac:dyDescent="0.25">
      <c r="A507" s="8">
        <f>IF(COUNT($J$2:$J$1501)&gt;=506,506,"")</f>
        <v>506</v>
      </c>
      <c r="B507" s="8" t="str">
        <f t="shared" si="35"/>
        <v>Govea Omar</v>
      </c>
      <c r="C507" s="8" t="str">
        <f t="shared" si="36"/>
        <v>Guadalajara</v>
      </c>
      <c r="D507" s="8">
        <f t="shared" si="37"/>
        <v>0</v>
      </c>
      <c r="F507" s="4" t="str">
        <f>IF(Jugadores!B507="","",Jugadores!B507)</f>
        <v>Govea Omar</v>
      </c>
      <c r="G507" s="4" t="str">
        <f>IF(Jugadores!B507="","",Jugadores!A507)</f>
        <v>Guadalajara</v>
      </c>
      <c r="H507" s="4">
        <f>IF(F507="","",SUMIF('Estadísticas Jugadores'!$F$2:$F$7001,F507,'Estadísticas Jugadores'!$I$2:$I$7001))</f>
        <v>0</v>
      </c>
      <c r="I507" s="4">
        <f t="shared" si="38"/>
        <v>-5.0699999999999999E-5</v>
      </c>
      <c r="J507" s="4">
        <f t="shared" si="39"/>
        <v>506</v>
      </c>
    </row>
    <row r="508" spans="1:10" ht="15" customHeight="1" x14ac:dyDescent="0.25">
      <c r="A508" s="8">
        <f>IF(COUNT($J$2:$J$1501)&gt;=507,507,"")</f>
        <v>507</v>
      </c>
      <c r="B508" s="8" t="str">
        <f t="shared" si="35"/>
        <v>Gutiérrez Brian</v>
      </c>
      <c r="C508" s="8" t="str">
        <f t="shared" si="36"/>
        <v>Guadalajara</v>
      </c>
      <c r="D508" s="8">
        <f t="shared" si="37"/>
        <v>0</v>
      </c>
      <c r="F508" s="4" t="str">
        <f>IF(Jugadores!B508="","",Jugadores!B508)</f>
        <v>Gutiérrez Brian</v>
      </c>
      <c r="G508" s="4" t="str">
        <f>IF(Jugadores!B508="","",Jugadores!A508)</f>
        <v>Guadalajara</v>
      </c>
      <c r="H508" s="4">
        <f>IF(F508="","",SUMIF('Estadísticas Jugadores'!$F$2:$F$7001,F508,'Estadísticas Jugadores'!$I$2:$I$7001))</f>
        <v>0</v>
      </c>
      <c r="I508" s="4">
        <f t="shared" si="38"/>
        <v>-5.0799999999999995E-5</v>
      </c>
      <c r="J508" s="4">
        <f t="shared" si="39"/>
        <v>507</v>
      </c>
    </row>
    <row r="509" spans="1:10" ht="15" customHeight="1" x14ac:dyDescent="0.25">
      <c r="A509" s="8">
        <f>IF(COUNT($J$2:$J$1501)&gt;=508,508,"")</f>
        <v>508</v>
      </c>
      <c r="B509" s="8" t="str">
        <f t="shared" si="35"/>
        <v>Inda Samir</v>
      </c>
      <c r="C509" s="8" t="str">
        <f t="shared" si="36"/>
        <v>Guadalajara</v>
      </c>
      <c r="D509" s="8">
        <f t="shared" si="37"/>
        <v>0</v>
      </c>
      <c r="F509" s="4" t="str">
        <f>IF(Jugadores!B509="","",Jugadores!B509)</f>
        <v>Inda Samir</v>
      </c>
      <c r="G509" s="4" t="str">
        <f>IF(Jugadores!B509="","",Jugadores!A509)</f>
        <v>Guadalajara</v>
      </c>
      <c r="H509" s="4">
        <f>IF(F509="","",SUMIF('Estadísticas Jugadores'!$F$2:$F$7001,F509,'Estadísticas Jugadores'!$I$2:$I$7001))</f>
        <v>0</v>
      </c>
      <c r="I509" s="4">
        <f t="shared" si="38"/>
        <v>-5.0899999999999997E-5</v>
      </c>
      <c r="J509" s="4">
        <f t="shared" si="39"/>
        <v>508</v>
      </c>
    </row>
    <row r="510" spans="1:10" ht="15" customHeight="1" x14ac:dyDescent="0.25">
      <c r="A510" s="8">
        <f>IF(COUNT($J$2:$J$1501)&gt;=509,509,"")</f>
        <v>509</v>
      </c>
      <c r="B510" s="8" t="str">
        <f t="shared" si="35"/>
        <v>Mata Hugo</v>
      </c>
      <c r="C510" s="8" t="str">
        <f t="shared" si="36"/>
        <v>Guadalajara</v>
      </c>
      <c r="D510" s="8">
        <f t="shared" si="37"/>
        <v>0</v>
      </c>
      <c r="F510" s="4" t="str">
        <f>IF(Jugadores!B510="","",Jugadores!B510)</f>
        <v>Mata Hugo</v>
      </c>
      <c r="G510" s="4" t="str">
        <f>IF(Jugadores!B510="","",Jugadores!A510)</f>
        <v>Guadalajara</v>
      </c>
      <c r="H510" s="4">
        <f>IF(F510="","",SUMIF('Estadísticas Jugadores'!$F$2:$F$7001,F510,'Estadísticas Jugadores'!$I$2:$I$7001))</f>
        <v>0</v>
      </c>
      <c r="I510" s="4">
        <f t="shared" si="38"/>
        <v>-5.1E-5</v>
      </c>
      <c r="J510" s="4">
        <f t="shared" si="39"/>
        <v>509</v>
      </c>
    </row>
    <row r="511" spans="1:10" ht="15" customHeight="1" x14ac:dyDescent="0.25">
      <c r="A511" s="8">
        <f>IF(COUNT($J$2:$J$1501)&gt;=510,510,"")</f>
        <v>510</v>
      </c>
      <c r="B511" s="8" t="str">
        <f t="shared" si="35"/>
        <v>Rey Luis</v>
      </c>
      <c r="C511" s="8" t="str">
        <f t="shared" si="36"/>
        <v>Guadalajara</v>
      </c>
      <c r="D511" s="8">
        <f t="shared" si="37"/>
        <v>0</v>
      </c>
      <c r="F511" s="4" t="str">
        <f>IF(Jugadores!B511="","",Jugadores!B511)</f>
        <v>Rey Luis</v>
      </c>
      <c r="G511" s="4" t="str">
        <f>IF(Jugadores!B511="","",Jugadores!A511)</f>
        <v>Guadalajara</v>
      </c>
      <c r="H511" s="4">
        <f>IF(F511="","",SUMIF('Estadísticas Jugadores'!$F$2:$F$7001,F511,'Estadísticas Jugadores'!$I$2:$I$7001))</f>
        <v>0</v>
      </c>
      <c r="I511" s="4">
        <f t="shared" si="38"/>
        <v>-5.1099999999999995E-5</v>
      </c>
      <c r="J511" s="4">
        <f t="shared" si="39"/>
        <v>510</v>
      </c>
    </row>
    <row r="512" spans="1:10" ht="15" customHeight="1" x14ac:dyDescent="0.25">
      <c r="A512" s="8">
        <f>IF(COUNT($J$2:$J$1501)&gt;=511,511,"")</f>
        <v>511</v>
      </c>
      <c r="B512" s="8" t="str">
        <f t="shared" si="35"/>
        <v>Romo Luis</v>
      </c>
      <c r="C512" s="8" t="str">
        <f t="shared" si="36"/>
        <v>Guadalajara</v>
      </c>
      <c r="D512" s="8">
        <f t="shared" si="37"/>
        <v>0</v>
      </c>
      <c r="F512" s="4" t="str">
        <f>IF(Jugadores!B512="","",Jugadores!B512)</f>
        <v>Romo Luis</v>
      </c>
      <c r="G512" s="4" t="str">
        <f>IF(Jugadores!B512="","",Jugadores!A512)</f>
        <v>Guadalajara</v>
      </c>
      <c r="H512" s="4">
        <f>IF(F512="","",SUMIF('Estadísticas Jugadores'!$F$2:$F$7001,F512,'Estadísticas Jugadores'!$I$2:$I$7001))</f>
        <v>0</v>
      </c>
      <c r="I512" s="4">
        <f t="shared" si="38"/>
        <v>-5.1199999999999998E-5</v>
      </c>
      <c r="J512" s="4">
        <f t="shared" si="39"/>
        <v>511</v>
      </c>
    </row>
    <row r="513" spans="1:10" ht="15" customHeight="1" x14ac:dyDescent="0.25">
      <c r="A513" s="8">
        <f>IF(COUNT($J$2:$J$1501)&gt;=512,512,"")</f>
        <v>512</v>
      </c>
      <c r="B513" s="8" t="str">
        <f t="shared" si="35"/>
        <v>Sandoval Santiago</v>
      </c>
      <c r="C513" s="8" t="str">
        <f t="shared" si="36"/>
        <v>Guadalajara</v>
      </c>
      <c r="D513" s="8">
        <f t="shared" si="37"/>
        <v>0</v>
      </c>
      <c r="F513" s="4" t="str">
        <f>IF(Jugadores!B513="","",Jugadores!B513)</f>
        <v>Sandoval Santiago</v>
      </c>
      <c r="G513" s="4" t="str">
        <f>IF(Jugadores!B513="","",Jugadores!A513)</f>
        <v>Guadalajara</v>
      </c>
      <c r="H513" s="4">
        <f>IF(F513="","",SUMIF('Estadísticas Jugadores'!$F$2:$F$7001,F513,'Estadísticas Jugadores'!$I$2:$I$7001))</f>
        <v>0</v>
      </c>
      <c r="I513" s="4">
        <f t="shared" si="38"/>
        <v>-5.13E-5</v>
      </c>
      <c r="J513" s="4">
        <f t="shared" si="39"/>
        <v>512</v>
      </c>
    </row>
    <row r="514" spans="1:10" ht="15" customHeight="1" x14ac:dyDescent="0.25">
      <c r="A514" s="8">
        <f>IF(COUNT($J$2:$J$1501)&gt;=513,513,"")</f>
        <v>513</v>
      </c>
      <c r="B514" s="8" t="str">
        <f t="shared" ref="B514:B577" si="40">IF($A514="","",INDEX($F$2:$F$1501,MATCH($A514,$J$2:$J$1501,0)))</f>
        <v>Aguayo Sergio</v>
      </c>
      <c r="C514" s="8" t="str">
        <f t="shared" ref="C514:C577" si="41">IF($A514="","",INDEX($G$2:$G$1501,MATCH($A514,$J$2:$J$1501,0)))</f>
        <v>Guadalajara</v>
      </c>
      <c r="D514" s="8">
        <f t="shared" ref="D514:D577" si="42">IF($A514="","",INDEX($H$2:$H$1501,MATCH($A514,$J$2:$J$1501,0)))</f>
        <v>0</v>
      </c>
      <c r="F514" s="4" t="str">
        <f>IF(Jugadores!B514="","",Jugadores!B514)</f>
        <v>Aguayo Sergio</v>
      </c>
      <c r="G514" s="4" t="str">
        <f>IF(Jugadores!B514="","",Jugadores!A514)</f>
        <v>Guadalajara</v>
      </c>
      <c r="H514" s="4">
        <f>IF(F514="","",SUMIF('Estadísticas Jugadores'!$F$2:$F$7001,F514,'Estadísticas Jugadores'!$I$2:$I$7001))</f>
        <v>0</v>
      </c>
      <c r="I514" s="4">
        <f t="shared" ref="I514:I577" si="43">IF(F514="","",H514*1000-ROW()*0.0000001)</f>
        <v>-5.1399999999999996E-5</v>
      </c>
      <c r="J514" s="4">
        <f t="shared" ref="J514:J577" si="44">IF(F514="","",RANK(I514,$I$2:$I$1501))</f>
        <v>513</v>
      </c>
    </row>
    <row r="515" spans="1:10" ht="15" customHeight="1" x14ac:dyDescent="0.25">
      <c r="A515" s="8">
        <f>IF(COUNT($J$2:$J$1501)&gt;=514,514,"")</f>
        <v>514</v>
      </c>
      <c r="B515" s="8" t="str">
        <f t="shared" si="40"/>
        <v>Camberos Hugo</v>
      </c>
      <c r="C515" s="8" t="str">
        <f t="shared" si="41"/>
        <v>Guadalajara</v>
      </c>
      <c r="D515" s="8">
        <f t="shared" si="42"/>
        <v>0</v>
      </c>
      <c r="F515" s="4" t="str">
        <f>IF(Jugadores!B515="","",Jugadores!B515)</f>
        <v>Camberos Hugo</v>
      </c>
      <c r="G515" s="4" t="str">
        <f>IF(Jugadores!B515="","",Jugadores!A515)</f>
        <v>Guadalajara</v>
      </c>
      <c r="H515" s="4">
        <f>IF(F515="","",SUMIF('Estadísticas Jugadores'!$F$2:$F$7001,F515,'Estadísticas Jugadores'!$I$2:$I$7001))</f>
        <v>0</v>
      </c>
      <c r="I515" s="4">
        <f t="shared" si="43"/>
        <v>-5.1499999999999998E-5</v>
      </c>
      <c r="J515" s="4">
        <f t="shared" si="44"/>
        <v>514</v>
      </c>
    </row>
    <row r="516" spans="1:10" ht="15" customHeight="1" x14ac:dyDescent="0.25">
      <c r="A516" s="8">
        <f>IF(COUNT($J$2:$J$1501)&gt;=515,515,"")</f>
        <v>515</v>
      </c>
      <c r="B516" s="8" t="str">
        <f t="shared" si="40"/>
        <v>Carrillo Jordan</v>
      </c>
      <c r="C516" s="8" t="str">
        <f t="shared" si="41"/>
        <v>Guadalajara</v>
      </c>
      <c r="D516" s="8">
        <f t="shared" si="42"/>
        <v>0</v>
      </c>
      <c r="F516" s="4" t="str">
        <f>IF(Jugadores!B516="","",Jugadores!B516)</f>
        <v>Carrillo Jordan</v>
      </c>
      <c r="G516" s="4" t="str">
        <f>IF(Jugadores!B516="","",Jugadores!A516)</f>
        <v>Guadalajara</v>
      </c>
      <c r="H516" s="4">
        <f>IF(F516="","",SUMIF('Estadísticas Jugadores'!$F$2:$F$7001,F516,'Estadísticas Jugadores'!$I$2:$I$7001))</f>
        <v>0</v>
      </c>
      <c r="I516" s="4">
        <f t="shared" si="43"/>
        <v>-5.1600000000000001E-5</v>
      </c>
      <c r="J516" s="4">
        <f t="shared" si="44"/>
        <v>515</v>
      </c>
    </row>
    <row r="517" spans="1:10" ht="15" customHeight="1" x14ac:dyDescent="0.25">
      <c r="A517" s="8">
        <f>IF(COUNT($J$2:$J$1501)&gt;=516,516,"")</f>
        <v>516</v>
      </c>
      <c r="B517" s="8" t="str">
        <f t="shared" si="40"/>
        <v>Gonzalez Armando</v>
      </c>
      <c r="C517" s="8" t="str">
        <f t="shared" si="41"/>
        <v>Guadalajara</v>
      </c>
      <c r="D517" s="8">
        <f t="shared" si="42"/>
        <v>0</v>
      </c>
      <c r="F517" s="4" t="str">
        <f>IF(Jugadores!B517="","",Jugadores!B517)</f>
        <v>Gonzalez Armando</v>
      </c>
      <c r="G517" s="4" t="str">
        <f>IF(Jugadores!B517="","",Jugadores!A517)</f>
        <v>Guadalajara</v>
      </c>
      <c r="H517" s="4">
        <f>IF(F517="","",SUMIF('Estadísticas Jugadores'!$F$2:$F$7001,F517,'Estadísticas Jugadores'!$I$2:$I$7001))</f>
        <v>0</v>
      </c>
      <c r="I517" s="4">
        <f t="shared" si="43"/>
        <v>-5.1699999999999996E-5</v>
      </c>
      <c r="J517" s="4">
        <f t="shared" si="44"/>
        <v>516</v>
      </c>
    </row>
    <row r="518" spans="1:10" ht="15" customHeight="1" x14ac:dyDescent="0.25">
      <c r="A518" s="8">
        <f>IF(COUNT($J$2:$J$1501)&gt;=517,517,"")</f>
        <v>517</v>
      </c>
      <c r="B518" s="8" t="str">
        <f t="shared" si="40"/>
        <v>Latorre Diego</v>
      </c>
      <c r="C518" s="8" t="str">
        <f t="shared" si="41"/>
        <v>Guadalajara</v>
      </c>
      <c r="D518" s="8">
        <f t="shared" si="42"/>
        <v>0</v>
      </c>
      <c r="F518" s="4" t="str">
        <f>IF(Jugadores!B518="","",Jugadores!B518)</f>
        <v>Latorre Diego</v>
      </c>
      <c r="G518" s="4" t="str">
        <f>IF(Jugadores!B518="","",Jugadores!A518)</f>
        <v>Guadalajara</v>
      </c>
      <c r="H518" s="4">
        <f>IF(F518="","",SUMIF('Estadísticas Jugadores'!$F$2:$F$7001,F518,'Estadísticas Jugadores'!$I$2:$I$7001))</f>
        <v>0</v>
      </c>
      <c r="I518" s="4">
        <f t="shared" si="43"/>
        <v>-5.1799999999999999E-5</v>
      </c>
      <c r="J518" s="4">
        <f t="shared" si="44"/>
        <v>517</v>
      </c>
    </row>
    <row r="519" spans="1:10" ht="15" customHeight="1" x14ac:dyDescent="0.25">
      <c r="A519" s="8">
        <f>IF(COUNT($J$2:$J$1501)&gt;=518,518,"")</f>
        <v>518</v>
      </c>
      <c r="B519" s="8" t="str">
        <f t="shared" si="40"/>
        <v>Marin Ricardo</v>
      </c>
      <c r="C519" s="8" t="str">
        <f t="shared" si="41"/>
        <v>Guadalajara</v>
      </c>
      <c r="D519" s="8">
        <f t="shared" si="42"/>
        <v>0</v>
      </c>
      <c r="F519" s="4" t="str">
        <f>IF(Jugadores!B519="","",Jugadores!B519)</f>
        <v>Marin Ricardo</v>
      </c>
      <c r="G519" s="4" t="str">
        <f>IF(Jugadores!B519="","",Jugadores!A519)</f>
        <v>Guadalajara</v>
      </c>
      <c r="H519" s="4">
        <f>IF(F519="","",SUMIF('Estadísticas Jugadores'!$F$2:$F$7001,F519,'Estadísticas Jugadores'!$I$2:$I$7001))</f>
        <v>0</v>
      </c>
      <c r="I519" s="4">
        <f t="shared" si="43"/>
        <v>-5.1899999999999994E-5</v>
      </c>
      <c r="J519" s="4">
        <f t="shared" si="44"/>
        <v>518</v>
      </c>
    </row>
    <row r="520" spans="1:10" ht="15" customHeight="1" x14ac:dyDescent="0.25">
      <c r="A520" s="8">
        <f>IF(COUNT($J$2:$J$1501)&gt;=519,519,"")</f>
        <v>519</v>
      </c>
      <c r="B520" s="8" t="str">
        <f t="shared" si="40"/>
        <v>Pérez Jonathan</v>
      </c>
      <c r="C520" s="8" t="str">
        <f t="shared" si="41"/>
        <v>Guadalajara</v>
      </c>
      <c r="D520" s="8">
        <f t="shared" si="42"/>
        <v>0</v>
      </c>
      <c r="F520" s="4" t="str">
        <f>IF(Jugadores!B520="","",Jugadores!B520)</f>
        <v>Pérez Jonathan</v>
      </c>
      <c r="G520" s="4" t="str">
        <f>IF(Jugadores!B520="","",Jugadores!A520)</f>
        <v>Guadalajara</v>
      </c>
      <c r="H520" s="4">
        <f>IF(F520="","",SUMIF('Estadísticas Jugadores'!$F$2:$F$7001,F520,'Estadísticas Jugadores'!$I$2:$I$7001))</f>
        <v>0</v>
      </c>
      <c r="I520" s="4">
        <f t="shared" si="43"/>
        <v>-5.1999999999999997E-5</v>
      </c>
      <c r="J520" s="4">
        <f t="shared" si="44"/>
        <v>519</v>
      </c>
    </row>
    <row r="521" spans="1:10" ht="15" customHeight="1" x14ac:dyDescent="0.25">
      <c r="A521" s="8">
        <f>IF(COUNT($J$2:$J$1501)&gt;=520,520,"")</f>
        <v>520</v>
      </c>
      <c r="B521" s="8" t="str">
        <f t="shared" si="40"/>
        <v>Sepúlveda Ángel Baltazar</v>
      </c>
      <c r="C521" s="8" t="str">
        <f t="shared" si="41"/>
        <v>Guadalajara</v>
      </c>
      <c r="D521" s="8">
        <f t="shared" si="42"/>
        <v>0</v>
      </c>
      <c r="F521" s="4" t="str">
        <f>IF(Jugadores!B521="","",Jugadores!B521)</f>
        <v>Sepúlveda Ángel Baltazar</v>
      </c>
      <c r="G521" s="4" t="str">
        <f>IF(Jugadores!B521="","",Jugadores!A521)</f>
        <v>Guadalajara</v>
      </c>
      <c r="H521" s="4">
        <f>IF(F521="","",SUMIF('Estadísticas Jugadores'!$F$2:$F$7001,F521,'Estadísticas Jugadores'!$I$2:$I$7001))</f>
        <v>0</v>
      </c>
      <c r="I521" s="4">
        <f t="shared" si="43"/>
        <v>-5.2099999999999999E-5</v>
      </c>
      <c r="J521" s="4">
        <f t="shared" si="44"/>
        <v>520</v>
      </c>
    </row>
    <row r="522" spans="1:10" ht="15" customHeight="1" x14ac:dyDescent="0.25">
      <c r="A522" s="8">
        <f>IF(COUNT($J$2:$J$1501)&gt;=521,521,"")</f>
        <v>521</v>
      </c>
      <c r="B522" s="8" t="str">
        <f t="shared" si="40"/>
        <v>Lara Pablo</v>
      </c>
      <c r="C522" s="8" t="str">
        <f t="shared" si="41"/>
        <v>Pumas UNAM</v>
      </c>
      <c r="D522" s="8">
        <f t="shared" si="42"/>
        <v>0</v>
      </c>
      <c r="F522" s="4" t="str">
        <f>IF(Jugadores!B522="","",Jugadores!B522)</f>
        <v>Lara Pablo</v>
      </c>
      <c r="G522" s="4" t="str">
        <f>IF(Jugadores!B522="","",Jugadores!A522)</f>
        <v>Pumas UNAM</v>
      </c>
      <c r="H522" s="4">
        <f>IF(F522="","",SUMIF('Estadísticas Jugadores'!$F$2:$F$7001,F522,'Estadísticas Jugadores'!$I$2:$I$7001))</f>
        <v>0</v>
      </c>
      <c r="I522" s="4">
        <f t="shared" si="43"/>
        <v>-5.2199999999999995E-5</v>
      </c>
      <c r="J522" s="4">
        <f t="shared" si="44"/>
        <v>521</v>
      </c>
    </row>
    <row r="523" spans="1:10" ht="15" customHeight="1" x14ac:dyDescent="0.25">
      <c r="A523" s="8">
        <f>IF(COUNT($J$2:$J$1501)&gt;=522,522,"")</f>
        <v>522</v>
      </c>
      <c r="B523" s="8" t="str">
        <f t="shared" si="40"/>
        <v>Navas Keylor</v>
      </c>
      <c r="C523" s="8" t="str">
        <f t="shared" si="41"/>
        <v>Pumas UNAM</v>
      </c>
      <c r="D523" s="8">
        <f t="shared" si="42"/>
        <v>0</v>
      </c>
      <c r="F523" s="4" t="str">
        <f>IF(Jugadores!B523="","",Jugadores!B523)</f>
        <v>Navas Keylor</v>
      </c>
      <c r="G523" s="4" t="str">
        <f>IF(Jugadores!B523="","",Jugadores!A523)</f>
        <v>Pumas UNAM</v>
      </c>
      <c r="H523" s="4">
        <f>IF(F523="","",SUMIF('Estadísticas Jugadores'!$F$2:$F$7001,F523,'Estadísticas Jugadores'!$I$2:$I$7001))</f>
        <v>0</v>
      </c>
      <c r="I523" s="4">
        <f t="shared" si="43"/>
        <v>-5.2299999999999997E-5</v>
      </c>
      <c r="J523" s="4">
        <f t="shared" si="44"/>
        <v>522</v>
      </c>
    </row>
    <row r="524" spans="1:10" ht="15" customHeight="1" x14ac:dyDescent="0.25">
      <c r="A524" s="8">
        <f>IF(COUNT($J$2:$J$1501)&gt;=523,523,"")</f>
        <v>523</v>
      </c>
      <c r="B524" s="8" t="str">
        <f t="shared" si="40"/>
        <v>Paul Miguel</v>
      </c>
      <c r="C524" s="8" t="str">
        <f t="shared" si="41"/>
        <v>Pumas UNAM</v>
      </c>
      <c r="D524" s="8">
        <f t="shared" si="42"/>
        <v>0</v>
      </c>
      <c r="F524" s="4" t="str">
        <f>IF(Jugadores!B524="","",Jugadores!B524)</f>
        <v>Paul Miguel</v>
      </c>
      <c r="G524" s="4" t="str">
        <f>IF(Jugadores!B524="","",Jugadores!A524)</f>
        <v>Pumas UNAM</v>
      </c>
      <c r="H524" s="4">
        <f>IF(F524="","",SUMIF('Estadísticas Jugadores'!$F$2:$F$7001,F524,'Estadísticas Jugadores'!$I$2:$I$7001))</f>
        <v>0</v>
      </c>
      <c r="I524" s="4">
        <f t="shared" si="43"/>
        <v>-5.24E-5</v>
      </c>
      <c r="J524" s="4">
        <f t="shared" si="44"/>
        <v>523</v>
      </c>
    </row>
    <row r="525" spans="1:10" ht="15" customHeight="1" x14ac:dyDescent="0.25">
      <c r="A525" s="8">
        <f>IF(COUNT($J$2:$J$1501)&gt;=524,524,"")</f>
        <v>524</v>
      </c>
      <c r="B525" s="8" t="str">
        <f t="shared" si="40"/>
        <v>Angulo Mosquera Alvaro Anyiver</v>
      </c>
      <c r="C525" s="8" t="str">
        <f t="shared" si="41"/>
        <v>Pumas UNAM</v>
      </c>
      <c r="D525" s="8">
        <f t="shared" si="42"/>
        <v>0</v>
      </c>
      <c r="F525" s="4" t="str">
        <f>IF(Jugadores!B525="","",Jugadores!B525)</f>
        <v>Angulo Mosquera Alvaro Anyiver</v>
      </c>
      <c r="G525" s="4" t="str">
        <f>IF(Jugadores!B525="","",Jugadores!A525)</f>
        <v>Pumas UNAM</v>
      </c>
      <c r="H525" s="4">
        <f>IF(F525="","",SUMIF('Estadísticas Jugadores'!$F$2:$F$7001,F525,'Estadísticas Jugadores'!$I$2:$I$7001))</f>
        <v>0</v>
      </c>
      <c r="I525" s="4">
        <f t="shared" si="43"/>
        <v>-5.2499999999999995E-5</v>
      </c>
      <c r="J525" s="4">
        <f t="shared" si="44"/>
        <v>524</v>
      </c>
    </row>
    <row r="526" spans="1:10" ht="15" customHeight="1" x14ac:dyDescent="0.25">
      <c r="A526" s="8">
        <f>IF(COUNT($J$2:$J$1501)&gt;=525,525,"")</f>
        <v>525</v>
      </c>
      <c r="B526" s="8" t="str">
        <f t="shared" si="40"/>
        <v>Azuaje Angel</v>
      </c>
      <c r="C526" s="8" t="str">
        <f t="shared" si="41"/>
        <v>Pumas UNAM</v>
      </c>
      <c r="D526" s="8">
        <f t="shared" si="42"/>
        <v>0</v>
      </c>
      <c r="F526" s="4" t="str">
        <f>IF(Jugadores!B526="","",Jugadores!B526)</f>
        <v>Azuaje Angel</v>
      </c>
      <c r="G526" s="4" t="str">
        <f>IF(Jugadores!B526="","",Jugadores!A526)</f>
        <v>Pumas UNAM</v>
      </c>
      <c r="H526" s="4">
        <f>IF(F526="","",SUMIF('Estadísticas Jugadores'!$F$2:$F$7001,F526,'Estadísticas Jugadores'!$I$2:$I$7001))</f>
        <v>0</v>
      </c>
      <c r="I526" s="4">
        <f t="shared" si="43"/>
        <v>-5.2599999999999998E-5</v>
      </c>
      <c r="J526" s="4">
        <f t="shared" si="44"/>
        <v>525</v>
      </c>
    </row>
    <row r="527" spans="1:10" ht="15" customHeight="1" x14ac:dyDescent="0.25">
      <c r="A527" s="8">
        <f>IF(COUNT($J$2:$J$1501)&gt;=526,526,"")</f>
        <v>526</v>
      </c>
      <c r="B527" s="8" t="str">
        <f t="shared" si="40"/>
        <v>Bennevendo Pablo</v>
      </c>
      <c r="C527" s="8" t="str">
        <f t="shared" si="41"/>
        <v>Pumas UNAM</v>
      </c>
      <c r="D527" s="8">
        <f t="shared" si="42"/>
        <v>0</v>
      </c>
      <c r="F527" s="4" t="str">
        <f>IF(Jugadores!B527="","",Jugadores!B527)</f>
        <v>Bennevendo Pablo</v>
      </c>
      <c r="G527" s="4" t="str">
        <f>IF(Jugadores!B527="","",Jugadores!A527)</f>
        <v>Pumas UNAM</v>
      </c>
      <c r="H527" s="4">
        <f>IF(F527="","",SUMIF('Estadísticas Jugadores'!$F$2:$F$7001,F527,'Estadísticas Jugadores'!$I$2:$I$7001))</f>
        <v>0</v>
      </c>
      <c r="I527" s="4">
        <f t="shared" si="43"/>
        <v>-5.27E-5</v>
      </c>
      <c r="J527" s="4">
        <f t="shared" si="44"/>
        <v>526</v>
      </c>
    </row>
    <row r="528" spans="1:10" ht="15" customHeight="1" x14ac:dyDescent="0.25">
      <c r="A528" s="8">
        <f>IF(COUNT($J$2:$J$1501)&gt;=527,527,"")</f>
        <v>527</v>
      </c>
      <c r="B528" s="8" t="str">
        <f t="shared" si="40"/>
        <v>Calderon De Real Cristian Yonathan</v>
      </c>
      <c r="C528" s="8" t="str">
        <f t="shared" si="41"/>
        <v>Pumas UNAM</v>
      </c>
      <c r="D528" s="8">
        <f t="shared" si="42"/>
        <v>0</v>
      </c>
      <c r="F528" s="4" t="str">
        <f>IF(Jugadores!B528="","",Jugadores!B528)</f>
        <v>Calderon De Real Cristian Yonathan</v>
      </c>
      <c r="G528" s="4" t="str">
        <f>IF(Jugadores!B528="","",Jugadores!A528)</f>
        <v>Pumas UNAM</v>
      </c>
      <c r="H528" s="4">
        <f>IF(F528="","",SUMIF('Estadísticas Jugadores'!$F$2:$F$7001,F528,'Estadísticas Jugadores'!$I$2:$I$7001))</f>
        <v>0</v>
      </c>
      <c r="I528" s="4">
        <f t="shared" si="43"/>
        <v>-5.2799999999999996E-5</v>
      </c>
      <c r="J528" s="4">
        <f t="shared" si="44"/>
        <v>527</v>
      </c>
    </row>
    <row r="529" spans="1:10" ht="15" customHeight="1" x14ac:dyDescent="0.25">
      <c r="A529" s="8">
        <f>IF(COUNT($J$2:$J$1501)&gt;=528,528,"")</f>
        <v>528</v>
      </c>
      <c r="B529" s="8" t="str">
        <f t="shared" si="40"/>
        <v>Duarte Rubén</v>
      </c>
      <c r="C529" s="8" t="str">
        <f t="shared" si="41"/>
        <v>Pumas UNAM</v>
      </c>
      <c r="D529" s="8">
        <f t="shared" si="42"/>
        <v>0</v>
      </c>
      <c r="F529" s="4" t="str">
        <f>IF(Jugadores!B529="","",Jugadores!B529)</f>
        <v>Duarte Rubén</v>
      </c>
      <c r="G529" s="4" t="str">
        <f>IF(Jugadores!B529="","",Jugadores!A529)</f>
        <v>Pumas UNAM</v>
      </c>
      <c r="H529" s="4">
        <f>IF(F529="","",SUMIF('Estadísticas Jugadores'!$F$2:$F$7001,F529,'Estadísticas Jugadores'!$I$2:$I$7001))</f>
        <v>0</v>
      </c>
      <c r="I529" s="4">
        <f t="shared" si="43"/>
        <v>-5.2899999999999998E-5</v>
      </c>
      <c r="J529" s="4">
        <f t="shared" si="44"/>
        <v>528</v>
      </c>
    </row>
    <row r="530" spans="1:10" ht="15" customHeight="1" x14ac:dyDescent="0.25">
      <c r="A530" s="8">
        <f>IF(COUNT($J$2:$J$1501)&gt;=529,529,"")</f>
        <v>529</v>
      </c>
      <c r="B530" s="8" t="str">
        <f t="shared" si="40"/>
        <v>Leone Tony</v>
      </c>
      <c r="C530" s="8" t="str">
        <f t="shared" si="41"/>
        <v>Pumas UNAM</v>
      </c>
      <c r="D530" s="8">
        <f t="shared" si="42"/>
        <v>0</v>
      </c>
      <c r="F530" s="4" t="str">
        <f>IF(Jugadores!B530="","",Jugadores!B530)</f>
        <v>Leone Tony</v>
      </c>
      <c r="G530" s="4" t="str">
        <f>IF(Jugadores!B530="","",Jugadores!A530)</f>
        <v>Pumas UNAM</v>
      </c>
      <c r="H530" s="4">
        <f>IF(F530="","",SUMIF('Estadísticas Jugadores'!$F$2:$F$7001,F530,'Estadísticas Jugadores'!$I$2:$I$7001))</f>
        <v>0</v>
      </c>
      <c r="I530" s="4">
        <f t="shared" si="43"/>
        <v>-5.3000000000000001E-5</v>
      </c>
      <c r="J530" s="4">
        <f t="shared" si="44"/>
        <v>529</v>
      </c>
    </row>
    <row r="531" spans="1:10" ht="15" customHeight="1" x14ac:dyDescent="0.25">
      <c r="A531" s="8">
        <f>IF(COUNT($J$2:$J$1501)&gt;=530,530,"")</f>
        <v>530</v>
      </c>
      <c r="B531" s="8" t="str">
        <f t="shared" si="40"/>
        <v>Nathan Silva</v>
      </c>
      <c r="C531" s="8" t="str">
        <f t="shared" si="41"/>
        <v>Pumas UNAM</v>
      </c>
      <c r="D531" s="8">
        <f t="shared" si="42"/>
        <v>0</v>
      </c>
      <c r="F531" s="4" t="str">
        <f>IF(Jugadores!B531="","",Jugadores!B531)</f>
        <v>Nathan Silva</v>
      </c>
      <c r="G531" s="4" t="str">
        <f>IF(Jugadores!B531="","",Jugadores!A531)</f>
        <v>Pumas UNAM</v>
      </c>
      <c r="H531" s="4">
        <f>IF(F531="","",SUMIF('Estadísticas Jugadores'!$F$2:$F$7001,F531,'Estadísticas Jugadores'!$I$2:$I$7001))</f>
        <v>0</v>
      </c>
      <c r="I531" s="4">
        <f t="shared" si="43"/>
        <v>-5.3099999999999996E-5</v>
      </c>
      <c r="J531" s="4">
        <f t="shared" si="44"/>
        <v>530</v>
      </c>
    </row>
    <row r="532" spans="1:10" ht="15" customHeight="1" x14ac:dyDescent="0.25">
      <c r="A532" s="8">
        <f>IF(COUNT($J$2:$J$1501)&gt;=531,531,"")</f>
        <v>531</v>
      </c>
      <c r="B532" s="8" t="str">
        <f t="shared" si="40"/>
        <v>Ramirez Denis</v>
      </c>
      <c r="C532" s="8" t="str">
        <f t="shared" si="41"/>
        <v>Pumas UNAM</v>
      </c>
      <c r="D532" s="8">
        <f t="shared" si="42"/>
        <v>0</v>
      </c>
      <c r="F532" s="4" t="str">
        <f>IF(Jugadores!B532="","",Jugadores!B532)</f>
        <v>Ramirez Denis</v>
      </c>
      <c r="G532" s="4" t="str">
        <f>IF(Jugadores!B532="","",Jugadores!A532)</f>
        <v>Pumas UNAM</v>
      </c>
      <c r="H532" s="4">
        <f>IF(F532="","",SUMIF('Estadísticas Jugadores'!$F$2:$F$7001,F532,'Estadísticas Jugadores'!$I$2:$I$7001))</f>
        <v>0</v>
      </c>
      <c r="I532" s="4">
        <f t="shared" si="43"/>
        <v>-5.3199999999999999E-5</v>
      </c>
      <c r="J532" s="4">
        <f t="shared" si="44"/>
        <v>531</v>
      </c>
    </row>
    <row r="533" spans="1:10" ht="15" customHeight="1" x14ac:dyDescent="0.25">
      <c r="A533" s="8">
        <f>IF(COUNT($J$2:$J$1501)&gt;=532,532,"")</f>
        <v>532</v>
      </c>
      <c r="B533" s="8" t="str">
        <f t="shared" si="40"/>
        <v>Rivas Jesus</v>
      </c>
      <c r="C533" s="8" t="str">
        <f t="shared" si="41"/>
        <v>Pumas UNAM</v>
      </c>
      <c r="D533" s="8">
        <f t="shared" si="42"/>
        <v>0</v>
      </c>
      <c r="F533" s="4" t="str">
        <f>IF(Jugadores!B533="","",Jugadores!B533)</f>
        <v>Rivas Jesus</v>
      </c>
      <c r="G533" s="4" t="str">
        <f>IF(Jugadores!B533="","",Jugadores!A533)</f>
        <v>Pumas UNAM</v>
      </c>
      <c r="H533" s="4">
        <f>IF(F533="","",SUMIF('Estadísticas Jugadores'!$F$2:$F$7001,F533,'Estadísticas Jugadores'!$I$2:$I$7001))</f>
        <v>0</v>
      </c>
      <c r="I533" s="4">
        <f t="shared" si="43"/>
        <v>-5.3299999999999995E-5</v>
      </c>
      <c r="J533" s="4">
        <f t="shared" si="44"/>
        <v>532</v>
      </c>
    </row>
    <row r="534" spans="1:10" ht="15" customHeight="1" x14ac:dyDescent="0.25">
      <c r="A534" s="8">
        <f>IF(COUNT($J$2:$J$1501)&gt;=533,533,"")</f>
        <v>533</v>
      </c>
      <c r="B534" s="8" t="str">
        <f t="shared" si="40"/>
        <v>Antuna Uriel</v>
      </c>
      <c r="C534" s="8" t="str">
        <f t="shared" si="41"/>
        <v>Pumas UNAM</v>
      </c>
      <c r="D534" s="8">
        <f t="shared" si="42"/>
        <v>0</v>
      </c>
      <c r="F534" s="4" t="str">
        <f>IF(Jugadores!B534="","",Jugadores!B534)</f>
        <v>Antuna Uriel</v>
      </c>
      <c r="G534" s="4" t="str">
        <f>IF(Jugadores!B534="","",Jugadores!A534)</f>
        <v>Pumas UNAM</v>
      </c>
      <c r="H534" s="4">
        <f>IF(F534="","",SUMIF('Estadísticas Jugadores'!$F$2:$F$7001,F534,'Estadísticas Jugadores'!$I$2:$I$7001))</f>
        <v>0</v>
      </c>
      <c r="I534" s="4">
        <f t="shared" si="43"/>
        <v>-5.3399999999999997E-5</v>
      </c>
      <c r="J534" s="4">
        <f t="shared" si="44"/>
        <v>533</v>
      </c>
    </row>
    <row r="535" spans="1:10" ht="15" customHeight="1" x14ac:dyDescent="0.25">
      <c r="A535" s="8">
        <f>IF(COUNT($J$2:$J$1501)&gt;=534,534,"")</f>
        <v>534</v>
      </c>
      <c r="B535" s="8" t="str">
        <f t="shared" si="40"/>
        <v>Arteaga Victor</v>
      </c>
      <c r="C535" s="8" t="str">
        <f t="shared" si="41"/>
        <v>Pumas UNAM</v>
      </c>
      <c r="D535" s="8">
        <f t="shared" si="42"/>
        <v>0</v>
      </c>
      <c r="F535" s="4" t="str">
        <f>IF(Jugadores!B535="","",Jugadores!B535)</f>
        <v>Arteaga Victor</v>
      </c>
      <c r="G535" s="4" t="str">
        <f>IF(Jugadores!B535="","",Jugadores!A535)</f>
        <v>Pumas UNAM</v>
      </c>
      <c r="H535" s="4">
        <f>IF(F535="","",SUMIF('Estadísticas Jugadores'!$F$2:$F$7001,F535,'Estadísticas Jugadores'!$I$2:$I$7001))</f>
        <v>0</v>
      </c>
      <c r="I535" s="4">
        <f t="shared" si="43"/>
        <v>-5.3499999999999999E-5</v>
      </c>
      <c r="J535" s="4">
        <f t="shared" si="44"/>
        <v>534</v>
      </c>
    </row>
    <row r="536" spans="1:10" ht="15" customHeight="1" x14ac:dyDescent="0.25">
      <c r="A536" s="8">
        <f>IF(COUNT($J$2:$J$1501)&gt;=535,535,"")</f>
        <v>535</v>
      </c>
      <c r="B536" s="8" t="str">
        <f t="shared" si="40"/>
        <v>Carranza Kleber</v>
      </c>
      <c r="C536" s="8" t="str">
        <f t="shared" si="41"/>
        <v>Pumas UNAM</v>
      </c>
      <c r="D536" s="8">
        <f t="shared" si="42"/>
        <v>0</v>
      </c>
      <c r="F536" s="4" t="str">
        <f>IF(Jugadores!B536="","",Jugadores!B536)</f>
        <v>Carranza Kleber</v>
      </c>
      <c r="G536" s="4" t="str">
        <f>IF(Jugadores!B536="","",Jugadores!A536)</f>
        <v>Pumas UNAM</v>
      </c>
      <c r="H536" s="4">
        <f>IF(F536="","",SUMIF('Estadísticas Jugadores'!$F$2:$F$7001,F536,'Estadísticas Jugadores'!$I$2:$I$7001))</f>
        <v>0</v>
      </c>
      <c r="I536" s="4">
        <f t="shared" si="43"/>
        <v>-5.3599999999999995E-5</v>
      </c>
      <c r="J536" s="4">
        <f t="shared" si="44"/>
        <v>535</v>
      </c>
    </row>
    <row r="537" spans="1:10" ht="15" customHeight="1" x14ac:dyDescent="0.25">
      <c r="A537" s="8">
        <f>IF(COUNT($J$2:$J$1501)&gt;=536,536,"")</f>
        <v>536</v>
      </c>
      <c r="B537" s="8" t="str">
        <f t="shared" si="40"/>
        <v>Carrasquilla Adalberto</v>
      </c>
      <c r="C537" s="8" t="str">
        <f t="shared" si="41"/>
        <v>Pumas UNAM</v>
      </c>
      <c r="D537" s="8">
        <f t="shared" si="42"/>
        <v>0</v>
      </c>
      <c r="F537" s="4" t="str">
        <f>IF(Jugadores!B537="","",Jugadores!B537)</f>
        <v>Carrasquilla Adalberto</v>
      </c>
      <c r="G537" s="4" t="str">
        <f>IF(Jugadores!B537="","",Jugadores!A537)</f>
        <v>Pumas UNAM</v>
      </c>
      <c r="H537" s="4">
        <f>IF(F537="","",SUMIF('Estadísticas Jugadores'!$F$2:$F$7001,F537,'Estadísticas Jugadores'!$I$2:$I$7001))</f>
        <v>0</v>
      </c>
      <c r="I537" s="4">
        <f t="shared" si="43"/>
        <v>-5.3699999999999997E-5</v>
      </c>
      <c r="J537" s="4">
        <f t="shared" si="44"/>
        <v>536</v>
      </c>
    </row>
    <row r="538" spans="1:10" ht="15" customHeight="1" x14ac:dyDescent="0.25">
      <c r="A538" s="8">
        <f>IF(COUNT($J$2:$J$1501)&gt;=537,537,"")</f>
        <v>537</v>
      </c>
      <c r="B538" s="8" t="str">
        <f t="shared" si="40"/>
        <v>Cordova Sebastian</v>
      </c>
      <c r="C538" s="8" t="str">
        <f t="shared" si="41"/>
        <v>Pumas UNAM</v>
      </c>
      <c r="D538" s="8">
        <f t="shared" si="42"/>
        <v>0</v>
      </c>
      <c r="F538" s="4" t="str">
        <f>IF(Jugadores!B538="","",Jugadores!B538)</f>
        <v>Cordova Sebastian</v>
      </c>
      <c r="G538" s="4" t="str">
        <f>IF(Jugadores!B538="","",Jugadores!A538)</f>
        <v>Pumas UNAM</v>
      </c>
      <c r="H538" s="4">
        <f>IF(F538="","",SUMIF('Estadísticas Jugadores'!$F$2:$F$7001,F538,'Estadísticas Jugadores'!$I$2:$I$7001))</f>
        <v>0</v>
      </c>
      <c r="I538" s="4">
        <f t="shared" si="43"/>
        <v>-5.38E-5</v>
      </c>
      <c r="J538" s="4">
        <f t="shared" si="44"/>
        <v>537</v>
      </c>
    </row>
    <row r="539" spans="1:10" ht="15" customHeight="1" x14ac:dyDescent="0.25">
      <c r="A539" s="8">
        <f>IF(COUNT($J$2:$J$1501)&gt;=538,538,"")</f>
        <v>538</v>
      </c>
      <c r="B539" s="8" t="str">
        <f t="shared" si="40"/>
        <v>Garcia Stanley</v>
      </c>
      <c r="C539" s="8" t="str">
        <f t="shared" si="41"/>
        <v>Pumas UNAM</v>
      </c>
      <c r="D539" s="8">
        <f t="shared" si="42"/>
        <v>0</v>
      </c>
      <c r="F539" s="4" t="str">
        <f>IF(Jugadores!B539="","",Jugadores!B539)</f>
        <v>Garcia Stanley</v>
      </c>
      <c r="G539" s="4" t="str">
        <f>IF(Jugadores!B539="","",Jugadores!A539)</f>
        <v>Pumas UNAM</v>
      </c>
      <c r="H539" s="4">
        <f>IF(F539="","",SUMIF('Estadísticas Jugadores'!$F$2:$F$7001,F539,'Estadísticas Jugadores'!$I$2:$I$7001))</f>
        <v>0</v>
      </c>
      <c r="I539" s="4">
        <f t="shared" si="43"/>
        <v>-5.3899999999999996E-5</v>
      </c>
      <c r="J539" s="4">
        <f t="shared" si="44"/>
        <v>538</v>
      </c>
    </row>
    <row r="540" spans="1:10" ht="15" customHeight="1" x14ac:dyDescent="0.25">
      <c r="A540" s="8">
        <f>IF(COUNT($J$2:$J$1501)&gt;=539,539,"")</f>
        <v>539</v>
      </c>
      <c r="B540" s="8" t="str">
        <f t="shared" si="40"/>
        <v>Lopez Rodrigo</v>
      </c>
      <c r="C540" s="8" t="str">
        <f t="shared" si="41"/>
        <v>Pumas UNAM</v>
      </c>
      <c r="D540" s="8">
        <f t="shared" si="42"/>
        <v>0</v>
      </c>
      <c r="F540" s="4" t="str">
        <f>IF(Jugadores!B540="","",Jugadores!B540)</f>
        <v>Lopez Rodrigo</v>
      </c>
      <c r="G540" s="4" t="str">
        <f>IF(Jugadores!B540="","",Jugadores!A540)</f>
        <v>Pumas UNAM</v>
      </c>
      <c r="H540" s="4">
        <f>IF(F540="","",SUMIF('Estadísticas Jugadores'!$F$2:$F$7001,F540,'Estadísticas Jugadores'!$I$2:$I$7001))</f>
        <v>0</v>
      </c>
      <c r="I540" s="4">
        <f t="shared" si="43"/>
        <v>-5.3999999999999998E-5</v>
      </c>
      <c r="J540" s="4">
        <f t="shared" si="44"/>
        <v>539</v>
      </c>
    </row>
    <row r="541" spans="1:10" ht="15" customHeight="1" x14ac:dyDescent="0.25">
      <c r="A541" s="8">
        <f>IF(COUNT($J$2:$J$1501)&gt;=540,540,"")</f>
        <v>540</v>
      </c>
      <c r="B541" s="8" t="str">
        <f t="shared" si="40"/>
        <v>Rico Angel</v>
      </c>
      <c r="C541" s="8" t="str">
        <f t="shared" si="41"/>
        <v>Pumas UNAM</v>
      </c>
      <c r="D541" s="8">
        <f t="shared" si="42"/>
        <v>0</v>
      </c>
      <c r="F541" s="4" t="str">
        <f>IF(Jugadores!B541="","",Jugadores!B541)</f>
        <v>Rico Angel</v>
      </c>
      <c r="G541" s="4" t="str">
        <f>IF(Jugadores!B541="","",Jugadores!A541)</f>
        <v>Pumas UNAM</v>
      </c>
      <c r="H541" s="4">
        <f>IF(F541="","",SUMIF('Estadísticas Jugadores'!$F$2:$F$7001,F541,'Estadísticas Jugadores'!$I$2:$I$7001))</f>
        <v>0</v>
      </c>
      <c r="I541" s="4">
        <f t="shared" si="43"/>
        <v>-5.41E-5</v>
      </c>
      <c r="J541" s="4">
        <f t="shared" si="44"/>
        <v>540</v>
      </c>
    </row>
    <row r="542" spans="1:10" ht="15" customHeight="1" x14ac:dyDescent="0.25">
      <c r="A542" s="8">
        <f>IF(COUNT($J$2:$J$1501)&gt;=541,541,"")</f>
        <v>541</v>
      </c>
      <c r="B542" s="8" t="str">
        <f t="shared" si="40"/>
        <v>Rivas Ulises</v>
      </c>
      <c r="C542" s="8" t="str">
        <f t="shared" si="41"/>
        <v>Pumas UNAM</v>
      </c>
      <c r="D542" s="8">
        <f t="shared" si="42"/>
        <v>0</v>
      </c>
      <c r="F542" s="4" t="str">
        <f>IF(Jugadores!B542="","",Jugadores!B542)</f>
        <v>Rivas Ulises</v>
      </c>
      <c r="G542" s="4" t="str">
        <f>IF(Jugadores!B542="","",Jugadores!A542)</f>
        <v>Pumas UNAM</v>
      </c>
      <c r="H542" s="4">
        <f>IF(F542="","",SUMIF('Estadísticas Jugadores'!$F$2:$F$7001,F542,'Estadísticas Jugadores'!$I$2:$I$7001))</f>
        <v>0</v>
      </c>
      <c r="I542" s="4">
        <f t="shared" si="43"/>
        <v>-5.4199999999999996E-5</v>
      </c>
      <c r="J542" s="4">
        <f t="shared" si="44"/>
        <v>541</v>
      </c>
    </row>
    <row r="543" spans="1:10" ht="15" customHeight="1" x14ac:dyDescent="0.25">
      <c r="A543" s="8">
        <f>IF(COUNT($J$2:$J$1501)&gt;=542,542,"")</f>
        <v>542</v>
      </c>
      <c r="B543" s="8" t="str">
        <f t="shared" si="40"/>
        <v>Trigos Santiago</v>
      </c>
      <c r="C543" s="8" t="str">
        <f t="shared" si="41"/>
        <v>Pumas UNAM</v>
      </c>
      <c r="D543" s="8">
        <f t="shared" si="42"/>
        <v>0</v>
      </c>
      <c r="F543" s="4" t="str">
        <f>IF(Jugadores!B543="","",Jugadores!B543)</f>
        <v>Trigos Santiago</v>
      </c>
      <c r="G543" s="4" t="str">
        <f>IF(Jugadores!B543="","",Jugadores!A543)</f>
        <v>Pumas UNAM</v>
      </c>
      <c r="H543" s="4">
        <f>IF(F543="","",SUMIF('Estadísticas Jugadores'!$F$2:$F$7001,F543,'Estadísticas Jugadores'!$I$2:$I$7001))</f>
        <v>0</v>
      </c>
      <c r="I543" s="4">
        <f t="shared" si="43"/>
        <v>-5.4299999999999998E-5</v>
      </c>
      <c r="J543" s="4">
        <f t="shared" si="44"/>
        <v>542</v>
      </c>
    </row>
    <row r="544" spans="1:10" ht="15" customHeight="1" x14ac:dyDescent="0.25">
      <c r="A544" s="8">
        <f>IF(COUNT($J$2:$J$1501)&gt;=543,543,"")</f>
        <v>543</v>
      </c>
      <c r="B544" s="8" t="str">
        <f t="shared" si="40"/>
        <v>Vite Pedro</v>
      </c>
      <c r="C544" s="8" t="str">
        <f t="shared" si="41"/>
        <v>Pumas UNAM</v>
      </c>
      <c r="D544" s="8">
        <f t="shared" si="42"/>
        <v>0</v>
      </c>
      <c r="F544" s="4" t="str">
        <f>IF(Jugadores!B544="","",Jugadores!B544)</f>
        <v>Vite Pedro</v>
      </c>
      <c r="G544" s="4" t="str">
        <f>IF(Jugadores!B544="","",Jugadores!A544)</f>
        <v>Pumas UNAM</v>
      </c>
      <c r="H544" s="4">
        <f>IF(F544="","",SUMIF('Estadísticas Jugadores'!$F$2:$F$7001,F544,'Estadísticas Jugadores'!$I$2:$I$7001))</f>
        <v>0</v>
      </c>
      <c r="I544" s="4">
        <f t="shared" si="43"/>
        <v>-5.4399999999999994E-5</v>
      </c>
      <c r="J544" s="4">
        <f t="shared" si="44"/>
        <v>543</v>
      </c>
    </row>
    <row r="545" spans="1:10" ht="15" customHeight="1" x14ac:dyDescent="0.25">
      <c r="A545" s="8">
        <f>IF(COUNT($J$2:$J$1501)&gt;=544,544,"")</f>
        <v>544</v>
      </c>
      <c r="B545" s="8" t="str">
        <f t="shared" si="40"/>
        <v>Juninho</v>
      </c>
      <c r="C545" s="8" t="str">
        <f t="shared" si="41"/>
        <v>Pumas UNAM</v>
      </c>
      <c r="D545" s="8">
        <f t="shared" si="42"/>
        <v>0</v>
      </c>
      <c r="F545" s="4" t="str">
        <f>IF(Jugadores!B545="","",Jugadores!B545)</f>
        <v>Juninho</v>
      </c>
      <c r="G545" s="4" t="str">
        <f>IF(Jugadores!B545="","",Jugadores!A545)</f>
        <v>Pumas UNAM</v>
      </c>
      <c r="H545" s="4">
        <f>IF(F545="","",SUMIF('Estadísticas Jugadores'!$F$2:$F$7001,F545,'Estadísticas Jugadores'!$I$2:$I$7001))</f>
        <v>0</v>
      </c>
      <c r="I545" s="4">
        <f t="shared" si="43"/>
        <v>-5.4499999999999997E-5</v>
      </c>
      <c r="J545" s="4">
        <f t="shared" si="44"/>
        <v>544</v>
      </c>
    </row>
    <row r="546" spans="1:10" ht="15" customHeight="1" x14ac:dyDescent="0.25">
      <c r="A546" s="8">
        <f>IF(COUNT($J$2:$J$1501)&gt;=545,545,"")</f>
        <v>545</v>
      </c>
      <c r="B546" s="8" t="str">
        <f t="shared" si="40"/>
        <v>Lopez Santiago</v>
      </c>
      <c r="C546" s="8" t="str">
        <f t="shared" si="41"/>
        <v>Pumas UNAM</v>
      </c>
      <c r="D546" s="8">
        <f t="shared" si="42"/>
        <v>0</v>
      </c>
      <c r="F546" s="4" t="str">
        <f>IF(Jugadores!B546="","",Jugadores!B546)</f>
        <v>Lopez Santiago</v>
      </c>
      <c r="G546" s="4" t="str">
        <f>IF(Jugadores!B546="","",Jugadores!A546)</f>
        <v>Pumas UNAM</v>
      </c>
      <c r="H546" s="4">
        <f>IF(F546="","",SUMIF('Estadísticas Jugadores'!$F$2:$F$7001,F546,'Estadísticas Jugadores'!$I$2:$I$7001))</f>
        <v>0</v>
      </c>
      <c r="I546" s="4">
        <f t="shared" si="43"/>
        <v>-5.4599999999999999E-5</v>
      </c>
      <c r="J546" s="4">
        <f t="shared" si="44"/>
        <v>545</v>
      </c>
    </row>
    <row r="547" spans="1:10" ht="15" customHeight="1" x14ac:dyDescent="0.25">
      <c r="A547" s="8">
        <f>IF(COUNT($J$2:$J$1501)&gt;=546,546,"")</f>
        <v>546</v>
      </c>
      <c r="B547" s="8" t="str">
        <f t="shared" si="40"/>
        <v>Martínez Guillermo</v>
      </c>
      <c r="C547" s="8" t="str">
        <f t="shared" si="41"/>
        <v>Pumas UNAM</v>
      </c>
      <c r="D547" s="8">
        <f t="shared" si="42"/>
        <v>0</v>
      </c>
      <c r="F547" s="4" t="str">
        <f>IF(Jugadores!B547="","",Jugadores!B547)</f>
        <v>Martínez Guillermo</v>
      </c>
      <c r="G547" s="4" t="str">
        <f>IF(Jugadores!B547="","",Jugadores!A547)</f>
        <v>Pumas UNAM</v>
      </c>
      <c r="H547" s="4">
        <f>IF(F547="","",SUMIF('Estadísticas Jugadores'!$F$2:$F$7001,F547,'Estadísticas Jugadores'!$I$2:$I$7001))</f>
        <v>0</v>
      </c>
      <c r="I547" s="4">
        <f t="shared" si="43"/>
        <v>-5.4699999999999995E-5</v>
      </c>
      <c r="J547" s="4">
        <f t="shared" si="44"/>
        <v>546</v>
      </c>
    </row>
    <row r="548" spans="1:10" ht="15" customHeight="1" x14ac:dyDescent="0.25">
      <c r="A548" s="8">
        <f>IF(COUNT($J$2:$J$1501)&gt;=547,547,"")</f>
        <v>547</v>
      </c>
      <c r="B548" s="8" t="str">
        <f t="shared" si="40"/>
        <v>Medina Alan</v>
      </c>
      <c r="C548" s="8" t="str">
        <f t="shared" si="41"/>
        <v>Pumas UNAM</v>
      </c>
      <c r="D548" s="8">
        <f t="shared" si="42"/>
        <v>0</v>
      </c>
      <c r="F548" s="4" t="str">
        <f>IF(Jugadores!B548="","",Jugadores!B548)</f>
        <v>Medina Alan</v>
      </c>
      <c r="G548" s="4" t="str">
        <f>IF(Jugadores!B548="","",Jugadores!A548)</f>
        <v>Pumas UNAM</v>
      </c>
      <c r="H548" s="4">
        <f>IF(F548="","",SUMIF('Estadísticas Jugadores'!$F$2:$F$7001,F548,'Estadísticas Jugadores'!$I$2:$I$7001))</f>
        <v>0</v>
      </c>
      <c r="I548" s="4">
        <f t="shared" si="43"/>
        <v>-5.4799999999999997E-5</v>
      </c>
      <c r="J548" s="4">
        <f t="shared" si="44"/>
        <v>547</v>
      </c>
    </row>
    <row r="549" spans="1:10" ht="15" customHeight="1" x14ac:dyDescent="0.25">
      <c r="A549" s="8">
        <f>IF(COUNT($J$2:$J$1501)&gt;=548,548,"")</f>
        <v>548</v>
      </c>
      <c r="B549" s="8" t="str">
        <f t="shared" si="40"/>
        <v>Morales Robert</v>
      </c>
      <c r="C549" s="8" t="str">
        <f t="shared" si="41"/>
        <v>Pumas UNAM</v>
      </c>
      <c r="D549" s="8">
        <f t="shared" si="42"/>
        <v>0</v>
      </c>
      <c r="F549" s="4" t="str">
        <f>IF(Jugadores!B549="","",Jugadores!B549)</f>
        <v>Morales Robert</v>
      </c>
      <c r="G549" s="4" t="str">
        <f>IF(Jugadores!B549="","",Jugadores!A549)</f>
        <v>Pumas UNAM</v>
      </c>
      <c r="H549" s="4">
        <f>IF(F549="","",SUMIF('Estadísticas Jugadores'!$F$2:$F$7001,F549,'Estadísticas Jugadores'!$I$2:$I$7001))</f>
        <v>0</v>
      </c>
      <c r="I549" s="4">
        <f t="shared" si="43"/>
        <v>-5.49E-5</v>
      </c>
      <c r="J549" s="4">
        <f t="shared" si="44"/>
        <v>548</v>
      </c>
    </row>
    <row r="550" spans="1:10" ht="15" customHeight="1" x14ac:dyDescent="0.25">
      <c r="A550" s="8">
        <f>IF(COUNT($J$2:$J$1501)&gt;=549,549,"")</f>
        <v>549</v>
      </c>
      <c r="B550" s="8" t="str">
        <f t="shared" si="40"/>
        <v>del Valle Yonathan</v>
      </c>
      <c r="C550" s="8" t="str">
        <f t="shared" si="41"/>
        <v>Pumas UNAM</v>
      </c>
      <c r="D550" s="8">
        <f t="shared" si="42"/>
        <v>0</v>
      </c>
      <c r="F550" s="4" t="str">
        <f>IF(Jugadores!B550="","",Jugadores!B550)</f>
        <v>del Valle Yonathan</v>
      </c>
      <c r="G550" s="4" t="str">
        <f>IF(Jugadores!B550="","",Jugadores!A550)</f>
        <v>Pumas UNAM</v>
      </c>
      <c r="H550" s="4">
        <f>IF(F550="","",SUMIF('Estadísticas Jugadores'!$F$2:$F$7001,F550,'Estadísticas Jugadores'!$I$2:$I$7001))</f>
        <v>0</v>
      </c>
      <c r="I550" s="4">
        <f t="shared" si="43"/>
        <v>-5.4999999999999995E-5</v>
      </c>
      <c r="J550" s="4">
        <f t="shared" si="44"/>
        <v>549</v>
      </c>
    </row>
    <row r="551" spans="1:10" ht="15" customHeight="1" x14ac:dyDescent="0.25">
      <c r="A551" s="8" t="str">
        <f>IF(COUNT($J$2:$J$1501)&gt;=550,550,"")</f>
        <v/>
      </c>
      <c r="B551" s="8" t="str">
        <f t="shared" si="40"/>
        <v/>
      </c>
      <c r="C551" s="8" t="str">
        <f t="shared" si="41"/>
        <v/>
      </c>
      <c r="D551" s="8" t="str">
        <f t="shared" si="42"/>
        <v/>
      </c>
      <c r="F551" s="4" t="str">
        <f>IF(Jugadores!B551="","",Jugadores!B551)</f>
        <v/>
      </c>
      <c r="G551" s="4" t="str">
        <f>IF(Jugadores!B551="","",Jugadores!A551)</f>
        <v/>
      </c>
      <c r="H551" s="4" t="str">
        <f>IF(F551="","",SUMIF('Estadísticas Jugadores'!$F$2:$F$7001,F551,'Estadísticas Jugadores'!$I$2:$I$7001))</f>
        <v/>
      </c>
      <c r="I551" s="4" t="str">
        <f t="shared" si="43"/>
        <v/>
      </c>
      <c r="J551" s="4" t="str">
        <f t="shared" si="44"/>
        <v/>
      </c>
    </row>
    <row r="552" spans="1:10" ht="15" customHeight="1" x14ac:dyDescent="0.25">
      <c r="A552" s="8" t="str">
        <f>IF(COUNT($J$2:$J$1501)&gt;=551,551,"")</f>
        <v/>
      </c>
      <c r="B552" s="8" t="str">
        <f t="shared" si="40"/>
        <v/>
      </c>
      <c r="C552" s="8" t="str">
        <f t="shared" si="41"/>
        <v/>
      </c>
      <c r="D552" s="8" t="str">
        <f t="shared" si="42"/>
        <v/>
      </c>
      <c r="F552" s="4" t="str">
        <f>IF(Jugadores!B552="","",Jugadores!B552)</f>
        <v/>
      </c>
      <c r="G552" s="4" t="str">
        <f>IF(Jugadores!B552="","",Jugadores!A552)</f>
        <v/>
      </c>
      <c r="H552" s="4" t="str">
        <f>IF(F552="","",SUMIF('Estadísticas Jugadores'!$F$2:$F$7001,F552,'Estadísticas Jugadores'!$I$2:$I$7001))</f>
        <v/>
      </c>
      <c r="I552" s="4" t="str">
        <f t="shared" si="43"/>
        <v/>
      </c>
      <c r="J552" s="4" t="str">
        <f t="shared" si="44"/>
        <v/>
      </c>
    </row>
    <row r="553" spans="1:10" ht="15" customHeight="1" x14ac:dyDescent="0.25">
      <c r="A553" s="8" t="str">
        <f>IF(COUNT($J$2:$J$1501)&gt;=552,552,"")</f>
        <v/>
      </c>
      <c r="B553" s="8" t="str">
        <f t="shared" si="40"/>
        <v/>
      </c>
      <c r="C553" s="8" t="str">
        <f t="shared" si="41"/>
        <v/>
      </c>
      <c r="D553" s="8" t="str">
        <f t="shared" si="42"/>
        <v/>
      </c>
      <c r="F553" s="4" t="str">
        <f>IF(Jugadores!B553="","",Jugadores!B553)</f>
        <v/>
      </c>
      <c r="G553" s="4" t="str">
        <f>IF(Jugadores!B553="","",Jugadores!A553)</f>
        <v/>
      </c>
      <c r="H553" s="4" t="str">
        <f>IF(F553="","",SUMIF('Estadísticas Jugadores'!$F$2:$F$7001,F553,'Estadísticas Jugadores'!$I$2:$I$7001))</f>
        <v/>
      </c>
      <c r="I553" s="4" t="str">
        <f t="shared" si="43"/>
        <v/>
      </c>
      <c r="J553" s="4" t="str">
        <f t="shared" si="44"/>
        <v/>
      </c>
    </row>
    <row r="554" spans="1:10" ht="15" customHeight="1" x14ac:dyDescent="0.25">
      <c r="A554" s="8" t="str">
        <f>IF(COUNT($J$2:$J$1501)&gt;=553,553,"")</f>
        <v/>
      </c>
      <c r="B554" s="8" t="str">
        <f t="shared" si="40"/>
        <v/>
      </c>
      <c r="C554" s="8" t="str">
        <f t="shared" si="41"/>
        <v/>
      </c>
      <c r="D554" s="8" t="str">
        <f t="shared" si="42"/>
        <v/>
      </c>
      <c r="F554" s="4" t="str">
        <f>IF(Jugadores!B554="","",Jugadores!B554)</f>
        <v/>
      </c>
      <c r="G554" s="4" t="str">
        <f>IF(Jugadores!B554="","",Jugadores!A554)</f>
        <v/>
      </c>
      <c r="H554" s="4" t="str">
        <f>IF(F554="","",SUMIF('Estadísticas Jugadores'!$F$2:$F$7001,F554,'Estadísticas Jugadores'!$I$2:$I$7001))</f>
        <v/>
      </c>
      <c r="I554" s="4" t="str">
        <f t="shared" si="43"/>
        <v/>
      </c>
      <c r="J554" s="4" t="str">
        <f t="shared" si="44"/>
        <v/>
      </c>
    </row>
    <row r="555" spans="1:10" ht="15" customHeight="1" x14ac:dyDescent="0.25">
      <c r="A555" s="8" t="str">
        <f>IF(COUNT($J$2:$J$1501)&gt;=554,554,"")</f>
        <v/>
      </c>
      <c r="B555" s="8" t="str">
        <f t="shared" si="40"/>
        <v/>
      </c>
      <c r="C555" s="8" t="str">
        <f t="shared" si="41"/>
        <v/>
      </c>
      <c r="D555" s="8" t="str">
        <f t="shared" si="42"/>
        <v/>
      </c>
      <c r="F555" s="4" t="str">
        <f>IF(Jugadores!B555="","",Jugadores!B555)</f>
        <v/>
      </c>
      <c r="G555" s="4" t="str">
        <f>IF(Jugadores!B555="","",Jugadores!A555)</f>
        <v/>
      </c>
      <c r="H555" s="4" t="str">
        <f>IF(F555="","",SUMIF('Estadísticas Jugadores'!$F$2:$F$7001,F555,'Estadísticas Jugadores'!$I$2:$I$7001))</f>
        <v/>
      </c>
      <c r="I555" s="4" t="str">
        <f t="shared" si="43"/>
        <v/>
      </c>
      <c r="J555" s="4" t="str">
        <f t="shared" si="44"/>
        <v/>
      </c>
    </row>
    <row r="556" spans="1:10" ht="15" customHeight="1" x14ac:dyDescent="0.25">
      <c r="A556" s="8" t="str">
        <f>IF(COUNT($J$2:$J$1501)&gt;=555,555,"")</f>
        <v/>
      </c>
      <c r="B556" s="8" t="str">
        <f t="shared" si="40"/>
        <v/>
      </c>
      <c r="C556" s="8" t="str">
        <f t="shared" si="41"/>
        <v/>
      </c>
      <c r="D556" s="8" t="str">
        <f t="shared" si="42"/>
        <v/>
      </c>
      <c r="F556" s="4" t="str">
        <f>IF(Jugadores!B556="","",Jugadores!B556)</f>
        <v/>
      </c>
      <c r="G556" s="4" t="str">
        <f>IF(Jugadores!B556="","",Jugadores!A556)</f>
        <v/>
      </c>
      <c r="H556" s="4" t="str">
        <f>IF(F556="","",SUMIF('Estadísticas Jugadores'!$F$2:$F$7001,F556,'Estadísticas Jugadores'!$I$2:$I$7001))</f>
        <v/>
      </c>
      <c r="I556" s="4" t="str">
        <f t="shared" si="43"/>
        <v/>
      </c>
      <c r="J556" s="4" t="str">
        <f t="shared" si="44"/>
        <v/>
      </c>
    </row>
    <row r="557" spans="1:10" ht="15" customHeight="1" x14ac:dyDescent="0.25">
      <c r="A557" s="8" t="str">
        <f>IF(COUNT($J$2:$J$1501)&gt;=556,556,"")</f>
        <v/>
      </c>
      <c r="B557" s="8" t="str">
        <f t="shared" si="40"/>
        <v/>
      </c>
      <c r="C557" s="8" t="str">
        <f t="shared" si="41"/>
        <v/>
      </c>
      <c r="D557" s="8" t="str">
        <f t="shared" si="42"/>
        <v/>
      </c>
      <c r="F557" s="4" t="str">
        <f>IF(Jugadores!B557="","",Jugadores!B557)</f>
        <v/>
      </c>
      <c r="G557" s="4" t="str">
        <f>IF(Jugadores!B557="","",Jugadores!A557)</f>
        <v/>
      </c>
      <c r="H557" s="4" t="str">
        <f>IF(F557="","",SUMIF('Estadísticas Jugadores'!$F$2:$F$7001,F557,'Estadísticas Jugadores'!$I$2:$I$7001))</f>
        <v/>
      </c>
      <c r="I557" s="4" t="str">
        <f t="shared" si="43"/>
        <v/>
      </c>
      <c r="J557" s="4" t="str">
        <f t="shared" si="44"/>
        <v/>
      </c>
    </row>
    <row r="558" spans="1:10" ht="15" customHeight="1" x14ac:dyDescent="0.25">
      <c r="A558" s="8" t="str">
        <f>IF(COUNT($J$2:$J$1501)&gt;=557,557,"")</f>
        <v/>
      </c>
      <c r="B558" s="8" t="str">
        <f t="shared" si="40"/>
        <v/>
      </c>
      <c r="C558" s="8" t="str">
        <f t="shared" si="41"/>
        <v/>
      </c>
      <c r="D558" s="8" t="str">
        <f t="shared" si="42"/>
        <v/>
      </c>
      <c r="F558" s="4" t="str">
        <f>IF(Jugadores!B558="","",Jugadores!B558)</f>
        <v/>
      </c>
      <c r="G558" s="4" t="str">
        <f>IF(Jugadores!B558="","",Jugadores!A558)</f>
        <v/>
      </c>
      <c r="H558" s="4" t="str">
        <f>IF(F558="","",SUMIF('Estadísticas Jugadores'!$F$2:$F$7001,F558,'Estadísticas Jugadores'!$I$2:$I$7001))</f>
        <v/>
      </c>
      <c r="I558" s="4" t="str">
        <f t="shared" si="43"/>
        <v/>
      </c>
      <c r="J558" s="4" t="str">
        <f t="shared" si="44"/>
        <v/>
      </c>
    </row>
    <row r="559" spans="1:10" ht="15" customHeight="1" x14ac:dyDescent="0.25">
      <c r="A559" s="8" t="str">
        <f>IF(COUNT($J$2:$J$1501)&gt;=558,558,"")</f>
        <v/>
      </c>
      <c r="B559" s="8" t="str">
        <f t="shared" si="40"/>
        <v/>
      </c>
      <c r="C559" s="8" t="str">
        <f t="shared" si="41"/>
        <v/>
      </c>
      <c r="D559" s="8" t="str">
        <f t="shared" si="42"/>
        <v/>
      </c>
      <c r="F559" s="4" t="str">
        <f>IF(Jugadores!B559="","",Jugadores!B559)</f>
        <v/>
      </c>
      <c r="G559" s="4" t="str">
        <f>IF(Jugadores!B559="","",Jugadores!A559)</f>
        <v/>
      </c>
      <c r="H559" s="4" t="str">
        <f>IF(F559="","",SUMIF('Estadísticas Jugadores'!$F$2:$F$7001,F559,'Estadísticas Jugadores'!$I$2:$I$7001))</f>
        <v/>
      </c>
      <c r="I559" s="4" t="str">
        <f t="shared" si="43"/>
        <v/>
      </c>
      <c r="J559" s="4" t="str">
        <f t="shared" si="44"/>
        <v/>
      </c>
    </row>
    <row r="560" spans="1:10" ht="15" customHeight="1" x14ac:dyDescent="0.25">
      <c r="A560" s="8" t="str">
        <f>IF(COUNT($J$2:$J$1501)&gt;=559,559,"")</f>
        <v/>
      </c>
      <c r="B560" s="8" t="str">
        <f t="shared" si="40"/>
        <v/>
      </c>
      <c r="C560" s="8" t="str">
        <f t="shared" si="41"/>
        <v/>
      </c>
      <c r="D560" s="8" t="str">
        <f t="shared" si="42"/>
        <v/>
      </c>
      <c r="F560" s="4" t="str">
        <f>IF(Jugadores!B560="","",Jugadores!B560)</f>
        <v/>
      </c>
      <c r="G560" s="4" t="str">
        <f>IF(Jugadores!B560="","",Jugadores!A560)</f>
        <v/>
      </c>
      <c r="H560" s="4" t="str">
        <f>IF(F560="","",SUMIF('Estadísticas Jugadores'!$F$2:$F$7001,F560,'Estadísticas Jugadores'!$I$2:$I$7001))</f>
        <v/>
      </c>
      <c r="I560" s="4" t="str">
        <f t="shared" si="43"/>
        <v/>
      </c>
      <c r="J560" s="4" t="str">
        <f t="shared" si="44"/>
        <v/>
      </c>
    </row>
    <row r="561" spans="1:10" ht="15" customHeight="1" x14ac:dyDescent="0.25">
      <c r="A561" s="8" t="str">
        <f>IF(COUNT($J$2:$J$1501)&gt;=560,560,"")</f>
        <v/>
      </c>
      <c r="B561" s="8" t="str">
        <f t="shared" si="40"/>
        <v/>
      </c>
      <c r="C561" s="8" t="str">
        <f t="shared" si="41"/>
        <v/>
      </c>
      <c r="D561" s="8" t="str">
        <f t="shared" si="42"/>
        <v/>
      </c>
      <c r="F561" s="4" t="str">
        <f>IF(Jugadores!B561="","",Jugadores!B561)</f>
        <v/>
      </c>
      <c r="G561" s="4" t="str">
        <f>IF(Jugadores!B561="","",Jugadores!A561)</f>
        <v/>
      </c>
      <c r="H561" s="4" t="str">
        <f>IF(F561="","",SUMIF('Estadísticas Jugadores'!$F$2:$F$7001,F561,'Estadísticas Jugadores'!$I$2:$I$7001))</f>
        <v/>
      </c>
      <c r="I561" s="4" t="str">
        <f t="shared" si="43"/>
        <v/>
      </c>
      <c r="J561" s="4" t="str">
        <f t="shared" si="44"/>
        <v/>
      </c>
    </row>
    <row r="562" spans="1:10" ht="15" customHeight="1" x14ac:dyDescent="0.25">
      <c r="A562" s="8" t="str">
        <f>IF(COUNT($J$2:$J$1501)&gt;=561,561,"")</f>
        <v/>
      </c>
      <c r="B562" s="8" t="str">
        <f t="shared" si="40"/>
        <v/>
      </c>
      <c r="C562" s="8" t="str">
        <f t="shared" si="41"/>
        <v/>
      </c>
      <c r="D562" s="8" t="str">
        <f t="shared" si="42"/>
        <v/>
      </c>
      <c r="F562" s="4" t="str">
        <f>IF(Jugadores!B562="","",Jugadores!B562)</f>
        <v/>
      </c>
      <c r="G562" s="4" t="str">
        <f>IF(Jugadores!B562="","",Jugadores!A562)</f>
        <v/>
      </c>
      <c r="H562" s="4" t="str">
        <f>IF(F562="","",SUMIF('Estadísticas Jugadores'!$F$2:$F$7001,F562,'Estadísticas Jugadores'!$I$2:$I$7001))</f>
        <v/>
      </c>
      <c r="I562" s="4" t="str">
        <f t="shared" si="43"/>
        <v/>
      </c>
      <c r="J562" s="4" t="str">
        <f t="shared" si="44"/>
        <v/>
      </c>
    </row>
    <row r="563" spans="1:10" ht="15" customHeight="1" x14ac:dyDescent="0.25">
      <c r="A563" s="8" t="str">
        <f>IF(COUNT($J$2:$J$1501)&gt;=562,562,"")</f>
        <v/>
      </c>
      <c r="B563" s="8" t="str">
        <f t="shared" si="40"/>
        <v/>
      </c>
      <c r="C563" s="8" t="str">
        <f t="shared" si="41"/>
        <v/>
      </c>
      <c r="D563" s="8" t="str">
        <f t="shared" si="42"/>
        <v/>
      </c>
      <c r="F563" s="4" t="str">
        <f>IF(Jugadores!B563="","",Jugadores!B563)</f>
        <v/>
      </c>
      <c r="G563" s="4" t="str">
        <f>IF(Jugadores!B563="","",Jugadores!A563)</f>
        <v/>
      </c>
      <c r="H563" s="4" t="str">
        <f>IF(F563="","",SUMIF('Estadísticas Jugadores'!$F$2:$F$7001,F563,'Estadísticas Jugadores'!$I$2:$I$7001))</f>
        <v/>
      </c>
      <c r="I563" s="4" t="str">
        <f t="shared" si="43"/>
        <v/>
      </c>
      <c r="J563" s="4" t="str">
        <f t="shared" si="44"/>
        <v/>
      </c>
    </row>
    <row r="564" spans="1:10" ht="15" customHeight="1" x14ac:dyDescent="0.25">
      <c r="A564" s="8" t="str">
        <f>IF(COUNT($J$2:$J$1501)&gt;=563,563,"")</f>
        <v/>
      </c>
      <c r="B564" s="8" t="str">
        <f t="shared" si="40"/>
        <v/>
      </c>
      <c r="C564" s="8" t="str">
        <f t="shared" si="41"/>
        <v/>
      </c>
      <c r="D564" s="8" t="str">
        <f t="shared" si="42"/>
        <v/>
      </c>
      <c r="F564" s="4" t="str">
        <f>IF(Jugadores!B564="","",Jugadores!B564)</f>
        <v/>
      </c>
      <c r="G564" s="4" t="str">
        <f>IF(Jugadores!B564="","",Jugadores!A564)</f>
        <v/>
      </c>
      <c r="H564" s="4" t="str">
        <f>IF(F564="","",SUMIF('Estadísticas Jugadores'!$F$2:$F$7001,F564,'Estadísticas Jugadores'!$I$2:$I$7001))</f>
        <v/>
      </c>
      <c r="I564" s="4" t="str">
        <f t="shared" si="43"/>
        <v/>
      </c>
      <c r="J564" s="4" t="str">
        <f t="shared" si="44"/>
        <v/>
      </c>
    </row>
    <row r="565" spans="1:10" ht="15" customHeight="1" x14ac:dyDescent="0.25">
      <c r="A565" s="8" t="str">
        <f>IF(COUNT($J$2:$J$1501)&gt;=564,564,"")</f>
        <v/>
      </c>
      <c r="B565" s="8" t="str">
        <f t="shared" si="40"/>
        <v/>
      </c>
      <c r="C565" s="8" t="str">
        <f t="shared" si="41"/>
        <v/>
      </c>
      <c r="D565" s="8" t="str">
        <f t="shared" si="42"/>
        <v/>
      </c>
      <c r="F565" s="4" t="str">
        <f>IF(Jugadores!B565="","",Jugadores!B565)</f>
        <v/>
      </c>
      <c r="G565" s="4" t="str">
        <f>IF(Jugadores!B565="","",Jugadores!A565)</f>
        <v/>
      </c>
      <c r="H565" s="4" t="str">
        <f>IF(F565="","",SUMIF('Estadísticas Jugadores'!$F$2:$F$7001,F565,'Estadísticas Jugadores'!$I$2:$I$7001))</f>
        <v/>
      </c>
      <c r="I565" s="4" t="str">
        <f t="shared" si="43"/>
        <v/>
      </c>
      <c r="J565" s="4" t="str">
        <f t="shared" si="44"/>
        <v/>
      </c>
    </row>
    <row r="566" spans="1:10" ht="15" customHeight="1" x14ac:dyDescent="0.25">
      <c r="A566" s="8" t="str">
        <f>IF(COUNT($J$2:$J$1501)&gt;=565,565,"")</f>
        <v/>
      </c>
      <c r="B566" s="8" t="str">
        <f t="shared" si="40"/>
        <v/>
      </c>
      <c r="C566" s="8" t="str">
        <f t="shared" si="41"/>
        <v/>
      </c>
      <c r="D566" s="8" t="str">
        <f t="shared" si="42"/>
        <v/>
      </c>
      <c r="F566" s="4" t="str">
        <f>IF(Jugadores!B566="","",Jugadores!B566)</f>
        <v/>
      </c>
      <c r="G566" s="4" t="str">
        <f>IF(Jugadores!B566="","",Jugadores!A566)</f>
        <v/>
      </c>
      <c r="H566" s="4" t="str">
        <f>IF(F566="","",SUMIF('Estadísticas Jugadores'!$F$2:$F$7001,F566,'Estadísticas Jugadores'!$I$2:$I$7001))</f>
        <v/>
      </c>
      <c r="I566" s="4" t="str">
        <f t="shared" si="43"/>
        <v/>
      </c>
      <c r="J566" s="4" t="str">
        <f t="shared" si="44"/>
        <v/>
      </c>
    </row>
    <row r="567" spans="1:10" ht="15" customHeight="1" x14ac:dyDescent="0.25">
      <c r="A567" s="8" t="str">
        <f>IF(COUNT($J$2:$J$1501)&gt;=566,566,"")</f>
        <v/>
      </c>
      <c r="B567" s="8" t="str">
        <f t="shared" si="40"/>
        <v/>
      </c>
      <c r="C567" s="8" t="str">
        <f t="shared" si="41"/>
        <v/>
      </c>
      <c r="D567" s="8" t="str">
        <f t="shared" si="42"/>
        <v/>
      </c>
      <c r="F567" s="4" t="str">
        <f>IF(Jugadores!B567="","",Jugadores!B567)</f>
        <v/>
      </c>
      <c r="G567" s="4" t="str">
        <f>IF(Jugadores!B567="","",Jugadores!A567)</f>
        <v/>
      </c>
      <c r="H567" s="4" t="str">
        <f>IF(F567="","",SUMIF('Estadísticas Jugadores'!$F$2:$F$7001,F567,'Estadísticas Jugadores'!$I$2:$I$7001))</f>
        <v/>
      </c>
      <c r="I567" s="4" t="str">
        <f t="shared" si="43"/>
        <v/>
      </c>
      <c r="J567" s="4" t="str">
        <f t="shared" si="44"/>
        <v/>
      </c>
    </row>
    <row r="568" spans="1:10" ht="15" customHeight="1" x14ac:dyDescent="0.25">
      <c r="A568" s="8" t="str">
        <f>IF(COUNT($J$2:$J$1501)&gt;=567,567,"")</f>
        <v/>
      </c>
      <c r="B568" s="8" t="str">
        <f t="shared" si="40"/>
        <v/>
      </c>
      <c r="C568" s="8" t="str">
        <f t="shared" si="41"/>
        <v/>
      </c>
      <c r="D568" s="8" t="str">
        <f t="shared" si="42"/>
        <v/>
      </c>
      <c r="F568" s="4" t="str">
        <f>IF(Jugadores!B568="","",Jugadores!B568)</f>
        <v/>
      </c>
      <c r="G568" s="4" t="str">
        <f>IF(Jugadores!B568="","",Jugadores!A568)</f>
        <v/>
      </c>
      <c r="H568" s="4" t="str">
        <f>IF(F568="","",SUMIF('Estadísticas Jugadores'!$F$2:$F$7001,F568,'Estadísticas Jugadores'!$I$2:$I$7001))</f>
        <v/>
      </c>
      <c r="I568" s="4" t="str">
        <f t="shared" si="43"/>
        <v/>
      </c>
      <c r="J568" s="4" t="str">
        <f t="shared" si="44"/>
        <v/>
      </c>
    </row>
    <row r="569" spans="1:10" ht="15" customHeight="1" x14ac:dyDescent="0.25">
      <c r="A569" s="8" t="str">
        <f>IF(COUNT($J$2:$J$1501)&gt;=568,568,"")</f>
        <v/>
      </c>
      <c r="B569" s="8" t="str">
        <f t="shared" si="40"/>
        <v/>
      </c>
      <c r="C569" s="8" t="str">
        <f t="shared" si="41"/>
        <v/>
      </c>
      <c r="D569" s="8" t="str">
        <f t="shared" si="42"/>
        <v/>
      </c>
      <c r="F569" s="4" t="str">
        <f>IF(Jugadores!B569="","",Jugadores!B569)</f>
        <v/>
      </c>
      <c r="G569" s="4" t="str">
        <f>IF(Jugadores!B569="","",Jugadores!A569)</f>
        <v/>
      </c>
      <c r="H569" s="4" t="str">
        <f>IF(F569="","",SUMIF('Estadísticas Jugadores'!$F$2:$F$7001,F569,'Estadísticas Jugadores'!$I$2:$I$7001))</f>
        <v/>
      </c>
      <c r="I569" s="4" t="str">
        <f t="shared" si="43"/>
        <v/>
      </c>
      <c r="J569" s="4" t="str">
        <f t="shared" si="44"/>
        <v/>
      </c>
    </row>
    <row r="570" spans="1:10" ht="15" customHeight="1" x14ac:dyDescent="0.25">
      <c r="A570" s="8" t="str">
        <f>IF(COUNT($J$2:$J$1501)&gt;=569,569,"")</f>
        <v/>
      </c>
      <c r="B570" s="8" t="str">
        <f t="shared" si="40"/>
        <v/>
      </c>
      <c r="C570" s="8" t="str">
        <f t="shared" si="41"/>
        <v/>
      </c>
      <c r="D570" s="8" t="str">
        <f t="shared" si="42"/>
        <v/>
      </c>
      <c r="F570" s="4" t="str">
        <f>IF(Jugadores!B570="","",Jugadores!B570)</f>
        <v/>
      </c>
      <c r="G570" s="4" t="str">
        <f>IF(Jugadores!B570="","",Jugadores!A570)</f>
        <v/>
      </c>
      <c r="H570" s="4" t="str">
        <f>IF(F570="","",SUMIF('Estadísticas Jugadores'!$F$2:$F$7001,F570,'Estadísticas Jugadores'!$I$2:$I$7001))</f>
        <v/>
      </c>
      <c r="I570" s="4" t="str">
        <f t="shared" si="43"/>
        <v/>
      </c>
      <c r="J570" s="4" t="str">
        <f t="shared" si="44"/>
        <v/>
      </c>
    </row>
    <row r="571" spans="1:10" ht="15" customHeight="1" x14ac:dyDescent="0.25">
      <c r="A571" s="8" t="str">
        <f>IF(COUNT($J$2:$J$1501)&gt;=570,570,"")</f>
        <v/>
      </c>
      <c r="B571" s="8" t="str">
        <f t="shared" si="40"/>
        <v/>
      </c>
      <c r="C571" s="8" t="str">
        <f t="shared" si="41"/>
        <v/>
      </c>
      <c r="D571" s="8" t="str">
        <f t="shared" si="42"/>
        <v/>
      </c>
      <c r="F571" s="4" t="str">
        <f>IF(Jugadores!B571="","",Jugadores!B571)</f>
        <v/>
      </c>
      <c r="G571" s="4" t="str">
        <f>IF(Jugadores!B571="","",Jugadores!A571)</f>
        <v/>
      </c>
      <c r="H571" s="4" t="str">
        <f>IF(F571="","",SUMIF('Estadísticas Jugadores'!$F$2:$F$7001,F571,'Estadísticas Jugadores'!$I$2:$I$7001))</f>
        <v/>
      </c>
      <c r="I571" s="4" t="str">
        <f t="shared" si="43"/>
        <v/>
      </c>
      <c r="J571" s="4" t="str">
        <f t="shared" si="44"/>
        <v/>
      </c>
    </row>
    <row r="572" spans="1:10" ht="15" customHeight="1" x14ac:dyDescent="0.25">
      <c r="A572" s="8" t="str">
        <f>IF(COUNT($J$2:$J$1501)&gt;=571,571,"")</f>
        <v/>
      </c>
      <c r="B572" s="8" t="str">
        <f t="shared" si="40"/>
        <v/>
      </c>
      <c r="C572" s="8" t="str">
        <f t="shared" si="41"/>
        <v/>
      </c>
      <c r="D572" s="8" t="str">
        <f t="shared" si="42"/>
        <v/>
      </c>
      <c r="F572" s="4" t="str">
        <f>IF(Jugadores!B572="","",Jugadores!B572)</f>
        <v/>
      </c>
      <c r="G572" s="4" t="str">
        <f>IF(Jugadores!B572="","",Jugadores!A572)</f>
        <v/>
      </c>
      <c r="H572" s="4" t="str">
        <f>IF(F572="","",SUMIF('Estadísticas Jugadores'!$F$2:$F$7001,F572,'Estadísticas Jugadores'!$I$2:$I$7001))</f>
        <v/>
      </c>
      <c r="I572" s="4" t="str">
        <f t="shared" si="43"/>
        <v/>
      </c>
      <c r="J572" s="4" t="str">
        <f t="shared" si="44"/>
        <v/>
      </c>
    </row>
    <row r="573" spans="1:10" ht="15" customHeight="1" x14ac:dyDescent="0.25">
      <c r="A573" s="8" t="str">
        <f>IF(COUNT($J$2:$J$1501)&gt;=572,572,"")</f>
        <v/>
      </c>
      <c r="B573" s="8" t="str">
        <f t="shared" si="40"/>
        <v/>
      </c>
      <c r="C573" s="8" t="str">
        <f t="shared" si="41"/>
        <v/>
      </c>
      <c r="D573" s="8" t="str">
        <f t="shared" si="42"/>
        <v/>
      </c>
      <c r="F573" s="4" t="str">
        <f>IF(Jugadores!B573="","",Jugadores!B573)</f>
        <v/>
      </c>
      <c r="G573" s="4" t="str">
        <f>IF(Jugadores!B573="","",Jugadores!A573)</f>
        <v/>
      </c>
      <c r="H573" s="4" t="str">
        <f>IF(F573="","",SUMIF('Estadísticas Jugadores'!$F$2:$F$7001,F573,'Estadísticas Jugadores'!$I$2:$I$7001))</f>
        <v/>
      </c>
      <c r="I573" s="4" t="str">
        <f t="shared" si="43"/>
        <v/>
      </c>
      <c r="J573" s="4" t="str">
        <f t="shared" si="44"/>
        <v/>
      </c>
    </row>
    <row r="574" spans="1:10" ht="15" customHeight="1" x14ac:dyDescent="0.25">
      <c r="A574" s="8" t="str">
        <f>IF(COUNT($J$2:$J$1501)&gt;=573,573,"")</f>
        <v/>
      </c>
      <c r="B574" s="8" t="str">
        <f t="shared" si="40"/>
        <v/>
      </c>
      <c r="C574" s="8" t="str">
        <f t="shared" si="41"/>
        <v/>
      </c>
      <c r="D574" s="8" t="str">
        <f t="shared" si="42"/>
        <v/>
      </c>
      <c r="F574" s="4" t="str">
        <f>IF(Jugadores!B574="","",Jugadores!B574)</f>
        <v/>
      </c>
      <c r="G574" s="4" t="str">
        <f>IF(Jugadores!B574="","",Jugadores!A574)</f>
        <v/>
      </c>
      <c r="H574" s="4" t="str">
        <f>IF(F574="","",SUMIF('Estadísticas Jugadores'!$F$2:$F$7001,F574,'Estadísticas Jugadores'!$I$2:$I$7001))</f>
        <v/>
      </c>
      <c r="I574" s="4" t="str">
        <f t="shared" si="43"/>
        <v/>
      </c>
      <c r="J574" s="4" t="str">
        <f t="shared" si="44"/>
        <v/>
      </c>
    </row>
    <row r="575" spans="1:10" ht="15" customHeight="1" x14ac:dyDescent="0.25">
      <c r="A575" s="8" t="str">
        <f>IF(COUNT($J$2:$J$1501)&gt;=574,574,"")</f>
        <v/>
      </c>
      <c r="B575" s="8" t="str">
        <f t="shared" si="40"/>
        <v/>
      </c>
      <c r="C575" s="8" t="str">
        <f t="shared" si="41"/>
        <v/>
      </c>
      <c r="D575" s="8" t="str">
        <f t="shared" si="42"/>
        <v/>
      </c>
      <c r="F575" s="4" t="str">
        <f>IF(Jugadores!B575="","",Jugadores!B575)</f>
        <v/>
      </c>
      <c r="G575" s="4" t="str">
        <f>IF(Jugadores!B575="","",Jugadores!A575)</f>
        <v/>
      </c>
      <c r="H575" s="4" t="str">
        <f>IF(F575="","",SUMIF('Estadísticas Jugadores'!$F$2:$F$7001,F575,'Estadísticas Jugadores'!$I$2:$I$7001))</f>
        <v/>
      </c>
      <c r="I575" s="4" t="str">
        <f t="shared" si="43"/>
        <v/>
      </c>
      <c r="J575" s="4" t="str">
        <f t="shared" si="44"/>
        <v/>
      </c>
    </row>
    <row r="576" spans="1:10" ht="15" customHeight="1" x14ac:dyDescent="0.25">
      <c r="A576" s="8" t="str">
        <f>IF(COUNT($J$2:$J$1501)&gt;=575,575,"")</f>
        <v/>
      </c>
      <c r="B576" s="8" t="str">
        <f t="shared" si="40"/>
        <v/>
      </c>
      <c r="C576" s="8" t="str">
        <f t="shared" si="41"/>
        <v/>
      </c>
      <c r="D576" s="8" t="str">
        <f t="shared" si="42"/>
        <v/>
      </c>
      <c r="F576" s="4" t="str">
        <f>IF(Jugadores!B576="","",Jugadores!B576)</f>
        <v/>
      </c>
      <c r="G576" s="4" t="str">
        <f>IF(Jugadores!B576="","",Jugadores!A576)</f>
        <v/>
      </c>
      <c r="H576" s="4" t="str">
        <f>IF(F576="","",SUMIF('Estadísticas Jugadores'!$F$2:$F$7001,F576,'Estadísticas Jugadores'!$I$2:$I$7001))</f>
        <v/>
      </c>
      <c r="I576" s="4" t="str">
        <f t="shared" si="43"/>
        <v/>
      </c>
      <c r="J576" s="4" t="str">
        <f t="shared" si="44"/>
        <v/>
      </c>
    </row>
    <row r="577" spans="1:10" ht="15" customHeight="1" x14ac:dyDescent="0.25">
      <c r="A577" s="8" t="str">
        <f>IF(COUNT($J$2:$J$1501)&gt;=576,576,"")</f>
        <v/>
      </c>
      <c r="B577" s="8" t="str">
        <f t="shared" si="40"/>
        <v/>
      </c>
      <c r="C577" s="8" t="str">
        <f t="shared" si="41"/>
        <v/>
      </c>
      <c r="D577" s="8" t="str">
        <f t="shared" si="42"/>
        <v/>
      </c>
      <c r="F577" s="4" t="str">
        <f>IF(Jugadores!B577="","",Jugadores!B577)</f>
        <v/>
      </c>
      <c r="G577" s="4" t="str">
        <f>IF(Jugadores!B577="","",Jugadores!A577)</f>
        <v/>
      </c>
      <c r="H577" s="4" t="str">
        <f>IF(F577="","",SUMIF('Estadísticas Jugadores'!$F$2:$F$7001,F577,'Estadísticas Jugadores'!$I$2:$I$7001))</f>
        <v/>
      </c>
      <c r="I577" s="4" t="str">
        <f t="shared" si="43"/>
        <v/>
      </c>
      <c r="J577" s="4" t="str">
        <f t="shared" si="44"/>
        <v/>
      </c>
    </row>
    <row r="578" spans="1:10" ht="15" customHeight="1" x14ac:dyDescent="0.25">
      <c r="A578" s="8" t="str">
        <f>IF(COUNT($J$2:$J$1501)&gt;=577,577,"")</f>
        <v/>
      </c>
      <c r="B578" s="8" t="str">
        <f t="shared" ref="B578:B641" si="45">IF($A578="","",INDEX($F$2:$F$1501,MATCH($A578,$J$2:$J$1501,0)))</f>
        <v/>
      </c>
      <c r="C578" s="8" t="str">
        <f t="shared" ref="C578:C641" si="46">IF($A578="","",INDEX($G$2:$G$1501,MATCH($A578,$J$2:$J$1501,0)))</f>
        <v/>
      </c>
      <c r="D578" s="8" t="str">
        <f t="shared" ref="D578:D641" si="47">IF($A578="","",INDEX($H$2:$H$1501,MATCH($A578,$J$2:$J$1501,0)))</f>
        <v/>
      </c>
      <c r="F578" s="4" t="str">
        <f>IF(Jugadores!B578="","",Jugadores!B578)</f>
        <v/>
      </c>
      <c r="G578" s="4" t="str">
        <f>IF(Jugadores!B578="","",Jugadores!A578)</f>
        <v/>
      </c>
      <c r="H578" s="4" t="str">
        <f>IF(F578="","",SUMIF('Estadísticas Jugadores'!$F$2:$F$7001,F578,'Estadísticas Jugadores'!$I$2:$I$7001))</f>
        <v/>
      </c>
      <c r="I578" s="4" t="str">
        <f t="shared" ref="I578:I641" si="48">IF(F578="","",H578*1000-ROW()*0.0000001)</f>
        <v/>
      </c>
      <c r="J578" s="4" t="str">
        <f t="shared" ref="J578:J641" si="49">IF(F578="","",RANK(I578,$I$2:$I$1501))</f>
        <v/>
      </c>
    </row>
    <row r="579" spans="1:10" ht="15" customHeight="1" x14ac:dyDescent="0.25">
      <c r="A579" s="8" t="str">
        <f>IF(COUNT($J$2:$J$1501)&gt;=578,578,"")</f>
        <v/>
      </c>
      <c r="B579" s="8" t="str">
        <f t="shared" si="45"/>
        <v/>
      </c>
      <c r="C579" s="8" t="str">
        <f t="shared" si="46"/>
        <v/>
      </c>
      <c r="D579" s="8" t="str">
        <f t="shared" si="47"/>
        <v/>
      </c>
      <c r="F579" s="4" t="str">
        <f>IF(Jugadores!B579="","",Jugadores!B579)</f>
        <v/>
      </c>
      <c r="G579" s="4" t="str">
        <f>IF(Jugadores!B579="","",Jugadores!A579)</f>
        <v/>
      </c>
      <c r="H579" s="4" t="str">
        <f>IF(F579="","",SUMIF('Estadísticas Jugadores'!$F$2:$F$7001,F579,'Estadísticas Jugadores'!$I$2:$I$7001))</f>
        <v/>
      </c>
      <c r="I579" s="4" t="str">
        <f t="shared" si="48"/>
        <v/>
      </c>
      <c r="J579" s="4" t="str">
        <f t="shared" si="49"/>
        <v/>
      </c>
    </row>
    <row r="580" spans="1:10" ht="15" customHeight="1" x14ac:dyDescent="0.25">
      <c r="A580" s="8" t="str">
        <f>IF(COUNT($J$2:$J$1501)&gt;=579,579,"")</f>
        <v/>
      </c>
      <c r="B580" s="8" t="str">
        <f t="shared" si="45"/>
        <v/>
      </c>
      <c r="C580" s="8" t="str">
        <f t="shared" si="46"/>
        <v/>
      </c>
      <c r="D580" s="8" t="str">
        <f t="shared" si="47"/>
        <v/>
      </c>
      <c r="F580" s="4" t="str">
        <f>IF(Jugadores!B580="","",Jugadores!B580)</f>
        <v/>
      </c>
      <c r="G580" s="4" t="str">
        <f>IF(Jugadores!B580="","",Jugadores!A580)</f>
        <v/>
      </c>
      <c r="H580" s="4" t="str">
        <f>IF(F580="","",SUMIF('Estadísticas Jugadores'!$F$2:$F$7001,F580,'Estadísticas Jugadores'!$I$2:$I$7001))</f>
        <v/>
      </c>
      <c r="I580" s="4" t="str">
        <f t="shared" si="48"/>
        <v/>
      </c>
      <c r="J580" s="4" t="str">
        <f t="shared" si="49"/>
        <v/>
      </c>
    </row>
    <row r="581" spans="1:10" ht="15" customHeight="1" x14ac:dyDescent="0.25">
      <c r="A581" s="8" t="str">
        <f>IF(COUNT($J$2:$J$1501)&gt;=580,580,"")</f>
        <v/>
      </c>
      <c r="B581" s="8" t="str">
        <f t="shared" si="45"/>
        <v/>
      </c>
      <c r="C581" s="8" t="str">
        <f t="shared" si="46"/>
        <v/>
      </c>
      <c r="D581" s="8" t="str">
        <f t="shared" si="47"/>
        <v/>
      </c>
      <c r="F581" s="4" t="str">
        <f>IF(Jugadores!B581="","",Jugadores!B581)</f>
        <v/>
      </c>
      <c r="G581" s="4" t="str">
        <f>IF(Jugadores!B581="","",Jugadores!A581)</f>
        <v/>
      </c>
      <c r="H581" s="4" t="str">
        <f>IF(F581="","",SUMIF('Estadísticas Jugadores'!$F$2:$F$7001,F581,'Estadísticas Jugadores'!$I$2:$I$7001))</f>
        <v/>
      </c>
      <c r="I581" s="4" t="str">
        <f t="shared" si="48"/>
        <v/>
      </c>
      <c r="J581" s="4" t="str">
        <f t="shared" si="49"/>
        <v/>
      </c>
    </row>
    <row r="582" spans="1:10" ht="15" customHeight="1" x14ac:dyDescent="0.25">
      <c r="A582" s="8" t="str">
        <f>IF(COUNT($J$2:$J$1501)&gt;=581,581,"")</f>
        <v/>
      </c>
      <c r="B582" s="8" t="str">
        <f t="shared" si="45"/>
        <v/>
      </c>
      <c r="C582" s="8" t="str">
        <f t="shared" si="46"/>
        <v/>
      </c>
      <c r="D582" s="8" t="str">
        <f t="shared" si="47"/>
        <v/>
      </c>
      <c r="F582" s="4" t="str">
        <f>IF(Jugadores!B582="","",Jugadores!B582)</f>
        <v/>
      </c>
      <c r="G582" s="4" t="str">
        <f>IF(Jugadores!B582="","",Jugadores!A582)</f>
        <v/>
      </c>
      <c r="H582" s="4" t="str">
        <f>IF(F582="","",SUMIF('Estadísticas Jugadores'!$F$2:$F$7001,F582,'Estadísticas Jugadores'!$I$2:$I$7001))</f>
        <v/>
      </c>
      <c r="I582" s="4" t="str">
        <f t="shared" si="48"/>
        <v/>
      </c>
      <c r="J582" s="4" t="str">
        <f t="shared" si="49"/>
        <v/>
      </c>
    </row>
    <row r="583" spans="1:10" ht="15" customHeight="1" x14ac:dyDescent="0.25">
      <c r="A583" s="8" t="str">
        <f>IF(COUNT($J$2:$J$1501)&gt;=582,582,"")</f>
        <v/>
      </c>
      <c r="B583" s="8" t="str">
        <f t="shared" si="45"/>
        <v/>
      </c>
      <c r="C583" s="8" t="str">
        <f t="shared" si="46"/>
        <v/>
      </c>
      <c r="D583" s="8" t="str">
        <f t="shared" si="47"/>
        <v/>
      </c>
      <c r="F583" s="4" t="str">
        <f>IF(Jugadores!B583="","",Jugadores!B583)</f>
        <v/>
      </c>
      <c r="G583" s="4" t="str">
        <f>IF(Jugadores!B583="","",Jugadores!A583)</f>
        <v/>
      </c>
      <c r="H583" s="4" t="str">
        <f>IF(F583="","",SUMIF('Estadísticas Jugadores'!$F$2:$F$7001,F583,'Estadísticas Jugadores'!$I$2:$I$7001))</f>
        <v/>
      </c>
      <c r="I583" s="4" t="str">
        <f t="shared" si="48"/>
        <v/>
      </c>
      <c r="J583" s="4" t="str">
        <f t="shared" si="49"/>
        <v/>
      </c>
    </row>
    <row r="584" spans="1:10" ht="15" customHeight="1" x14ac:dyDescent="0.25">
      <c r="A584" s="8" t="str">
        <f>IF(COUNT($J$2:$J$1501)&gt;=583,583,"")</f>
        <v/>
      </c>
      <c r="B584" s="8" t="str">
        <f t="shared" si="45"/>
        <v/>
      </c>
      <c r="C584" s="8" t="str">
        <f t="shared" si="46"/>
        <v/>
      </c>
      <c r="D584" s="8" t="str">
        <f t="shared" si="47"/>
        <v/>
      </c>
      <c r="F584" s="4" t="str">
        <f>IF(Jugadores!B584="","",Jugadores!B584)</f>
        <v/>
      </c>
      <c r="G584" s="4" t="str">
        <f>IF(Jugadores!B584="","",Jugadores!A584)</f>
        <v/>
      </c>
      <c r="H584" s="4" t="str">
        <f>IF(F584="","",SUMIF('Estadísticas Jugadores'!$F$2:$F$7001,F584,'Estadísticas Jugadores'!$I$2:$I$7001))</f>
        <v/>
      </c>
      <c r="I584" s="4" t="str">
        <f t="shared" si="48"/>
        <v/>
      </c>
      <c r="J584" s="4" t="str">
        <f t="shared" si="49"/>
        <v/>
      </c>
    </row>
    <row r="585" spans="1:10" ht="15" customHeight="1" x14ac:dyDescent="0.25">
      <c r="A585" s="8" t="str">
        <f>IF(COUNT($J$2:$J$1501)&gt;=584,584,"")</f>
        <v/>
      </c>
      <c r="B585" s="8" t="str">
        <f t="shared" si="45"/>
        <v/>
      </c>
      <c r="C585" s="8" t="str">
        <f t="shared" si="46"/>
        <v/>
      </c>
      <c r="D585" s="8" t="str">
        <f t="shared" si="47"/>
        <v/>
      </c>
      <c r="F585" s="4" t="str">
        <f>IF(Jugadores!B585="","",Jugadores!B585)</f>
        <v/>
      </c>
      <c r="G585" s="4" t="str">
        <f>IF(Jugadores!B585="","",Jugadores!A585)</f>
        <v/>
      </c>
      <c r="H585" s="4" t="str">
        <f>IF(F585="","",SUMIF('Estadísticas Jugadores'!$F$2:$F$7001,F585,'Estadísticas Jugadores'!$I$2:$I$7001))</f>
        <v/>
      </c>
      <c r="I585" s="4" t="str">
        <f t="shared" si="48"/>
        <v/>
      </c>
      <c r="J585" s="4" t="str">
        <f t="shared" si="49"/>
        <v/>
      </c>
    </row>
    <row r="586" spans="1:10" ht="15" customHeight="1" x14ac:dyDescent="0.25">
      <c r="A586" s="8" t="str">
        <f>IF(COUNT($J$2:$J$1501)&gt;=585,585,"")</f>
        <v/>
      </c>
      <c r="B586" s="8" t="str">
        <f t="shared" si="45"/>
        <v/>
      </c>
      <c r="C586" s="8" t="str">
        <f t="shared" si="46"/>
        <v/>
      </c>
      <c r="D586" s="8" t="str">
        <f t="shared" si="47"/>
        <v/>
      </c>
      <c r="F586" s="4" t="str">
        <f>IF(Jugadores!B586="","",Jugadores!B586)</f>
        <v/>
      </c>
      <c r="G586" s="4" t="str">
        <f>IF(Jugadores!B586="","",Jugadores!A586)</f>
        <v/>
      </c>
      <c r="H586" s="4" t="str">
        <f>IF(F586="","",SUMIF('Estadísticas Jugadores'!$F$2:$F$7001,F586,'Estadísticas Jugadores'!$I$2:$I$7001))</f>
        <v/>
      </c>
      <c r="I586" s="4" t="str">
        <f t="shared" si="48"/>
        <v/>
      </c>
      <c r="J586" s="4" t="str">
        <f t="shared" si="49"/>
        <v/>
      </c>
    </row>
    <row r="587" spans="1:10" ht="15" customHeight="1" x14ac:dyDescent="0.25">
      <c r="A587" s="8" t="str">
        <f>IF(COUNT($J$2:$J$1501)&gt;=586,586,"")</f>
        <v/>
      </c>
      <c r="B587" s="8" t="str">
        <f t="shared" si="45"/>
        <v/>
      </c>
      <c r="C587" s="8" t="str">
        <f t="shared" si="46"/>
        <v/>
      </c>
      <c r="D587" s="8" t="str">
        <f t="shared" si="47"/>
        <v/>
      </c>
      <c r="F587" s="4" t="str">
        <f>IF(Jugadores!B587="","",Jugadores!B587)</f>
        <v/>
      </c>
      <c r="G587" s="4" t="str">
        <f>IF(Jugadores!B587="","",Jugadores!A587)</f>
        <v/>
      </c>
      <c r="H587" s="4" t="str">
        <f>IF(F587="","",SUMIF('Estadísticas Jugadores'!$F$2:$F$7001,F587,'Estadísticas Jugadores'!$I$2:$I$7001))</f>
        <v/>
      </c>
      <c r="I587" s="4" t="str">
        <f t="shared" si="48"/>
        <v/>
      </c>
      <c r="J587" s="4" t="str">
        <f t="shared" si="49"/>
        <v/>
      </c>
    </row>
    <row r="588" spans="1:10" ht="15" customHeight="1" x14ac:dyDescent="0.25">
      <c r="A588" s="8" t="str">
        <f>IF(COUNT($J$2:$J$1501)&gt;=587,587,"")</f>
        <v/>
      </c>
      <c r="B588" s="8" t="str">
        <f t="shared" si="45"/>
        <v/>
      </c>
      <c r="C588" s="8" t="str">
        <f t="shared" si="46"/>
        <v/>
      </c>
      <c r="D588" s="8" t="str">
        <f t="shared" si="47"/>
        <v/>
      </c>
      <c r="F588" s="4" t="str">
        <f>IF(Jugadores!B588="","",Jugadores!B588)</f>
        <v/>
      </c>
      <c r="G588" s="4" t="str">
        <f>IF(Jugadores!B588="","",Jugadores!A588)</f>
        <v/>
      </c>
      <c r="H588" s="4" t="str">
        <f>IF(F588="","",SUMIF('Estadísticas Jugadores'!$F$2:$F$7001,F588,'Estadísticas Jugadores'!$I$2:$I$7001))</f>
        <v/>
      </c>
      <c r="I588" s="4" t="str">
        <f t="shared" si="48"/>
        <v/>
      </c>
      <c r="J588" s="4" t="str">
        <f t="shared" si="49"/>
        <v/>
      </c>
    </row>
    <row r="589" spans="1:10" ht="15" customHeight="1" x14ac:dyDescent="0.25">
      <c r="A589" s="8" t="str">
        <f>IF(COUNT($J$2:$J$1501)&gt;=588,588,"")</f>
        <v/>
      </c>
      <c r="B589" s="8" t="str">
        <f t="shared" si="45"/>
        <v/>
      </c>
      <c r="C589" s="8" t="str">
        <f t="shared" si="46"/>
        <v/>
      </c>
      <c r="D589" s="8" t="str">
        <f t="shared" si="47"/>
        <v/>
      </c>
      <c r="F589" s="4" t="str">
        <f>IF(Jugadores!B589="","",Jugadores!B589)</f>
        <v/>
      </c>
      <c r="G589" s="4" t="str">
        <f>IF(Jugadores!B589="","",Jugadores!A589)</f>
        <v/>
      </c>
      <c r="H589" s="4" t="str">
        <f>IF(F589="","",SUMIF('Estadísticas Jugadores'!$F$2:$F$7001,F589,'Estadísticas Jugadores'!$I$2:$I$7001))</f>
        <v/>
      </c>
      <c r="I589" s="4" t="str">
        <f t="shared" si="48"/>
        <v/>
      </c>
      <c r="J589" s="4" t="str">
        <f t="shared" si="49"/>
        <v/>
      </c>
    </row>
    <row r="590" spans="1:10" ht="15" customHeight="1" x14ac:dyDescent="0.25">
      <c r="A590" s="8" t="str">
        <f>IF(COUNT($J$2:$J$1501)&gt;=589,589,"")</f>
        <v/>
      </c>
      <c r="B590" s="8" t="str">
        <f t="shared" si="45"/>
        <v/>
      </c>
      <c r="C590" s="8" t="str">
        <f t="shared" si="46"/>
        <v/>
      </c>
      <c r="D590" s="8" t="str">
        <f t="shared" si="47"/>
        <v/>
      </c>
      <c r="F590" s="4" t="str">
        <f>IF(Jugadores!B590="","",Jugadores!B590)</f>
        <v/>
      </c>
      <c r="G590" s="4" t="str">
        <f>IF(Jugadores!B590="","",Jugadores!A590)</f>
        <v/>
      </c>
      <c r="H590" s="4" t="str">
        <f>IF(F590="","",SUMIF('Estadísticas Jugadores'!$F$2:$F$7001,F590,'Estadísticas Jugadores'!$I$2:$I$7001))</f>
        <v/>
      </c>
      <c r="I590" s="4" t="str">
        <f t="shared" si="48"/>
        <v/>
      </c>
      <c r="J590" s="4" t="str">
        <f t="shared" si="49"/>
        <v/>
      </c>
    </row>
    <row r="591" spans="1:10" ht="15" customHeight="1" x14ac:dyDescent="0.25">
      <c r="A591" s="8" t="str">
        <f>IF(COUNT($J$2:$J$1501)&gt;=590,590,"")</f>
        <v/>
      </c>
      <c r="B591" s="8" t="str">
        <f t="shared" si="45"/>
        <v/>
      </c>
      <c r="C591" s="8" t="str">
        <f t="shared" si="46"/>
        <v/>
      </c>
      <c r="D591" s="8" t="str">
        <f t="shared" si="47"/>
        <v/>
      </c>
      <c r="F591" s="4" t="str">
        <f>IF(Jugadores!B591="","",Jugadores!B591)</f>
        <v/>
      </c>
      <c r="G591" s="4" t="str">
        <f>IF(Jugadores!B591="","",Jugadores!A591)</f>
        <v/>
      </c>
      <c r="H591" s="4" t="str">
        <f>IF(F591="","",SUMIF('Estadísticas Jugadores'!$F$2:$F$7001,F591,'Estadísticas Jugadores'!$I$2:$I$7001))</f>
        <v/>
      </c>
      <c r="I591" s="4" t="str">
        <f t="shared" si="48"/>
        <v/>
      </c>
      <c r="J591" s="4" t="str">
        <f t="shared" si="49"/>
        <v/>
      </c>
    </row>
    <row r="592" spans="1:10" ht="15" customHeight="1" x14ac:dyDescent="0.25">
      <c r="A592" s="8" t="str">
        <f>IF(COUNT($J$2:$J$1501)&gt;=591,591,"")</f>
        <v/>
      </c>
      <c r="B592" s="8" t="str">
        <f t="shared" si="45"/>
        <v/>
      </c>
      <c r="C592" s="8" t="str">
        <f t="shared" si="46"/>
        <v/>
      </c>
      <c r="D592" s="8" t="str">
        <f t="shared" si="47"/>
        <v/>
      </c>
      <c r="F592" s="4" t="str">
        <f>IF(Jugadores!B592="","",Jugadores!B592)</f>
        <v/>
      </c>
      <c r="G592" s="4" t="str">
        <f>IF(Jugadores!B592="","",Jugadores!A592)</f>
        <v/>
      </c>
      <c r="H592" s="4" t="str">
        <f>IF(F592="","",SUMIF('Estadísticas Jugadores'!$F$2:$F$7001,F592,'Estadísticas Jugadores'!$I$2:$I$7001))</f>
        <v/>
      </c>
      <c r="I592" s="4" t="str">
        <f t="shared" si="48"/>
        <v/>
      </c>
      <c r="J592" s="4" t="str">
        <f t="shared" si="49"/>
        <v/>
      </c>
    </row>
    <row r="593" spans="1:10" ht="15" customHeight="1" x14ac:dyDescent="0.25">
      <c r="A593" s="8" t="str">
        <f>IF(COUNT($J$2:$J$1501)&gt;=592,592,"")</f>
        <v/>
      </c>
      <c r="B593" s="8" t="str">
        <f t="shared" si="45"/>
        <v/>
      </c>
      <c r="C593" s="8" t="str">
        <f t="shared" si="46"/>
        <v/>
      </c>
      <c r="D593" s="8" t="str">
        <f t="shared" si="47"/>
        <v/>
      </c>
      <c r="F593" s="4" t="str">
        <f>IF(Jugadores!B593="","",Jugadores!B593)</f>
        <v/>
      </c>
      <c r="G593" s="4" t="str">
        <f>IF(Jugadores!B593="","",Jugadores!A593)</f>
        <v/>
      </c>
      <c r="H593" s="4" t="str">
        <f>IF(F593="","",SUMIF('Estadísticas Jugadores'!$F$2:$F$7001,F593,'Estadísticas Jugadores'!$I$2:$I$7001))</f>
        <v/>
      </c>
      <c r="I593" s="4" t="str">
        <f t="shared" si="48"/>
        <v/>
      </c>
      <c r="J593" s="4" t="str">
        <f t="shared" si="49"/>
        <v/>
      </c>
    </row>
    <row r="594" spans="1:10" ht="15" customHeight="1" x14ac:dyDescent="0.25">
      <c r="A594" s="8" t="str">
        <f>IF(COUNT($J$2:$J$1501)&gt;=593,593,"")</f>
        <v/>
      </c>
      <c r="B594" s="8" t="str">
        <f t="shared" si="45"/>
        <v/>
      </c>
      <c r="C594" s="8" t="str">
        <f t="shared" si="46"/>
        <v/>
      </c>
      <c r="D594" s="8" t="str">
        <f t="shared" si="47"/>
        <v/>
      </c>
      <c r="F594" s="4" t="str">
        <f>IF(Jugadores!B594="","",Jugadores!B594)</f>
        <v/>
      </c>
      <c r="G594" s="4" t="str">
        <f>IF(Jugadores!B594="","",Jugadores!A594)</f>
        <v/>
      </c>
      <c r="H594" s="4" t="str">
        <f>IF(F594="","",SUMIF('Estadísticas Jugadores'!$F$2:$F$7001,F594,'Estadísticas Jugadores'!$I$2:$I$7001))</f>
        <v/>
      </c>
      <c r="I594" s="4" t="str">
        <f t="shared" si="48"/>
        <v/>
      </c>
      <c r="J594" s="4" t="str">
        <f t="shared" si="49"/>
        <v/>
      </c>
    </row>
    <row r="595" spans="1:10" ht="15" customHeight="1" x14ac:dyDescent="0.25">
      <c r="A595" s="8" t="str">
        <f>IF(COUNT($J$2:$J$1501)&gt;=594,594,"")</f>
        <v/>
      </c>
      <c r="B595" s="8" t="str">
        <f t="shared" si="45"/>
        <v/>
      </c>
      <c r="C595" s="8" t="str">
        <f t="shared" si="46"/>
        <v/>
      </c>
      <c r="D595" s="8" t="str">
        <f t="shared" si="47"/>
        <v/>
      </c>
      <c r="F595" s="4" t="str">
        <f>IF(Jugadores!B595="","",Jugadores!B595)</f>
        <v/>
      </c>
      <c r="G595" s="4" t="str">
        <f>IF(Jugadores!B595="","",Jugadores!A595)</f>
        <v/>
      </c>
      <c r="H595" s="4" t="str">
        <f>IF(F595="","",SUMIF('Estadísticas Jugadores'!$F$2:$F$7001,F595,'Estadísticas Jugadores'!$I$2:$I$7001))</f>
        <v/>
      </c>
      <c r="I595" s="4" t="str">
        <f t="shared" si="48"/>
        <v/>
      </c>
      <c r="J595" s="4" t="str">
        <f t="shared" si="49"/>
        <v/>
      </c>
    </row>
    <row r="596" spans="1:10" ht="15" customHeight="1" x14ac:dyDescent="0.25">
      <c r="A596" s="8" t="str">
        <f>IF(COUNT($J$2:$J$1501)&gt;=595,595,"")</f>
        <v/>
      </c>
      <c r="B596" s="8" t="str">
        <f t="shared" si="45"/>
        <v/>
      </c>
      <c r="C596" s="8" t="str">
        <f t="shared" si="46"/>
        <v/>
      </c>
      <c r="D596" s="8" t="str">
        <f t="shared" si="47"/>
        <v/>
      </c>
      <c r="F596" s="4" t="str">
        <f>IF(Jugadores!B596="","",Jugadores!B596)</f>
        <v/>
      </c>
      <c r="G596" s="4" t="str">
        <f>IF(Jugadores!B596="","",Jugadores!A596)</f>
        <v/>
      </c>
      <c r="H596" s="4" t="str">
        <f>IF(F596="","",SUMIF('Estadísticas Jugadores'!$F$2:$F$7001,F596,'Estadísticas Jugadores'!$I$2:$I$7001))</f>
        <v/>
      </c>
      <c r="I596" s="4" t="str">
        <f t="shared" si="48"/>
        <v/>
      </c>
      <c r="J596" s="4" t="str">
        <f t="shared" si="49"/>
        <v/>
      </c>
    </row>
    <row r="597" spans="1:10" ht="15" customHeight="1" x14ac:dyDescent="0.25">
      <c r="A597" s="8" t="str">
        <f>IF(COUNT($J$2:$J$1501)&gt;=596,596,"")</f>
        <v/>
      </c>
      <c r="B597" s="8" t="str">
        <f t="shared" si="45"/>
        <v/>
      </c>
      <c r="C597" s="8" t="str">
        <f t="shared" si="46"/>
        <v/>
      </c>
      <c r="D597" s="8" t="str">
        <f t="shared" si="47"/>
        <v/>
      </c>
      <c r="F597" s="4" t="str">
        <f>IF(Jugadores!B597="","",Jugadores!B597)</f>
        <v/>
      </c>
      <c r="G597" s="4" t="str">
        <f>IF(Jugadores!B597="","",Jugadores!A597)</f>
        <v/>
      </c>
      <c r="H597" s="4" t="str">
        <f>IF(F597="","",SUMIF('Estadísticas Jugadores'!$F$2:$F$7001,F597,'Estadísticas Jugadores'!$I$2:$I$7001))</f>
        <v/>
      </c>
      <c r="I597" s="4" t="str">
        <f t="shared" si="48"/>
        <v/>
      </c>
      <c r="J597" s="4" t="str">
        <f t="shared" si="49"/>
        <v/>
      </c>
    </row>
    <row r="598" spans="1:10" ht="15" customHeight="1" x14ac:dyDescent="0.25">
      <c r="A598" s="8" t="str">
        <f>IF(COUNT($J$2:$J$1501)&gt;=597,597,"")</f>
        <v/>
      </c>
      <c r="B598" s="8" t="str">
        <f t="shared" si="45"/>
        <v/>
      </c>
      <c r="C598" s="8" t="str">
        <f t="shared" si="46"/>
        <v/>
      </c>
      <c r="D598" s="8" t="str">
        <f t="shared" si="47"/>
        <v/>
      </c>
      <c r="F598" s="4" t="str">
        <f>IF(Jugadores!B598="","",Jugadores!B598)</f>
        <v/>
      </c>
      <c r="G598" s="4" t="str">
        <f>IF(Jugadores!B598="","",Jugadores!A598)</f>
        <v/>
      </c>
      <c r="H598" s="4" t="str">
        <f>IF(F598="","",SUMIF('Estadísticas Jugadores'!$F$2:$F$7001,F598,'Estadísticas Jugadores'!$I$2:$I$7001))</f>
        <v/>
      </c>
      <c r="I598" s="4" t="str">
        <f t="shared" si="48"/>
        <v/>
      </c>
      <c r="J598" s="4" t="str">
        <f t="shared" si="49"/>
        <v/>
      </c>
    </row>
    <row r="599" spans="1:10" ht="15" customHeight="1" x14ac:dyDescent="0.25">
      <c r="A599" s="8" t="str">
        <f>IF(COUNT($J$2:$J$1501)&gt;=598,598,"")</f>
        <v/>
      </c>
      <c r="B599" s="8" t="str">
        <f t="shared" si="45"/>
        <v/>
      </c>
      <c r="C599" s="8" t="str">
        <f t="shared" si="46"/>
        <v/>
      </c>
      <c r="D599" s="8" t="str">
        <f t="shared" si="47"/>
        <v/>
      </c>
      <c r="F599" s="4" t="str">
        <f>IF(Jugadores!B599="","",Jugadores!B599)</f>
        <v/>
      </c>
      <c r="G599" s="4" t="str">
        <f>IF(Jugadores!B599="","",Jugadores!A599)</f>
        <v/>
      </c>
      <c r="H599" s="4" t="str">
        <f>IF(F599="","",SUMIF('Estadísticas Jugadores'!$F$2:$F$7001,F599,'Estadísticas Jugadores'!$I$2:$I$7001))</f>
        <v/>
      </c>
      <c r="I599" s="4" t="str">
        <f t="shared" si="48"/>
        <v/>
      </c>
      <c r="J599" s="4" t="str">
        <f t="shared" si="49"/>
        <v/>
      </c>
    </row>
    <row r="600" spans="1:10" ht="15" customHeight="1" x14ac:dyDescent="0.25">
      <c r="A600" s="8" t="str">
        <f>IF(COUNT($J$2:$J$1501)&gt;=599,599,"")</f>
        <v/>
      </c>
      <c r="B600" s="8" t="str">
        <f t="shared" si="45"/>
        <v/>
      </c>
      <c r="C600" s="8" t="str">
        <f t="shared" si="46"/>
        <v/>
      </c>
      <c r="D600" s="8" t="str">
        <f t="shared" si="47"/>
        <v/>
      </c>
      <c r="F600" s="4" t="str">
        <f>IF(Jugadores!B600="","",Jugadores!B600)</f>
        <v/>
      </c>
      <c r="G600" s="4" t="str">
        <f>IF(Jugadores!B600="","",Jugadores!A600)</f>
        <v/>
      </c>
      <c r="H600" s="4" t="str">
        <f>IF(F600="","",SUMIF('Estadísticas Jugadores'!$F$2:$F$7001,F600,'Estadísticas Jugadores'!$I$2:$I$7001))</f>
        <v/>
      </c>
      <c r="I600" s="4" t="str">
        <f t="shared" si="48"/>
        <v/>
      </c>
      <c r="J600" s="4" t="str">
        <f t="shared" si="49"/>
        <v/>
      </c>
    </row>
    <row r="601" spans="1:10" ht="15" customHeight="1" x14ac:dyDescent="0.25">
      <c r="A601" s="8" t="str">
        <f>IF(COUNT($J$2:$J$1501)&gt;=600,600,"")</f>
        <v/>
      </c>
      <c r="B601" s="8" t="str">
        <f t="shared" si="45"/>
        <v/>
      </c>
      <c r="C601" s="8" t="str">
        <f t="shared" si="46"/>
        <v/>
      </c>
      <c r="D601" s="8" t="str">
        <f t="shared" si="47"/>
        <v/>
      </c>
      <c r="F601" s="4" t="str">
        <f>IF(Jugadores!B601="","",Jugadores!B601)</f>
        <v/>
      </c>
      <c r="G601" s="4" t="str">
        <f>IF(Jugadores!B601="","",Jugadores!A601)</f>
        <v/>
      </c>
      <c r="H601" s="4" t="str">
        <f>IF(F601="","",SUMIF('Estadísticas Jugadores'!$F$2:$F$7001,F601,'Estadísticas Jugadores'!$I$2:$I$7001))</f>
        <v/>
      </c>
      <c r="I601" s="4" t="str">
        <f t="shared" si="48"/>
        <v/>
      </c>
      <c r="J601" s="4" t="str">
        <f t="shared" si="49"/>
        <v/>
      </c>
    </row>
    <row r="602" spans="1:10" ht="15" customHeight="1" x14ac:dyDescent="0.25">
      <c r="A602" s="8" t="str">
        <f>IF(COUNT($J$2:$J$1501)&gt;=601,601,"")</f>
        <v/>
      </c>
      <c r="B602" s="8" t="str">
        <f t="shared" si="45"/>
        <v/>
      </c>
      <c r="C602" s="8" t="str">
        <f t="shared" si="46"/>
        <v/>
      </c>
      <c r="D602" s="8" t="str">
        <f t="shared" si="47"/>
        <v/>
      </c>
      <c r="F602" s="4" t="str">
        <f>IF(Jugadores!B602="","",Jugadores!B602)</f>
        <v/>
      </c>
      <c r="G602" s="4" t="str">
        <f>IF(Jugadores!B602="","",Jugadores!A602)</f>
        <v/>
      </c>
      <c r="H602" s="4" t="str">
        <f>IF(F602="","",SUMIF('Estadísticas Jugadores'!$F$2:$F$7001,F602,'Estadísticas Jugadores'!$I$2:$I$7001))</f>
        <v/>
      </c>
      <c r="I602" s="4" t="str">
        <f t="shared" si="48"/>
        <v/>
      </c>
      <c r="J602" s="4" t="str">
        <f t="shared" si="49"/>
        <v/>
      </c>
    </row>
    <row r="603" spans="1:10" ht="15" customHeight="1" x14ac:dyDescent="0.25">
      <c r="A603" s="8" t="str">
        <f>IF(COUNT($J$2:$J$1501)&gt;=602,602,"")</f>
        <v/>
      </c>
      <c r="B603" s="8" t="str">
        <f t="shared" si="45"/>
        <v/>
      </c>
      <c r="C603" s="8" t="str">
        <f t="shared" si="46"/>
        <v/>
      </c>
      <c r="D603" s="8" t="str">
        <f t="shared" si="47"/>
        <v/>
      </c>
      <c r="F603" s="4" t="str">
        <f>IF(Jugadores!B603="","",Jugadores!B603)</f>
        <v/>
      </c>
      <c r="G603" s="4" t="str">
        <f>IF(Jugadores!B603="","",Jugadores!A603)</f>
        <v/>
      </c>
      <c r="H603" s="4" t="str">
        <f>IF(F603="","",SUMIF('Estadísticas Jugadores'!$F$2:$F$7001,F603,'Estadísticas Jugadores'!$I$2:$I$7001))</f>
        <v/>
      </c>
      <c r="I603" s="4" t="str">
        <f t="shared" si="48"/>
        <v/>
      </c>
      <c r="J603" s="4" t="str">
        <f t="shared" si="49"/>
        <v/>
      </c>
    </row>
    <row r="604" spans="1:10" ht="15" customHeight="1" x14ac:dyDescent="0.25">
      <c r="A604" s="8" t="str">
        <f>IF(COUNT($J$2:$J$1501)&gt;=603,603,"")</f>
        <v/>
      </c>
      <c r="B604" s="8" t="str">
        <f t="shared" si="45"/>
        <v/>
      </c>
      <c r="C604" s="8" t="str">
        <f t="shared" si="46"/>
        <v/>
      </c>
      <c r="D604" s="8" t="str">
        <f t="shared" si="47"/>
        <v/>
      </c>
      <c r="F604" s="4" t="str">
        <f>IF(Jugadores!B604="","",Jugadores!B604)</f>
        <v/>
      </c>
      <c r="G604" s="4" t="str">
        <f>IF(Jugadores!B604="","",Jugadores!A604)</f>
        <v/>
      </c>
      <c r="H604" s="4" t="str">
        <f>IF(F604="","",SUMIF('Estadísticas Jugadores'!$F$2:$F$7001,F604,'Estadísticas Jugadores'!$I$2:$I$7001))</f>
        <v/>
      </c>
      <c r="I604" s="4" t="str">
        <f t="shared" si="48"/>
        <v/>
      </c>
      <c r="J604" s="4" t="str">
        <f t="shared" si="49"/>
        <v/>
      </c>
    </row>
    <row r="605" spans="1:10" ht="15" customHeight="1" x14ac:dyDescent="0.25">
      <c r="A605" s="8" t="str">
        <f>IF(COUNT($J$2:$J$1501)&gt;=604,604,"")</f>
        <v/>
      </c>
      <c r="B605" s="8" t="str">
        <f t="shared" si="45"/>
        <v/>
      </c>
      <c r="C605" s="8" t="str">
        <f t="shared" si="46"/>
        <v/>
      </c>
      <c r="D605" s="8" t="str">
        <f t="shared" si="47"/>
        <v/>
      </c>
      <c r="F605" s="4" t="str">
        <f>IF(Jugadores!B605="","",Jugadores!B605)</f>
        <v/>
      </c>
      <c r="G605" s="4" t="str">
        <f>IF(Jugadores!B605="","",Jugadores!A605)</f>
        <v/>
      </c>
      <c r="H605" s="4" t="str">
        <f>IF(F605="","",SUMIF('Estadísticas Jugadores'!$F$2:$F$7001,F605,'Estadísticas Jugadores'!$I$2:$I$7001))</f>
        <v/>
      </c>
      <c r="I605" s="4" t="str">
        <f t="shared" si="48"/>
        <v/>
      </c>
      <c r="J605" s="4" t="str">
        <f t="shared" si="49"/>
        <v/>
      </c>
    </row>
    <row r="606" spans="1:10" ht="15" customHeight="1" x14ac:dyDescent="0.25">
      <c r="A606" s="8" t="str">
        <f>IF(COUNT($J$2:$J$1501)&gt;=605,605,"")</f>
        <v/>
      </c>
      <c r="B606" s="8" t="str">
        <f t="shared" si="45"/>
        <v/>
      </c>
      <c r="C606" s="8" t="str">
        <f t="shared" si="46"/>
        <v/>
      </c>
      <c r="D606" s="8" t="str">
        <f t="shared" si="47"/>
        <v/>
      </c>
      <c r="F606" s="4" t="str">
        <f>IF(Jugadores!B606="","",Jugadores!B606)</f>
        <v/>
      </c>
      <c r="G606" s="4" t="str">
        <f>IF(Jugadores!B606="","",Jugadores!A606)</f>
        <v/>
      </c>
      <c r="H606" s="4" t="str">
        <f>IF(F606="","",SUMIF('Estadísticas Jugadores'!$F$2:$F$7001,F606,'Estadísticas Jugadores'!$I$2:$I$7001))</f>
        <v/>
      </c>
      <c r="I606" s="4" t="str">
        <f t="shared" si="48"/>
        <v/>
      </c>
      <c r="J606" s="4" t="str">
        <f t="shared" si="49"/>
        <v/>
      </c>
    </row>
    <row r="607" spans="1:10" ht="15" customHeight="1" x14ac:dyDescent="0.25">
      <c r="A607" s="8" t="str">
        <f>IF(COUNT($J$2:$J$1501)&gt;=606,606,"")</f>
        <v/>
      </c>
      <c r="B607" s="8" t="str">
        <f t="shared" si="45"/>
        <v/>
      </c>
      <c r="C607" s="8" t="str">
        <f t="shared" si="46"/>
        <v/>
      </c>
      <c r="D607" s="8" t="str">
        <f t="shared" si="47"/>
        <v/>
      </c>
      <c r="F607" s="4" t="str">
        <f>IF(Jugadores!B607="","",Jugadores!B607)</f>
        <v/>
      </c>
      <c r="G607" s="4" t="str">
        <f>IF(Jugadores!B607="","",Jugadores!A607)</f>
        <v/>
      </c>
      <c r="H607" s="4" t="str">
        <f>IF(F607="","",SUMIF('Estadísticas Jugadores'!$F$2:$F$7001,F607,'Estadísticas Jugadores'!$I$2:$I$7001))</f>
        <v/>
      </c>
      <c r="I607" s="4" t="str">
        <f t="shared" si="48"/>
        <v/>
      </c>
      <c r="J607" s="4" t="str">
        <f t="shared" si="49"/>
        <v/>
      </c>
    </row>
    <row r="608" spans="1:10" ht="15" customHeight="1" x14ac:dyDescent="0.25">
      <c r="A608" s="8" t="str">
        <f>IF(COUNT($J$2:$J$1501)&gt;=607,607,"")</f>
        <v/>
      </c>
      <c r="B608" s="8" t="str">
        <f t="shared" si="45"/>
        <v/>
      </c>
      <c r="C608" s="8" t="str">
        <f t="shared" si="46"/>
        <v/>
      </c>
      <c r="D608" s="8" t="str">
        <f t="shared" si="47"/>
        <v/>
      </c>
      <c r="F608" s="4" t="str">
        <f>IF(Jugadores!B608="","",Jugadores!B608)</f>
        <v/>
      </c>
      <c r="G608" s="4" t="str">
        <f>IF(Jugadores!B608="","",Jugadores!A608)</f>
        <v/>
      </c>
      <c r="H608" s="4" t="str">
        <f>IF(F608="","",SUMIF('Estadísticas Jugadores'!$F$2:$F$7001,F608,'Estadísticas Jugadores'!$I$2:$I$7001))</f>
        <v/>
      </c>
      <c r="I608" s="4" t="str">
        <f t="shared" si="48"/>
        <v/>
      </c>
      <c r="J608" s="4" t="str">
        <f t="shared" si="49"/>
        <v/>
      </c>
    </row>
    <row r="609" spans="1:10" ht="15" customHeight="1" x14ac:dyDescent="0.25">
      <c r="A609" s="8" t="str">
        <f>IF(COUNT($J$2:$J$1501)&gt;=608,608,"")</f>
        <v/>
      </c>
      <c r="B609" s="8" t="str">
        <f t="shared" si="45"/>
        <v/>
      </c>
      <c r="C609" s="8" t="str">
        <f t="shared" si="46"/>
        <v/>
      </c>
      <c r="D609" s="8" t="str">
        <f t="shared" si="47"/>
        <v/>
      </c>
      <c r="F609" s="4" t="str">
        <f>IF(Jugadores!B609="","",Jugadores!B609)</f>
        <v/>
      </c>
      <c r="G609" s="4" t="str">
        <f>IF(Jugadores!B609="","",Jugadores!A609)</f>
        <v/>
      </c>
      <c r="H609" s="4" t="str">
        <f>IF(F609="","",SUMIF('Estadísticas Jugadores'!$F$2:$F$7001,F609,'Estadísticas Jugadores'!$I$2:$I$7001))</f>
        <v/>
      </c>
      <c r="I609" s="4" t="str">
        <f t="shared" si="48"/>
        <v/>
      </c>
      <c r="J609" s="4" t="str">
        <f t="shared" si="49"/>
        <v/>
      </c>
    </row>
    <row r="610" spans="1:10" ht="15" customHeight="1" x14ac:dyDescent="0.25">
      <c r="A610" s="8" t="str">
        <f>IF(COUNT($J$2:$J$1501)&gt;=609,609,"")</f>
        <v/>
      </c>
      <c r="B610" s="8" t="str">
        <f t="shared" si="45"/>
        <v/>
      </c>
      <c r="C610" s="8" t="str">
        <f t="shared" si="46"/>
        <v/>
      </c>
      <c r="D610" s="8" t="str">
        <f t="shared" si="47"/>
        <v/>
      </c>
      <c r="F610" s="4" t="str">
        <f>IF(Jugadores!B610="","",Jugadores!B610)</f>
        <v/>
      </c>
      <c r="G610" s="4" t="str">
        <f>IF(Jugadores!B610="","",Jugadores!A610)</f>
        <v/>
      </c>
      <c r="H610" s="4" t="str">
        <f>IF(F610="","",SUMIF('Estadísticas Jugadores'!$F$2:$F$7001,F610,'Estadísticas Jugadores'!$I$2:$I$7001))</f>
        <v/>
      </c>
      <c r="I610" s="4" t="str">
        <f t="shared" si="48"/>
        <v/>
      </c>
      <c r="J610" s="4" t="str">
        <f t="shared" si="49"/>
        <v/>
      </c>
    </row>
    <row r="611" spans="1:10" ht="15" customHeight="1" x14ac:dyDescent="0.25">
      <c r="A611" s="8" t="str">
        <f>IF(COUNT($J$2:$J$1501)&gt;=610,610,"")</f>
        <v/>
      </c>
      <c r="B611" s="8" t="str">
        <f t="shared" si="45"/>
        <v/>
      </c>
      <c r="C611" s="8" t="str">
        <f t="shared" si="46"/>
        <v/>
      </c>
      <c r="D611" s="8" t="str">
        <f t="shared" si="47"/>
        <v/>
      </c>
      <c r="F611" s="4" t="str">
        <f>IF(Jugadores!B611="","",Jugadores!B611)</f>
        <v/>
      </c>
      <c r="G611" s="4" t="str">
        <f>IF(Jugadores!B611="","",Jugadores!A611)</f>
        <v/>
      </c>
      <c r="H611" s="4" t="str">
        <f>IF(F611="","",SUMIF('Estadísticas Jugadores'!$F$2:$F$7001,F611,'Estadísticas Jugadores'!$I$2:$I$7001))</f>
        <v/>
      </c>
      <c r="I611" s="4" t="str">
        <f t="shared" si="48"/>
        <v/>
      </c>
      <c r="J611" s="4" t="str">
        <f t="shared" si="49"/>
        <v/>
      </c>
    </row>
    <row r="612" spans="1:10" ht="15" customHeight="1" x14ac:dyDescent="0.25">
      <c r="A612" s="8" t="str">
        <f>IF(COUNT($J$2:$J$1501)&gt;=611,611,"")</f>
        <v/>
      </c>
      <c r="B612" s="8" t="str">
        <f t="shared" si="45"/>
        <v/>
      </c>
      <c r="C612" s="8" t="str">
        <f t="shared" si="46"/>
        <v/>
      </c>
      <c r="D612" s="8" t="str">
        <f t="shared" si="47"/>
        <v/>
      </c>
      <c r="F612" s="4" t="str">
        <f>IF(Jugadores!B612="","",Jugadores!B612)</f>
        <v/>
      </c>
      <c r="G612" s="4" t="str">
        <f>IF(Jugadores!B612="","",Jugadores!A612)</f>
        <v/>
      </c>
      <c r="H612" s="4" t="str">
        <f>IF(F612="","",SUMIF('Estadísticas Jugadores'!$F$2:$F$7001,F612,'Estadísticas Jugadores'!$I$2:$I$7001))</f>
        <v/>
      </c>
      <c r="I612" s="4" t="str">
        <f t="shared" si="48"/>
        <v/>
      </c>
      <c r="J612" s="4" t="str">
        <f t="shared" si="49"/>
        <v/>
      </c>
    </row>
    <row r="613" spans="1:10" ht="15" customHeight="1" x14ac:dyDescent="0.25">
      <c r="A613" s="8" t="str">
        <f>IF(COUNT($J$2:$J$1501)&gt;=612,612,"")</f>
        <v/>
      </c>
      <c r="B613" s="8" t="str">
        <f t="shared" si="45"/>
        <v/>
      </c>
      <c r="C613" s="8" t="str">
        <f t="shared" si="46"/>
        <v/>
      </c>
      <c r="D613" s="8" t="str">
        <f t="shared" si="47"/>
        <v/>
      </c>
      <c r="F613" s="4" t="str">
        <f>IF(Jugadores!B613="","",Jugadores!B613)</f>
        <v/>
      </c>
      <c r="G613" s="4" t="str">
        <f>IF(Jugadores!B613="","",Jugadores!A613)</f>
        <v/>
      </c>
      <c r="H613" s="4" t="str">
        <f>IF(F613="","",SUMIF('Estadísticas Jugadores'!$F$2:$F$7001,F613,'Estadísticas Jugadores'!$I$2:$I$7001))</f>
        <v/>
      </c>
      <c r="I613" s="4" t="str">
        <f t="shared" si="48"/>
        <v/>
      </c>
      <c r="J613" s="4" t="str">
        <f t="shared" si="49"/>
        <v/>
      </c>
    </row>
    <row r="614" spans="1:10" ht="15" customHeight="1" x14ac:dyDescent="0.25">
      <c r="A614" s="8" t="str">
        <f>IF(COUNT($J$2:$J$1501)&gt;=613,613,"")</f>
        <v/>
      </c>
      <c r="B614" s="8" t="str">
        <f t="shared" si="45"/>
        <v/>
      </c>
      <c r="C614" s="8" t="str">
        <f t="shared" si="46"/>
        <v/>
      </c>
      <c r="D614" s="8" t="str">
        <f t="shared" si="47"/>
        <v/>
      </c>
      <c r="F614" s="4" t="str">
        <f>IF(Jugadores!B614="","",Jugadores!B614)</f>
        <v/>
      </c>
      <c r="G614" s="4" t="str">
        <f>IF(Jugadores!B614="","",Jugadores!A614)</f>
        <v/>
      </c>
      <c r="H614" s="4" t="str">
        <f>IF(F614="","",SUMIF('Estadísticas Jugadores'!$F$2:$F$7001,F614,'Estadísticas Jugadores'!$I$2:$I$7001))</f>
        <v/>
      </c>
      <c r="I614" s="4" t="str">
        <f t="shared" si="48"/>
        <v/>
      </c>
      <c r="J614" s="4" t="str">
        <f t="shared" si="49"/>
        <v/>
      </c>
    </row>
    <row r="615" spans="1:10" ht="15" customHeight="1" x14ac:dyDescent="0.25">
      <c r="A615" s="8" t="str">
        <f>IF(COUNT($J$2:$J$1501)&gt;=614,614,"")</f>
        <v/>
      </c>
      <c r="B615" s="8" t="str">
        <f t="shared" si="45"/>
        <v/>
      </c>
      <c r="C615" s="8" t="str">
        <f t="shared" si="46"/>
        <v/>
      </c>
      <c r="D615" s="8" t="str">
        <f t="shared" si="47"/>
        <v/>
      </c>
      <c r="F615" s="4" t="str">
        <f>IF(Jugadores!B615="","",Jugadores!B615)</f>
        <v/>
      </c>
      <c r="G615" s="4" t="str">
        <f>IF(Jugadores!B615="","",Jugadores!A615)</f>
        <v/>
      </c>
      <c r="H615" s="4" t="str">
        <f>IF(F615="","",SUMIF('Estadísticas Jugadores'!$F$2:$F$7001,F615,'Estadísticas Jugadores'!$I$2:$I$7001))</f>
        <v/>
      </c>
      <c r="I615" s="4" t="str">
        <f t="shared" si="48"/>
        <v/>
      </c>
      <c r="J615" s="4" t="str">
        <f t="shared" si="49"/>
        <v/>
      </c>
    </row>
    <row r="616" spans="1:10" ht="15" customHeight="1" x14ac:dyDescent="0.25">
      <c r="A616" s="8" t="str">
        <f>IF(COUNT($J$2:$J$1501)&gt;=615,615,"")</f>
        <v/>
      </c>
      <c r="B616" s="8" t="str">
        <f t="shared" si="45"/>
        <v/>
      </c>
      <c r="C616" s="8" t="str">
        <f t="shared" si="46"/>
        <v/>
      </c>
      <c r="D616" s="8" t="str">
        <f t="shared" si="47"/>
        <v/>
      </c>
      <c r="F616" s="4" t="str">
        <f>IF(Jugadores!B616="","",Jugadores!B616)</f>
        <v/>
      </c>
      <c r="G616" s="4" t="str">
        <f>IF(Jugadores!B616="","",Jugadores!A616)</f>
        <v/>
      </c>
      <c r="H616" s="4" t="str">
        <f>IF(F616="","",SUMIF('Estadísticas Jugadores'!$F$2:$F$7001,F616,'Estadísticas Jugadores'!$I$2:$I$7001))</f>
        <v/>
      </c>
      <c r="I616" s="4" t="str">
        <f t="shared" si="48"/>
        <v/>
      </c>
      <c r="J616" s="4" t="str">
        <f t="shared" si="49"/>
        <v/>
      </c>
    </row>
    <row r="617" spans="1:10" ht="15" customHeight="1" x14ac:dyDescent="0.25">
      <c r="A617" s="8" t="str">
        <f>IF(COUNT($J$2:$J$1501)&gt;=616,616,"")</f>
        <v/>
      </c>
      <c r="B617" s="8" t="str">
        <f t="shared" si="45"/>
        <v/>
      </c>
      <c r="C617" s="8" t="str">
        <f t="shared" si="46"/>
        <v/>
      </c>
      <c r="D617" s="8" t="str">
        <f t="shared" si="47"/>
        <v/>
      </c>
      <c r="F617" s="4" t="str">
        <f>IF(Jugadores!B617="","",Jugadores!B617)</f>
        <v/>
      </c>
      <c r="G617" s="4" t="str">
        <f>IF(Jugadores!B617="","",Jugadores!A617)</f>
        <v/>
      </c>
      <c r="H617" s="4" t="str">
        <f>IF(F617="","",SUMIF('Estadísticas Jugadores'!$F$2:$F$7001,F617,'Estadísticas Jugadores'!$I$2:$I$7001))</f>
        <v/>
      </c>
      <c r="I617" s="4" t="str">
        <f t="shared" si="48"/>
        <v/>
      </c>
      <c r="J617" s="4" t="str">
        <f t="shared" si="49"/>
        <v/>
      </c>
    </row>
    <row r="618" spans="1:10" ht="15" customHeight="1" x14ac:dyDescent="0.25">
      <c r="A618" s="8" t="str">
        <f>IF(COUNT($J$2:$J$1501)&gt;=617,617,"")</f>
        <v/>
      </c>
      <c r="B618" s="8" t="str">
        <f t="shared" si="45"/>
        <v/>
      </c>
      <c r="C618" s="8" t="str">
        <f t="shared" si="46"/>
        <v/>
      </c>
      <c r="D618" s="8" t="str">
        <f t="shared" si="47"/>
        <v/>
      </c>
      <c r="F618" s="4" t="str">
        <f>IF(Jugadores!B618="","",Jugadores!B618)</f>
        <v/>
      </c>
      <c r="G618" s="4" t="str">
        <f>IF(Jugadores!B618="","",Jugadores!A618)</f>
        <v/>
      </c>
      <c r="H618" s="4" t="str">
        <f>IF(F618="","",SUMIF('Estadísticas Jugadores'!$F$2:$F$7001,F618,'Estadísticas Jugadores'!$I$2:$I$7001))</f>
        <v/>
      </c>
      <c r="I618" s="4" t="str">
        <f t="shared" si="48"/>
        <v/>
      </c>
      <c r="J618" s="4" t="str">
        <f t="shared" si="49"/>
        <v/>
      </c>
    </row>
    <row r="619" spans="1:10" ht="15" customHeight="1" x14ac:dyDescent="0.25">
      <c r="A619" s="8" t="str">
        <f>IF(COUNT($J$2:$J$1501)&gt;=618,618,"")</f>
        <v/>
      </c>
      <c r="B619" s="8" t="str">
        <f t="shared" si="45"/>
        <v/>
      </c>
      <c r="C619" s="8" t="str">
        <f t="shared" si="46"/>
        <v/>
      </c>
      <c r="D619" s="8" t="str">
        <f t="shared" si="47"/>
        <v/>
      </c>
      <c r="F619" s="4" t="str">
        <f>IF(Jugadores!B619="","",Jugadores!B619)</f>
        <v/>
      </c>
      <c r="G619" s="4" t="str">
        <f>IF(Jugadores!B619="","",Jugadores!A619)</f>
        <v/>
      </c>
      <c r="H619" s="4" t="str">
        <f>IF(F619="","",SUMIF('Estadísticas Jugadores'!$F$2:$F$7001,F619,'Estadísticas Jugadores'!$I$2:$I$7001))</f>
        <v/>
      </c>
      <c r="I619" s="4" t="str">
        <f t="shared" si="48"/>
        <v/>
      </c>
      <c r="J619" s="4" t="str">
        <f t="shared" si="49"/>
        <v/>
      </c>
    </row>
    <row r="620" spans="1:10" ht="15" customHeight="1" x14ac:dyDescent="0.25">
      <c r="A620" s="8" t="str">
        <f>IF(COUNT($J$2:$J$1501)&gt;=619,619,"")</f>
        <v/>
      </c>
      <c r="B620" s="8" t="str">
        <f t="shared" si="45"/>
        <v/>
      </c>
      <c r="C620" s="8" t="str">
        <f t="shared" si="46"/>
        <v/>
      </c>
      <c r="D620" s="8" t="str">
        <f t="shared" si="47"/>
        <v/>
      </c>
      <c r="F620" s="4" t="str">
        <f>IF(Jugadores!B620="","",Jugadores!B620)</f>
        <v/>
      </c>
      <c r="G620" s="4" t="str">
        <f>IF(Jugadores!B620="","",Jugadores!A620)</f>
        <v/>
      </c>
      <c r="H620" s="4" t="str">
        <f>IF(F620="","",SUMIF('Estadísticas Jugadores'!$F$2:$F$7001,F620,'Estadísticas Jugadores'!$I$2:$I$7001))</f>
        <v/>
      </c>
      <c r="I620" s="4" t="str">
        <f t="shared" si="48"/>
        <v/>
      </c>
      <c r="J620" s="4" t="str">
        <f t="shared" si="49"/>
        <v/>
      </c>
    </row>
    <row r="621" spans="1:10" ht="15" customHeight="1" x14ac:dyDescent="0.25">
      <c r="A621" s="8" t="str">
        <f>IF(COUNT($J$2:$J$1501)&gt;=620,620,"")</f>
        <v/>
      </c>
      <c r="B621" s="8" t="str">
        <f t="shared" si="45"/>
        <v/>
      </c>
      <c r="C621" s="8" t="str">
        <f t="shared" si="46"/>
        <v/>
      </c>
      <c r="D621" s="8" t="str">
        <f t="shared" si="47"/>
        <v/>
      </c>
      <c r="F621" s="4" t="str">
        <f>IF(Jugadores!B621="","",Jugadores!B621)</f>
        <v/>
      </c>
      <c r="G621" s="4" t="str">
        <f>IF(Jugadores!B621="","",Jugadores!A621)</f>
        <v/>
      </c>
      <c r="H621" s="4" t="str">
        <f>IF(F621="","",SUMIF('Estadísticas Jugadores'!$F$2:$F$7001,F621,'Estadísticas Jugadores'!$I$2:$I$7001))</f>
        <v/>
      </c>
      <c r="I621" s="4" t="str">
        <f t="shared" si="48"/>
        <v/>
      </c>
      <c r="J621" s="4" t="str">
        <f t="shared" si="49"/>
        <v/>
      </c>
    </row>
    <row r="622" spans="1:10" ht="15" customHeight="1" x14ac:dyDescent="0.25">
      <c r="A622" s="8" t="str">
        <f>IF(COUNT($J$2:$J$1501)&gt;=621,621,"")</f>
        <v/>
      </c>
      <c r="B622" s="8" t="str">
        <f t="shared" si="45"/>
        <v/>
      </c>
      <c r="C622" s="8" t="str">
        <f t="shared" si="46"/>
        <v/>
      </c>
      <c r="D622" s="8" t="str">
        <f t="shared" si="47"/>
        <v/>
      </c>
      <c r="F622" s="4" t="str">
        <f>IF(Jugadores!B622="","",Jugadores!B622)</f>
        <v/>
      </c>
      <c r="G622" s="4" t="str">
        <f>IF(Jugadores!B622="","",Jugadores!A622)</f>
        <v/>
      </c>
      <c r="H622" s="4" t="str">
        <f>IF(F622="","",SUMIF('Estadísticas Jugadores'!$F$2:$F$7001,F622,'Estadísticas Jugadores'!$I$2:$I$7001))</f>
        <v/>
      </c>
      <c r="I622" s="4" t="str">
        <f t="shared" si="48"/>
        <v/>
      </c>
      <c r="J622" s="4" t="str">
        <f t="shared" si="49"/>
        <v/>
      </c>
    </row>
    <row r="623" spans="1:10" ht="15" customHeight="1" x14ac:dyDescent="0.25">
      <c r="A623" s="8" t="str">
        <f>IF(COUNT($J$2:$J$1501)&gt;=622,622,"")</f>
        <v/>
      </c>
      <c r="B623" s="8" t="str">
        <f t="shared" si="45"/>
        <v/>
      </c>
      <c r="C623" s="8" t="str">
        <f t="shared" si="46"/>
        <v/>
      </c>
      <c r="D623" s="8" t="str">
        <f t="shared" si="47"/>
        <v/>
      </c>
      <c r="F623" s="4" t="str">
        <f>IF(Jugadores!B623="","",Jugadores!B623)</f>
        <v/>
      </c>
      <c r="G623" s="4" t="str">
        <f>IF(Jugadores!B623="","",Jugadores!A623)</f>
        <v/>
      </c>
      <c r="H623" s="4" t="str">
        <f>IF(F623="","",SUMIF('Estadísticas Jugadores'!$F$2:$F$7001,F623,'Estadísticas Jugadores'!$I$2:$I$7001))</f>
        <v/>
      </c>
      <c r="I623" s="4" t="str">
        <f t="shared" si="48"/>
        <v/>
      </c>
      <c r="J623" s="4" t="str">
        <f t="shared" si="49"/>
        <v/>
      </c>
    </row>
    <row r="624" spans="1:10" ht="15" customHeight="1" x14ac:dyDescent="0.25">
      <c r="A624" s="8" t="str">
        <f>IF(COUNT($J$2:$J$1501)&gt;=623,623,"")</f>
        <v/>
      </c>
      <c r="B624" s="8" t="str">
        <f t="shared" si="45"/>
        <v/>
      </c>
      <c r="C624" s="8" t="str">
        <f t="shared" si="46"/>
        <v/>
      </c>
      <c r="D624" s="8" t="str">
        <f t="shared" si="47"/>
        <v/>
      </c>
      <c r="F624" s="4" t="str">
        <f>IF(Jugadores!B624="","",Jugadores!B624)</f>
        <v/>
      </c>
      <c r="G624" s="4" t="str">
        <f>IF(Jugadores!B624="","",Jugadores!A624)</f>
        <v/>
      </c>
      <c r="H624" s="4" t="str">
        <f>IF(F624="","",SUMIF('Estadísticas Jugadores'!$F$2:$F$7001,F624,'Estadísticas Jugadores'!$I$2:$I$7001))</f>
        <v/>
      </c>
      <c r="I624" s="4" t="str">
        <f t="shared" si="48"/>
        <v/>
      </c>
      <c r="J624" s="4" t="str">
        <f t="shared" si="49"/>
        <v/>
      </c>
    </row>
    <row r="625" spans="1:10" ht="15" customHeight="1" x14ac:dyDescent="0.25">
      <c r="A625" s="8" t="str">
        <f>IF(COUNT($J$2:$J$1501)&gt;=624,624,"")</f>
        <v/>
      </c>
      <c r="B625" s="8" t="str">
        <f t="shared" si="45"/>
        <v/>
      </c>
      <c r="C625" s="8" t="str">
        <f t="shared" si="46"/>
        <v/>
      </c>
      <c r="D625" s="8" t="str">
        <f t="shared" si="47"/>
        <v/>
      </c>
      <c r="F625" s="4" t="str">
        <f>IF(Jugadores!B625="","",Jugadores!B625)</f>
        <v/>
      </c>
      <c r="G625" s="4" t="str">
        <f>IF(Jugadores!B625="","",Jugadores!A625)</f>
        <v/>
      </c>
      <c r="H625" s="4" t="str">
        <f>IF(F625="","",SUMIF('Estadísticas Jugadores'!$F$2:$F$7001,F625,'Estadísticas Jugadores'!$I$2:$I$7001))</f>
        <v/>
      </c>
      <c r="I625" s="4" t="str">
        <f t="shared" si="48"/>
        <v/>
      </c>
      <c r="J625" s="4" t="str">
        <f t="shared" si="49"/>
        <v/>
      </c>
    </row>
    <row r="626" spans="1:10" ht="15" customHeight="1" x14ac:dyDescent="0.25">
      <c r="A626" s="8" t="str">
        <f>IF(COUNT($J$2:$J$1501)&gt;=625,625,"")</f>
        <v/>
      </c>
      <c r="B626" s="8" t="str">
        <f t="shared" si="45"/>
        <v/>
      </c>
      <c r="C626" s="8" t="str">
        <f t="shared" si="46"/>
        <v/>
      </c>
      <c r="D626" s="8" t="str">
        <f t="shared" si="47"/>
        <v/>
      </c>
      <c r="F626" s="4" t="str">
        <f>IF(Jugadores!B626="","",Jugadores!B626)</f>
        <v/>
      </c>
      <c r="G626" s="4" t="str">
        <f>IF(Jugadores!B626="","",Jugadores!A626)</f>
        <v/>
      </c>
      <c r="H626" s="4" t="str">
        <f>IF(F626="","",SUMIF('Estadísticas Jugadores'!$F$2:$F$7001,F626,'Estadísticas Jugadores'!$I$2:$I$7001))</f>
        <v/>
      </c>
      <c r="I626" s="4" t="str">
        <f t="shared" si="48"/>
        <v/>
      </c>
      <c r="J626" s="4" t="str">
        <f t="shared" si="49"/>
        <v/>
      </c>
    </row>
    <row r="627" spans="1:10" ht="15" customHeight="1" x14ac:dyDescent="0.25">
      <c r="A627" s="8" t="str">
        <f>IF(COUNT($J$2:$J$1501)&gt;=626,626,"")</f>
        <v/>
      </c>
      <c r="B627" s="8" t="str">
        <f t="shared" si="45"/>
        <v/>
      </c>
      <c r="C627" s="8" t="str">
        <f t="shared" si="46"/>
        <v/>
      </c>
      <c r="D627" s="8" t="str">
        <f t="shared" si="47"/>
        <v/>
      </c>
      <c r="F627" s="4" t="str">
        <f>IF(Jugadores!B627="","",Jugadores!B627)</f>
        <v/>
      </c>
      <c r="G627" s="4" t="str">
        <f>IF(Jugadores!B627="","",Jugadores!A627)</f>
        <v/>
      </c>
      <c r="H627" s="4" t="str">
        <f>IF(F627="","",SUMIF('Estadísticas Jugadores'!$F$2:$F$7001,F627,'Estadísticas Jugadores'!$I$2:$I$7001))</f>
        <v/>
      </c>
      <c r="I627" s="4" t="str">
        <f t="shared" si="48"/>
        <v/>
      </c>
      <c r="J627" s="4" t="str">
        <f t="shared" si="49"/>
        <v/>
      </c>
    </row>
    <row r="628" spans="1:10" ht="15" customHeight="1" x14ac:dyDescent="0.25">
      <c r="A628" s="8" t="str">
        <f>IF(COUNT($J$2:$J$1501)&gt;=627,627,"")</f>
        <v/>
      </c>
      <c r="B628" s="8" t="str">
        <f t="shared" si="45"/>
        <v/>
      </c>
      <c r="C628" s="8" t="str">
        <f t="shared" si="46"/>
        <v/>
      </c>
      <c r="D628" s="8" t="str">
        <f t="shared" si="47"/>
        <v/>
      </c>
      <c r="F628" s="4" t="str">
        <f>IF(Jugadores!B628="","",Jugadores!B628)</f>
        <v/>
      </c>
      <c r="G628" s="4" t="str">
        <f>IF(Jugadores!B628="","",Jugadores!A628)</f>
        <v/>
      </c>
      <c r="H628" s="4" t="str">
        <f>IF(F628="","",SUMIF('Estadísticas Jugadores'!$F$2:$F$7001,F628,'Estadísticas Jugadores'!$I$2:$I$7001))</f>
        <v/>
      </c>
      <c r="I628" s="4" t="str">
        <f t="shared" si="48"/>
        <v/>
      </c>
      <c r="J628" s="4" t="str">
        <f t="shared" si="49"/>
        <v/>
      </c>
    </row>
    <row r="629" spans="1:10" ht="15" customHeight="1" x14ac:dyDescent="0.25">
      <c r="A629" s="8" t="str">
        <f>IF(COUNT($J$2:$J$1501)&gt;=628,628,"")</f>
        <v/>
      </c>
      <c r="B629" s="8" t="str">
        <f t="shared" si="45"/>
        <v/>
      </c>
      <c r="C629" s="8" t="str">
        <f t="shared" si="46"/>
        <v/>
      </c>
      <c r="D629" s="8" t="str">
        <f t="shared" si="47"/>
        <v/>
      </c>
      <c r="F629" s="4" t="str">
        <f>IF(Jugadores!B629="","",Jugadores!B629)</f>
        <v/>
      </c>
      <c r="G629" s="4" t="str">
        <f>IF(Jugadores!B629="","",Jugadores!A629)</f>
        <v/>
      </c>
      <c r="H629" s="4" t="str">
        <f>IF(F629="","",SUMIF('Estadísticas Jugadores'!$F$2:$F$7001,F629,'Estadísticas Jugadores'!$I$2:$I$7001))</f>
        <v/>
      </c>
      <c r="I629" s="4" t="str">
        <f t="shared" si="48"/>
        <v/>
      </c>
      <c r="J629" s="4" t="str">
        <f t="shared" si="49"/>
        <v/>
      </c>
    </row>
    <row r="630" spans="1:10" ht="15" customHeight="1" x14ac:dyDescent="0.25">
      <c r="A630" s="8" t="str">
        <f>IF(COUNT($J$2:$J$1501)&gt;=629,629,"")</f>
        <v/>
      </c>
      <c r="B630" s="8" t="str">
        <f t="shared" si="45"/>
        <v/>
      </c>
      <c r="C630" s="8" t="str">
        <f t="shared" si="46"/>
        <v/>
      </c>
      <c r="D630" s="8" t="str">
        <f t="shared" si="47"/>
        <v/>
      </c>
      <c r="F630" s="4" t="str">
        <f>IF(Jugadores!B630="","",Jugadores!B630)</f>
        <v/>
      </c>
      <c r="G630" s="4" t="str">
        <f>IF(Jugadores!B630="","",Jugadores!A630)</f>
        <v/>
      </c>
      <c r="H630" s="4" t="str">
        <f>IF(F630="","",SUMIF('Estadísticas Jugadores'!$F$2:$F$7001,F630,'Estadísticas Jugadores'!$I$2:$I$7001))</f>
        <v/>
      </c>
      <c r="I630" s="4" t="str">
        <f t="shared" si="48"/>
        <v/>
      </c>
      <c r="J630" s="4" t="str">
        <f t="shared" si="49"/>
        <v/>
      </c>
    </row>
    <row r="631" spans="1:10" ht="15" customHeight="1" x14ac:dyDescent="0.25">
      <c r="A631" s="8" t="str">
        <f>IF(COUNT($J$2:$J$1501)&gt;=630,630,"")</f>
        <v/>
      </c>
      <c r="B631" s="8" t="str">
        <f t="shared" si="45"/>
        <v/>
      </c>
      <c r="C631" s="8" t="str">
        <f t="shared" si="46"/>
        <v/>
      </c>
      <c r="D631" s="8" t="str">
        <f t="shared" si="47"/>
        <v/>
      </c>
      <c r="F631" s="4" t="str">
        <f>IF(Jugadores!B631="","",Jugadores!B631)</f>
        <v/>
      </c>
      <c r="G631" s="4" t="str">
        <f>IF(Jugadores!B631="","",Jugadores!A631)</f>
        <v/>
      </c>
      <c r="H631" s="4" t="str">
        <f>IF(F631="","",SUMIF('Estadísticas Jugadores'!$F$2:$F$7001,F631,'Estadísticas Jugadores'!$I$2:$I$7001))</f>
        <v/>
      </c>
      <c r="I631" s="4" t="str">
        <f t="shared" si="48"/>
        <v/>
      </c>
      <c r="J631" s="4" t="str">
        <f t="shared" si="49"/>
        <v/>
      </c>
    </row>
    <row r="632" spans="1:10" ht="15" customHeight="1" x14ac:dyDescent="0.25">
      <c r="A632" s="8" t="str">
        <f>IF(COUNT($J$2:$J$1501)&gt;=631,631,"")</f>
        <v/>
      </c>
      <c r="B632" s="8" t="str">
        <f t="shared" si="45"/>
        <v/>
      </c>
      <c r="C632" s="8" t="str">
        <f t="shared" si="46"/>
        <v/>
      </c>
      <c r="D632" s="8" t="str">
        <f t="shared" si="47"/>
        <v/>
      </c>
      <c r="F632" s="4" t="str">
        <f>IF(Jugadores!B632="","",Jugadores!B632)</f>
        <v/>
      </c>
      <c r="G632" s="4" t="str">
        <f>IF(Jugadores!B632="","",Jugadores!A632)</f>
        <v/>
      </c>
      <c r="H632" s="4" t="str">
        <f>IF(F632="","",SUMIF('Estadísticas Jugadores'!$F$2:$F$7001,F632,'Estadísticas Jugadores'!$I$2:$I$7001))</f>
        <v/>
      </c>
      <c r="I632" s="4" t="str">
        <f t="shared" si="48"/>
        <v/>
      </c>
      <c r="J632" s="4" t="str">
        <f t="shared" si="49"/>
        <v/>
      </c>
    </row>
    <row r="633" spans="1:10" ht="15" customHeight="1" x14ac:dyDescent="0.25">
      <c r="A633" s="8" t="str">
        <f>IF(COUNT($J$2:$J$1501)&gt;=632,632,"")</f>
        <v/>
      </c>
      <c r="B633" s="8" t="str">
        <f t="shared" si="45"/>
        <v/>
      </c>
      <c r="C633" s="8" t="str">
        <f t="shared" si="46"/>
        <v/>
      </c>
      <c r="D633" s="8" t="str">
        <f t="shared" si="47"/>
        <v/>
      </c>
      <c r="F633" s="4" t="str">
        <f>IF(Jugadores!B633="","",Jugadores!B633)</f>
        <v/>
      </c>
      <c r="G633" s="4" t="str">
        <f>IF(Jugadores!B633="","",Jugadores!A633)</f>
        <v/>
      </c>
      <c r="H633" s="4" t="str">
        <f>IF(F633="","",SUMIF('Estadísticas Jugadores'!$F$2:$F$7001,F633,'Estadísticas Jugadores'!$I$2:$I$7001))</f>
        <v/>
      </c>
      <c r="I633" s="4" t="str">
        <f t="shared" si="48"/>
        <v/>
      </c>
      <c r="J633" s="4" t="str">
        <f t="shared" si="49"/>
        <v/>
      </c>
    </row>
    <row r="634" spans="1:10" ht="15" customHeight="1" x14ac:dyDescent="0.25">
      <c r="A634" s="8" t="str">
        <f>IF(COUNT($J$2:$J$1501)&gt;=633,633,"")</f>
        <v/>
      </c>
      <c r="B634" s="8" t="str">
        <f t="shared" si="45"/>
        <v/>
      </c>
      <c r="C634" s="8" t="str">
        <f t="shared" si="46"/>
        <v/>
      </c>
      <c r="D634" s="8" t="str">
        <f t="shared" si="47"/>
        <v/>
      </c>
      <c r="F634" s="4" t="str">
        <f>IF(Jugadores!B634="","",Jugadores!B634)</f>
        <v/>
      </c>
      <c r="G634" s="4" t="str">
        <f>IF(Jugadores!B634="","",Jugadores!A634)</f>
        <v/>
      </c>
      <c r="H634" s="4" t="str">
        <f>IF(F634="","",SUMIF('Estadísticas Jugadores'!$F$2:$F$7001,F634,'Estadísticas Jugadores'!$I$2:$I$7001))</f>
        <v/>
      </c>
      <c r="I634" s="4" t="str">
        <f t="shared" si="48"/>
        <v/>
      </c>
      <c r="J634" s="4" t="str">
        <f t="shared" si="49"/>
        <v/>
      </c>
    </row>
    <row r="635" spans="1:10" ht="15" customHeight="1" x14ac:dyDescent="0.25">
      <c r="A635" s="8" t="str">
        <f>IF(COUNT($J$2:$J$1501)&gt;=634,634,"")</f>
        <v/>
      </c>
      <c r="B635" s="8" t="str">
        <f t="shared" si="45"/>
        <v/>
      </c>
      <c r="C635" s="8" t="str">
        <f t="shared" si="46"/>
        <v/>
      </c>
      <c r="D635" s="8" t="str">
        <f t="shared" si="47"/>
        <v/>
      </c>
      <c r="F635" s="4" t="str">
        <f>IF(Jugadores!B635="","",Jugadores!B635)</f>
        <v/>
      </c>
      <c r="G635" s="4" t="str">
        <f>IF(Jugadores!B635="","",Jugadores!A635)</f>
        <v/>
      </c>
      <c r="H635" s="4" t="str">
        <f>IF(F635="","",SUMIF('Estadísticas Jugadores'!$F$2:$F$7001,F635,'Estadísticas Jugadores'!$I$2:$I$7001))</f>
        <v/>
      </c>
      <c r="I635" s="4" t="str">
        <f t="shared" si="48"/>
        <v/>
      </c>
      <c r="J635" s="4" t="str">
        <f t="shared" si="49"/>
        <v/>
      </c>
    </row>
    <row r="636" spans="1:10" ht="15" customHeight="1" x14ac:dyDescent="0.25">
      <c r="A636" s="8" t="str">
        <f>IF(COUNT($J$2:$J$1501)&gt;=635,635,"")</f>
        <v/>
      </c>
      <c r="B636" s="8" t="str">
        <f t="shared" si="45"/>
        <v/>
      </c>
      <c r="C636" s="8" t="str">
        <f t="shared" si="46"/>
        <v/>
      </c>
      <c r="D636" s="8" t="str">
        <f t="shared" si="47"/>
        <v/>
      </c>
      <c r="F636" s="4" t="str">
        <f>IF(Jugadores!B636="","",Jugadores!B636)</f>
        <v/>
      </c>
      <c r="G636" s="4" t="str">
        <f>IF(Jugadores!B636="","",Jugadores!A636)</f>
        <v/>
      </c>
      <c r="H636" s="4" t="str">
        <f>IF(F636="","",SUMIF('Estadísticas Jugadores'!$F$2:$F$7001,F636,'Estadísticas Jugadores'!$I$2:$I$7001))</f>
        <v/>
      </c>
      <c r="I636" s="4" t="str">
        <f t="shared" si="48"/>
        <v/>
      </c>
      <c r="J636" s="4" t="str">
        <f t="shared" si="49"/>
        <v/>
      </c>
    </row>
    <row r="637" spans="1:10" ht="15" customHeight="1" x14ac:dyDescent="0.25">
      <c r="A637" s="8" t="str">
        <f>IF(COUNT($J$2:$J$1501)&gt;=636,636,"")</f>
        <v/>
      </c>
      <c r="B637" s="8" t="str">
        <f t="shared" si="45"/>
        <v/>
      </c>
      <c r="C637" s="8" t="str">
        <f t="shared" si="46"/>
        <v/>
      </c>
      <c r="D637" s="8" t="str">
        <f t="shared" si="47"/>
        <v/>
      </c>
      <c r="F637" s="4" t="str">
        <f>IF(Jugadores!B637="","",Jugadores!B637)</f>
        <v/>
      </c>
      <c r="G637" s="4" t="str">
        <f>IF(Jugadores!B637="","",Jugadores!A637)</f>
        <v/>
      </c>
      <c r="H637" s="4" t="str">
        <f>IF(F637="","",SUMIF('Estadísticas Jugadores'!$F$2:$F$7001,F637,'Estadísticas Jugadores'!$I$2:$I$7001))</f>
        <v/>
      </c>
      <c r="I637" s="4" t="str">
        <f t="shared" si="48"/>
        <v/>
      </c>
      <c r="J637" s="4" t="str">
        <f t="shared" si="49"/>
        <v/>
      </c>
    </row>
    <row r="638" spans="1:10" ht="15" customHeight="1" x14ac:dyDescent="0.25">
      <c r="A638" s="8" t="str">
        <f>IF(COUNT($J$2:$J$1501)&gt;=637,637,"")</f>
        <v/>
      </c>
      <c r="B638" s="8" t="str">
        <f t="shared" si="45"/>
        <v/>
      </c>
      <c r="C638" s="8" t="str">
        <f t="shared" si="46"/>
        <v/>
      </c>
      <c r="D638" s="8" t="str">
        <f t="shared" si="47"/>
        <v/>
      </c>
      <c r="F638" s="4" t="str">
        <f>IF(Jugadores!B638="","",Jugadores!B638)</f>
        <v/>
      </c>
      <c r="G638" s="4" t="str">
        <f>IF(Jugadores!B638="","",Jugadores!A638)</f>
        <v/>
      </c>
      <c r="H638" s="4" t="str">
        <f>IF(F638="","",SUMIF('Estadísticas Jugadores'!$F$2:$F$7001,F638,'Estadísticas Jugadores'!$I$2:$I$7001))</f>
        <v/>
      </c>
      <c r="I638" s="4" t="str">
        <f t="shared" si="48"/>
        <v/>
      </c>
      <c r="J638" s="4" t="str">
        <f t="shared" si="49"/>
        <v/>
      </c>
    </row>
    <row r="639" spans="1:10" ht="15" customHeight="1" x14ac:dyDescent="0.25">
      <c r="A639" s="8" t="str">
        <f>IF(COUNT($J$2:$J$1501)&gt;=638,638,"")</f>
        <v/>
      </c>
      <c r="B639" s="8" t="str">
        <f t="shared" si="45"/>
        <v/>
      </c>
      <c r="C639" s="8" t="str">
        <f t="shared" si="46"/>
        <v/>
      </c>
      <c r="D639" s="8" t="str">
        <f t="shared" si="47"/>
        <v/>
      </c>
      <c r="F639" s="4" t="str">
        <f>IF(Jugadores!B639="","",Jugadores!B639)</f>
        <v/>
      </c>
      <c r="G639" s="4" t="str">
        <f>IF(Jugadores!B639="","",Jugadores!A639)</f>
        <v/>
      </c>
      <c r="H639" s="4" t="str">
        <f>IF(F639="","",SUMIF('Estadísticas Jugadores'!$F$2:$F$7001,F639,'Estadísticas Jugadores'!$I$2:$I$7001))</f>
        <v/>
      </c>
      <c r="I639" s="4" t="str">
        <f t="shared" si="48"/>
        <v/>
      </c>
      <c r="J639" s="4" t="str">
        <f t="shared" si="49"/>
        <v/>
      </c>
    </row>
    <row r="640" spans="1:10" ht="15" customHeight="1" x14ac:dyDescent="0.25">
      <c r="A640" s="8" t="str">
        <f>IF(COUNT($J$2:$J$1501)&gt;=639,639,"")</f>
        <v/>
      </c>
      <c r="B640" s="8" t="str">
        <f t="shared" si="45"/>
        <v/>
      </c>
      <c r="C640" s="8" t="str">
        <f t="shared" si="46"/>
        <v/>
      </c>
      <c r="D640" s="8" t="str">
        <f t="shared" si="47"/>
        <v/>
      </c>
      <c r="F640" s="4" t="str">
        <f>IF(Jugadores!B640="","",Jugadores!B640)</f>
        <v/>
      </c>
      <c r="G640" s="4" t="str">
        <f>IF(Jugadores!B640="","",Jugadores!A640)</f>
        <v/>
      </c>
      <c r="H640" s="4" t="str">
        <f>IF(F640="","",SUMIF('Estadísticas Jugadores'!$F$2:$F$7001,F640,'Estadísticas Jugadores'!$I$2:$I$7001))</f>
        <v/>
      </c>
      <c r="I640" s="4" t="str">
        <f t="shared" si="48"/>
        <v/>
      </c>
      <c r="J640" s="4" t="str">
        <f t="shared" si="49"/>
        <v/>
      </c>
    </row>
    <row r="641" spans="1:10" ht="15" customHeight="1" x14ac:dyDescent="0.25">
      <c r="A641" s="8" t="str">
        <f>IF(COUNT($J$2:$J$1501)&gt;=640,640,"")</f>
        <v/>
      </c>
      <c r="B641" s="8" t="str">
        <f t="shared" si="45"/>
        <v/>
      </c>
      <c r="C641" s="8" t="str">
        <f t="shared" si="46"/>
        <v/>
      </c>
      <c r="D641" s="8" t="str">
        <f t="shared" si="47"/>
        <v/>
      </c>
      <c r="F641" s="4" t="str">
        <f>IF(Jugadores!B641="","",Jugadores!B641)</f>
        <v/>
      </c>
      <c r="G641" s="4" t="str">
        <f>IF(Jugadores!B641="","",Jugadores!A641)</f>
        <v/>
      </c>
      <c r="H641" s="4" t="str">
        <f>IF(F641="","",SUMIF('Estadísticas Jugadores'!$F$2:$F$7001,F641,'Estadísticas Jugadores'!$I$2:$I$7001))</f>
        <v/>
      </c>
      <c r="I641" s="4" t="str">
        <f t="shared" si="48"/>
        <v/>
      </c>
      <c r="J641" s="4" t="str">
        <f t="shared" si="49"/>
        <v/>
      </c>
    </row>
    <row r="642" spans="1:10" ht="15" customHeight="1" x14ac:dyDescent="0.25">
      <c r="A642" s="8" t="str">
        <f>IF(COUNT($J$2:$J$1501)&gt;=641,641,"")</f>
        <v/>
      </c>
      <c r="B642" s="8" t="str">
        <f t="shared" ref="B642:B705" si="50">IF($A642="","",INDEX($F$2:$F$1501,MATCH($A642,$J$2:$J$1501,0)))</f>
        <v/>
      </c>
      <c r="C642" s="8" t="str">
        <f t="shared" ref="C642:C705" si="51">IF($A642="","",INDEX($G$2:$G$1501,MATCH($A642,$J$2:$J$1501,0)))</f>
        <v/>
      </c>
      <c r="D642" s="8" t="str">
        <f t="shared" ref="D642:D705" si="52">IF($A642="","",INDEX($H$2:$H$1501,MATCH($A642,$J$2:$J$1501,0)))</f>
        <v/>
      </c>
      <c r="F642" s="4" t="str">
        <f>IF(Jugadores!B642="","",Jugadores!B642)</f>
        <v/>
      </c>
      <c r="G642" s="4" t="str">
        <f>IF(Jugadores!B642="","",Jugadores!A642)</f>
        <v/>
      </c>
      <c r="H642" s="4" t="str">
        <f>IF(F642="","",SUMIF('Estadísticas Jugadores'!$F$2:$F$7001,F642,'Estadísticas Jugadores'!$I$2:$I$7001))</f>
        <v/>
      </c>
      <c r="I642" s="4" t="str">
        <f t="shared" ref="I642:I705" si="53">IF(F642="","",H642*1000-ROW()*0.0000001)</f>
        <v/>
      </c>
      <c r="J642" s="4" t="str">
        <f t="shared" ref="J642:J705" si="54">IF(F642="","",RANK(I642,$I$2:$I$1501))</f>
        <v/>
      </c>
    </row>
    <row r="643" spans="1:10" ht="15" customHeight="1" x14ac:dyDescent="0.25">
      <c r="A643" s="8" t="str">
        <f>IF(COUNT($J$2:$J$1501)&gt;=642,642,"")</f>
        <v/>
      </c>
      <c r="B643" s="8" t="str">
        <f t="shared" si="50"/>
        <v/>
      </c>
      <c r="C643" s="8" t="str">
        <f t="shared" si="51"/>
        <v/>
      </c>
      <c r="D643" s="8" t="str">
        <f t="shared" si="52"/>
        <v/>
      </c>
      <c r="F643" s="4" t="str">
        <f>IF(Jugadores!B643="","",Jugadores!B643)</f>
        <v/>
      </c>
      <c r="G643" s="4" t="str">
        <f>IF(Jugadores!B643="","",Jugadores!A643)</f>
        <v/>
      </c>
      <c r="H643" s="4" t="str">
        <f>IF(F643="","",SUMIF('Estadísticas Jugadores'!$F$2:$F$7001,F643,'Estadísticas Jugadores'!$I$2:$I$7001))</f>
        <v/>
      </c>
      <c r="I643" s="4" t="str">
        <f t="shared" si="53"/>
        <v/>
      </c>
      <c r="J643" s="4" t="str">
        <f t="shared" si="54"/>
        <v/>
      </c>
    </row>
    <row r="644" spans="1:10" ht="15" customHeight="1" x14ac:dyDescent="0.25">
      <c r="A644" s="8" t="str">
        <f>IF(COUNT($J$2:$J$1501)&gt;=643,643,"")</f>
        <v/>
      </c>
      <c r="B644" s="8" t="str">
        <f t="shared" si="50"/>
        <v/>
      </c>
      <c r="C644" s="8" t="str">
        <f t="shared" si="51"/>
        <v/>
      </c>
      <c r="D644" s="8" t="str">
        <f t="shared" si="52"/>
        <v/>
      </c>
      <c r="F644" s="4" t="str">
        <f>IF(Jugadores!B644="","",Jugadores!B644)</f>
        <v/>
      </c>
      <c r="G644" s="4" t="str">
        <f>IF(Jugadores!B644="","",Jugadores!A644)</f>
        <v/>
      </c>
      <c r="H644" s="4" t="str">
        <f>IF(F644="","",SUMIF('Estadísticas Jugadores'!$F$2:$F$7001,F644,'Estadísticas Jugadores'!$I$2:$I$7001))</f>
        <v/>
      </c>
      <c r="I644" s="4" t="str">
        <f t="shared" si="53"/>
        <v/>
      </c>
      <c r="J644" s="4" t="str">
        <f t="shared" si="54"/>
        <v/>
      </c>
    </row>
    <row r="645" spans="1:10" ht="15" customHeight="1" x14ac:dyDescent="0.25">
      <c r="A645" s="8" t="str">
        <f>IF(COUNT($J$2:$J$1501)&gt;=644,644,"")</f>
        <v/>
      </c>
      <c r="B645" s="8" t="str">
        <f t="shared" si="50"/>
        <v/>
      </c>
      <c r="C645" s="8" t="str">
        <f t="shared" si="51"/>
        <v/>
      </c>
      <c r="D645" s="8" t="str">
        <f t="shared" si="52"/>
        <v/>
      </c>
      <c r="F645" s="4" t="str">
        <f>IF(Jugadores!B645="","",Jugadores!B645)</f>
        <v/>
      </c>
      <c r="G645" s="4" t="str">
        <f>IF(Jugadores!B645="","",Jugadores!A645)</f>
        <v/>
      </c>
      <c r="H645" s="4" t="str">
        <f>IF(F645="","",SUMIF('Estadísticas Jugadores'!$F$2:$F$7001,F645,'Estadísticas Jugadores'!$I$2:$I$7001))</f>
        <v/>
      </c>
      <c r="I645" s="4" t="str">
        <f t="shared" si="53"/>
        <v/>
      </c>
      <c r="J645" s="4" t="str">
        <f t="shared" si="54"/>
        <v/>
      </c>
    </row>
    <row r="646" spans="1:10" ht="15" customHeight="1" x14ac:dyDescent="0.25">
      <c r="A646" s="8" t="str">
        <f>IF(COUNT($J$2:$J$1501)&gt;=645,645,"")</f>
        <v/>
      </c>
      <c r="B646" s="8" t="str">
        <f t="shared" si="50"/>
        <v/>
      </c>
      <c r="C646" s="8" t="str">
        <f t="shared" si="51"/>
        <v/>
      </c>
      <c r="D646" s="8" t="str">
        <f t="shared" si="52"/>
        <v/>
      </c>
      <c r="F646" s="4" t="str">
        <f>IF(Jugadores!B646="","",Jugadores!B646)</f>
        <v/>
      </c>
      <c r="G646" s="4" t="str">
        <f>IF(Jugadores!B646="","",Jugadores!A646)</f>
        <v/>
      </c>
      <c r="H646" s="4" t="str">
        <f>IF(F646="","",SUMIF('Estadísticas Jugadores'!$F$2:$F$7001,F646,'Estadísticas Jugadores'!$I$2:$I$7001))</f>
        <v/>
      </c>
      <c r="I646" s="4" t="str">
        <f t="shared" si="53"/>
        <v/>
      </c>
      <c r="J646" s="4" t="str">
        <f t="shared" si="54"/>
        <v/>
      </c>
    </row>
    <row r="647" spans="1:10" ht="15" customHeight="1" x14ac:dyDescent="0.25">
      <c r="A647" s="8" t="str">
        <f>IF(COUNT($J$2:$J$1501)&gt;=646,646,"")</f>
        <v/>
      </c>
      <c r="B647" s="8" t="str">
        <f t="shared" si="50"/>
        <v/>
      </c>
      <c r="C647" s="8" t="str">
        <f t="shared" si="51"/>
        <v/>
      </c>
      <c r="D647" s="8" t="str">
        <f t="shared" si="52"/>
        <v/>
      </c>
      <c r="F647" s="4" t="str">
        <f>IF(Jugadores!B647="","",Jugadores!B647)</f>
        <v/>
      </c>
      <c r="G647" s="4" t="str">
        <f>IF(Jugadores!B647="","",Jugadores!A647)</f>
        <v/>
      </c>
      <c r="H647" s="4" t="str">
        <f>IF(F647="","",SUMIF('Estadísticas Jugadores'!$F$2:$F$7001,F647,'Estadísticas Jugadores'!$I$2:$I$7001))</f>
        <v/>
      </c>
      <c r="I647" s="4" t="str">
        <f t="shared" si="53"/>
        <v/>
      </c>
      <c r="J647" s="4" t="str">
        <f t="shared" si="54"/>
        <v/>
      </c>
    </row>
    <row r="648" spans="1:10" ht="15" customHeight="1" x14ac:dyDescent="0.25">
      <c r="A648" s="8" t="str">
        <f>IF(COUNT($J$2:$J$1501)&gt;=647,647,"")</f>
        <v/>
      </c>
      <c r="B648" s="8" t="str">
        <f t="shared" si="50"/>
        <v/>
      </c>
      <c r="C648" s="8" t="str">
        <f t="shared" si="51"/>
        <v/>
      </c>
      <c r="D648" s="8" t="str">
        <f t="shared" si="52"/>
        <v/>
      </c>
      <c r="F648" s="4" t="str">
        <f>IF(Jugadores!B648="","",Jugadores!B648)</f>
        <v/>
      </c>
      <c r="G648" s="4" t="str">
        <f>IF(Jugadores!B648="","",Jugadores!A648)</f>
        <v/>
      </c>
      <c r="H648" s="4" t="str">
        <f>IF(F648="","",SUMIF('Estadísticas Jugadores'!$F$2:$F$7001,F648,'Estadísticas Jugadores'!$I$2:$I$7001))</f>
        <v/>
      </c>
      <c r="I648" s="4" t="str">
        <f t="shared" si="53"/>
        <v/>
      </c>
      <c r="J648" s="4" t="str">
        <f t="shared" si="54"/>
        <v/>
      </c>
    </row>
    <row r="649" spans="1:10" ht="15" customHeight="1" x14ac:dyDescent="0.25">
      <c r="A649" s="8" t="str">
        <f>IF(COUNT($J$2:$J$1501)&gt;=648,648,"")</f>
        <v/>
      </c>
      <c r="B649" s="8" t="str">
        <f t="shared" si="50"/>
        <v/>
      </c>
      <c r="C649" s="8" t="str">
        <f t="shared" si="51"/>
        <v/>
      </c>
      <c r="D649" s="8" t="str">
        <f t="shared" si="52"/>
        <v/>
      </c>
      <c r="F649" s="4" t="str">
        <f>IF(Jugadores!B649="","",Jugadores!B649)</f>
        <v/>
      </c>
      <c r="G649" s="4" t="str">
        <f>IF(Jugadores!B649="","",Jugadores!A649)</f>
        <v/>
      </c>
      <c r="H649" s="4" t="str">
        <f>IF(F649="","",SUMIF('Estadísticas Jugadores'!$F$2:$F$7001,F649,'Estadísticas Jugadores'!$I$2:$I$7001))</f>
        <v/>
      </c>
      <c r="I649" s="4" t="str">
        <f t="shared" si="53"/>
        <v/>
      </c>
      <c r="J649" s="4" t="str">
        <f t="shared" si="54"/>
        <v/>
      </c>
    </row>
    <row r="650" spans="1:10" ht="15" customHeight="1" x14ac:dyDescent="0.25">
      <c r="A650" s="8" t="str">
        <f>IF(COUNT($J$2:$J$1501)&gt;=649,649,"")</f>
        <v/>
      </c>
      <c r="B650" s="8" t="str">
        <f t="shared" si="50"/>
        <v/>
      </c>
      <c r="C650" s="8" t="str">
        <f t="shared" si="51"/>
        <v/>
      </c>
      <c r="D650" s="8" t="str">
        <f t="shared" si="52"/>
        <v/>
      </c>
      <c r="F650" s="4" t="str">
        <f>IF(Jugadores!B650="","",Jugadores!B650)</f>
        <v/>
      </c>
      <c r="G650" s="4" t="str">
        <f>IF(Jugadores!B650="","",Jugadores!A650)</f>
        <v/>
      </c>
      <c r="H650" s="4" t="str">
        <f>IF(F650="","",SUMIF('Estadísticas Jugadores'!$F$2:$F$7001,F650,'Estadísticas Jugadores'!$I$2:$I$7001))</f>
        <v/>
      </c>
      <c r="I650" s="4" t="str">
        <f t="shared" si="53"/>
        <v/>
      </c>
      <c r="J650" s="4" t="str">
        <f t="shared" si="54"/>
        <v/>
      </c>
    </row>
    <row r="651" spans="1:10" ht="15" customHeight="1" x14ac:dyDescent="0.25">
      <c r="A651" s="8" t="str">
        <f>IF(COUNT($J$2:$J$1501)&gt;=650,650,"")</f>
        <v/>
      </c>
      <c r="B651" s="8" t="str">
        <f t="shared" si="50"/>
        <v/>
      </c>
      <c r="C651" s="8" t="str">
        <f t="shared" si="51"/>
        <v/>
      </c>
      <c r="D651" s="8" t="str">
        <f t="shared" si="52"/>
        <v/>
      </c>
      <c r="F651" s="4" t="str">
        <f>IF(Jugadores!B651="","",Jugadores!B651)</f>
        <v/>
      </c>
      <c r="G651" s="4" t="str">
        <f>IF(Jugadores!B651="","",Jugadores!A651)</f>
        <v/>
      </c>
      <c r="H651" s="4" t="str">
        <f>IF(F651="","",SUMIF('Estadísticas Jugadores'!$F$2:$F$7001,F651,'Estadísticas Jugadores'!$I$2:$I$7001))</f>
        <v/>
      </c>
      <c r="I651" s="4" t="str">
        <f t="shared" si="53"/>
        <v/>
      </c>
      <c r="J651" s="4" t="str">
        <f t="shared" si="54"/>
        <v/>
      </c>
    </row>
    <row r="652" spans="1:10" ht="15" customHeight="1" x14ac:dyDescent="0.25">
      <c r="A652" s="8" t="str">
        <f>IF(COUNT($J$2:$J$1501)&gt;=651,651,"")</f>
        <v/>
      </c>
      <c r="B652" s="8" t="str">
        <f t="shared" si="50"/>
        <v/>
      </c>
      <c r="C652" s="8" t="str">
        <f t="shared" si="51"/>
        <v/>
      </c>
      <c r="D652" s="8" t="str">
        <f t="shared" si="52"/>
        <v/>
      </c>
      <c r="F652" s="4" t="str">
        <f>IF(Jugadores!B652="","",Jugadores!B652)</f>
        <v/>
      </c>
      <c r="G652" s="4" t="str">
        <f>IF(Jugadores!B652="","",Jugadores!A652)</f>
        <v/>
      </c>
      <c r="H652" s="4" t="str">
        <f>IF(F652="","",SUMIF('Estadísticas Jugadores'!$F$2:$F$7001,F652,'Estadísticas Jugadores'!$I$2:$I$7001))</f>
        <v/>
      </c>
      <c r="I652" s="4" t="str">
        <f t="shared" si="53"/>
        <v/>
      </c>
      <c r="J652" s="4" t="str">
        <f t="shared" si="54"/>
        <v/>
      </c>
    </row>
    <row r="653" spans="1:10" ht="15" customHeight="1" x14ac:dyDescent="0.25">
      <c r="A653" s="8" t="str">
        <f>IF(COUNT($J$2:$J$1501)&gt;=652,652,"")</f>
        <v/>
      </c>
      <c r="B653" s="8" t="str">
        <f t="shared" si="50"/>
        <v/>
      </c>
      <c r="C653" s="8" t="str">
        <f t="shared" si="51"/>
        <v/>
      </c>
      <c r="D653" s="8" t="str">
        <f t="shared" si="52"/>
        <v/>
      </c>
      <c r="F653" s="4" t="str">
        <f>IF(Jugadores!B653="","",Jugadores!B653)</f>
        <v/>
      </c>
      <c r="G653" s="4" t="str">
        <f>IF(Jugadores!B653="","",Jugadores!A653)</f>
        <v/>
      </c>
      <c r="H653" s="4" t="str">
        <f>IF(F653="","",SUMIF('Estadísticas Jugadores'!$F$2:$F$7001,F653,'Estadísticas Jugadores'!$I$2:$I$7001))</f>
        <v/>
      </c>
      <c r="I653" s="4" t="str">
        <f t="shared" si="53"/>
        <v/>
      </c>
      <c r="J653" s="4" t="str">
        <f t="shared" si="54"/>
        <v/>
      </c>
    </row>
    <row r="654" spans="1:10" ht="15" customHeight="1" x14ac:dyDescent="0.25">
      <c r="A654" s="8" t="str">
        <f>IF(COUNT($J$2:$J$1501)&gt;=653,653,"")</f>
        <v/>
      </c>
      <c r="B654" s="8" t="str">
        <f t="shared" si="50"/>
        <v/>
      </c>
      <c r="C654" s="8" t="str">
        <f t="shared" si="51"/>
        <v/>
      </c>
      <c r="D654" s="8" t="str">
        <f t="shared" si="52"/>
        <v/>
      </c>
      <c r="F654" s="4" t="str">
        <f>IF(Jugadores!B654="","",Jugadores!B654)</f>
        <v/>
      </c>
      <c r="G654" s="4" t="str">
        <f>IF(Jugadores!B654="","",Jugadores!A654)</f>
        <v/>
      </c>
      <c r="H654" s="4" t="str">
        <f>IF(F654="","",SUMIF('Estadísticas Jugadores'!$F$2:$F$7001,F654,'Estadísticas Jugadores'!$I$2:$I$7001))</f>
        <v/>
      </c>
      <c r="I654" s="4" t="str">
        <f t="shared" si="53"/>
        <v/>
      </c>
      <c r="J654" s="4" t="str">
        <f t="shared" si="54"/>
        <v/>
      </c>
    </row>
    <row r="655" spans="1:10" ht="15" customHeight="1" x14ac:dyDescent="0.25">
      <c r="A655" s="8" t="str">
        <f>IF(COUNT($J$2:$J$1501)&gt;=654,654,"")</f>
        <v/>
      </c>
      <c r="B655" s="8" t="str">
        <f t="shared" si="50"/>
        <v/>
      </c>
      <c r="C655" s="8" t="str">
        <f t="shared" si="51"/>
        <v/>
      </c>
      <c r="D655" s="8" t="str">
        <f t="shared" si="52"/>
        <v/>
      </c>
      <c r="F655" s="4" t="str">
        <f>IF(Jugadores!B655="","",Jugadores!B655)</f>
        <v/>
      </c>
      <c r="G655" s="4" t="str">
        <f>IF(Jugadores!B655="","",Jugadores!A655)</f>
        <v/>
      </c>
      <c r="H655" s="4" t="str">
        <f>IF(F655="","",SUMIF('Estadísticas Jugadores'!$F$2:$F$7001,F655,'Estadísticas Jugadores'!$I$2:$I$7001))</f>
        <v/>
      </c>
      <c r="I655" s="4" t="str">
        <f t="shared" si="53"/>
        <v/>
      </c>
      <c r="J655" s="4" t="str">
        <f t="shared" si="54"/>
        <v/>
      </c>
    </row>
    <row r="656" spans="1:10" ht="15" customHeight="1" x14ac:dyDescent="0.25">
      <c r="A656" s="8" t="str">
        <f>IF(COUNT($J$2:$J$1501)&gt;=655,655,"")</f>
        <v/>
      </c>
      <c r="B656" s="8" t="str">
        <f t="shared" si="50"/>
        <v/>
      </c>
      <c r="C656" s="8" t="str">
        <f t="shared" si="51"/>
        <v/>
      </c>
      <c r="D656" s="8" t="str">
        <f t="shared" si="52"/>
        <v/>
      </c>
      <c r="F656" s="4" t="str">
        <f>IF(Jugadores!B656="","",Jugadores!B656)</f>
        <v/>
      </c>
      <c r="G656" s="4" t="str">
        <f>IF(Jugadores!B656="","",Jugadores!A656)</f>
        <v/>
      </c>
      <c r="H656" s="4" t="str">
        <f>IF(F656="","",SUMIF('Estadísticas Jugadores'!$F$2:$F$7001,F656,'Estadísticas Jugadores'!$I$2:$I$7001))</f>
        <v/>
      </c>
      <c r="I656" s="4" t="str">
        <f t="shared" si="53"/>
        <v/>
      </c>
      <c r="J656" s="4" t="str">
        <f t="shared" si="54"/>
        <v/>
      </c>
    </row>
    <row r="657" spans="1:10" ht="15" customHeight="1" x14ac:dyDescent="0.25">
      <c r="A657" s="8" t="str">
        <f>IF(COUNT($J$2:$J$1501)&gt;=656,656,"")</f>
        <v/>
      </c>
      <c r="B657" s="8" t="str">
        <f t="shared" si="50"/>
        <v/>
      </c>
      <c r="C657" s="8" t="str">
        <f t="shared" si="51"/>
        <v/>
      </c>
      <c r="D657" s="8" t="str">
        <f t="shared" si="52"/>
        <v/>
      </c>
      <c r="F657" s="4" t="str">
        <f>IF(Jugadores!B657="","",Jugadores!B657)</f>
        <v/>
      </c>
      <c r="G657" s="4" t="str">
        <f>IF(Jugadores!B657="","",Jugadores!A657)</f>
        <v/>
      </c>
      <c r="H657" s="4" t="str">
        <f>IF(F657="","",SUMIF('Estadísticas Jugadores'!$F$2:$F$7001,F657,'Estadísticas Jugadores'!$I$2:$I$7001))</f>
        <v/>
      </c>
      <c r="I657" s="4" t="str">
        <f t="shared" si="53"/>
        <v/>
      </c>
      <c r="J657" s="4" t="str">
        <f t="shared" si="54"/>
        <v/>
      </c>
    </row>
    <row r="658" spans="1:10" ht="15" customHeight="1" x14ac:dyDescent="0.25">
      <c r="A658" s="8" t="str">
        <f>IF(COUNT($J$2:$J$1501)&gt;=657,657,"")</f>
        <v/>
      </c>
      <c r="B658" s="8" t="str">
        <f t="shared" si="50"/>
        <v/>
      </c>
      <c r="C658" s="8" t="str">
        <f t="shared" si="51"/>
        <v/>
      </c>
      <c r="D658" s="8" t="str">
        <f t="shared" si="52"/>
        <v/>
      </c>
      <c r="F658" s="4" t="str">
        <f>IF(Jugadores!B658="","",Jugadores!B658)</f>
        <v/>
      </c>
      <c r="G658" s="4" t="str">
        <f>IF(Jugadores!B658="","",Jugadores!A658)</f>
        <v/>
      </c>
      <c r="H658" s="4" t="str">
        <f>IF(F658="","",SUMIF('Estadísticas Jugadores'!$F$2:$F$7001,F658,'Estadísticas Jugadores'!$I$2:$I$7001))</f>
        <v/>
      </c>
      <c r="I658" s="4" t="str">
        <f t="shared" si="53"/>
        <v/>
      </c>
      <c r="J658" s="4" t="str">
        <f t="shared" si="54"/>
        <v/>
      </c>
    </row>
    <row r="659" spans="1:10" ht="15" customHeight="1" x14ac:dyDescent="0.25">
      <c r="A659" s="8" t="str">
        <f>IF(COUNT($J$2:$J$1501)&gt;=658,658,"")</f>
        <v/>
      </c>
      <c r="B659" s="8" t="str">
        <f t="shared" si="50"/>
        <v/>
      </c>
      <c r="C659" s="8" t="str">
        <f t="shared" si="51"/>
        <v/>
      </c>
      <c r="D659" s="8" t="str">
        <f t="shared" si="52"/>
        <v/>
      </c>
      <c r="F659" s="4" t="str">
        <f>IF(Jugadores!B659="","",Jugadores!B659)</f>
        <v/>
      </c>
      <c r="G659" s="4" t="str">
        <f>IF(Jugadores!B659="","",Jugadores!A659)</f>
        <v/>
      </c>
      <c r="H659" s="4" t="str">
        <f>IF(F659="","",SUMIF('Estadísticas Jugadores'!$F$2:$F$7001,F659,'Estadísticas Jugadores'!$I$2:$I$7001))</f>
        <v/>
      </c>
      <c r="I659" s="4" t="str">
        <f t="shared" si="53"/>
        <v/>
      </c>
      <c r="J659" s="4" t="str">
        <f t="shared" si="54"/>
        <v/>
      </c>
    </row>
    <row r="660" spans="1:10" ht="15" customHeight="1" x14ac:dyDescent="0.25">
      <c r="A660" s="8" t="str">
        <f>IF(COUNT($J$2:$J$1501)&gt;=659,659,"")</f>
        <v/>
      </c>
      <c r="B660" s="8" t="str">
        <f t="shared" si="50"/>
        <v/>
      </c>
      <c r="C660" s="8" t="str">
        <f t="shared" si="51"/>
        <v/>
      </c>
      <c r="D660" s="8" t="str">
        <f t="shared" si="52"/>
        <v/>
      </c>
      <c r="F660" s="4" t="str">
        <f>IF(Jugadores!B660="","",Jugadores!B660)</f>
        <v/>
      </c>
      <c r="G660" s="4" t="str">
        <f>IF(Jugadores!B660="","",Jugadores!A660)</f>
        <v/>
      </c>
      <c r="H660" s="4" t="str">
        <f>IF(F660="","",SUMIF('Estadísticas Jugadores'!$F$2:$F$7001,F660,'Estadísticas Jugadores'!$I$2:$I$7001))</f>
        <v/>
      </c>
      <c r="I660" s="4" t="str">
        <f t="shared" si="53"/>
        <v/>
      </c>
      <c r="J660" s="4" t="str">
        <f t="shared" si="54"/>
        <v/>
      </c>
    </row>
    <row r="661" spans="1:10" ht="15" customHeight="1" x14ac:dyDescent="0.25">
      <c r="A661" s="8" t="str">
        <f>IF(COUNT($J$2:$J$1501)&gt;=660,660,"")</f>
        <v/>
      </c>
      <c r="B661" s="8" t="str">
        <f t="shared" si="50"/>
        <v/>
      </c>
      <c r="C661" s="8" t="str">
        <f t="shared" si="51"/>
        <v/>
      </c>
      <c r="D661" s="8" t="str">
        <f t="shared" si="52"/>
        <v/>
      </c>
      <c r="F661" s="4" t="str">
        <f>IF(Jugadores!B661="","",Jugadores!B661)</f>
        <v/>
      </c>
      <c r="G661" s="4" t="str">
        <f>IF(Jugadores!B661="","",Jugadores!A661)</f>
        <v/>
      </c>
      <c r="H661" s="4" t="str">
        <f>IF(F661="","",SUMIF('Estadísticas Jugadores'!$F$2:$F$7001,F661,'Estadísticas Jugadores'!$I$2:$I$7001))</f>
        <v/>
      </c>
      <c r="I661" s="4" t="str">
        <f t="shared" si="53"/>
        <v/>
      </c>
      <c r="J661" s="4" t="str">
        <f t="shared" si="54"/>
        <v/>
      </c>
    </row>
    <row r="662" spans="1:10" ht="15" customHeight="1" x14ac:dyDescent="0.25">
      <c r="A662" s="8" t="str">
        <f>IF(COUNT($J$2:$J$1501)&gt;=661,661,"")</f>
        <v/>
      </c>
      <c r="B662" s="8" t="str">
        <f t="shared" si="50"/>
        <v/>
      </c>
      <c r="C662" s="8" t="str">
        <f t="shared" si="51"/>
        <v/>
      </c>
      <c r="D662" s="8" t="str">
        <f t="shared" si="52"/>
        <v/>
      </c>
      <c r="F662" s="4" t="str">
        <f>IF(Jugadores!B662="","",Jugadores!B662)</f>
        <v/>
      </c>
      <c r="G662" s="4" t="str">
        <f>IF(Jugadores!B662="","",Jugadores!A662)</f>
        <v/>
      </c>
      <c r="H662" s="4" t="str">
        <f>IF(F662="","",SUMIF('Estadísticas Jugadores'!$F$2:$F$7001,F662,'Estadísticas Jugadores'!$I$2:$I$7001))</f>
        <v/>
      </c>
      <c r="I662" s="4" t="str">
        <f t="shared" si="53"/>
        <v/>
      </c>
      <c r="J662" s="4" t="str">
        <f t="shared" si="54"/>
        <v/>
      </c>
    </row>
    <row r="663" spans="1:10" ht="15" customHeight="1" x14ac:dyDescent="0.25">
      <c r="A663" s="8" t="str">
        <f>IF(COUNT($J$2:$J$1501)&gt;=662,662,"")</f>
        <v/>
      </c>
      <c r="B663" s="8" t="str">
        <f t="shared" si="50"/>
        <v/>
      </c>
      <c r="C663" s="8" t="str">
        <f t="shared" si="51"/>
        <v/>
      </c>
      <c r="D663" s="8" t="str">
        <f t="shared" si="52"/>
        <v/>
      </c>
      <c r="F663" s="4" t="str">
        <f>IF(Jugadores!B663="","",Jugadores!B663)</f>
        <v/>
      </c>
      <c r="G663" s="4" t="str">
        <f>IF(Jugadores!B663="","",Jugadores!A663)</f>
        <v/>
      </c>
      <c r="H663" s="4" t="str">
        <f>IF(F663="","",SUMIF('Estadísticas Jugadores'!$F$2:$F$7001,F663,'Estadísticas Jugadores'!$I$2:$I$7001))</f>
        <v/>
      </c>
      <c r="I663" s="4" t="str">
        <f t="shared" si="53"/>
        <v/>
      </c>
      <c r="J663" s="4" t="str">
        <f t="shared" si="54"/>
        <v/>
      </c>
    </row>
    <row r="664" spans="1:10" ht="15" customHeight="1" x14ac:dyDescent="0.25">
      <c r="A664" s="8" t="str">
        <f>IF(COUNT($J$2:$J$1501)&gt;=663,663,"")</f>
        <v/>
      </c>
      <c r="B664" s="8" t="str">
        <f t="shared" si="50"/>
        <v/>
      </c>
      <c r="C664" s="8" t="str">
        <f t="shared" si="51"/>
        <v/>
      </c>
      <c r="D664" s="8" t="str">
        <f t="shared" si="52"/>
        <v/>
      </c>
      <c r="F664" s="4" t="str">
        <f>IF(Jugadores!B664="","",Jugadores!B664)</f>
        <v/>
      </c>
      <c r="G664" s="4" t="str">
        <f>IF(Jugadores!B664="","",Jugadores!A664)</f>
        <v/>
      </c>
      <c r="H664" s="4" t="str">
        <f>IF(F664="","",SUMIF('Estadísticas Jugadores'!$F$2:$F$7001,F664,'Estadísticas Jugadores'!$I$2:$I$7001))</f>
        <v/>
      </c>
      <c r="I664" s="4" t="str">
        <f t="shared" si="53"/>
        <v/>
      </c>
      <c r="J664" s="4" t="str">
        <f t="shared" si="54"/>
        <v/>
      </c>
    </row>
    <row r="665" spans="1:10" ht="15" customHeight="1" x14ac:dyDescent="0.25">
      <c r="A665" s="8" t="str">
        <f>IF(COUNT($J$2:$J$1501)&gt;=664,664,"")</f>
        <v/>
      </c>
      <c r="B665" s="8" t="str">
        <f t="shared" si="50"/>
        <v/>
      </c>
      <c r="C665" s="8" t="str">
        <f t="shared" si="51"/>
        <v/>
      </c>
      <c r="D665" s="8" t="str">
        <f t="shared" si="52"/>
        <v/>
      </c>
      <c r="F665" s="4" t="str">
        <f>IF(Jugadores!B665="","",Jugadores!B665)</f>
        <v/>
      </c>
      <c r="G665" s="4" t="str">
        <f>IF(Jugadores!B665="","",Jugadores!A665)</f>
        <v/>
      </c>
      <c r="H665" s="4" t="str">
        <f>IF(F665="","",SUMIF('Estadísticas Jugadores'!$F$2:$F$7001,F665,'Estadísticas Jugadores'!$I$2:$I$7001))</f>
        <v/>
      </c>
      <c r="I665" s="4" t="str">
        <f t="shared" si="53"/>
        <v/>
      </c>
      <c r="J665" s="4" t="str">
        <f t="shared" si="54"/>
        <v/>
      </c>
    </row>
    <row r="666" spans="1:10" ht="15" customHeight="1" x14ac:dyDescent="0.25">
      <c r="A666" s="8" t="str">
        <f>IF(COUNT($J$2:$J$1501)&gt;=665,665,"")</f>
        <v/>
      </c>
      <c r="B666" s="8" t="str">
        <f t="shared" si="50"/>
        <v/>
      </c>
      <c r="C666" s="8" t="str">
        <f t="shared" si="51"/>
        <v/>
      </c>
      <c r="D666" s="8" t="str">
        <f t="shared" si="52"/>
        <v/>
      </c>
      <c r="F666" s="4" t="str">
        <f>IF(Jugadores!B666="","",Jugadores!B666)</f>
        <v/>
      </c>
      <c r="G666" s="4" t="str">
        <f>IF(Jugadores!B666="","",Jugadores!A666)</f>
        <v/>
      </c>
      <c r="H666" s="4" t="str">
        <f>IF(F666="","",SUMIF('Estadísticas Jugadores'!$F$2:$F$7001,F666,'Estadísticas Jugadores'!$I$2:$I$7001))</f>
        <v/>
      </c>
      <c r="I666" s="4" t="str">
        <f t="shared" si="53"/>
        <v/>
      </c>
      <c r="J666" s="4" t="str">
        <f t="shared" si="54"/>
        <v/>
      </c>
    </row>
    <row r="667" spans="1:10" ht="15" customHeight="1" x14ac:dyDescent="0.25">
      <c r="A667" s="8" t="str">
        <f>IF(COUNT($J$2:$J$1501)&gt;=666,666,"")</f>
        <v/>
      </c>
      <c r="B667" s="8" t="str">
        <f t="shared" si="50"/>
        <v/>
      </c>
      <c r="C667" s="8" t="str">
        <f t="shared" si="51"/>
        <v/>
      </c>
      <c r="D667" s="8" t="str">
        <f t="shared" si="52"/>
        <v/>
      </c>
      <c r="F667" s="4" t="str">
        <f>IF(Jugadores!B667="","",Jugadores!B667)</f>
        <v/>
      </c>
      <c r="G667" s="4" t="str">
        <f>IF(Jugadores!B667="","",Jugadores!A667)</f>
        <v/>
      </c>
      <c r="H667" s="4" t="str">
        <f>IF(F667="","",SUMIF('Estadísticas Jugadores'!$F$2:$F$7001,F667,'Estadísticas Jugadores'!$I$2:$I$7001))</f>
        <v/>
      </c>
      <c r="I667" s="4" t="str">
        <f t="shared" si="53"/>
        <v/>
      </c>
      <c r="J667" s="4" t="str">
        <f t="shared" si="54"/>
        <v/>
      </c>
    </row>
    <row r="668" spans="1:10" ht="15" customHeight="1" x14ac:dyDescent="0.25">
      <c r="A668" s="8" t="str">
        <f>IF(COUNT($J$2:$J$1501)&gt;=667,667,"")</f>
        <v/>
      </c>
      <c r="B668" s="8" t="str">
        <f t="shared" si="50"/>
        <v/>
      </c>
      <c r="C668" s="8" t="str">
        <f t="shared" si="51"/>
        <v/>
      </c>
      <c r="D668" s="8" t="str">
        <f t="shared" si="52"/>
        <v/>
      </c>
      <c r="F668" s="4" t="str">
        <f>IF(Jugadores!B668="","",Jugadores!B668)</f>
        <v/>
      </c>
      <c r="G668" s="4" t="str">
        <f>IF(Jugadores!B668="","",Jugadores!A668)</f>
        <v/>
      </c>
      <c r="H668" s="4" t="str">
        <f>IF(F668="","",SUMIF('Estadísticas Jugadores'!$F$2:$F$7001,F668,'Estadísticas Jugadores'!$I$2:$I$7001))</f>
        <v/>
      </c>
      <c r="I668" s="4" t="str">
        <f t="shared" si="53"/>
        <v/>
      </c>
      <c r="J668" s="4" t="str">
        <f t="shared" si="54"/>
        <v/>
      </c>
    </row>
    <row r="669" spans="1:10" ht="15" customHeight="1" x14ac:dyDescent="0.25">
      <c r="A669" s="8" t="str">
        <f>IF(COUNT($J$2:$J$1501)&gt;=668,668,"")</f>
        <v/>
      </c>
      <c r="B669" s="8" t="str">
        <f t="shared" si="50"/>
        <v/>
      </c>
      <c r="C669" s="8" t="str">
        <f t="shared" si="51"/>
        <v/>
      </c>
      <c r="D669" s="8" t="str">
        <f t="shared" si="52"/>
        <v/>
      </c>
      <c r="F669" s="4" t="str">
        <f>IF(Jugadores!B669="","",Jugadores!B669)</f>
        <v/>
      </c>
      <c r="G669" s="4" t="str">
        <f>IF(Jugadores!B669="","",Jugadores!A669)</f>
        <v/>
      </c>
      <c r="H669" s="4" t="str">
        <f>IF(F669="","",SUMIF('Estadísticas Jugadores'!$F$2:$F$7001,F669,'Estadísticas Jugadores'!$I$2:$I$7001))</f>
        <v/>
      </c>
      <c r="I669" s="4" t="str">
        <f t="shared" si="53"/>
        <v/>
      </c>
      <c r="J669" s="4" t="str">
        <f t="shared" si="54"/>
        <v/>
      </c>
    </row>
    <row r="670" spans="1:10" ht="15" customHeight="1" x14ac:dyDescent="0.25">
      <c r="A670" s="8" t="str">
        <f>IF(COUNT($J$2:$J$1501)&gt;=669,669,"")</f>
        <v/>
      </c>
      <c r="B670" s="8" t="str">
        <f t="shared" si="50"/>
        <v/>
      </c>
      <c r="C670" s="8" t="str">
        <f t="shared" si="51"/>
        <v/>
      </c>
      <c r="D670" s="8" t="str">
        <f t="shared" si="52"/>
        <v/>
      </c>
      <c r="F670" s="4" t="str">
        <f>IF(Jugadores!B670="","",Jugadores!B670)</f>
        <v/>
      </c>
      <c r="G670" s="4" t="str">
        <f>IF(Jugadores!B670="","",Jugadores!A670)</f>
        <v/>
      </c>
      <c r="H670" s="4" t="str">
        <f>IF(F670="","",SUMIF('Estadísticas Jugadores'!$F$2:$F$7001,F670,'Estadísticas Jugadores'!$I$2:$I$7001))</f>
        <v/>
      </c>
      <c r="I670" s="4" t="str">
        <f t="shared" si="53"/>
        <v/>
      </c>
      <c r="J670" s="4" t="str">
        <f t="shared" si="54"/>
        <v/>
      </c>
    </row>
    <row r="671" spans="1:10" ht="15" customHeight="1" x14ac:dyDescent="0.25">
      <c r="A671" s="8" t="str">
        <f>IF(COUNT($J$2:$J$1501)&gt;=670,670,"")</f>
        <v/>
      </c>
      <c r="B671" s="8" t="str">
        <f t="shared" si="50"/>
        <v/>
      </c>
      <c r="C671" s="8" t="str">
        <f t="shared" si="51"/>
        <v/>
      </c>
      <c r="D671" s="8" t="str">
        <f t="shared" si="52"/>
        <v/>
      </c>
      <c r="F671" s="4" t="str">
        <f>IF(Jugadores!B671="","",Jugadores!B671)</f>
        <v/>
      </c>
      <c r="G671" s="4" t="str">
        <f>IF(Jugadores!B671="","",Jugadores!A671)</f>
        <v/>
      </c>
      <c r="H671" s="4" t="str">
        <f>IF(F671="","",SUMIF('Estadísticas Jugadores'!$F$2:$F$7001,F671,'Estadísticas Jugadores'!$I$2:$I$7001))</f>
        <v/>
      </c>
      <c r="I671" s="4" t="str">
        <f t="shared" si="53"/>
        <v/>
      </c>
      <c r="J671" s="4" t="str">
        <f t="shared" si="54"/>
        <v/>
      </c>
    </row>
    <row r="672" spans="1:10" ht="15" customHeight="1" x14ac:dyDescent="0.25">
      <c r="A672" s="8" t="str">
        <f>IF(COUNT($J$2:$J$1501)&gt;=671,671,"")</f>
        <v/>
      </c>
      <c r="B672" s="8" t="str">
        <f t="shared" si="50"/>
        <v/>
      </c>
      <c r="C672" s="8" t="str">
        <f t="shared" si="51"/>
        <v/>
      </c>
      <c r="D672" s="8" t="str">
        <f t="shared" si="52"/>
        <v/>
      </c>
      <c r="F672" s="4" t="str">
        <f>IF(Jugadores!B672="","",Jugadores!B672)</f>
        <v/>
      </c>
      <c r="G672" s="4" t="str">
        <f>IF(Jugadores!B672="","",Jugadores!A672)</f>
        <v/>
      </c>
      <c r="H672" s="4" t="str">
        <f>IF(F672="","",SUMIF('Estadísticas Jugadores'!$F$2:$F$7001,F672,'Estadísticas Jugadores'!$I$2:$I$7001))</f>
        <v/>
      </c>
      <c r="I672" s="4" t="str">
        <f t="shared" si="53"/>
        <v/>
      </c>
      <c r="J672" s="4" t="str">
        <f t="shared" si="54"/>
        <v/>
      </c>
    </row>
    <row r="673" spans="1:10" ht="15" customHeight="1" x14ac:dyDescent="0.25">
      <c r="A673" s="8" t="str">
        <f>IF(COUNT($J$2:$J$1501)&gt;=672,672,"")</f>
        <v/>
      </c>
      <c r="B673" s="8" t="str">
        <f t="shared" si="50"/>
        <v/>
      </c>
      <c r="C673" s="8" t="str">
        <f t="shared" si="51"/>
        <v/>
      </c>
      <c r="D673" s="8" t="str">
        <f t="shared" si="52"/>
        <v/>
      </c>
      <c r="F673" s="4" t="str">
        <f>IF(Jugadores!B673="","",Jugadores!B673)</f>
        <v/>
      </c>
      <c r="G673" s="4" t="str">
        <f>IF(Jugadores!B673="","",Jugadores!A673)</f>
        <v/>
      </c>
      <c r="H673" s="4" t="str">
        <f>IF(F673="","",SUMIF('Estadísticas Jugadores'!$F$2:$F$7001,F673,'Estadísticas Jugadores'!$I$2:$I$7001))</f>
        <v/>
      </c>
      <c r="I673" s="4" t="str">
        <f t="shared" si="53"/>
        <v/>
      </c>
      <c r="J673" s="4" t="str">
        <f t="shared" si="54"/>
        <v/>
      </c>
    </row>
    <row r="674" spans="1:10" ht="15" customHeight="1" x14ac:dyDescent="0.25">
      <c r="A674" s="8" t="str">
        <f>IF(COUNT($J$2:$J$1501)&gt;=673,673,"")</f>
        <v/>
      </c>
      <c r="B674" s="8" t="str">
        <f t="shared" si="50"/>
        <v/>
      </c>
      <c r="C674" s="8" t="str">
        <f t="shared" si="51"/>
        <v/>
      </c>
      <c r="D674" s="8" t="str">
        <f t="shared" si="52"/>
        <v/>
      </c>
      <c r="F674" s="4" t="str">
        <f>IF(Jugadores!B674="","",Jugadores!B674)</f>
        <v/>
      </c>
      <c r="G674" s="4" t="str">
        <f>IF(Jugadores!B674="","",Jugadores!A674)</f>
        <v/>
      </c>
      <c r="H674" s="4" t="str">
        <f>IF(F674="","",SUMIF('Estadísticas Jugadores'!$F$2:$F$7001,F674,'Estadísticas Jugadores'!$I$2:$I$7001))</f>
        <v/>
      </c>
      <c r="I674" s="4" t="str">
        <f t="shared" si="53"/>
        <v/>
      </c>
      <c r="J674" s="4" t="str">
        <f t="shared" si="54"/>
        <v/>
      </c>
    </row>
    <row r="675" spans="1:10" ht="15" customHeight="1" x14ac:dyDescent="0.25">
      <c r="A675" s="8" t="str">
        <f>IF(COUNT($J$2:$J$1501)&gt;=674,674,"")</f>
        <v/>
      </c>
      <c r="B675" s="8" t="str">
        <f t="shared" si="50"/>
        <v/>
      </c>
      <c r="C675" s="8" t="str">
        <f t="shared" si="51"/>
        <v/>
      </c>
      <c r="D675" s="8" t="str">
        <f t="shared" si="52"/>
        <v/>
      </c>
      <c r="F675" s="4" t="str">
        <f>IF(Jugadores!B675="","",Jugadores!B675)</f>
        <v/>
      </c>
      <c r="G675" s="4" t="str">
        <f>IF(Jugadores!B675="","",Jugadores!A675)</f>
        <v/>
      </c>
      <c r="H675" s="4" t="str">
        <f>IF(F675="","",SUMIF('Estadísticas Jugadores'!$F$2:$F$7001,F675,'Estadísticas Jugadores'!$I$2:$I$7001))</f>
        <v/>
      </c>
      <c r="I675" s="4" t="str">
        <f t="shared" si="53"/>
        <v/>
      </c>
      <c r="J675" s="4" t="str">
        <f t="shared" si="54"/>
        <v/>
      </c>
    </row>
    <row r="676" spans="1:10" ht="15" customHeight="1" x14ac:dyDescent="0.25">
      <c r="A676" s="8" t="str">
        <f>IF(COUNT($J$2:$J$1501)&gt;=675,675,"")</f>
        <v/>
      </c>
      <c r="B676" s="8" t="str">
        <f t="shared" si="50"/>
        <v/>
      </c>
      <c r="C676" s="8" t="str">
        <f t="shared" si="51"/>
        <v/>
      </c>
      <c r="D676" s="8" t="str">
        <f t="shared" si="52"/>
        <v/>
      </c>
      <c r="F676" s="4" t="str">
        <f>IF(Jugadores!B676="","",Jugadores!B676)</f>
        <v/>
      </c>
      <c r="G676" s="4" t="str">
        <f>IF(Jugadores!B676="","",Jugadores!A676)</f>
        <v/>
      </c>
      <c r="H676" s="4" t="str">
        <f>IF(F676="","",SUMIF('Estadísticas Jugadores'!$F$2:$F$7001,F676,'Estadísticas Jugadores'!$I$2:$I$7001))</f>
        <v/>
      </c>
      <c r="I676" s="4" t="str">
        <f t="shared" si="53"/>
        <v/>
      </c>
      <c r="J676" s="4" t="str">
        <f t="shared" si="54"/>
        <v/>
      </c>
    </row>
    <row r="677" spans="1:10" ht="15" customHeight="1" x14ac:dyDescent="0.25">
      <c r="A677" s="8" t="str">
        <f>IF(COUNT($J$2:$J$1501)&gt;=676,676,"")</f>
        <v/>
      </c>
      <c r="B677" s="8" t="str">
        <f t="shared" si="50"/>
        <v/>
      </c>
      <c r="C677" s="8" t="str">
        <f t="shared" si="51"/>
        <v/>
      </c>
      <c r="D677" s="8" t="str">
        <f t="shared" si="52"/>
        <v/>
      </c>
      <c r="F677" s="4" t="str">
        <f>IF(Jugadores!B677="","",Jugadores!B677)</f>
        <v/>
      </c>
      <c r="G677" s="4" t="str">
        <f>IF(Jugadores!B677="","",Jugadores!A677)</f>
        <v/>
      </c>
      <c r="H677" s="4" t="str">
        <f>IF(F677="","",SUMIF('Estadísticas Jugadores'!$F$2:$F$7001,F677,'Estadísticas Jugadores'!$I$2:$I$7001))</f>
        <v/>
      </c>
      <c r="I677" s="4" t="str">
        <f t="shared" si="53"/>
        <v/>
      </c>
      <c r="J677" s="4" t="str">
        <f t="shared" si="54"/>
        <v/>
      </c>
    </row>
    <row r="678" spans="1:10" ht="15" customHeight="1" x14ac:dyDescent="0.25">
      <c r="A678" s="8" t="str">
        <f>IF(COUNT($J$2:$J$1501)&gt;=677,677,"")</f>
        <v/>
      </c>
      <c r="B678" s="8" t="str">
        <f t="shared" si="50"/>
        <v/>
      </c>
      <c r="C678" s="8" t="str">
        <f t="shared" si="51"/>
        <v/>
      </c>
      <c r="D678" s="8" t="str">
        <f t="shared" si="52"/>
        <v/>
      </c>
      <c r="F678" s="4" t="str">
        <f>IF(Jugadores!B678="","",Jugadores!B678)</f>
        <v/>
      </c>
      <c r="G678" s="4" t="str">
        <f>IF(Jugadores!B678="","",Jugadores!A678)</f>
        <v/>
      </c>
      <c r="H678" s="4" t="str">
        <f>IF(F678="","",SUMIF('Estadísticas Jugadores'!$F$2:$F$7001,F678,'Estadísticas Jugadores'!$I$2:$I$7001))</f>
        <v/>
      </c>
      <c r="I678" s="4" t="str">
        <f t="shared" si="53"/>
        <v/>
      </c>
      <c r="J678" s="4" t="str">
        <f t="shared" si="54"/>
        <v/>
      </c>
    </row>
    <row r="679" spans="1:10" ht="15" customHeight="1" x14ac:dyDescent="0.25">
      <c r="A679" s="8" t="str">
        <f>IF(COUNT($J$2:$J$1501)&gt;=678,678,"")</f>
        <v/>
      </c>
      <c r="B679" s="8" t="str">
        <f t="shared" si="50"/>
        <v/>
      </c>
      <c r="C679" s="8" t="str">
        <f t="shared" si="51"/>
        <v/>
      </c>
      <c r="D679" s="8" t="str">
        <f t="shared" si="52"/>
        <v/>
      </c>
      <c r="F679" s="4" t="str">
        <f>IF(Jugadores!B679="","",Jugadores!B679)</f>
        <v/>
      </c>
      <c r="G679" s="4" t="str">
        <f>IF(Jugadores!B679="","",Jugadores!A679)</f>
        <v/>
      </c>
      <c r="H679" s="4" t="str">
        <f>IF(F679="","",SUMIF('Estadísticas Jugadores'!$F$2:$F$7001,F679,'Estadísticas Jugadores'!$I$2:$I$7001))</f>
        <v/>
      </c>
      <c r="I679" s="4" t="str">
        <f t="shared" si="53"/>
        <v/>
      </c>
      <c r="J679" s="4" t="str">
        <f t="shared" si="54"/>
        <v/>
      </c>
    </row>
    <row r="680" spans="1:10" ht="15" customHeight="1" x14ac:dyDescent="0.25">
      <c r="A680" s="8" t="str">
        <f>IF(COUNT($J$2:$J$1501)&gt;=679,679,"")</f>
        <v/>
      </c>
      <c r="B680" s="8" t="str">
        <f t="shared" si="50"/>
        <v/>
      </c>
      <c r="C680" s="8" t="str">
        <f t="shared" si="51"/>
        <v/>
      </c>
      <c r="D680" s="8" t="str">
        <f t="shared" si="52"/>
        <v/>
      </c>
      <c r="F680" s="4" t="str">
        <f>IF(Jugadores!B680="","",Jugadores!B680)</f>
        <v/>
      </c>
      <c r="G680" s="4" t="str">
        <f>IF(Jugadores!B680="","",Jugadores!A680)</f>
        <v/>
      </c>
      <c r="H680" s="4" t="str">
        <f>IF(F680="","",SUMIF('Estadísticas Jugadores'!$F$2:$F$7001,F680,'Estadísticas Jugadores'!$I$2:$I$7001))</f>
        <v/>
      </c>
      <c r="I680" s="4" t="str">
        <f t="shared" si="53"/>
        <v/>
      </c>
      <c r="J680" s="4" t="str">
        <f t="shared" si="54"/>
        <v/>
      </c>
    </row>
    <row r="681" spans="1:10" ht="15" customHeight="1" x14ac:dyDescent="0.25">
      <c r="A681" s="8" t="str">
        <f>IF(COUNT($J$2:$J$1501)&gt;=680,680,"")</f>
        <v/>
      </c>
      <c r="B681" s="8" t="str">
        <f t="shared" si="50"/>
        <v/>
      </c>
      <c r="C681" s="8" t="str">
        <f t="shared" si="51"/>
        <v/>
      </c>
      <c r="D681" s="8" t="str">
        <f t="shared" si="52"/>
        <v/>
      </c>
      <c r="F681" s="4" t="str">
        <f>IF(Jugadores!B681="","",Jugadores!B681)</f>
        <v/>
      </c>
      <c r="G681" s="4" t="str">
        <f>IF(Jugadores!B681="","",Jugadores!A681)</f>
        <v/>
      </c>
      <c r="H681" s="4" t="str">
        <f>IF(F681="","",SUMIF('Estadísticas Jugadores'!$F$2:$F$7001,F681,'Estadísticas Jugadores'!$I$2:$I$7001))</f>
        <v/>
      </c>
      <c r="I681" s="4" t="str">
        <f t="shared" si="53"/>
        <v/>
      </c>
      <c r="J681" s="4" t="str">
        <f t="shared" si="54"/>
        <v/>
      </c>
    </row>
    <row r="682" spans="1:10" ht="15" customHeight="1" x14ac:dyDescent="0.25">
      <c r="A682" s="8" t="str">
        <f>IF(COUNT($J$2:$J$1501)&gt;=681,681,"")</f>
        <v/>
      </c>
      <c r="B682" s="8" t="str">
        <f t="shared" si="50"/>
        <v/>
      </c>
      <c r="C682" s="8" t="str">
        <f t="shared" si="51"/>
        <v/>
      </c>
      <c r="D682" s="8" t="str">
        <f t="shared" si="52"/>
        <v/>
      </c>
      <c r="F682" s="4" t="str">
        <f>IF(Jugadores!B682="","",Jugadores!B682)</f>
        <v/>
      </c>
      <c r="G682" s="4" t="str">
        <f>IF(Jugadores!B682="","",Jugadores!A682)</f>
        <v/>
      </c>
      <c r="H682" s="4" t="str">
        <f>IF(F682="","",SUMIF('Estadísticas Jugadores'!$F$2:$F$7001,F682,'Estadísticas Jugadores'!$I$2:$I$7001))</f>
        <v/>
      </c>
      <c r="I682" s="4" t="str">
        <f t="shared" si="53"/>
        <v/>
      </c>
      <c r="J682" s="4" t="str">
        <f t="shared" si="54"/>
        <v/>
      </c>
    </row>
    <row r="683" spans="1:10" ht="15" customHeight="1" x14ac:dyDescent="0.25">
      <c r="A683" s="8" t="str">
        <f>IF(COUNT($J$2:$J$1501)&gt;=682,682,"")</f>
        <v/>
      </c>
      <c r="B683" s="8" t="str">
        <f t="shared" si="50"/>
        <v/>
      </c>
      <c r="C683" s="8" t="str">
        <f t="shared" si="51"/>
        <v/>
      </c>
      <c r="D683" s="8" t="str">
        <f t="shared" si="52"/>
        <v/>
      </c>
      <c r="F683" s="4" t="str">
        <f>IF(Jugadores!B683="","",Jugadores!B683)</f>
        <v/>
      </c>
      <c r="G683" s="4" t="str">
        <f>IF(Jugadores!B683="","",Jugadores!A683)</f>
        <v/>
      </c>
      <c r="H683" s="4" t="str">
        <f>IF(F683="","",SUMIF('Estadísticas Jugadores'!$F$2:$F$7001,F683,'Estadísticas Jugadores'!$I$2:$I$7001))</f>
        <v/>
      </c>
      <c r="I683" s="4" t="str">
        <f t="shared" si="53"/>
        <v/>
      </c>
      <c r="J683" s="4" t="str">
        <f t="shared" si="54"/>
        <v/>
      </c>
    </row>
    <row r="684" spans="1:10" ht="15" customHeight="1" x14ac:dyDescent="0.25">
      <c r="A684" s="8" t="str">
        <f>IF(COUNT($J$2:$J$1501)&gt;=683,683,"")</f>
        <v/>
      </c>
      <c r="B684" s="8" t="str">
        <f t="shared" si="50"/>
        <v/>
      </c>
      <c r="C684" s="8" t="str">
        <f t="shared" si="51"/>
        <v/>
      </c>
      <c r="D684" s="8" t="str">
        <f t="shared" si="52"/>
        <v/>
      </c>
      <c r="F684" s="4" t="str">
        <f>IF(Jugadores!B684="","",Jugadores!B684)</f>
        <v/>
      </c>
      <c r="G684" s="4" t="str">
        <f>IF(Jugadores!B684="","",Jugadores!A684)</f>
        <v/>
      </c>
      <c r="H684" s="4" t="str">
        <f>IF(F684="","",SUMIF('Estadísticas Jugadores'!$F$2:$F$7001,F684,'Estadísticas Jugadores'!$I$2:$I$7001))</f>
        <v/>
      </c>
      <c r="I684" s="4" t="str">
        <f t="shared" si="53"/>
        <v/>
      </c>
      <c r="J684" s="4" t="str">
        <f t="shared" si="54"/>
        <v/>
      </c>
    </row>
    <row r="685" spans="1:10" ht="15" customHeight="1" x14ac:dyDescent="0.25">
      <c r="A685" s="8" t="str">
        <f>IF(COUNT($J$2:$J$1501)&gt;=684,684,"")</f>
        <v/>
      </c>
      <c r="B685" s="8" t="str">
        <f t="shared" si="50"/>
        <v/>
      </c>
      <c r="C685" s="8" t="str">
        <f t="shared" si="51"/>
        <v/>
      </c>
      <c r="D685" s="8" t="str">
        <f t="shared" si="52"/>
        <v/>
      </c>
      <c r="F685" s="4" t="str">
        <f>IF(Jugadores!B685="","",Jugadores!B685)</f>
        <v/>
      </c>
      <c r="G685" s="4" t="str">
        <f>IF(Jugadores!B685="","",Jugadores!A685)</f>
        <v/>
      </c>
      <c r="H685" s="4" t="str">
        <f>IF(F685="","",SUMIF('Estadísticas Jugadores'!$F$2:$F$7001,F685,'Estadísticas Jugadores'!$I$2:$I$7001))</f>
        <v/>
      </c>
      <c r="I685" s="4" t="str">
        <f t="shared" si="53"/>
        <v/>
      </c>
      <c r="J685" s="4" t="str">
        <f t="shared" si="54"/>
        <v/>
      </c>
    </row>
    <row r="686" spans="1:10" ht="15" customHeight="1" x14ac:dyDescent="0.25">
      <c r="A686" s="8" t="str">
        <f>IF(COUNT($J$2:$J$1501)&gt;=685,685,"")</f>
        <v/>
      </c>
      <c r="B686" s="8" t="str">
        <f t="shared" si="50"/>
        <v/>
      </c>
      <c r="C686" s="8" t="str">
        <f t="shared" si="51"/>
        <v/>
      </c>
      <c r="D686" s="8" t="str">
        <f t="shared" si="52"/>
        <v/>
      </c>
      <c r="F686" s="4" t="str">
        <f>IF(Jugadores!B686="","",Jugadores!B686)</f>
        <v/>
      </c>
      <c r="G686" s="4" t="str">
        <f>IF(Jugadores!B686="","",Jugadores!A686)</f>
        <v/>
      </c>
      <c r="H686" s="4" t="str">
        <f>IF(F686="","",SUMIF('Estadísticas Jugadores'!$F$2:$F$7001,F686,'Estadísticas Jugadores'!$I$2:$I$7001))</f>
        <v/>
      </c>
      <c r="I686" s="4" t="str">
        <f t="shared" si="53"/>
        <v/>
      </c>
      <c r="J686" s="4" t="str">
        <f t="shared" si="54"/>
        <v/>
      </c>
    </row>
    <row r="687" spans="1:10" ht="15" customHeight="1" x14ac:dyDescent="0.25">
      <c r="A687" s="8" t="str">
        <f>IF(COUNT($J$2:$J$1501)&gt;=686,686,"")</f>
        <v/>
      </c>
      <c r="B687" s="8" t="str">
        <f t="shared" si="50"/>
        <v/>
      </c>
      <c r="C687" s="8" t="str">
        <f t="shared" si="51"/>
        <v/>
      </c>
      <c r="D687" s="8" t="str">
        <f t="shared" si="52"/>
        <v/>
      </c>
      <c r="F687" s="4" t="str">
        <f>IF(Jugadores!B687="","",Jugadores!B687)</f>
        <v/>
      </c>
      <c r="G687" s="4" t="str">
        <f>IF(Jugadores!B687="","",Jugadores!A687)</f>
        <v/>
      </c>
      <c r="H687" s="4" t="str">
        <f>IF(F687="","",SUMIF('Estadísticas Jugadores'!$F$2:$F$7001,F687,'Estadísticas Jugadores'!$I$2:$I$7001))</f>
        <v/>
      </c>
      <c r="I687" s="4" t="str">
        <f t="shared" si="53"/>
        <v/>
      </c>
      <c r="J687" s="4" t="str">
        <f t="shared" si="54"/>
        <v/>
      </c>
    </row>
    <row r="688" spans="1:10" ht="15" customHeight="1" x14ac:dyDescent="0.25">
      <c r="A688" s="8" t="str">
        <f>IF(COUNT($J$2:$J$1501)&gt;=687,687,"")</f>
        <v/>
      </c>
      <c r="B688" s="8" t="str">
        <f t="shared" si="50"/>
        <v/>
      </c>
      <c r="C688" s="8" t="str">
        <f t="shared" si="51"/>
        <v/>
      </c>
      <c r="D688" s="8" t="str">
        <f t="shared" si="52"/>
        <v/>
      </c>
      <c r="F688" s="4" t="str">
        <f>IF(Jugadores!B688="","",Jugadores!B688)</f>
        <v/>
      </c>
      <c r="G688" s="4" t="str">
        <f>IF(Jugadores!B688="","",Jugadores!A688)</f>
        <v/>
      </c>
      <c r="H688" s="4" t="str">
        <f>IF(F688="","",SUMIF('Estadísticas Jugadores'!$F$2:$F$7001,F688,'Estadísticas Jugadores'!$I$2:$I$7001))</f>
        <v/>
      </c>
      <c r="I688" s="4" t="str">
        <f t="shared" si="53"/>
        <v/>
      </c>
      <c r="J688" s="4" t="str">
        <f t="shared" si="54"/>
        <v/>
      </c>
    </row>
    <row r="689" spans="1:10" ht="15" customHeight="1" x14ac:dyDescent="0.25">
      <c r="A689" s="8" t="str">
        <f>IF(COUNT($J$2:$J$1501)&gt;=688,688,"")</f>
        <v/>
      </c>
      <c r="B689" s="8" t="str">
        <f t="shared" si="50"/>
        <v/>
      </c>
      <c r="C689" s="8" t="str">
        <f t="shared" si="51"/>
        <v/>
      </c>
      <c r="D689" s="8" t="str">
        <f t="shared" si="52"/>
        <v/>
      </c>
      <c r="F689" s="4" t="str">
        <f>IF(Jugadores!B689="","",Jugadores!B689)</f>
        <v/>
      </c>
      <c r="G689" s="4" t="str">
        <f>IF(Jugadores!B689="","",Jugadores!A689)</f>
        <v/>
      </c>
      <c r="H689" s="4" t="str">
        <f>IF(F689="","",SUMIF('Estadísticas Jugadores'!$F$2:$F$7001,F689,'Estadísticas Jugadores'!$I$2:$I$7001))</f>
        <v/>
      </c>
      <c r="I689" s="4" t="str">
        <f t="shared" si="53"/>
        <v/>
      </c>
      <c r="J689" s="4" t="str">
        <f t="shared" si="54"/>
        <v/>
      </c>
    </row>
    <row r="690" spans="1:10" ht="15" customHeight="1" x14ac:dyDescent="0.25">
      <c r="A690" s="8" t="str">
        <f>IF(COUNT($J$2:$J$1501)&gt;=689,689,"")</f>
        <v/>
      </c>
      <c r="B690" s="8" t="str">
        <f t="shared" si="50"/>
        <v/>
      </c>
      <c r="C690" s="8" t="str">
        <f t="shared" si="51"/>
        <v/>
      </c>
      <c r="D690" s="8" t="str">
        <f t="shared" si="52"/>
        <v/>
      </c>
      <c r="F690" s="4" t="str">
        <f>IF(Jugadores!B690="","",Jugadores!B690)</f>
        <v/>
      </c>
      <c r="G690" s="4" t="str">
        <f>IF(Jugadores!B690="","",Jugadores!A690)</f>
        <v/>
      </c>
      <c r="H690" s="4" t="str">
        <f>IF(F690="","",SUMIF('Estadísticas Jugadores'!$F$2:$F$7001,F690,'Estadísticas Jugadores'!$I$2:$I$7001))</f>
        <v/>
      </c>
      <c r="I690" s="4" t="str">
        <f t="shared" si="53"/>
        <v/>
      </c>
      <c r="J690" s="4" t="str">
        <f t="shared" si="54"/>
        <v/>
      </c>
    </row>
    <row r="691" spans="1:10" ht="15" customHeight="1" x14ac:dyDescent="0.25">
      <c r="A691" s="8" t="str">
        <f>IF(COUNT($J$2:$J$1501)&gt;=690,690,"")</f>
        <v/>
      </c>
      <c r="B691" s="8" t="str">
        <f t="shared" si="50"/>
        <v/>
      </c>
      <c r="C691" s="8" t="str">
        <f t="shared" si="51"/>
        <v/>
      </c>
      <c r="D691" s="8" t="str">
        <f t="shared" si="52"/>
        <v/>
      </c>
      <c r="F691" s="4" t="str">
        <f>IF(Jugadores!B691="","",Jugadores!B691)</f>
        <v/>
      </c>
      <c r="G691" s="4" t="str">
        <f>IF(Jugadores!B691="","",Jugadores!A691)</f>
        <v/>
      </c>
      <c r="H691" s="4" t="str">
        <f>IF(F691="","",SUMIF('Estadísticas Jugadores'!$F$2:$F$7001,F691,'Estadísticas Jugadores'!$I$2:$I$7001))</f>
        <v/>
      </c>
      <c r="I691" s="4" t="str">
        <f t="shared" si="53"/>
        <v/>
      </c>
      <c r="J691" s="4" t="str">
        <f t="shared" si="54"/>
        <v/>
      </c>
    </row>
    <row r="692" spans="1:10" ht="15" customHeight="1" x14ac:dyDescent="0.25">
      <c r="A692" s="8" t="str">
        <f>IF(COUNT($J$2:$J$1501)&gt;=691,691,"")</f>
        <v/>
      </c>
      <c r="B692" s="8" t="str">
        <f t="shared" si="50"/>
        <v/>
      </c>
      <c r="C692" s="8" t="str">
        <f t="shared" si="51"/>
        <v/>
      </c>
      <c r="D692" s="8" t="str">
        <f t="shared" si="52"/>
        <v/>
      </c>
      <c r="F692" s="4" t="str">
        <f>IF(Jugadores!B692="","",Jugadores!B692)</f>
        <v/>
      </c>
      <c r="G692" s="4" t="str">
        <f>IF(Jugadores!B692="","",Jugadores!A692)</f>
        <v/>
      </c>
      <c r="H692" s="4" t="str">
        <f>IF(F692="","",SUMIF('Estadísticas Jugadores'!$F$2:$F$7001,F692,'Estadísticas Jugadores'!$I$2:$I$7001))</f>
        <v/>
      </c>
      <c r="I692" s="4" t="str">
        <f t="shared" si="53"/>
        <v/>
      </c>
      <c r="J692" s="4" t="str">
        <f t="shared" si="54"/>
        <v/>
      </c>
    </row>
    <row r="693" spans="1:10" ht="15" customHeight="1" x14ac:dyDescent="0.25">
      <c r="A693" s="8" t="str">
        <f>IF(COUNT($J$2:$J$1501)&gt;=692,692,"")</f>
        <v/>
      </c>
      <c r="B693" s="8" t="str">
        <f t="shared" si="50"/>
        <v/>
      </c>
      <c r="C693" s="8" t="str">
        <f t="shared" si="51"/>
        <v/>
      </c>
      <c r="D693" s="8" t="str">
        <f t="shared" si="52"/>
        <v/>
      </c>
      <c r="F693" s="4" t="str">
        <f>IF(Jugadores!B693="","",Jugadores!B693)</f>
        <v/>
      </c>
      <c r="G693" s="4" t="str">
        <f>IF(Jugadores!B693="","",Jugadores!A693)</f>
        <v/>
      </c>
      <c r="H693" s="4" t="str">
        <f>IF(F693="","",SUMIF('Estadísticas Jugadores'!$F$2:$F$7001,F693,'Estadísticas Jugadores'!$I$2:$I$7001))</f>
        <v/>
      </c>
      <c r="I693" s="4" t="str">
        <f t="shared" si="53"/>
        <v/>
      </c>
      <c r="J693" s="4" t="str">
        <f t="shared" si="54"/>
        <v/>
      </c>
    </row>
    <row r="694" spans="1:10" ht="15" customHeight="1" x14ac:dyDescent="0.25">
      <c r="A694" s="8" t="str">
        <f>IF(COUNT($J$2:$J$1501)&gt;=693,693,"")</f>
        <v/>
      </c>
      <c r="B694" s="8" t="str">
        <f t="shared" si="50"/>
        <v/>
      </c>
      <c r="C694" s="8" t="str">
        <f t="shared" si="51"/>
        <v/>
      </c>
      <c r="D694" s="8" t="str">
        <f t="shared" si="52"/>
        <v/>
      </c>
      <c r="F694" s="4" t="str">
        <f>IF(Jugadores!B694="","",Jugadores!B694)</f>
        <v/>
      </c>
      <c r="G694" s="4" t="str">
        <f>IF(Jugadores!B694="","",Jugadores!A694)</f>
        <v/>
      </c>
      <c r="H694" s="4" t="str">
        <f>IF(F694="","",SUMIF('Estadísticas Jugadores'!$F$2:$F$7001,F694,'Estadísticas Jugadores'!$I$2:$I$7001))</f>
        <v/>
      </c>
      <c r="I694" s="4" t="str">
        <f t="shared" si="53"/>
        <v/>
      </c>
      <c r="J694" s="4" t="str">
        <f t="shared" si="54"/>
        <v/>
      </c>
    </row>
    <row r="695" spans="1:10" ht="15" customHeight="1" x14ac:dyDescent="0.25">
      <c r="A695" s="8" t="str">
        <f>IF(COUNT($J$2:$J$1501)&gt;=694,694,"")</f>
        <v/>
      </c>
      <c r="B695" s="8" t="str">
        <f t="shared" si="50"/>
        <v/>
      </c>
      <c r="C695" s="8" t="str">
        <f t="shared" si="51"/>
        <v/>
      </c>
      <c r="D695" s="8" t="str">
        <f t="shared" si="52"/>
        <v/>
      </c>
      <c r="F695" s="4" t="str">
        <f>IF(Jugadores!B695="","",Jugadores!B695)</f>
        <v/>
      </c>
      <c r="G695" s="4" t="str">
        <f>IF(Jugadores!B695="","",Jugadores!A695)</f>
        <v/>
      </c>
      <c r="H695" s="4" t="str">
        <f>IF(F695="","",SUMIF('Estadísticas Jugadores'!$F$2:$F$7001,F695,'Estadísticas Jugadores'!$I$2:$I$7001))</f>
        <v/>
      </c>
      <c r="I695" s="4" t="str">
        <f t="shared" si="53"/>
        <v/>
      </c>
      <c r="J695" s="4" t="str">
        <f t="shared" si="54"/>
        <v/>
      </c>
    </row>
    <row r="696" spans="1:10" ht="15" customHeight="1" x14ac:dyDescent="0.25">
      <c r="A696" s="8" t="str">
        <f>IF(COUNT($J$2:$J$1501)&gt;=695,695,"")</f>
        <v/>
      </c>
      <c r="B696" s="8" t="str">
        <f t="shared" si="50"/>
        <v/>
      </c>
      <c r="C696" s="8" t="str">
        <f t="shared" si="51"/>
        <v/>
      </c>
      <c r="D696" s="8" t="str">
        <f t="shared" si="52"/>
        <v/>
      </c>
      <c r="F696" s="4" t="str">
        <f>IF(Jugadores!B696="","",Jugadores!B696)</f>
        <v/>
      </c>
      <c r="G696" s="4" t="str">
        <f>IF(Jugadores!B696="","",Jugadores!A696)</f>
        <v/>
      </c>
      <c r="H696" s="4" t="str">
        <f>IF(F696="","",SUMIF('Estadísticas Jugadores'!$F$2:$F$7001,F696,'Estadísticas Jugadores'!$I$2:$I$7001))</f>
        <v/>
      </c>
      <c r="I696" s="4" t="str">
        <f t="shared" si="53"/>
        <v/>
      </c>
      <c r="J696" s="4" t="str">
        <f t="shared" si="54"/>
        <v/>
      </c>
    </row>
    <row r="697" spans="1:10" ht="15" customHeight="1" x14ac:dyDescent="0.25">
      <c r="A697" s="8" t="str">
        <f>IF(COUNT($J$2:$J$1501)&gt;=696,696,"")</f>
        <v/>
      </c>
      <c r="B697" s="8" t="str">
        <f t="shared" si="50"/>
        <v/>
      </c>
      <c r="C697" s="8" t="str">
        <f t="shared" si="51"/>
        <v/>
      </c>
      <c r="D697" s="8" t="str">
        <f t="shared" si="52"/>
        <v/>
      </c>
      <c r="F697" s="4" t="str">
        <f>IF(Jugadores!B697="","",Jugadores!B697)</f>
        <v/>
      </c>
      <c r="G697" s="4" t="str">
        <f>IF(Jugadores!B697="","",Jugadores!A697)</f>
        <v/>
      </c>
      <c r="H697" s="4" t="str">
        <f>IF(F697="","",SUMIF('Estadísticas Jugadores'!$F$2:$F$7001,F697,'Estadísticas Jugadores'!$I$2:$I$7001))</f>
        <v/>
      </c>
      <c r="I697" s="4" t="str">
        <f t="shared" si="53"/>
        <v/>
      </c>
      <c r="J697" s="4" t="str">
        <f t="shared" si="54"/>
        <v/>
      </c>
    </row>
    <row r="698" spans="1:10" ht="15" customHeight="1" x14ac:dyDescent="0.25">
      <c r="A698" s="8" t="str">
        <f>IF(COUNT($J$2:$J$1501)&gt;=697,697,"")</f>
        <v/>
      </c>
      <c r="B698" s="8" t="str">
        <f t="shared" si="50"/>
        <v/>
      </c>
      <c r="C698" s="8" t="str">
        <f t="shared" si="51"/>
        <v/>
      </c>
      <c r="D698" s="8" t="str">
        <f t="shared" si="52"/>
        <v/>
      </c>
      <c r="F698" s="4" t="str">
        <f>IF(Jugadores!B698="","",Jugadores!B698)</f>
        <v/>
      </c>
      <c r="G698" s="4" t="str">
        <f>IF(Jugadores!B698="","",Jugadores!A698)</f>
        <v/>
      </c>
      <c r="H698" s="4" t="str">
        <f>IF(F698="","",SUMIF('Estadísticas Jugadores'!$F$2:$F$7001,F698,'Estadísticas Jugadores'!$I$2:$I$7001))</f>
        <v/>
      </c>
      <c r="I698" s="4" t="str">
        <f t="shared" si="53"/>
        <v/>
      </c>
      <c r="J698" s="4" t="str">
        <f t="shared" si="54"/>
        <v/>
      </c>
    </row>
    <row r="699" spans="1:10" ht="15" customHeight="1" x14ac:dyDescent="0.25">
      <c r="A699" s="8" t="str">
        <f>IF(COUNT($J$2:$J$1501)&gt;=698,698,"")</f>
        <v/>
      </c>
      <c r="B699" s="8" t="str">
        <f t="shared" si="50"/>
        <v/>
      </c>
      <c r="C699" s="8" t="str">
        <f t="shared" si="51"/>
        <v/>
      </c>
      <c r="D699" s="8" t="str">
        <f t="shared" si="52"/>
        <v/>
      </c>
      <c r="F699" s="4" t="str">
        <f>IF(Jugadores!B699="","",Jugadores!B699)</f>
        <v/>
      </c>
      <c r="G699" s="4" t="str">
        <f>IF(Jugadores!B699="","",Jugadores!A699)</f>
        <v/>
      </c>
      <c r="H699" s="4" t="str">
        <f>IF(F699="","",SUMIF('Estadísticas Jugadores'!$F$2:$F$7001,F699,'Estadísticas Jugadores'!$I$2:$I$7001))</f>
        <v/>
      </c>
      <c r="I699" s="4" t="str">
        <f t="shared" si="53"/>
        <v/>
      </c>
      <c r="J699" s="4" t="str">
        <f t="shared" si="54"/>
        <v/>
      </c>
    </row>
    <row r="700" spans="1:10" ht="15" customHeight="1" x14ac:dyDescent="0.25">
      <c r="A700" s="8" t="str">
        <f>IF(COUNT($J$2:$J$1501)&gt;=699,699,"")</f>
        <v/>
      </c>
      <c r="B700" s="8" t="str">
        <f t="shared" si="50"/>
        <v/>
      </c>
      <c r="C700" s="8" t="str">
        <f t="shared" si="51"/>
        <v/>
      </c>
      <c r="D700" s="8" t="str">
        <f t="shared" si="52"/>
        <v/>
      </c>
      <c r="F700" s="4" t="str">
        <f>IF(Jugadores!B700="","",Jugadores!B700)</f>
        <v/>
      </c>
      <c r="G700" s="4" t="str">
        <f>IF(Jugadores!B700="","",Jugadores!A700)</f>
        <v/>
      </c>
      <c r="H700" s="4" t="str">
        <f>IF(F700="","",SUMIF('Estadísticas Jugadores'!$F$2:$F$7001,F700,'Estadísticas Jugadores'!$I$2:$I$7001))</f>
        <v/>
      </c>
      <c r="I700" s="4" t="str">
        <f t="shared" si="53"/>
        <v/>
      </c>
      <c r="J700" s="4" t="str">
        <f t="shared" si="54"/>
        <v/>
      </c>
    </row>
    <row r="701" spans="1:10" ht="15" customHeight="1" x14ac:dyDescent="0.25">
      <c r="A701" s="8" t="str">
        <f>IF(COUNT($J$2:$J$1501)&gt;=700,700,"")</f>
        <v/>
      </c>
      <c r="B701" s="8" t="str">
        <f t="shared" si="50"/>
        <v/>
      </c>
      <c r="C701" s="8" t="str">
        <f t="shared" si="51"/>
        <v/>
      </c>
      <c r="D701" s="8" t="str">
        <f t="shared" si="52"/>
        <v/>
      </c>
      <c r="F701" s="4" t="str">
        <f>IF(Jugadores!B701="","",Jugadores!B701)</f>
        <v/>
      </c>
      <c r="G701" s="4" t="str">
        <f>IF(Jugadores!B701="","",Jugadores!A701)</f>
        <v/>
      </c>
      <c r="H701" s="4" t="str">
        <f>IF(F701="","",SUMIF('Estadísticas Jugadores'!$F$2:$F$7001,F701,'Estadísticas Jugadores'!$I$2:$I$7001))</f>
        <v/>
      </c>
      <c r="I701" s="4" t="str">
        <f t="shared" si="53"/>
        <v/>
      </c>
      <c r="J701" s="4" t="str">
        <f t="shared" si="54"/>
        <v/>
      </c>
    </row>
    <row r="702" spans="1:10" ht="15" customHeight="1" x14ac:dyDescent="0.25">
      <c r="A702" s="8" t="str">
        <f>IF(COUNT($J$2:$J$1501)&gt;=701,701,"")</f>
        <v/>
      </c>
      <c r="B702" s="8" t="str">
        <f t="shared" si="50"/>
        <v/>
      </c>
      <c r="C702" s="8" t="str">
        <f t="shared" si="51"/>
        <v/>
      </c>
      <c r="D702" s="8" t="str">
        <f t="shared" si="52"/>
        <v/>
      </c>
      <c r="F702" s="4" t="str">
        <f>IF(Jugadores!B702="","",Jugadores!B702)</f>
        <v/>
      </c>
      <c r="G702" s="4" t="str">
        <f>IF(Jugadores!B702="","",Jugadores!A702)</f>
        <v/>
      </c>
      <c r="H702" s="4" t="str">
        <f>IF(F702="","",SUMIF('Estadísticas Jugadores'!$F$2:$F$7001,F702,'Estadísticas Jugadores'!$I$2:$I$7001))</f>
        <v/>
      </c>
      <c r="I702" s="4" t="str">
        <f t="shared" si="53"/>
        <v/>
      </c>
      <c r="J702" s="4" t="str">
        <f t="shared" si="54"/>
        <v/>
      </c>
    </row>
    <row r="703" spans="1:10" ht="15" customHeight="1" x14ac:dyDescent="0.25">
      <c r="A703" s="8" t="str">
        <f>IF(COUNT($J$2:$J$1501)&gt;=702,702,"")</f>
        <v/>
      </c>
      <c r="B703" s="8" t="str">
        <f t="shared" si="50"/>
        <v/>
      </c>
      <c r="C703" s="8" t="str">
        <f t="shared" si="51"/>
        <v/>
      </c>
      <c r="D703" s="8" t="str">
        <f t="shared" si="52"/>
        <v/>
      </c>
      <c r="F703" s="4" t="str">
        <f>IF(Jugadores!B703="","",Jugadores!B703)</f>
        <v/>
      </c>
      <c r="G703" s="4" t="str">
        <f>IF(Jugadores!B703="","",Jugadores!A703)</f>
        <v/>
      </c>
      <c r="H703" s="4" t="str">
        <f>IF(F703="","",SUMIF('Estadísticas Jugadores'!$F$2:$F$7001,F703,'Estadísticas Jugadores'!$I$2:$I$7001))</f>
        <v/>
      </c>
      <c r="I703" s="4" t="str">
        <f t="shared" si="53"/>
        <v/>
      </c>
      <c r="J703" s="4" t="str">
        <f t="shared" si="54"/>
        <v/>
      </c>
    </row>
    <row r="704" spans="1:10" ht="15" customHeight="1" x14ac:dyDescent="0.25">
      <c r="A704" s="8" t="str">
        <f>IF(COUNT($J$2:$J$1501)&gt;=703,703,"")</f>
        <v/>
      </c>
      <c r="B704" s="8" t="str">
        <f t="shared" si="50"/>
        <v/>
      </c>
      <c r="C704" s="8" t="str">
        <f t="shared" si="51"/>
        <v/>
      </c>
      <c r="D704" s="8" t="str">
        <f t="shared" si="52"/>
        <v/>
      </c>
      <c r="F704" s="4" t="str">
        <f>IF(Jugadores!B704="","",Jugadores!B704)</f>
        <v/>
      </c>
      <c r="G704" s="4" t="str">
        <f>IF(Jugadores!B704="","",Jugadores!A704)</f>
        <v/>
      </c>
      <c r="H704" s="4" t="str">
        <f>IF(F704="","",SUMIF('Estadísticas Jugadores'!$F$2:$F$7001,F704,'Estadísticas Jugadores'!$I$2:$I$7001))</f>
        <v/>
      </c>
      <c r="I704" s="4" t="str">
        <f t="shared" si="53"/>
        <v/>
      </c>
      <c r="J704" s="4" t="str">
        <f t="shared" si="54"/>
        <v/>
      </c>
    </row>
    <row r="705" spans="1:10" ht="15" customHeight="1" x14ac:dyDescent="0.25">
      <c r="A705" s="8" t="str">
        <f>IF(COUNT($J$2:$J$1501)&gt;=704,704,"")</f>
        <v/>
      </c>
      <c r="B705" s="8" t="str">
        <f t="shared" si="50"/>
        <v/>
      </c>
      <c r="C705" s="8" t="str">
        <f t="shared" si="51"/>
        <v/>
      </c>
      <c r="D705" s="8" t="str">
        <f t="shared" si="52"/>
        <v/>
      </c>
      <c r="F705" s="4" t="str">
        <f>IF(Jugadores!B705="","",Jugadores!B705)</f>
        <v/>
      </c>
      <c r="G705" s="4" t="str">
        <f>IF(Jugadores!B705="","",Jugadores!A705)</f>
        <v/>
      </c>
      <c r="H705" s="4" t="str">
        <f>IF(F705="","",SUMIF('Estadísticas Jugadores'!$F$2:$F$7001,F705,'Estadísticas Jugadores'!$I$2:$I$7001))</f>
        <v/>
      </c>
      <c r="I705" s="4" t="str">
        <f t="shared" si="53"/>
        <v/>
      </c>
      <c r="J705" s="4" t="str">
        <f t="shared" si="54"/>
        <v/>
      </c>
    </row>
    <row r="706" spans="1:10" ht="15" customHeight="1" x14ac:dyDescent="0.25">
      <c r="A706" s="8" t="str">
        <f>IF(COUNT($J$2:$J$1501)&gt;=705,705,"")</f>
        <v/>
      </c>
      <c r="B706" s="8" t="str">
        <f t="shared" ref="B706:B769" si="55">IF($A706="","",INDEX($F$2:$F$1501,MATCH($A706,$J$2:$J$1501,0)))</f>
        <v/>
      </c>
      <c r="C706" s="8" t="str">
        <f t="shared" ref="C706:C769" si="56">IF($A706="","",INDEX($G$2:$G$1501,MATCH($A706,$J$2:$J$1501,0)))</f>
        <v/>
      </c>
      <c r="D706" s="8" t="str">
        <f t="shared" ref="D706:D769" si="57">IF($A706="","",INDEX($H$2:$H$1501,MATCH($A706,$J$2:$J$1501,0)))</f>
        <v/>
      </c>
      <c r="F706" s="4" t="str">
        <f>IF(Jugadores!B706="","",Jugadores!B706)</f>
        <v/>
      </c>
      <c r="G706" s="4" t="str">
        <f>IF(Jugadores!B706="","",Jugadores!A706)</f>
        <v/>
      </c>
      <c r="H706" s="4" t="str">
        <f>IF(F706="","",SUMIF('Estadísticas Jugadores'!$F$2:$F$7001,F706,'Estadísticas Jugadores'!$I$2:$I$7001))</f>
        <v/>
      </c>
      <c r="I706" s="4" t="str">
        <f t="shared" ref="I706:I769" si="58">IF(F706="","",H706*1000-ROW()*0.0000001)</f>
        <v/>
      </c>
      <c r="J706" s="4" t="str">
        <f t="shared" ref="J706:J769" si="59">IF(F706="","",RANK(I706,$I$2:$I$1501))</f>
        <v/>
      </c>
    </row>
    <row r="707" spans="1:10" ht="15" customHeight="1" x14ac:dyDescent="0.25">
      <c r="A707" s="8" t="str">
        <f>IF(COUNT($J$2:$J$1501)&gt;=706,706,"")</f>
        <v/>
      </c>
      <c r="B707" s="8" t="str">
        <f t="shared" si="55"/>
        <v/>
      </c>
      <c r="C707" s="8" t="str">
        <f t="shared" si="56"/>
        <v/>
      </c>
      <c r="D707" s="8" t="str">
        <f t="shared" si="57"/>
        <v/>
      </c>
      <c r="F707" s="4" t="str">
        <f>IF(Jugadores!B707="","",Jugadores!B707)</f>
        <v/>
      </c>
      <c r="G707" s="4" t="str">
        <f>IF(Jugadores!B707="","",Jugadores!A707)</f>
        <v/>
      </c>
      <c r="H707" s="4" t="str">
        <f>IF(F707="","",SUMIF('Estadísticas Jugadores'!$F$2:$F$7001,F707,'Estadísticas Jugadores'!$I$2:$I$7001))</f>
        <v/>
      </c>
      <c r="I707" s="4" t="str">
        <f t="shared" si="58"/>
        <v/>
      </c>
      <c r="J707" s="4" t="str">
        <f t="shared" si="59"/>
        <v/>
      </c>
    </row>
    <row r="708" spans="1:10" ht="15" customHeight="1" x14ac:dyDescent="0.25">
      <c r="A708" s="8" t="str">
        <f>IF(COUNT($J$2:$J$1501)&gt;=707,707,"")</f>
        <v/>
      </c>
      <c r="B708" s="8" t="str">
        <f t="shared" si="55"/>
        <v/>
      </c>
      <c r="C708" s="8" t="str">
        <f t="shared" si="56"/>
        <v/>
      </c>
      <c r="D708" s="8" t="str">
        <f t="shared" si="57"/>
        <v/>
      </c>
      <c r="F708" s="4" t="str">
        <f>IF(Jugadores!B708="","",Jugadores!B708)</f>
        <v/>
      </c>
      <c r="G708" s="4" t="str">
        <f>IF(Jugadores!B708="","",Jugadores!A708)</f>
        <v/>
      </c>
      <c r="H708" s="4" t="str">
        <f>IF(F708="","",SUMIF('Estadísticas Jugadores'!$F$2:$F$7001,F708,'Estadísticas Jugadores'!$I$2:$I$7001))</f>
        <v/>
      </c>
      <c r="I708" s="4" t="str">
        <f t="shared" si="58"/>
        <v/>
      </c>
      <c r="J708" s="4" t="str">
        <f t="shared" si="59"/>
        <v/>
      </c>
    </row>
    <row r="709" spans="1:10" ht="15" customHeight="1" x14ac:dyDescent="0.25">
      <c r="A709" s="8" t="str">
        <f>IF(COUNT($J$2:$J$1501)&gt;=708,708,"")</f>
        <v/>
      </c>
      <c r="B709" s="8" t="str">
        <f t="shared" si="55"/>
        <v/>
      </c>
      <c r="C709" s="8" t="str">
        <f t="shared" si="56"/>
        <v/>
      </c>
      <c r="D709" s="8" t="str">
        <f t="shared" si="57"/>
        <v/>
      </c>
      <c r="F709" s="4" t="str">
        <f>IF(Jugadores!B709="","",Jugadores!B709)</f>
        <v/>
      </c>
      <c r="G709" s="4" t="str">
        <f>IF(Jugadores!B709="","",Jugadores!A709)</f>
        <v/>
      </c>
      <c r="H709" s="4" t="str">
        <f>IF(F709="","",SUMIF('Estadísticas Jugadores'!$F$2:$F$7001,F709,'Estadísticas Jugadores'!$I$2:$I$7001))</f>
        <v/>
      </c>
      <c r="I709" s="4" t="str">
        <f t="shared" si="58"/>
        <v/>
      </c>
      <c r="J709" s="4" t="str">
        <f t="shared" si="59"/>
        <v/>
      </c>
    </row>
    <row r="710" spans="1:10" ht="15" customHeight="1" x14ac:dyDescent="0.25">
      <c r="A710" s="8" t="str">
        <f>IF(COUNT($J$2:$J$1501)&gt;=709,709,"")</f>
        <v/>
      </c>
      <c r="B710" s="8" t="str">
        <f t="shared" si="55"/>
        <v/>
      </c>
      <c r="C710" s="8" t="str">
        <f t="shared" si="56"/>
        <v/>
      </c>
      <c r="D710" s="8" t="str">
        <f t="shared" si="57"/>
        <v/>
      </c>
      <c r="F710" s="4" t="str">
        <f>IF(Jugadores!B710="","",Jugadores!B710)</f>
        <v/>
      </c>
      <c r="G710" s="4" t="str">
        <f>IF(Jugadores!B710="","",Jugadores!A710)</f>
        <v/>
      </c>
      <c r="H710" s="4" t="str">
        <f>IF(F710="","",SUMIF('Estadísticas Jugadores'!$F$2:$F$7001,F710,'Estadísticas Jugadores'!$I$2:$I$7001))</f>
        <v/>
      </c>
      <c r="I710" s="4" t="str">
        <f t="shared" si="58"/>
        <v/>
      </c>
      <c r="J710" s="4" t="str">
        <f t="shared" si="59"/>
        <v/>
      </c>
    </row>
    <row r="711" spans="1:10" ht="15" customHeight="1" x14ac:dyDescent="0.25">
      <c r="A711" s="8" t="str">
        <f>IF(COUNT($J$2:$J$1501)&gt;=710,710,"")</f>
        <v/>
      </c>
      <c r="B711" s="8" t="str">
        <f t="shared" si="55"/>
        <v/>
      </c>
      <c r="C711" s="8" t="str">
        <f t="shared" si="56"/>
        <v/>
      </c>
      <c r="D711" s="8" t="str">
        <f t="shared" si="57"/>
        <v/>
      </c>
      <c r="F711" s="4" t="str">
        <f>IF(Jugadores!B711="","",Jugadores!B711)</f>
        <v/>
      </c>
      <c r="G711" s="4" t="str">
        <f>IF(Jugadores!B711="","",Jugadores!A711)</f>
        <v/>
      </c>
      <c r="H711" s="4" t="str">
        <f>IF(F711="","",SUMIF('Estadísticas Jugadores'!$F$2:$F$7001,F711,'Estadísticas Jugadores'!$I$2:$I$7001))</f>
        <v/>
      </c>
      <c r="I711" s="4" t="str">
        <f t="shared" si="58"/>
        <v/>
      </c>
      <c r="J711" s="4" t="str">
        <f t="shared" si="59"/>
        <v/>
      </c>
    </row>
    <row r="712" spans="1:10" ht="15" customHeight="1" x14ac:dyDescent="0.25">
      <c r="A712" s="8" t="str">
        <f>IF(COUNT($J$2:$J$1501)&gt;=711,711,"")</f>
        <v/>
      </c>
      <c r="B712" s="8" t="str">
        <f t="shared" si="55"/>
        <v/>
      </c>
      <c r="C712" s="8" t="str">
        <f t="shared" si="56"/>
        <v/>
      </c>
      <c r="D712" s="8" t="str">
        <f t="shared" si="57"/>
        <v/>
      </c>
      <c r="F712" s="4" t="str">
        <f>IF(Jugadores!B712="","",Jugadores!B712)</f>
        <v/>
      </c>
      <c r="G712" s="4" t="str">
        <f>IF(Jugadores!B712="","",Jugadores!A712)</f>
        <v/>
      </c>
      <c r="H712" s="4" t="str">
        <f>IF(F712="","",SUMIF('Estadísticas Jugadores'!$F$2:$F$7001,F712,'Estadísticas Jugadores'!$I$2:$I$7001))</f>
        <v/>
      </c>
      <c r="I712" s="4" t="str">
        <f t="shared" si="58"/>
        <v/>
      </c>
      <c r="J712" s="4" t="str">
        <f t="shared" si="59"/>
        <v/>
      </c>
    </row>
    <row r="713" spans="1:10" ht="15" customHeight="1" x14ac:dyDescent="0.25">
      <c r="A713" s="8" t="str">
        <f>IF(COUNT($J$2:$J$1501)&gt;=712,712,"")</f>
        <v/>
      </c>
      <c r="B713" s="8" t="str">
        <f t="shared" si="55"/>
        <v/>
      </c>
      <c r="C713" s="8" t="str">
        <f t="shared" si="56"/>
        <v/>
      </c>
      <c r="D713" s="8" t="str">
        <f t="shared" si="57"/>
        <v/>
      </c>
      <c r="F713" s="4" t="str">
        <f>IF(Jugadores!B713="","",Jugadores!B713)</f>
        <v/>
      </c>
      <c r="G713" s="4" t="str">
        <f>IF(Jugadores!B713="","",Jugadores!A713)</f>
        <v/>
      </c>
      <c r="H713" s="4" t="str">
        <f>IF(F713="","",SUMIF('Estadísticas Jugadores'!$F$2:$F$7001,F713,'Estadísticas Jugadores'!$I$2:$I$7001))</f>
        <v/>
      </c>
      <c r="I713" s="4" t="str">
        <f t="shared" si="58"/>
        <v/>
      </c>
      <c r="J713" s="4" t="str">
        <f t="shared" si="59"/>
        <v/>
      </c>
    </row>
    <row r="714" spans="1:10" ht="15" customHeight="1" x14ac:dyDescent="0.25">
      <c r="A714" s="8" t="str">
        <f>IF(COUNT($J$2:$J$1501)&gt;=713,713,"")</f>
        <v/>
      </c>
      <c r="B714" s="8" t="str">
        <f t="shared" si="55"/>
        <v/>
      </c>
      <c r="C714" s="8" t="str">
        <f t="shared" si="56"/>
        <v/>
      </c>
      <c r="D714" s="8" t="str">
        <f t="shared" si="57"/>
        <v/>
      </c>
      <c r="F714" s="4" t="str">
        <f>IF(Jugadores!B714="","",Jugadores!B714)</f>
        <v/>
      </c>
      <c r="G714" s="4" t="str">
        <f>IF(Jugadores!B714="","",Jugadores!A714)</f>
        <v/>
      </c>
      <c r="H714" s="4" t="str">
        <f>IF(F714="","",SUMIF('Estadísticas Jugadores'!$F$2:$F$7001,F714,'Estadísticas Jugadores'!$I$2:$I$7001))</f>
        <v/>
      </c>
      <c r="I714" s="4" t="str">
        <f t="shared" si="58"/>
        <v/>
      </c>
      <c r="J714" s="4" t="str">
        <f t="shared" si="59"/>
        <v/>
      </c>
    </row>
    <row r="715" spans="1:10" ht="15" customHeight="1" x14ac:dyDescent="0.25">
      <c r="A715" s="8" t="str">
        <f>IF(COUNT($J$2:$J$1501)&gt;=714,714,"")</f>
        <v/>
      </c>
      <c r="B715" s="8" t="str">
        <f t="shared" si="55"/>
        <v/>
      </c>
      <c r="C715" s="8" t="str">
        <f t="shared" si="56"/>
        <v/>
      </c>
      <c r="D715" s="8" t="str">
        <f t="shared" si="57"/>
        <v/>
      </c>
      <c r="F715" s="4" t="str">
        <f>IF(Jugadores!B715="","",Jugadores!B715)</f>
        <v/>
      </c>
      <c r="G715" s="4" t="str">
        <f>IF(Jugadores!B715="","",Jugadores!A715)</f>
        <v/>
      </c>
      <c r="H715" s="4" t="str">
        <f>IF(F715="","",SUMIF('Estadísticas Jugadores'!$F$2:$F$7001,F715,'Estadísticas Jugadores'!$I$2:$I$7001))</f>
        <v/>
      </c>
      <c r="I715" s="4" t="str">
        <f t="shared" si="58"/>
        <v/>
      </c>
      <c r="J715" s="4" t="str">
        <f t="shared" si="59"/>
        <v/>
      </c>
    </row>
    <row r="716" spans="1:10" ht="15" customHeight="1" x14ac:dyDescent="0.25">
      <c r="A716" s="8" t="str">
        <f>IF(COUNT($J$2:$J$1501)&gt;=715,715,"")</f>
        <v/>
      </c>
      <c r="B716" s="8" t="str">
        <f t="shared" si="55"/>
        <v/>
      </c>
      <c r="C716" s="8" t="str">
        <f t="shared" si="56"/>
        <v/>
      </c>
      <c r="D716" s="8" t="str">
        <f t="shared" si="57"/>
        <v/>
      </c>
      <c r="F716" s="4" t="str">
        <f>IF(Jugadores!B716="","",Jugadores!B716)</f>
        <v/>
      </c>
      <c r="G716" s="4" t="str">
        <f>IF(Jugadores!B716="","",Jugadores!A716)</f>
        <v/>
      </c>
      <c r="H716" s="4" t="str">
        <f>IF(F716="","",SUMIF('Estadísticas Jugadores'!$F$2:$F$7001,F716,'Estadísticas Jugadores'!$I$2:$I$7001))</f>
        <v/>
      </c>
      <c r="I716" s="4" t="str">
        <f t="shared" si="58"/>
        <v/>
      </c>
      <c r="J716" s="4" t="str">
        <f t="shared" si="59"/>
        <v/>
      </c>
    </row>
    <row r="717" spans="1:10" ht="15" customHeight="1" x14ac:dyDescent="0.25">
      <c r="A717" s="8" t="str">
        <f>IF(COUNT($J$2:$J$1501)&gt;=716,716,"")</f>
        <v/>
      </c>
      <c r="B717" s="8" t="str">
        <f t="shared" si="55"/>
        <v/>
      </c>
      <c r="C717" s="8" t="str">
        <f t="shared" si="56"/>
        <v/>
      </c>
      <c r="D717" s="8" t="str">
        <f t="shared" si="57"/>
        <v/>
      </c>
      <c r="F717" s="4" t="str">
        <f>IF(Jugadores!B717="","",Jugadores!B717)</f>
        <v/>
      </c>
      <c r="G717" s="4" t="str">
        <f>IF(Jugadores!B717="","",Jugadores!A717)</f>
        <v/>
      </c>
      <c r="H717" s="4" t="str">
        <f>IF(F717="","",SUMIF('Estadísticas Jugadores'!$F$2:$F$7001,F717,'Estadísticas Jugadores'!$I$2:$I$7001))</f>
        <v/>
      </c>
      <c r="I717" s="4" t="str">
        <f t="shared" si="58"/>
        <v/>
      </c>
      <c r="J717" s="4" t="str">
        <f t="shared" si="59"/>
        <v/>
      </c>
    </row>
    <row r="718" spans="1:10" ht="15" customHeight="1" x14ac:dyDescent="0.25">
      <c r="A718" s="8" t="str">
        <f>IF(COUNT($J$2:$J$1501)&gt;=717,717,"")</f>
        <v/>
      </c>
      <c r="B718" s="8" t="str">
        <f t="shared" si="55"/>
        <v/>
      </c>
      <c r="C718" s="8" t="str">
        <f t="shared" si="56"/>
        <v/>
      </c>
      <c r="D718" s="8" t="str">
        <f t="shared" si="57"/>
        <v/>
      </c>
      <c r="F718" s="4" t="str">
        <f>IF(Jugadores!B718="","",Jugadores!B718)</f>
        <v/>
      </c>
      <c r="G718" s="4" t="str">
        <f>IF(Jugadores!B718="","",Jugadores!A718)</f>
        <v/>
      </c>
      <c r="H718" s="4" t="str">
        <f>IF(F718="","",SUMIF('Estadísticas Jugadores'!$F$2:$F$7001,F718,'Estadísticas Jugadores'!$I$2:$I$7001))</f>
        <v/>
      </c>
      <c r="I718" s="4" t="str">
        <f t="shared" si="58"/>
        <v/>
      </c>
      <c r="J718" s="4" t="str">
        <f t="shared" si="59"/>
        <v/>
      </c>
    </row>
    <row r="719" spans="1:10" ht="15" customHeight="1" x14ac:dyDescent="0.25">
      <c r="A719" s="8" t="str">
        <f>IF(COUNT($J$2:$J$1501)&gt;=718,718,"")</f>
        <v/>
      </c>
      <c r="B719" s="8" t="str">
        <f t="shared" si="55"/>
        <v/>
      </c>
      <c r="C719" s="8" t="str">
        <f t="shared" si="56"/>
        <v/>
      </c>
      <c r="D719" s="8" t="str">
        <f t="shared" si="57"/>
        <v/>
      </c>
      <c r="F719" s="4" t="str">
        <f>IF(Jugadores!B719="","",Jugadores!B719)</f>
        <v/>
      </c>
      <c r="G719" s="4" t="str">
        <f>IF(Jugadores!B719="","",Jugadores!A719)</f>
        <v/>
      </c>
      <c r="H719" s="4" t="str">
        <f>IF(F719="","",SUMIF('Estadísticas Jugadores'!$F$2:$F$7001,F719,'Estadísticas Jugadores'!$I$2:$I$7001))</f>
        <v/>
      </c>
      <c r="I719" s="4" t="str">
        <f t="shared" si="58"/>
        <v/>
      </c>
      <c r="J719" s="4" t="str">
        <f t="shared" si="59"/>
        <v/>
      </c>
    </row>
    <row r="720" spans="1:10" ht="15" customHeight="1" x14ac:dyDescent="0.25">
      <c r="A720" s="8" t="str">
        <f>IF(COUNT($J$2:$J$1501)&gt;=719,719,"")</f>
        <v/>
      </c>
      <c r="B720" s="8" t="str">
        <f t="shared" si="55"/>
        <v/>
      </c>
      <c r="C720" s="8" t="str">
        <f t="shared" si="56"/>
        <v/>
      </c>
      <c r="D720" s="8" t="str">
        <f t="shared" si="57"/>
        <v/>
      </c>
      <c r="F720" s="4" t="str">
        <f>IF(Jugadores!B720="","",Jugadores!B720)</f>
        <v/>
      </c>
      <c r="G720" s="4" t="str">
        <f>IF(Jugadores!B720="","",Jugadores!A720)</f>
        <v/>
      </c>
      <c r="H720" s="4" t="str">
        <f>IF(F720="","",SUMIF('Estadísticas Jugadores'!$F$2:$F$7001,F720,'Estadísticas Jugadores'!$I$2:$I$7001))</f>
        <v/>
      </c>
      <c r="I720" s="4" t="str">
        <f t="shared" si="58"/>
        <v/>
      </c>
      <c r="J720" s="4" t="str">
        <f t="shared" si="59"/>
        <v/>
      </c>
    </row>
    <row r="721" spans="1:10" ht="15" customHeight="1" x14ac:dyDescent="0.25">
      <c r="A721" s="8" t="str">
        <f>IF(COUNT($J$2:$J$1501)&gt;=720,720,"")</f>
        <v/>
      </c>
      <c r="B721" s="8" t="str">
        <f t="shared" si="55"/>
        <v/>
      </c>
      <c r="C721" s="8" t="str">
        <f t="shared" si="56"/>
        <v/>
      </c>
      <c r="D721" s="8" t="str">
        <f t="shared" si="57"/>
        <v/>
      </c>
      <c r="F721" s="4" t="str">
        <f>IF(Jugadores!B721="","",Jugadores!B721)</f>
        <v/>
      </c>
      <c r="G721" s="4" t="str">
        <f>IF(Jugadores!B721="","",Jugadores!A721)</f>
        <v/>
      </c>
      <c r="H721" s="4" t="str">
        <f>IF(F721="","",SUMIF('Estadísticas Jugadores'!$F$2:$F$7001,F721,'Estadísticas Jugadores'!$I$2:$I$7001))</f>
        <v/>
      </c>
      <c r="I721" s="4" t="str">
        <f t="shared" si="58"/>
        <v/>
      </c>
      <c r="J721" s="4" t="str">
        <f t="shared" si="59"/>
        <v/>
      </c>
    </row>
    <row r="722" spans="1:10" ht="15" customHeight="1" x14ac:dyDescent="0.25">
      <c r="A722" s="8" t="str">
        <f>IF(COUNT($J$2:$J$1501)&gt;=721,721,"")</f>
        <v/>
      </c>
      <c r="B722" s="8" t="str">
        <f t="shared" si="55"/>
        <v/>
      </c>
      <c r="C722" s="8" t="str">
        <f t="shared" si="56"/>
        <v/>
      </c>
      <c r="D722" s="8" t="str">
        <f t="shared" si="57"/>
        <v/>
      </c>
      <c r="F722" s="4" t="str">
        <f>IF(Jugadores!B722="","",Jugadores!B722)</f>
        <v/>
      </c>
      <c r="G722" s="4" t="str">
        <f>IF(Jugadores!B722="","",Jugadores!A722)</f>
        <v/>
      </c>
      <c r="H722" s="4" t="str">
        <f>IF(F722="","",SUMIF('Estadísticas Jugadores'!$F$2:$F$7001,F722,'Estadísticas Jugadores'!$I$2:$I$7001))</f>
        <v/>
      </c>
      <c r="I722" s="4" t="str">
        <f t="shared" si="58"/>
        <v/>
      </c>
      <c r="J722" s="4" t="str">
        <f t="shared" si="59"/>
        <v/>
      </c>
    </row>
    <row r="723" spans="1:10" ht="15" customHeight="1" x14ac:dyDescent="0.25">
      <c r="A723" s="8" t="str">
        <f>IF(COUNT($J$2:$J$1501)&gt;=722,722,"")</f>
        <v/>
      </c>
      <c r="B723" s="8" t="str">
        <f t="shared" si="55"/>
        <v/>
      </c>
      <c r="C723" s="8" t="str">
        <f t="shared" si="56"/>
        <v/>
      </c>
      <c r="D723" s="8" t="str">
        <f t="shared" si="57"/>
        <v/>
      </c>
      <c r="F723" s="4" t="str">
        <f>IF(Jugadores!B723="","",Jugadores!B723)</f>
        <v/>
      </c>
      <c r="G723" s="4" t="str">
        <f>IF(Jugadores!B723="","",Jugadores!A723)</f>
        <v/>
      </c>
      <c r="H723" s="4" t="str">
        <f>IF(F723="","",SUMIF('Estadísticas Jugadores'!$F$2:$F$7001,F723,'Estadísticas Jugadores'!$I$2:$I$7001))</f>
        <v/>
      </c>
      <c r="I723" s="4" t="str">
        <f t="shared" si="58"/>
        <v/>
      </c>
      <c r="J723" s="4" t="str">
        <f t="shared" si="59"/>
        <v/>
      </c>
    </row>
    <row r="724" spans="1:10" ht="15" customHeight="1" x14ac:dyDescent="0.25">
      <c r="A724" s="8" t="str">
        <f>IF(COUNT($J$2:$J$1501)&gt;=723,723,"")</f>
        <v/>
      </c>
      <c r="B724" s="8" t="str">
        <f t="shared" si="55"/>
        <v/>
      </c>
      <c r="C724" s="8" t="str">
        <f t="shared" si="56"/>
        <v/>
      </c>
      <c r="D724" s="8" t="str">
        <f t="shared" si="57"/>
        <v/>
      </c>
      <c r="F724" s="4" t="str">
        <f>IF(Jugadores!B724="","",Jugadores!B724)</f>
        <v/>
      </c>
      <c r="G724" s="4" t="str">
        <f>IF(Jugadores!B724="","",Jugadores!A724)</f>
        <v/>
      </c>
      <c r="H724" s="4" t="str">
        <f>IF(F724="","",SUMIF('Estadísticas Jugadores'!$F$2:$F$7001,F724,'Estadísticas Jugadores'!$I$2:$I$7001))</f>
        <v/>
      </c>
      <c r="I724" s="4" t="str">
        <f t="shared" si="58"/>
        <v/>
      </c>
      <c r="J724" s="4" t="str">
        <f t="shared" si="59"/>
        <v/>
      </c>
    </row>
    <row r="725" spans="1:10" ht="15" customHeight="1" x14ac:dyDescent="0.25">
      <c r="A725" s="8" t="str">
        <f>IF(COUNT($J$2:$J$1501)&gt;=724,724,"")</f>
        <v/>
      </c>
      <c r="B725" s="8" t="str">
        <f t="shared" si="55"/>
        <v/>
      </c>
      <c r="C725" s="8" t="str">
        <f t="shared" si="56"/>
        <v/>
      </c>
      <c r="D725" s="8" t="str">
        <f t="shared" si="57"/>
        <v/>
      </c>
      <c r="F725" s="4" t="str">
        <f>IF(Jugadores!B725="","",Jugadores!B725)</f>
        <v/>
      </c>
      <c r="G725" s="4" t="str">
        <f>IF(Jugadores!B725="","",Jugadores!A725)</f>
        <v/>
      </c>
      <c r="H725" s="4" t="str">
        <f>IF(F725="","",SUMIF('Estadísticas Jugadores'!$F$2:$F$7001,F725,'Estadísticas Jugadores'!$I$2:$I$7001))</f>
        <v/>
      </c>
      <c r="I725" s="4" t="str">
        <f t="shared" si="58"/>
        <v/>
      </c>
      <c r="J725" s="4" t="str">
        <f t="shared" si="59"/>
        <v/>
      </c>
    </row>
    <row r="726" spans="1:10" ht="15" customHeight="1" x14ac:dyDescent="0.25">
      <c r="A726" s="8" t="str">
        <f>IF(COUNT($J$2:$J$1501)&gt;=725,725,"")</f>
        <v/>
      </c>
      <c r="B726" s="8" t="str">
        <f t="shared" si="55"/>
        <v/>
      </c>
      <c r="C726" s="8" t="str">
        <f t="shared" si="56"/>
        <v/>
      </c>
      <c r="D726" s="8" t="str">
        <f t="shared" si="57"/>
        <v/>
      </c>
      <c r="F726" s="4" t="str">
        <f>IF(Jugadores!B726="","",Jugadores!B726)</f>
        <v/>
      </c>
      <c r="G726" s="4" t="str">
        <f>IF(Jugadores!B726="","",Jugadores!A726)</f>
        <v/>
      </c>
      <c r="H726" s="4" t="str">
        <f>IF(F726="","",SUMIF('Estadísticas Jugadores'!$F$2:$F$7001,F726,'Estadísticas Jugadores'!$I$2:$I$7001))</f>
        <v/>
      </c>
      <c r="I726" s="4" t="str">
        <f t="shared" si="58"/>
        <v/>
      </c>
      <c r="J726" s="4" t="str">
        <f t="shared" si="59"/>
        <v/>
      </c>
    </row>
    <row r="727" spans="1:10" ht="15" customHeight="1" x14ac:dyDescent="0.25">
      <c r="A727" s="8" t="str">
        <f>IF(COUNT($J$2:$J$1501)&gt;=726,726,"")</f>
        <v/>
      </c>
      <c r="B727" s="8" t="str">
        <f t="shared" si="55"/>
        <v/>
      </c>
      <c r="C727" s="8" t="str">
        <f t="shared" si="56"/>
        <v/>
      </c>
      <c r="D727" s="8" t="str">
        <f t="shared" si="57"/>
        <v/>
      </c>
      <c r="F727" s="4" t="str">
        <f>IF(Jugadores!B727="","",Jugadores!B727)</f>
        <v/>
      </c>
      <c r="G727" s="4" t="str">
        <f>IF(Jugadores!B727="","",Jugadores!A727)</f>
        <v/>
      </c>
      <c r="H727" s="4" t="str">
        <f>IF(F727="","",SUMIF('Estadísticas Jugadores'!$F$2:$F$7001,F727,'Estadísticas Jugadores'!$I$2:$I$7001))</f>
        <v/>
      </c>
      <c r="I727" s="4" t="str">
        <f t="shared" si="58"/>
        <v/>
      </c>
      <c r="J727" s="4" t="str">
        <f t="shared" si="59"/>
        <v/>
      </c>
    </row>
    <row r="728" spans="1:10" ht="15" customHeight="1" x14ac:dyDescent="0.25">
      <c r="A728" s="8" t="str">
        <f>IF(COUNT($J$2:$J$1501)&gt;=727,727,"")</f>
        <v/>
      </c>
      <c r="B728" s="8" t="str">
        <f t="shared" si="55"/>
        <v/>
      </c>
      <c r="C728" s="8" t="str">
        <f t="shared" si="56"/>
        <v/>
      </c>
      <c r="D728" s="8" t="str">
        <f t="shared" si="57"/>
        <v/>
      </c>
      <c r="F728" s="4" t="str">
        <f>IF(Jugadores!B728="","",Jugadores!B728)</f>
        <v/>
      </c>
      <c r="G728" s="4" t="str">
        <f>IF(Jugadores!B728="","",Jugadores!A728)</f>
        <v/>
      </c>
      <c r="H728" s="4" t="str">
        <f>IF(F728="","",SUMIF('Estadísticas Jugadores'!$F$2:$F$7001,F728,'Estadísticas Jugadores'!$I$2:$I$7001))</f>
        <v/>
      </c>
      <c r="I728" s="4" t="str">
        <f t="shared" si="58"/>
        <v/>
      </c>
      <c r="J728" s="4" t="str">
        <f t="shared" si="59"/>
        <v/>
      </c>
    </row>
    <row r="729" spans="1:10" ht="15" customHeight="1" x14ac:dyDescent="0.25">
      <c r="A729" s="8" t="str">
        <f>IF(COUNT($J$2:$J$1501)&gt;=728,728,"")</f>
        <v/>
      </c>
      <c r="B729" s="8" t="str">
        <f t="shared" si="55"/>
        <v/>
      </c>
      <c r="C729" s="8" t="str">
        <f t="shared" si="56"/>
        <v/>
      </c>
      <c r="D729" s="8" t="str">
        <f t="shared" si="57"/>
        <v/>
      </c>
      <c r="F729" s="4" t="str">
        <f>IF(Jugadores!B729="","",Jugadores!B729)</f>
        <v/>
      </c>
      <c r="G729" s="4" t="str">
        <f>IF(Jugadores!B729="","",Jugadores!A729)</f>
        <v/>
      </c>
      <c r="H729" s="4" t="str">
        <f>IF(F729="","",SUMIF('Estadísticas Jugadores'!$F$2:$F$7001,F729,'Estadísticas Jugadores'!$I$2:$I$7001))</f>
        <v/>
      </c>
      <c r="I729" s="4" t="str">
        <f t="shared" si="58"/>
        <v/>
      </c>
      <c r="J729" s="4" t="str">
        <f t="shared" si="59"/>
        <v/>
      </c>
    </row>
    <row r="730" spans="1:10" ht="15" customHeight="1" x14ac:dyDescent="0.25">
      <c r="A730" s="8" t="str">
        <f>IF(COUNT($J$2:$J$1501)&gt;=729,729,"")</f>
        <v/>
      </c>
      <c r="B730" s="8" t="str">
        <f t="shared" si="55"/>
        <v/>
      </c>
      <c r="C730" s="8" t="str">
        <f t="shared" si="56"/>
        <v/>
      </c>
      <c r="D730" s="8" t="str">
        <f t="shared" si="57"/>
        <v/>
      </c>
      <c r="F730" s="4" t="str">
        <f>IF(Jugadores!B730="","",Jugadores!B730)</f>
        <v/>
      </c>
      <c r="G730" s="4" t="str">
        <f>IF(Jugadores!B730="","",Jugadores!A730)</f>
        <v/>
      </c>
      <c r="H730" s="4" t="str">
        <f>IF(F730="","",SUMIF('Estadísticas Jugadores'!$F$2:$F$7001,F730,'Estadísticas Jugadores'!$I$2:$I$7001))</f>
        <v/>
      </c>
      <c r="I730" s="4" t="str">
        <f t="shared" si="58"/>
        <v/>
      </c>
      <c r="J730" s="4" t="str">
        <f t="shared" si="59"/>
        <v/>
      </c>
    </row>
    <row r="731" spans="1:10" ht="15" customHeight="1" x14ac:dyDescent="0.25">
      <c r="A731" s="8" t="str">
        <f>IF(COUNT($J$2:$J$1501)&gt;=730,730,"")</f>
        <v/>
      </c>
      <c r="B731" s="8" t="str">
        <f t="shared" si="55"/>
        <v/>
      </c>
      <c r="C731" s="8" t="str">
        <f t="shared" si="56"/>
        <v/>
      </c>
      <c r="D731" s="8" t="str">
        <f t="shared" si="57"/>
        <v/>
      </c>
      <c r="F731" s="4" t="str">
        <f>IF(Jugadores!B731="","",Jugadores!B731)</f>
        <v/>
      </c>
      <c r="G731" s="4" t="str">
        <f>IF(Jugadores!B731="","",Jugadores!A731)</f>
        <v/>
      </c>
      <c r="H731" s="4" t="str">
        <f>IF(F731="","",SUMIF('Estadísticas Jugadores'!$F$2:$F$7001,F731,'Estadísticas Jugadores'!$I$2:$I$7001))</f>
        <v/>
      </c>
      <c r="I731" s="4" t="str">
        <f t="shared" si="58"/>
        <v/>
      </c>
      <c r="J731" s="4" t="str">
        <f t="shared" si="59"/>
        <v/>
      </c>
    </row>
    <row r="732" spans="1:10" ht="15" customHeight="1" x14ac:dyDescent="0.25">
      <c r="A732" s="8" t="str">
        <f>IF(COUNT($J$2:$J$1501)&gt;=731,731,"")</f>
        <v/>
      </c>
      <c r="B732" s="8" t="str">
        <f t="shared" si="55"/>
        <v/>
      </c>
      <c r="C732" s="8" t="str">
        <f t="shared" si="56"/>
        <v/>
      </c>
      <c r="D732" s="8" t="str">
        <f t="shared" si="57"/>
        <v/>
      </c>
      <c r="F732" s="4" t="str">
        <f>IF(Jugadores!B732="","",Jugadores!B732)</f>
        <v/>
      </c>
      <c r="G732" s="4" t="str">
        <f>IF(Jugadores!B732="","",Jugadores!A732)</f>
        <v/>
      </c>
      <c r="H732" s="4" t="str">
        <f>IF(F732="","",SUMIF('Estadísticas Jugadores'!$F$2:$F$7001,F732,'Estadísticas Jugadores'!$I$2:$I$7001))</f>
        <v/>
      </c>
      <c r="I732" s="4" t="str">
        <f t="shared" si="58"/>
        <v/>
      </c>
      <c r="J732" s="4" t="str">
        <f t="shared" si="59"/>
        <v/>
      </c>
    </row>
    <row r="733" spans="1:10" ht="15" customHeight="1" x14ac:dyDescent="0.25">
      <c r="A733" s="8" t="str">
        <f>IF(COUNT($J$2:$J$1501)&gt;=732,732,"")</f>
        <v/>
      </c>
      <c r="B733" s="8" t="str">
        <f t="shared" si="55"/>
        <v/>
      </c>
      <c r="C733" s="8" t="str">
        <f t="shared" si="56"/>
        <v/>
      </c>
      <c r="D733" s="8" t="str">
        <f t="shared" si="57"/>
        <v/>
      </c>
      <c r="F733" s="4" t="str">
        <f>IF(Jugadores!B733="","",Jugadores!B733)</f>
        <v/>
      </c>
      <c r="G733" s="4" t="str">
        <f>IF(Jugadores!B733="","",Jugadores!A733)</f>
        <v/>
      </c>
      <c r="H733" s="4" t="str">
        <f>IF(F733="","",SUMIF('Estadísticas Jugadores'!$F$2:$F$7001,F733,'Estadísticas Jugadores'!$I$2:$I$7001))</f>
        <v/>
      </c>
      <c r="I733" s="4" t="str">
        <f t="shared" si="58"/>
        <v/>
      </c>
      <c r="J733" s="4" t="str">
        <f t="shared" si="59"/>
        <v/>
      </c>
    </row>
    <row r="734" spans="1:10" ht="15" customHeight="1" x14ac:dyDescent="0.25">
      <c r="A734" s="8" t="str">
        <f>IF(COUNT($J$2:$J$1501)&gt;=733,733,"")</f>
        <v/>
      </c>
      <c r="B734" s="8" t="str">
        <f t="shared" si="55"/>
        <v/>
      </c>
      <c r="C734" s="8" t="str">
        <f t="shared" si="56"/>
        <v/>
      </c>
      <c r="D734" s="8" t="str">
        <f t="shared" si="57"/>
        <v/>
      </c>
      <c r="F734" s="4" t="str">
        <f>IF(Jugadores!B734="","",Jugadores!B734)</f>
        <v/>
      </c>
      <c r="G734" s="4" t="str">
        <f>IF(Jugadores!B734="","",Jugadores!A734)</f>
        <v/>
      </c>
      <c r="H734" s="4" t="str">
        <f>IF(F734="","",SUMIF('Estadísticas Jugadores'!$F$2:$F$7001,F734,'Estadísticas Jugadores'!$I$2:$I$7001))</f>
        <v/>
      </c>
      <c r="I734" s="4" t="str">
        <f t="shared" si="58"/>
        <v/>
      </c>
      <c r="J734" s="4" t="str">
        <f t="shared" si="59"/>
        <v/>
      </c>
    </row>
    <row r="735" spans="1:10" ht="15" customHeight="1" x14ac:dyDescent="0.25">
      <c r="A735" s="8" t="str">
        <f>IF(COUNT($J$2:$J$1501)&gt;=734,734,"")</f>
        <v/>
      </c>
      <c r="B735" s="8" t="str">
        <f t="shared" si="55"/>
        <v/>
      </c>
      <c r="C735" s="8" t="str">
        <f t="shared" si="56"/>
        <v/>
      </c>
      <c r="D735" s="8" t="str">
        <f t="shared" si="57"/>
        <v/>
      </c>
      <c r="F735" s="4" t="str">
        <f>IF(Jugadores!B735="","",Jugadores!B735)</f>
        <v/>
      </c>
      <c r="G735" s="4" t="str">
        <f>IF(Jugadores!B735="","",Jugadores!A735)</f>
        <v/>
      </c>
      <c r="H735" s="4" t="str">
        <f>IF(F735="","",SUMIF('Estadísticas Jugadores'!$F$2:$F$7001,F735,'Estadísticas Jugadores'!$I$2:$I$7001))</f>
        <v/>
      </c>
      <c r="I735" s="4" t="str">
        <f t="shared" si="58"/>
        <v/>
      </c>
      <c r="J735" s="4" t="str">
        <f t="shared" si="59"/>
        <v/>
      </c>
    </row>
    <row r="736" spans="1:10" ht="15" customHeight="1" x14ac:dyDescent="0.25">
      <c r="A736" s="8" t="str">
        <f>IF(COUNT($J$2:$J$1501)&gt;=735,735,"")</f>
        <v/>
      </c>
      <c r="B736" s="8" t="str">
        <f t="shared" si="55"/>
        <v/>
      </c>
      <c r="C736" s="8" t="str">
        <f t="shared" si="56"/>
        <v/>
      </c>
      <c r="D736" s="8" t="str">
        <f t="shared" si="57"/>
        <v/>
      </c>
      <c r="F736" s="4" t="str">
        <f>IF(Jugadores!B736="","",Jugadores!B736)</f>
        <v/>
      </c>
      <c r="G736" s="4" t="str">
        <f>IF(Jugadores!B736="","",Jugadores!A736)</f>
        <v/>
      </c>
      <c r="H736" s="4" t="str">
        <f>IF(F736="","",SUMIF('Estadísticas Jugadores'!$F$2:$F$7001,F736,'Estadísticas Jugadores'!$I$2:$I$7001))</f>
        <v/>
      </c>
      <c r="I736" s="4" t="str">
        <f t="shared" si="58"/>
        <v/>
      </c>
      <c r="J736" s="4" t="str">
        <f t="shared" si="59"/>
        <v/>
      </c>
    </row>
    <row r="737" spans="1:10" ht="15" customHeight="1" x14ac:dyDescent="0.25">
      <c r="A737" s="8" t="str">
        <f>IF(COUNT($J$2:$J$1501)&gt;=736,736,"")</f>
        <v/>
      </c>
      <c r="B737" s="8" t="str">
        <f t="shared" si="55"/>
        <v/>
      </c>
      <c r="C737" s="8" t="str">
        <f t="shared" si="56"/>
        <v/>
      </c>
      <c r="D737" s="8" t="str">
        <f t="shared" si="57"/>
        <v/>
      </c>
      <c r="F737" s="4" t="str">
        <f>IF(Jugadores!B737="","",Jugadores!B737)</f>
        <v/>
      </c>
      <c r="G737" s="4" t="str">
        <f>IF(Jugadores!B737="","",Jugadores!A737)</f>
        <v/>
      </c>
      <c r="H737" s="4" t="str">
        <f>IF(F737="","",SUMIF('Estadísticas Jugadores'!$F$2:$F$7001,F737,'Estadísticas Jugadores'!$I$2:$I$7001))</f>
        <v/>
      </c>
      <c r="I737" s="4" t="str">
        <f t="shared" si="58"/>
        <v/>
      </c>
      <c r="J737" s="4" t="str">
        <f t="shared" si="59"/>
        <v/>
      </c>
    </row>
    <row r="738" spans="1:10" ht="15" customHeight="1" x14ac:dyDescent="0.25">
      <c r="A738" s="8" t="str">
        <f>IF(COUNT($J$2:$J$1501)&gt;=737,737,"")</f>
        <v/>
      </c>
      <c r="B738" s="8" t="str">
        <f t="shared" si="55"/>
        <v/>
      </c>
      <c r="C738" s="8" t="str">
        <f t="shared" si="56"/>
        <v/>
      </c>
      <c r="D738" s="8" t="str">
        <f t="shared" si="57"/>
        <v/>
      </c>
      <c r="F738" s="4" t="str">
        <f>IF(Jugadores!B738="","",Jugadores!B738)</f>
        <v/>
      </c>
      <c r="G738" s="4" t="str">
        <f>IF(Jugadores!B738="","",Jugadores!A738)</f>
        <v/>
      </c>
      <c r="H738" s="4" t="str">
        <f>IF(F738="","",SUMIF('Estadísticas Jugadores'!$F$2:$F$7001,F738,'Estadísticas Jugadores'!$I$2:$I$7001))</f>
        <v/>
      </c>
      <c r="I738" s="4" t="str">
        <f t="shared" si="58"/>
        <v/>
      </c>
      <c r="J738" s="4" t="str">
        <f t="shared" si="59"/>
        <v/>
      </c>
    </row>
    <row r="739" spans="1:10" ht="15" customHeight="1" x14ac:dyDescent="0.25">
      <c r="A739" s="8" t="str">
        <f>IF(COUNT($J$2:$J$1501)&gt;=738,738,"")</f>
        <v/>
      </c>
      <c r="B739" s="8" t="str">
        <f t="shared" si="55"/>
        <v/>
      </c>
      <c r="C739" s="8" t="str">
        <f t="shared" si="56"/>
        <v/>
      </c>
      <c r="D739" s="8" t="str">
        <f t="shared" si="57"/>
        <v/>
      </c>
      <c r="F739" s="4" t="str">
        <f>IF(Jugadores!B739="","",Jugadores!B739)</f>
        <v/>
      </c>
      <c r="G739" s="4" t="str">
        <f>IF(Jugadores!B739="","",Jugadores!A739)</f>
        <v/>
      </c>
      <c r="H739" s="4" t="str">
        <f>IF(F739="","",SUMIF('Estadísticas Jugadores'!$F$2:$F$7001,F739,'Estadísticas Jugadores'!$I$2:$I$7001))</f>
        <v/>
      </c>
      <c r="I739" s="4" t="str">
        <f t="shared" si="58"/>
        <v/>
      </c>
      <c r="J739" s="4" t="str">
        <f t="shared" si="59"/>
        <v/>
      </c>
    </row>
    <row r="740" spans="1:10" ht="15" customHeight="1" x14ac:dyDescent="0.25">
      <c r="A740" s="8" t="str">
        <f>IF(COUNT($J$2:$J$1501)&gt;=739,739,"")</f>
        <v/>
      </c>
      <c r="B740" s="8" t="str">
        <f t="shared" si="55"/>
        <v/>
      </c>
      <c r="C740" s="8" t="str">
        <f t="shared" si="56"/>
        <v/>
      </c>
      <c r="D740" s="8" t="str">
        <f t="shared" si="57"/>
        <v/>
      </c>
      <c r="F740" s="4" t="str">
        <f>IF(Jugadores!B740="","",Jugadores!B740)</f>
        <v/>
      </c>
      <c r="G740" s="4" t="str">
        <f>IF(Jugadores!B740="","",Jugadores!A740)</f>
        <v/>
      </c>
      <c r="H740" s="4" t="str">
        <f>IF(F740="","",SUMIF('Estadísticas Jugadores'!$F$2:$F$7001,F740,'Estadísticas Jugadores'!$I$2:$I$7001))</f>
        <v/>
      </c>
      <c r="I740" s="4" t="str">
        <f t="shared" si="58"/>
        <v/>
      </c>
      <c r="J740" s="4" t="str">
        <f t="shared" si="59"/>
        <v/>
      </c>
    </row>
    <row r="741" spans="1:10" ht="15" customHeight="1" x14ac:dyDescent="0.25">
      <c r="A741" s="8" t="str">
        <f>IF(COUNT($J$2:$J$1501)&gt;=740,740,"")</f>
        <v/>
      </c>
      <c r="B741" s="8" t="str">
        <f t="shared" si="55"/>
        <v/>
      </c>
      <c r="C741" s="8" t="str">
        <f t="shared" si="56"/>
        <v/>
      </c>
      <c r="D741" s="8" t="str">
        <f t="shared" si="57"/>
        <v/>
      </c>
      <c r="F741" s="4" t="str">
        <f>IF(Jugadores!B741="","",Jugadores!B741)</f>
        <v/>
      </c>
      <c r="G741" s="4" t="str">
        <f>IF(Jugadores!B741="","",Jugadores!A741)</f>
        <v/>
      </c>
      <c r="H741" s="4" t="str">
        <f>IF(F741="","",SUMIF('Estadísticas Jugadores'!$F$2:$F$7001,F741,'Estadísticas Jugadores'!$I$2:$I$7001))</f>
        <v/>
      </c>
      <c r="I741" s="4" t="str">
        <f t="shared" si="58"/>
        <v/>
      </c>
      <c r="J741" s="4" t="str">
        <f t="shared" si="59"/>
        <v/>
      </c>
    </row>
    <row r="742" spans="1:10" ht="15" customHeight="1" x14ac:dyDescent="0.25">
      <c r="A742" s="8" t="str">
        <f>IF(COUNT($J$2:$J$1501)&gt;=741,741,"")</f>
        <v/>
      </c>
      <c r="B742" s="8" t="str">
        <f t="shared" si="55"/>
        <v/>
      </c>
      <c r="C742" s="8" t="str">
        <f t="shared" si="56"/>
        <v/>
      </c>
      <c r="D742" s="8" t="str">
        <f t="shared" si="57"/>
        <v/>
      </c>
      <c r="F742" s="4" t="str">
        <f>IF(Jugadores!B742="","",Jugadores!B742)</f>
        <v/>
      </c>
      <c r="G742" s="4" t="str">
        <f>IF(Jugadores!B742="","",Jugadores!A742)</f>
        <v/>
      </c>
      <c r="H742" s="4" t="str">
        <f>IF(F742="","",SUMIF('Estadísticas Jugadores'!$F$2:$F$7001,F742,'Estadísticas Jugadores'!$I$2:$I$7001))</f>
        <v/>
      </c>
      <c r="I742" s="4" t="str">
        <f t="shared" si="58"/>
        <v/>
      </c>
      <c r="J742" s="4" t="str">
        <f t="shared" si="59"/>
        <v/>
      </c>
    </row>
    <row r="743" spans="1:10" ht="15" customHeight="1" x14ac:dyDescent="0.25">
      <c r="A743" s="8" t="str">
        <f>IF(COUNT($J$2:$J$1501)&gt;=742,742,"")</f>
        <v/>
      </c>
      <c r="B743" s="8" t="str">
        <f t="shared" si="55"/>
        <v/>
      </c>
      <c r="C743" s="8" t="str">
        <f t="shared" si="56"/>
        <v/>
      </c>
      <c r="D743" s="8" t="str">
        <f t="shared" si="57"/>
        <v/>
      </c>
      <c r="F743" s="4" t="str">
        <f>IF(Jugadores!B743="","",Jugadores!B743)</f>
        <v/>
      </c>
      <c r="G743" s="4" t="str">
        <f>IF(Jugadores!B743="","",Jugadores!A743)</f>
        <v/>
      </c>
      <c r="H743" s="4" t="str">
        <f>IF(F743="","",SUMIF('Estadísticas Jugadores'!$F$2:$F$7001,F743,'Estadísticas Jugadores'!$I$2:$I$7001))</f>
        <v/>
      </c>
      <c r="I743" s="4" t="str">
        <f t="shared" si="58"/>
        <v/>
      </c>
      <c r="J743" s="4" t="str">
        <f t="shared" si="59"/>
        <v/>
      </c>
    </row>
    <row r="744" spans="1:10" ht="15" customHeight="1" x14ac:dyDescent="0.25">
      <c r="A744" s="8" t="str">
        <f>IF(COUNT($J$2:$J$1501)&gt;=743,743,"")</f>
        <v/>
      </c>
      <c r="B744" s="8" t="str">
        <f t="shared" si="55"/>
        <v/>
      </c>
      <c r="C744" s="8" t="str">
        <f t="shared" si="56"/>
        <v/>
      </c>
      <c r="D744" s="8" t="str">
        <f t="shared" si="57"/>
        <v/>
      </c>
      <c r="F744" s="4" t="str">
        <f>IF(Jugadores!B744="","",Jugadores!B744)</f>
        <v/>
      </c>
      <c r="G744" s="4" t="str">
        <f>IF(Jugadores!B744="","",Jugadores!A744)</f>
        <v/>
      </c>
      <c r="H744" s="4" t="str">
        <f>IF(F744="","",SUMIF('Estadísticas Jugadores'!$F$2:$F$7001,F744,'Estadísticas Jugadores'!$I$2:$I$7001))</f>
        <v/>
      </c>
      <c r="I744" s="4" t="str">
        <f t="shared" si="58"/>
        <v/>
      </c>
      <c r="J744" s="4" t="str">
        <f t="shared" si="59"/>
        <v/>
      </c>
    </row>
    <row r="745" spans="1:10" ht="15" customHeight="1" x14ac:dyDescent="0.25">
      <c r="A745" s="8" t="str">
        <f>IF(COUNT($J$2:$J$1501)&gt;=744,744,"")</f>
        <v/>
      </c>
      <c r="B745" s="8" t="str">
        <f t="shared" si="55"/>
        <v/>
      </c>
      <c r="C745" s="8" t="str">
        <f t="shared" si="56"/>
        <v/>
      </c>
      <c r="D745" s="8" t="str">
        <f t="shared" si="57"/>
        <v/>
      </c>
      <c r="F745" s="4" t="str">
        <f>IF(Jugadores!B745="","",Jugadores!B745)</f>
        <v/>
      </c>
      <c r="G745" s="4" t="str">
        <f>IF(Jugadores!B745="","",Jugadores!A745)</f>
        <v/>
      </c>
      <c r="H745" s="4" t="str">
        <f>IF(F745="","",SUMIF('Estadísticas Jugadores'!$F$2:$F$7001,F745,'Estadísticas Jugadores'!$I$2:$I$7001))</f>
        <v/>
      </c>
      <c r="I745" s="4" t="str">
        <f t="shared" si="58"/>
        <v/>
      </c>
      <c r="J745" s="4" t="str">
        <f t="shared" si="59"/>
        <v/>
      </c>
    </row>
    <row r="746" spans="1:10" ht="15" customHeight="1" x14ac:dyDescent="0.25">
      <c r="A746" s="8" t="str">
        <f>IF(COUNT($J$2:$J$1501)&gt;=745,745,"")</f>
        <v/>
      </c>
      <c r="B746" s="8" t="str">
        <f t="shared" si="55"/>
        <v/>
      </c>
      <c r="C746" s="8" t="str">
        <f t="shared" si="56"/>
        <v/>
      </c>
      <c r="D746" s="8" t="str">
        <f t="shared" si="57"/>
        <v/>
      </c>
      <c r="F746" s="4" t="str">
        <f>IF(Jugadores!B746="","",Jugadores!B746)</f>
        <v/>
      </c>
      <c r="G746" s="4" t="str">
        <f>IF(Jugadores!B746="","",Jugadores!A746)</f>
        <v/>
      </c>
      <c r="H746" s="4" t="str">
        <f>IF(F746="","",SUMIF('Estadísticas Jugadores'!$F$2:$F$7001,F746,'Estadísticas Jugadores'!$I$2:$I$7001))</f>
        <v/>
      </c>
      <c r="I746" s="4" t="str">
        <f t="shared" si="58"/>
        <v/>
      </c>
      <c r="J746" s="4" t="str">
        <f t="shared" si="59"/>
        <v/>
      </c>
    </row>
    <row r="747" spans="1:10" ht="15" customHeight="1" x14ac:dyDescent="0.25">
      <c r="A747" s="8" t="str">
        <f>IF(COUNT($J$2:$J$1501)&gt;=746,746,"")</f>
        <v/>
      </c>
      <c r="B747" s="8" t="str">
        <f t="shared" si="55"/>
        <v/>
      </c>
      <c r="C747" s="8" t="str">
        <f t="shared" si="56"/>
        <v/>
      </c>
      <c r="D747" s="8" t="str">
        <f t="shared" si="57"/>
        <v/>
      </c>
      <c r="F747" s="4" t="str">
        <f>IF(Jugadores!B747="","",Jugadores!B747)</f>
        <v/>
      </c>
      <c r="G747" s="4" t="str">
        <f>IF(Jugadores!B747="","",Jugadores!A747)</f>
        <v/>
      </c>
      <c r="H747" s="4" t="str">
        <f>IF(F747="","",SUMIF('Estadísticas Jugadores'!$F$2:$F$7001,F747,'Estadísticas Jugadores'!$I$2:$I$7001))</f>
        <v/>
      </c>
      <c r="I747" s="4" t="str">
        <f t="shared" si="58"/>
        <v/>
      </c>
      <c r="J747" s="4" t="str">
        <f t="shared" si="59"/>
        <v/>
      </c>
    </row>
    <row r="748" spans="1:10" ht="15" customHeight="1" x14ac:dyDescent="0.25">
      <c r="A748" s="8" t="str">
        <f>IF(COUNT($J$2:$J$1501)&gt;=747,747,"")</f>
        <v/>
      </c>
      <c r="B748" s="8" t="str">
        <f t="shared" si="55"/>
        <v/>
      </c>
      <c r="C748" s="8" t="str">
        <f t="shared" si="56"/>
        <v/>
      </c>
      <c r="D748" s="8" t="str">
        <f t="shared" si="57"/>
        <v/>
      </c>
      <c r="F748" s="4" t="str">
        <f>IF(Jugadores!B748="","",Jugadores!B748)</f>
        <v/>
      </c>
      <c r="G748" s="4" t="str">
        <f>IF(Jugadores!B748="","",Jugadores!A748)</f>
        <v/>
      </c>
      <c r="H748" s="4" t="str">
        <f>IF(F748="","",SUMIF('Estadísticas Jugadores'!$F$2:$F$7001,F748,'Estadísticas Jugadores'!$I$2:$I$7001))</f>
        <v/>
      </c>
      <c r="I748" s="4" t="str">
        <f t="shared" si="58"/>
        <v/>
      </c>
      <c r="J748" s="4" t="str">
        <f t="shared" si="59"/>
        <v/>
      </c>
    </row>
    <row r="749" spans="1:10" ht="15" customHeight="1" x14ac:dyDescent="0.25">
      <c r="A749" s="8" t="str">
        <f>IF(COUNT($J$2:$J$1501)&gt;=748,748,"")</f>
        <v/>
      </c>
      <c r="B749" s="8" t="str">
        <f t="shared" si="55"/>
        <v/>
      </c>
      <c r="C749" s="8" t="str">
        <f t="shared" si="56"/>
        <v/>
      </c>
      <c r="D749" s="8" t="str">
        <f t="shared" si="57"/>
        <v/>
      </c>
      <c r="F749" s="4" t="str">
        <f>IF(Jugadores!B749="","",Jugadores!B749)</f>
        <v/>
      </c>
      <c r="G749" s="4" t="str">
        <f>IF(Jugadores!B749="","",Jugadores!A749)</f>
        <v/>
      </c>
      <c r="H749" s="4" t="str">
        <f>IF(F749="","",SUMIF('Estadísticas Jugadores'!$F$2:$F$7001,F749,'Estadísticas Jugadores'!$I$2:$I$7001))</f>
        <v/>
      </c>
      <c r="I749" s="4" t="str">
        <f t="shared" si="58"/>
        <v/>
      </c>
      <c r="J749" s="4" t="str">
        <f t="shared" si="59"/>
        <v/>
      </c>
    </row>
    <row r="750" spans="1:10" ht="15" customHeight="1" x14ac:dyDescent="0.25">
      <c r="A750" s="8" t="str">
        <f>IF(COUNT($J$2:$J$1501)&gt;=749,749,"")</f>
        <v/>
      </c>
      <c r="B750" s="8" t="str">
        <f t="shared" si="55"/>
        <v/>
      </c>
      <c r="C750" s="8" t="str">
        <f t="shared" si="56"/>
        <v/>
      </c>
      <c r="D750" s="8" t="str">
        <f t="shared" si="57"/>
        <v/>
      </c>
      <c r="F750" s="4" t="str">
        <f>IF(Jugadores!B750="","",Jugadores!B750)</f>
        <v/>
      </c>
      <c r="G750" s="4" t="str">
        <f>IF(Jugadores!B750="","",Jugadores!A750)</f>
        <v/>
      </c>
      <c r="H750" s="4" t="str">
        <f>IF(F750="","",SUMIF('Estadísticas Jugadores'!$F$2:$F$7001,F750,'Estadísticas Jugadores'!$I$2:$I$7001))</f>
        <v/>
      </c>
      <c r="I750" s="4" t="str">
        <f t="shared" si="58"/>
        <v/>
      </c>
      <c r="J750" s="4" t="str">
        <f t="shared" si="59"/>
        <v/>
      </c>
    </row>
    <row r="751" spans="1:10" ht="15" customHeight="1" x14ac:dyDescent="0.25">
      <c r="A751" s="8" t="str">
        <f>IF(COUNT($J$2:$J$1501)&gt;=750,750,"")</f>
        <v/>
      </c>
      <c r="B751" s="8" t="str">
        <f t="shared" si="55"/>
        <v/>
      </c>
      <c r="C751" s="8" t="str">
        <f t="shared" si="56"/>
        <v/>
      </c>
      <c r="D751" s="8" t="str">
        <f t="shared" si="57"/>
        <v/>
      </c>
      <c r="F751" s="4" t="str">
        <f>IF(Jugadores!B751="","",Jugadores!B751)</f>
        <v/>
      </c>
      <c r="G751" s="4" t="str">
        <f>IF(Jugadores!B751="","",Jugadores!A751)</f>
        <v/>
      </c>
      <c r="H751" s="4" t="str">
        <f>IF(F751="","",SUMIF('Estadísticas Jugadores'!$F$2:$F$7001,F751,'Estadísticas Jugadores'!$I$2:$I$7001))</f>
        <v/>
      </c>
      <c r="I751" s="4" t="str">
        <f t="shared" si="58"/>
        <v/>
      </c>
      <c r="J751" s="4" t="str">
        <f t="shared" si="59"/>
        <v/>
      </c>
    </row>
    <row r="752" spans="1:10" ht="15" customHeight="1" x14ac:dyDescent="0.25">
      <c r="A752" s="8" t="str">
        <f>IF(COUNT($J$2:$J$1501)&gt;=751,751,"")</f>
        <v/>
      </c>
      <c r="B752" s="8" t="str">
        <f t="shared" si="55"/>
        <v/>
      </c>
      <c r="C752" s="8" t="str">
        <f t="shared" si="56"/>
        <v/>
      </c>
      <c r="D752" s="8" t="str">
        <f t="shared" si="57"/>
        <v/>
      </c>
      <c r="F752" s="4" t="str">
        <f>IF(Jugadores!B752="","",Jugadores!B752)</f>
        <v/>
      </c>
      <c r="G752" s="4" t="str">
        <f>IF(Jugadores!B752="","",Jugadores!A752)</f>
        <v/>
      </c>
      <c r="H752" s="4" t="str">
        <f>IF(F752="","",SUMIF('Estadísticas Jugadores'!$F$2:$F$7001,F752,'Estadísticas Jugadores'!$I$2:$I$7001))</f>
        <v/>
      </c>
      <c r="I752" s="4" t="str">
        <f t="shared" si="58"/>
        <v/>
      </c>
      <c r="J752" s="4" t="str">
        <f t="shared" si="59"/>
        <v/>
      </c>
    </row>
    <row r="753" spans="1:10" ht="15" customHeight="1" x14ac:dyDescent="0.25">
      <c r="A753" s="8" t="str">
        <f>IF(COUNT($J$2:$J$1501)&gt;=752,752,"")</f>
        <v/>
      </c>
      <c r="B753" s="8" t="str">
        <f t="shared" si="55"/>
        <v/>
      </c>
      <c r="C753" s="8" t="str">
        <f t="shared" si="56"/>
        <v/>
      </c>
      <c r="D753" s="8" t="str">
        <f t="shared" si="57"/>
        <v/>
      </c>
      <c r="F753" s="4" t="str">
        <f>IF(Jugadores!B753="","",Jugadores!B753)</f>
        <v/>
      </c>
      <c r="G753" s="4" t="str">
        <f>IF(Jugadores!B753="","",Jugadores!A753)</f>
        <v/>
      </c>
      <c r="H753" s="4" t="str">
        <f>IF(F753="","",SUMIF('Estadísticas Jugadores'!$F$2:$F$7001,F753,'Estadísticas Jugadores'!$I$2:$I$7001))</f>
        <v/>
      </c>
      <c r="I753" s="4" t="str">
        <f t="shared" si="58"/>
        <v/>
      </c>
      <c r="J753" s="4" t="str">
        <f t="shared" si="59"/>
        <v/>
      </c>
    </row>
    <row r="754" spans="1:10" ht="15" customHeight="1" x14ac:dyDescent="0.25">
      <c r="A754" s="8" t="str">
        <f>IF(COUNT($J$2:$J$1501)&gt;=753,753,"")</f>
        <v/>
      </c>
      <c r="B754" s="8" t="str">
        <f t="shared" si="55"/>
        <v/>
      </c>
      <c r="C754" s="8" t="str">
        <f t="shared" si="56"/>
        <v/>
      </c>
      <c r="D754" s="8" t="str">
        <f t="shared" si="57"/>
        <v/>
      </c>
      <c r="F754" s="4" t="str">
        <f>IF(Jugadores!B754="","",Jugadores!B754)</f>
        <v/>
      </c>
      <c r="G754" s="4" t="str">
        <f>IF(Jugadores!B754="","",Jugadores!A754)</f>
        <v/>
      </c>
      <c r="H754" s="4" t="str">
        <f>IF(F754="","",SUMIF('Estadísticas Jugadores'!$F$2:$F$7001,F754,'Estadísticas Jugadores'!$I$2:$I$7001))</f>
        <v/>
      </c>
      <c r="I754" s="4" t="str">
        <f t="shared" si="58"/>
        <v/>
      </c>
      <c r="J754" s="4" t="str">
        <f t="shared" si="59"/>
        <v/>
      </c>
    </row>
    <row r="755" spans="1:10" ht="15" customHeight="1" x14ac:dyDescent="0.25">
      <c r="A755" s="8" t="str">
        <f>IF(COUNT($J$2:$J$1501)&gt;=754,754,"")</f>
        <v/>
      </c>
      <c r="B755" s="8" t="str">
        <f t="shared" si="55"/>
        <v/>
      </c>
      <c r="C755" s="8" t="str">
        <f t="shared" si="56"/>
        <v/>
      </c>
      <c r="D755" s="8" t="str">
        <f t="shared" si="57"/>
        <v/>
      </c>
      <c r="F755" s="4" t="str">
        <f>IF(Jugadores!B755="","",Jugadores!B755)</f>
        <v/>
      </c>
      <c r="G755" s="4" t="str">
        <f>IF(Jugadores!B755="","",Jugadores!A755)</f>
        <v/>
      </c>
      <c r="H755" s="4" t="str">
        <f>IF(F755="","",SUMIF('Estadísticas Jugadores'!$F$2:$F$7001,F755,'Estadísticas Jugadores'!$I$2:$I$7001))</f>
        <v/>
      </c>
      <c r="I755" s="4" t="str">
        <f t="shared" si="58"/>
        <v/>
      </c>
      <c r="J755" s="4" t="str">
        <f t="shared" si="59"/>
        <v/>
      </c>
    </row>
    <row r="756" spans="1:10" ht="15" customHeight="1" x14ac:dyDescent="0.25">
      <c r="A756" s="8" t="str">
        <f>IF(COUNT($J$2:$J$1501)&gt;=755,755,"")</f>
        <v/>
      </c>
      <c r="B756" s="8" t="str">
        <f t="shared" si="55"/>
        <v/>
      </c>
      <c r="C756" s="8" t="str">
        <f t="shared" si="56"/>
        <v/>
      </c>
      <c r="D756" s="8" t="str">
        <f t="shared" si="57"/>
        <v/>
      </c>
      <c r="F756" s="4" t="str">
        <f>IF(Jugadores!B756="","",Jugadores!B756)</f>
        <v/>
      </c>
      <c r="G756" s="4" t="str">
        <f>IF(Jugadores!B756="","",Jugadores!A756)</f>
        <v/>
      </c>
      <c r="H756" s="4" t="str">
        <f>IF(F756="","",SUMIF('Estadísticas Jugadores'!$F$2:$F$7001,F756,'Estadísticas Jugadores'!$I$2:$I$7001))</f>
        <v/>
      </c>
      <c r="I756" s="4" t="str">
        <f t="shared" si="58"/>
        <v/>
      </c>
      <c r="J756" s="4" t="str">
        <f t="shared" si="59"/>
        <v/>
      </c>
    </row>
    <row r="757" spans="1:10" ht="15" customHeight="1" x14ac:dyDescent="0.25">
      <c r="A757" s="8" t="str">
        <f>IF(COUNT($J$2:$J$1501)&gt;=756,756,"")</f>
        <v/>
      </c>
      <c r="B757" s="8" t="str">
        <f t="shared" si="55"/>
        <v/>
      </c>
      <c r="C757" s="8" t="str">
        <f t="shared" si="56"/>
        <v/>
      </c>
      <c r="D757" s="8" t="str">
        <f t="shared" si="57"/>
        <v/>
      </c>
      <c r="F757" s="4" t="str">
        <f>IF(Jugadores!B757="","",Jugadores!B757)</f>
        <v/>
      </c>
      <c r="G757" s="4" t="str">
        <f>IF(Jugadores!B757="","",Jugadores!A757)</f>
        <v/>
      </c>
      <c r="H757" s="4" t="str">
        <f>IF(F757="","",SUMIF('Estadísticas Jugadores'!$F$2:$F$7001,F757,'Estadísticas Jugadores'!$I$2:$I$7001))</f>
        <v/>
      </c>
      <c r="I757" s="4" t="str">
        <f t="shared" si="58"/>
        <v/>
      </c>
      <c r="J757" s="4" t="str">
        <f t="shared" si="59"/>
        <v/>
      </c>
    </row>
    <row r="758" spans="1:10" ht="15" customHeight="1" x14ac:dyDescent="0.25">
      <c r="A758" s="8" t="str">
        <f>IF(COUNT($J$2:$J$1501)&gt;=757,757,"")</f>
        <v/>
      </c>
      <c r="B758" s="8" t="str">
        <f t="shared" si="55"/>
        <v/>
      </c>
      <c r="C758" s="8" t="str">
        <f t="shared" si="56"/>
        <v/>
      </c>
      <c r="D758" s="8" t="str">
        <f t="shared" si="57"/>
        <v/>
      </c>
      <c r="F758" s="4" t="str">
        <f>IF(Jugadores!B758="","",Jugadores!B758)</f>
        <v/>
      </c>
      <c r="G758" s="4" t="str">
        <f>IF(Jugadores!B758="","",Jugadores!A758)</f>
        <v/>
      </c>
      <c r="H758" s="4" t="str">
        <f>IF(F758="","",SUMIF('Estadísticas Jugadores'!$F$2:$F$7001,F758,'Estadísticas Jugadores'!$I$2:$I$7001))</f>
        <v/>
      </c>
      <c r="I758" s="4" t="str">
        <f t="shared" si="58"/>
        <v/>
      </c>
      <c r="J758" s="4" t="str">
        <f t="shared" si="59"/>
        <v/>
      </c>
    </row>
    <row r="759" spans="1:10" ht="15" customHeight="1" x14ac:dyDescent="0.25">
      <c r="A759" s="8" t="str">
        <f>IF(COUNT($J$2:$J$1501)&gt;=758,758,"")</f>
        <v/>
      </c>
      <c r="B759" s="8" t="str">
        <f t="shared" si="55"/>
        <v/>
      </c>
      <c r="C759" s="8" t="str">
        <f t="shared" si="56"/>
        <v/>
      </c>
      <c r="D759" s="8" t="str">
        <f t="shared" si="57"/>
        <v/>
      </c>
      <c r="F759" s="4" t="str">
        <f>IF(Jugadores!B759="","",Jugadores!B759)</f>
        <v/>
      </c>
      <c r="G759" s="4" t="str">
        <f>IF(Jugadores!B759="","",Jugadores!A759)</f>
        <v/>
      </c>
      <c r="H759" s="4" t="str">
        <f>IF(F759="","",SUMIF('Estadísticas Jugadores'!$F$2:$F$7001,F759,'Estadísticas Jugadores'!$I$2:$I$7001))</f>
        <v/>
      </c>
      <c r="I759" s="4" t="str">
        <f t="shared" si="58"/>
        <v/>
      </c>
      <c r="J759" s="4" t="str">
        <f t="shared" si="59"/>
        <v/>
      </c>
    </row>
    <row r="760" spans="1:10" ht="15" customHeight="1" x14ac:dyDescent="0.25">
      <c r="A760" s="8" t="str">
        <f>IF(COUNT($J$2:$J$1501)&gt;=759,759,"")</f>
        <v/>
      </c>
      <c r="B760" s="8" t="str">
        <f t="shared" si="55"/>
        <v/>
      </c>
      <c r="C760" s="8" t="str">
        <f t="shared" si="56"/>
        <v/>
      </c>
      <c r="D760" s="8" t="str">
        <f t="shared" si="57"/>
        <v/>
      </c>
      <c r="F760" s="4" t="str">
        <f>IF(Jugadores!B760="","",Jugadores!B760)</f>
        <v/>
      </c>
      <c r="G760" s="4" t="str">
        <f>IF(Jugadores!B760="","",Jugadores!A760)</f>
        <v/>
      </c>
      <c r="H760" s="4" t="str">
        <f>IF(F760="","",SUMIF('Estadísticas Jugadores'!$F$2:$F$7001,F760,'Estadísticas Jugadores'!$I$2:$I$7001))</f>
        <v/>
      </c>
      <c r="I760" s="4" t="str">
        <f t="shared" si="58"/>
        <v/>
      </c>
      <c r="J760" s="4" t="str">
        <f t="shared" si="59"/>
        <v/>
      </c>
    </row>
    <row r="761" spans="1:10" ht="15" customHeight="1" x14ac:dyDescent="0.25">
      <c r="A761" s="8" t="str">
        <f>IF(COUNT($J$2:$J$1501)&gt;=760,760,"")</f>
        <v/>
      </c>
      <c r="B761" s="8" t="str">
        <f t="shared" si="55"/>
        <v/>
      </c>
      <c r="C761" s="8" t="str">
        <f t="shared" si="56"/>
        <v/>
      </c>
      <c r="D761" s="8" t="str">
        <f t="shared" si="57"/>
        <v/>
      </c>
      <c r="F761" s="4" t="str">
        <f>IF(Jugadores!B761="","",Jugadores!B761)</f>
        <v/>
      </c>
      <c r="G761" s="4" t="str">
        <f>IF(Jugadores!B761="","",Jugadores!A761)</f>
        <v/>
      </c>
      <c r="H761" s="4" t="str">
        <f>IF(F761="","",SUMIF('Estadísticas Jugadores'!$F$2:$F$7001,F761,'Estadísticas Jugadores'!$I$2:$I$7001))</f>
        <v/>
      </c>
      <c r="I761" s="4" t="str">
        <f t="shared" si="58"/>
        <v/>
      </c>
      <c r="J761" s="4" t="str">
        <f t="shared" si="59"/>
        <v/>
      </c>
    </row>
    <row r="762" spans="1:10" ht="15" customHeight="1" x14ac:dyDescent="0.25">
      <c r="A762" s="8" t="str">
        <f>IF(COUNT($J$2:$J$1501)&gt;=761,761,"")</f>
        <v/>
      </c>
      <c r="B762" s="8" t="str">
        <f t="shared" si="55"/>
        <v/>
      </c>
      <c r="C762" s="8" t="str">
        <f t="shared" si="56"/>
        <v/>
      </c>
      <c r="D762" s="8" t="str">
        <f t="shared" si="57"/>
        <v/>
      </c>
      <c r="F762" s="4" t="str">
        <f>IF(Jugadores!B762="","",Jugadores!B762)</f>
        <v/>
      </c>
      <c r="G762" s="4" t="str">
        <f>IF(Jugadores!B762="","",Jugadores!A762)</f>
        <v/>
      </c>
      <c r="H762" s="4" t="str">
        <f>IF(F762="","",SUMIF('Estadísticas Jugadores'!$F$2:$F$7001,F762,'Estadísticas Jugadores'!$I$2:$I$7001))</f>
        <v/>
      </c>
      <c r="I762" s="4" t="str">
        <f t="shared" si="58"/>
        <v/>
      </c>
      <c r="J762" s="4" t="str">
        <f t="shared" si="59"/>
        <v/>
      </c>
    </row>
    <row r="763" spans="1:10" ht="15" customHeight="1" x14ac:dyDescent="0.25">
      <c r="A763" s="8" t="str">
        <f>IF(COUNT($J$2:$J$1501)&gt;=762,762,"")</f>
        <v/>
      </c>
      <c r="B763" s="8" t="str">
        <f t="shared" si="55"/>
        <v/>
      </c>
      <c r="C763" s="8" t="str">
        <f t="shared" si="56"/>
        <v/>
      </c>
      <c r="D763" s="8" t="str">
        <f t="shared" si="57"/>
        <v/>
      </c>
      <c r="F763" s="4" t="str">
        <f>IF(Jugadores!B763="","",Jugadores!B763)</f>
        <v/>
      </c>
      <c r="G763" s="4" t="str">
        <f>IF(Jugadores!B763="","",Jugadores!A763)</f>
        <v/>
      </c>
      <c r="H763" s="4" t="str">
        <f>IF(F763="","",SUMIF('Estadísticas Jugadores'!$F$2:$F$7001,F763,'Estadísticas Jugadores'!$I$2:$I$7001))</f>
        <v/>
      </c>
      <c r="I763" s="4" t="str">
        <f t="shared" si="58"/>
        <v/>
      </c>
      <c r="J763" s="4" t="str">
        <f t="shared" si="59"/>
        <v/>
      </c>
    </row>
    <row r="764" spans="1:10" ht="15" customHeight="1" x14ac:dyDescent="0.25">
      <c r="A764" s="8" t="str">
        <f>IF(COUNT($J$2:$J$1501)&gt;=763,763,"")</f>
        <v/>
      </c>
      <c r="B764" s="8" t="str">
        <f t="shared" si="55"/>
        <v/>
      </c>
      <c r="C764" s="8" t="str">
        <f t="shared" si="56"/>
        <v/>
      </c>
      <c r="D764" s="8" t="str">
        <f t="shared" si="57"/>
        <v/>
      </c>
      <c r="F764" s="4" t="str">
        <f>IF(Jugadores!B764="","",Jugadores!B764)</f>
        <v/>
      </c>
      <c r="G764" s="4" t="str">
        <f>IF(Jugadores!B764="","",Jugadores!A764)</f>
        <v/>
      </c>
      <c r="H764" s="4" t="str">
        <f>IF(F764="","",SUMIF('Estadísticas Jugadores'!$F$2:$F$7001,F764,'Estadísticas Jugadores'!$I$2:$I$7001))</f>
        <v/>
      </c>
      <c r="I764" s="4" t="str">
        <f t="shared" si="58"/>
        <v/>
      </c>
      <c r="J764" s="4" t="str">
        <f t="shared" si="59"/>
        <v/>
      </c>
    </row>
    <row r="765" spans="1:10" ht="15" customHeight="1" x14ac:dyDescent="0.25">
      <c r="A765" s="8" t="str">
        <f>IF(COUNT($J$2:$J$1501)&gt;=764,764,"")</f>
        <v/>
      </c>
      <c r="B765" s="8" t="str">
        <f t="shared" si="55"/>
        <v/>
      </c>
      <c r="C765" s="8" t="str">
        <f t="shared" si="56"/>
        <v/>
      </c>
      <c r="D765" s="8" t="str">
        <f t="shared" si="57"/>
        <v/>
      </c>
      <c r="F765" s="4" t="str">
        <f>IF(Jugadores!B765="","",Jugadores!B765)</f>
        <v/>
      </c>
      <c r="G765" s="4" t="str">
        <f>IF(Jugadores!B765="","",Jugadores!A765)</f>
        <v/>
      </c>
      <c r="H765" s="4" t="str">
        <f>IF(F765="","",SUMIF('Estadísticas Jugadores'!$F$2:$F$7001,F765,'Estadísticas Jugadores'!$I$2:$I$7001))</f>
        <v/>
      </c>
      <c r="I765" s="4" t="str">
        <f t="shared" si="58"/>
        <v/>
      </c>
      <c r="J765" s="4" t="str">
        <f t="shared" si="59"/>
        <v/>
      </c>
    </row>
    <row r="766" spans="1:10" ht="15" customHeight="1" x14ac:dyDescent="0.25">
      <c r="A766" s="8" t="str">
        <f>IF(COUNT($J$2:$J$1501)&gt;=765,765,"")</f>
        <v/>
      </c>
      <c r="B766" s="8" t="str">
        <f t="shared" si="55"/>
        <v/>
      </c>
      <c r="C766" s="8" t="str">
        <f t="shared" si="56"/>
        <v/>
      </c>
      <c r="D766" s="8" t="str">
        <f t="shared" si="57"/>
        <v/>
      </c>
      <c r="F766" s="4" t="str">
        <f>IF(Jugadores!B766="","",Jugadores!B766)</f>
        <v/>
      </c>
      <c r="G766" s="4" t="str">
        <f>IF(Jugadores!B766="","",Jugadores!A766)</f>
        <v/>
      </c>
      <c r="H766" s="4" t="str">
        <f>IF(F766="","",SUMIF('Estadísticas Jugadores'!$F$2:$F$7001,F766,'Estadísticas Jugadores'!$I$2:$I$7001))</f>
        <v/>
      </c>
      <c r="I766" s="4" t="str">
        <f t="shared" si="58"/>
        <v/>
      </c>
      <c r="J766" s="4" t="str">
        <f t="shared" si="59"/>
        <v/>
      </c>
    </row>
    <row r="767" spans="1:10" ht="15" customHeight="1" x14ac:dyDescent="0.25">
      <c r="A767" s="8" t="str">
        <f>IF(COUNT($J$2:$J$1501)&gt;=766,766,"")</f>
        <v/>
      </c>
      <c r="B767" s="8" t="str">
        <f t="shared" si="55"/>
        <v/>
      </c>
      <c r="C767" s="8" t="str">
        <f t="shared" si="56"/>
        <v/>
      </c>
      <c r="D767" s="8" t="str">
        <f t="shared" si="57"/>
        <v/>
      </c>
      <c r="F767" s="4" t="str">
        <f>IF(Jugadores!B767="","",Jugadores!B767)</f>
        <v/>
      </c>
      <c r="G767" s="4" t="str">
        <f>IF(Jugadores!B767="","",Jugadores!A767)</f>
        <v/>
      </c>
      <c r="H767" s="4" t="str">
        <f>IF(F767="","",SUMIF('Estadísticas Jugadores'!$F$2:$F$7001,F767,'Estadísticas Jugadores'!$I$2:$I$7001))</f>
        <v/>
      </c>
      <c r="I767" s="4" t="str">
        <f t="shared" si="58"/>
        <v/>
      </c>
      <c r="J767" s="4" t="str">
        <f t="shared" si="59"/>
        <v/>
      </c>
    </row>
    <row r="768" spans="1:10" ht="15" customHeight="1" x14ac:dyDescent="0.25">
      <c r="A768" s="8" t="str">
        <f>IF(COUNT($J$2:$J$1501)&gt;=767,767,"")</f>
        <v/>
      </c>
      <c r="B768" s="8" t="str">
        <f t="shared" si="55"/>
        <v/>
      </c>
      <c r="C768" s="8" t="str">
        <f t="shared" si="56"/>
        <v/>
      </c>
      <c r="D768" s="8" t="str">
        <f t="shared" si="57"/>
        <v/>
      </c>
      <c r="F768" s="4" t="str">
        <f>IF(Jugadores!B768="","",Jugadores!B768)</f>
        <v/>
      </c>
      <c r="G768" s="4" t="str">
        <f>IF(Jugadores!B768="","",Jugadores!A768)</f>
        <v/>
      </c>
      <c r="H768" s="4" t="str">
        <f>IF(F768="","",SUMIF('Estadísticas Jugadores'!$F$2:$F$7001,F768,'Estadísticas Jugadores'!$I$2:$I$7001))</f>
        <v/>
      </c>
      <c r="I768" s="4" t="str">
        <f t="shared" si="58"/>
        <v/>
      </c>
      <c r="J768" s="4" t="str">
        <f t="shared" si="59"/>
        <v/>
      </c>
    </row>
    <row r="769" spans="1:10" ht="15" customHeight="1" x14ac:dyDescent="0.25">
      <c r="A769" s="8" t="str">
        <f>IF(COUNT($J$2:$J$1501)&gt;=768,768,"")</f>
        <v/>
      </c>
      <c r="B769" s="8" t="str">
        <f t="shared" si="55"/>
        <v/>
      </c>
      <c r="C769" s="8" t="str">
        <f t="shared" si="56"/>
        <v/>
      </c>
      <c r="D769" s="8" t="str">
        <f t="shared" si="57"/>
        <v/>
      </c>
      <c r="F769" s="4" t="str">
        <f>IF(Jugadores!B769="","",Jugadores!B769)</f>
        <v/>
      </c>
      <c r="G769" s="4" t="str">
        <f>IF(Jugadores!B769="","",Jugadores!A769)</f>
        <v/>
      </c>
      <c r="H769" s="4" t="str">
        <f>IF(F769="","",SUMIF('Estadísticas Jugadores'!$F$2:$F$7001,F769,'Estadísticas Jugadores'!$I$2:$I$7001))</f>
        <v/>
      </c>
      <c r="I769" s="4" t="str">
        <f t="shared" si="58"/>
        <v/>
      </c>
      <c r="J769" s="4" t="str">
        <f t="shared" si="59"/>
        <v/>
      </c>
    </row>
    <row r="770" spans="1:10" ht="15" customHeight="1" x14ac:dyDescent="0.25">
      <c r="A770" s="8" t="str">
        <f>IF(COUNT($J$2:$J$1501)&gt;=769,769,"")</f>
        <v/>
      </c>
      <c r="B770" s="8" t="str">
        <f t="shared" ref="B770:B833" si="60">IF($A770="","",INDEX($F$2:$F$1501,MATCH($A770,$J$2:$J$1501,0)))</f>
        <v/>
      </c>
      <c r="C770" s="8" t="str">
        <f t="shared" ref="C770:C833" si="61">IF($A770="","",INDEX($G$2:$G$1501,MATCH($A770,$J$2:$J$1501,0)))</f>
        <v/>
      </c>
      <c r="D770" s="8" t="str">
        <f t="shared" ref="D770:D833" si="62">IF($A770="","",INDEX($H$2:$H$1501,MATCH($A770,$J$2:$J$1501,0)))</f>
        <v/>
      </c>
      <c r="F770" s="4" t="str">
        <f>IF(Jugadores!B770="","",Jugadores!B770)</f>
        <v/>
      </c>
      <c r="G770" s="4" t="str">
        <f>IF(Jugadores!B770="","",Jugadores!A770)</f>
        <v/>
      </c>
      <c r="H770" s="4" t="str">
        <f>IF(F770="","",SUMIF('Estadísticas Jugadores'!$F$2:$F$7001,F770,'Estadísticas Jugadores'!$I$2:$I$7001))</f>
        <v/>
      </c>
      <c r="I770" s="4" t="str">
        <f t="shared" ref="I770:I833" si="63">IF(F770="","",H770*1000-ROW()*0.0000001)</f>
        <v/>
      </c>
      <c r="J770" s="4" t="str">
        <f t="shared" ref="J770:J833" si="64">IF(F770="","",RANK(I770,$I$2:$I$1501))</f>
        <v/>
      </c>
    </row>
    <row r="771" spans="1:10" ht="15" customHeight="1" x14ac:dyDescent="0.25">
      <c r="A771" s="8" t="str">
        <f>IF(COUNT($J$2:$J$1501)&gt;=770,770,"")</f>
        <v/>
      </c>
      <c r="B771" s="8" t="str">
        <f t="shared" si="60"/>
        <v/>
      </c>
      <c r="C771" s="8" t="str">
        <f t="shared" si="61"/>
        <v/>
      </c>
      <c r="D771" s="8" t="str">
        <f t="shared" si="62"/>
        <v/>
      </c>
      <c r="F771" s="4" t="str">
        <f>IF(Jugadores!B771="","",Jugadores!B771)</f>
        <v/>
      </c>
      <c r="G771" s="4" t="str">
        <f>IF(Jugadores!B771="","",Jugadores!A771)</f>
        <v/>
      </c>
      <c r="H771" s="4" t="str">
        <f>IF(F771="","",SUMIF('Estadísticas Jugadores'!$F$2:$F$7001,F771,'Estadísticas Jugadores'!$I$2:$I$7001))</f>
        <v/>
      </c>
      <c r="I771" s="4" t="str">
        <f t="shared" si="63"/>
        <v/>
      </c>
      <c r="J771" s="4" t="str">
        <f t="shared" si="64"/>
        <v/>
      </c>
    </row>
    <row r="772" spans="1:10" ht="15" customHeight="1" x14ac:dyDescent="0.25">
      <c r="A772" s="8" t="str">
        <f>IF(COUNT($J$2:$J$1501)&gt;=771,771,"")</f>
        <v/>
      </c>
      <c r="B772" s="8" t="str">
        <f t="shared" si="60"/>
        <v/>
      </c>
      <c r="C772" s="8" t="str">
        <f t="shared" si="61"/>
        <v/>
      </c>
      <c r="D772" s="8" t="str">
        <f t="shared" si="62"/>
        <v/>
      </c>
      <c r="F772" s="4" t="str">
        <f>IF(Jugadores!B772="","",Jugadores!B772)</f>
        <v/>
      </c>
      <c r="G772" s="4" t="str">
        <f>IF(Jugadores!B772="","",Jugadores!A772)</f>
        <v/>
      </c>
      <c r="H772" s="4" t="str">
        <f>IF(F772="","",SUMIF('Estadísticas Jugadores'!$F$2:$F$7001,F772,'Estadísticas Jugadores'!$I$2:$I$7001))</f>
        <v/>
      </c>
      <c r="I772" s="4" t="str">
        <f t="shared" si="63"/>
        <v/>
      </c>
      <c r="J772" s="4" t="str">
        <f t="shared" si="64"/>
        <v/>
      </c>
    </row>
    <row r="773" spans="1:10" ht="15" customHeight="1" x14ac:dyDescent="0.25">
      <c r="A773" s="8" t="str">
        <f>IF(COUNT($J$2:$J$1501)&gt;=772,772,"")</f>
        <v/>
      </c>
      <c r="B773" s="8" t="str">
        <f t="shared" si="60"/>
        <v/>
      </c>
      <c r="C773" s="8" t="str">
        <f t="shared" si="61"/>
        <v/>
      </c>
      <c r="D773" s="8" t="str">
        <f t="shared" si="62"/>
        <v/>
      </c>
      <c r="F773" s="4" t="str">
        <f>IF(Jugadores!B773="","",Jugadores!B773)</f>
        <v/>
      </c>
      <c r="G773" s="4" t="str">
        <f>IF(Jugadores!B773="","",Jugadores!A773)</f>
        <v/>
      </c>
      <c r="H773" s="4" t="str">
        <f>IF(F773="","",SUMIF('Estadísticas Jugadores'!$F$2:$F$7001,F773,'Estadísticas Jugadores'!$I$2:$I$7001))</f>
        <v/>
      </c>
      <c r="I773" s="4" t="str">
        <f t="shared" si="63"/>
        <v/>
      </c>
      <c r="J773" s="4" t="str">
        <f t="shared" si="64"/>
        <v/>
      </c>
    </row>
    <row r="774" spans="1:10" ht="15" customHeight="1" x14ac:dyDescent="0.25">
      <c r="A774" s="8" t="str">
        <f>IF(COUNT($J$2:$J$1501)&gt;=773,773,"")</f>
        <v/>
      </c>
      <c r="B774" s="8" t="str">
        <f t="shared" si="60"/>
        <v/>
      </c>
      <c r="C774" s="8" t="str">
        <f t="shared" si="61"/>
        <v/>
      </c>
      <c r="D774" s="8" t="str">
        <f t="shared" si="62"/>
        <v/>
      </c>
      <c r="F774" s="4" t="str">
        <f>IF(Jugadores!B774="","",Jugadores!B774)</f>
        <v/>
      </c>
      <c r="G774" s="4" t="str">
        <f>IF(Jugadores!B774="","",Jugadores!A774)</f>
        <v/>
      </c>
      <c r="H774" s="4" t="str">
        <f>IF(F774="","",SUMIF('Estadísticas Jugadores'!$F$2:$F$7001,F774,'Estadísticas Jugadores'!$I$2:$I$7001))</f>
        <v/>
      </c>
      <c r="I774" s="4" t="str">
        <f t="shared" si="63"/>
        <v/>
      </c>
      <c r="J774" s="4" t="str">
        <f t="shared" si="64"/>
        <v/>
      </c>
    </row>
    <row r="775" spans="1:10" ht="15" customHeight="1" x14ac:dyDescent="0.25">
      <c r="A775" s="8" t="str">
        <f>IF(COUNT($J$2:$J$1501)&gt;=774,774,"")</f>
        <v/>
      </c>
      <c r="B775" s="8" t="str">
        <f t="shared" si="60"/>
        <v/>
      </c>
      <c r="C775" s="8" t="str">
        <f t="shared" si="61"/>
        <v/>
      </c>
      <c r="D775" s="8" t="str">
        <f t="shared" si="62"/>
        <v/>
      </c>
      <c r="F775" s="4" t="str">
        <f>IF(Jugadores!B775="","",Jugadores!B775)</f>
        <v/>
      </c>
      <c r="G775" s="4" t="str">
        <f>IF(Jugadores!B775="","",Jugadores!A775)</f>
        <v/>
      </c>
      <c r="H775" s="4" t="str">
        <f>IF(F775="","",SUMIF('Estadísticas Jugadores'!$F$2:$F$7001,F775,'Estadísticas Jugadores'!$I$2:$I$7001))</f>
        <v/>
      </c>
      <c r="I775" s="4" t="str">
        <f t="shared" si="63"/>
        <v/>
      </c>
      <c r="J775" s="4" t="str">
        <f t="shared" si="64"/>
        <v/>
      </c>
    </row>
    <row r="776" spans="1:10" ht="15" customHeight="1" x14ac:dyDescent="0.25">
      <c r="A776" s="8" t="str">
        <f>IF(COUNT($J$2:$J$1501)&gt;=775,775,"")</f>
        <v/>
      </c>
      <c r="B776" s="8" t="str">
        <f t="shared" si="60"/>
        <v/>
      </c>
      <c r="C776" s="8" t="str">
        <f t="shared" si="61"/>
        <v/>
      </c>
      <c r="D776" s="8" t="str">
        <f t="shared" si="62"/>
        <v/>
      </c>
      <c r="F776" s="4" t="str">
        <f>IF(Jugadores!B776="","",Jugadores!B776)</f>
        <v/>
      </c>
      <c r="G776" s="4" t="str">
        <f>IF(Jugadores!B776="","",Jugadores!A776)</f>
        <v/>
      </c>
      <c r="H776" s="4" t="str">
        <f>IF(F776="","",SUMIF('Estadísticas Jugadores'!$F$2:$F$7001,F776,'Estadísticas Jugadores'!$I$2:$I$7001))</f>
        <v/>
      </c>
      <c r="I776" s="4" t="str">
        <f t="shared" si="63"/>
        <v/>
      </c>
      <c r="J776" s="4" t="str">
        <f t="shared" si="64"/>
        <v/>
      </c>
    </row>
    <row r="777" spans="1:10" ht="15" customHeight="1" x14ac:dyDescent="0.25">
      <c r="A777" s="8" t="str">
        <f>IF(COUNT($J$2:$J$1501)&gt;=776,776,"")</f>
        <v/>
      </c>
      <c r="B777" s="8" t="str">
        <f t="shared" si="60"/>
        <v/>
      </c>
      <c r="C777" s="8" t="str">
        <f t="shared" si="61"/>
        <v/>
      </c>
      <c r="D777" s="8" t="str">
        <f t="shared" si="62"/>
        <v/>
      </c>
      <c r="F777" s="4" t="str">
        <f>IF(Jugadores!B777="","",Jugadores!B777)</f>
        <v/>
      </c>
      <c r="G777" s="4" t="str">
        <f>IF(Jugadores!B777="","",Jugadores!A777)</f>
        <v/>
      </c>
      <c r="H777" s="4" t="str">
        <f>IF(F777="","",SUMIF('Estadísticas Jugadores'!$F$2:$F$7001,F777,'Estadísticas Jugadores'!$I$2:$I$7001))</f>
        <v/>
      </c>
      <c r="I777" s="4" t="str">
        <f t="shared" si="63"/>
        <v/>
      </c>
      <c r="J777" s="4" t="str">
        <f t="shared" si="64"/>
        <v/>
      </c>
    </row>
    <row r="778" spans="1:10" ht="15" customHeight="1" x14ac:dyDescent="0.25">
      <c r="A778" s="8" t="str">
        <f>IF(COUNT($J$2:$J$1501)&gt;=777,777,"")</f>
        <v/>
      </c>
      <c r="B778" s="8" t="str">
        <f t="shared" si="60"/>
        <v/>
      </c>
      <c r="C778" s="8" t="str">
        <f t="shared" si="61"/>
        <v/>
      </c>
      <c r="D778" s="8" t="str">
        <f t="shared" si="62"/>
        <v/>
      </c>
      <c r="F778" s="4" t="str">
        <f>IF(Jugadores!B778="","",Jugadores!B778)</f>
        <v/>
      </c>
      <c r="G778" s="4" t="str">
        <f>IF(Jugadores!B778="","",Jugadores!A778)</f>
        <v/>
      </c>
      <c r="H778" s="4" t="str">
        <f>IF(F778="","",SUMIF('Estadísticas Jugadores'!$F$2:$F$7001,F778,'Estadísticas Jugadores'!$I$2:$I$7001))</f>
        <v/>
      </c>
      <c r="I778" s="4" t="str">
        <f t="shared" si="63"/>
        <v/>
      </c>
      <c r="J778" s="4" t="str">
        <f t="shared" si="64"/>
        <v/>
      </c>
    </row>
    <row r="779" spans="1:10" ht="15" customHeight="1" x14ac:dyDescent="0.25">
      <c r="A779" s="8" t="str">
        <f>IF(COUNT($J$2:$J$1501)&gt;=778,778,"")</f>
        <v/>
      </c>
      <c r="B779" s="8" t="str">
        <f t="shared" si="60"/>
        <v/>
      </c>
      <c r="C779" s="8" t="str">
        <f t="shared" si="61"/>
        <v/>
      </c>
      <c r="D779" s="8" t="str">
        <f t="shared" si="62"/>
        <v/>
      </c>
      <c r="F779" s="4" t="str">
        <f>IF(Jugadores!B779="","",Jugadores!B779)</f>
        <v/>
      </c>
      <c r="G779" s="4" t="str">
        <f>IF(Jugadores!B779="","",Jugadores!A779)</f>
        <v/>
      </c>
      <c r="H779" s="4" t="str">
        <f>IF(F779="","",SUMIF('Estadísticas Jugadores'!$F$2:$F$7001,F779,'Estadísticas Jugadores'!$I$2:$I$7001))</f>
        <v/>
      </c>
      <c r="I779" s="4" t="str">
        <f t="shared" si="63"/>
        <v/>
      </c>
      <c r="J779" s="4" t="str">
        <f t="shared" si="64"/>
        <v/>
      </c>
    </row>
    <row r="780" spans="1:10" ht="15" customHeight="1" x14ac:dyDescent="0.25">
      <c r="A780" s="8" t="str">
        <f>IF(COUNT($J$2:$J$1501)&gt;=779,779,"")</f>
        <v/>
      </c>
      <c r="B780" s="8" t="str">
        <f t="shared" si="60"/>
        <v/>
      </c>
      <c r="C780" s="8" t="str">
        <f t="shared" si="61"/>
        <v/>
      </c>
      <c r="D780" s="8" t="str">
        <f t="shared" si="62"/>
        <v/>
      </c>
      <c r="F780" s="4" t="str">
        <f>IF(Jugadores!B780="","",Jugadores!B780)</f>
        <v/>
      </c>
      <c r="G780" s="4" t="str">
        <f>IF(Jugadores!B780="","",Jugadores!A780)</f>
        <v/>
      </c>
      <c r="H780" s="4" t="str">
        <f>IF(F780="","",SUMIF('Estadísticas Jugadores'!$F$2:$F$7001,F780,'Estadísticas Jugadores'!$I$2:$I$7001))</f>
        <v/>
      </c>
      <c r="I780" s="4" t="str">
        <f t="shared" si="63"/>
        <v/>
      </c>
      <c r="J780" s="4" t="str">
        <f t="shared" si="64"/>
        <v/>
      </c>
    </row>
    <row r="781" spans="1:10" ht="15" customHeight="1" x14ac:dyDescent="0.25">
      <c r="A781" s="8" t="str">
        <f>IF(COUNT($J$2:$J$1501)&gt;=780,780,"")</f>
        <v/>
      </c>
      <c r="B781" s="8" t="str">
        <f t="shared" si="60"/>
        <v/>
      </c>
      <c r="C781" s="8" t="str">
        <f t="shared" si="61"/>
        <v/>
      </c>
      <c r="D781" s="8" t="str">
        <f t="shared" si="62"/>
        <v/>
      </c>
      <c r="F781" s="4" t="str">
        <f>IF(Jugadores!B781="","",Jugadores!B781)</f>
        <v/>
      </c>
      <c r="G781" s="4" t="str">
        <f>IF(Jugadores!B781="","",Jugadores!A781)</f>
        <v/>
      </c>
      <c r="H781" s="4" t="str">
        <f>IF(F781="","",SUMIF('Estadísticas Jugadores'!$F$2:$F$7001,F781,'Estadísticas Jugadores'!$I$2:$I$7001))</f>
        <v/>
      </c>
      <c r="I781" s="4" t="str">
        <f t="shared" si="63"/>
        <v/>
      </c>
      <c r="J781" s="4" t="str">
        <f t="shared" si="64"/>
        <v/>
      </c>
    </row>
    <row r="782" spans="1:10" ht="15" customHeight="1" x14ac:dyDescent="0.25">
      <c r="A782" s="8" t="str">
        <f>IF(COUNT($J$2:$J$1501)&gt;=781,781,"")</f>
        <v/>
      </c>
      <c r="B782" s="8" t="str">
        <f t="shared" si="60"/>
        <v/>
      </c>
      <c r="C782" s="8" t="str">
        <f t="shared" si="61"/>
        <v/>
      </c>
      <c r="D782" s="8" t="str">
        <f t="shared" si="62"/>
        <v/>
      </c>
      <c r="F782" s="4" t="str">
        <f>IF(Jugadores!B782="","",Jugadores!B782)</f>
        <v/>
      </c>
      <c r="G782" s="4" t="str">
        <f>IF(Jugadores!B782="","",Jugadores!A782)</f>
        <v/>
      </c>
      <c r="H782" s="4" t="str">
        <f>IF(F782="","",SUMIF('Estadísticas Jugadores'!$F$2:$F$7001,F782,'Estadísticas Jugadores'!$I$2:$I$7001))</f>
        <v/>
      </c>
      <c r="I782" s="4" t="str">
        <f t="shared" si="63"/>
        <v/>
      </c>
      <c r="J782" s="4" t="str">
        <f t="shared" si="64"/>
        <v/>
      </c>
    </row>
    <row r="783" spans="1:10" ht="15" customHeight="1" x14ac:dyDescent="0.25">
      <c r="A783" s="8" t="str">
        <f>IF(COUNT($J$2:$J$1501)&gt;=782,782,"")</f>
        <v/>
      </c>
      <c r="B783" s="8" t="str">
        <f t="shared" si="60"/>
        <v/>
      </c>
      <c r="C783" s="8" t="str">
        <f t="shared" si="61"/>
        <v/>
      </c>
      <c r="D783" s="8" t="str">
        <f t="shared" si="62"/>
        <v/>
      </c>
      <c r="F783" s="4" t="str">
        <f>IF(Jugadores!B783="","",Jugadores!B783)</f>
        <v/>
      </c>
      <c r="G783" s="4" t="str">
        <f>IF(Jugadores!B783="","",Jugadores!A783)</f>
        <v/>
      </c>
      <c r="H783" s="4" t="str">
        <f>IF(F783="","",SUMIF('Estadísticas Jugadores'!$F$2:$F$7001,F783,'Estadísticas Jugadores'!$I$2:$I$7001))</f>
        <v/>
      </c>
      <c r="I783" s="4" t="str">
        <f t="shared" si="63"/>
        <v/>
      </c>
      <c r="J783" s="4" t="str">
        <f t="shared" si="64"/>
        <v/>
      </c>
    </row>
    <row r="784" spans="1:10" ht="15" customHeight="1" x14ac:dyDescent="0.25">
      <c r="A784" s="8" t="str">
        <f>IF(COUNT($J$2:$J$1501)&gt;=783,783,"")</f>
        <v/>
      </c>
      <c r="B784" s="8" t="str">
        <f t="shared" si="60"/>
        <v/>
      </c>
      <c r="C784" s="8" t="str">
        <f t="shared" si="61"/>
        <v/>
      </c>
      <c r="D784" s="8" t="str">
        <f t="shared" si="62"/>
        <v/>
      </c>
      <c r="F784" s="4" t="str">
        <f>IF(Jugadores!B784="","",Jugadores!B784)</f>
        <v/>
      </c>
      <c r="G784" s="4" t="str">
        <f>IF(Jugadores!B784="","",Jugadores!A784)</f>
        <v/>
      </c>
      <c r="H784" s="4" t="str">
        <f>IF(F784="","",SUMIF('Estadísticas Jugadores'!$F$2:$F$7001,F784,'Estadísticas Jugadores'!$I$2:$I$7001))</f>
        <v/>
      </c>
      <c r="I784" s="4" t="str">
        <f t="shared" si="63"/>
        <v/>
      </c>
      <c r="J784" s="4" t="str">
        <f t="shared" si="64"/>
        <v/>
      </c>
    </row>
    <row r="785" spans="1:10" ht="15" customHeight="1" x14ac:dyDescent="0.25">
      <c r="A785" s="8" t="str">
        <f>IF(COUNT($J$2:$J$1501)&gt;=784,784,"")</f>
        <v/>
      </c>
      <c r="B785" s="8" t="str">
        <f t="shared" si="60"/>
        <v/>
      </c>
      <c r="C785" s="8" t="str">
        <f t="shared" si="61"/>
        <v/>
      </c>
      <c r="D785" s="8" t="str">
        <f t="shared" si="62"/>
        <v/>
      </c>
      <c r="F785" s="4" t="str">
        <f>IF(Jugadores!B785="","",Jugadores!B785)</f>
        <v/>
      </c>
      <c r="G785" s="4" t="str">
        <f>IF(Jugadores!B785="","",Jugadores!A785)</f>
        <v/>
      </c>
      <c r="H785" s="4" t="str">
        <f>IF(F785="","",SUMIF('Estadísticas Jugadores'!$F$2:$F$7001,F785,'Estadísticas Jugadores'!$I$2:$I$7001))</f>
        <v/>
      </c>
      <c r="I785" s="4" t="str">
        <f t="shared" si="63"/>
        <v/>
      </c>
      <c r="J785" s="4" t="str">
        <f t="shared" si="64"/>
        <v/>
      </c>
    </row>
    <row r="786" spans="1:10" ht="15" customHeight="1" x14ac:dyDescent="0.25">
      <c r="A786" s="8" t="str">
        <f>IF(COUNT($J$2:$J$1501)&gt;=785,785,"")</f>
        <v/>
      </c>
      <c r="B786" s="8" t="str">
        <f t="shared" si="60"/>
        <v/>
      </c>
      <c r="C786" s="8" t="str">
        <f t="shared" si="61"/>
        <v/>
      </c>
      <c r="D786" s="8" t="str">
        <f t="shared" si="62"/>
        <v/>
      </c>
      <c r="F786" s="4" t="str">
        <f>IF(Jugadores!B786="","",Jugadores!B786)</f>
        <v/>
      </c>
      <c r="G786" s="4" t="str">
        <f>IF(Jugadores!B786="","",Jugadores!A786)</f>
        <v/>
      </c>
      <c r="H786" s="4" t="str">
        <f>IF(F786="","",SUMIF('Estadísticas Jugadores'!$F$2:$F$7001,F786,'Estadísticas Jugadores'!$I$2:$I$7001))</f>
        <v/>
      </c>
      <c r="I786" s="4" t="str">
        <f t="shared" si="63"/>
        <v/>
      </c>
      <c r="J786" s="4" t="str">
        <f t="shared" si="64"/>
        <v/>
      </c>
    </row>
    <row r="787" spans="1:10" ht="15" customHeight="1" x14ac:dyDescent="0.25">
      <c r="A787" s="8" t="str">
        <f>IF(COUNT($J$2:$J$1501)&gt;=786,786,"")</f>
        <v/>
      </c>
      <c r="B787" s="8" t="str">
        <f t="shared" si="60"/>
        <v/>
      </c>
      <c r="C787" s="8" t="str">
        <f t="shared" si="61"/>
        <v/>
      </c>
      <c r="D787" s="8" t="str">
        <f t="shared" si="62"/>
        <v/>
      </c>
      <c r="F787" s="4" t="str">
        <f>IF(Jugadores!B787="","",Jugadores!B787)</f>
        <v/>
      </c>
      <c r="G787" s="4" t="str">
        <f>IF(Jugadores!B787="","",Jugadores!A787)</f>
        <v/>
      </c>
      <c r="H787" s="4" t="str">
        <f>IF(F787="","",SUMIF('Estadísticas Jugadores'!$F$2:$F$7001,F787,'Estadísticas Jugadores'!$I$2:$I$7001))</f>
        <v/>
      </c>
      <c r="I787" s="4" t="str">
        <f t="shared" si="63"/>
        <v/>
      </c>
      <c r="J787" s="4" t="str">
        <f t="shared" si="64"/>
        <v/>
      </c>
    </row>
    <row r="788" spans="1:10" ht="15" customHeight="1" x14ac:dyDescent="0.25">
      <c r="A788" s="8" t="str">
        <f>IF(COUNT($J$2:$J$1501)&gt;=787,787,"")</f>
        <v/>
      </c>
      <c r="B788" s="8" t="str">
        <f t="shared" si="60"/>
        <v/>
      </c>
      <c r="C788" s="8" t="str">
        <f t="shared" si="61"/>
        <v/>
      </c>
      <c r="D788" s="8" t="str">
        <f t="shared" si="62"/>
        <v/>
      </c>
      <c r="F788" s="4" t="str">
        <f>IF(Jugadores!B788="","",Jugadores!B788)</f>
        <v/>
      </c>
      <c r="G788" s="4" t="str">
        <f>IF(Jugadores!B788="","",Jugadores!A788)</f>
        <v/>
      </c>
      <c r="H788" s="4" t="str">
        <f>IF(F788="","",SUMIF('Estadísticas Jugadores'!$F$2:$F$7001,F788,'Estadísticas Jugadores'!$I$2:$I$7001))</f>
        <v/>
      </c>
      <c r="I788" s="4" t="str">
        <f t="shared" si="63"/>
        <v/>
      </c>
      <c r="J788" s="4" t="str">
        <f t="shared" si="64"/>
        <v/>
      </c>
    </row>
    <row r="789" spans="1:10" ht="15" customHeight="1" x14ac:dyDescent="0.25">
      <c r="A789" s="8" t="str">
        <f>IF(COUNT($J$2:$J$1501)&gt;=788,788,"")</f>
        <v/>
      </c>
      <c r="B789" s="8" t="str">
        <f t="shared" si="60"/>
        <v/>
      </c>
      <c r="C789" s="8" t="str">
        <f t="shared" si="61"/>
        <v/>
      </c>
      <c r="D789" s="8" t="str">
        <f t="shared" si="62"/>
        <v/>
      </c>
      <c r="F789" s="4" t="str">
        <f>IF(Jugadores!B789="","",Jugadores!B789)</f>
        <v/>
      </c>
      <c r="G789" s="4" t="str">
        <f>IF(Jugadores!B789="","",Jugadores!A789)</f>
        <v/>
      </c>
      <c r="H789" s="4" t="str">
        <f>IF(F789="","",SUMIF('Estadísticas Jugadores'!$F$2:$F$7001,F789,'Estadísticas Jugadores'!$I$2:$I$7001))</f>
        <v/>
      </c>
      <c r="I789" s="4" t="str">
        <f t="shared" si="63"/>
        <v/>
      </c>
      <c r="J789" s="4" t="str">
        <f t="shared" si="64"/>
        <v/>
      </c>
    </row>
    <row r="790" spans="1:10" ht="15" customHeight="1" x14ac:dyDescent="0.25">
      <c r="A790" s="8" t="str">
        <f>IF(COUNT($J$2:$J$1501)&gt;=789,789,"")</f>
        <v/>
      </c>
      <c r="B790" s="8" t="str">
        <f t="shared" si="60"/>
        <v/>
      </c>
      <c r="C790" s="8" t="str">
        <f t="shared" si="61"/>
        <v/>
      </c>
      <c r="D790" s="8" t="str">
        <f t="shared" si="62"/>
        <v/>
      </c>
      <c r="F790" s="4" t="str">
        <f>IF(Jugadores!B790="","",Jugadores!B790)</f>
        <v/>
      </c>
      <c r="G790" s="4" t="str">
        <f>IF(Jugadores!B790="","",Jugadores!A790)</f>
        <v/>
      </c>
      <c r="H790" s="4" t="str">
        <f>IF(F790="","",SUMIF('Estadísticas Jugadores'!$F$2:$F$7001,F790,'Estadísticas Jugadores'!$I$2:$I$7001))</f>
        <v/>
      </c>
      <c r="I790" s="4" t="str">
        <f t="shared" si="63"/>
        <v/>
      </c>
      <c r="J790" s="4" t="str">
        <f t="shared" si="64"/>
        <v/>
      </c>
    </row>
    <row r="791" spans="1:10" ht="15" customHeight="1" x14ac:dyDescent="0.25">
      <c r="A791" s="8" t="str">
        <f>IF(COUNT($J$2:$J$1501)&gt;=790,790,"")</f>
        <v/>
      </c>
      <c r="B791" s="8" t="str">
        <f t="shared" si="60"/>
        <v/>
      </c>
      <c r="C791" s="8" t="str">
        <f t="shared" si="61"/>
        <v/>
      </c>
      <c r="D791" s="8" t="str">
        <f t="shared" si="62"/>
        <v/>
      </c>
      <c r="F791" s="4" t="str">
        <f>IF(Jugadores!B791="","",Jugadores!B791)</f>
        <v/>
      </c>
      <c r="G791" s="4" t="str">
        <f>IF(Jugadores!B791="","",Jugadores!A791)</f>
        <v/>
      </c>
      <c r="H791" s="4" t="str">
        <f>IF(F791="","",SUMIF('Estadísticas Jugadores'!$F$2:$F$7001,F791,'Estadísticas Jugadores'!$I$2:$I$7001))</f>
        <v/>
      </c>
      <c r="I791" s="4" t="str">
        <f t="shared" si="63"/>
        <v/>
      </c>
      <c r="J791" s="4" t="str">
        <f t="shared" si="64"/>
        <v/>
      </c>
    </row>
    <row r="792" spans="1:10" ht="15" customHeight="1" x14ac:dyDescent="0.25">
      <c r="A792" s="8" t="str">
        <f>IF(COUNT($J$2:$J$1501)&gt;=791,791,"")</f>
        <v/>
      </c>
      <c r="B792" s="8" t="str">
        <f t="shared" si="60"/>
        <v/>
      </c>
      <c r="C792" s="8" t="str">
        <f t="shared" si="61"/>
        <v/>
      </c>
      <c r="D792" s="8" t="str">
        <f t="shared" si="62"/>
        <v/>
      </c>
      <c r="F792" s="4" t="str">
        <f>IF(Jugadores!B792="","",Jugadores!B792)</f>
        <v/>
      </c>
      <c r="G792" s="4" t="str">
        <f>IF(Jugadores!B792="","",Jugadores!A792)</f>
        <v/>
      </c>
      <c r="H792" s="4" t="str">
        <f>IF(F792="","",SUMIF('Estadísticas Jugadores'!$F$2:$F$7001,F792,'Estadísticas Jugadores'!$I$2:$I$7001))</f>
        <v/>
      </c>
      <c r="I792" s="4" t="str">
        <f t="shared" si="63"/>
        <v/>
      </c>
      <c r="J792" s="4" t="str">
        <f t="shared" si="64"/>
        <v/>
      </c>
    </row>
    <row r="793" spans="1:10" ht="15" customHeight="1" x14ac:dyDescent="0.25">
      <c r="A793" s="8" t="str">
        <f>IF(COUNT($J$2:$J$1501)&gt;=792,792,"")</f>
        <v/>
      </c>
      <c r="B793" s="8" t="str">
        <f t="shared" si="60"/>
        <v/>
      </c>
      <c r="C793" s="8" t="str">
        <f t="shared" si="61"/>
        <v/>
      </c>
      <c r="D793" s="8" t="str">
        <f t="shared" si="62"/>
        <v/>
      </c>
      <c r="F793" s="4" t="str">
        <f>IF(Jugadores!B793="","",Jugadores!B793)</f>
        <v/>
      </c>
      <c r="G793" s="4" t="str">
        <f>IF(Jugadores!B793="","",Jugadores!A793)</f>
        <v/>
      </c>
      <c r="H793" s="4" t="str">
        <f>IF(F793="","",SUMIF('Estadísticas Jugadores'!$F$2:$F$7001,F793,'Estadísticas Jugadores'!$I$2:$I$7001))</f>
        <v/>
      </c>
      <c r="I793" s="4" t="str">
        <f t="shared" si="63"/>
        <v/>
      </c>
      <c r="J793" s="4" t="str">
        <f t="shared" si="64"/>
        <v/>
      </c>
    </row>
    <row r="794" spans="1:10" ht="15" customHeight="1" x14ac:dyDescent="0.25">
      <c r="A794" s="8" t="str">
        <f>IF(COUNT($J$2:$J$1501)&gt;=793,793,"")</f>
        <v/>
      </c>
      <c r="B794" s="8" t="str">
        <f t="shared" si="60"/>
        <v/>
      </c>
      <c r="C794" s="8" t="str">
        <f t="shared" si="61"/>
        <v/>
      </c>
      <c r="D794" s="8" t="str">
        <f t="shared" si="62"/>
        <v/>
      </c>
      <c r="F794" s="4" t="str">
        <f>IF(Jugadores!B794="","",Jugadores!B794)</f>
        <v/>
      </c>
      <c r="G794" s="4" t="str">
        <f>IF(Jugadores!B794="","",Jugadores!A794)</f>
        <v/>
      </c>
      <c r="H794" s="4" t="str">
        <f>IF(F794="","",SUMIF('Estadísticas Jugadores'!$F$2:$F$7001,F794,'Estadísticas Jugadores'!$I$2:$I$7001))</f>
        <v/>
      </c>
      <c r="I794" s="4" t="str">
        <f t="shared" si="63"/>
        <v/>
      </c>
      <c r="J794" s="4" t="str">
        <f t="shared" si="64"/>
        <v/>
      </c>
    </row>
    <row r="795" spans="1:10" ht="15" customHeight="1" x14ac:dyDescent="0.25">
      <c r="A795" s="8" t="str">
        <f>IF(COUNT($J$2:$J$1501)&gt;=794,794,"")</f>
        <v/>
      </c>
      <c r="B795" s="8" t="str">
        <f t="shared" si="60"/>
        <v/>
      </c>
      <c r="C795" s="8" t="str">
        <f t="shared" si="61"/>
        <v/>
      </c>
      <c r="D795" s="8" t="str">
        <f t="shared" si="62"/>
        <v/>
      </c>
      <c r="F795" s="4" t="str">
        <f>IF(Jugadores!B795="","",Jugadores!B795)</f>
        <v/>
      </c>
      <c r="G795" s="4" t="str">
        <f>IF(Jugadores!B795="","",Jugadores!A795)</f>
        <v/>
      </c>
      <c r="H795" s="4" t="str">
        <f>IF(F795="","",SUMIF('Estadísticas Jugadores'!$F$2:$F$7001,F795,'Estadísticas Jugadores'!$I$2:$I$7001))</f>
        <v/>
      </c>
      <c r="I795" s="4" t="str">
        <f t="shared" si="63"/>
        <v/>
      </c>
      <c r="J795" s="4" t="str">
        <f t="shared" si="64"/>
        <v/>
      </c>
    </row>
    <row r="796" spans="1:10" ht="15" customHeight="1" x14ac:dyDescent="0.25">
      <c r="A796" s="8" t="str">
        <f>IF(COUNT($J$2:$J$1501)&gt;=795,795,"")</f>
        <v/>
      </c>
      <c r="B796" s="8" t="str">
        <f t="shared" si="60"/>
        <v/>
      </c>
      <c r="C796" s="8" t="str">
        <f t="shared" si="61"/>
        <v/>
      </c>
      <c r="D796" s="8" t="str">
        <f t="shared" si="62"/>
        <v/>
      </c>
      <c r="F796" s="4" t="str">
        <f>IF(Jugadores!B796="","",Jugadores!B796)</f>
        <v/>
      </c>
      <c r="G796" s="4" t="str">
        <f>IF(Jugadores!B796="","",Jugadores!A796)</f>
        <v/>
      </c>
      <c r="H796" s="4" t="str">
        <f>IF(F796="","",SUMIF('Estadísticas Jugadores'!$F$2:$F$7001,F796,'Estadísticas Jugadores'!$I$2:$I$7001))</f>
        <v/>
      </c>
      <c r="I796" s="4" t="str">
        <f t="shared" si="63"/>
        <v/>
      </c>
      <c r="J796" s="4" t="str">
        <f t="shared" si="64"/>
        <v/>
      </c>
    </row>
    <row r="797" spans="1:10" ht="15" customHeight="1" x14ac:dyDescent="0.25">
      <c r="A797" s="8" t="str">
        <f>IF(COUNT($J$2:$J$1501)&gt;=796,796,"")</f>
        <v/>
      </c>
      <c r="B797" s="8" t="str">
        <f t="shared" si="60"/>
        <v/>
      </c>
      <c r="C797" s="8" t="str">
        <f t="shared" si="61"/>
        <v/>
      </c>
      <c r="D797" s="8" t="str">
        <f t="shared" si="62"/>
        <v/>
      </c>
      <c r="F797" s="4" t="str">
        <f>IF(Jugadores!B797="","",Jugadores!B797)</f>
        <v/>
      </c>
      <c r="G797" s="4" t="str">
        <f>IF(Jugadores!B797="","",Jugadores!A797)</f>
        <v/>
      </c>
      <c r="H797" s="4" t="str">
        <f>IF(F797="","",SUMIF('Estadísticas Jugadores'!$F$2:$F$7001,F797,'Estadísticas Jugadores'!$I$2:$I$7001))</f>
        <v/>
      </c>
      <c r="I797" s="4" t="str">
        <f t="shared" si="63"/>
        <v/>
      </c>
      <c r="J797" s="4" t="str">
        <f t="shared" si="64"/>
        <v/>
      </c>
    </row>
    <row r="798" spans="1:10" ht="15" customHeight="1" x14ac:dyDescent="0.25">
      <c r="A798" s="8" t="str">
        <f>IF(COUNT($J$2:$J$1501)&gt;=797,797,"")</f>
        <v/>
      </c>
      <c r="B798" s="8" t="str">
        <f t="shared" si="60"/>
        <v/>
      </c>
      <c r="C798" s="8" t="str">
        <f t="shared" si="61"/>
        <v/>
      </c>
      <c r="D798" s="8" t="str">
        <f t="shared" si="62"/>
        <v/>
      </c>
      <c r="F798" s="4" t="str">
        <f>IF(Jugadores!B798="","",Jugadores!B798)</f>
        <v/>
      </c>
      <c r="G798" s="4" t="str">
        <f>IF(Jugadores!B798="","",Jugadores!A798)</f>
        <v/>
      </c>
      <c r="H798" s="4" t="str">
        <f>IF(F798="","",SUMIF('Estadísticas Jugadores'!$F$2:$F$7001,F798,'Estadísticas Jugadores'!$I$2:$I$7001))</f>
        <v/>
      </c>
      <c r="I798" s="4" t="str">
        <f t="shared" si="63"/>
        <v/>
      </c>
      <c r="J798" s="4" t="str">
        <f t="shared" si="64"/>
        <v/>
      </c>
    </row>
    <row r="799" spans="1:10" ht="15" customHeight="1" x14ac:dyDescent="0.25">
      <c r="A799" s="8" t="str">
        <f>IF(COUNT($J$2:$J$1501)&gt;=798,798,"")</f>
        <v/>
      </c>
      <c r="B799" s="8" t="str">
        <f t="shared" si="60"/>
        <v/>
      </c>
      <c r="C799" s="8" t="str">
        <f t="shared" si="61"/>
        <v/>
      </c>
      <c r="D799" s="8" t="str">
        <f t="shared" si="62"/>
        <v/>
      </c>
      <c r="F799" s="4" t="str">
        <f>IF(Jugadores!B799="","",Jugadores!B799)</f>
        <v/>
      </c>
      <c r="G799" s="4" t="str">
        <f>IF(Jugadores!B799="","",Jugadores!A799)</f>
        <v/>
      </c>
      <c r="H799" s="4" t="str">
        <f>IF(F799="","",SUMIF('Estadísticas Jugadores'!$F$2:$F$7001,F799,'Estadísticas Jugadores'!$I$2:$I$7001))</f>
        <v/>
      </c>
      <c r="I799" s="4" t="str">
        <f t="shared" si="63"/>
        <v/>
      </c>
      <c r="J799" s="4" t="str">
        <f t="shared" si="64"/>
        <v/>
      </c>
    </row>
    <row r="800" spans="1:10" ht="15" customHeight="1" x14ac:dyDescent="0.25">
      <c r="A800" s="8" t="str">
        <f>IF(COUNT($J$2:$J$1501)&gt;=799,799,"")</f>
        <v/>
      </c>
      <c r="B800" s="8" t="str">
        <f t="shared" si="60"/>
        <v/>
      </c>
      <c r="C800" s="8" t="str">
        <f t="shared" si="61"/>
        <v/>
      </c>
      <c r="D800" s="8" t="str">
        <f t="shared" si="62"/>
        <v/>
      </c>
      <c r="F800" s="4" t="str">
        <f>IF(Jugadores!B800="","",Jugadores!B800)</f>
        <v/>
      </c>
      <c r="G800" s="4" t="str">
        <f>IF(Jugadores!B800="","",Jugadores!A800)</f>
        <v/>
      </c>
      <c r="H800" s="4" t="str">
        <f>IF(F800="","",SUMIF('Estadísticas Jugadores'!$F$2:$F$7001,F800,'Estadísticas Jugadores'!$I$2:$I$7001))</f>
        <v/>
      </c>
      <c r="I800" s="4" t="str">
        <f t="shared" si="63"/>
        <v/>
      </c>
      <c r="J800" s="4" t="str">
        <f t="shared" si="64"/>
        <v/>
      </c>
    </row>
    <row r="801" spans="1:10" ht="15" customHeight="1" x14ac:dyDescent="0.25">
      <c r="A801" s="8" t="str">
        <f>IF(COUNT($J$2:$J$1501)&gt;=800,800,"")</f>
        <v/>
      </c>
      <c r="B801" s="8" t="str">
        <f t="shared" si="60"/>
        <v/>
      </c>
      <c r="C801" s="8" t="str">
        <f t="shared" si="61"/>
        <v/>
      </c>
      <c r="D801" s="8" t="str">
        <f t="shared" si="62"/>
        <v/>
      </c>
      <c r="F801" s="4" t="str">
        <f>IF(Jugadores!B801="","",Jugadores!B801)</f>
        <v/>
      </c>
      <c r="G801" s="4" t="str">
        <f>IF(Jugadores!B801="","",Jugadores!A801)</f>
        <v/>
      </c>
      <c r="H801" s="4" t="str">
        <f>IF(F801="","",SUMIF('Estadísticas Jugadores'!$F$2:$F$7001,F801,'Estadísticas Jugadores'!$I$2:$I$7001))</f>
        <v/>
      </c>
      <c r="I801" s="4" t="str">
        <f t="shared" si="63"/>
        <v/>
      </c>
      <c r="J801" s="4" t="str">
        <f t="shared" si="64"/>
        <v/>
      </c>
    </row>
    <row r="802" spans="1:10" ht="15" customHeight="1" x14ac:dyDescent="0.25">
      <c r="A802" s="8" t="str">
        <f>IF(COUNT($J$2:$J$1501)&gt;=801,801,"")</f>
        <v/>
      </c>
      <c r="B802" s="8" t="str">
        <f t="shared" si="60"/>
        <v/>
      </c>
      <c r="C802" s="8" t="str">
        <f t="shared" si="61"/>
        <v/>
      </c>
      <c r="D802" s="8" t="str">
        <f t="shared" si="62"/>
        <v/>
      </c>
      <c r="F802" s="4" t="str">
        <f>IF(Jugadores!B802="","",Jugadores!B802)</f>
        <v/>
      </c>
      <c r="G802" s="4" t="str">
        <f>IF(Jugadores!B802="","",Jugadores!A802)</f>
        <v/>
      </c>
      <c r="H802" s="4" t="str">
        <f>IF(F802="","",SUMIF('Estadísticas Jugadores'!$F$2:$F$7001,F802,'Estadísticas Jugadores'!$I$2:$I$7001))</f>
        <v/>
      </c>
      <c r="I802" s="4" t="str">
        <f t="shared" si="63"/>
        <v/>
      </c>
      <c r="J802" s="4" t="str">
        <f t="shared" si="64"/>
        <v/>
      </c>
    </row>
    <row r="803" spans="1:10" ht="15" customHeight="1" x14ac:dyDescent="0.25">
      <c r="A803" s="8" t="str">
        <f>IF(COUNT($J$2:$J$1501)&gt;=802,802,"")</f>
        <v/>
      </c>
      <c r="B803" s="8" t="str">
        <f t="shared" si="60"/>
        <v/>
      </c>
      <c r="C803" s="8" t="str">
        <f t="shared" si="61"/>
        <v/>
      </c>
      <c r="D803" s="8" t="str">
        <f t="shared" si="62"/>
        <v/>
      </c>
      <c r="F803" s="4" t="str">
        <f>IF(Jugadores!B803="","",Jugadores!B803)</f>
        <v/>
      </c>
      <c r="G803" s="4" t="str">
        <f>IF(Jugadores!B803="","",Jugadores!A803)</f>
        <v/>
      </c>
      <c r="H803" s="4" t="str">
        <f>IF(F803="","",SUMIF('Estadísticas Jugadores'!$F$2:$F$7001,F803,'Estadísticas Jugadores'!$I$2:$I$7001))</f>
        <v/>
      </c>
      <c r="I803" s="4" t="str">
        <f t="shared" si="63"/>
        <v/>
      </c>
      <c r="J803" s="4" t="str">
        <f t="shared" si="64"/>
        <v/>
      </c>
    </row>
    <row r="804" spans="1:10" ht="15" customHeight="1" x14ac:dyDescent="0.25">
      <c r="A804" s="8" t="str">
        <f>IF(COUNT($J$2:$J$1501)&gt;=803,803,"")</f>
        <v/>
      </c>
      <c r="B804" s="8" t="str">
        <f t="shared" si="60"/>
        <v/>
      </c>
      <c r="C804" s="8" t="str">
        <f t="shared" si="61"/>
        <v/>
      </c>
      <c r="D804" s="8" t="str">
        <f t="shared" si="62"/>
        <v/>
      </c>
      <c r="F804" s="4" t="str">
        <f>IF(Jugadores!B804="","",Jugadores!B804)</f>
        <v/>
      </c>
      <c r="G804" s="4" t="str">
        <f>IF(Jugadores!B804="","",Jugadores!A804)</f>
        <v/>
      </c>
      <c r="H804" s="4" t="str">
        <f>IF(F804="","",SUMIF('Estadísticas Jugadores'!$F$2:$F$7001,F804,'Estadísticas Jugadores'!$I$2:$I$7001))</f>
        <v/>
      </c>
      <c r="I804" s="4" t="str">
        <f t="shared" si="63"/>
        <v/>
      </c>
      <c r="J804" s="4" t="str">
        <f t="shared" si="64"/>
        <v/>
      </c>
    </row>
    <row r="805" spans="1:10" ht="15" customHeight="1" x14ac:dyDescent="0.25">
      <c r="A805" s="8" t="str">
        <f>IF(COUNT($J$2:$J$1501)&gt;=804,804,"")</f>
        <v/>
      </c>
      <c r="B805" s="8" t="str">
        <f t="shared" si="60"/>
        <v/>
      </c>
      <c r="C805" s="8" t="str">
        <f t="shared" si="61"/>
        <v/>
      </c>
      <c r="D805" s="8" t="str">
        <f t="shared" si="62"/>
        <v/>
      </c>
      <c r="F805" s="4" t="str">
        <f>IF(Jugadores!B805="","",Jugadores!B805)</f>
        <v/>
      </c>
      <c r="G805" s="4" t="str">
        <f>IF(Jugadores!B805="","",Jugadores!A805)</f>
        <v/>
      </c>
      <c r="H805" s="4" t="str">
        <f>IF(F805="","",SUMIF('Estadísticas Jugadores'!$F$2:$F$7001,F805,'Estadísticas Jugadores'!$I$2:$I$7001))</f>
        <v/>
      </c>
      <c r="I805" s="4" t="str">
        <f t="shared" si="63"/>
        <v/>
      </c>
      <c r="J805" s="4" t="str">
        <f t="shared" si="64"/>
        <v/>
      </c>
    </row>
    <row r="806" spans="1:10" ht="15" customHeight="1" x14ac:dyDescent="0.25">
      <c r="A806" s="8" t="str">
        <f>IF(COUNT($J$2:$J$1501)&gt;=805,805,"")</f>
        <v/>
      </c>
      <c r="B806" s="8" t="str">
        <f t="shared" si="60"/>
        <v/>
      </c>
      <c r="C806" s="8" t="str">
        <f t="shared" si="61"/>
        <v/>
      </c>
      <c r="D806" s="8" t="str">
        <f t="shared" si="62"/>
        <v/>
      </c>
      <c r="F806" s="4" t="str">
        <f>IF(Jugadores!B806="","",Jugadores!B806)</f>
        <v/>
      </c>
      <c r="G806" s="4" t="str">
        <f>IF(Jugadores!B806="","",Jugadores!A806)</f>
        <v/>
      </c>
      <c r="H806" s="4" t="str">
        <f>IF(F806="","",SUMIF('Estadísticas Jugadores'!$F$2:$F$7001,F806,'Estadísticas Jugadores'!$I$2:$I$7001))</f>
        <v/>
      </c>
      <c r="I806" s="4" t="str">
        <f t="shared" si="63"/>
        <v/>
      </c>
      <c r="J806" s="4" t="str">
        <f t="shared" si="64"/>
        <v/>
      </c>
    </row>
    <row r="807" spans="1:10" ht="15" customHeight="1" x14ac:dyDescent="0.25">
      <c r="A807" s="8" t="str">
        <f>IF(COUNT($J$2:$J$1501)&gt;=806,806,"")</f>
        <v/>
      </c>
      <c r="B807" s="8" t="str">
        <f t="shared" si="60"/>
        <v/>
      </c>
      <c r="C807" s="8" t="str">
        <f t="shared" si="61"/>
        <v/>
      </c>
      <c r="D807" s="8" t="str">
        <f t="shared" si="62"/>
        <v/>
      </c>
      <c r="F807" s="4" t="str">
        <f>IF(Jugadores!B807="","",Jugadores!B807)</f>
        <v/>
      </c>
      <c r="G807" s="4" t="str">
        <f>IF(Jugadores!B807="","",Jugadores!A807)</f>
        <v/>
      </c>
      <c r="H807" s="4" t="str">
        <f>IF(F807="","",SUMIF('Estadísticas Jugadores'!$F$2:$F$7001,F807,'Estadísticas Jugadores'!$I$2:$I$7001))</f>
        <v/>
      </c>
      <c r="I807" s="4" t="str">
        <f t="shared" si="63"/>
        <v/>
      </c>
      <c r="J807" s="4" t="str">
        <f t="shared" si="64"/>
        <v/>
      </c>
    </row>
    <row r="808" spans="1:10" ht="15" customHeight="1" x14ac:dyDescent="0.25">
      <c r="A808" s="8" t="str">
        <f>IF(COUNT($J$2:$J$1501)&gt;=807,807,"")</f>
        <v/>
      </c>
      <c r="B808" s="8" t="str">
        <f t="shared" si="60"/>
        <v/>
      </c>
      <c r="C808" s="8" t="str">
        <f t="shared" si="61"/>
        <v/>
      </c>
      <c r="D808" s="8" t="str">
        <f t="shared" si="62"/>
        <v/>
      </c>
      <c r="F808" s="4" t="str">
        <f>IF(Jugadores!B808="","",Jugadores!B808)</f>
        <v/>
      </c>
      <c r="G808" s="4" t="str">
        <f>IF(Jugadores!B808="","",Jugadores!A808)</f>
        <v/>
      </c>
      <c r="H808" s="4" t="str">
        <f>IF(F808="","",SUMIF('Estadísticas Jugadores'!$F$2:$F$7001,F808,'Estadísticas Jugadores'!$I$2:$I$7001))</f>
        <v/>
      </c>
      <c r="I808" s="4" t="str">
        <f t="shared" si="63"/>
        <v/>
      </c>
      <c r="J808" s="4" t="str">
        <f t="shared" si="64"/>
        <v/>
      </c>
    </row>
    <row r="809" spans="1:10" ht="15" customHeight="1" x14ac:dyDescent="0.25">
      <c r="A809" s="8" t="str">
        <f>IF(COUNT($J$2:$J$1501)&gt;=808,808,"")</f>
        <v/>
      </c>
      <c r="B809" s="8" t="str">
        <f t="shared" si="60"/>
        <v/>
      </c>
      <c r="C809" s="8" t="str">
        <f t="shared" si="61"/>
        <v/>
      </c>
      <c r="D809" s="8" t="str">
        <f t="shared" si="62"/>
        <v/>
      </c>
      <c r="F809" s="4" t="str">
        <f>IF(Jugadores!B809="","",Jugadores!B809)</f>
        <v/>
      </c>
      <c r="G809" s="4" t="str">
        <f>IF(Jugadores!B809="","",Jugadores!A809)</f>
        <v/>
      </c>
      <c r="H809" s="4" t="str">
        <f>IF(F809="","",SUMIF('Estadísticas Jugadores'!$F$2:$F$7001,F809,'Estadísticas Jugadores'!$I$2:$I$7001))</f>
        <v/>
      </c>
      <c r="I809" s="4" t="str">
        <f t="shared" si="63"/>
        <v/>
      </c>
      <c r="J809" s="4" t="str">
        <f t="shared" si="64"/>
        <v/>
      </c>
    </row>
    <row r="810" spans="1:10" ht="15" customHeight="1" x14ac:dyDescent="0.25">
      <c r="A810" s="8" t="str">
        <f>IF(COUNT($J$2:$J$1501)&gt;=809,809,"")</f>
        <v/>
      </c>
      <c r="B810" s="8" t="str">
        <f t="shared" si="60"/>
        <v/>
      </c>
      <c r="C810" s="8" t="str">
        <f t="shared" si="61"/>
        <v/>
      </c>
      <c r="D810" s="8" t="str">
        <f t="shared" si="62"/>
        <v/>
      </c>
      <c r="F810" s="4" t="str">
        <f>IF(Jugadores!B810="","",Jugadores!B810)</f>
        <v/>
      </c>
      <c r="G810" s="4" t="str">
        <f>IF(Jugadores!B810="","",Jugadores!A810)</f>
        <v/>
      </c>
      <c r="H810" s="4" t="str">
        <f>IF(F810="","",SUMIF('Estadísticas Jugadores'!$F$2:$F$7001,F810,'Estadísticas Jugadores'!$I$2:$I$7001))</f>
        <v/>
      </c>
      <c r="I810" s="4" t="str">
        <f t="shared" si="63"/>
        <v/>
      </c>
      <c r="J810" s="4" t="str">
        <f t="shared" si="64"/>
        <v/>
      </c>
    </row>
    <row r="811" spans="1:10" ht="15" customHeight="1" x14ac:dyDescent="0.25">
      <c r="A811" s="8" t="str">
        <f>IF(COUNT($J$2:$J$1501)&gt;=810,810,"")</f>
        <v/>
      </c>
      <c r="B811" s="8" t="str">
        <f t="shared" si="60"/>
        <v/>
      </c>
      <c r="C811" s="8" t="str">
        <f t="shared" si="61"/>
        <v/>
      </c>
      <c r="D811" s="8" t="str">
        <f t="shared" si="62"/>
        <v/>
      </c>
      <c r="F811" s="4" t="str">
        <f>IF(Jugadores!B811="","",Jugadores!B811)</f>
        <v/>
      </c>
      <c r="G811" s="4" t="str">
        <f>IF(Jugadores!B811="","",Jugadores!A811)</f>
        <v/>
      </c>
      <c r="H811" s="4" t="str">
        <f>IF(F811="","",SUMIF('Estadísticas Jugadores'!$F$2:$F$7001,F811,'Estadísticas Jugadores'!$I$2:$I$7001))</f>
        <v/>
      </c>
      <c r="I811" s="4" t="str">
        <f t="shared" si="63"/>
        <v/>
      </c>
      <c r="J811" s="4" t="str">
        <f t="shared" si="64"/>
        <v/>
      </c>
    </row>
    <row r="812" spans="1:10" ht="15" customHeight="1" x14ac:dyDescent="0.25">
      <c r="A812" s="8" t="str">
        <f>IF(COUNT($J$2:$J$1501)&gt;=811,811,"")</f>
        <v/>
      </c>
      <c r="B812" s="8" t="str">
        <f t="shared" si="60"/>
        <v/>
      </c>
      <c r="C812" s="8" t="str">
        <f t="shared" si="61"/>
        <v/>
      </c>
      <c r="D812" s="8" t="str">
        <f t="shared" si="62"/>
        <v/>
      </c>
      <c r="F812" s="4" t="str">
        <f>IF(Jugadores!B812="","",Jugadores!B812)</f>
        <v/>
      </c>
      <c r="G812" s="4" t="str">
        <f>IF(Jugadores!B812="","",Jugadores!A812)</f>
        <v/>
      </c>
      <c r="H812" s="4" t="str">
        <f>IF(F812="","",SUMIF('Estadísticas Jugadores'!$F$2:$F$7001,F812,'Estadísticas Jugadores'!$I$2:$I$7001))</f>
        <v/>
      </c>
      <c r="I812" s="4" t="str">
        <f t="shared" si="63"/>
        <v/>
      </c>
      <c r="J812" s="4" t="str">
        <f t="shared" si="64"/>
        <v/>
      </c>
    </row>
    <row r="813" spans="1:10" ht="15" customHeight="1" x14ac:dyDescent="0.25">
      <c r="A813" s="8" t="str">
        <f>IF(COUNT($J$2:$J$1501)&gt;=812,812,"")</f>
        <v/>
      </c>
      <c r="B813" s="8" t="str">
        <f t="shared" si="60"/>
        <v/>
      </c>
      <c r="C813" s="8" t="str">
        <f t="shared" si="61"/>
        <v/>
      </c>
      <c r="D813" s="8" t="str">
        <f t="shared" si="62"/>
        <v/>
      </c>
      <c r="F813" s="4" t="str">
        <f>IF(Jugadores!B813="","",Jugadores!B813)</f>
        <v/>
      </c>
      <c r="G813" s="4" t="str">
        <f>IF(Jugadores!B813="","",Jugadores!A813)</f>
        <v/>
      </c>
      <c r="H813" s="4" t="str">
        <f>IF(F813="","",SUMIF('Estadísticas Jugadores'!$F$2:$F$7001,F813,'Estadísticas Jugadores'!$I$2:$I$7001))</f>
        <v/>
      </c>
      <c r="I813" s="4" t="str">
        <f t="shared" si="63"/>
        <v/>
      </c>
      <c r="J813" s="4" t="str">
        <f t="shared" si="64"/>
        <v/>
      </c>
    </row>
    <row r="814" spans="1:10" ht="15" customHeight="1" x14ac:dyDescent="0.25">
      <c r="A814" s="8" t="str">
        <f>IF(COUNT($J$2:$J$1501)&gt;=813,813,"")</f>
        <v/>
      </c>
      <c r="B814" s="8" t="str">
        <f t="shared" si="60"/>
        <v/>
      </c>
      <c r="C814" s="8" t="str">
        <f t="shared" si="61"/>
        <v/>
      </c>
      <c r="D814" s="8" t="str">
        <f t="shared" si="62"/>
        <v/>
      </c>
      <c r="F814" s="4" t="str">
        <f>IF(Jugadores!B814="","",Jugadores!B814)</f>
        <v/>
      </c>
      <c r="G814" s="4" t="str">
        <f>IF(Jugadores!B814="","",Jugadores!A814)</f>
        <v/>
      </c>
      <c r="H814" s="4" t="str">
        <f>IF(F814="","",SUMIF('Estadísticas Jugadores'!$F$2:$F$7001,F814,'Estadísticas Jugadores'!$I$2:$I$7001))</f>
        <v/>
      </c>
      <c r="I814" s="4" t="str">
        <f t="shared" si="63"/>
        <v/>
      </c>
      <c r="J814" s="4" t="str">
        <f t="shared" si="64"/>
        <v/>
      </c>
    </row>
    <row r="815" spans="1:10" ht="15" customHeight="1" x14ac:dyDescent="0.25">
      <c r="A815" s="8" t="str">
        <f>IF(COUNT($J$2:$J$1501)&gt;=814,814,"")</f>
        <v/>
      </c>
      <c r="B815" s="8" t="str">
        <f t="shared" si="60"/>
        <v/>
      </c>
      <c r="C815" s="8" t="str">
        <f t="shared" si="61"/>
        <v/>
      </c>
      <c r="D815" s="8" t="str">
        <f t="shared" si="62"/>
        <v/>
      </c>
      <c r="F815" s="4" t="str">
        <f>IF(Jugadores!B815="","",Jugadores!B815)</f>
        <v/>
      </c>
      <c r="G815" s="4" t="str">
        <f>IF(Jugadores!B815="","",Jugadores!A815)</f>
        <v/>
      </c>
      <c r="H815" s="4" t="str">
        <f>IF(F815="","",SUMIF('Estadísticas Jugadores'!$F$2:$F$7001,F815,'Estadísticas Jugadores'!$I$2:$I$7001))</f>
        <v/>
      </c>
      <c r="I815" s="4" t="str">
        <f t="shared" si="63"/>
        <v/>
      </c>
      <c r="J815" s="4" t="str">
        <f t="shared" si="64"/>
        <v/>
      </c>
    </row>
    <row r="816" spans="1:10" ht="15" customHeight="1" x14ac:dyDescent="0.25">
      <c r="A816" s="8" t="str">
        <f>IF(COUNT($J$2:$J$1501)&gt;=815,815,"")</f>
        <v/>
      </c>
      <c r="B816" s="8" t="str">
        <f t="shared" si="60"/>
        <v/>
      </c>
      <c r="C816" s="8" t="str">
        <f t="shared" si="61"/>
        <v/>
      </c>
      <c r="D816" s="8" t="str">
        <f t="shared" si="62"/>
        <v/>
      </c>
      <c r="F816" s="4" t="str">
        <f>IF(Jugadores!B816="","",Jugadores!B816)</f>
        <v/>
      </c>
      <c r="G816" s="4" t="str">
        <f>IF(Jugadores!B816="","",Jugadores!A816)</f>
        <v/>
      </c>
      <c r="H816" s="4" t="str">
        <f>IF(F816="","",SUMIF('Estadísticas Jugadores'!$F$2:$F$7001,F816,'Estadísticas Jugadores'!$I$2:$I$7001))</f>
        <v/>
      </c>
      <c r="I816" s="4" t="str">
        <f t="shared" si="63"/>
        <v/>
      </c>
      <c r="J816" s="4" t="str">
        <f t="shared" si="64"/>
        <v/>
      </c>
    </row>
    <row r="817" spans="1:10" ht="15" customHeight="1" x14ac:dyDescent="0.25">
      <c r="A817" s="8" t="str">
        <f>IF(COUNT($J$2:$J$1501)&gt;=816,816,"")</f>
        <v/>
      </c>
      <c r="B817" s="8" t="str">
        <f t="shared" si="60"/>
        <v/>
      </c>
      <c r="C817" s="8" t="str">
        <f t="shared" si="61"/>
        <v/>
      </c>
      <c r="D817" s="8" t="str">
        <f t="shared" si="62"/>
        <v/>
      </c>
      <c r="F817" s="4" t="str">
        <f>IF(Jugadores!B817="","",Jugadores!B817)</f>
        <v/>
      </c>
      <c r="G817" s="4" t="str">
        <f>IF(Jugadores!B817="","",Jugadores!A817)</f>
        <v/>
      </c>
      <c r="H817" s="4" t="str">
        <f>IF(F817="","",SUMIF('Estadísticas Jugadores'!$F$2:$F$7001,F817,'Estadísticas Jugadores'!$I$2:$I$7001))</f>
        <v/>
      </c>
      <c r="I817" s="4" t="str">
        <f t="shared" si="63"/>
        <v/>
      </c>
      <c r="J817" s="4" t="str">
        <f t="shared" si="64"/>
        <v/>
      </c>
    </row>
    <row r="818" spans="1:10" ht="15" customHeight="1" x14ac:dyDescent="0.25">
      <c r="A818" s="8" t="str">
        <f>IF(COUNT($J$2:$J$1501)&gt;=817,817,"")</f>
        <v/>
      </c>
      <c r="B818" s="8" t="str">
        <f t="shared" si="60"/>
        <v/>
      </c>
      <c r="C818" s="8" t="str">
        <f t="shared" si="61"/>
        <v/>
      </c>
      <c r="D818" s="8" t="str">
        <f t="shared" si="62"/>
        <v/>
      </c>
      <c r="F818" s="4" t="str">
        <f>IF(Jugadores!B818="","",Jugadores!B818)</f>
        <v/>
      </c>
      <c r="G818" s="4" t="str">
        <f>IF(Jugadores!B818="","",Jugadores!A818)</f>
        <v/>
      </c>
      <c r="H818" s="4" t="str">
        <f>IF(F818="","",SUMIF('Estadísticas Jugadores'!$F$2:$F$7001,F818,'Estadísticas Jugadores'!$I$2:$I$7001))</f>
        <v/>
      </c>
      <c r="I818" s="4" t="str">
        <f t="shared" si="63"/>
        <v/>
      </c>
      <c r="J818" s="4" t="str">
        <f t="shared" si="64"/>
        <v/>
      </c>
    </row>
    <row r="819" spans="1:10" ht="15" customHeight="1" x14ac:dyDescent="0.25">
      <c r="A819" s="8" t="str">
        <f>IF(COUNT($J$2:$J$1501)&gt;=818,818,"")</f>
        <v/>
      </c>
      <c r="B819" s="8" t="str">
        <f t="shared" si="60"/>
        <v/>
      </c>
      <c r="C819" s="8" t="str">
        <f t="shared" si="61"/>
        <v/>
      </c>
      <c r="D819" s="8" t="str">
        <f t="shared" si="62"/>
        <v/>
      </c>
      <c r="F819" s="4" t="str">
        <f>IF(Jugadores!B819="","",Jugadores!B819)</f>
        <v/>
      </c>
      <c r="G819" s="4" t="str">
        <f>IF(Jugadores!B819="","",Jugadores!A819)</f>
        <v/>
      </c>
      <c r="H819" s="4" t="str">
        <f>IF(F819="","",SUMIF('Estadísticas Jugadores'!$F$2:$F$7001,F819,'Estadísticas Jugadores'!$I$2:$I$7001))</f>
        <v/>
      </c>
      <c r="I819" s="4" t="str">
        <f t="shared" si="63"/>
        <v/>
      </c>
      <c r="J819" s="4" t="str">
        <f t="shared" si="64"/>
        <v/>
      </c>
    </row>
    <row r="820" spans="1:10" ht="15" customHeight="1" x14ac:dyDescent="0.25">
      <c r="A820" s="8" t="str">
        <f>IF(COUNT($J$2:$J$1501)&gt;=819,819,"")</f>
        <v/>
      </c>
      <c r="B820" s="8" t="str">
        <f t="shared" si="60"/>
        <v/>
      </c>
      <c r="C820" s="8" t="str">
        <f t="shared" si="61"/>
        <v/>
      </c>
      <c r="D820" s="8" t="str">
        <f t="shared" si="62"/>
        <v/>
      </c>
      <c r="F820" s="4" t="str">
        <f>IF(Jugadores!B820="","",Jugadores!B820)</f>
        <v/>
      </c>
      <c r="G820" s="4" t="str">
        <f>IF(Jugadores!B820="","",Jugadores!A820)</f>
        <v/>
      </c>
      <c r="H820" s="4" t="str">
        <f>IF(F820="","",SUMIF('Estadísticas Jugadores'!$F$2:$F$7001,F820,'Estadísticas Jugadores'!$I$2:$I$7001))</f>
        <v/>
      </c>
      <c r="I820" s="4" t="str">
        <f t="shared" si="63"/>
        <v/>
      </c>
      <c r="J820" s="4" t="str">
        <f t="shared" si="64"/>
        <v/>
      </c>
    </row>
    <row r="821" spans="1:10" ht="15" customHeight="1" x14ac:dyDescent="0.25">
      <c r="A821" s="8" t="str">
        <f>IF(COUNT($J$2:$J$1501)&gt;=820,820,"")</f>
        <v/>
      </c>
      <c r="B821" s="8" t="str">
        <f t="shared" si="60"/>
        <v/>
      </c>
      <c r="C821" s="8" t="str">
        <f t="shared" si="61"/>
        <v/>
      </c>
      <c r="D821" s="8" t="str">
        <f t="shared" si="62"/>
        <v/>
      </c>
      <c r="F821" s="4" t="str">
        <f>IF(Jugadores!B821="","",Jugadores!B821)</f>
        <v/>
      </c>
      <c r="G821" s="4" t="str">
        <f>IF(Jugadores!B821="","",Jugadores!A821)</f>
        <v/>
      </c>
      <c r="H821" s="4" t="str">
        <f>IF(F821="","",SUMIF('Estadísticas Jugadores'!$F$2:$F$7001,F821,'Estadísticas Jugadores'!$I$2:$I$7001))</f>
        <v/>
      </c>
      <c r="I821" s="4" t="str">
        <f t="shared" si="63"/>
        <v/>
      </c>
      <c r="J821" s="4" t="str">
        <f t="shared" si="64"/>
        <v/>
      </c>
    </row>
    <row r="822" spans="1:10" ht="15" customHeight="1" x14ac:dyDescent="0.25">
      <c r="A822" s="8" t="str">
        <f>IF(COUNT($J$2:$J$1501)&gt;=821,821,"")</f>
        <v/>
      </c>
      <c r="B822" s="8" t="str">
        <f t="shared" si="60"/>
        <v/>
      </c>
      <c r="C822" s="8" t="str">
        <f t="shared" si="61"/>
        <v/>
      </c>
      <c r="D822" s="8" t="str">
        <f t="shared" si="62"/>
        <v/>
      </c>
      <c r="F822" s="4" t="str">
        <f>IF(Jugadores!B822="","",Jugadores!B822)</f>
        <v/>
      </c>
      <c r="G822" s="4" t="str">
        <f>IF(Jugadores!B822="","",Jugadores!A822)</f>
        <v/>
      </c>
      <c r="H822" s="4" t="str">
        <f>IF(F822="","",SUMIF('Estadísticas Jugadores'!$F$2:$F$7001,F822,'Estadísticas Jugadores'!$I$2:$I$7001))</f>
        <v/>
      </c>
      <c r="I822" s="4" t="str">
        <f t="shared" si="63"/>
        <v/>
      </c>
      <c r="J822" s="4" t="str">
        <f t="shared" si="64"/>
        <v/>
      </c>
    </row>
    <row r="823" spans="1:10" ht="15" customHeight="1" x14ac:dyDescent="0.25">
      <c r="A823" s="8" t="str">
        <f>IF(COUNT($J$2:$J$1501)&gt;=822,822,"")</f>
        <v/>
      </c>
      <c r="B823" s="8" t="str">
        <f t="shared" si="60"/>
        <v/>
      </c>
      <c r="C823" s="8" t="str">
        <f t="shared" si="61"/>
        <v/>
      </c>
      <c r="D823" s="8" t="str">
        <f t="shared" si="62"/>
        <v/>
      </c>
      <c r="F823" s="4" t="str">
        <f>IF(Jugadores!B823="","",Jugadores!B823)</f>
        <v/>
      </c>
      <c r="G823" s="4" t="str">
        <f>IF(Jugadores!B823="","",Jugadores!A823)</f>
        <v/>
      </c>
      <c r="H823" s="4" t="str">
        <f>IF(F823="","",SUMIF('Estadísticas Jugadores'!$F$2:$F$7001,F823,'Estadísticas Jugadores'!$I$2:$I$7001))</f>
        <v/>
      </c>
      <c r="I823" s="4" t="str">
        <f t="shared" si="63"/>
        <v/>
      </c>
      <c r="J823" s="4" t="str">
        <f t="shared" si="64"/>
        <v/>
      </c>
    </row>
    <row r="824" spans="1:10" ht="15" customHeight="1" x14ac:dyDescent="0.25">
      <c r="A824" s="8" t="str">
        <f>IF(COUNT($J$2:$J$1501)&gt;=823,823,"")</f>
        <v/>
      </c>
      <c r="B824" s="8" t="str">
        <f t="shared" si="60"/>
        <v/>
      </c>
      <c r="C824" s="8" t="str">
        <f t="shared" si="61"/>
        <v/>
      </c>
      <c r="D824" s="8" t="str">
        <f t="shared" si="62"/>
        <v/>
      </c>
      <c r="F824" s="4" t="str">
        <f>IF(Jugadores!B824="","",Jugadores!B824)</f>
        <v/>
      </c>
      <c r="G824" s="4" t="str">
        <f>IF(Jugadores!B824="","",Jugadores!A824)</f>
        <v/>
      </c>
      <c r="H824" s="4" t="str">
        <f>IF(F824="","",SUMIF('Estadísticas Jugadores'!$F$2:$F$7001,F824,'Estadísticas Jugadores'!$I$2:$I$7001))</f>
        <v/>
      </c>
      <c r="I824" s="4" t="str">
        <f t="shared" si="63"/>
        <v/>
      </c>
      <c r="J824" s="4" t="str">
        <f t="shared" si="64"/>
        <v/>
      </c>
    </row>
    <row r="825" spans="1:10" ht="15" customHeight="1" x14ac:dyDescent="0.25">
      <c r="A825" s="8" t="str">
        <f>IF(COUNT($J$2:$J$1501)&gt;=824,824,"")</f>
        <v/>
      </c>
      <c r="B825" s="8" t="str">
        <f t="shared" si="60"/>
        <v/>
      </c>
      <c r="C825" s="8" t="str">
        <f t="shared" si="61"/>
        <v/>
      </c>
      <c r="D825" s="8" t="str">
        <f t="shared" si="62"/>
        <v/>
      </c>
      <c r="F825" s="4" t="str">
        <f>IF(Jugadores!B825="","",Jugadores!B825)</f>
        <v/>
      </c>
      <c r="G825" s="4" t="str">
        <f>IF(Jugadores!B825="","",Jugadores!A825)</f>
        <v/>
      </c>
      <c r="H825" s="4" t="str">
        <f>IF(F825="","",SUMIF('Estadísticas Jugadores'!$F$2:$F$7001,F825,'Estadísticas Jugadores'!$I$2:$I$7001))</f>
        <v/>
      </c>
      <c r="I825" s="4" t="str">
        <f t="shared" si="63"/>
        <v/>
      </c>
      <c r="J825" s="4" t="str">
        <f t="shared" si="64"/>
        <v/>
      </c>
    </row>
    <row r="826" spans="1:10" ht="15" customHeight="1" x14ac:dyDescent="0.25">
      <c r="A826" s="8" t="str">
        <f>IF(COUNT($J$2:$J$1501)&gt;=825,825,"")</f>
        <v/>
      </c>
      <c r="B826" s="8" t="str">
        <f t="shared" si="60"/>
        <v/>
      </c>
      <c r="C826" s="8" t="str">
        <f t="shared" si="61"/>
        <v/>
      </c>
      <c r="D826" s="8" t="str">
        <f t="shared" si="62"/>
        <v/>
      </c>
      <c r="F826" s="4" t="str">
        <f>IF(Jugadores!B826="","",Jugadores!B826)</f>
        <v/>
      </c>
      <c r="G826" s="4" t="str">
        <f>IF(Jugadores!B826="","",Jugadores!A826)</f>
        <v/>
      </c>
      <c r="H826" s="4" t="str">
        <f>IF(F826="","",SUMIF('Estadísticas Jugadores'!$F$2:$F$7001,F826,'Estadísticas Jugadores'!$I$2:$I$7001))</f>
        <v/>
      </c>
      <c r="I826" s="4" t="str">
        <f t="shared" si="63"/>
        <v/>
      </c>
      <c r="J826" s="4" t="str">
        <f t="shared" si="64"/>
        <v/>
      </c>
    </row>
    <row r="827" spans="1:10" ht="15" customHeight="1" x14ac:dyDescent="0.25">
      <c r="A827" s="8" t="str">
        <f>IF(COUNT($J$2:$J$1501)&gt;=826,826,"")</f>
        <v/>
      </c>
      <c r="B827" s="8" t="str">
        <f t="shared" si="60"/>
        <v/>
      </c>
      <c r="C827" s="8" t="str">
        <f t="shared" si="61"/>
        <v/>
      </c>
      <c r="D827" s="8" t="str">
        <f t="shared" si="62"/>
        <v/>
      </c>
      <c r="F827" s="4" t="str">
        <f>IF(Jugadores!B827="","",Jugadores!B827)</f>
        <v/>
      </c>
      <c r="G827" s="4" t="str">
        <f>IF(Jugadores!B827="","",Jugadores!A827)</f>
        <v/>
      </c>
      <c r="H827" s="4" t="str">
        <f>IF(F827="","",SUMIF('Estadísticas Jugadores'!$F$2:$F$7001,F827,'Estadísticas Jugadores'!$I$2:$I$7001))</f>
        <v/>
      </c>
      <c r="I827" s="4" t="str">
        <f t="shared" si="63"/>
        <v/>
      </c>
      <c r="J827" s="4" t="str">
        <f t="shared" si="64"/>
        <v/>
      </c>
    </row>
    <row r="828" spans="1:10" ht="15" customHeight="1" x14ac:dyDescent="0.25">
      <c r="A828" s="8" t="str">
        <f>IF(COUNT($J$2:$J$1501)&gt;=827,827,"")</f>
        <v/>
      </c>
      <c r="B828" s="8" t="str">
        <f t="shared" si="60"/>
        <v/>
      </c>
      <c r="C828" s="8" t="str">
        <f t="shared" si="61"/>
        <v/>
      </c>
      <c r="D828" s="8" t="str">
        <f t="shared" si="62"/>
        <v/>
      </c>
      <c r="F828" s="4" t="str">
        <f>IF(Jugadores!B828="","",Jugadores!B828)</f>
        <v/>
      </c>
      <c r="G828" s="4" t="str">
        <f>IF(Jugadores!B828="","",Jugadores!A828)</f>
        <v/>
      </c>
      <c r="H828" s="4" t="str">
        <f>IF(F828="","",SUMIF('Estadísticas Jugadores'!$F$2:$F$7001,F828,'Estadísticas Jugadores'!$I$2:$I$7001))</f>
        <v/>
      </c>
      <c r="I828" s="4" t="str">
        <f t="shared" si="63"/>
        <v/>
      </c>
      <c r="J828" s="4" t="str">
        <f t="shared" si="64"/>
        <v/>
      </c>
    </row>
    <row r="829" spans="1:10" ht="15" customHeight="1" x14ac:dyDescent="0.25">
      <c r="A829" s="8" t="str">
        <f>IF(COUNT($J$2:$J$1501)&gt;=828,828,"")</f>
        <v/>
      </c>
      <c r="B829" s="8" t="str">
        <f t="shared" si="60"/>
        <v/>
      </c>
      <c r="C829" s="8" t="str">
        <f t="shared" si="61"/>
        <v/>
      </c>
      <c r="D829" s="8" t="str">
        <f t="shared" si="62"/>
        <v/>
      </c>
      <c r="F829" s="4" t="str">
        <f>IF(Jugadores!B829="","",Jugadores!B829)</f>
        <v/>
      </c>
      <c r="G829" s="4" t="str">
        <f>IF(Jugadores!B829="","",Jugadores!A829)</f>
        <v/>
      </c>
      <c r="H829" s="4" t="str">
        <f>IF(F829="","",SUMIF('Estadísticas Jugadores'!$F$2:$F$7001,F829,'Estadísticas Jugadores'!$I$2:$I$7001))</f>
        <v/>
      </c>
      <c r="I829" s="4" t="str">
        <f t="shared" si="63"/>
        <v/>
      </c>
      <c r="J829" s="4" t="str">
        <f t="shared" si="64"/>
        <v/>
      </c>
    </row>
    <row r="830" spans="1:10" ht="15" customHeight="1" x14ac:dyDescent="0.25">
      <c r="A830" s="8" t="str">
        <f>IF(COUNT($J$2:$J$1501)&gt;=829,829,"")</f>
        <v/>
      </c>
      <c r="B830" s="8" t="str">
        <f t="shared" si="60"/>
        <v/>
      </c>
      <c r="C830" s="8" t="str">
        <f t="shared" si="61"/>
        <v/>
      </c>
      <c r="D830" s="8" t="str">
        <f t="shared" si="62"/>
        <v/>
      </c>
      <c r="F830" s="4" t="str">
        <f>IF(Jugadores!B830="","",Jugadores!B830)</f>
        <v/>
      </c>
      <c r="G830" s="4" t="str">
        <f>IF(Jugadores!B830="","",Jugadores!A830)</f>
        <v/>
      </c>
      <c r="H830" s="4" t="str">
        <f>IF(F830="","",SUMIF('Estadísticas Jugadores'!$F$2:$F$7001,F830,'Estadísticas Jugadores'!$I$2:$I$7001))</f>
        <v/>
      </c>
      <c r="I830" s="4" t="str">
        <f t="shared" si="63"/>
        <v/>
      </c>
      <c r="J830" s="4" t="str">
        <f t="shared" si="64"/>
        <v/>
      </c>
    </row>
    <row r="831" spans="1:10" ht="15" customHeight="1" x14ac:dyDescent="0.25">
      <c r="A831" s="8" t="str">
        <f>IF(COUNT($J$2:$J$1501)&gt;=830,830,"")</f>
        <v/>
      </c>
      <c r="B831" s="8" t="str">
        <f t="shared" si="60"/>
        <v/>
      </c>
      <c r="C831" s="8" t="str">
        <f t="shared" si="61"/>
        <v/>
      </c>
      <c r="D831" s="8" t="str">
        <f t="shared" si="62"/>
        <v/>
      </c>
      <c r="F831" s="4" t="str">
        <f>IF(Jugadores!B831="","",Jugadores!B831)</f>
        <v/>
      </c>
      <c r="G831" s="4" t="str">
        <f>IF(Jugadores!B831="","",Jugadores!A831)</f>
        <v/>
      </c>
      <c r="H831" s="4" t="str">
        <f>IF(F831="","",SUMIF('Estadísticas Jugadores'!$F$2:$F$7001,F831,'Estadísticas Jugadores'!$I$2:$I$7001))</f>
        <v/>
      </c>
      <c r="I831" s="4" t="str">
        <f t="shared" si="63"/>
        <v/>
      </c>
      <c r="J831" s="4" t="str">
        <f t="shared" si="64"/>
        <v/>
      </c>
    </row>
    <row r="832" spans="1:10" ht="15" customHeight="1" x14ac:dyDescent="0.25">
      <c r="A832" s="8" t="str">
        <f>IF(COUNT($J$2:$J$1501)&gt;=831,831,"")</f>
        <v/>
      </c>
      <c r="B832" s="8" t="str">
        <f t="shared" si="60"/>
        <v/>
      </c>
      <c r="C832" s="8" t="str">
        <f t="shared" si="61"/>
        <v/>
      </c>
      <c r="D832" s="8" t="str">
        <f t="shared" si="62"/>
        <v/>
      </c>
      <c r="F832" s="4" t="str">
        <f>IF(Jugadores!B832="","",Jugadores!B832)</f>
        <v/>
      </c>
      <c r="G832" s="4" t="str">
        <f>IF(Jugadores!B832="","",Jugadores!A832)</f>
        <v/>
      </c>
      <c r="H832" s="4" t="str">
        <f>IF(F832="","",SUMIF('Estadísticas Jugadores'!$F$2:$F$7001,F832,'Estadísticas Jugadores'!$I$2:$I$7001))</f>
        <v/>
      </c>
      <c r="I832" s="4" t="str">
        <f t="shared" si="63"/>
        <v/>
      </c>
      <c r="J832" s="4" t="str">
        <f t="shared" si="64"/>
        <v/>
      </c>
    </row>
    <row r="833" spans="1:10" ht="15" customHeight="1" x14ac:dyDescent="0.25">
      <c r="A833" s="8" t="str">
        <f>IF(COUNT($J$2:$J$1501)&gt;=832,832,"")</f>
        <v/>
      </c>
      <c r="B833" s="8" t="str">
        <f t="shared" si="60"/>
        <v/>
      </c>
      <c r="C833" s="8" t="str">
        <f t="shared" si="61"/>
        <v/>
      </c>
      <c r="D833" s="8" t="str">
        <f t="shared" si="62"/>
        <v/>
      </c>
      <c r="F833" s="4" t="str">
        <f>IF(Jugadores!B833="","",Jugadores!B833)</f>
        <v/>
      </c>
      <c r="G833" s="4" t="str">
        <f>IF(Jugadores!B833="","",Jugadores!A833)</f>
        <v/>
      </c>
      <c r="H833" s="4" t="str">
        <f>IF(F833="","",SUMIF('Estadísticas Jugadores'!$F$2:$F$7001,F833,'Estadísticas Jugadores'!$I$2:$I$7001))</f>
        <v/>
      </c>
      <c r="I833" s="4" t="str">
        <f t="shared" si="63"/>
        <v/>
      </c>
      <c r="J833" s="4" t="str">
        <f t="shared" si="64"/>
        <v/>
      </c>
    </row>
    <row r="834" spans="1:10" ht="15" customHeight="1" x14ac:dyDescent="0.25">
      <c r="A834" s="8" t="str">
        <f>IF(COUNT($J$2:$J$1501)&gt;=833,833,"")</f>
        <v/>
      </c>
      <c r="B834" s="8" t="str">
        <f t="shared" ref="B834:B897" si="65">IF($A834="","",INDEX($F$2:$F$1501,MATCH($A834,$J$2:$J$1501,0)))</f>
        <v/>
      </c>
      <c r="C834" s="8" t="str">
        <f t="shared" ref="C834:C897" si="66">IF($A834="","",INDEX($G$2:$G$1501,MATCH($A834,$J$2:$J$1501,0)))</f>
        <v/>
      </c>
      <c r="D834" s="8" t="str">
        <f t="shared" ref="D834:D897" si="67">IF($A834="","",INDEX($H$2:$H$1501,MATCH($A834,$J$2:$J$1501,0)))</f>
        <v/>
      </c>
      <c r="F834" s="4" t="str">
        <f>IF(Jugadores!B834="","",Jugadores!B834)</f>
        <v/>
      </c>
      <c r="G834" s="4" t="str">
        <f>IF(Jugadores!B834="","",Jugadores!A834)</f>
        <v/>
      </c>
      <c r="H834" s="4" t="str">
        <f>IF(F834="","",SUMIF('Estadísticas Jugadores'!$F$2:$F$7001,F834,'Estadísticas Jugadores'!$I$2:$I$7001))</f>
        <v/>
      </c>
      <c r="I834" s="4" t="str">
        <f t="shared" ref="I834:I897" si="68">IF(F834="","",H834*1000-ROW()*0.0000001)</f>
        <v/>
      </c>
      <c r="J834" s="4" t="str">
        <f t="shared" ref="J834:J897" si="69">IF(F834="","",RANK(I834,$I$2:$I$1501))</f>
        <v/>
      </c>
    </row>
    <row r="835" spans="1:10" ht="15" customHeight="1" x14ac:dyDescent="0.25">
      <c r="A835" s="8" t="str">
        <f>IF(COUNT($J$2:$J$1501)&gt;=834,834,"")</f>
        <v/>
      </c>
      <c r="B835" s="8" t="str">
        <f t="shared" si="65"/>
        <v/>
      </c>
      <c r="C835" s="8" t="str">
        <f t="shared" si="66"/>
        <v/>
      </c>
      <c r="D835" s="8" t="str">
        <f t="shared" si="67"/>
        <v/>
      </c>
      <c r="F835" s="4" t="str">
        <f>IF(Jugadores!B835="","",Jugadores!B835)</f>
        <v/>
      </c>
      <c r="G835" s="4" t="str">
        <f>IF(Jugadores!B835="","",Jugadores!A835)</f>
        <v/>
      </c>
      <c r="H835" s="4" t="str">
        <f>IF(F835="","",SUMIF('Estadísticas Jugadores'!$F$2:$F$7001,F835,'Estadísticas Jugadores'!$I$2:$I$7001))</f>
        <v/>
      </c>
      <c r="I835" s="4" t="str">
        <f t="shared" si="68"/>
        <v/>
      </c>
      <c r="J835" s="4" t="str">
        <f t="shared" si="69"/>
        <v/>
      </c>
    </row>
    <row r="836" spans="1:10" ht="15" customHeight="1" x14ac:dyDescent="0.25">
      <c r="A836" s="8" t="str">
        <f>IF(COUNT($J$2:$J$1501)&gt;=835,835,"")</f>
        <v/>
      </c>
      <c r="B836" s="8" t="str">
        <f t="shared" si="65"/>
        <v/>
      </c>
      <c r="C836" s="8" t="str">
        <f t="shared" si="66"/>
        <v/>
      </c>
      <c r="D836" s="8" t="str">
        <f t="shared" si="67"/>
        <v/>
      </c>
      <c r="F836" s="4" t="str">
        <f>IF(Jugadores!B836="","",Jugadores!B836)</f>
        <v/>
      </c>
      <c r="G836" s="4" t="str">
        <f>IF(Jugadores!B836="","",Jugadores!A836)</f>
        <v/>
      </c>
      <c r="H836" s="4" t="str">
        <f>IF(F836="","",SUMIF('Estadísticas Jugadores'!$F$2:$F$7001,F836,'Estadísticas Jugadores'!$I$2:$I$7001))</f>
        <v/>
      </c>
      <c r="I836" s="4" t="str">
        <f t="shared" si="68"/>
        <v/>
      </c>
      <c r="J836" s="4" t="str">
        <f t="shared" si="69"/>
        <v/>
      </c>
    </row>
    <row r="837" spans="1:10" ht="15" customHeight="1" x14ac:dyDescent="0.25">
      <c r="A837" s="8" t="str">
        <f>IF(COUNT($J$2:$J$1501)&gt;=836,836,"")</f>
        <v/>
      </c>
      <c r="B837" s="8" t="str">
        <f t="shared" si="65"/>
        <v/>
      </c>
      <c r="C837" s="8" t="str">
        <f t="shared" si="66"/>
        <v/>
      </c>
      <c r="D837" s="8" t="str">
        <f t="shared" si="67"/>
        <v/>
      </c>
      <c r="F837" s="4" t="str">
        <f>IF(Jugadores!B837="","",Jugadores!B837)</f>
        <v/>
      </c>
      <c r="G837" s="4" t="str">
        <f>IF(Jugadores!B837="","",Jugadores!A837)</f>
        <v/>
      </c>
      <c r="H837" s="4" t="str">
        <f>IF(F837="","",SUMIF('Estadísticas Jugadores'!$F$2:$F$7001,F837,'Estadísticas Jugadores'!$I$2:$I$7001))</f>
        <v/>
      </c>
      <c r="I837" s="4" t="str">
        <f t="shared" si="68"/>
        <v/>
      </c>
      <c r="J837" s="4" t="str">
        <f t="shared" si="69"/>
        <v/>
      </c>
    </row>
    <row r="838" spans="1:10" ht="15" customHeight="1" x14ac:dyDescent="0.25">
      <c r="A838" s="8" t="str">
        <f>IF(COUNT($J$2:$J$1501)&gt;=837,837,"")</f>
        <v/>
      </c>
      <c r="B838" s="8" t="str">
        <f t="shared" si="65"/>
        <v/>
      </c>
      <c r="C838" s="8" t="str">
        <f t="shared" si="66"/>
        <v/>
      </c>
      <c r="D838" s="8" t="str">
        <f t="shared" si="67"/>
        <v/>
      </c>
      <c r="F838" s="4" t="str">
        <f>IF(Jugadores!B838="","",Jugadores!B838)</f>
        <v/>
      </c>
      <c r="G838" s="4" t="str">
        <f>IF(Jugadores!B838="","",Jugadores!A838)</f>
        <v/>
      </c>
      <c r="H838" s="4" t="str">
        <f>IF(F838="","",SUMIF('Estadísticas Jugadores'!$F$2:$F$7001,F838,'Estadísticas Jugadores'!$I$2:$I$7001))</f>
        <v/>
      </c>
      <c r="I838" s="4" t="str">
        <f t="shared" si="68"/>
        <v/>
      </c>
      <c r="J838" s="4" t="str">
        <f t="shared" si="69"/>
        <v/>
      </c>
    </row>
    <row r="839" spans="1:10" ht="15" customHeight="1" x14ac:dyDescent="0.25">
      <c r="A839" s="8" t="str">
        <f>IF(COUNT($J$2:$J$1501)&gt;=838,838,"")</f>
        <v/>
      </c>
      <c r="B839" s="8" t="str">
        <f t="shared" si="65"/>
        <v/>
      </c>
      <c r="C839" s="8" t="str">
        <f t="shared" si="66"/>
        <v/>
      </c>
      <c r="D839" s="8" t="str">
        <f t="shared" si="67"/>
        <v/>
      </c>
      <c r="F839" s="4" t="str">
        <f>IF(Jugadores!B839="","",Jugadores!B839)</f>
        <v/>
      </c>
      <c r="G839" s="4" t="str">
        <f>IF(Jugadores!B839="","",Jugadores!A839)</f>
        <v/>
      </c>
      <c r="H839" s="4" t="str">
        <f>IF(F839="","",SUMIF('Estadísticas Jugadores'!$F$2:$F$7001,F839,'Estadísticas Jugadores'!$I$2:$I$7001))</f>
        <v/>
      </c>
      <c r="I839" s="4" t="str">
        <f t="shared" si="68"/>
        <v/>
      </c>
      <c r="J839" s="4" t="str">
        <f t="shared" si="69"/>
        <v/>
      </c>
    </row>
    <row r="840" spans="1:10" ht="15" customHeight="1" x14ac:dyDescent="0.25">
      <c r="A840" s="8" t="str">
        <f>IF(COUNT($J$2:$J$1501)&gt;=839,839,"")</f>
        <v/>
      </c>
      <c r="B840" s="8" t="str">
        <f t="shared" si="65"/>
        <v/>
      </c>
      <c r="C840" s="8" t="str">
        <f t="shared" si="66"/>
        <v/>
      </c>
      <c r="D840" s="8" t="str">
        <f t="shared" si="67"/>
        <v/>
      </c>
      <c r="F840" s="4" t="str">
        <f>IF(Jugadores!B840="","",Jugadores!B840)</f>
        <v/>
      </c>
      <c r="G840" s="4" t="str">
        <f>IF(Jugadores!B840="","",Jugadores!A840)</f>
        <v/>
      </c>
      <c r="H840" s="4" t="str">
        <f>IF(F840="","",SUMIF('Estadísticas Jugadores'!$F$2:$F$7001,F840,'Estadísticas Jugadores'!$I$2:$I$7001))</f>
        <v/>
      </c>
      <c r="I840" s="4" t="str">
        <f t="shared" si="68"/>
        <v/>
      </c>
      <c r="J840" s="4" t="str">
        <f t="shared" si="69"/>
        <v/>
      </c>
    </row>
    <row r="841" spans="1:10" ht="15" customHeight="1" x14ac:dyDescent="0.25">
      <c r="A841" s="8" t="str">
        <f>IF(COUNT($J$2:$J$1501)&gt;=840,840,"")</f>
        <v/>
      </c>
      <c r="B841" s="8" t="str">
        <f t="shared" si="65"/>
        <v/>
      </c>
      <c r="C841" s="8" t="str">
        <f t="shared" si="66"/>
        <v/>
      </c>
      <c r="D841" s="8" t="str">
        <f t="shared" si="67"/>
        <v/>
      </c>
      <c r="F841" s="4" t="str">
        <f>IF(Jugadores!B841="","",Jugadores!B841)</f>
        <v/>
      </c>
      <c r="G841" s="4" t="str">
        <f>IF(Jugadores!B841="","",Jugadores!A841)</f>
        <v/>
      </c>
      <c r="H841" s="4" t="str">
        <f>IF(F841="","",SUMIF('Estadísticas Jugadores'!$F$2:$F$7001,F841,'Estadísticas Jugadores'!$I$2:$I$7001))</f>
        <v/>
      </c>
      <c r="I841" s="4" t="str">
        <f t="shared" si="68"/>
        <v/>
      </c>
      <c r="J841" s="4" t="str">
        <f t="shared" si="69"/>
        <v/>
      </c>
    </row>
    <row r="842" spans="1:10" ht="15" customHeight="1" x14ac:dyDescent="0.25">
      <c r="A842" s="8" t="str">
        <f>IF(COUNT($J$2:$J$1501)&gt;=841,841,"")</f>
        <v/>
      </c>
      <c r="B842" s="8" t="str">
        <f t="shared" si="65"/>
        <v/>
      </c>
      <c r="C842" s="8" t="str">
        <f t="shared" si="66"/>
        <v/>
      </c>
      <c r="D842" s="8" t="str">
        <f t="shared" si="67"/>
        <v/>
      </c>
      <c r="F842" s="4" t="str">
        <f>IF(Jugadores!B842="","",Jugadores!B842)</f>
        <v/>
      </c>
      <c r="G842" s="4" t="str">
        <f>IF(Jugadores!B842="","",Jugadores!A842)</f>
        <v/>
      </c>
      <c r="H842" s="4" t="str">
        <f>IF(F842="","",SUMIF('Estadísticas Jugadores'!$F$2:$F$7001,F842,'Estadísticas Jugadores'!$I$2:$I$7001))</f>
        <v/>
      </c>
      <c r="I842" s="4" t="str">
        <f t="shared" si="68"/>
        <v/>
      </c>
      <c r="J842" s="4" t="str">
        <f t="shared" si="69"/>
        <v/>
      </c>
    </row>
    <row r="843" spans="1:10" ht="15" customHeight="1" x14ac:dyDescent="0.25">
      <c r="A843" s="8" t="str">
        <f>IF(COUNT($J$2:$J$1501)&gt;=842,842,"")</f>
        <v/>
      </c>
      <c r="B843" s="8" t="str">
        <f t="shared" si="65"/>
        <v/>
      </c>
      <c r="C843" s="8" t="str">
        <f t="shared" si="66"/>
        <v/>
      </c>
      <c r="D843" s="8" t="str">
        <f t="shared" si="67"/>
        <v/>
      </c>
      <c r="F843" s="4" t="str">
        <f>IF(Jugadores!B843="","",Jugadores!B843)</f>
        <v/>
      </c>
      <c r="G843" s="4" t="str">
        <f>IF(Jugadores!B843="","",Jugadores!A843)</f>
        <v/>
      </c>
      <c r="H843" s="4" t="str">
        <f>IF(F843="","",SUMIF('Estadísticas Jugadores'!$F$2:$F$7001,F843,'Estadísticas Jugadores'!$I$2:$I$7001))</f>
        <v/>
      </c>
      <c r="I843" s="4" t="str">
        <f t="shared" si="68"/>
        <v/>
      </c>
      <c r="J843" s="4" t="str">
        <f t="shared" si="69"/>
        <v/>
      </c>
    </row>
    <row r="844" spans="1:10" ht="15" customHeight="1" x14ac:dyDescent="0.25">
      <c r="A844" s="8" t="str">
        <f>IF(COUNT($J$2:$J$1501)&gt;=843,843,"")</f>
        <v/>
      </c>
      <c r="B844" s="8" t="str">
        <f t="shared" si="65"/>
        <v/>
      </c>
      <c r="C844" s="8" t="str">
        <f t="shared" si="66"/>
        <v/>
      </c>
      <c r="D844" s="8" t="str">
        <f t="shared" si="67"/>
        <v/>
      </c>
      <c r="F844" s="4" t="str">
        <f>IF(Jugadores!B844="","",Jugadores!B844)</f>
        <v/>
      </c>
      <c r="G844" s="4" t="str">
        <f>IF(Jugadores!B844="","",Jugadores!A844)</f>
        <v/>
      </c>
      <c r="H844" s="4" t="str">
        <f>IF(F844="","",SUMIF('Estadísticas Jugadores'!$F$2:$F$7001,F844,'Estadísticas Jugadores'!$I$2:$I$7001))</f>
        <v/>
      </c>
      <c r="I844" s="4" t="str">
        <f t="shared" si="68"/>
        <v/>
      </c>
      <c r="J844" s="4" t="str">
        <f t="shared" si="69"/>
        <v/>
      </c>
    </row>
    <row r="845" spans="1:10" ht="15" customHeight="1" x14ac:dyDescent="0.25">
      <c r="A845" s="8" t="str">
        <f>IF(COUNT($J$2:$J$1501)&gt;=844,844,"")</f>
        <v/>
      </c>
      <c r="B845" s="8" t="str">
        <f t="shared" si="65"/>
        <v/>
      </c>
      <c r="C845" s="8" t="str">
        <f t="shared" si="66"/>
        <v/>
      </c>
      <c r="D845" s="8" t="str">
        <f t="shared" si="67"/>
        <v/>
      </c>
      <c r="F845" s="4" t="str">
        <f>IF(Jugadores!B845="","",Jugadores!B845)</f>
        <v/>
      </c>
      <c r="G845" s="4" t="str">
        <f>IF(Jugadores!B845="","",Jugadores!A845)</f>
        <v/>
      </c>
      <c r="H845" s="4" t="str">
        <f>IF(F845="","",SUMIF('Estadísticas Jugadores'!$F$2:$F$7001,F845,'Estadísticas Jugadores'!$I$2:$I$7001))</f>
        <v/>
      </c>
      <c r="I845" s="4" t="str">
        <f t="shared" si="68"/>
        <v/>
      </c>
      <c r="J845" s="4" t="str">
        <f t="shared" si="69"/>
        <v/>
      </c>
    </row>
    <row r="846" spans="1:10" ht="15" customHeight="1" x14ac:dyDescent="0.25">
      <c r="A846" s="8" t="str">
        <f>IF(COUNT($J$2:$J$1501)&gt;=845,845,"")</f>
        <v/>
      </c>
      <c r="B846" s="8" t="str">
        <f t="shared" si="65"/>
        <v/>
      </c>
      <c r="C846" s="8" t="str">
        <f t="shared" si="66"/>
        <v/>
      </c>
      <c r="D846" s="8" t="str">
        <f t="shared" si="67"/>
        <v/>
      </c>
      <c r="F846" s="4" t="str">
        <f>IF(Jugadores!B846="","",Jugadores!B846)</f>
        <v/>
      </c>
      <c r="G846" s="4" t="str">
        <f>IF(Jugadores!B846="","",Jugadores!A846)</f>
        <v/>
      </c>
      <c r="H846" s="4" t="str">
        <f>IF(F846="","",SUMIF('Estadísticas Jugadores'!$F$2:$F$7001,F846,'Estadísticas Jugadores'!$I$2:$I$7001))</f>
        <v/>
      </c>
      <c r="I846" s="4" t="str">
        <f t="shared" si="68"/>
        <v/>
      </c>
      <c r="J846" s="4" t="str">
        <f t="shared" si="69"/>
        <v/>
      </c>
    </row>
    <row r="847" spans="1:10" ht="15" customHeight="1" x14ac:dyDescent="0.25">
      <c r="A847" s="8" t="str">
        <f>IF(COUNT($J$2:$J$1501)&gt;=846,846,"")</f>
        <v/>
      </c>
      <c r="B847" s="8" t="str">
        <f t="shared" si="65"/>
        <v/>
      </c>
      <c r="C847" s="8" t="str">
        <f t="shared" si="66"/>
        <v/>
      </c>
      <c r="D847" s="8" t="str">
        <f t="shared" si="67"/>
        <v/>
      </c>
      <c r="F847" s="4" t="str">
        <f>IF(Jugadores!B847="","",Jugadores!B847)</f>
        <v/>
      </c>
      <c r="G847" s="4" t="str">
        <f>IF(Jugadores!B847="","",Jugadores!A847)</f>
        <v/>
      </c>
      <c r="H847" s="4" t="str">
        <f>IF(F847="","",SUMIF('Estadísticas Jugadores'!$F$2:$F$7001,F847,'Estadísticas Jugadores'!$I$2:$I$7001))</f>
        <v/>
      </c>
      <c r="I847" s="4" t="str">
        <f t="shared" si="68"/>
        <v/>
      </c>
      <c r="J847" s="4" t="str">
        <f t="shared" si="69"/>
        <v/>
      </c>
    </row>
    <row r="848" spans="1:10" ht="15" customHeight="1" x14ac:dyDescent="0.25">
      <c r="A848" s="8" t="str">
        <f>IF(COUNT($J$2:$J$1501)&gt;=847,847,"")</f>
        <v/>
      </c>
      <c r="B848" s="8" t="str">
        <f t="shared" si="65"/>
        <v/>
      </c>
      <c r="C848" s="8" t="str">
        <f t="shared" si="66"/>
        <v/>
      </c>
      <c r="D848" s="8" t="str">
        <f t="shared" si="67"/>
        <v/>
      </c>
      <c r="F848" s="4" t="str">
        <f>IF(Jugadores!B848="","",Jugadores!B848)</f>
        <v/>
      </c>
      <c r="G848" s="4" t="str">
        <f>IF(Jugadores!B848="","",Jugadores!A848)</f>
        <v/>
      </c>
      <c r="H848" s="4" t="str">
        <f>IF(F848="","",SUMIF('Estadísticas Jugadores'!$F$2:$F$7001,F848,'Estadísticas Jugadores'!$I$2:$I$7001))</f>
        <v/>
      </c>
      <c r="I848" s="4" t="str">
        <f t="shared" si="68"/>
        <v/>
      </c>
      <c r="J848" s="4" t="str">
        <f t="shared" si="69"/>
        <v/>
      </c>
    </row>
    <row r="849" spans="1:10" ht="15" customHeight="1" x14ac:dyDescent="0.25">
      <c r="A849" s="8" t="str">
        <f>IF(COUNT($J$2:$J$1501)&gt;=848,848,"")</f>
        <v/>
      </c>
      <c r="B849" s="8" t="str">
        <f t="shared" si="65"/>
        <v/>
      </c>
      <c r="C849" s="8" t="str">
        <f t="shared" si="66"/>
        <v/>
      </c>
      <c r="D849" s="8" t="str">
        <f t="shared" si="67"/>
        <v/>
      </c>
      <c r="F849" s="4" t="str">
        <f>IF(Jugadores!B849="","",Jugadores!B849)</f>
        <v/>
      </c>
      <c r="G849" s="4" t="str">
        <f>IF(Jugadores!B849="","",Jugadores!A849)</f>
        <v/>
      </c>
      <c r="H849" s="4" t="str">
        <f>IF(F849="","",SUMIF('Estadísticas Jugadores'!$F$2:$F$7001,F849,'Estadísticas Jugadores'!$I$2:$I$7001))</f>
        <v/>
      </c>
      <c r="I849" s="4" t="str">
        <f t="shared" si="68"/>
        <v/>
      </c>
      <c r="J849" s="4" t="str">
        <f t="shared" si="69"/>
        <v/>
      </c>
    </row>
    <row r="850" spans="1:10" ht="15" customHeight="1" x14ac:dyDescent="0.25">
      <c r="A850" s="8" t="str">
        <f>IF(COUNT($J$2:$J$1501)&gt;=849,849,"")</f>
        <v/>
      </c>
      <c r="B850" s="8" t="str">
        <f t="shared" si="65"/>
        <v/>
      </c>
      <c r="C850" s="8" t="str">
        <f t="shared" si="66"/>
        <v/>
      </c>
      <c r="D850" s="8" t="str">
        <f t="shared" si="67"/>
        <v/>
      </c>
      <c r="F850" s="4" t="str">
        <f>IF(Jugadores!B850="","",Jugadores!B850)</f>
        <v/>
      </c>
      <c r="G850" s="4" t="str">
        <f>IF(Jugadores!B850="","",Jugadores!A850)</f>
        <v/>
      </c>
      <c r="H850" s="4" t="str">
        <f>IF(F850="","",SUMIF('Estadísticas Jugadores'!$F$2:$F$7001,F850,'Estadísticas Jugadores'!$I$2:$I$7001))</f>
        <v/>
      </c>
      <c r="I850" s="4" t="str">
        <f t="shared" si="68"/>
        <v/>
      </c>
      <c r="J850" s="4" t="str">
        <f t="shared" si="69"/>
        <v/>
      </c>
    </row>
    <row r="851" spans="1:10" ht="15" customHeight="1" x14ac:dyDescent="0.25">
      <c r="A851" s="8" t="str">
        <f>IF(COUNT($J$2:$J$1501)&gt;=850,850,"")</f>
        <v/>
      </c>
      <c r="B851" s="8" t="str">
        <f t="shared" si="65"/>
        <v/>
      </c>
      <c r="C851" s="8" t="str">
        <f t="shared" si="66"/>
        <v/>
      </c>
      <c r="D851" s="8" t="str">
        <f t="shared" si="67"/>
        <v/>
      </c>
      <c r="F851" s="4" t="str">
        <f>IF(Jugadores!B851="","",Jugadores!B851)</f>
        <v/>
      </c>
      <c r="G851" s="4" t="str">
        <f>IF(Jugadores!B851="","",Jugadores!A851)</f>
        <v/>
      </c>
      <c r="H851" s="4" t="str">
        <f>IF(F851="","",SUMIF('Estadísticas Jugadores'!$F$2:$F$7001,F851,'Estadísticas Jugadores'!$I$2:$I$7001))</f>
        <v/>
      </c>
      <c r="I851" s="4" t="str">
        <f t="shared" si="68"/>
        <v/>
      </c>
      <c r="J851" s="4" t="str">
        <f t="shared" si="69"/>
        <v/>
      </c>
    </row>
    <row r="852" spans="1:10" ht="15" customHeight="1" x14ac:dyDescent="0.25">
      <c r="A852" s="8" t="str">
        <f>IF(COUNT($J$2:$J$1501)&gt;=851,851,"")</f>
        <v/>
      </c>
      <c r="B852" s="8" t="str">
        <f t="shared" si="65"/>
        <v/>
      </c>
      <c r="C852" s="8" t="str">
        <f t="shared" si="66"/>
        <v/>
      </c>
      <c r="D852" s="8" t="str">
        <f t="shared" si="67"/>
        <v/>
      </c>
      <c r="F852" s="4" t="str">
        <f>IF(Jugadores!B852="","",Jugadores!B852)</f>
        <v/>
      </c>
      <c r="G852" s="4" t="str">
        <f>IF(Jugadores!B852="","",Jugadores!A852)</f>
        <v/>
      </c>
      <c r="H852" s="4" t="str">
        <f>IF(F852="","",SUMIF('Estadísticas Jugadores'!$F$2:$F$7001,F852,'Estadísticas Jugadores'!$I$2:$I$7001))</f>
        <v/>
      </c>
      <c r="I852" s="4" t="str">
        <f t="shared" si="68"/>
        <v/>
      </c>
      <c r="J852" s="4" t="str">
        <f t="shared" si="69"/>
        <v/>
      </c>
    </row>
    <row r="853" spans="1:10" ht="15" customHeight="1" x14ac:dyDescent="0.25">
      <c r="A853" s="8" t="str">
        <f>IF(COUNT($J$2:$J$1501)&gt;=852,852,"")</f>
        <v/>
      </c>
      <c r="B853" s="8" t="str">
        <f t="shared" si="65"/>
        <v/>
      </c>
      <c r="C853" s="8" t="str">
        <f t="shared" si="66"/>
        <v/>
      </c>
      <c r="D853" s="8" t="str">
        <f t="shared" si="67"/>
        <v/>
      </c>
      <c r="F853" s="4" t="str">
        <f>IF(Jugadores!B853="","",Jugadores!B853)</f>
        <v/>
      </c>
      <c r="G853" s="4" t="str">
        <f>IF(Jugadores!B853="","",Jugadores!A853)</f>
        <v/>
      </c>
      <c r="H853" s="4" t="str">
        <f>IF(F853="","",SUMIF('Estadísticas Jugadores'!$F$2:$F$7001,F853,'Estadísticas Jugadores'!$I$2:$I$7001))</f>
        <v/>
      </c>
      <c r="I853" s="4" t="str">
        <f t="shared" si="68"/>
        <v/>
      </c>
      <c r="J853" s="4" t="str">
        <f t="shared" si="69"/>
        <v/>
      </c>
    </row>
    <row r="854" spans="1:10" ht="15" customHeight="1" x14ac:dyDescent="0.25">
      <c r="A854" s="8" t="str">
        <f>IF(COUNT($J$2:$J$1501)&gt;=853,853,"")</f>
        <v/>
      </c>
      <c r="B854" s="8" t="str">
        <f t="shared" si="65"/>
        <v/>
      </c>
      <c r="C854" s="8" t="str">
        <f t="shared" si="66"/>
        <v/>
      </c>
      <c r="D854" s="8" t="str">
        <f t="shared" si="67"/>
        <v/>
      </c>
      <c r="F854" s="4" t="str">
        <f>IF(Jugadores!B854="","",Jugadores!B854)</f>
        <v/>
      </c>
      <c r="G854" s="4" t="str">
        <f>IF(Jugadores!B854="","",Jugadores!A854)</f>
        <v/>
      </c>
      <c r="H854" s="4" t="str">
        <f>IF(F854="","",SUMIF('Estadísticas Jugadores'!$F$2:$F$7001,F854,'Estadísticas Jugadores'!$I$2:$I$7001))</f>
        <v/>
      </c>
      <c r="I854" s="4" t="str">
        <f t="shared" si="68"/>
        <v/>
      </c>
      <c r="J854" s="4" t="str">
        <f t="shared" si="69"/>
        <v/>
      </c>
    </row>
    <row r="855" spans="1:10" ht="15" customHeight="1" x14ac:dyDescent="0.25">
      <c r="A855" s="8" t="str">
        <f>IF(COUNT($J$2:$J$1501)&gt;=854,854,"")</f>
        <v/>
      </c>
      <c r="B855" s="8" t="str">
        <f t="shared" si="65"/>
        <v/>
      </c>
      <c r="C855" s="8" t="str">
        <f t="shared" si="66"/>
        <v/>
      </c>
      <c r="D855" s="8" t="str">
        <f t="shared" si="67"/>
        <v/>
      </c>
      <c r="F855" s="4" t="str">
        <f>IF(Jugadores!B855="","",Jugadores!B855)</f>
        <v/>
      </c>
      <c r="G855" s="4" t="str">
        <f>IF(Jugadores!B855="","",Jugadores!A855)</f>
        <v/>
      </c>
      <c r="H855" s="4" t="str">
        <f>IF(F855="","",SUMIF('Estadísticas Jugadores'!$F$2:$F$7001,F855,'Estadísticas Jugadores'!$I$2:$I$7001))</f>
        <v/>
      </c>
      <c r="I855" s="4" t="str">
        <f t="shared" si="68"/>
        <v/>
      </c>
      <c r="J855" s="4" t="str">
        <f t="shared" si="69"/>
        <v/>
      </c>
    </row>
    <row r="856" spans="1:10" ht="15" customHeight="1" x14ac:dyDescent="0.25">
      <c r="A856" s="8" t="str">
        <f>IF(COUNT($J$2:$J$1501)&gt;=855,855,"")</f>
        <v/>
      </c>
      <c r="B856" s="8" t="str">
        <f t="shared" si="65"/>
        <v/>
      </c>
      <c r="C856" s="8" t="str">
        <f t="shared" si="66"/>
        <v/>
      </c>
      <c r="D856" s="8" t="str">
        <f t="shared" si="67"/>
        <v/>
      </c>
      <c r="F856" s="4" t="str">
        <f>IF(Jugadores!B856="","",Jugadores!B856)</f>
        <v/>
      </c>
      <c r="G856" s="4" t="str">
        <f>IF(Jugadores!B856="","",Jugadores!A856)</f>
        <v/>
      </c>
      <c r="H856" s="4" t="str">
        <f>IF(F856="","",SUMIF('Estadísticas Jugadores'!$F$2:$F$7001,F856,'Estadísticas Jugadores'!$I$2:$I$7001))</f>
        <v/>
      </c>
      <c r="I856" s="4" t="str">
        <f t="shared" si="68"/>
        <v/>
      </c>
      <c r="J856" s="4" t="str">
        <f t="shared" si="69"/>
        <v/>
      </c>
    </row>
    <row r="857" spans="1:10" ht="15" customHeight="1" x14ac:dyDescent="0.25">
      <c r="A857" s="8" t="str">
        <f>IF(COUNT($J$2:$J$1501)&gt;=856,856,"")</f>
        <v/>
      </c>
      <c r="B857" s="8" t="str">
        <f t="shared" si="65"/>
        <v/>
      </c>
      <c r="C857" s="8" t="str">
        <f t="shared" si="66"/>
        <v/>
      </c>
      <c r="D857" s="8" t="str">
        <f t="shared" si="67"/>
        <v/>
      </c>
      <c r="F857" s="4" t="str">
        <f>IF(Jugadores!B857="","",Jugadores!B857)</f>
        <v/>
      </c>
      <c r="G857" s="4" t="str">
        <f>IF(Jugadores!B857="","",Jugadores!A857)</f>
        <v/>
      </c>
      <c r="H857" s="4" t="str">
        <f>IF(F857="","",SUMIF('Estadísticas Jugadores'!$F$2:$F$7001,F857,'Estadísticas Jugadores'!$I$2:$I$7001))</f>
        <v/>
      </c>
      <c r="I857" s="4" t="str">
        <f t="shared" si="68"/>
        <v/>
      </c>
      <c r="J857" s="4" t="str">
        <f t="shared" si="69"/>
        <v/>
      </c>
    </row>
    <row r="858" spans="1:10" ht="15" customHeight="1" x14ac:dyDescent="0.25">
      <c r="A858" s="8" t="str">
        <f>IF(COUNT($J$2:$J$1501)&gt;=857,857,"")</f>
        <v/>
      </c>
      <c r="B858" s="8" t="str">
        <f t="shared" si="65"/>
        <v/>
      </c>
      <c r="C858" s="8" t="str">
        <f t="shared" si="66"/>
        <v/>
      </c>
      <c r="D858" s="8" t="str">
        <f t="shared" si="67"/>
        <v/>
      </c>
      <c r="F858" s="4" t="str">
        <f>IF(Jugadores!B858="","",Jugadores!B858)</f>
        <v/>
      </c>
      <c r="G858" s="4" t="str">
        <f>IF(Jugadores!B858="","",Jugadores!A858)</f>
        <v/>
      </c>
      <c r="H858" s="4" t="str">
        <f>IF(F858="","",SUMIF('Estadísticas Jugadores'!$F$2:$F$7001,F858,'Estadísticas Jugadores'!$I$2:$I$7001))</f>
        <v/>
      </c>
      <c r="I858" s="4" t="str">
        <f t="shared" si="68"/>
        <v/>
      </c>
      <c r="J858" s="4" t="str">
        <f t="shared" si="69"/>
        <v/>
      </c>
    </row>
    <row r="859" spans="1:10" ht="15" customHeight="1" x14ac:dyDescent="0.25">
      <c r="A859" s="8" t="str">
        <f>IF(COUNT($J$2:$J$1501)&gt;=858,858,"")</f>
        <v/>
      </c>
      <c r="B859" s="8" t="str">
        <f t="shared" si="65"/>
        <v/>
      </c>
      <c r="C859" s="8" t="str">
        <f t="shared" si="66"/>
        <v/>
      </c>
      <c r="D859" s="8" t="str">
        <f t="shared" si="67"/>
        <v/>
      </c>
      <c r="F859" s="4" t="str">
        <f>IF(Jugadores!B859="","",Jugadores!B859)</f>
        <v/>
      </c>
      <c r="G859" s="4" t="str">
        <f>IF(Jugadores!B859="","",Jugadores!A859)</f>
        <v/>
      </c>
      <c r="H859" s="4" t="str">
        <f>IF(F859="","",SUMIF('Estadísticas Jugadores'!$F$2:$F$7001,F859,'Estadísticas Jugadores'!$I$2:$I$7001))</f>
        <v/>
      </c>
      <c r="I859" s="4" t="str">
        <f t="shared" si="68"/>
        <v/>
      </c>
      <c r="J859" s="4" t="str">
        <f t="shared" si="69"/>
        <v/>
      </c>
    </row>
    <row r="860" spans="1:10" ht="15" customHeight="1" x14ac:dyDescent="0.25">
      <c r="A860" s="8" t="str">
        <f>IF(COUNT($J$2:$J$1501)&gt;=859,859,"")</f>
        <v/>
      </c>
      <c r="B860" s="8" t="str">
        <f t="shared" si="65"/>
        <v/>
      </c>
      <c r="C860" s="8" t="str">
        <f t="shared" si="66"/>
        <v/>
      </c>
      <c r="D860" s="8" t="str">
        <f t="shared" si="67"/>
        <v/>
      </c>
      <c r="F860" s="4" t="str">
        <f>IF(Jugadores!B860="","",Jugadores!B860)</f>
        <v/>
      </c>
      <c r="G860" s="4" t="str">
        <f>IF(Jugadores!B860="","",Jugadores!A860)</f>
        <v/>
      </c>
      <c r="H860" s="4" t="str">
        <f>IF(F860="","",SUMIF('Estadísticas Jugadores'!$F$2:$F$7001,F860,'Estadísticas Jugadores'!$I$2:$I$7001))</f>
        <v/>
      </c>
      <c r="I860" s="4" t="str">
        <f t="shared" si="68"/>
        <v/>
      </c>
      <c r="J860" s="4" t="str">
        <f t="shared" si="69"/>
        <v/>
      </c>
    </row>
    <row r="861" spans="1:10" ht="15" customHeight="1" x14ac:dyDescent="0.25">
      <c r="A861" s="8" t="str">
        <f>IF(COUNT($J$2:$J$1501)&gt;=860,860,"")</f>
        <v/>
      </c>
      <c r="B861" s="8" t="str">
        <f t="shared" si="65"/>
        <v/>
      </c>
      <c r="C861" s="8" t="str">
        <f t="shared" si="66"/>
        <v/>
      </c>
      <c r="D861" s="8" t="str">
        <f t="shared" si="67"/>
        <v/>
      </c>
      <c r="F861" s="4" t="str">
        <f>IF(Jugadores!B861="","",Jugadores!B861)</f>
        <v/>
      </c>
      <c r="G861" s="4" t="str">
        <f>IF(Jugadores!B861="","",Jugadores!A861)</f>
        <v/>
      </c>
      <c r="H861" s="4" t="str">
        <f>IF(F861="","",SUMIF('Estadísticas Jugadores'!$F$2:$F$7001,F861,'Estadísticas Jugadores'!$I$2:$I$7001))</f>
        <v/>
      </c>
      <c r="I861" s="4" t="str">
        <f t="shared" si="68"/>
        <v/>
      </c>
      <c r="J861" s="4" t="str">
        <f t="shared" si="69"/>
        <v/>
      </c>
    </row>
    <row r="862" spans="1:10" ht="15" customHeight="1" x14ac:dyDescent="0.25">
      <c r="A862" s="8" t="str">
        <f>IF(COUNT($J$2:$J$1501)&gt;=861,861,"")</f>
        <v/>
      </c>
      <c r="B862" s="8" t="str">
        <f t="shared" si="65"/>
        <v/>
      </c>
      <c r="C862" s="8" t="str">
        <f t="shared" si="66"/>
        <v/>
      </c>
      <c r="D862" s="8" t="str">
        <f t="shared" si="67"/>
        <v/>
      </c>
      <c r="F862" s="4" t="str">
        <f>IF(Jugadores!B862="","",Jugadores!B862)</f>
        <v/>
      </c>
      <c r="G862" s="4" t="str">
        <f>IF(Jugadores!B862="","",Jugadores!A862)</f>
        <v/>
      </c>
      <c r="H862" s="4" t="str">
        <f>IF(F862="","",SUMIF('Estadísticas Jugadores'!$F$2:$F$7001,F862,'Estadísticas Jugadores'!$I$2:$I$7001))</f>
        <v/>
      </c>
      <c r="I862" s="4" t="str">
        <f t="shared" si="68"/>
        <v/>
      </c>
      <c r="J862" s="4" t="str">
        <f t="shared" si="69"/>
        <v/>
      </c>
    </row>
    <row r="863" spans="1:10" ht="15" customHeight="1" x14ac:dyDescent="0.25">
      <c r="A863" s="8" t="str">
        <f>IF(COUNT($J$2:$J$1501)&gt;=862,862,"")</f>
        <v/>
      </c>
      <c r="B863" s="8" t="str">
        <f t="shared" si="65"/>
        <v/>
      </c>
      <c r="C863" s="8" t="str">
        <f t="shared" si="66"/>
        <v/>
      </c>
      <c r="D863" s="8" t="str">
        <f t="shared" si="67"/>
        <v/>
      </c>
      <c r="F863" s="4" t="str">
        <f>IF(Jugadores!B863="","",Jugadores!B863)</f>
        <v/>
      </c>
      <c r="G863" s="4" t="str">
        <f>IF(Jugadores!B863="","",Jugadores!A863)</f>
        <v/>
      </c>
      <c r="H863" s="4" t="str">
        <f>IF(F863="","",SUMIF('Estadísticas Jugadores'!$F$2:$F$7001,F863,'Estadísticas Jugadores'!$I$2:$I$7001))</f>
        <v/>
      </c>
      <c r="I863" s="4" t="str">
        <f t="shared" si="68"/>
        <v/>
      </c>
      <c r="J863" s="4" t="str">
        <f t="shared" si="69"/>
        <v/>
      </c>
    </row>
    <row r="864" spans="1:10" ht="15" customHeight="1" x14ac:dyDescent="0.25">
      <c r="A864" s="8" t="str">
        <f>IF(COUNT($J$2:$J$1501)&gt;=863,863,"")</f>
        <v/>
      </c>
      <c r="B864" s="8" t="str">
        <f t="shared" si="65"/>
        <v/>
      </c>
      <c r="C864" s="8" t="str">
        <f t="shared" si="66"/>
        <v/>
      </c>
      <c r="D864" s="8" t="str">
        <f t="shared" si="67"/>
        <v/>
      </c>
      <c r="F864" s="4" t="str">
        <f>IF(Jugadores!B864="","",Jugadores!B864)</f>
        <v/>
      </c>
      <c r="G864" s="4" t="str">
        <f>IF(Jugadores!B864="","",Jugadores!A864)</f>
        <v/>
      </c>
      <c r="H864" s="4" t="str">
        <f>IF(F864="","",SUMIF('Estadísticas Jugadores'!$F$2:$F$7001,F864,'Estadísticas Jugadores'!$I$2:$I$7001))</f>
        <v/>
      </c>
      <c r="I864" s="4" t="str">
        <f t="shared" si="68"/>
        <v/>
      </c>
      <c r="J864" s="4" t="str">
        <f t="shared" si="69"/>
        <v/>
      </c>
    </row>
    <row r="865" spans="1:10" ht="15" customHeight="1" x14ac:dyDescent="0.25">
      <c r="A865" s="8" t="str">
        <f>IF(COUNT($J$2:$J$1501)&gt;=864,864,"")</f>
        <v/>
      </c>
      <c r="B865" s="8" t="str">
        <f t="shared" si="65"/>
        <v/>
      </c>
      <c r="C865" s="8" t="str">
        <f t="shared" si="66"/>
        <v/>
      </c>
      <c r="D865" s="8" t="str">
        <f t="shared" si="67"/>
        <v/>
      </c>
      <c r="F865" s="4" t="str">
        <f>IF(Jugadores!B865="","",Jugadores!B865)</f>
        <v/>
      </c>
      <c r="G865" s="4" t="str">
        <f>IF(Jugadores!B865="","",Jugadores!A865)</f>
        <v/>
      </c>
      <c r="H865" s="4" t="str">
        <f>IF(F865="","",SUMIF('Estadísticas Jugadores'!$F$2:$F$7001,F865,'Estadísticas Jugadores'!$I$2:$I$7001))</f>
        <v/>
      </c>
      <c r="I865" s="4" t="str">
        <f t="shared" si="68"/>
        <v/>
      </c>
      <c r="J865" s="4" t="str">
        <f t="shared" si="69"/>
        <v/>
      </c>
    </row>
    <row r="866" spans="1:10" ht="15" customHeight="1" x14ac:dyDescent="0.25">
      <c r="A866" s="8" t="str">
        <f>IF(COUNT($J$2:$J$1501)&gt;=865,865,"")</f>
        <v/>
      </c>
      <c r="B866" s="8" t="str">
        <f t="shared" si="65"/>
        <v/>
      </c>
      <c r="C866" s="8" t="str">
        <f t="shared" si="66"/>
        <v/>
      </c>
      <c r="D866" s="8" t="str">
        <f t="shared" si="67"/>
        <v/>
      </c>
      <c r="F866" s="4" t="str">
        <f>IF(Jugadores!B866="","",Jugadores!B866)</f>
        <v/>
      </c>
      <c r="G866" s="4" t="str">
        <f>IF(Jugadores!B866="","",Jugadores!A866)</f>
        <v/>
      </c>
      <c r="H866" s="4" t="str">
        <f>IF(F866="","",SUMIF('Estadísticas Jugadores'!$F$2:$F$7001,F866,'Estadísticas Jugadores'!$I$2:$I$7001))</f>
        <v/>
      </c>
      <c r="I866" s="4" t="str">
        <f t="shared" si="68"/>
        <v/>
      </c>
      <c r="J866" s="4" t="str">
        <f t="shared" si="69"/>
        <v/>
      </c>
    </row>
    <row r="867" spans="1:10" ht="15" customHeight="1" x14ac:dyDescent="0.25">
      <c r="A867" s="8" t="str">
        <f>IF(COUNT($J$2:$J$1501)&gt;=866,866,"")</f>
        <v/>
      </c>
      <c r="B867" s="8" t="str">
        <f t="shared" si="65"/>
        <v/>
      </c>
      <c r="C867" s="8" t="str">
        <f t="shared" si="66"/>
        <v/>
      </c>
      <c r="D867" s="8" t="str">
        <f t="shared" si="67"/>
        <v/>
      </c>
      <c r="F867" s="4" t="str">
        <f>IF(Jugadores!B867="","",Jugadores!B867)</f>
        <v/>
      </c>
      <c r="G867" s="4" t="str">
        <f>IF(Jugadores!B867="","",Jugadores!A867)</f>
        <v/>
      </c>
      <c r="H867" s="4" t="str">
        <f>IF(F867="","",SUMIF('Estadísticas Jugadores'!$F$2:$F$7001,F867,'Estadísticas Jugadores'!$I$2:$I$7001))</f>
        <v/>
      </c>
      <c r="I867" s="4" t="str">
        <f t="shared" si="68"/>
        <v/>
      </c>
      <c r="J867" s="4" t="str">
        <f t="shared" si="69"/>
        <v/>
      </c>
    </row>
    <row r="868" spans="1:10" ht="15" customHeight="1" x14ac:dyDescent="0.25">
      <c r="A868" s="8" t="str">
        <f>IF(COUNT($J$2:$J$1501)&gt;=867,867,"")</f>
        <v/>
      </c>
      <c r="B868" s="8" t="str">
        <f t="shared" si="65"/>
        <v/>
      </c>
      <c r="C868" s="8" t="str">
        <f t="shared" si="66"/>
        <v/>
      </c>
      <c r="D868" s="8" t="str">
        <f t="shared" si="67"/>
        <v/>
      </c>
      <c r="F868" s="4" t="str">
        <f>IF(Jugadores!B868="","",Jugadores!B868)</f>
        <v/>
      </c>
      <c r="G868" s="4" t="str">
        <f>IF(Jugadores!B868="","",Jugadores!A868)</f>
        <v/>
      </c>
      <c r="H868" s="4" t="str">
        <f>IF(F868="","",SUMIF('Estadísticas Jugadores'!$F$2:$F$7001,F868,'Estadísticas Jugadores'!$I$2:$I$7001))</f>
        <v/>
      </c>
      <c r="I868" s="4" t="str">
        <f t="shared" si="68"/>
        <v/>
      </c>
      <c r="J868" s="4" t="str">
        <f t="shared" si="69"/>
        <v/>
      </c>
    </row>
    <row r="869" spans="1:10" ht="15" customHeight="1" x14ac:dyDescent="0.25">
      <c r="A869" s="8" t="str">
        <f>IF(COUNT($J$2:$J$1501)&gt;=868,868,"")</f>
        <v/>
      </c>
      <c r="B869" s="8" t="str">
        <f t="shared" si="65"/>
        <v/>
      </c>
      <c r="C869" s="8" t="str">
        <f t="shared" si="66"/>
        <v/>
      </c>
      <c r="D869" s="8" t="str">
        <f t="shared" si="67"/>
        <v/>
      </c>
      <c r="F869" s="4" t="str">
        <f>IF(Jugadores!B869="","",Jugadores!B869)</f>
        <v/>
      </c>
      <c r="G869" s="4" t="str">
        <f>IF(Jugadores!B869="","",Jugadores!A869)</f>
        <v/>
      </c>
      <c r="H869" s="4" t="str">
        <f>IF(F869="","",SUMIF('Estadísticas Jugadores'!$F$2:$F$7001,F869,'Estadísticas Jugadores'!$I$2:$I$7001))</f>
        <v/>
      </c>
      <c r="I869" s="4" t="str">
        <f t="shared" si="68"/>
        <v/>
      </c>
      <c r="J869" s="4" t="str">
        <f t="shared" si="69"/>
        <v/>
      </c>
    </row>
    <row r="870" spans="1:10" ht="15" customHeight="1" x14ac:dyDescent="0.25">
      <c r="A870" s="8" t="str">
        <f>IF(COUNT($J$2:$J$1501)&gt;=869,869,"")</f>
        <v/>
      </c>
      <c r="B870" s="8" t="str">
        <f t="shared" si="65"/>
        <v/>
      </c>
      <c r="C870" s="8" t="str">
        <f t="shared" si="66"/>
        <v/>
      </c>
      <c r="D870" s="8" t="str">
        <f t="shared" si="67"/>
        <v/>
      </c>
      <c r="F870" s="4" t="str">
        <f>IF(Jugadores!B870="","",Jugadores!B870)</f>
        <v/>
      </c>
      <c r="G870" s="4" t="str">
        <f>IF(Jugadores!B870="","",Jugadores!A870)</f>
        <v/>
      </c>
      <c r="H870" s="4" t="str">
        <f>IF(F870="","",SUMIF('Estadísticas Jugadores'!$F$2:$F$7001,F870,'Estadísticas Jugadores'!$I$2:$I$7001))</f>
        <v/>
      </c>
      <c r="I870" s="4" t="str">
        <f t="shared" si="68"/>
        <v/>
      </c>
      <c r="J870" s="4" t="str">
        <f t="shared" si="69"/>
        <v/>
      </c>
    </row>
    <row r="871" spans="1:10" ht="15" customHeight="1" x14ac:dyDescent="0.25">
      <c r="A871" s="8" t="str">
        <f>IF(COUNT($J$2:$J$1501)&gt;=870,870,"")</f>
        <v/>
      </c>
      <c r="B871" s="8" t="str">
        <f t="shared" si="65"/>
        <v/>
      </c>
      <c r="C871" s="8" t="str">
        <f t="shared" si="66"/>
        <v/>
      </c>
      <c r="D871" s="8" t="str">
        <f t="shared" si="67"/>
        <v/>
      </c>
      <c r="F871" s="4" t="str">
        <f>IF(Jugadores!B871="","",Jugadores!B871)</f>
        <v/>
      </c>
      <c r="G871" s="4" t="str">
        <f>IF(Jugadores!B871="","",Jugadores!A871)</f>
        <v/>
      </c>
      <c r="H871" s="4" t="str">
        <f>IF(F871="","",SUMIF('Estadísticas Jugadores'!$F$2:$F$7001,F871,'Estadísticas Jugadores'!$I$2:$I$7001))</f>
        <v/>
      </c>
      <c r="I871" s="4" t="str">
        <f t="shared" si="68"/>
        <v/>
      </c>
      <c r="J871" s="4" t="str">
        <f t="shared" si="69"/>
        <v/>
      </c>
    </row>
    <row r="872" spans="1:10" ht="15" customHeight="1" x14ac:dyDescent="0.25">
      <c r="A872" s="8" t="str">
        <f>IF(COUNT($J$2:$J$1501)&gt;=871,871,"")</f>
        <v/>
      </c>
      <c r="B872" s="8" t="str">
        <f t="shared" si="65"/>
        <v/>
      </c>
      <c r="C872" s="8" t="str">
        <f t="shared" si="66"/>
        <v/>
      </c>
      <c r="D872" s="8" t="str">
        <f t="shared" si="67"/>
        <v/>
      </c>
      <c r="F872" s="4" t="str">
        <f>IF(Jugadores!B872="","",Jugadores!B872)</f>
        <v/>
      </c>
      <c r="G872" s="4" t="str">
        <f>IF(Jugadores!B872="","",Jugadores!A872)</f>
        <v/>
      </c>
      <c r="H872" s="4" t="str">
        <f>IF(F872="","",SUMIF('Estadísticas Jugadores'!$F$2:$F$7001,F872,'Estadísticas Jugadores'!$I$2:$I$7001))</f>
        <v/>
      </c>
      <c r="I872" s="4" t="str">
        <f t="shared" si="68"/>
        <v/>
      </c>
      <c r="J872" s="4" t="str">
        <f t="shared" si="69"/>
        <v/>
      </c>
    </row>
    <row r="873" spans="1:10" ht="15" customHeight="1" x14ac:dyDescent="0.25">
      <c r="A873" s="8" t="str">
        <f>IF(COUNT($J$2:$J$1501)&gt;=872,872,"")</f>
        <v/>
      </c>
      <c r="B873" s="8" t="str">
        <f t="shared" si="65"/>
        <v/>
      </c>
      <c r="C873" s="8" t="str">
        <f t="shared" si="66"/>
        <v/>
      </c>
      <c r="D873" s="8" t="str">
        <f t="shared" si="67"/>
        <v/>
      </c>
      <c r="F873" s="4" t="str">
        <f>IF(Jugadores!B873="","",Jugadores!B873)</f>
        <v/>
      </c>
      <c r="G873" s="4" t="str">
        <f>IF(Jugadores!B873="","",Jugadores!A873)</f>
        <v/>
      </c>
      <c r="H873" s="4" t="str">
        <f>IF(F873="","",SUMIF('Estadísticas Jugadores'!$F$2:$F$7001,F873,'Estadísticas Jugadores'!$I$2:$I$7001))</f>
        <v/>
      </c>
      <c r="I873" s="4" t="str">
        <f t="shared" si="68"/>
        <v/>
      </c>
      <c r="J873" s="4" t="str">
        <f t="shared" si="69"/>
        <v/>
      </c>
    </row>
    <row r="874" spans="1:10" ht="15" customHeight="1" x14ac:dyDescent="0.25">
      <c r="A874" s="8" t="str">
        <f>IF(COUNT($J$2:$J$1501)&gt;=873,873,"")</f>
        <v/>
      </c>
      <c r="B874" s="8" t="str">
        <f t="shared" si="65"/>
        <v/>
      </c>
      <c r="C874" s="8" t="str">
        <f t="shared" si="66"/>
        <v/>
      </c>
      <c r="D874" s="8" t="str">
        <f t="shared" si="67"/>
        <v/>
      </c>
      <c r="F874" s="4" t="str">
        <f>IF(Jugadores!B874="","",Jugadores!B874)</f>
        <v/>
      </c>
      <c r="G874" s="4" t="str">
        <f>IF(Jugadores!B874="","",Jugadores!A874)</f>
        <v/>
      </c>
      <c r="H874" s="4" t="str">
        <f>IF(F874="","",SUMIF('Estadísticas Jugadores'!$F$2:$F$7001,F874,'Estadísticas Jugadores'!$I$2:$I$7001))</f>
        <v/>
      </c>
      <c r="I874" s="4" t="str">
        <f t="shared" si="68"/>
        <v/>
      </c>
      <c r="J874" s="4" t="str">
        <f t="shared" si="69"/>
        <v/>
      </c>
    </row>
    <row r="875" spans="1:10" ht="15" customHeight="1" x14ac:dyDescent="0.25">
      <c r="A875" s="8" t="str">
        <f>IF(COUNT($J$2:$J$1501)&gt;=874,874,"")</f>
        <v/>
      </c>
      <c r="B875" s="8" t="str">
        <f t="shared" si="65"/>
        <v/>
      </c>
      <c r="C875" s="8" t="str">
        <f t="shared" si="66"/>
        <v/>
      </c>
      <c r="D875" s="8" t="str">
        <f t="shared" si="67"/>
        <v/>
      </c>
      <c r="F875" s="4" t="str">
        <f>IF(Jugadores!B875="","",Jugadores!B875)</f>
        <v/>
      </c>
      <c r="G875" s="4" t="str">
        <f>IF(Jugadores!B875="","",Jugadores!A875)</f>
        <v/>
      </c>
      <c r="H875" s="4" t="str">
        <f>IF(F875="","",SUMIF('Estadísticas Jugadores'!$F$2:$F$7001,F875,'Estadísticas Jugadores'!$I$2:$I$7001))</f>
        <v/>
      </c>
      <c r="I875" s="4" t="str">
        <f t="shared" si="68"/>
        <v/>
      </c>
      <c r="J875" s="4" t="str">
        <f t="shared" si="69"/>
        <v/>
      </c>
    </row>
    <row r="876" spans="1:10" ht="15" customHeight="1" x14ac:dyDescent="0.25">
      <c r="A876" s="8" t="str">
        <f>IF(COUNT($J$2:$J$1501)&gt;=875,875,"")</f>
        <v/>
      </c>
      <c r="B876" s="8" t="str">
        <f t="shared" si="65"/>
        <v/>
      </c>
      <c r="C876" s="8" t="str">
        <f t="shared" si="66"/>
        <v/>
      </c>
      <c r="D876" s="8" t="str">
        <f t="shared" si="67"/>
        <v/>
      </c>
      <c r="F876" s="4" t="str">
        <f>IF(Jugadores!B876="","",Jugadores!B876)</f>
        <v/>
      </c>
      <c r="G876" s="4" t="str">
        <f>IF(Jugadores!B876="","",Jugadores!A876)</f>
        <v/>
      </c>
      <c r="H876" s="4" t="str">
        <f>IF(F876="","",SUMIF('Estadísticas Jugadores'!$F$2:$F$7001,F876,'Estadísticas Jugadores'!$I$2:$I$7001))</f>
        <v/>
      </c>
      <c r="I876" s="4" t="str">
        <f t="shared" si="68"/>
        <v/>
      </c>
      <c r="J876" s="4" t="str">
        <f t="shared" si="69"/>
        <v/>
      </c>
    </row>
    <row r="877" spans="1:10" ht="15" customHeight="1" x14ac:dyDescent="0.25">
      <c r="A877" s="8" t="str">
        <f>IF(COUNT($J$2:$J$1501)&gt;=876,876,"")</f>
        <v/>
      </c>
      <c r="B877" s="8" t="str">
        <f t="shared" si="65"/>
        <v/>
      </c>
      <c r="C877" s="8" t="str">
        <f t="shared" si="66"/>
        <v/>
      </c>
      <c r="D877" s="8" t="str">
        <f t="shared" si="67"/>
        <v/>
      </c>
      <c r="F877" s="4" t="str">
        <f>IF(Jugadores!B877="","",Jugadores!B877)</f>
        <v/>
      </c>
      <c r="G877" s="4" t="str">
        <f>IF(Jugadores!B877="","",Jugadores!A877)</f>
        <v/>
      </c>
      <c r="H877" s="4" t="str">
        <f>IF(F877="","",SUMIF('Estadísticas Jugadores'!$F$2:$F$7001,F877,'Estadísticas Jugadores'!$I$2:$I$7001))</f>
        <v/>
      </c>
      <c r="I877" s="4" t="str">
        <f t="shared" si="68"/>
        <v/>
      </c>
      <c r="J877" s="4" t="str">
        <f t="shared" si="69"/>
        <v/>
      </c>
    </row>
    <row r="878" spans="1:10" ht="15" customHeight="1" x14ac:dyDescent="0.25">
      <c r="A878" s="8" t="str">
        <f>IF(COUNT($J$2:$J$1501)&gt;=877,877,"")</f>
        <v/>
      </c>
      <c r="B878" s="8" t="str">
        <f t="shared" si="65"/>
        <v/>
      </c>
      <c r="C878" s="8" t="str">
        <f t="shared" si="66"/>
        <v/>
      </c>
      <c r="D878" s="8" t="str">
        <f t="shared" si="67"/>
        <v/>
      </c>
      <c r="F878" s="4" t="str">
        <f>IF(Jugadores!B878="","",Jugadores!B878)</f>
        <v/>
      </c>
      <c r="G878" s="4" t="str">
        <f>IF(Jugadores!B878="","",Jugadores!A878)</f>
        <v/>
      </c>
      <c r="H878" s="4" t="str">
        <f>IF(F878="","",SUMIF('Estadísticas Jugadores'!$F$2:$F$7001,F878,'Estadísticas Jugadores'!$I$2:$I$7001))</f>
        <v/>
      </c>
      <c r="I878" s="4" t="str">
        <f t="shared" si="68"/>
        <v/>
      </c>
      <c r="J878" s="4" t="str">
        <f t="shared" si="69"/>
        <v/>
      </c>
    </row>
    <row r="879" spans="1:10" ht="15" customHeight="1" x14ac:dyDescent="0.25">
      <c r="A879" s="8" t="str">
        <f>IF(COUNT($J$2:$J$1501)&gt;=878,878,"")</f>
        <v/>
      </c>
      <c r="B879" s="8" t="str">
        <f t="shared" si="65"/>
        <v/>
      </c>
      <c r="C879" s="8" t="str">
        <f t="shared" si="66"/>
        <v/>
      </c>
      <c r="D879" s="8" t="str">
        <f t="shared" si="67"/>
        <v/>
      </c>
      <c r="F879" s="4" t="str">
        <f>IF(Jugadores!B879="","",Jugadores!B879)</f>
        <v/>
      </c>
      <c r="G879" s="4" t="str">
        <f>IF(Jugadores!B879="","",Jugadores!A879)</f>
        <v/>
      </c>
      <c r="H879" s="4" t="str">
        <f>IF(F879="","",SUMIF('Estadísticas Jugadores'!$F$2:$F$7001,F879,'Estadísticas Jugadores'!$I$2:$I$7001))</f>
        <v/>
      </c>
      <c r="I879" s="4" t="str">
        <f t="shared" si="68"/>
        <v/>
      </c>
      <c r="J879" s="4" t="str">
        <f t="shared" si="69"/>
        <v/>
      </c>
    </row>
    <row r="880" spans="1:10" ht="15" customHeight="1" x14ac:dyDescent="0.25">
      <c r="A880" s="8" t="str">
        <f>IF(COUNT($J$2:$J$1501)&gt;=879,879,"")</f>
        <v/>
      </c>
      <c r="B880" s="8" t="str">
        <f t="shared" si="65"/>
        <v/>
      </c>
      <c r="C880" s="8" t="str">
        <f t="shared" si="66"/>
        <v/>
      </c>
      <c r="D880" s="8" t="str">
        <f t="shared" si="67"/>
        <v/>
      </c>
      <c r="F880" s="4" t="str">
        <f>IF(Jugadores!B880="","",Jugadores!B880)</f>
        <v/>
      </c>
      <c r="G880" s="4" t="str">
        <f>IF(Jugadores!B880="","",Jugadores!A880)</f>
        <v/>
      </c>
      <c r="H880" s="4" t="str">
        <f>IF(F880="","",SUMIF('Estadísticas Jugadores'!$F$2:$F$7001,F880,'Estadísticas Jugadores'!$I$2:$I$7001))</f>
        <v/>
      </c>
      <c r="I880" s="4" t="str">
        <f t="shared" si="68"/>
        <v/>
      </c>
      <c r="J880" s="4" t="str">
        <f t="shared" si="69"/>
        <v/>
      </c>
    </row>
    <row r="881" spans="1:10" ht="15" customHeight="1" x14ac:dyDescent="0.25">
      <c r="A881" s="8" t="str">
        <f>IF(COUNT($J$2:$J$1501)&gt;=880,880,"")</f>
        <v/>
      </c>
      <c r="B881" s="8" t="str">
        <f t="shared" si="65"/>
        <v/>
      </c>
      <c r="C881" s="8" t="str">
        <f t="shared" si="66"/>
        <v/>
      </c>
      <c r="D881" s="8" t="str">
        <f t="shared" si="67"/>
        <v/>
      </c>
      <c r="F881" s="4" t="str">
        <f>IF(Jugadores!B881="","",Jugadores!B881)</f>
        <v/>
      </c>
      <c r="G881" s="4" t="str">
        <f>IF(Jugadores!B881="","",Jugadores!A881)</f>
        <v/>
      </c>
      <c r="H881" s="4" t="str">
        <f>IF(F881="","",SUMIF('Estadísticas Jugadores'!$F$2:$F$7001,F881,'Estadísticas Jugadores'!$I$2:$I$7001))</f>
        <v/>
      </c>
      <c r="I881" s="4" t="str">
        <f t="shared" si="68"/>
        <v/>
      </c>
      <c r="J881" s="4" t="str">
        <f t="shared" si="69"/>
        <v/>
      </c>
    </row>
    <row r="882" spans="1:10" ht="15" customHeight="1" x14ac:dyDescent="0.25">
      <c r="A882" s="8" t="str">
        <f>IF(COUNT($J$2:$J$1501)&gt;=881,881,"")</f>
        <v/>
      </c>
      <c r="B882" s="8" t="str">
        <f t="shared" si="65"/>
        <v/>
      </c>
      <c r="C882" s="8" t="str">
        <f t="shared" si="66"/>
        <v/>
      </c>
      <c r="D882" s="8" t="str">
        <f t="shared" si="67"/>
        <v/>
      </c>
      <c r="F882" s="4" t="str">
        <f>IF(Jugadores!B882="","",Jugadores!B882)</f>
        <v/>
      </c>
      <c r="G882" s="4" t="str">
        <f>IF(Jugadores!B882="","",Jugadores!A882)</f>
        <v/>
      </c>
      <c r="H882" s="4" t="str">
        <f>IF(F882="","",SUMIF('Estadísticas Jugadores'!$F$2:$F$7001,F882,'Estadísticas Jugadores'!$I$2:$I$7001))</f>
        <v/>
      </c>
      <c r="I882" s="4" t="str">
        <f t="shared" si="68"/>
        <v/>
      </c>
      <c r="J882" s="4" t="str">
        <f t="shared" si="69"/>
        <v/>
      </c>
    </row>
    <row r="883" spans="1:10" ht="15" customHeight="1" x14ac:dyDescent="0.25">
      <c r="A883" s="8" t="str">
        <f>IF(COUNT($J$2:$J$1501)&gt;=882,882,"")</f>
        <v/>
      </c>
      <c r="B883" s="8" t="str">
        <f t="shared" si="65"/>
        <v/>
      </c>
      <c r="C883" s="8" t="str">
        <f t="shared" si="66"/>
        <v/>
      </c>
      <c r="D883" s="8" t="str">
        <f t="shared" si="67"/>
        <v/>
      </c>
      <c r="F883" s="4" t="str">
        <f>IF(Jugadores!B883="","",Jugadores!B883)</f>
        <v/>
      </c>
      <c r="G883" s="4" t="str">
        <f>IF(Jugadores!B883="","",Jugadores!A883)</f>
        <v/>
      </c>
      <c r="H883" s="4" t="str">
        <f>IF(F883="","",SUMIF('Estadísticas Jugadores'!$F$2:$F$7001,F883,'Estadísticas Jugadores'!$I$2:$I$7001))</f>
        <v/>
      </c>
      <c r="I883" s="4" t="str">
        <f t="shared" si="68"/>
        <v/>
      </c>
      <c r="J883" s="4" t="str">
        <f t="shared" si="69"/>
        <v/>
      </c>
    </row>
    <row r="884" spans="1:10" ht="15" customHeight="1" x14ac:dyDescent="0.25">
      <c r="A884" s="8" t="str">
        <f>IF(COUNT($J$2:$J$1501)&gt;=883,883,"")</f>
        <v/>
      </c>
      <c r="B884" s="8" t="str">
        <f t="shared" si="65"/>
        <v/>
      </c>
      <c r="C884" s="8" t="str">
        <f t="shared" si="66"/>
        <v/>
      </c>
      <c r="D884" s="8" t="str">
        <f t="shared" si="67"/>
        <v/>
      </c>
      <c r="F884" s="4" t="str">
        <f>IF(Jugadores!B884="","",Jugadores!B884)</f>
        <v/>
      </c>
      <c r="G884" s="4" t="str">
        <f>IF(Jugadores!B884="","",Jugadores!A884)</f>
        <v/>
      </c>
      <c r="H884" s="4" t="str">
        <f>IF(F884="","",SUMIF('Estadísticas Jugadores'!$F$2:$F$7001,F884,'Estadísticas Jugadores'!$I$2:$I$7001))</f>
        <v/>
      </c>
      <c r="I884" s="4" t="str">
        <f t="shared" si="68"/>
        <v/>
      </c>
      <c r="J884" s="4" t="str">
        <f t="shared" si="69"/>
        <v/>
      </c>
    </row>
    <row r="885" spans="1:10" ht="15" customHeight="1" x14ac:dyDescent="0.25">
      <c r="A885" s="8" t="str">
        <f>IF(COUNT($J$2:$J$1501)&gt;=884,884,"")</f>
        <v/>
      </c>
      <c r="B885" s="8" t="str">
        <f t="shared" si="65"/>
        <v/>
      </c>
      <c r="C885" s="8" t="str">
        <f t="shared" si="66"/>
        <v/>
      </c>
      <c r="D885" s="8" t="str">
        <f t="shared" si="67"/>
        <v/>
      </c>
      <c r="F885" s="4" t="str">
        <f>IF(Jugadores!B885="","",Jugadores!B885)</f>
        <v/>
      </c>
      <c r="G885" s="4" t="str">
        <f>IF(Jugadores!B885="","",Jugadores!A885)</f>
        <v/>
      </c>
      <c r="H885" s="4" t="str">
        <f>IF(F885="","",SUMIF('Estadísticas Jugadores'!$F$2:$F$7001,F885,'Estadísticas Jugadores'!$I$2:$I$7001))</f>
        <v/>
      </c>
      <c r="I885" s="4" t="str">
        <f t="shared" si="68"/>
        <v/>
      </c>
      <c r="J885" s="4" t="str">
        <f t="shared" si="69"/>
        <v/>
      </c>
    </row>
    <row r="886" spans="1:10" ht="15" customHeight="1" x14ac:dyDescent="0.25">
      <c r="A886" s="8" t="str">
        <f>IF(COUNT($J$2:$J$1501)&gt;=885,885,"")</f>
        <v/>
      </c>
      <c r="B886" s="8" t="str">
        <f t="shared" si="65"/>
        <v/>
      </c>
      <c r="C886" s="8" t="str">
        <f t="shared" si="66"/>
        <v/>
      </c>
      <c r="D886" s="8" t="str">
        <f t="shared" si="67"/>
        <v/>
      </c>
      <c r="F886" s="4" t="str">
        <f>IF(Jugadores!B886="","",Jugadores!B886)</f>
        <v/>
      </c>
      <c r="G886" s="4" t="str">
        <f>IF(Jugadores!B886="","",Jugadores!A886)</f>
        <v/>
      </c>
      <c r="H886" s="4" t="str">
        <f>IF(F886="","",SUMIF('Estadísticas Jugadores'!$F$2:$F$7001,F886,'Estadísticas Jugadores'!$I$2:$I$7001))</f>
        <v/>
      </c>
      <c r="I886" s="4" t="str">
        <f t="shared" si="68"/>
        <v/>
      </c>
      <c r="J886" s="4" t="str">
        <f t="shared" si="69"/>
        <v/>
      </c>
    </row>
    <row r="887" spans="1:10" ht="15" customHeight="1" x14ac:dyDescent="0.25">
      <c r="A887" s="8" t="str">
        <f>IF(COUNT($J$2:$J$1501)&gt;=886,886,"")</f>
        <v/>
      </c>
      <c r="B887" s="8" t="str">
        <f t="shared" si="65"/>
        <v/>
      </c>
      <c r="C887" s="8" t="str">
        <f t="shared" si="66"/>
        <v/>
      </c>
      <c r="D887" s="8" t="str">
        <f t="shared" si="67"/>
        <v/>
      </c>
      <c r="F887" s="4" t="str">
        <f>IF(Jugadores!B887="","",Jugadores!B887)</f>
        <v/>
      </c>
      <c r="G887" s="4" t="str">
        <f>IF(Jugadores!B887="","",Jugadores!A887)</f>
        <v/>
      </c>
      <c r="H887" s="4" t="str">
        <f>IF(F887="","",SUMIF('Estadísticas Jugadores'!$F$2:$F$7001,F887,'Estadísticas Jugadores'!$I$2:$I$7001))</f>
        <v/>
      </c>
      <c r="I887" s="4" t="str">
        <f t="shared" si="68"/>
        <v/>
      </c>
      <c r="J887" s="4" t="str">
        <f t="shared" si="69"/>
        <v/>
      </c>
    </row>
    <row r="888" spans="1:10" ht="15" customHeight="1" x14ac:dyDescent="0.25">
      <c r="A888" s="8" t="str">
        <f>IF(COUNT($J$2:$J$1501)&gt;=887,887,"")</f>
        <v/>
      </c>
      <c r="B888" s="8" t="str">
        <f t="shared" si="65"/>
        <v/>
      </c>
      <c r="C888" s="8" t="str">
        <f t="shared" si="66"/>
        <v/>
      </c>
      <c r="D888" s="8" t="str">
        <f t="shared" si="67"/>
        <v/>
      </c>
      <c r="F888" s="4" t="str">
        <f>IF(Jugadores!B888="","",Jugadores!B888)</f>
        <v/>
      </c>
      <c r="G888" s="4" t="str">
        <f>IF(Jugadores!B888="","",Jugadores!A888)</f>
        <v/>
      </c>
      <c r="H888" s="4" t="str">
        <f>IF(F888="","",SUMIF('Estadísticas Jugadores'!$F$2:$F$7001,F888,'Estadísticas Jugadores'!$I$2:$I$7001))</f>
        <v/>
      </c>
      <c r="I888" s="4" t="str">
        <f t="shared" si="68"/>
        <v/>
      </c>
      <c r="J888" s="4" t="str">
        <f t="shared" si="69"/>
        <v/>
      </c>
    </row>
    <row r="889" spans="1:10" ht="15" customHeight="1" x14ac:dyDescent="0.25">
      <c r="A889" s="8" t="str">
        <f>IF(COUNT($J$2:$J$1501)&gt;=888,888,"")</f>
        <v/>
      </c>
      <c r="B889" s="8" t="str">
        <f t="shared" si="65"/>
        <v/>
      </c>
      <c r="C889" s="8" t="str">
        <f t="shared" si="66"/>
        <v/>
      </c>
      <c r="D889" s="8" t="str">
        <f t="shared" si="67"/>
        <v/>
      </c>
      <c r="F889" s="4" t="str">
        <f>IF(Jugadores!B889="","",Jugadores!B889)</f>
        <v/>
      </c>
      <c r="G889" s="4" t="str">
        <f>IF(Jugadores!B889="","",Jugadores!A889)</f>
        <v/>
      </c>
      <c r="H889" s="4" t="str">
        <f>IF(F889="","",SUMIF('Estadísticas Jugadores'!$F$2:$F$7001,F889,'Estadísticas Jugadores'!$I$2:$I$7001))</f>
        <v/>
      </c>
      <c r="I889" s="4" t="str">
        <f t="shared" si="68"/>
        <v/>
      </c>
      <c r="J889" s="4" t="str">
        <f t="shared" si="69"/>
        <v/>
      </c>
    </row>
    <row r="890" spans="1:10" ht="15" customHeight="1" x14ac:dyDescent="0.25">
      <c r="A890" s="8" t="str">
        <f>IF(COUNT($J$2:$J$1501)&gt;=889,889,"")</f>
        <v/>
      </c>
      <c r="B890" s="8" t="str">
        <f t="shared" si="65"/>
        <v/>
      </c>
      <c r="C890" s="8" t="str">
        <f t="shared" si="66"/>
        <v/>
      </c>
      <c r="D890" s="8" t="str">
        <f t="shared" si="67"/>
        <v/>
      </c>
      <c r="F890" s="4" t="str">
        <f>IF(Jugadores!B890="","",Jugadores!B890)</f>
        <v/>
      </c>
      <c r="G890" s="4" t="str">
        <f>IF(Jugadores!B890="","",Jugadores!A890)</f>
        <v/>
      </c>
      <c r="H890" s="4" t="str">
        <f>IF(F890="","",SUMIF('Estadísticas Jugadores'!$F$2:$F$7001,F890,'Estadísticas Jugadores'!$I$2:$I$7001))</f>
        <v/>
      </c>
      <c r="I890" s="4" t="str">
        <f t="shared" si="68"/>
        <v/>
      </c>
      <c r="J890" s="4" t="str">
        <f t="shared" si="69"/>
        <v/>
      </c>
    </row>
    <row r="891" spans="1:10" ht="15" customHeight="1" x14ac:dyDescent="0.25">
      <c r="A891" s="8" t="str">
        <f>IF(COUNT($J$2:$J$1501)&gt;=890,890,"")</f>
        <v/>
      </c>
      <c r="B891" s="8" t="str">
        <f t="shared" si="65"/>
        <v/>
      </c>
      <c r="C891" s="8" t="str">
        <f t="shared" si="66"/>
        <v/>
      </c>
      <c r="D891" s="8" t="str">
        <f t="shared" si="67"/>
        <v/>
      </c>
      <c r="F891" s="4" t="str">
        <f>IF(Jugadores!B891="","",Jugadores!B891)</f>
        <v/>
      </c>
      <c r="G891" s="4" t="str">
        <f>IF(Jugadores!B891="","",Jugadores!A891)</f>
        <v/>
      </c>
      <c r="H891" s="4" t="str">
        <f>IF(F891="","",SUMIF('Estadísticas Jugadores'!$F$2:$F$7001,F891,'Estadísticas Jugadores'!$I$2:$I$7001))</f>
        <v/>
      </c>
      <c r="I891" s="4" t="str">
        <f t="shared" si="68"/>
        <v/>
      </c>
      <c r="J891" s="4" t="str">
        <f t="shared" si="69"/>
        <v/>
      </c>
    </row>
    <row r="892" spans="1:10" ht="15" customHeight="1" x14ac:dyDescent="0.25">
      <c r="A892" s="8" t="str">
        <f>IF(COUNT($J$2:$J$1501)&gt;=891,891,"")</f>
        <v/>
      </c>
      <c r="B892" s="8" t="str">
        <f t="shared" si="65"/>
        <v/>
      </c>
      <c r="C892" s="8" t="str">
        <f t="shared" si="66"/>
        <v/>
      </c>
      <c r="D892" s="8" t="str">
        <f t="shared" si="67"/>
        <v/>
      </c>
      <c r="F892" s="4" t="str">
        <f>IF(Jugadores!B892="","",Jugadores!B892)</f>
        <v/>
      </c>
      <c r="G892" s="4" t="str">
        <f>IF(Jugadores!B892="","",Jugadores!A892)</f>
        <v/>
      </c>
      <c r="H892" s="4" t="str">
        <f>IF(F892="","",SUMIF('Estadísticas Jugadores'!$F$2:$F$7001,F892,'Estadísticas Jugadores'!$I$2:$I$7001))</f>
        <v/>
      </c>
      <c r="I892" s="4" t="str">
        <f t="shared" si="68"/>
        <v/>
      </c>
      <c r="J892" s="4" t="str">
        <f t="shared" si="69"/>
        <v/>
      </c>
    </row>
    <row r="893" spans="1:10" ht="15" customHeight="1" x14ac:dyDescent="0.25">
      <c r="A893" s="8" t="str">
        <f>IF(COUNT($J$2:$J$1501)&gt;=892,892,"")</f>
        <v/>
      </c>
      <c r="B893" s="8" t="str">
        <f t="shared" si="65"/>
        <v/>
      </c>
      <c r="C893" s="8" t="str">
        <f t="shared" si="66"/>
        <v/>
      </c>
      <c r="D893" s="8" t="str">
        <f t="shared" si="67"/>
        <v/>
      </c>
      <c r="F893" s="4" t="str">
        <f>IF(Jugadores!B893="","",Jugadores!B893)</f>
        <v/>
      </c>
      <c r="G893" s="4" t="str">
        <f>IF(Jugadores!B893="","",Jugadores!A893)</f>
        <v/>
      </c>
      <c r="H893" s="4" t="str">
        <f>IF(F893="","",SUMIF('Estadísticas Jugadores'!$F$2:$F$7001,F893,'Estadísticas Jugadores'!$I$2:$I$7001))</f>
        <v/>
      </c>
      <c r="I893" s="4" t="str">
        <f t="shared" si="68"/>
        <v/>
      </c>
      <c r="J893" s="4" t="str">
        <f t="shared" si="69"/>
        <v/>
      </c>
    </row>
    <row r="894" spans="1:10" ht="15" customHeight="1" x14ac:dyDescent="0.25">
      <c r="A894" s="8" t="str">
        <f>IF(COUNT($J$2:$J$1501)&gt;=893,893,"")</f>
        <v/>
      </c>
      <c r="B894" s="8" t="str">
        <f t="shared" si="65"/>
        <v/>
      </c>
      <c r="C894" s="8" t="str">
        <f t="shared" si="66"/>
        <v/>
      </c>
      <c r="D894" s="8" t="str">
        <f t="shared" si="67"/>
        <v/>
      </c>
      <c r="F894" s="4" t="str">
        <f>IF(Jugadores!B894="","",Jugadores!B894)</f>
        <v/>
      </c>
      <c r="G894" s="4" t="str">
        <f>IF(Jugadores!B894="","",Jugadores!A894)</f>
        <v/>
      </c>
      <c r="H894" s="4" t="str">
        <f>IF(F894="","",SUMIF('Estadísticas Jugadores'!$F$2:$F$7001,F894,'Estadísticas Jugadores'!$I$2:$I$7001))</f>
        <v/>
      </c>
      <c r="I894" s="4" t="str">
        <f t="shared" si="68"/>
        <v/>
      </c>
      <c r="J894" s="4" t="str">
        <f t="shared" si="69"/>
        <v/>
      </c>
    </row>
    <row r="895" spans="1:10" ht="15" customHeight="1" x14ac:dyDescent="0.25">
      <c r="A895" s="8" t="str">
        <f>IF(COUNT($J$2:$J$1501)&gt;=894,894,"")</f>
        <v/>
      </c>
      <c r="B895" s="8" t="str">
        <f t="shared" si="65"/>
        <v/>
      </c>
      <c r="C895" s="8" t="str">
        <f t="shared" si="66"/>
        <v/>
      </c>
      <c r="D895" s="8" t="str">
        <f t="shared" si="67"/>
        <v/>
      </c>
      <c r="F895" s="4" t="str">
        <f>IF(Jugadores!B895="","",Jugadores!B895)</f>
        <v/>
      </c>
      <c r="G895" s="4" t="str">
        <f>IF(Jugadores!B895="","",Jugadores!A895)</f>
        <v/>
      </c>
      <c r="H895" s="4" t="str">
        <f>IF(F895="","",SUMIF('Estadísticas Jugadores'!$F$2:$F$7001,F895,'Estadísticas Jugadores'!$I$2:$I$7001))</f>
        <v/>
      </c>
      <c r="I895" s="4" t="str">
        <f t="shared" si="68"/>
        <v/>
      </c>
      <c r="J895" s="4" t="str">
        <f t="shared" si="69"/>
        <v/>
      </c>
    </row>
    <row r="896" spans="1:10" ht="15" customHeight="1" x14ac:dyDescent="0.25">
      <c r="A896" s="8" t="str">
        <f>IF(COUNT($J$2:$J$1501)&gt;=895,895,"")</f>
        <v/>
      </c>
      <c r="B896" s="8" t="str">
        <f t="shared" si="65"/>
        <v/>
      </c>
      <c r="C896" s="8" t="str">
        <f t="shared" si="66"/>
        <v/>
      </c>
      <c r="D896" s="8" t="str">
        <f t="shared" si="67"/>
        <v/>
      </c>
      <c r="F896" s="4" t="str">
        <f>IF(Jugadores!B896="","",Jugadores!B896)</f>
        <v/>
      </c>
      <c r="G896" s="4" t="str">
        <f>IF(Jugadores!B896="","",Jugadores!A896)</f>
        <v/>
      </c>
      <c r="H896" s="4" t="str">
        <f>IF(F896="","",SUMIF('Estadísticas Jugadores'!$F$2:$F$7001,F896,'Estadísticas Jugadores'!$I$2:$I$7001))</f>
        <v/>
      </c>
      <c r="I896" s="4" t="str">
        <f t="shared" si="68"/>
        <v/>
      </c>
      <c r="J896" s="4" t="str">
        <f t="shared" si="69"/>
        <v/>
      </c>
    </row>
    <row r="897" spans="1:10" ht="15" customHeight="1" x14ac:dyDescent="0.25">
      <c r="A897" s="8" t="str">
        <f>IF(COUNT($J$2:$J$1501)&gt;=896,896,"")</f>
        <v/>
      </c>
      <c r="B897" s="8" t="str">
        <f t="shared" si="65"/>
        <v/>
      </c>
      <c r="C897" s="8" t="str">
        <f t="shared" si="66"/>
        <v/>
      </c>
      <c r="D897" s="8" t="str">
        <f t="shared" si="67"/>
        <v/>
      </c>
      <c r="F897" s="4" t="str">
        <f>IF(Jugadores!B897="","",Jugadores!B897)</f>
        <v/>
      </c>
      <c r="G897" s="4" t="str">
        <f>IF(Jugadores!B897="","",Jugadores!A897)</f>
        <v/>
      </c>
      <c r="H897" s="4" t="str">
        <f>IF(F897="","",SUMIF('Estadísticas Jugadores'!$F$2:$F$7001,F897,'Estadísticas Jugadores'!$I$2:$I$7001))</f>
        <v/>
      </c>
      <c r="I897" s="4" t="str">
        <f t="shared" si="68"/>
        <v/>
      </c>
      <c r="J897" s="4" t="str">
        <f t="shared" si="69"/>
        <v/>
      </c>
    </row>
    <row r="898" spans="1:10" ht="15" customHeight="1" x14ac:dyDescent="0.25">
      <c r="A898" s="8" t="str">
        <f>IF(COUNT($J$2:$J$1501)&gt;=897,897,"")</f>
        <v/>
      </c>
      <c r="B898" s="8" t="str">
        <f t="shared" ref="B898:B961" si="70">IF($A898="","",INDEX($F$2:$F$1501,MATCH($A898,$J$2:$J$1501,0)))</f>
        <v/>
      </c>
      <c r="C898" s="8" t="str">
        <f t="shared" ref="C898:C961" si="71">IF($A898="","",INDEX($G$2:$G$1501,MATCH($A898,$J$2:$J$1501,0)))</f>
        <v/>
      </c>
      <c r="D898" s="8" t="str">
        <f t="shared" ref="D898:D961" si="72">IF($A898="","",INDEX($H$2:$H$1501,MATCH($A898,$J$2:$J$1501,0)))</f>
        <v/>
      </c>
      <c r="F898" s="4" t="str">
        <f>IF(Jugadores!B898="","",Jugadores!B898)</f>
        <v/>
      </c>
      <c r="G898" s="4" t="str">
        <f>IF(Jugadores!B898="","",Jugadores!A898)</f>
        <v/>
      </c>
      <c r="H898" s="4" t="str">
        <f>IF(F898="","",SUMIF('Estadísticas Jugadores'!$F$2:$F$7001,F898,'Estadísticas Jugadores'!$I$2:$I$7001))</f>
        <v/>
      </c>
      <c r="I898" s="4" t="str">
        <f t="shared" ref="I898:I961" si="73">IF(F898="","",H898*1000-ROW()*0.0000001)</f>
        <v/>
      </c>
      <c r="J898" s="4" t="str">
        <f t="shared" ref="J898:J961" si="74">IF(F898="","",RANK(I898,$I$2:$I$1501))</f>
        <v/>
      </c>
    </row>
    <row r="899" spans="1:10" ht="15" customHeight="1" x14ac:dyDescent="0.25">
      <c r="A899" s="8" t="str">
        <f>IF(COUNT($J$2:$J$1501)&gt;=898,898,"")</f>
        <v/>
      </c>
      <c r="B899" s="8" t="str">
        <f t="shared" si="70"/>
        <v/>
      </c>
      <c r="C899" s="8" t="str">
        <f t="shared" si="71"/>
        <v/>
      </c>
      <c r="D899" s="8" t="str">
        <f t="shared" si="72"/>
        <v/>
      </c>
      <c r="F899" s="4" t="str">
        <f>IF(Jugadores!B899="","",Jugadores!B899)</f>
        <v/>
      </c>
      <c r="G899" s="4" t="str">
        <f>IF(Jugadores!B899="","",Jugadores!A899)</f>
        <v/>
      </c>
      <c r="H899" s="4" t="str">
        <f>IF(F899="","",SUMIF('Estadísticas Jugadores'!$F$2:$F$7001,F899,'Estadísticas Jugadores'!$I$2:$I$7001))</f>
        <v/>
      </c>
      <c r="I899" s="4" t="str">
        <f t="shared" si="73"/>
        <v/>
      </c>
      <c r="J899" s="4" t="str">
        <f t="shared" si="74"/>
        <v/>
      </c>
    </row>
    <row r="900" spans="1:10" ht="15" customHeight="1" x14ac:dyDescent="0.25">
      <c r="A900" s="8" t="str">
        <f>IF(COUNT($J$2:$J$1501)&gt;=899,899,"")</f>
        <v/>
      </c>
      <c r="B900" s="8" t="str">
        <f t="shared" si="70"/>
        <v/>
      </c>
      <c r="C900" s="8" t="str">
        <f t="shared" si="71"/>
        <v/>
      </c>
      <c r="D900" s="8" t="str">
        <f t="shared" si="72"/>
        <v/>
      </c>
      <c r="F900" s="4" t="str">
        <f>IF(Jugadores!B900="","",Jugadores!B900)</f>
        <v/>
      </c>
      <c r="G900" s="4" t="str">
        <f>IF(Jugadores!B900="","",Jugadores!A900)</f>
        <v/>
      </c>
      <c r="H900" s="4" t="str">
        <f>IF(F900="","",SUMIF('Estadísticas Jugadores'!$F$2:$F$7001,F900,'Estadísticas Jugadores'!$I$2:$I$7001))</f>
        <v/>
      </c>
      <c r="I900" s="4" t="str">
        <f t="shared" si="73"/>
        <v/>
      </c>
      <c r="J900" s="4" t="str">
        <f t="shared" si="74"/>
        <v/>
      </c>
    </row>
    <row r="901" spans="1:10" ht="15" customHeight="1" x14ac:dyDescent="0.25">
      <c r="A901" s="8" t="str">
        <f>IF(COUNT($J$2:$J$1501)&gt;=900,900,"")</f>
        <v/>
      </c>
      <c r="B901" s="8" t="str">
        <f t="shared" si="70"/>
        <v/>
      </c>
      <c r="C901" s="8" t="str">
        <f t="shared" si="71"/>
        <v/>
      </c>
      <c r="D901" s="8" t="str">
        <f t="shared" si="72"/>
        <v/>
      </c>
      <c r="F901" s="4" t="str">
        <f>IF(Jugadores!B901="","",Jugadores!B901)</f>
        <v/>
      </c>
      <c r="G901" s="4" t="str">
        <f>IF(Jugadores!B901="","",Jugadores!A901)</f>
        <v/>
      </c>
      <c r="H901" s="4" t="str">
        <f>IF(F901="","",SUMIF('Estadísticas Jugadores'!$F$2:$F$7001,F901,'Estadísticas Jugadores'!$I$2:$I$7001))</f>
        <v/>
      </c>
      <c r="I901" s="4" t="str">
        <f t="shared" si="73"/>
        <v/>
      </c>
      <c r="J901" s="4" t="str">
        <f t="shared" si="74"/>
        <v/>
      </c>
    </row>
    <row r="902" spans="1:10" ht="15" customHeight="1" x14ac:dyDescent="0.25">
      <c r="A902" s="8" t="str">
        <f>IF(COUNT($J$2:$J$1501)&gt;=901,901,"")</f>
        <v/>
      </c>
      <c r="B902" s="8" t="str">
        <f t="shared" si="70"/>
        <v/>
      </c>
      <c r="C902" s="8" t="str">
        <f t="shared" si="71"/>
        <v/>
      </c>
      <c r="D902" s="8" t="str">
        <f t="shared" si="72"/>
        <v/>
      </c>
      <c r="F902" s="4" t="str">
        <f>IF(Jugadores!B902="","",Jugadores!B902)</f>
        <v/>
      </c>
      <c r="G902" s="4" t="str">
        <f>IF(Jugadores!B902="","",Jugadores!A902)</f>
        <v/>
      </c>
      <c r="H902" s="4" t="str">
        <f>IF(F902="","",SUMIF('Estadísticas Jugadores'!$F$2:$F$7001,F902,'Estadísticas Jugadores'!$I$2:$I$7001))</f>
        <v/>
      </c>
      <c r="I902" s="4" t="str">
        <f t="shared" si="73"/>
        <v/>
      </c>
      <c r="J902" s="4" t="str">
        <f t="shared" si="74"/>
        <v/>
      </c>
    </row>
    <row r="903" spans="1:10" ht="15" customHeight="1" x14ac:dyDescent="0.25">
      <c r="A903" s="8" t="str">
        <f>IF(COUNT($J$2:$J$1501)&gt;=902,902,"")</f>
        <v/>
      </c>
      <c r="B903" s="8" t="str">
        <f t="shared" si="70"/>
        <v/>
      </c>
      <c r="C903" s="8" t="str">
        <f t="shared" si="71"/>
        <v/>
      </c>
      <c r="D903" s="8" t="str">
        <f t="shared" si="72"/>
        <v/>
      </c>
      <c r="F903" s="4" t="str">
        <f>IF(Jugadores!B903="","",Jugadores!B903)</f>
        <v/>
      </c>
      <c r="G903" s="4" t="str">
        <f>IF(Jugadores!B903="","",Jugadores!A903)</f>
        <v/>
      </c>
      <c r="H903" s="4" t="str">
        <f>IF(F903="","",SUMIF('Estadísticas Jugadores'!$F$2:$F$7001,F903,'Estadísticas Jugadores'!$I$2:$I$7001))</f>
        <v/>
      </c>
      <c r="I903" s="4" t="str">
        <f t="shared" si="73"/>
        <v/>
      </c>
      <c r="J903" s="4" t="str">
        <f t="shared" si="74"/>
        <v/>
      </c>
    </row>
    <row r="904" spans="1:10" ht="15" customHeight="1" x14ac:dyDescent="0.25">
      <c r="A904" s="8" t="str">
        <f>IF(COUNT($J$2:$J$1501)&gt;=903,903,"")</f>
        <v/>
      </c>
      <c r="B904" s="8" t="str">
        <f t="shared" si="70"/>
        <v/>
      </c>
      <c r="C904" s="8" t="str">
        <f t="shared" si="71"/>
        <v/>
      </c>
      <c r="D904" s="8" t="str">
        <f t="shared" si="72"/>
        <v/>
      </c>
      <c r="F904" s="4" t="str">
        <f>IF(Jugadores!B904="","",Jugadores!B904)</f>
        <v/>
      </c>
      <c r="G904" s="4" t="str">
        <f>IF(Jugadores!B904="","",Jugadores!A904)</f>
        <v/>
      </c>
      <c r="H904" s="4" t="str">
        <f>IF(F904="","",SUMIF('Estadísticas Jugadores'!$F$2:$F$7001,F904,'Estadísticas Jugadores'!$I$2:$I$7001))</f>
        <v/>
      </c>
      <c r="I904" s="4" t="str">
        <f t="shared" si="73"/>
        <v/>
      </c>
      <c r="J904" s="4" t="str">
        <f t="shared" si="74"/>
        <v/>
      </c>
    </row>
    <row r="905" spans="1:10" ht="15" customHeight="1" x14ac:dyDescent="0.25">
      <c r="A905" s="8" t="str">
        <f>IF(COUNT($J$2:$J$1501)&gt;=904,904,"")</f>
        <v/>
      </c>
      <c r="B905" s="8" t="str">
        <f t="shared" si="70"/>
        <v/>
      </c>
      <c r="C905" s="8" t="str">
        <f t="shared" si="71"/>
        <v/>
      </c>
      <c r="D905" s="8" t="str">
        <f t="shared" si="72"/>
        <v/>
      </c>
      <c r="F905" s="4" t="str">
        <f>IF(Jugadores!B905="","",Jugadores!B905)</f>
        <v/>
      </c>
      <c r="G905" s="4" t="str">
        <f>IF(Jugadores!B905="","",Jugadores!A905)</f>
        <v/>
      </c>
      <c r="H905" s="4" t="str">
        <f>IF(F905="","",SUMIF('Estadísticas Jugadores'!$F$2:$F$7001,F905,'Estadísticas Jugadores'!$I$2:$I$7001))</f>
        <v/>
      </c>
      <c r="I905" s="4" t="str">
        <f t="shared" si="73"/>
        <v/>
      </c>
      <c r="J905" s="4" t="str">
        <f t="shared" si="74"/>
        <v/>
      </c>
    </row>
    <row r="906" spans="1:10" ht="15" customHeight="1" x14ac:dyDescent="0.25">
      <c r="A906" s="8" t="str">
        <f>IF(COUNT($J$2:$J$1501)&gt;=905,905,"")</f>
        <v/>
      </c>
      <c r="B906" s="8" t="str">
        <f t="shared" si="70"/>
        <v/>
      </c>
      <c r="C906" s="8" t="str">
        <f t="shared" si="71"/>
        <v/>
      </c>
      <c r="D906" s="8" t="str">
        <f t="shared" si="72"/>
        <v/>
      </c>
      <c r="F906" s="4" t="str">
        <f>IF(Jugadores!B906="","",Jugadores!B906)</f>
        <v/>
      </c>
      <c r="G906" s="4" t="str">
        <f>IF(Jugadores!B906="","",Jugadores!A906)</f>
        <v/>
      </c>
      <c r="H906" s="4" t="str">
        <f>IF(F906="","",SUMIF('Estadísticas Jugadores'!$F$2:$F$7001,F906,'Estadísticas Jugadores'!$I$2:$I$7001))</f>
        <v/>
      </c>
      <c r="I906" s="4" t="str">
        <f t="shared" si="73"/>
        <v/>
      </c>
      <c r="J906" s="4" t="str">
        <f t="shared" si="74"/>
        <v/>
      </c>
    </row>
    <row r="907" spans="1:10" ht="15" customHeight="1" x14ac:dyDescent="0.25">
      <c r="A907" s="8" t="str">
        <f>IF(COUNT($J$2:$J$1501)&gt;=906,906,"")</f>
        <v/>
      </c>
      <c r="B907" s="8" t="str">
        <f t="shared" si="70"/>
        <v/>
      </c>
      <c r="C907" s="8" t="str">
        <f t="shared" si="71"/>
        <v/>
      </c>
      <c r="D907" s="8" t="str">
        <f t="shared" si="72"/>
        <v/>
      </c>
      <c r="F907" s="4" t="str">
        <f>IF(Jugadores!B907="","",Jugadores!B907)</f>
        <v/>
      </c>
      <c r="G907" s="4" t="str">
        <f>IF(Jugadores!B907="","",Jugadores!A907)</f>
        <v/>
      </c>
      <c r="H907" s="4" t="str">
        <f>IF(F907="","",SUMIF('Estadísticas Jugadores'!$F$2:$F$7001,F907,'Estadísticas Jugadores'!$I$2:$I$7001))</f>
        <v/>
      </c>
      <c r="I907" s="4" t="str">
        <f t="shared" si="73"/>
        <v/>
      </c>
      <c r="J907" s="4" t="str">
        <f t="shared" si="74"/>
        <v/>
      </c>
    </row>
    <row r="908" spans="1:10" ht="15" customHeight="1" x14ac:dyDescent="0.25">
      <c r="A908" s="8" t="str">
        <f>IF(COUNT($J$2:$J$1501)&gt;=907,907,"")</f>
        <v/>
      </c>
      <c r="B908" s="8" t="str">
        <f t="shared" si="70"/>
        <v/>
      </c>
      <c r="C908" s="8" t="str">
        <f t="shared" si="71"/>
        <v/>
      </c>
      <c r="D908" s="8" t="str">
        <f t="shared" si="72"/>
        <v/>
      </c>
      <c r="F908" s="4" t="str">
        <f>IF(Jugadores!B908="","",Jugadores!B908)</f>
        <v/>
      </c>
      <c r="G908" s="4" t="str">
        <f>IF(Jugadores!B908="","",Jugadores!A908)</f>
        <v/>
      </c>
      <c r="H908" s="4" t="str">
        <f>IF(F908="","",SUMIF('Estadísticas Jugadores'!$F$2:$F$7001,F908,'Estadísticas Jugadores'!$I$2:$I$7001))</f>
        <v/>
      </c>
      <c r="I908" s="4" t="str">
        <f t="shared" si="73"/>
        <v/>
      </c>
      <c r="J908" s="4" t="str">
        <f t="shared" si="74"/>
        <v/>
      </c>
    </row>
    <row r="909" spans="1:10" ht="15" customHeight="1" x14ac:dyDescent="0.25">
      <c r="A909" s="8" t="str">
        <f>IF(COUNT($J$2:$J$1501)&gt;=908,908,"")</f>
        <v/>
      </c>
      <c r="B909" s="8" t="str">
        <f t="shared" si="70"/>
        <v/>
      </c>
      <c r="C909" s="8" t="str">
        <f t="shared" si="71"/>
        <v/>
      </c>
      <c r="D909" s="8" t="str">
        <f t="shared" si="72"/>
        <v/>
      </c>
      <c r="F909" s="4" t="str">
        <f>IF(Jugadores!B909="","",Jugadores!B909)</f>
        <v/>
      </c>
      <c r="G909" s="4" t="str">
        <f>IF(Jugadores!B909="","",Jugadores!A909)</f>
        <v/>
      </c>
      <c r="H909" s="4" t="str">
        <f>IF(F909="","",SUMIF('Estadísticas Jugadores'!$F$2:$F$7001,F909,'Estadísticas Jugadores'!$I$2:$I$7001))</f>
        <v/>
      </c>
      <c r="I909" s="4" t="str">
        <f t="shared" si="73"/>
        <v/>
      </c>
      <c r="J909" s="4" t="str">
        <f t="shared" si="74"/>
        <v/>
      </c>
    </row>
    <row r="910" spans="1:10" ht="15" customHeight="1" x14ac:dyDescent="0.25">
      <c r="A910" s="8" t="str">
        <f>IF(COUNT($J$2:$J$1501)&gt;=909,909,"")</f>
        <v/>
      </c>
      <c r="B910" s="8" t="str">
        <f t="shared" si="70"/>
        <v/>
      </c>
      <c r="C910" s="8" t="str">
        <f t="shared" si="71"/>
        <v/>
      </c>
      <c r="D910" s="8" t="str">
        <f t="shared" si="72"/>
        <v/>
      </c>
      <c r="F910" s="4" t="str">
        <f>IF(Jugadores!B910="","",Jugadores!B910)</f>
        <v/>
      </c>
      <c r="G910" s="4" t="str">
        <f>IF(Jugadores!B910="","",Jugadores!A910)</f>
        <v/>
      </c>
      <c r="H910" s="4" t="str">
        <f>IF(F910="","",SUMIF('Estadísticas Jugadores'!$F$2:$F$7001,F910,'Estadísticas Jugadores'!$I$2:$I$7001))</f>
        <v/>
      </c>
      <c r="I910" s="4" t="str">
        <f t="shared" si="73"/>
        <v/>
      </c>
      <c r="J910" s="4" t="str">
        <f t="shared" si="74"/>
        <v/>
      </c>
    </row>
    <row r="911" spans="1:10" ht="15" customHeight="1" x14ac:dyDescent="0.25">
      <c r="A911" s="8" t="str">
        <f>IF(COUNT($J$2:$J$1501)&gt;=910,910,"")</f>
        <v/>
      </c>
      <c r="B911" s="8" t="str">
        <f t="shared" si="70"/>
        <v/>
      </c>
      <c r="C911" s="8" t="str">
        <f t="shared" si="71"/>
        <v/>
      </c>
      <c r="D911" s="8" t="str">
        <f t="shared" si="72"/>
        <v/>
      </c>
      <c r="F911" s="4" t="str">
        <f>IF(Jugadores!B911="","",Jugadores!B911)</f>
        <v/>
      </c>
      <c r="G911" s="4" t="str">
        <f>IF(Jugadores!B911="","",Jugadores!A911)</f>
        <v/>
      </c>
      <c r="H911" s="4" t="str">
        <f>IF(F911="","",SUMIF('Estadísticas Jugadores'!$F$2:$F$7001,F911,'Estadísticas Jugadores'!$I$2:$I$7001))</f>
        <v/>
      </c>
      <c r="I911" s="4" t="str">
        <f t="shared" si="73"/>
        <v/>
      </c>
      <c r="J911" s="4" t="str">
        <f t="shared" si="74"/>
        <v/>
      </c>
    </row>
    <row r="912" spans="1:10" ht="15" customHeight="1" x14ac:dyDescent="0.25">
      <c r="A912" s="8" t="str">
        <f>IF(COUNT($J$2:$J$1501)&gt;=911,911,"")</f>
        <v/>
      </c>
      <c r="B912" s="8" t="str">
        <f t="shared" si="70"/>
        <v/>
      </c>
      <c r="C912" s="8" t="str">
        <f t="shared" si="71"/>
        <v/>
      </c>
      <c r="D912" s="8" t="str">
        <f t="shared" si="72"/>
        <v/>
      </c>
      <c r="F912" s="4" t="str">
        <f>IF(Jugadores!B912="","",Jugadores!B912)</f>
        <v/>
      </c>
      <c r="G912" s="4" t="str">
        <f>IF(Jugadores!B912="","",Jugadores!A912)</f>
        <v/>
      </c>
      <c r="H912" s="4" t="str">
        <f>IF(F912="","",SUMIF('Estadísticas Jugadores'!$F$2:$F$7001,F912,'Estadísticas Jugadores'!$I$2:$I$7001))</f>
        <v/>
      </c>
      <c r="I912" s="4" t="str">
        <f t="shared" si="73"/>
        <v/>
      </c>
      <c r="J912" s="4" t="str">
        <f t="shared" si="74"/>
        <v/>
      </c>
    </row>
    <row r="913" spans="1:10" ht="15" customHeight="1" x14ac:dyDescent="0.25">
      <c r="A913" s="8" t="str">
        <f>IF(COUNT($J$2:$J$1501)&gt;=912,912,"")</f>
        <v/>
      </c>
      <c r="B913" s="8" t="str">
        <f t="shared" si="70"/>
        <v/>
      </c>
      <c r="C913" s="8" t="str">
        <f t="shared" si="71"/>
        <v/>
      </c>
      <c r="D913" s="8" t="str">
        <f t="shared" si="72"/>
        <v/>
      </c>
      <c r="F913" s="4" t="str">
        <f>IF(Jugadores!B913="","",Jugadores!B913)</f>
        <v/>
      </c>
      <c r="G913" s="4" t="str">
        <f>IF(Jugadores!B913="","",Jugadores!A913)</f>
        <v/>
      </c>
      <c r="H913" s="4" t="str">
        <f>IF(F913="","",SUMIF('Estadísticas Jugadores'!$F$2:$F$7001,F913,'Estadísticas Jugadores'!$I$2:$I$7001))</f>
        <v/>
      </c>
      <c r="I913" s="4" t="str">
        <f t="shared" si="73"/>
        <v/>
      </c>
      <c r="J913" s="4" t="str">
        <f t="shared" si="74"/>
        <v/>
      </c>
    </row>
    <row r="914" spans="1:10" ht="15" customHeight="1" x14ac:dyDescent="0.25">
      <c r="A914" s="8" t="str">
        <f>IF(COUNT($J$2:$J$1501)&gt;=913,913,"")</f>
        <v/>
      </c>
      <c r="B914" s="8" t="str">
        <f t="shared" si="70"/>
        <v/>
      </c>
      <c r="C914" s="8" t="str">
        <f t="shared" si="71"/>
        <v/>
      </c>
      <c r="D914" s="8" t="str">
        <f t="shared" si="72"/>
        <v/>
      </c>
      <c r="F914" s="4" t="str">
        <f>IF(Jugadores!B914="","",Jugadores!B914)</f>
        <v/>
      </c>
      <c r="G914" s="4" t="str">
        <f>IF(Jugadores!B914="","",Jugadores!A914)</f>
        <v/>
      </c>
      <c r="H914" s="4" t="str">
        <f>IF(F914="","",SUMIF('Estadísticas Jugadores'!$F$2:$F$7001,F914,'Estadísticas Jugadores'!$I$2:$I$7001))</f>
        <v/>
      </c>
      <c r="I914" s="4" t="str">
        <f t="shared" si="73"/>
        <v/>
      </c>
      <c r="J914" s="4" t="str">
        <f t="shared" si="74"/>
        <v/>
      </c>
    </row>
    <row r="915" spans="1:10" ht="15" customHeight="1" x14ac:dyDescent="0.25">
      <c r="A915" s="8" t="str">
        <f>IF(COUNT($J$2:$J$1501)&gt;=914,914,"")</f>
        <v/>
      </c>
      <c r="B915" s="8" t="str">
        <f t="shared" si="70"/>
        <v/>
      </c>
      <c r="C915" s="8" t="str">
        <f t="shared" si="71"/>
        <v/>
      </c>
      <c r="D915" s="8" t="str">
        <f t="shared" si="72"/>
        <v/>
      </c>
      <c r="F915" s="4" t="str">
        <f>IF(Jugadores!B915="","",Jugadores!B915)</f>
        <v/>
      </c>
      <c r="G915" s="4" t="str">
        <f>IF(Jugadores!B915="","",Jugadores!A915)</f>
        <v/>
      </c>
      <c r="H915" s="4" t="str">
        <f>IF(F915="","",SUMIF('Estadísticas Jugadores'!$F$2:$F$7001,F915,'Estadísticas Jugadores'!$I$2:$I$7001))</f>
        <v/>
      </c>
      <c r="I915" s="4" t="str">
        <f t="shared" si="73"/>
        <v/>
      </c>
      <c r="J915" s="4" t="str">
        <f t="shared" si="74"/>
        <v/>
      </c>
    </row>
    <row r="916" spans="1:10" ht="15" customHeight="1" x14ac:dyDescent="0.25">
      <c r="A916" s="8" t="str">
        <f>IF(COUNT($J$2:$J$1501)&gt;=915,915,"")</f>
        <v/>
      </c>
      <c r="B916" s="8" t="str">
        <f t="shared" si="70"/>
        <v/>
      </c>
      <c r="C916" s="8" t="str">
        <f t="shared" si="71"/>
        <v/>
      </c>
      <c r="D916" s="8" t="str">
        <f t="shared" si="72"/>
        <v/>
      </c>
      <c r="F916" s="4" t="str">
        <f>IF(Jugadores!B916="","",Jugadores!B916)</f>
        <v/>
      </c>
      <c r="G916" s="4" t="str">
        <f>IF(Jugadores!B916="","",Jugadores!A916)</f>
        <v/>
      </c>
      <c r="H916" s="4" t="str">
        <f>IF(F916="","",SUMIF('Estadísticas Jugadores'!$F$2:$F$7001,F916,'Estadísticas Jugadores'!$I$2:$I$7001))</f>
        <v/>
      </c>
      <c r="I916" s="4" t="str">
        <f t="shared" si="73"/>
        <v/>
      </c>
      <c r="J916" s="4" t="str">
        <f t="shared" si="74"/>
        <v/>
      </c>
    </row>
    <row r="917" spans="1:10" ht="15" customHeight="1" x14ac:dyDescent="0.25">
      <c r="A917" s="8" t="str">
        <f>IF(COUNT($J$2:$J$1501)&gt;=916,916,"")</f>
        <v/>
      </c>
      <c r="B917" s="8" t="str">
        <f t="shared" si="70"/>
        <v/>
      </c>
      <c r="C917" s="8" t="str">
        <f t="shared" si="71"/>
        <v/>
      </c>
      <c r="D917" s="8" t="str">
        <f t="shared" si="72"/>
        <v/>
      </c>
      <c r="F917" s="4" t="str">
        <f>IF(Jugadores!B917="","",Jugadores!B917)</f>
        <v/>
      </c>
      <c r="G917" s="4" t="str">
        <f>IF(Jugadores!B917="","",Jugadores!A917)</f>
        <v/>
      </c>
      <c r="H917" s="4" t="str">
        <f>IF(F917="","",SUMIF('Estadísticas Jugadores'!$F$2:$F$7001,F917,'Estadísticas Jugadores'!$I$2:$I$7001))</f>
        <v/>
      </c>
      <c r="I917" s="4" t="str">
        <f t="shared" si="73"/>
        <v/>
      </c>
      <c r="J917" s="4" t="str">
        <f t="shared" si="74"/>
        <v/>
      </c>
    </row>
    <row r="918" spans="1:10" ht="15" customHeight="1" x14ac:dyDescent="0.25">
      <c r="A918" s="8" t="str">
        <f>IF(COUNT($J$2:$J$1501)&gt;=917,917,"")</f>
        <v/>
      </c>
      <c r="B918" s="8" t="str">
        <f t="shared" si="70"/>
        <v/>
      </c>
      <c r="C918" s="8" t="str">
        <f t="shared" si="71"/>
        <v/>
      </c>
      <c r="D918" s="8" t="str">
        <f t="shared" si="72"/>
        <v/>
      </c>
      <c r="F918" s="4" t="str">
        <f>IF(Jugadores!B918="","",Jugadores!B918)</f>
        <v/>
      </c>
      <c r="G918" s="4" t="str">
        <f>IF(Jugadores!B918="","",Jugadores!A918)</f>
        <v/>
      </c>
      <c r="H918" s="4" t="str">
        <f>IF(F918="","",SUMIF('Estadísticas Jugadores'!$F$2:$F$7001,F918,'Estadísticas Jugadores'!$I$2:$I$7001))</f>
        <v/>
      </c>
      <c r="I918" s="4" t="str">
        <f t="shared" si="73"/>
        <v/>
      </c>
      <c r="J918" s="4" t="str">
        <f t="shared" si="74"/>
        <v/>
      </c>
    </row>
    <row r="919" spans="1:10" ht="15" customHeight="1" x14ac:dyDescent="0.25">
      <c r="A919" s="8" t="str">
        <f>IF(COUNT($J$2:$J$1501)&gt;=918,918,"")</f>
        <v/>
      </c>
      <c r="B919" s="8" t="str">
        <f t="shared" si="70"/>
        <v/>
      </c>
      <c r="C919" s="8" t="str">
        <f t="shared" si="71"/>
        <v/>
      </c>
      <c r="D919" s="8" t="str">
        <f t="shared" si="72"/>
        <v/>
      </c>
      <c r="F919" s="4" t="str">
        <f>IF(Jugadores!B919="","",Jugadores!B919)</f>
        <v/>
      </c>
      <c r="G919" s="4" t="str">
        <f>IF(Jugadores!B919="","",Jugadores!A919)</f>
        <v/>
      </c>
      <c r="H919" s="4" t="str">
        <f>IF(F919="","",SUMIF('Estadísticas Jugadores'!$F$2:$F$7001,F919,'Estadísticas Jugadores'!$I$2:$I$7001))</f>
        <v/>
      </c>
      <c r="I919" s="4" t="str">
        <f t="shared" si="73"/>
        <v/>
      </c>
      <c r="J919" s="4" t="str">
        <f t="shared" si="74"/>
        <v/>
      </c>
    </row>
    <row r="920" spans="1:10" ht="15" customHeight="1" x14ac:dyDescent="0.25">
      <c r="A920" s="8" t="str">
        <f>IF(COUNT($J$2:$J$1501)&gt;=919,919,"")</f>
        <v/>
      </c>
      <c r="B920" s="8" t="str">
        <f t="shared" si="70"/>
        <v/>
      </c>
      <c r="C920" s="8" t="str">
        <f t="shared" si="71"/>
        <v/>
      </c>
      <c r="D920" s="8" t="str">
        <f t="shared" si="72"/>
        <v/>
      </c>
      <c r="F920" s="4" t="str">
        <f>IF(Jugadores!B920="","",Jugadores!B920)</f>
        <v/>
      </c>
      <c r="G920" s="4" t="str">
        <f>IF(Jugadores!B920="","",Jugadores!A920)</f>
        <v/>
      </c>
      <c r="H920" s="4" t="str">
        <f>IF(F920="","",SUMIF('Estadísticas Jugadores'!$F$2:$F$7001,F920,'Estadísticas Jugadores'!$I$2:$I$7001))</f>
        <v/>
      </c>
      <c r="I920" s="4" t="str">
        <f t="shared" si="73"/>
        <v/>
      </c>
      <c r="J920" s="4" t="str">
        <f t="shared" si="74"/>
        <v/>
      </c>
    </row>
    <row r="921" spans="1:10" ht="15" customHeight="1" x14ac:dyDescent="0.25">
      <c r="A921" s="8" t="str">
        <f>IF(COUNT($J$2:$J$1501)&gt;=920,920,"")</f>
        <v/>
      </c>
      <c r="B921" s="8" t="str">
        <f t="shared" si="70"/>
        <v/>
      </c>
      <c r="C921" s="8" t="str">
        <f t="shared" si="71"/>
        <v/>
      </c>
      <c r="D921" s="8" t="str">
        <f t="shared" si="72"/>
        <v/>
      </c>
      <c r="F921" s="4" t="str">
        <f>IF(Jugadores!B921="","",Jugadores!B921)</f>
        <v/>
      </c>
      <c r="G921" s="4" t="str">
        <f>IF(Jugadores!B921="","",Jugadores!A921)</f>
        <v/>
      </c>
      <c r="H921" s="4" t="str">
        <f>IF(F921="","",SUMIF('Estadísticas Jugadores'!$F$2:$F$7001,F921,'Estadísticas Jugadores'!$I$2:$I$7001))</f>
        <v/>
      </c>
      <c r="I921" s="4" t="str">
        <f t="shared" si="73"/>
        <v/>
      </c>
      <c r="J921" s="4" t="str">
        <f t="shared" si="74"/>
        <v/>
      </c>
    </row>
    <row r="922" spans="1:10" ht="15" customHeight="1" x14ac:dyDescent="0.25">
      <c r="A922" s="8" t="str">
        <f>IF(COUNT($J$2:$J$1501)&gt;=921,921,"")</f>
        <v/>
      </c>
      <c r="B922" s="8" t="str">
        <f t="shared" si="70"/>
        <v/>
      </c>
      <c r="C922" s="8" t="str">
        <f t="shared" si="71"/>
        <v/>
      </c>
      <c r="D922" s="8" t="str">
        <f t="shared" si="72"/>
        <v/>
      </c>
      <c r="F922" s="4" t="str">
        <f>IF(Jugadores!B922="","",Jugadores!B922)</f>
        <v/>
      </c>
      <c r="G922" s="4" t="str">
        <f>IF(Jugadores!B922="","",Jugadores!A922)</f>
        <v/>
      </c>
      <c r="H922" s="4" t="str">
        <f>IF(F922="","",SUMIF('Estadísticas Jugadores'!$F$2:$F$7001,F922,'Estadísticas Jugadores'!$I$2:$I$7001))</f>
        <v/>
      </c>
      <c r="I922" s="4" t="str">
        <f t="shared" si="73"/>
        <v/>
      </c>
      <c r="J922" s="4" t="str">
        <f t="shared" si="74"/>
        <v/>
      </c>
    </row>
    <row r="923" spans="1:10" ht="15" customHeight="1" x14ac:dyDescent="0.25">
      <c r="A923" s="8" t="str">
        <f>IF(COUNT($J$2:$J$1501)&gt;=922,922,"")</f>
        <v/>
      </c>
      <c r="B923" s="8" t="str">
        <f t="shared" si="70"/>
        <v/>
      </c>
      <c r="C923" s="8" t="str">
        <f t="shared" si="71"/>
        <v/>
      </c>
      <c r="D923" s="8" t="str">
        <f t="shared" si="72"/>
        <v/>
      </c>
      <c r="F923" s="4" t="str">
        <f>IF(Jugadores!B923="","",Jugadores!B923)</f>
        <v/>
      </c>
      <c r="G923" s="4" t="str">
        <f>IF(Jugadores!B923="","",Jugadores!A923)</f>
        <v/>
      </c>
      <c r="H923" s="4" t="str">
        <f>IF(F923="","",SUMIF('Estadísticas Jugadores'!$F$2:$F$7001,F923,'Estadísticas Jugadores'!$I$2:$I$7001))</f>
        <v/>
      </c>
      <c r="I923" s="4" t="str">
        <f t="shared" si="73"/>
        <v/>
      </c>
      <c r="J923" s="4" t="str">
        <f t="shared" si="74"/>
        <v/>
      </c>
    </row>
    <row r="924" spans="1:10" ht="15" customHeight="1" x14ac:dyDescent="0.25">
      <c r="A924" s="8" t="str">
        <f>IF(COUNT($J$2:$J$1501)&gt;=923,923,"")</f>
        <v/>
      </c>
      <c r="B924" s="8" t="str">
        <f t="shared" si="70"/>
        <v/>
      </c>
      <c r="C924" s="8" t="str">
        <f t="shared" si="71"/>
        <v/>
      </c>
      <c r="D924" s="8" t="str">
        <f t="shared" si="72"/>
        <v/>
      </c>
      <c r="F924" s="4" t="str">
        <f>IF(Jugadores!B924="","",Jugadores!B924)</f>
        <v/>
      </c>
      <c r="G924" s="4" t="str">
        <f>IF(Jugadores!B924="","",Jugadores!A924)</f>
        <v/>
      </c>
      <c r="H924" s="4" t="str">
        <f>IF(F924="","",SUMIF('Estadísticas Jugadores'!$F$2:$F$7001,F924,'Estadísticas Jugadores'!$I$2:$I$7001))</f>
        <v/>
      </c>
      <c r="I924" s="4" t="str">
        <f t="shared" si="73"/>
        <v/>
      </c>
      <c r="J924" s="4" t="str">
        <f t="shared" si="74"/>
        <v/>
      </c>
    </row>
    <row r="925" spans="1:10" ht="15" customHeight="1" x14ac:dyDescent="0.25">
      <c r="A925" s="8" t="str">
        <f>IF(COUNT($J$2:$J$1501)&gt;=924,924,"")</f>
        <v/>
      </c>
      <c r="B925" s="8" t="str">
        <f t="shared" si="70"/>
        <v/>
      </c>
      <c r="C925" s="8" t="str">
        <f t="shared" si="71"/>
        <v/>
      </c>
      <c r="D925" s="8" t="str">
        <f t="shared" si="72"/>
        <v/>
      </c>
      <c r="F925" s="4" t="str">
        <f>IF(Jugadores!B925="","",Jugadores!B925)</f>
        <v/>
      </c>
      <c r="G925" s="4" t="str">
        <f>IF(Jugadores!B925="","",Jugadores!A925)</f>
        <v/>
      </c>
      <c r="H925" s="4" t="str">
        <f>IF(F925="","",SUMIF('Estadísticas Jugadores'!$F$2:$F$7001,F925,'Estadísticas Jugadores'!$I$2:$I$7001))</f>
        <v/>
      </c>
      <c r="I925" s="4" t="str">
        <f t="shared" si="73"/>
        <v/>
      </c>
      <c r="J925" s="4" t="str">
        <f t="shared" si="74"/>
        <v/>
      </c>
    </row>
    <row r="926" spans="1:10" ht="15" customHeight="1" x14ac:dyDescent="0.25">
      <c r="A926" s="8" t="str">
        <f>IF(COUNT($J$2:$J$1501)&gt;=925,925,"")</f>
        <v/>
      </c>
      <c r="B926" s="8" t="str">
        <f t="shared" si="70"/>
        <v/>
      </c>
      <c r="C926" s="8" t="str">
        <f t="shared" si="71"/>
        <v/>
      </c>
      <c r="D926" s="8" t="str">
        <f t="shared" si="72"/>
        <v/>
      </c>
      <c r="F926" s="4" t="str">
        <f>IF(Jugadores!B926="","",Jugadores!B926)</f>
        <v/>
      </c>
      <c r="G926" s="4" t="str">
        <f>IF(Jugadores!B926="","",Jugadores!A926)</f>
        <v/>
      </c>
      <c r="H926" s="4" t="str">
        <f>IF(F926="","",SUMIF('Estadísticas Jugadores'!$F$2:$F$7001,F926,'Estadísticas Jugadores'!$I$2:$I$7001))</f>
        <v/>
      </c>
      <c r="I926" s="4" t="str">
        <f t="shared" si="73"/>
        <v/>
      </c>
      <c r="J926" s="4" t="str">
        <f t="shared" si="74"/>
        <v/>
      </c>
    </row>
    <row r="927" spans="1:10" ht="15" customHeight="1" x14ac:dyDescent="0.25">
      <c r="A927" s="8" t="str">
        <f>IF(COUNT($J$2:$J$1501)&gt;=926,926,"")</f>
        <v/>
      </c>
      <c r="B927" s="8" t="str">
        <f t="shared" si="70"/>
        <v/>
      </c>
      <c r="C927" s="8" t="str">
        <f t="shared" si="71"/>
        <v/>
      </c>
      <c r="D927" s="8" t="str">
        <f t="shared" si="72"/>
        <v/>
      </c>
      <c r="F927" s="4" t="str">
        <f>IF(Jugadores!B927="","",Jugadores!B927)</f>
        <v/>
      </c>
      <c r="G927" s="4" t="str">
        <f>IF(Jugadores!B927="","",Jugadores!A927)</f>
        <v/>
      </c>
      <c r="H927" s="4" t="str">
        <f>IF(F927="","",SUMIF('Estadísticas Jugadores'!$F$2:$F$7001,F927,'Estadísticas Jugadores'!$I$2:$I$7001))</f>
        <v/>
      </c>
      <c r="I927" s="4" t="str">
        <f t="shared" si="73"/>
        <v/>
      </c>
      <c r="J927" s="4" t="str">
        <f t="shared" si="74"/>
        <v/>
      </c>
    </row>
    <row r="928" spans="1:10" ht="15" customHeight="1" x14ac:dyDescent="0.25">
      <c r="A928" s="8" t="str">
        <f>IF(COUNT($J$2:$J$1501)&gt;=927,927,"")</f>
        <v/>
      </c>
      <c r="B928" s="8" t="str">
        <f t="shared" si="70"/>
        <v/>
      </c>
      <c r="C928" s="8" t="str">
        <f t="shared" si="71"/>
        <v/>
      </c>
      <c r="D928" s="8" t="str">
        <f t="shared" si="72"/>
        <v/>
      </c>
      <c r="F928" s="4" t="str">
        <f>IF(Jugadores!B928="","",Jugadores!B928)</f>
        <v/>
      </c>
      <c r="G928" s="4" t="str">
        <f>IF(Jugadores!B928="","",Jugadores!A928)</f>
        <v/>
      </c>
      <c r="H928" s="4" t="str">
        <f>IF(F928="","",SUMIF('Estadísticas Jugadores'!$F$2:$F$7001,F928,'Estadísticas Jugadores'!$I$2:$I$7001))</f>
        <v/>
      </c>
      <c r="I928" s="4" t="str">
        <f t="shared" si="73"/>
        <v/>
      </c>
      <c r="J928" s="4" t="str">
        <f t="shared" si="74"/>
        <v/>
      </c>
    </row>
    <row r="929" spans="1:10" ht="15" customHeight="1" x14ac:dyDescent="0.25">
      <c r="A929" s="8" t="str">
        <f>IF(COUNT($J$2:$J$1501)&gt;=928,928,"")</f>
        <v/>
      </c>
      <c r="B929" s="8" t="str">
        <f t="shared" si="70"/>
        <v/>
      </c>
      <c r="C929" s="8" t="str">
        <f t="shared" si="71"/>
        <v/>
      </c>
      <c r="D929" s="8" t="str">
        <f t="shared" si="72"/>
        <v/>
      </c>
      <c r="F929" s="4" t="str">
        <f>IF(Jugadores!B929="","",Jugadores!B929)</f>
        <v/>
      </c>
      <c r="G929" s="4" t="str">
        <f>IF(Jugadores!B929="","",Jugadores!A929)</f>
        <v/>
      </c>
      <c r="H929" s="4" t="str">
        <f>IF(F929="","",SUMIF('Estadísticas Jugadores'!$F$2:$F$7001,F929,'Estadísticas Jugadores'!$I$2:$I$7001))</f>
        <v/>
      </c>
      <c r="I929" s="4" t="str">
        <f t="shared" si="73"/>
        <v/>
      </c>
      <c r="J929" s="4" t="str">
        <f t="shared" si="74"/>
        <v/>
      </c>
    </row>
    <row r="930" spans="1:10" ht="15" customHeight="1" x14ac:dyDescent="0.25">
      <c r="A930" s="8" t="str">
        <f>IF(COUNT($J$2:$J$1501)&gt;=929,929,"")</f>
        <v/>
      </c>
      <c r="B930" s="8" t="str">
        <f t="shared" si="70"/>
        <v/>
      </c>
      <c r="C930" s="8" t="str">
        <f t="shared" si="71"/>
        <v/>
      </c>
      <c r="D930" s="8" t="str">
        <f t="shared" si="72"/>
        <v/>
      </c>
      <c r="F930" s="4" t="str">
        <f>IF(Jugadores!B930="","",Jugadores!B930)</f>
        <v/>
      </c>
      <c r="G930" s="4" t="str">
        <f>IF(Jugadores!B930="","",Jugadores!A930)</f>
        <v/>
      </c>
      <c r="H930" s="4" t="str">
        <f>IF(F930="","",SUMIF('Estadísticas Jugadores'!$F$2:$F$7001,F930,'Estadísticas Jugadores'!$I$2:$I$7001))</f>
        <v/>
      </c>
      <c r="I930" s="4" t="str">
        <f t="shared" si="73"/>
        <v/>
      </c>
      <c r="J930" s="4" t="str">
        <f t="shared" si="74"/>
        <v/>
      </c>
    </row>
    <row r="931" spans="1:10" ht="15" customHeight="1" x14ac:dyDescent="0.25">
      <c r="A931" s="8" t="str">
        <f>IF(COUNT($J$2:$J$1501)&gt;=930,930,"")</f>
        <v/>
      </c>
      <c r="B931" s="8" t="str">
        <f t="shared" si="70"/>
        <v/>
      </c>
      <c r="C931" s="8" t="str">
        <f t="shared" si="71"/>
        <v/>
      </c>
      <c r="D931" s="8" t="str">
        <f t="shared" si="72"/>
        <v/>
      </c>
      <c r="F931" s="4" t="str">
        <f>IF(Jugadores!B931="","",Jugadores!B931)</f>
        <v/>
      </c>
      <c r="G931" s="4" t="str">
        <f>IF(Jugadores!B931="","",Jugadores!A931)</f>
        <v/>
      </c>
      <c r="H931" s="4" t="str">
        <f>IF(F931="","",SUMIF('Estadísticas Jugadores'!$F$2:$F$7001,F931,'Estadísticas Jugadores'!$I$2:$I$7001))</f>
        <v/>
      </c>
      <c r="I931" s="4" t="str">
        <f t="shared" si="73"/>
        <v/>
      </c>
      <c r="J931" s="4" t="str">
        <f t="shared" si="74"/>
        <v/>
      </c>
    </row>
    <row r="932" spans="1:10" ht="15" customHeight="1" x14ac:dyDescent="0.25">
      <c r="A932" s="8" t="str">
        <f>IF(COUNT($J$2:$J$1501)&gt;=931,931,"")</f>
        <v/>
      </c>
      <c r="B932" s="8" t="str">
        <f t="shared" si="70"/>
        <v/>
      </c>
      <c r="C932" s="8" t="str">
        <f t="shared" si="71"/>
        <v/>
      </c>
      <c r="D932" s="8" t="str">
        <f t="shared" si="72"/>
        <v/>
      </c>
      <c r="F932" s="4" t="str">
        <f>IF(Jugadores!B932="","",Jugadores!B932)</f>
        <v/>
      </c>
      <c r="G932" s="4" t="str">
        <f>IF(Jugadores!B932="","",Jugadores!A932)</f>
        <v/>
      </c>
      <c r="H932" s="4" t="str">
        <f>IF(F932="","",SUMIF('Estadísticas Jugadores'!$F$2:$F$7001,F932,'Estadísticas Jugadores'!$I$2:$I$7001))</f>
        <v/>
      </c>
      <c r="I932" s="4" t="str">
        <f t="shared" si="73"/>
        <v/>
      </c>
      <c r="J932" s="4" t="str">
        <f t="shared" si="74"/>
        <v/>
      </c>
    </row>
    <row r="933" spans="1:10" ht="15" customHeight="1" x14ac:dyDescent="0.25">
      <c r="A933" s="8" t="str">
        <f>IF(COUNT($J$2:$J$1501)&gt;=932,932,"")</f>
        <v/>
      </c>
      <c r="B933" s="8" t="str">
        <f t="shared" si="70"/>
        <v/>
      </c>
      <c r="C933" s="8" t="str">
        <f t="shared" si="71"/>
        <v/>
      </c>
      <c r="D933" s="8" t="str">
        <f t="shared" si="72"/>
        <v/>
      </c>
      <c r="F933" s="4" t="str">
        <f>IF(Jugadores!B933="","",Jugadores!B933)</f>
        <v/>
      </c>
      <c r="G933" s="4" t="str">
        <f>IF(Jugadores!B933="","",Jugadores!A933)</f>
        <v/>
      </c>
      <c r="H933" s="4" t="str">
        <f>IF(F933="","",SUMIF('Estadísticas Jugadores'!$F$2:$F$7001,F933,'Estadísticas Jugadores'!$I$2:$I$7001))</f>
        <v/>
      </c>
      <c r="I933" s="4" t="str">
        <f t="shared" si="73"/>
        <v/>
      </c>
      <c r="J933" s="4" t="str">
        <f t="shared" si="74"/>
        <v/>
      </c>
    </row>
    <row r="934" spans="1:10" ht="15" customHeight="1" x14ac:dyDescent="0.25">
      <c r="A934" s="8" t="str">
        <f>IF(COUNT($J$2:$J$1501)&gt;=933,933,"")</f>
        <v/>
      </c>
      <c r="B934" s="8" t="str">
        <f t="shared" si="70"/>
        <v/>
      </c>
      <c r="C934" s="8" t="str">
        <f t="shared" si="71"/>
        <v/>
      </c>
      <c r="D934" s="8" t="str">
        <f t="shared" si="72"/>
        <v/>
      </c>
      <c r="F934" s="4" t="str">
        <f>IF(Jugadores!B934="","",Jugadores!B934)</f>
        <v/>
      </c>
      <c r="G934" s="4" t="str">
        <f>IF(Jugadores!B934="","",Jugadores!A934)</f>
        <v/>
      </c>
      <c r="H934" s="4" t="str">
        <f>IF(F934="","",SUMIF('Estadísticas Jugadores'!$F$2:$F$7001,F934,'Estadísticas Jugadores'!$I$2:$I$7001))</f>
        <v/>
      </c>
      <c r="I934" s="4" t="str">
        <f t="shared" si="73"/>
        <v/>
      </c>
      <c r="J934" s="4" t="str">
        <f t="shared" si="74"/>
        <v/>
      </c>
    </row>
    <row r="935" spans="1:10" ht="15" customHeight="1" x14ac:dyDescent="0.25">
      <c r="A935" s="8" t="str">
        <f>IF(COUNT($J$2:$J$1501)&gt;=934,934,"")</f>
        <v/>
      </c>
      <c r="B935" s="8" t="str">
        <f t="shared" si="70"/>
        <v/>
      </c>
      <c r="C935" s="8" t="str">
        <f t="shared" si="71"/>
        <v/>
      </c>
      <c r="D935" s="8" t="str">
        <f t="shared" si="72"/>
        <v/>
      </c>
      <c r="F935" s="4" t="str">
        <f>IF(Jugadores!B935="","",Jugadores!B935)</f>
        <v/>
      </c>
      <c r="G935" s="4" t="str">
        <f>IF(Jugadores!B935="","",Jugadores!A935)</f>
        <v/>
      </c>
      <c r="H935" s="4" t="str">
        <f>IF(F935="","",SUMIF('Estadísticas Jugadores'!$F$2:$F$7001,F935,'Estadísticas Jugadores'!$I$2:$I$7001))</f>
        <v/>
      </c>
      <c r="I935" s="4" t="str">
        <f t="shared" si="73"/>
        <v/>
      </c>
      <c r="J935" s="4" t="str">
        <f t="shared" si="74"/>
        <v/>
      </c>
    </row>
    <row r="936" spans="1:10" ht="15" customHeight="1" x14ac:dyDescent="0.25">
      <c r="A936" s="8" t="str">
        <f>IF(COUNT($J$2:$J$1501)&gt;=935,935,"")</f>
        <v/>
      </c>
      <c r="B936" s="8" t="str">
        <f t="shared" si="70"/>
        <v/>
      </c>
      <c r="C936" s="8" t="str">
        <f t="shared" si="71"/>
        <v/>
      </c>
      <c r="D936" s="8" t="str">
        <f t="shared" si="72"/>
        <v/>
      </c>
      <c r="F936" s="4" t="str">
        <f>IF(Jugadores!B936="","",Jugadores!B936)</f>
        <v/>
      </c>
      <c r="G936" s="4" t="str">
        <f>IF(Jugadores!B936="","",Jugadores!A936)</f>
        <v/>
      </c>
      <c r="H936" s="4" t="str">
        <f>IF(F936="","",SUMIF('Estadísticas Jugadores'!$F$2:$F$7001,F936,'Estadísticas Jugadores'!$I$2:$I$7001))</f>
        <v/>
      </c>
      <c r="I936" s="4" t="str">
        <f t="shared" si="73"/>
        <v/>
      </c>
      <c r="J936" s="4" t="str">
        <f t="shared" si="74"/>
        <v/>
      </c>
    </row>
    <row r="937" spans="1:10" ht="15" customHeight="1" x14ac:dyDescent="0.25">
      <c r="A937" s="8" t="str">
        <f>IF(COUNT($J$2:$J$1501)&gt;=936,936,"")</f>
        <v/>
      </c>
      <c r="B937" s="8" t="str">
        <f t="shared" si="70"/>
        <v/>
      </c>
      <c r="C937" s="8" t="str">
        <f t="shared" si="71"/>
        <v/>
      </c>
      <c r="D937" s="8" t="str">
        <f t="shared" si="72"/>
        <v/>
      </c>
      <c r="F937" s="4" t="str">
        <f>IF(Jugadores!B937="","",Jugadores!B937)</f>
        <v/>
      </c>
      <c r="G937" s="4" t="str">
        <f>IF(Jugadores!B937="","",Jugadores!A937)</f>
        <v/>
      </c>
      <c r="H937" s="4" t="str">
        <f>IF(F937="","",SUMIF('Estadísticas Jugadores'!$F$2:$F$7001,F937,'Estadísticas Jugadores'!$I$2:$I$7001))</f>
        <v/>
      </c>
      <c r="I937" s="4" t="str">
        <f t="shared" si="73"/>
        <v/>
      </c>
      <c r="J937" s="4" t="str">
        <f t="shared" si="74"/>
        <v/>
      </c>
    </row>
    <row r="938" spans="1:10" ht="15" customHeight="1" x14ac:dyDescent="0.25">
      <c r="A938" s="8" t="str">
        <f>IF(COUNT($J$2:$J$1501)&gt;=937,937,"")</f>
        <v/>
      </c>
      <c r="B938" s="8" t="str">
        <f t="shared" si="70"/>
        <v/>
      </c>
      <c r="C938" s="8" t="str">
        <f t="shared" si="71"/>
        <v/>
      </c>
      <c r="D938" s="8" t="str">
        <f t="shared" si="72"/>
        <v/>
      </c>
      <c r="F938" s="4" t="str">
        <f>IF(Jugadores!B938="","",Jugadores!B938)</f>
        <v/>
      </c>
      <c r="G938" s="4" t="str">
        <f>IF(Jugadores!B938="","",Jugadores!A938)</f>
        <v/>
      </c>
      <c r="H938" s="4" t="str">
        <f>IF(F938="","",SUMIF('Estadísticas Jugadores'!$F$2:$F$7001,F938,'Estadísticas Jugadores'!$I$2:$I$7001))</f>
        <v/>
      </c>
      <c r="I938" s="4" t="str">
        <f t="shared" si="73"/>
        <v/>
      </c>
      <c r="J938" s="4" t="str">
        <f t="shared" si="74"/>
        <v/>
      </c>
    </row>
    <row r="939" spans="1:10" ht="15" customHeight="1" x14ac:dyDescent="0.25">
      <c r="A939" s="8" t="str">
        <f>IF(COUNT($J$2:$J$1501)&gt;=938,938,"")</f>
        <v/>
      </c>
      <c r="B939" s="8" t="str">
        <f t="shared" si="70"/>
        <v/>
      </c>
      <c r="C939" s="8" t="str">
        <f t="shared" si="71"/>
        <v/>
      </c>
      <c r="D939" s="8" t="str">
        <f t="shared" si="72"/>
        <v/>
      </c>
      <c r="F939" s="4" t="str">
        <f>IF(Jugadores!B939="","",Jugadores!B939)</f>
        <v/>
      </c>
      <c r="G939" s="4" t="str">
        <f>IF(Jugadores!B939="","",Jugadores!A939)</f>
        <v/>
      </c>
      <c r="H939" s="4" t="str">
        <f>IF(F939="","",SUMIF('Estadísticas Jugadores'!$F$2:$F$7001,F939,'Estadísticas Jugadores'!$I$2:$I$7001))</f>
        <v/>
      </c>
      <c r="I939" s="4" t="str">
        <f t="shared" si="73"/>
        <v/>
      </c>
      <c r="J939" s="4" t="str">
        <f t="shared" si="74"/>
        <v/>
      </c>
    </row>
    <row r="940" spans="1:10" ht="15" customHeight="1" x14ac:dyDescent="0.25">
      <c r="A940" s="8" t="str">
        <f>IF(COUNT($J$2:$J$1501)&gt;=939,939,"")</f>
        <v/>
      </c>
      <c r="B940" s="8" t="str">
        <f t="shared" si="70"/>
        <v/>
      </c>
      <c r="C940" s="8" t="str">
        <f t="shared" si="71"/>
        <v/>
      </c>
      <c r="D940" s="8" t="str">
        <f t="shared" si="72"/>
        <v/>
      </c>
      <c r="F940" s="4" t="str">
        <f>IF(Jugadores!B940="","",Jugadores!B940)</f>
        <v/>
      </c>
      <c r="G940" s="4" t="str">
        <f>IF(Jugadores!B940="","",Jugadores!A940)</f>
        <v/>
      </c>
      <c r="H940" s="4" t="str">
        <f>IF(F940="","",SUMIF('Estadísticas Jugadores'!$F$2:$F$7001,F940,'Estadísticas Jugadores'!$I$2:$I$7001))</f>
        <v/>
      </c>
      <c r="I940" s="4" t="str">
        <f t="shared" si="73"/>
        <v/>
      </c>
      <c r="J940" s="4" t="str">
        <f t="shared" si="74"/>
        <v/>
      </c>
    </row>
    <row r="941" spans="1:10" ht="15" customHeight="1" x14ac:dyDescent="0.25">
      <c r="A941" s="8" t="str">
        <f>IF(COUNT($J$2:$J$1501)&gt;=940,940,"")</f>
        <v/>
      </c>
      <c r="B941" s="8" t="str">
        <f t="shared" si="70"/>
        <v/>
      </c>
      <c r="C941" s="8" t="str">
        <f t="shared" si="71"/>
        <v/>
      </c>
      <c r="D941" s="8" t="str">
        <f t="shared" si="72"/>
        <v/>
      </c>
      <c r="F941" s="4" t="str">
        <f>IF(Jugadores!B941="","",Jugadores!B941)</f>
        <v/>
      </c>
      <c r="G941" s="4" t="str">
        <f>IF(Jugadores!B941="","",Jugadores!A941)</f>
        <v/>
      </c>
      <c r="H941" s="4" t="str">
        <f>IF(F941="","",SUMIF('Estadísticas Jugadores'!$F$2:$F$7001,F941,'Estadísticas Jugadores'!$I$2:$I$7001))</f>
        <v/>
      </c>
      <c r="I941" s="4" t="str">
        <f t="shared" si="73"/>
        <v/>
      </c>
      <c r="J941" s="4" t="str">
        <f t="shared" si="74"/>
        <v/>
      </c>
    </row>
    <row r="942" spans="1:10" ht="15" customHeight="1" x14ac:dyDescent="0.25">
      <c r="A942" s="8" t="str">
        <f>IF(COUNT($J$2:$J$1501)&gt;=941,941,"")</f>
        <v/>
      </c>
      <c r="B942" s="8" t="str">
        <f t="shared" si="70"/>
        <v/>
      </c>
      <c r="C942" s="8" t="str">
        <f t="shared" si="71"/>
        <v/>
      </c>
      <c r="D942" s="8" t="str">
        <f t="shared" si="72"/>
        <v/>
      </c>
      <c r="F942" s="4" t="str">
        <f>IF(Jugadores!B942="","",Jugadores!B942)</f>
        <v/>
      </c>
      <c r="G942" s="4" t="str">
        <f>IF(Jugadores!B942="","",Jugadores!A942)</f>
        <v/>
      </c>
      <c r="H942" s="4" t="str">
        <f>IF(F942="","",SUMIF('Estadísticas Jugadores'!$F$2:$F$7001,F942,'Estadísticas Jugadores'!$I$2:$I$7001))</f>
        <v/>
      </c>
      <c r="I942" s="4" t="str">
        <f t="shared" si="73"/>
        <v/>
      </c>
      <c r="J942" s="4" t="str">
        <f t="shared" si="74"/>
        <v/>
      </c>
    </row>
    <row r="943" spans="1:10" ht="15" customHeight="1" x14ac:dyDescent="0.25">
      <c r="A943" s="8" t="str">
        <f>IF(COUNT($J$2:$J$1501)&gt;=942,942,"")</f>
        <v/>
      </c>
      <c r="B943" s="8" t="str">
        <f t="shared" si="70"/>
        <v/>
      </c>
      <c r="C943" s="8" t="str">
        <f t="shared" si="71"/>
        <v/>
      </c>
      <c r="D943" s="8" t="str">
        <f t="shared" si="72"/>
        <v/>
      </c>
      <c r="F943" s="4" t="str">
        <f>IF(Jugadores!B943="","",Jugadores!B943)</f>
        <v/>
      </c>
      <c r="G943" s="4" t="str">
        <f>IF(Jugadores!B943="","",Jugadores!A943)</f>
        <v/>
      </c>
      <c r="H943" s="4" t="str">
        <f>IF(F943="","",SUMIF('Estadísticas Jugadores'!$F$2:$F$7001,F943,'Estadísticas Jugadores'!$I$2:$I$7001))</f>
        <v/>
      </c>
      <c r="I943" s="4" t="str">
        <f t="shared" si="73"/>
        <v/>
      </c>
      <c r="J943" s="4" t="str">
        <f t="shared" si="74"/>
        <v/>
      </c>
    </row>
    <row r="944" spans="1:10" ht="15" customHeight="1" x14ac:dyDescent="0.25">
      <c r="A944" s="8" t="str">
        <f>IF(COUNT($J$2:$J$1501)&gt;=943,943,"")</f>
        <v/>
      </c>
      <c r="B944" s="8" t="str">
        <f t="shared" si="70"/>
        <v/>
      </c>
      <c r="C944" s="8" t="str">
        <f t="shared" si="71"/>
        <v/>
      </c>
      <c r="D944" s="8" t="str">
        <f t="shared" si="72"/>
        <v/>
      </c>
      <c r="F944" s="4" t="str">
        <f>IF(Jugadores!B944="","",Jugadores!B944)</f>
        <v/>
      </c>
      <c r="G944" s="4" t="str">
        <f>IF(Jugadores!B944="","",Jugadores!A944)</f>
        <v/>
      </c>
      <c r="H944" s="4" t="str">
        <f>IF(F944="","",SUMIF('Estadísticas Jugadores'!$F$2:$F$7001,F944,'Estadísticas Jugadores'!$I$2:$I$7001))</f>
        <v/>
      </c>
      <c r="I944" s="4" t="str">
        <f t="shared" si="73"/>
        <v/>
      </c>
      <c r="J944" s="4" t="str">
        <f t="shared" si="74"/>
        <v/>
      </c>
    </row>
    <row r="945" spans="1:10" ht="15" customHeight="1" x14ac:dyDescent="0.25">
      <c r="A945" s="8" t="str">
        <f>IF(COUNT($J$2:$J$1501)&gt;=944,944,"")</f>
        <v/>
      </c>
      <c r="B945" s="8" t="str">
        <f t="shared" si="70"/>
        <v/>
      </c>
      <c r="C945" s="8" t="str">
        <f t="shared" si="71"/>
        <v/>
      </c>
      <c r="D945" s="8" t="str">
        <f t="shared" si="72"/>
        <v/>
      </c>
      <c r="F945" s="4" t="str">
        <f>IF(Jugadores!B945="","",Jugadores!B945)</f>
        <v/>
      </c>
      <c r="G945" s="4" t="str">
        <f>IF(Jugadores!B945="","",Jugadores!A945)</f>
        <v/>
      </c>
      <c r="H945" s="4" t="str">
        <f>IF(F945="","",SUMIF('Estadísticas Jugadores'!$F$2:$F$7001,F945,'Estadísticas Jugadores'!$I$2:$I$7001))</f>
        <v/>
      </c>
      <c r="I945" s="4" t="str">
        <f t="shared" si="73"/>
        <v/>
      </c>
      <c r="J945" s="4" t="str">
        <f t="shared" si="74"/>
        <v/>
      </c>
    </row>
    <row r="946" spans="1:10" ht="15" customHeight="1" x14ac:dyDescent="0.25">
      <c r="A946" s="8" t="str">
        <f>IF(COUNT($J$2:$J$1501)&gt;=945,945,"")</f>
        <v/>
      </c>
      <c r="B946" s="8" t="str">
        <f t="shared" si="70"/>
        <v/>
      </c>
      <c r="C946" s="8" t="str">
        <f t="shared" si="71"/>
        <v/>
      </c>
      <c r="D946" s="8" t="str">
        <f t="shared" si="72"/>
        <v/>
      </c>
      <c r="F946" s="4" t="str">
        <f>IF(Jugadores!B946="","",Jugadores!B946)</f>
        <v/>
      </c>
      <c r="G946" s="4" t="str">
        <f>IF(Jugadores!B946="","",Jugadores!A946)</f>
        <v/>
      </c>
      <c r="H946" s="4" t="str">
        <f>IF(F946="","",SUMIF('Estadísticas Jugadores'!$F$2:$F$7001,F946,'Estadísticas Jugadores'!$I$2:$I$7001))</f>
        <v/>
      </c>
      <c r="I946" s="4" t="str">
        <f t="shared" si="73"/>
        <v/>
      </c>
      <c r="J946" s="4" t="str">
        <f t="shared" si="74"/>
        <v/>
      </c>
    </row>
    <row r="947" spans="1:10" ht="15" customHeight="1" x14ac:dyDescent="0.25">
      <c r="A947" s="8" t="str">
        <f>IF(COUNT($J$2:$J$1501)&gt;=946,946,"")</f>
        <v/>
      </c>
      <c r="B947" s="8" t="str">
        <f t="shared" si="70"/>
        <v/>
      </c>
      <c r="C947" s="8" t="str">
        <f t="shared" si="71"/>
        <v/>
      </c>
      <c r="D947" s="8" t="str">
        <f t="shared" si="72"/>
        <v/>
      </c>
      <c r="F947" s="4" t="str">
        <f>IF(Jugadores!B947="","",Jugadores!B947)</f>
        <v/>
      </c>
      <c r="G947" s="4" t="str">
        <f>IF(Jugadores!B947="","",Jugadores!A947)</f>
        <v/>
      </c>
      <c r="H947" s="4" t="str">
        <f>IF(F947="","",SUMIF('Estadísticas Jugadores'!$F$2:$F$7001,F947,'Estadísticas Jugadores'!$I$2:$I$7001))</f>
        <v/>
      </c>
      <c r="I947" s="4" t="str">
        <f t="shared" si="73"/>
        <v/>
      </c>
      <c r="J947" s="4" t="str">
        <f t="shared" si="74"/>
        <v/>
      </c>
    </row>
    <row r="948" spans="1:10" ht="15" customHeight="1" x14ac:dyDescent="0.25">
      <c r="A948" s="8" t="str">
        <f>IF(COUNT($J$2:$J$1501)&gt;=947,947,"")</f>
        <v/>
      </c>
      <c r="B948" s="8" t="str">
        <f t="shared" si="70"/>
        <v/>
      </c>
      <c r="C948" s="8" t="str">
        <f t="shared" si="71"/>
        <v/>
      </c>
      <c r="D948" s="8" t="str">
        <f t="shared" si="72"/>
        <v/>
      </c>
      <c r="F948" s="4" t="str">
        <f>IF(Jugadores!B948="","",Jugadores!B948)</f>
        <v/>
      </c>
      <c r="G948" s="4" t="str">
        <f>IF(Jugadores!B948="","",Jugadores!A948)</f>
        <v/>
      </c>
      <c r="H948" s="4" t="str">
        <f>IF(F948="","",SUMIF('Estadísticas Jugadores'!$F$2:$F$7001,F948,'Estadísticas Jugadores'!$I$2:$I$7001))</f>
        <v/>
      </c>
      <c r="I948" s="4" t="str">
        <f t="shared" si="73"/>
        <v/>
      </c>
      <c r="J948" s="4" t="str">
        <f t="shared" si="74"/>
        <v/>
      </c>
    </row>
    <row r="949" spans="1:10" ht="15" customHeight="1" x14ac:dyDescent="0.25">
      <c r="A949" s="8" t="str">
        <f>IF(COUNT($J$2:$J$1501)&gt;=948,948,"")</f>
        <v/>
      </c>
      <c r="B949" s="8" t="str">
        <f t="shared" si="70"/>
        <v/>
      </c>
      <c r="C949" s="8" t="str">
        <f t="shared" si="71"/>
        <v/>
      </c>
      <c r="D949" s="8" t="str">
        <f t="shared" si="72"/>
        <v/>
      </c>
      <c r="F949" s="4" t="str">
        <f>IF(Jugadores!B949="","",Jugadores!B949)</f>
        <v/>
      </c>
      <c r="G949" s="4" t="str">
        <f>IF(Jugadores!B949="","",Jugadores!A949)</f>
        <v/>
      </c>
      <c r="H949" s="4" t="str">
        <f>IF(F949="","",SUMIF('Estadísticas Jugadores'!$F$2:$F$7001,F949,'Estadísticas Jugadores'!$I$2:$I$7001))</f>
        <v/>
      </c>
      <c r="I949" s="4" t="str">
        <f t="shared" si="73"/>
        <v/>
      </c>
      <c r="J949" s="4" t="str">
        <f t="shared" si="74"/>
        <v/>
      </c>
    </row>
    <row r="950" spans="1:10" ht="15" customHeight="1" x14ac:dyDescent="0.25">
      <c r="A950" s="8" t="str">
        <f>IF(COUNT($J$2:$J$1501)&gt;=949,949,"")</f>
        <v/>
      </c>
      <c r="B950" s="8" t="str">
        <f t="shared" si="70"/>
        <v/>
      </c>
      <c r="C950" s="8" t="str">
        <f t="shared" si="71"/>
        <v/>
      </c>
      <c r="D950" s="8" t="str">
        <f t="shared" si="72"/>
        <v/>
      </c>
      <c r="F950" s="4" t="str">
        <f>IF(Jugadores!B950="","",Jugadores!B950)</f>
        <v/>
      </c>
      <c r="G950" s="4" t="str">
        <f>IF(Jugadores!B950="","",Jugadores!A950)</f>
        <v/>
      </c>
      <c r="H950" s="4" t="str">
        <f>IF(F950="","",SUMIF('Estadísticas Jugadores'!$F$2:$F$7001,F950,'Estadísticas Jugadores'!$I$2:$I$7001))</f>
        <v/>
      </c>
      <c r="I950" s="4" t="str">
        <f t="shared" si="73"/>
        <v/>
      </c>
      <c r="J950" s="4" t="str">
        <f t="shared" si="74"/>
        <v/>
      </c>
    </row>
    <row r="951" spans="1:10" ht="15" customHeight="1" x14ac:dyDescent="0.25">
      <c r="A951" s="8" t="str">
        <f>IF(COUNT($J$2:$J$1501)&gt;=950,950,"")</f>
        <v/>
      </c>
      <c r="B951" s="8" t="str">
        <f t="shared" si="70"/>
        <v/>
      </c>
      <c r="C951" s="8" t="str">
        <f t="shared" si="71"/>
        <v/>
      </c>
      <c r="D951" s="8" t="str">
        <f t="shared" si="72"/>
        <v/>
      </c>
      <c r="F951" s="4" t="str">
        <f>IF(Jugadores!B951="","",Jugadores!B951)</f>
        <v/>
      </c>
      <c r="G951" s="4" t="str">
        <f>IF(Jugadores!B951="","",Jugadores!A951)</f>
        <v/>
      </c>
      <c r="H951" s="4" t="str">
        <f>IF(F951="","",SUMIF('Estadísticas Jugadores'!$F$2:$F$7001,F951,'Estadísticas Jugadores'!$I$2:$I$7001))</f>
        <v/>
      </c>
      <c r="I951" s="4" t="str">
        <f t="shared" si="73"/>
        <v/>
      </c>
      <c r="J951" s="4" t="str">
        <f t="shared" si="74"/>
        <v/>
      </c>
    </row>
    <row r="952" spans="1:10" ht="15" customHeight="1" x14ac:dyDescent="0.25">
      <c r="A952" s="8" t="str">
        <f>IF(COUNT($J$2:$J$1501)&gt;=951,951,"")</f>
        <v/>
      </c>
      <c r="B952" s="8" t="str">
        <f t="shared" si="70"/>
        <v/>
      </c>
      <c r="C952" s="8" t="str">
        <f t="shared" si="71"/>
        <v/>
      </c>
      <c r="D952" s="8" t="str">
        <f t="shared" si="72"/>
        <v/>
      </c>
      <c r="F952" s="4" t="str">
        <f>IF(Jugadores!B952="","",Jugadores!B952)</f>
        <v/>
      </c>
      <c r="G952" s="4" t="str">
        <f>IF(Jugadores!B952="","",Jugadores!A952)</f>
        <v/>
      </c>
      <c r="H952" s="4" t="str">
        <f>IF(F952="","",SUMIF('Estadísticas Jugadores'!$F$2:$F$7001,F952,'Estadísticas Jugadores'!$I$2:$I$7001))</f>
        <v/>
      </c>
      <c r="I952" s="4" t="str">
        <f t="shared" si="73"/>
        <v/>
      </c>
      <c r="J952" s="4" t="str">
        <f t="shared" si="74"/>
        <v/>
      </c>
    </row>
    <row r="953" spans="1:10" ht="15" customHeight="1" x14ac:dyDescent="0.25">
      <c r="A953" s="8" t="str">
        <f>IF(COUNT($J$2:$J$1501)&gt;=952,952,"")</f>
        <v/>
      </c>
      <c r="B953" s="8" t="str">
        <f t="shared" si="70"/>
        <v/>
      </c>
      <c r="C953" s="8" t="str">
        <f t="shared" si="71"/>
        <v/>
      </c>
      <c r="D953" s="8" t="str">
        <f t="shared" si="72"/>
        <v/>
      </c>
      <c r="F953" s="4" t="str">
        <f>IF(Jugadores!B953="","",Jugadores!B953)</f>
        <v/>
      </c>
      <c r="G953" s="4" t="str">
        <f>IF(Jugadores!B953="","",Jugadores!A953)</f>
        <v/>
      </c>
      <c r="H953" s="4" t="str">
        <f>IF(F953="","",SUMIF('Estadísticas Jugadores'!$F$2:$F$7001,F953,'Estadísticas Jugadores'!$I$2:$I$7001))</f>
        <v/>
      </c>
      <c r="I953" s="4" t="str">
        <f t="shared" si="73"/>
        <v/>
      </c>
      <c r="J953" s="4" t="str">
        <f t="shared" si="74"/>
        <v/>
      </c>
    </row>
    <row r="954" spans="1:10" ht="15" customHeight="1" x14ac:dyDescent="0.25">
      <c r="A954" s="8" t="str">
        <f>IF(COUNT($J$2:$J$1501)&gt;=953,953,"")</f>
        <v/>
      </c>
      <c r="B954" s="8" t="str">
        <f t="shared" si="70"/>
        <v/>
      </c>
      <c r="C954" s="8" t="str">
        <f t="shared" si="71"/>
        <v/>
      </c>
      <c r="D954" s="8" t="str">
        <f t="shared" si="72"/>
        <v/>
      </c>
      <c r="F954" s="4" t="str">
        <f>IF(Jugadores!B954="","",Jugadores!B954)</f>
        <v/>
      </c>
      <c r="G954" s="4" t="str">
        <f>IF(Jugadores!B954="","",Jugadores!A954)</f>
        <v/>
      </c>
      <c r="H954" s="4" t="str">
        <f>IF(F954="","",SUMIF('Estadísticas Jugadores'!$F$2:$F$7001,F954,'Estadísticas Jugadores'!$I$2:$I$7001))</f>
        <v/>
      </c>
      <c r="I954" s="4" t="str">
        <f t="shared" si="73"/>
        <v/>
      </c>
      <c r="J954" s="4" t="str">
        <f t="shared" si="74"/>
        <v/>
      </c>
    </row>
    <row r="955" spans="1:10" ht="15" customHeight="1" x14ac:dyDescent="0.25">
      <c r="A955" s="8" t="str">
        <f>IF(COUNT($J$2:$J$1501)&gt;=954,954,"")</f>
        <v/>
      </c>
      <c r="B955" s="8" t="str">
        <f t="shared" si="70"/>
        <v/>
      </c>
      <c r="C955" s="8" t="str">
        <f t="shared" si="71"/>
        <v/>
      </c>
      <c r="D955" s="8" t="str">
        <f t="shared" si="72"/>
        <v/>
      </c>
      <c r="F955" s="4" t="str">
        <f>IF(Jugadores!B955="","",Jugadores!B955)</f>
        <v/>
      </c>
      <c r="G955" s="4" t="str">
        <f>IF(Jugadores!B955="","",Jugadores!A955)</f>
        <v/>
      </c>
      <c r="H955" s="4" t="str">
        <f>IF(F955="","",SUMIF('Estadísticas Jugadores'!$F$2:$F$7001,F955,'Estadísticas Jugadores'!$I$2:$I$7001))</f>
        <v/>
      </c>
      <c r="I955" s="4" t="str">
        <f t="shared" si="73"/>
        <v/>
      </c>
      <c r="J955" s="4" t="str">
        <f t="shared" si="74"/>
        <v/>
      </c>
    </row>
    <row r="956" spans="1:10" ht="15" customHeight="1" x14ac:dyDescent="0.25">
      <c r="A956" s="8" t="str">
        <f>IF(COUNT($J$2:$J$1501)&gt;=955,955,"")</f>
        <v/>
      </c>
      <c r="B956" s="8" t="str">
        <f t="shared" si="70"/>
        <v/>
      </c>
      <c r="C956" s="8" t="str">
        <f t="shared" si="71"/>
        <v/>
      </c>
      <c r="D956" s="8" t="str">
        <f t="shared" si="72"/>
        <v/>
      </c>
      <c r="F956" s="4" t="str">
        <f>IF(Jugadores!B956="","",Jugadores!B956)</f>
        <v/>
      </c>
      <c r="G956" s="4" t="str">
        <f>IF(Jugadores!B956="","",Jugadores!A956)</f>
        <v/>
      </c>
      <c r="H956" s="4" t="str">
        <f>IF(F956="","",SUMIF('Estadísticas Jugadores'!$F$2:$F$7001,F956,'Estadísticas Jugadores'!$I$2:$I$7001))</f>
        <v/>
      </c>
      <c r="I956" s="4" t="str">
        <f t="shared" si="73"/>
        <v/>
      </c>
      <c r="J956" s="4" t="str">
        <f t="shared" si="74"/>
        <v/>
      </c>
    </row>
    <row r="957" spans="1:10" ht="15" customHeight="1" x14ac:dyDescent="0.25">
      <c r="A957" s="8" t="str">
        <f>IF(COUNT($J$2:$J$1501)&gt;=956,956,"")</f>
        <v/>
      </c>
      <c r="B957" s="8" t="str">
        <f t="shared" si="70"/>
        <v/>
      </c>
      <c r="C957" s="8" t="str">
        <f t="shared" si="71"/>
        <v/>
      </c>
      <c r="D957" s="8" t="str">
        <f t="shared" si="72"/>
        <v/>
      </c>
      <c r="F957" s="4" t="str">
        <f>IF(Jugadores!B957="","",Jugadores!B957)</f>
        <v/>
      </c>
      <c r="G957" s="4" t="str">
        <f>IF(Jugadores!B957="","",Jugadores!A957)</f>
        <v/>
      </c>
      <c r="H957" s="4" t="str">
        <f>IF(F957="","",SUMIF('Estadísticas Jugadores'!$F$2:$F$7001,F957,'Estadísticas Jugadores'!$I$2:$I$7001))</f>
        <v/>
      </c>
      <c r="I957" s="4" t="str">
        <f t="shared" si="73"/>
        <v/>
      </c>
      <c r="J957" s="4" t="str">
        <f t="shared" si="74"/>
        <v/>
      </c>
    </row>
    <row r="958" spans="1:10" ht="15" customHeight="1" x14ac:dyDescent="0.25">
      <c r="A958" s="8" t="str">
        <f>IF(COUNT($J$2:$J$1501)&gt;=957,957,"")</f>
        <v/>
      </c>
      <c r="B958" s="8" t="str">
        <f t="shared" si="70"/>
        <v/>
      </c>
      <c r="C958" s="8" t="str">
        <f t="shared" si="71"/>
        <v/>
      </c>
      <c r="D958" s="8" t="str">
        <f t="shared" si="72"/>
        <v/>
      </c>
      <c r="F958" s="4" t="str">
        <f>IF(Jugadores!B958="","",Jugadores!B958)</f>
        <v/>
      </c>
      <c r="G958" s="4" t="str">
        <f>IF(Jugadores!B958="","",Jugadores!A958)</f>
        <v/>
      </c>
      <c r="H958" s="4" t="str">
        <f>IF(F958="","",SUMIF('Estadísticas Jugadores'!$F$2:$F$7001,F958,'Estadísticas Jugadores'!$I$2:$I$7001))</f>
        <v/>
      </c>
      <c r="I958" s="4" t="str">
        <f t="shared" si="73"/>
        <v/>
      </c>
      <c r="J958" s="4" t="str">
        <f t="shared" si="74"/>
        <v/>
      </c>
    </row>
    <row r="959" spans="1:10" ht="15" customHeight="1" x14ac:dyDescent="0.25">
      <c r="A959" s="8" t="str">
        <f>IF(COUNT($J$2:$J$1501)&gt;=958,958,"")</f>
        <v/>
      </c>
      <c r="B959" s="8" t="str">
        <f t="shared" si="70"/>
        <v/>
      </c>
      <c r="C959" s="8" t="str">
        <f t="shared" si="71"/>
        <v/>
      </c>
      <c r="D959" s="8" t="str">
        <f t="shared" si="72"/>
        <v/>
      </c>
      <c r="F959" s="4" t="str">
        <f>IF(Jugadores!B959="","",Jugadores!B959)</f>
        <v/>
      </c>
      <c r="G959" s="4" t="str">
        <f>IF(Jugadores!B959="","",Jugadores!A959)</f>
        <v/>
      </c>
      <c r="H959" s="4" t="str">
        <f>IF(F959="","",SUMIF('Estadísticas Jugadores'!$F$2:$F$7001,F959,'Estadísticas Jugadores'!$I$2:$I$7001))</f>
        <v/>
      </c>
      <c r="I959" s="4" t="str">
        <f t="shared" si="73"/>
        <v/>
      </c>
      <c r="J959" s="4" t="str">
        <f t="shared" si="74"/>
        <v/>
      </c>
    </row>
    <row r="960" spans="1:10" ht="15" customHeight="1" x14ac:dyDescent="0.25">
      <c r="A960" s="8" t="str">
        <f>IF(COUNT($J$2:$J$1501)&gt;=959,959,"")</f>
        <v/>
      </c>
      <c r="B960" s="8" t="str">
        <f t="shared" si="70"/>
        <v/>
      </c>
      <c r="C960" s="8" t="str">
        <f t="shared" si="71"/>
        <v/>
      </c>
      <c r="D960" s="8" t="str">
        <f t="shared" si="72"/>
        <v/>
      </c>
      <c r="F960" s="4" t="str">
        <f>IF(Jugadores!B960="","",Jugadores!B960)</f>
        <v/>
      </c>
      <c r="G960" s="4" t="str">
        <f>IF(Jugadores!B960="","",Jugadores!A960)</f>
        <v/>
      </c>
      <c r="H960" s="4" t="str">
        <f>IF(F960="","",SUMIF('Estadísticas Jugadores'!$F$2:$F$7001,F960,'Estadísticas Jugadores'!$I$2:$I$7001))</f>
        <v/>
      </c>
      <c r="I960" s="4" t="str">
        <f t="shared" si="73"/>
        <v/>
      </c>
      <c r="J960" s="4" t="str">
        <f t="shared" si="74"/>
        <v/>
      </c>
    </row>
    <row r="961" spans="1:10" ht="15" customHeight="1" x14ac:dyDescent="0.25">
      <c r="A961" s="8" t="str">
        <f>IF(COUNT($J$2:$J$1501)&gt;=960,960,"")</f>
        <v/>
      </c>
      <c r="B961" s="8" t="str">
        <f t="shared" si="70"/>
        <v/>
      </c>
      <c r="C961" s="8" t="str">
        <f t="shared" si="71"/>
        <v/>
      </c>
      <c r="D961" s="8" t="str">
        <f t="shared" si="72"/>
        <v/>
      </c>
      <c r="F961" s="4" t="str">
        <f>IF(Jugadores!B961="","",Jugadores!B961)</f>
        <v/>
      </c>
      <c r="G961" s="4" t="str">
        <f>IF(Jugadores!B961="","",Jugadores!A961)</f>
        <v/>
      </c>
      <c r="H961" s="4" t="str">
        <f>IF(F961="","",SUMIF('Estadísticas Jugadores'!$F$2:$F$7001,F961,'Estadísticas Jugadores'!$I$2:$I$7001))</f>
        <v/>
      </c>
      <c r="I961" s="4" t="str">
        <f t="shared" si="73"/>
        <v/>
      </c>
      <c r="J961" s="4" t="str">
        <f t="shared" si="74"/>
        <v/>
      </c>
    </row>
    <row r="962" spans="1:10" ht="15" customHeight="1" x14ac:dyDescent="0.25">
      <c r="A962" s="8" t="str">
        <f>IF(COUNT($J$2:$J$1501)&gt;=961,961,"")</f>
        <v/>
      </c>
      <c r="B962" s="8" t="str">
        <f t="shared" ref="B962:B1025" si="75">IF($A962="","",INDEX($F$2:$F$1501,MATCH($A962,$J$2:$J$1501,0)))</f>
        <v/>
      </c>
      <c r="C962" s="8" t="str">
        <f t="shared" ref="C962:C1025" si="76">IF($A962="","",INDEX($G$2:$G$1501,MATCH($A962,$J$2:$J$1501,0)))</f>
        <v/>
      </c>
      <c r="D962" s="8" t="str">
        <f t="shared" ref="D962:D1025" si="77">IF($A962="","",INDEX($H$2:$H$1501,MATCH($A962,$J$2:$J$1501,0)))</f>
        <v/>
      </c>
      <c r="F962" s="4" t="str">
        <f>IF(Jugadores!B962="","",Jugadores!B962)</f>
        <v/>
      </c>
      <c r="G962" s="4" t="str">
        <f>IF(Jugadores!B962="","",Jugadores!A962)</f>
        <v/>
      </c>
      <c r="H962" s="4" t="str">
        <f>IF(F962="","",SUMIF('Estadísticas Jugadores'!$F$2:$F$7001,F962,'Estadísticas Jugadores'!$I$2:$I$7001))</f>
        <v/>
      </c>
      <c r="I962" s="4" t="str">
        <f t="shared" ref="I962:I1025" si="78">IF(F962="","",H962*1000-ROW()*0.0000001)</f>
        <v/>
      </c>
      <c r="J962" s="4" t="str">
        <f t="shared" ref="J962:J1025" si="79">IF(F962="","",RANK(I962,$I$2:$I$1501))</f>
        <v/>
      </c>
    </row>
    <row r="963" spans="1:10" ht="15" customHeight="1" x14ac:dyDescent="0.25">
      <c r="A963" s="8" t="str">
        <f>IF(COUNT($J$2:$J$1501)&gt;=962,962,"")</f>
        <v/>
      </c>
      <c r="B963" s="8" t="str">
        <f t="shared" si="75"/>
        <v/>
      </c>
      <c r="C963" s="8" t="str">
        <f t="shared" si="76"/>
        <v/>
      </c>
      <c r="D963" s="8" t="str">
        <f t="shared" si="77"/>
        <v/>
      </c>
      <c r="F963" s="4" t="str">
        <f>IF(Jugadores!B963="","",Jugadores!B963)</f>
        <v/>
      </c>
      <c r="G963" s="4" t="str">
        <f>IF(Jugadores!B963="","",Jugadores!A963)</f>
        <v/>
      </c>
      <c r="H963" s="4" t="str">
        <f>IF(F963="","",SUMIF('Estadísticas Jugadores'!$F$2:$F$7001,F963,'Estadísticas Jugadores'!$I$2:$I$7001))</f>
        <v/>
      </c>
      <c r="I963" s="4" t="str">
        <f t="shared" si="78"/>
        <v/>
      </c>
      <c r="J963" s="4" t="str">
        <f t="shared" si="79"/>
        <v/>
      </c>
    </row>
    <row r="964" spans="1:10" ht="15" customHeight="1" x14ac:dyDescent="0.25">
      <c r="A964" s="8" t="str">
        <f>IF(COUNT($J$2:$J$1501)&gt;=963,963,"")</f>
        <v/>
      </c>
      <c r="B964" s="8" t="str">
        <f t="shared" si="75"/>
        <v/>
      </c>
      <c r="C964" s="8" t="str">
        <f t="shared" si="76"/>
        <v/>
      </c>
      <c r="D964" s="8" t="str">
        <f t="shared" si="77"/>
        <v/>
      </c>
      <c r="F964" s="4" t="str">
        <f>IF(Jugadores!B964="","",Jugadores!B964)</f>
        <v/>
      </c>
      <c r="G964" s="4" t="str">
        <f>IF(Jugadores!B964="","",Jugadores!A964)</f>
        <v/>
      </c>
      <c r="H964" s="4" t="str">
        <f>IF(F964="","",SUMIF('Estadísticas Jugadores'!$F$2:$F$7001,F964,'Estadísticas Jugadores'!$I$2:$I$7001))</f>
        <v/>
      </c>
      <c r="I964" s="4" t="str">
        <f t="shared" si="78"/>
        <v/>
      </c>
      <c r="J964" s="4" t="str">
        <f t="shared" si="79"/>
        <v/>
      </c>
    </row>
    <row r="965" spans="1:10" ht="15" customHeight="1" x14ac:dyDescent="0.25">
      <c r="A965" s="8" t="str">
        <f>IF(COUNT($J$2:$J$1501)&gt;=964,964,"")</f>
        <v/>
      </c>
      <c r="B965" s="8" t="str">
        <f t="shared" si="75"/>
        <v/>
      </c>
      <c r="C965" s="8" t="str">
        <f t="shared" si="76"/>
        <v/>
      </c>
      <c r="D965" s="8" t="str">
        <f t="shared" si="77"/>
        <v/>
      </c>
      <c r="F965" s="4" t="str">
        <f>IF(Jugadores!B965="","",Jugadores!B965)</f>
        <v/>
      </c>
      <c r="G965" s="4" t="str">
        <f>IF(Jugadores!B965="","",Jugadores!A965)</f>
        <v/>
      </c>
      <c r="H965" s="4" t="str">
        <f>IF(F965="","",SUMIF('Estadísticas Jugadores'!$F$2:$F$7001,F965,'Estadísticas Jugadores'!$I$2:$I$7001))</f>
        <v/>
      </c>
      <c r="I965" s="4" t="str">
        <f t="shared" si="78"/>
        <v/>
      </c>
      <c r="J965" s="4" t="str">
        <f t="shared" si="79"/>
        <v/>
      </c>
    </row>
    <row r="966" spans="1:10" ht="15" customHeight="1" x14ac:dyDescent="0.25">
      <c r="A966" s="8" t="str">
        <f>IF(COUNT($J$2:$J$1501)&gt;=965,965,"")</f>
        <v/>
      </c>
      <c r="B966" s="8" t="str">
        <f t="shared" si="75"/>
        <v/>
      </c>
      <c r="C966" s="8" t="str">
        <f t="shared" si="76"/>
        <v/>
      </c>
      <c r="D966" s="8" t="str">
        <f t="shared" si="77"/>
        <v/>
      </c>
      <c r="F966" s="4" t="str">
        <f>IF(Jugadores!B966="","",Jugadores!B966)</f>
        <v/>
      </c>
      <c r="G966" s="4" t="str">
        <f>IF(Jugadores!B966="","",Jugadores!A966)</f>
        <v/>
      </c>
      <c r="H966" s="4" t="str">
        <f>IF(F966="","",SUMIF('Estadísticas Jugadores'!$F$2:$F$7001,F966,'Estadísticas Jugadores'!$I$2:$I$7001))</f>
        <v/>
      </c>
      <c r="I966" s="4" t="str">
        <f t="shared" si="78"/>
        <v/>
      </c>
      <c r="J966" s="4" t="str">
        <f t="shared" si="79"/>
        <v/>
      </c>
    </row>
    <row r="967" spans="1:10" ht="15" customHeight="1" x14ac:dyDescent="0.25">
      <c r="A967" s="8" t="str">
        <f>IF(COUNT($J$2:$J$1501)&gt;=966,966,"")</f>
        <v/>
      </c>
      <c r="B967" s="8" t="str">
        <f t="shared" si="75"/>
        <v/>
      </c>
      <c r="C967" s="8" t="str">
        <f t="shared" si="76"/>
        <v/>
      </c>
      <c r="D967" s="8" t="str">
        <f t="shared" si="77"/>
        <v/>
      </c>
      <c r="F967" s="4" t="str">
        <f>IF(Jugadores!B967="","",Jugadores!B967)</f>
        <v/>
      </c>
      <c r="G967" s="4" t="str">
        <f>IF(Jugadores!B967="","",Jugadores!A967)</f>
        <v/>
      </c>
      <c r="H967" s="4" t="str">
        <f>IF(F967="","",SUMIF('Estadísticas Jugadores'!$F$2:$F$7001,F967,'Estadísticas Jugadores'!$I$2:$I$7001))</f>
        <v/>
      </c>
      <c r="I967" s="4" t="str">
        <f t="shared" si="78"/>
        <v/>
      </c>
      <c r="J967" s="4" t="str">
        <f t="shared" si="79"/>
        <v/>
      </c>
    </row>
    <row r="968" spans="1:10" ht="15" customHeight="1" x14ac:dyDescent="0.25">
      <c r="A968" s="8" t="str">
        <f>IF(COUNT($J$2:$J$1501)&gt;=967,967,"")</f>
        <v/>
      </c>
      <c r="B968" s="8" t="str">
        <f t="shared" si="75"/>
        <v/>
      </c>
      <c r="C968" s="8" t="str">
        <f t="shared" si="76"/>
        <v/>
      </c>
      <c r="D968" s="8" t="str">
        <f t="shared" si="77"/>
        <v/>
      </c>
      <c r="F968" s="4" t="str">
        <f>IF(Jugadores!B968="","",Jugadores!B968)</f>
        <v/>
      </c>
      <c r="G968" s="4" t="str">
        <f>IF(Jugadores!B968="","",Jugadores!A968)</f>
        <v/>
      </c>
      <c r="H968" s="4" t="str">
        <f>IF(F968="","",SUMIF('Estadísticas Jugadores'!$F$2:$F$7001,F968,'Estadísticas Jugadores'!$I$2:$I$7001))</f>
        <v/>
      </c>
      <c r="I968" s="4" t="str">
        <f t="shared" si="78"/>
        <v/>
      </c>
      <c r="J968" s="4" t="str">
        <f t="shared" si="79"/>
        <v/>
      </c>
    </row>
    <row r="969" spans="1:10" ht="15" customHeight="1" x14ac:dyDescent="0.25">
      <c r="A969" s="8" t="str">
        <f>IF(COUNT($J$2:$J$1501)&gt;=968,968,"")</f>
        <v/>
      </c>
      <c r="B969" s="8" t="str">
        <f t="shared" si="75"/>
        <v/>
      </c>
      <c r="C969" s="8" t="str">
        <f t="shared" si="76"/>
        <v/>
      </c>
      <c r="D969" s="8" t="str">
        <f t="shared" si="77"/>
        <v/>
      </c>
      <c r="F969" s="4" t="str">
        <f>IF(Jugadores!B969="","",Jugadores!B969)</f>
        <v/>
      </c>
      <c r="G969" s="4" t="str">
        <f>IF(Jugadores!B969="","",Jugadores!A969)</f>
        <v/>
      </c>
      <c r="H969" s="4" t="str">
        <f>IF(F969="","",SUMIF('Estadísticas Jugadores'!$F$2:$F$7001,F969,'Estadísticas Jugadores'!$I$2:$I$7001))</f>
        <v/>
      </c>
      <c r="I969" s="4" t="str">
        <f t="shared" si="78"/>
        <v/>
      </c>
      <c r="J969" s="4" t="str">
        <f t="shared" si="79"/>
        <v/>
      </c>
    </row>
    <row r="970" spans="1:10" ht="15" customHeight="1" x14ac:dyDescent="0.25">
      <c r="A970" s="8" t="str">
        <f>IF(COUNT($J$2:$J$1501)&gt;=969,969,"")</f>
        <v/>
      </c>
      <c r="B970" s="8" t="str">
        <f t="shared" si="75"/>
        <v/>
      </c>
      <c r="C970" s="8" t="str">
        <f t="shared" si="76"/>
        <v/>
      </c>
      <c r="D970" s="8" t="str">
        <f t="shared" si="77"/>
        <v/>
      </c>
      <c r="F970" s="4" t="str">
        <f>IF(Jugadores!B970="","",Jugadores!B970)</f>
        <v/>
      </c>
      <c r="G970" s="4" t="str">
        <f>IF(Jugadores!B970="","",Jugadores!A970)</f>
        <v/>
      </c>
      <c r="H970" s="4" t="str">
        <f>IF(F970="","",SUMIF('Estadísticas Jugadores'!$F$2:$F$7001,F970,'Estadísticas Jugadores'!$I$2:$I$7001))</f>
        <v/>
      </c>
      <c r="I970" s="4" t="str">
        <f t="shared" si="78"/>
        <v/>
      </c>
      <c r="J970" s="4" t="str">
        <f t="shared" si="79"/>
        <v/>
      </c>
    </row>
    <row r="971" spans="1:10" ht="15" customHeight="1" x14ac:dyDescent="0.25">
      <c r="A971" s="8" t="str">
        <f>IF(COUNT($J$2:$J$1501)&gt;=970,970,"")</f>
        <v/>
      </c>
      <c r="B971" s="8" t="str">
        <f t="shared" si="75"/>
        <v/>
      </c>
      <c r="C971" s="8" t="str">
        <f t="shared" si="76"/>
        <v/>
      </c>
      <c r="D971" s="8" t="str">
        <f t="shared" si="77"/>
        <v/>
      </c>
      <c r="F971" s="4" t="str">
        <f>IF(Jugadores!B971="","",Jugadores!B971)</f>
        <v/>
      </c>
      <c r="G971" s="4" t="str">
        <f>IF(Jugadores!B971="","",Jugadores!A971)</f>
        <v/>
      </c>
      <c r="H971" s="4" t="str">
        <f>IF(F971="","",SUMIF('Estadísticas Jugadores'!$F$2:$F$7001,F971,'Estadísticas Jugadores'!$I$2:$I$7001))</f>
        <v/>
      </c>
      <c r="I971" s="4" t="str">
        <f t="shared" si="78"/>
        <v/>
      </c>
      <c r="J971" s="4" t="str">
        <f t="shared" si="79"/>
        <v/>
      </c>
    </row>
    <row r="972" spans="1:10" ht="15" customHeight="1" x14ac:dyDescent="0.25">
      <c r="A972" s="8" t="str">
        <f>IF(COUNT($J$2:$J$1501)&gt;=971,971,"")</f>
        <v/>
      </c>
      <c r="B972" s="8" t="str">
        <f t="shared" si="75"/>
        <v/>
      </c>
      <c r="C972" s="8" t="str">
        <f t="shared" si="76"/>
        <v/>
      </c>
      <c r="D972" s="8" t="str">
        <f t="shared" si="77"/>
        <v/>
      </c>
      <c r="F972" s="4" t="str">
        <f>IF(Jugadores!B972="","",Jugadores!B972)</f>
        <v/>
      </c>
      <c r="G972" s="4" t="str">
        <f>IF(Jugadores!B972="","",Jugadores!A972)</f>
        <v/>
      </c>
      <c r="H972" s="4" t="str">
        <f>IF(F972="","",SUMIF('Estadísticas Jugadores'!$F$2:$F$7001,F972,'Estadísticas Jugadores'!$I$2:$I$7001))</f>
        <v/>
      </c>
      <c r="I972" s="4" t="str">
        <f t="shared" si="78"/>
        <v/>
      </c>
      <c r="J972" s="4" t="str">
        <f t="shared" si="79"/>
        <v/>
      </c>
    </row>
    <row r="973" spans="1:10" ht="15" customHeight="1" x14ac:dyDescent="0.25">
      <c r="A973" s="8" t="str">
        <f>IF(COUNT($J$2:$J$1501)&gt;=972,972,"")</f>
        <v/>
      </c>
      <c r="B973" s="8" t="str">
        <f t="shared" si="75"/>
        <v/>
      </c>
      <c r="C973" s="8" t="str">
        <f t="shared" si="76"/>
        <v/>
      </c>
      <c r="D973" s="8" t="str">
        <f t="shared" si="77"/>
        <v/>
      </c>
      <c r="F973" s="4" t="str">
        <f>IF(Jugadores!B973="","",Jugadores!B973)</f>
        <v/>
      </c>
      <c r="G973" s="4" t="str">
        <f>IF(Jugadores!B973="","",Jugadores!A973)</f>
        <v/>
      </c>
      <c r="H973" s="4" t="str">
        <f>IF(F973="","",SUMIF('Estadísticas Jugadores'!$F$2:$F$7001,F973,'Estadísticas Jugadores'!$I$2:$I$7001))</f>
        <v/>
      </c>
      <c r="I973" s="4" t="str">
        <f t="shared" si="78"/>
        <v/>
      </c>
      <c r="J973" s="4" t="str">
        <f t="shared" si="79"/>
        <v/>
      </c>
    </row>
    <row r="974" spans="1:10" ht="15" customHeight="1" x14ac:dyDescent="0.25">
      <c r="A974" s="8" t="str">
        <f>IF(COUNT($J$2:$J$1501)&gt;=973,973,"")</f>
        <v/>
      </c>
      <c r="B974" s="8" t="str">
        <f t="shared" si="75"/>
        <v/>
      </c>
      <c r="C974" s="8" t="str">
        <f t="shared" si="76"/>
        <v/>
      </c>
      <c r="D974" s="8" t="str">
        <f t="shared" si="77"/>
        <v/>
      </c>
      <c r="F974" s="4" t="str">
        <f>IF(Jugadores!B974="","",Jugadores!B974)</f>
        <v/>
      </c>
      <c r="G974" s="4" t="str">
        <f>IF(Jugadores!B974="","",Jugadores!A974)</f>
        <v/>
      </c>
      <c r="H974" s="4" t="str">
        <f>IF(F974="","",SUMIF('Estadísticas Jugadores'!$F$2:$F$7001,F974,'Estadísticas Jugadores'!$I$2:$I$7001))</f>
        <v/>
      </c>
      <c r="I974" s="4" t="str">
        <f t="shared" si="78"/>
        <v/>
      </c>
      <c r="J974" s="4" t="str">
        <f t="shared" si="79"/>
        <v/>
      </c>
    </row>
    <row r="975" spans="1:10" ht="15" customHeight="1" x14ac:dyDescent="0.25">
      <c r="A975" s="8" t="str">
        <f>IF(COUNT($J$2:$J$1501)&gt;=974,974,"")</f>
        <v/>
      </c>
      <c r="B975" s="8" t="str">
        <f t="shared" si="75"/>
        <v/>
      </c>
      <c r="C975" s="8" t="str">
        <f t="shared" si="76"/>
        <v/>
      </c>
      <c r="D975" s="8" t="str">
        <f t="shared" si="77"/>
        <v/>
      </c>
      <c r="F975" s="4" t="str">
        <f>IF(Jugadores!B975="","",Jugadores!B975)</f>
        <v/>
      </c>
      <c r="G975" s="4" t="str">
        <f>IF(Jugadores!B975="","",Jugadores!A975)</f>
        <v/>
      </c>
      <c r="H975" s="4" t="str">
        <f>IF(F975="","",SUMIF('Estadísticas Jugadores'!$F$2:$F$7001,F975,'Estadísticas Jugadores'!$I$2:$I$7001))</f>
        <v/>
      </c>
      <c r="I975" s="4" t="str">
        <f t="shared" si="78"/>
        <v/>
      </c>
      <c r="J975" s="4" t="str">
        <f t="shared" si="79"/>
        <v/>
      </c>
    </row>
    <row r="976" spans="1:10" ht="15" customHeight="1" x14ac:dyDescent="0.25">
      <c r="A976" s="8" t="str">
        <f>IF(COUNT($J$2:$J$1501)&gt;=975,975,"")</f>
        <v/>
      </c>
      <c r="B976" s="8" t="str">
        <f t="shared" si="75"/>
        <v/>
      </c>
      <c r="C976" s="8" t="str">
        <f t="shared" si="76"/>
        <v/>
      </c>
      <c r="D976" s="8" t="str">
        <f t="shared" si="77"/>
        <v/>
      </c>
      <c r="F976" s="4" t="str">
        <f>IF(Jugadores!B976="","",Jugadores!B976)</f>
        <v/>
      </c>
      <c r="G976" s="4" t="str">
        <f>IF(Jugadores!B976="","",Jugadores!A976)</f>
        <v/>
      </c>
      <c r="H976" s="4" t="str">
        <f>IF(F976="","",SUMIF('Estadísticas Jugadores'!$F$2:$F$7001,F976,'Estadísticas Jugadores'!$I$2:$I$7001))</f>
        <v/>
      </c>
      <c r="I976" s="4" t="str">
        <f t="shared" si="78"/>
        <v/>
      </c>
      <c r="J976" s="4" t="str">
        <f t="shared" si="79"/>
        <v/>
      </c>
    </row>
    <row r="977" spans="1:10" ht="15" customHeight="1" x14ac:dyDescent="0.25">
      <c r="A977" s="8" t="str">
        <f>IF(COUNT($J$2:$J$1501)&gt;=976,976,"")</f>
        <v/>
      </c>
      <c r="B977" s="8" t="str">
        <f t="shared" si="75"/>
        <v/>
      </c>
      <c r="C977" s="8" t="str">
        <f t="shared" si="76"/>
        <v/>
      </c>
      <c r="D977" s="8" t="str">
        <f t="shared" si="77"/>
        <v/>
      </c>
      <c r="F977" s="4" t="str">
        <f>IF(Jugadores!B977="","",Jugadores!B977)</f>
        <v/>
      </c>
      <c r="G977" s="4" t="str">
        <f>IF(Jugadores!B977="","",Jugadores!A977)</f>
        <v/>
      </c>
      <c r="H977" s="4" t="str">
        <f>IF(F977="","",SUMIF('Estadísticas Jugadores'!$F$2:$F$7001,F977,'Estadísticas Jugadores'!$I$2:$I$7001))</f>
        <v/>
      </c>
      <c r="I977" s="4" t="str">
        <f t="shared" si="78"/>
        <v/>
      </c>
      <c r="J977" s="4" t="str">
        <f t="shared" si="79"/>
        <v/>
      </c>
    </row>
    <row r="978" spans="1:10" ht="15" customHeight="1" x14ac:dyDescent="0.25">
      <c r="A978" s="8" t="str">
        <f>IF(COUNT($J$2:$J$1501)&gt;=977,977,"")</f>
        <v/>
      </c>
      <c r="B978" s="8" t="str">
        <f t="shared" si="75"/>
        <v/>
      </c>
      <c r="C978" s="8" t="str">
        <f t="shared" si="76"/>
        <v/>
      </c>
      <c r="D978" s="8" t="str">
        <f t="shared" si="77"/>
        <v/>
      </c>
      <c r="F978" s="4" t="str">
        <f>IF(Jugadores!B978="","",Jugadores!B978)</f>
        <v/>
      </c>
      <c r="G978" s="4" t="str">
        <f>IF(Jugadores!B978="","",Jugadores!A978)</f>
        <v/>
      </c>
      <c r="H978" s="4" t="str">
        <f>IF(F978="","",SUMIF('Estadísticas Jugadores'!$F$2:$F$7001,F978,'Estadísticas Jugadores'!$I$2:$I$7001))</f>
        <v/>
      </c>
      <c r="I978" s="4" t="str">
        <f t="shared" si="78"/>
        <v/>
      </c>
      <c r="J978" s="4" t="str">
        <f t="shared" si="79"/>
        <v/>
      </c>
    </row>
    <row r="979" spans="1:10" ht="15" customHeight="1" x14ac:dyDescent="0.25">
      <c r="A979" s="8" t="str">
        <f>IF(COUNT($J$2:$J$1501)&gt;=978,978,"")</f>
        <v/>
      </c>
      <c r="B979" s="8" t="str">
        <f t="shared" si="75"/>
        <v/>
      </c>
      <c r="C979" s="8" t="str">
        <f t="shared" si="76"/>
        <v/>
      </c>
      <c r="D979" s="8" t="str">
        <f t="shared" si="77"/>
        <v/>
      </c>
      <c r="F979" s="4" t="str">
        <f>IF(Jugadores!B979="","",Jugadores!B979)</f>
        <v/>
      </c>
      <c r="G979" s="4" t="str">
        <f>IF(Jugadores!B979="","",Jugadores!A979)</f>
        <v/>
      </c>
      <c r="H979" s="4" t="str">
        <f>IF(F979="","",SUMIF('Estadísticas Jugadores'!$F$2:$F$7001,F979,'Estadísticas Jugadores'!$I$2:$I$7001))</f>
        <v/>
      </c>
      <c r="I979" s="4" t="str">
        <f t="shared" si="78"/>
        <v/>
      </c>
      <c r="J979" s="4" t="str">
        <f t="shared" si="79"/>
        <v/>
      </c>
    </row>
    <row r="980" spans="1:10" ht="15" customHeight="1" x14ac:dyDescent="0.25">
      <c r="A980" s="8" t="str">
        <f>IF(COUNT($J$2:$J$1501)&gt;=979,979,"")</f>
        <v/>
      </c>
      <c r="B980" s="8" t="str">
        <f t="shared" si="75"/>
        <v/>
      </c>
      <c r="C980" s="8" t="str">
        <f t="shared" si="76"/>
        <v/>
      </c>
      <c r="D980" s="8" t="str">
        <f t="shared" si="77"/>
        <v/>
      </c>
      <c r="F980" s="4" t="str">
        <f>IF(Jugadores!B980="","",Jugadores!B980)</f>
        <v/>
      </c>
      <c r="G980" s="4" t="str">
        <f>IF(Jugadores!B980="","",Jugadores!A980)</f>
        <v/>
      </c>
      <c r="H980" s="4" t="str">
        <f>IF(F980="","",SUMIF('Estadísticas Jugadores'!$F$2:$F$7001,F980,'Estadísticas Jugadores'!$I$2:$I$7001))</f>
        <v/>
      </c>
      <c r="I980" s="4" t="str">
        <f t="shared" si="78"/>
        <v/>
      </c>
      <c r="J980" s="4" t="str">
        <f t="shared" si="79"/>
        <v/>
      </c>
    </row>
    <row r="981" spans="1:10" ht="15" customHeight="1" x14ac:dyDescent="0.25">
      <c r="A981" s="8" t="str">
        <f>IF(COUNT($J$2:$J$1501)&gt;=980,980,"")</f>
        <v/>
      </c>
      <c r="B981" s="8" t="str">
        <f t="shared" si="75"/>
        <v/>
      </c>
      <c r="C981" s="8" t="str">
        <f t="shared" si="76"/>
        <v/>
      </c>
      <c r="D981" s="8" t="str">
        <f t="shared" si="77"/>
        <v/>
      </c>
      <c r="F981" s="4" t="str">
        <f>IF(Jugadores!B981="","",Jugadores!B981)</f>
        <v/>
      </c>
      <c r="G981" s="4" t="str">
        <f>IF(Jugadores!B981="","",Jugadores!A981)</f>
        <v/>
      </c>
      <c r="H981" s="4" t="str">
        <f>IF(F981="","",SUMIF('Estadísticas Jugadores'!$F$2:$F$7001,F981,'Estadísticas Jugadores'!$I$2:$I$7001))</f>
        <v/>
      </c>
      <c r="I981" s="4" t="str">
        <f t="shared" si="78"/>
        <v/>
      </c>
      <c r="J981" s="4" t="str">
        <f t="shared" si="79"/>
        <v/>
      </c>
    </row>
    <row r="982" spans="1:10" ht="15" customHeight="1" x14ac:dyDescent="0.25">
      <c r="A982" s="8" t="str">
        <f>IF(COUNT($J$2:$J$1501)&gt;=981,981,"")</f>
        <v/>
      </c>
      <c r="B982" s="8" t="str">
        <f t="shared" si="75"/>
        <v/>
      </c>
      <c r="C982" s="8" t="str">
        <f t="shared" si="76"/>
        <v/>
      </c>
      <c r="D982" s="8" t="str">
        <f t="shared" si="77"/>
        <v/>
      </c>
      <c r="F982" s="4" t="str">
        <f>IF(Jugadores!B982="","",Jugadores!B982)</f>
        <v/>
      </c>
      <c r="G982" s="4" t="str">
        <f>IF(Jugadores!B982="","",Jugadores!A982)</f>
        <v/>
      </c>
      <c r="H982" s="4" t="str">
        <f>IF(F982="","",SUMIF('Estadísticas Jugadores'!$F$2:$F$7001,F982,'Estadísticas Jugadores'!$I$2:$I$7001))</f>
        <v/>
      </c>
      <c r="I982" s="4" t="str">
        <f t="shared" si="78"/>
        <v/>
      </c>
      <c r="J982" s="4" t="str">
        <f t="shared" si="79"/>
        <v/>
      </c>
    </row>
    <row r="983" spans="1:10" ht="15" customHeight="1" x14ac:dyDescent="0.25">
      <c r="A983" s="8" t="str">
        <f>IF(COUNT($J$2:$J$1501)&gt;=982,982,"")</f>
        <v/>
      </c>
      <c r="B983" s="8" t="str">
        <f t="shared" si="75"/>
        <v/>
      </c>
      <c r="C983" s="8" t="str">
        <f t="shared" si="76"/>
        <v/>
      </c>
      <c r="D983" s="8" t="str">
        <f t="shared" si="77"/>
        <v/>
      </c>
      <c r="F983" s="4" t="str">
        <f>IF(Jugadores!B983="","",Jugadores!B983)</f>
        <v/>
      </c>
      <c r="G983" s="4" t="str">
        <f>IF(Jugadores!B983="","",Jugadores!A983)</f>
        <v/>
      </c>
      <c r="H983" s="4" t="str">
        <f>IF(F983="","",SUMIF('Estadísticas Jugadores'!$F$2:$F$7001,F983,'Estadísticas Jugadores'!$I$2:$I$7001))</f>
        <v/>
      </c>
      <c r="I983" s="4" t="str">
        <f t="shared" si="78"/>
        <v/>
      </c>
      <c r="J983" s="4" t="str">
        <f t="shared" si="79"/>
        <v/>
      </c>
    </row>
    <row r="984" spans="1:10" ht="15" customHeight="1" x14ac:dyDescent="0.25">
      <c r="A984" s="8" t="str">
        <f>IF(COUNT($J$2:$J$1501)&gt;=983,983,"")</f>
        <v/>
      </c>
      <c r="B984" s="8" t="str">
        <f t="shared" si="75"/>
        <v/>
      </c>
      <c r="C984" s="8" t="str">
        <f t="shared" si="76"/>
        <v/>
      </c>
      <c r="D984" s="8" t="str">
        <f t="shared" si="77"/>
        <v/>
      </c>
      <c r="F984" s="4" t="str">
        <f>IF(Jugadores!B984="","",Jugadores!B984)</f>
        <v/>
      </c>
      <c r="G984" s="4" t="str">
        <f>IF(Jugadores!B984="","",Jugadores!A984)</f>
        <v/>
      </c>
      <c r="H984" s="4" t="str">
        <f>IF(F984="","",SUMIF('Estadísticas Jugadores'!$F$2:$F$7001,F984,'Estadísticas Jugadores'!$I$2:$I$7001))</f>
        <v/>
      </c>
      <c r="I984" s="4" t="str">
        <f t="shared" si="78"/>
        <v/>
      </c>
      <c r="J984" s="4" t="str">
        <f t="shared" si="79"/>
        <v/>
      </c>
    </row>
    <row r="985" spans="1:10" ht="15" customHeight="1" x14ac:dyDescent="0.25">
      <c r="A985" s="8" t="str">
        <f>IF(COUNT($J$2:$J$1501)&gt;=984,984,"")</f>
        <v/>
      </c>
      <c r="B985" s="8" t="str">
        <f t="shared" si="75"/>
        <v/>
      </c>
      <c r="C985" s="8" t="str">
        <f t="shared" si="76"/>
        <v/>
      </c>
      <c r="D985" s="8" t="str">
        <f t="shared" si="77"/>
        <v/>
      </c>
      <c r="F985" s="4" t="str">
        <f>IF(Jugadores!B985="","",Jugadores!B985)</f>
        <v/>
      </c>
      <c r="G985" s="4" t="str">
        <f>IF(Jugadores!B985="","",Jugadores!A985)</f>
        <v/>
      </c>
      <c r="H985" s="4" t="str">
        <f>IF(F985="","",SUMIF('Estadísticas Jugadores'!$F$2:$F$7001,F985,'Estadísticas Jugadores'!$I$2:$I$7001))</f>
        <v/>
      </c>
      <c r="I985" s="4" t="str">
        <f t="shared" si="78"/>
        <v/>
      </c>
      <c r="J985" s="4" t="str">
        <f t="shared" si="79"/>
        <v/>
      </c>
    </row>
    <row r="986" spans="1:10" ht="15" customHeight="1" x14ac:dyDescent="0.25">
      <c r="A986" s="8" t="str">
        <f>IF(COUNT($J$2:$J$1501)&gt;=985,985,"")</f>
        <v/>
      </c>
      <c r="B986" s="8" t="str">
        <f t="shared" si="75"/>
        <v/>
      </c>
      <c r="C986" s="8" t="str">
        <f t="shared" si="76"/>
        <v/>
      </c>
      <c r="D986" s="8" t="str">
        <f t="shared" si="77"/>
        <v/>
      </c>
      <c r="F986" s="4" t="str">
        <f>IF(Jugadores!B986="","",Jugadores!B986)</f>
        <v/>
      </c>
      <c r="G986" s="4" t="str">
        <f>IF(Jugadores!B986="","",Jugadores!A986)</f>
        <v/>
      </c>
      <c r="H986" s="4" t="str">
        <f>IF(F986="","",SUMIF('Estadísticas Jugadores'!$F$2:$F$7001,F986,'Estadísticas Jugadores'!$I$2:$I$7001))</f>
        <v/>
      </c>
      <c r="I986" s="4" t="str">
        <f t="shared" si="78"/>
        <v/>
      </c>
      <c r="J986" s="4" t="str">
        <f t="shared" si="79"/>
        <v/>
      </c>
    </row>
    <row r="987" spans="1:10" ht="15" customHeight="1" x14ac:dyDescent="0.25">
      <c r="A987" s="8" t="str">
        <f>IF(COUNT($J$2:$J$1501)&gt;=986,986,"")</f>
        <v/>
      </c>
      <c r="B987" s="8" t="str">
        <f t="shared" si="75"/>
        <v/>
      </c>
      <c r="C987" s="8" t="str">
        <f t="shared" si="76"/>
        <v/>
      </c>
      <c r="D987" s="8" t="str">
        <f t="shared" si="77"/>
        <v/>
      </c>
      <c r="F987" s="4" t="str">
        <f>IF(Jugadores!B987="","",Jugadores!B987)</f>
        <v/>
      </c>
      <c r="G987" s="4" t="str">
        <f>IF(Jugadores!B987="","",Jugadores!A987)</f>
        <v/>
      </c>
      <c r="H987" s="4" t="str">
        <f>IF(F987="","",SUMIF('Estadísticas Jugadores'!$F$2:$F$7001,F987,'Estadísticas Jugadores'!$I$2:$I$7001))</f>
        <v/>
      </c>
      <c r="I987" s="4" t="str">
        <f t="shared" si="78"/>
        <v/>
      </c>
      <c r="J987" s="4" t="str">
        <f t="shared" si="79"/>
        <v/>
      </c>
    </row>
    <row r="988" spans="1:10" ht="15" customHeight="1" x14ac:dyDescent="0.25">
      <c r="A988" s="8" t="str">
        <f>IF(COUNT($J$2:$J$1501)&gt;=987,987,"")</f>
        <v/>
      </c>
      <c r="B988" s="8" t="str">
        <f t="shared" si="75"/>
        <v/>
      </c>
      <c r="C988" s="8" t="str">
        <f t="shared" si="76"/>
        <v/>
      </c>
      <c r="D988" s="8" t="str">
        <f t="shared" si="77"/>
        <v/>
      </c>
      <c r="F988" s="4" t="str">
        <f>IF(Jugadores!B988="","",Jugadores!B988)</f>
        <v/>
      </c>
      <c r="G988" s="4" t="str">
        <f>IF(Jugadores!B988="","",Jugadores!A988)</f>
        <v/>
      </c>
      <c r="H988" s="4" t="str">
        <f>IF(F988="","",SUMIF('Estadísticas Jugadores'!$F$2:$F$7001,F988,'Estadísticas Jugadores'!$I$2:$I$7001))</f>
        <v/>
      </c>
      <c r="I988" s="4" t="str">
        <f t="shared" si="78"/>
        <v/>
      </c>
      <c r="J988" s="4" t="str">
        <f t="shared" si="79"/>
        <v/>
      </c>
    </row>
    <row r="989" spans="1:10" ht="15" customHeight="1" x14ac:dyDescent="0.25">
      <c r="A989" s="8" t="str">
        <f>IF(COUNT($J$2:$J$1501)&gt;=988,988,"")</f>
        <v/>
      </c>
      <c r="B989" s="8" t="str">
        <f t="shared" si="75"/>
        <v/>
      </c>
      <c r="C989" s="8" t="str">
        <f t="shared" si="76"/>
        <v/>
      </c>
      <c r="D989" s="8" t="str">
        <f t="shared" si="77"/>
        <v/>
      </c>
      <c r="F989" s="4" t="str">
        <f>IF(Jugadores!B989="","",Jugadores!B989)</f>
        <v/>
      </c>
      <c r="G989" s="4" t="str">
        <f>IF(Jugadores!B989="","",Jugadores!A989)</f>
        <v/>
      </c>
      <c r="H989" s="4" t="str">
        <f>IF(F989="","",SUMIF('Estadísticas Jugadores'!$F$2:$F$7001,F989,'Estadísticas Jugadores'!$I$2:$I$7001))</f>
        <v/>
      </c>
      <c r="I989" s="4" t="str">
        <f t="shared" si="78"/>
        <v/>
      </c>
      <c r="J989" s="4" t="str">
        <f t="shared" si="79"/>
        <v/>
      </c>
    </row>
    <row r="990" spans="1:10" ht="15" customHeight="1" x14ac:dyDescent="0.25">
      <c r="A990" s="8" t="str">
        <f>IF(COUNT($J$2:$J$1501)&gt;=989,989,"")</f>
        <v/>
      </c>
      <c r="B990" s="8" t="str">
        <f t="shared" si="75"/>
        <v/>
      </c>
      <c r="C990" s="8" t="str">
        <f t="shared" si="76"/>
        <v/>
      </c>
      <c r="D990" s="8" t="str">
        <f t="shared" si="77"/>
        <v/>
      </c>
      <c r="F990" s="4" t="str">
        <f>IF(Jugadores!B990="","",Jugadores!B990)</f>
        <v/>
      </c>
      <c r="G990" s="4" t="str">
        <f>IF(Jugadores!B990="","",Jugadores!A990)</f>
        <v/>
      </c>
      <c r="H990" s="4" t="str">
        <f>IF(F990="","",SUMIF('Estadísticas Jugadores'!$F$2:$F$7001,F990,'Estadísticas Jugadores'!$I$2:$I$7001))</f>
        <v/>
      </c>
      <c r="I990" s="4" t="str">
        <f t="shared" si="78"/>
        <v/>
      </c>
      <c r="J990" s="4" t="str">
        <f t="shared" si="79"/>
        <v/>
      </c>
    </row>
    <row r="991" spans="1:10" ht="15" customHeight="1" x14ac:dyDescent="0.25">
      <c r="A991" s="8" t="str">
        <f>IF(COUNT($J$2:$J$1501)&gt;=990,990,"")</f>
        <v/>
      </c>
      <c r="B991" s="8" t="str">
        <f t="shared" si="75"/>
        <v/>
      </c>
      <c r="C991" s="8" t="str">
        <f t="shared" si="76"/>
        <v/>
      </c>
      <c r="D991" s="8" t="str">
        <f t="shared" si="77"/>
        <v/>
      </c>
      <c r="F991" s="4" t="str">
        <f>IF(Jugadores!B991="","",Jugadores!B991)</f>
        <v/>
      </c>
      <c r="G991" s="4" t="str">
        <f>IF(Jugadores!B991="","",Jugadores!A991)</f>
        <v/>
      </c>
      <c r="H991" s="4" t="str">
        <f>IF(F991="","",SUMIF('Estadísticas Jugadores'!$F$2:$F$7001,F991,'Estadísticas Jugadores'!$I$2:$I$7001))</f>
        <v/>
      </c>
      <c r="I991" s="4" t="str">
        <f t="shared" si="78"/>
        <v/>
      </c>
      <c r="J991" s="4" t="str">
        <f t="shared" si="79"/>
        <v/>
      </c>
    </row>
    <row r="992" spans="1:10" ht="15" customHeight="1" x14ac:dyDescent="0.25">
      <c r="A992" s="8" t="str">
        <f>IF(COUNT($J$2:$J$1501)&gt;=991,991,"")</f>
        <v/>
      </c>
      <c r="B992" s="8" t="str">
        <f t="shared" si="75"/>
        <v/>
      </c>
      <c r="C992" s="8" t="str">
        <f t="shared" si="76"/>
        <v/>
      </c>
      <c r="D992" s="8" t="str">
        <f t="shared" si="77"/>
        <v/>
      </c>
      <c r="F992" s="4" t="str">
        <f>IF(Jugadores!B992="","",Jugadores!B992)</f>
        <v/>
      </c>
      <c r="G992" s="4" t="str">
        <f>IF(Jugadores!B992="","",Jugadores!A992)</f>
        <v/>
      </c>
      <c r="H992" s="4" t="str">
        <f>IF(F992="","",SUMIF('Estadísticas Jugadores'!$F$2:$F$7001,F992,'Estadísticas Jugadores'!$I$2:$I$7001))</f>
        <v/>
      </c>
      <c r="I992" s="4" t="str">
        <f t="shared" si="78"/>
        <v/>
      </c>
      <c r="J992" s="4" t="str">
        <f t="shared" si="79"/>
        <v/>
      </c>
    </row>
    <row r="993" spans="1:10" ht="15" customHeight="1" x14ac:dyDescent="0.25">
      <c r="A993" s="8" t="str">
        <f>IF(COUNT($J$2:$J$1501)&gt;=992,992,"")</f>
        <v/>
      </c>
      <c r="B993" s="8" t="str">
        <f t="shared" si="75"/>
        <v/>
      </c>
      <c r="C993" s="8" t="str">
        <f t="shared" si="76"/>
        <v/>
      </c>
      <c r="D993" s="8" t="str">
        <f t="shared" si="77"/>
        <v/>
      </c>
      <c r="F993" s="4" t="str">
        <f>IF(Jugadores!B993="","",Jugadores!B993)</f>
        <v/>
      </c>
      <c r="G993" s="4" t="str">
        <f>IF(Jugadores!B993="","",Jugadores!A993)</f>
        <v/>
      </c>
      <c r="H993" s="4" t="str">
        <f>IF(F993="","",SUMIF('Estadísticas Jugadores'!$F$2:$F$7001,F993,'Estadísticas Jugadores'!$I$2:$I$7001))</f>
        <v/>
      </c>
      <c r="I993" s="4" t="str">
        <f t="shared" si="78"/>
        <v/>
      </c>
      <c r="J993" s="4" t="str">
        <f t="shared" si="79"/>
        <v/>
      </c>
    </row>
    <row r="994" spans="1:10" ht="15" customHeight="1" x14ac:dyDescent="0.25">
      <c r="A994" s="8" t="str">
        <f>IF(COUNT($J$2:$J$1501)&gt;=993,993,"")</f>
        <v/>
      </c>
      <c r="B994" s="8" t="str">
        <f t="shared" si="75"/>
        <v/>
      </c>
      <c r="C994" s="8" t="str">
        <f t="shared" si="76"/>
        <v/>
      </c>
      <c r="D994" s="8" t="str">
        <f t="shared" si="77"/>
        <v/>
      </c>
      <c r="F994" s="4" t="str">
        <f>IF(Jugadores!B994="","",Jugadores!B994)</f>
        <v/>
      </c>
      <c r="G994" s="4" t="str">
        <f>IF(Jugadores!B994="","",Jugadores!A994)</f>
        <v/>
      </c>
      <c r="H994" s="4" t="str">
        <f>IF(F994="","",SUMIF('Estadísticas Jugadores'!$F$2:$F$7001,F994,'Estadísticas Jugadores'!$I$2:$I$7001))</f>
        <v/>
      </c>
      <c r="I994" s="4" t="str">
        <f t="shared" si="78"/>
        <v/>
      </c>
      <c r="J994" s="4" t="str">
        <f t="shared" si="79"/>
        <v/>
      </c>
    </row>
    <row r="995" spans="1:10" ht="15" customHeight="1" x14ac:dyDescent="0.25">
      <c r="A995" s="8" t="str">
        <f>IF(COUNT($J$2:$J$1501)&gt;=994,994,"")</f>
        <v/>
      </c>
      <c r="B995" s="8" t="str">
        <f t="shared" si="75"/>
        <v/>
      </c>
      <c r="C995" s="8" t="str">
        <f t="shared" si="76"/>
        <v/>
      </c>
      <c r="D995" s="8" t="str">
        <f t="shared" si="77"/>
        <v/>
      </c>
      <c r="F995" s="4" t="str">
        <f>IF(Jugadores!B995="","",Jugadores!B995)</f>
        <v/>
      </c>
      <c r="G995" s="4" t="str">
        <f>IF(Jugadores!B995="","",Jugadores!A995)</f>
        <v/>
      </c>
      <c r="H995" s="4" t="str">
        <f>IF(F995="","",SUMIF('Estadísticas Jugadores'!$F$2:$F$7001,F995,'Estadísticas Jugadores'!$I$2:$I$7001))</f>
        <v/>
      </c>
      <c r="I995" s="4" t="str">
        <f t="shared" si="78"/>
        <v/>
      </c>
      <c r="J995" s="4" t="str">
        <f t="shared" si="79"/>
        <v/>
      </c>
    </row>
    <row r="996" spans="1:10" ht="15" customHeight="1" x14ac:dyDescent="0.25">
      <c r="A996" s="8" t="str">
        <f>IF(COUNT($J$2:$J$1501)&gt;=995,995,"")</f>
        <v/>
      </c>
      <c r="B996" s="8" t="str">
        <f t="shared" si="75"/>
        <v/>
      </c>
      <c r="C996" s="8" t="str">
        <f t="shared" si="76"/>
        <v/>
      </c>
      <c r="D996" s="8" t="str">
        <f t="shared" si="77"/>
        <v/>
      </c>
      <c r="F996" s="4" t="str">
        <f>IF(Jugadores!B996="","",Jugadores!B996)</f>
        <v/>
      </c>
      <c r="G996" s="4" t="str">
        <f>IF(Jugadores!B996="","",Jugadores!A996)</f>
        <v/>
      </c>
      <c r="H996" s="4" t="str">
        <f>IF(F996="","",SUMIF('Estadísticas Jugadores'!$F$2:$F$7001,F996,'Estadísticas Jugadores'!$I$2:$I$7001))</f>
        <v/>
      </c>
      <c r="I996" s="4" t="str">
        <f t="shared" si="78"/>
        <v/>
      </c>
      <c r="J996" s="4" t="str">
        <f t="shared" si="79"/>
        <v/>
      </c>
    </row>
    <row r="997" spans="1:10" ht="15" customHeight="1" x14ac:dyDescent="0.25">
      <c r="A997" s="8" t="str">
        <f>IF(COUNT($J$2:$J$1501)&gt;=996,996,"")</f>
        <v/>
      </c>
      <c r="B997" s="8" t="str">
        <f t="shared" si="75"/>
        <v/>
      </c>
      <c r="C997" s="8" t="str">
        <f t="shared" si="76"/>
        <v/>
      </c>
      <c r="D997" s="8" t="str">
        <f t="shared" si="77"/>
        <v/>
      </c>
      <c r="F997" s="4" t="str">
        <f>IF(Jugadores!B997="","",Jugadores!B997)</f>
        <v/>
      </c>
      <c r="G997" s="4" t="str">
        <f>IF(Jugadores!B997="","",Jugadores!A997)</f>
        <v/>
      </c>
      <c r="H997" s="4" t="str">
        <f>IF(F997="","",SUMIF('Estadísticas Jugadores'!$F$2:$F$7001,F997,'Estadísticas Jugadores'!$I$2:$I$7001))</f>
        <v/>
      </c>
      <c r="I997" s="4" t="str">
        <f t="shared" si="78"/>
        <v/>
      </c>
      <c r="J997" s="4" t="str">
        <f t="shared" si="79"/>
        <v/>
      </c>
    </row>
    <row r="998" spans="1:10" ht="15" customHeight="1" x14ac:dyDescent="0.25">
      <c r="A998" s="8" t="str">
        <f>IF(COUNT($J$2:$J$1501)&gt;=997,997,"")</f>
        <v/>
      </c>
      <c r="B998" s="8" t="str">
        <f t="shared" si="75"/>
        <v/>
      </c>
      <c r="C998" s="8" t="str">
        <f t="shared" si="76"/>
        <v/>
      </c>
      <c r="D998" s="8" t="str">
        <f t="shared" si="77"/>
        <v/>
      </c>
      <c r="F998" s="4" t="str">
        <f>IF(Jugadores!B998="","",Jugadores!B998)</f>
        <v/>
      </c>
      <c r="G998" s="4" t="str">
        <f>IF(Jugadores!B998="","",Jugadores!A998)</f>
        <v/>
      </c>
      <c r="H998" s="4" t="str">
        <f>IF(F998="","",SUMIF('Estadísticas Jugadores'!$F$2:$F$7001,F998,'Estadísticas Jugadores'!$I$2:$I$7001))</f>
        <v/>
      </c>
      <c r="I998" s="4" t="str">
        <f t="shared" si="78"/>
        <v/>
      </c>
      <c r="J998" s="4" t="str">
        <f t="shared" si="79"/>
        <v/>
      </c>
    </row>
    <row r="999" spans="1:10" ht="15" customHeight="1" x14ac:dyDescent="0.25">
      <c r="A999" s="8" t="str">
        <f>IF(COUNT($J$2:$J$1501)&gt;=998,998,"")</f>
        <v/>
      </c>
      <c r="B999" s="8" t="str">
        <f t="shared" si="75"/>
        <v/>
      </c>
      <c r="C999" s="8" t="str">
        <f t="shared" si="76"/>
        <v/>
      </c>
      <c r="D999" s="8" t="str">
        <f t="shared" si="77"/>
        <v/>
      </c>
      <c r="F999" s="4" t="str">
        <f>IF(Jugadores!B999="","",Jugadores!B999)</f>
        <v/>
      </c>
      <c r="G999" s="4" t="str">
        <f>IF(Jugadores!B999="","",Jugadores!A999)</f>
        <v/>
      </c>
      <c r="H999" s="4" t="str">
        <f>IF(F999="","",SUMIF('Estadísticas Jugadores'!$F$2:$F$7001,F999,'Estadísticas Jugadores'!$I$2:$I$7001))</f>
        <v/>
      </c>
      <c r="I999" s="4" t="str">
        <f t="shared" si="78"/>
        <v/>
      </c>
      <c r="J999" s="4" t="str">
        <f t="shared" si="79"/>
        <v/>
      </c>
    </row>
    <row r="1000" spans="1:10" ht="15" customHeight="1" x14ac:dyDescent="0.25">
      <c r="A1000" s="8" t="str">
        <f>IF(COUNT($J$2:$J$1501)&gt;=999,999,"")</f>
        <v/>
      </c>
      <c r="B1000" s="8" t="str">
        <f t="shared" si="75"/>
        <v/>
      </c>
      <c r="C1000" s="8" t="str">
        <f t="shared" si="76"/>
        <v/>
      </c>
      <c r="D1000" s="8" t="str">
        <f t="shared" si="77"/>
        <v/>
      </c>
      <c r="F1000" s="4" t="str">
        <f>IF(Jugadores!B1000="","",Jugadores!B1000)</f>
        <v/>
      </c>
      <c r="G1000" s="4" t="str">
        <f>IF(Jugadores!B1000="","",Jugadores!A1000)</f>
        <v/>
      </c>
      <c r="H1000" s="4" t="str">
        <f>IF(F1000="","",SUMIF('Estadísticas Jugadores'!$F$2:$F$7001,F1000,'Estadísticas Jugadores'!$I$2:$I$7001))</f>
        <v/>
      </c>
      <c r="I1000" s="4" t="str">
        <f t="shared" si="78"/>
        <v/>
      </c>
      <c r="J1000" s="4" t="str">
        <f t="shared" si="79"/>
        <v/>
      </c>
    </row>
    <row r="1001" spans="1:10" ht="15" customHeight="1" x14ac:dyDescent="0.25">
      <c r="A1001" s="8" t="str">
        <f>IF(COUNT($J$2:$J$1501)&gt;=1000,1000,"")</f>
        <v/>
      </c>
      <c r="B1001" s="8" t="str">
        <f t="shared" si="75"/>
        <v/>
      </c>
      <c r="C1001" s="8" t="str">
        <f t="shared" si="76"/>
        <v/>
      </c>
      <c r="D1001" s="8" t="str">
        <f t="shared" si="77"/>
        <v/>
      </c>
      <c r="F1001" s="4" t="str">
        <f>IF(Jugadores!B1001="","",Jugadores!B1001)</f>
        <v/>
      </c>
      <c r="G1001" s="4" t="str">
        <f>IF(Jugadores!B1001="","",Jugadores!A1001)</f>
        <v/>
      </c>
      <c r="H1001" s="4" t="str">
        <f>IF(F1001="","",SUMIF('Estadísticas Jugadores'!$F$2:$F$7001,F1001,'Estadísticas Jugadores'!$I$2:$I$7001))</f>
        <v/>
      </c>
      <c r="I1001" s="4" t="str">
        <f t="shared" si="78"/>
        <v/>
      </c>
      <c r="J1001" s="4" t="str">
        <f t="shared" si="79"/>
        <v/>
      </c>
    </row>
    <row r="1002" spans="1:10" ht="15" customHeight="1" x14ac:dyDescent="0.25">
      <c r="A1002" s="8" t="str">
        <f>IF(COUNT($J$2:$J$1501)&gt;=1001,1001,"")</f>
        <v/>
      </c>
      <c r="B1002" s="8" t="str">
        <f t="shared" si="75"/>
        <v/>
      </c>
      <c r="C1002" s="8" t="str">
        <f t="shared" si="76"/>
        <v/>
      </c>
      <c r="D1002" s="8" t="str">
        <f t="shared" si="77"/>
        <v/>
      </c>
      <c r="F1002" s="4" t="str">
        <f>IF(Jugadores!B1002="","",Jugadores!B1002)</f>
        <v/>
      </c>
      <c r="G1002" s="4" t="str">
        <f>IF(Jugadores!B1002="","",Jugadores!A1002)</f>
        <v/>
      </c>
      <c r="H1002" s="4" t="str">
        <f>IF(F1002="","",SUMIF('Estadísticas Jugadores'!$F$2:$F$7001,F1002,'Estadísticas Jugadores'!$I$2:$I$7001))</f>
        <v/>
      </c>
      <c r="I1002" s="4" t="str">
        <f t="shared" si="78"/>
        <v/>
      </c>
      <c r="J1002" s="4" t="str">
        <f t="shared" si="79"/>
        <v/>
      </c>
    </row>
    <row r="1003" spans="1:10" ht="15" customHeight="1" x14ac:dyDescent="0.25">
      <c r="A1003" s="8" t="str">
        <f>IF(COUNT($J$2:$J$1501)&gt;=1002,1002,"")</f>
        <v/>
      </c>
      <c r="B1003" s="8" t="str">
        <f t="shared" si="75"/>
        <v/>
      </c>
      <c r="C1003" s="8" t="str">
        <f t="shared" si="76"/>
        <v/>
      </c>
      <c r="D1003" s="8" t="str">
        <f t="shared" si="77"/>
        <v/>
      </c>
      <c r="F1003" s="4" t="str">
        <f>IF(Jugadores!B1003="","",Jugadores!B1003)</f>
        <v/>
      </c>
      <c r="G1003" s="4" t="str">
        <f>IF(Jugadores!B1003="","",Jugadores!A1003)</f>
        <v/>
      </c>
      <c r="H1003" s="4" t="str">
        <f>IF(F1003="","",SUMIF('Estadísticas Jugadores'!$F$2:$F$7001,F1003,'Estadísticas Jugadores'!$I$2:$I$7001))</f>
        <v/>
      </c>
      <c r="I1003" s="4" t="str">
        <f t="shared" si="78"/>
        <v/>
      </c>
      <c r="J1003" s="4" t="str">
        <f t="shared" si="79"/>
        <v/>
      </c>
    </row>
    <row r="1004" spans="1:10" ht="15" customHeight="1" x14ac:dyDescent="0.25">
      <c r="A1004" s="8" t="str">
        <f>IF(COUNT($J$2:$J$1501)&gt;=1003,1003,"")</f>
        <v/>
      </c>
      <c r="B1004" s="8" t="str">
        <f t="shared" si="75"/>
        <v/>
      </c>
      <c r="C1004" s="8" t="str">
        <f t="shared" si="76"/>
        <v/>
      </c>
      <c r="D1004" s="8" t="str">
        <f t="shared" si="77"/>
        <v/>
      </c>
      <c r="F1004" s="4" t="str">
        <f>IF(Jugadores!B1004="","",Jugadores!B1004)</f>
        <v/>
      </c>
      <c r="G1004" s="4" t="str">
        <f>IF(Jugadores!B1004="","",Jugadores!A1004)</f>
        <v/>
      </c>
      <c r="H1004" s="4" t="str">
        <f>IF(F1004="","",SUMIF('Estadísticas Jugadores'!$F$2:$F$7001,F1004,'Estadísticas Jugadores'!$I$2:$I$7001))</f>
        <v/>
      </c>
      <c r="I1004" s="4" t="str">
        <f t="shared" si="78"/>
        <v/>
      </c>
      <c r="J1004" s="4" t="str">
        <f t="shared" si="79"/>
        <v/>
      </c>
    </row>
    <row r="1005" spans="1:10" ht="15" customHeight="1" x14ac:dyDescent="0.25">
      <c r="A1005" s="8" t="str">
        <f>IF(COUNT($J$2:$J$1501)&gt;=1004,1004,"")</f>
        <v/>
      </c>
      <c r="B1005" s="8" t="str">
        <f t="shared" si="75"/>
        <v/>
      </c>
      <c r="C1005" s="8" t="str">
        <f t="shared" si="76"/>
        <v/>
      </c>
      <c r="D1005" s="8" t="str">
        <f t="shared" si="77"/>
        <v/>
      </c>
      <c r="F1005" s="4" t="str">
        <f>IF(Jugadores!B1005="","",Jugadores!B1005)</f>
        <v/>
      </c>
      <c r="G1005" s="4" t="str">
        <f>IF(Jugadores!B1005="","",Jugadores!A1005)</f>
        <v/>
      </c>
      <c r="H1005" s="4" t="str">
        <f>IF(F1005="","",SUMIF('Estadísticas Jugadores'!$F$2:$F$7001,F1005,'Estadísticas Jugadores'!$I$2:$I$7001))</f>
        <v/>
      </c>
      <c r="I1005" s="4" t="str">
        <f t="shared" si="78"/>
        <v/>
      </c>
      <c r="J1005" s="4" t="str">
        <f t="shared" si="79"/>
        <v/>
      </c>
    </row>
    <row r="1006" spans="1:10" ht="15" customHeight="1" x14ac:dyDescent="0.25">
      <c r="A1006" s="8" t="str">
        <f>IF(COUNT($J$2:$J$1501)&gt;=1005,1005,"")</f>
        <v/>
      </c>
      <c r="B1006" s="8" t="str">
        <f t="shared" si="75"/>
        <v/>
      </c>
      <c r="C1006" s="8" t="str">
        <f t="shared" si="76"/>
        <v/>
      </c>
      <c r="D1006" s="8" t="str">
        <f t="shared" si="77"/>
        <v/>
      </c>
      <c r="F1006" s="4" t="str">
        <f>IF(Jugadores!B1006="","",Jugadores!B1006)</f>
        <v/>
      </c>
      <c r="G1006" s="4" t="str">
        <f>IF(Jugadores!B1006="","",Jugadores!A1006)</f>
        <v/>
      </c>
      <c r="H1006" s="4" t="str">
        <f>IF(F1006="","",SUMIF('Estadísticas Jugadores'!$F$2:$F$7001,F1006,'Estadísticas Jugadores'!$I$2:$I$7001))</f>
        <v/>
      </c>
      <c r="I1006" s="4" t="str">
        <f t="shared" si="78"/>
        <v/>
      </c>
      <c r="J1006" s="4" t="str">
        <f t="shared" si="79"/>
        <v/>
      </c>
    </row>
    <row r="1007" spans="1:10" ht="15" customHeight="1" x14ac:dyDescent="0.25">
      <c r="A1007" s="8" t="str">
        <f>IF(COUNT($J$2:$J$1501)&gt;=1006,1006,"")</f>
        <v/>
      </c>
      <c r="B1007" s="8" t="str">
        <f t="shared" si="75"/>
        <v/>
      </c>
      <c r="C1007" s="8" t="str">
        <f t="shared" si="76"/>
        <v/>
      </c>
      <c r="D1007" s="8" t="str">
        <f t="shared" si="77"/>
        <v/>
      </c>
      <c r="F1007" s="4" t="str">
        <f>IF(Jugadores!B1007="","",Jugadores!B1007)</f>
        <v/>
      </c>
      <c r="G1007" s="4" t="str">
        <f>IF(Jugadores!B1007="","",Jugadores!A1007)</f>
        <v/>
      </c>
      <c r="H1007" s="4" t="str">
        <f>IF(F1007="","",SUMIF('Estadísticas Jugadores'!$F$2:$F$7001,F1007,'Estadísticas Jugadores'!$I$2:$I$7001))</f>
        <v/>
      </c>
      <c r="I1007" s="4" t="str">
        <f t="shared" si="78"/>
        <v/>
      </c>
      <c r="J1007" s="4" t="str">
        <f t="shared" si="79"/>
        <v/>
      </c>
    </row>
    <row r="1008" spans="1:10" ht="15" customHeight="1" x14ac:dyDescent="0.25">
      <c r="A1008" s="8" t="str">
        <f>IF(COUNT($J$2:$J$1501)&gt;=1007,1007,"")</f>
        <v/>
      </c>
      <c r="B1008" s="8" t="str">
        <f t="shared" si="75"/>
        <v/>
      </c>
      <c r="C1008" s="8" t="str">
        <f t="shared" si="76"/>
        <v/>
      </c>
      <c r="D1008" s="8" t="str">
        <f t="shared" si="77"/>
        <v/>
      </c>
      <c r="F1008" s="4" t="str">
        <f>IF(Jugadores!B1008="","",Jugadores!B1008)</f>
        <v/>
      </c>
      <c r="G1008" s="4" t="str">
        <f>IF(Jugadores!B1008="","",Jugadores!A1008)</f>
        <v/>
      </c>
      <c r="H1008" s="4" t="str">
        <f>IF(F1008="","",SUMIF('Estadísticas Jugadores'!$F$2:$F$7001,F1008,'Estadísticas Jugadores'!$I$2:$I$7001))</f>
        <v/>
      </c>
      <c r="I1008" s="4" t="str">
        <f t="shared" si="78"/>
        <v/>
      </c>
      <c r="J1008" s="4" t="str">
        <f t="shared" si="79"/>
        <v/>
      </c>
    </row>
    <row r="1009" spans="1:10" ht="15" customHeight="1" x14ac:dyDescent="0.25">
      <c r="A1009" s="8" t="str">
        <f>IF(COUNT($J$2:$J$1501)&gt;=1008,1008,"")</f>
        <v/>
      </c>
      <c r="B1009" s="8" t="str">
        <f t="shared" si="75"/>
        <v/>
      </c>
      <c r="C1009" s="8" t="str">
        <f t="shared" si="76"/>
        <v/>
      </c>
      <c r="D1009" s="8" t="str">
        <f t="shared" si="77"/>
        <v/>
      </c>
      <c r="F1009" s="4" t="str">
        <f>IF(Jugadores!B1009="","",Jugadores!B1009)</f>
        <v/>
      </c>
      <c r="G1009" s="4" t="str">
        <f>IF(Jugadores!B1009="","",Jugadores!A1009)</f>
        <v/>
      </c>
      <c r="H1009" s="4" t="str">
        <f>IF(F1009="","",SUMIF('Estadísticas Jugadores'!$F$2:$F$7001,F1009,'Estadísticas Jugadores'!$I$2:$I$7001))</f>
        <v/>
      </c>
      <c r="I1009" s="4" t="str">
        <f t="shared" si="78"/>
        <v/>
      </c>
      <c r="J1009" s="4" t="str">
        <f t="shared" si="79"/>
        <v/>
      </c>
    </row>
    <row r="1010" spans="1:10" ht="15" customHeight="1" x14ac:dyDescent="0.25">
      <c r="A1010" s="8" t="str">
        <f>IF(COUNT($J$2:$J$1501)&gt;=1009,1009,"")</f>
        <v/>
      </c>
      <c r="B1010" s="8" t="str">
        <f t="shared" si="75"/>
        <v/>
      </c>
      <c r="C1010" s="8" t="str">
        <f t="shared" si="76"/>
        <v/>
      </c>
      <c r="D1010" s="8" t="str">
        <f t="shared" si="77"/>
        <v/>
      </c>
      <c r="F1010" s="4" t="str">
        <f>IF(Jugadores!B1010="","",Jugadores!B1010)</f>
        <v/>
      </c>
      <c r="G1010" s="4" t="str">
        <f>IF(Jugadores!B1010="","",Jugadores!A1010)</f>
        <v/>
      </c>
      <c r="H1010" s="4" t="str">
        <f>IF(F1010="","",SUMIF('Estadísticas Jugadores'!$F$2:$F$7001,F1010,'Estadísticas Jugadores'!$I$2:$I$7001))</f>
        <v/>
      </c>
      <c r="I1010" s="4" t="str">
        <f t="shared" si="78"/>
        <v/>
      </c>
      <c r="J1010" s="4" t="str">
        <f t="shared" si="79"/>
        <v/>
      </c>
    </row>
    <row r="1011" spans="1:10" ht="15" customHeight="1" x14ac:dyDescent="0.25">
      <c r="A1011" s="8" t="str">
        <f>IF(COUNT($J$2:$J$1501)&gt;=1010,1010,"")</f>
        <v/>
      </c>
      <c r="B1011" s="8" t="str">
        <f t="shared" si="75"/>
        <v/>
      </c>
      <c r="C1011" s="8" t="str">
        <f t="shared" si="76"/>
        <v/>
      </c>
      <c r="D1011" s="8" t="str">
        <f t="shared" si="77"/>
        <v/>
      </c>
      <c r="F1011" s="4" t="str">
        <f>IF(Jugadores!B1011="","",Jugadores!B1011)</f>
        <v/>
      </c>
      <c r="G1011" s="4" t="str">
        <f>IF(Jugadores!B1011="","",Jugadores!A1011)</f>
        <v/>
      </c>
      <c r="H1011" s="4" t="str">
        <f>IF(F1011="","",SUMIF('Estadísticas Jugadores'!$F$2:$F$7001,F1011,'Estadísticas Jugadores'!$I$2:$I$7001))</f>
        <v/>
      </c>
      <c r="I1011" s="4" t="str">
        <f t="shared" si="78"/>
        <v/>
      </c>
      <c r="J1011" s="4" t="str">
        <f t="shared" si="79"/>
        <v/>
      </c>
    </row>
    <row r="1012" spans="1:10" ht="15" customHeight="1" x14ac:dyDescent="0.25">
      <c r="A1012" s="8" t="str">
        <f>IF(COUNT($J$2:$J$1501)&gt;=1011,1011,"")</f>
        <v/>
      </c>
      <c r="B1012" s="8" t="str">
        <f t="shared" si="75"/>
        <v/>
      </c>
      <c r="C1012" s="8" t="str">
        <f t="shared" si="76"/>
        <v/>
      </c>
      <c r="D1012" s="8" t="str">
        <f t="shared" si="77"/>
        <v/>
      </c>
      <c r="F1012" s="4" t="str">
        <f>IF(Jugadores!B1012="","",Jugadores!B1012)</f>
        <v/>
      </c>
      <c r="G1012" s="4" t="str">
        <f>IF(Jugadores!B1012="","",Jugadores!A1012)</f>
        <v/>
      </c>
      <c r="H1012" s="4" t="str">
        <f>IF(F1012="","",SUMIF('Estadísticas Jugadores'!$F$2:$F$7001,F1012,'Estadísticas Jugadores'!$I$2:$I$7001))</f>
        <v/>
      </c>
      <c r="I1012" s="4" t="str">
        <f t="shared" si="78"/>
        <v/>
      </c>
      <c r="J1012" s="4" t="str">
        <f t="shared" si="79"/>
        <v/>
      </c>
    </row>
    <row r="1013" spans="1:10" ht="15" customHeight="1" x14ac:dyDescent="0.25">
      <c r="A1013" s="8" t="str">
        <f>IF(COUNT($J$2:$J$1501)&gt;=1012,1012,"")</f>
        <v/>
      </c>
      <c r="B1013" s="8" t="str">
        <f t="shared" si="75"/>
        <v/>
      </c>
      <c r="C1013" s="8" t="str">
        <f t="shared" si="76"/>
        <v/>
      </c>
      <c r="D1013" s="8" t="str">
        <f t="shared" si="77"/>
        <v/>
      </c>
      <c r="F1013" s="4" t="str">
        <f>IF(Jugadores!B1013="","",Jugadores!B1013)</f>
        <v/>
      </c>
      <c r="G1013" s="4" t="str">
        <f>IF(Jugadores!B1013="","",Jugadores!A1013)</f>
        <v/>
      </c>
      <c r="H1013" s="4" t="str">
        <f>IF(F1013="","",SUMIF('Estadísticas Jugadores'!$F$2:$F$7001,F1013,'Estadísticas Jugadores'!$I$2:$I$7001))</f>
        <v/>
      </c>
      <c r="I1013" s="4" t="str">
        <f t="shared" si="78"/>
        <v/>
      </c>
      <c r="J1013" s="4" t="str">
        <f t="shared" si="79"/>
        <v/>
      </c>
    </row>
    <row r="1014" spans="1:10" ht="15" customHeight="1" x14ac:dyDescent="0.25">
      <c r="A1014" s="8" t="str">
        <f>IF(COUNT($J$2:$J$1501)&gt;=1013,1013,"")</f>
        <v/>
      </c>
      <c r="B1014" s="8" t="str">
        <f t="shared" si="75"/>
        <v/>
      </c>
      <c r="C1014" s="8" t="str">
        <f t="shared" si="76"/>
        <v/>
      </c>
      <c r="D1014" s="8" t="str">
        <f t="shared" si="77"/>
        <v/>
      </c>
      <c r="F1014" s="4" t="str">
        <f>IF(Jugadores!B1014="","",Jugadores!B1014)</f>
        <v/>
      </c>
      <c r="G1014" s="4" t="str">
        <f>IF(Jugadores!B1014="","",Jugadores!A1014)</f>
        <v/>
      </c>
      <c r="H1014" s="4" t="str">
        <f>IF(F1014="","",SUMIF('Estadísticas Jugadores'!$F$2:$F$7001,F1014,'Estadísticas Jugadores'!$I$2:$I$7001))</f>
        <v/>
      </c>
      <c r="I1014" s="4" t="str">
        <f t="shared" si="78"/>
        <v/>
      </c>
      <c r="J1014" s="4" t="str">
        <f t="shared" si="79"/>
        <v/>
      </c>
    </row>
    <row r="1015" spans="1:10" ht="15" customHeight="1" x14ac:dyDescent="0.25">
      <c r="A1015" s="8" t="str">
        <f>IF(COUNT($J$2:$J$1501)&gt;=1014,1014,"")</f>
        <v/>
      </c>
      <c r="B1015" s="8" t="str">
        <f t="shared" si="75"/>
        <v/>
      </c>
      <c r="C1015" s="8" t="str">
        <f t="shared" si="76"/>
        <v/>
      </c>
      <c r="D1015" s="8" t="str">
        <f t="shared" si="77"/>
        <v/>
      </c>
      <c r="F1015" s="4" t="str">
        <f>IF(Jugadores!B1015="","",Jugadores!B1015)</f>
        <v/>
      </c>
      <c r="G1015" s="4" t="str">
        <f>IF(Jugadores!B1015="","",Jugadores!A1015)</f>
        <v/>
      </c>
      <c r="H1015" s="4" t="str">
        <f>IF(F1015="","",SUMIF('Estadísticas Jugadores'!$F$2:$F$7001,F1015,'Estadísticas Jugadores'!$I$2:$I$7001))</f>
        <v/>
      </c>
      <c r="I1015" s="4" t="str">
        <f t="shared" si="78"/>
        <v/>
      </c>
      <c r="J1015" s="4" t="str">
        <f t="shared" si="79"/>
        <v/>
      </c>
    </row>
    <row r="1016" spans="1:10" ht="15" customHeight="1" x14ac:dyDescent="0.25">
      <c r="A1016" s="8" t="str">
        <f>IF(COUNT($J$2:$J$1501)&gt;=1015,1015,"")</f>
        <v/>
      </c>
      <c r="B1016" s="8" t="str">
        <f t="shared" si="75"/>
        <v/>
      </c>
      <c r="C1016" s="8" t="str">
        <f t="shared" si="76"/>
        <v/>
      </c>
      <c r="D1016" s="8" t="str">
        <f t="shared" si="77"/>
        <v/>
      </c>
      <c r="F1016" s="4" t="str">
        <f>IF(Jugadores!B1016="","",Jugadores!B1016)</f>
        <v/>
      </c>
      <c r="G1016" s="4" t="str">
        <f>IF(Jugadores!B1016="","",Jugadores!A1016)</f>
        <v/>
      </c>
      <c r="H1016" s="4" t="str">
        <f>IF(F1016="","",SUMIF('Estadísticas Jugadores'!$F$2:$F$7001,F1016,'Estadísticas Jugadores'!$I$2:$I$7001))</f>
        <v/>
      </c>
      <c r="I1016" s="4" t="str">
        <f t="shared" si="78"/>
        <v/>
      </c>
      <c r="J1016" s="4" t="str">
        <f t="shared" si="79"/>
        <v/>
      </c>
    </row>
    <row r="1017" spans="1:10" ht="15" customHeight="1" x14ac:dyDescent="0.25">
      <c r="A1017" s="8" t="str">
        <f>IF(COUNT($J$2:$J$1501)&gt;=1016,1016,"")</f>
        <v/>
      </c>
      <c r="B1017" s="8" t="str">
        <f t="shared" si="75"/>
        <v/>
      </c>
      <c r="C1017" s="8" t="str">
        <f t="shared" si="76"/>
        <v/>
      </c>
      <c r="D1017" s="8" t="str">
        <f t="shared" si="77"/>
        <v/>
      </c>
      <c r="F1017" s="4" t="str">
        <f>IF(Jugadores!B1017="","",Jugadores!B1017)</f>
        <v/>
      </c>
      <c r="G1017" s="4" t="str">
        <f>IF(Jugadores!B1017="","",Jugadores!A1017)</f>
        <v/>
      </c>
      <c r="H1017" s="4" t="str">
        <f>IF(F1017="","",SUMIF('Estadísticas Jugadores'!$F$2:$F$7001,F1017,'Estadísticas Jugadores'!$I$2:$I$7001))</f>
        <v/>
      </c>
      <c r="I1017" s="4" t="str">
        <f t="shared" si="78"/>
        <v/>
      </c>
      <c r="J1017" s="4" t="str">
        <f t="shared" si="79"/>
        <v/>
      </c>
    </row>
    <row r="1018" spans="1:10" ht="15" customHeight="1" x14ac:dyDescent="0.25">
      <c r="A1018" s="8" t="str">
        <f>IF(COUNT($J$2:$J$1501)&gt;=1017,1017,"")</f>
        <v/>
      </c>
      <c r="B1018" s="8" t="str">
        <f t="shared" si="75"/>
        <v/>
      </c>
      <c r="C1018" s="8" t="str">
        <f t="shared" si="76"/>
        <v/>
      </c>
      <c r="D1018" s="8" t="str">
        <f t="shared" si="77"/>
        <v/>
      </c>
      <c r="F1018" s="4" t="str">
        <f>IF(Jugadores!B1018="","",Jugadores!B1018)</f>
        <v/>
      </c>
      <c r="G1018" s="4" t="str">
        <f>IF(Jugadores!B1018="","",Jugadores!A1018)</f>
        <v/>
      </c>
      <c r="H1018" s="4" t="str">
        <f>IF(F1018="","",SUMIF('Estadísticas Jugadores'!$F$2:$F$7001,F1018,'Estadísticas Jugadores'!$I$2:$I$7001))</f>
        <v/>
      </c>
      <c r="I1018" s="4" t="str">
        <f t="shared" si="78"/>
        <v/>
      </c>
      <c r="J1018" s="4" t="str">
        <f t="shared" si="79"/>
        <v/>
      </c>
    </row>
    <row r="1019" spans="1:10" ht="15" customHeight="1" x14ac:dyDescent="0.25">
      <c r="A1019" s="8" t="str">
        <f>IF(COUNT($J$2:$J$1501)&gt;=1018,1018,"")</f>
        <v/>
      </c>
      <c r="B1019" s="8" t="str">
        <f t="shared" si="75"/>
        <v/>
      </c>
      <c r="C1019" s="8" t="str">
        <f t="shared" si="76"/>
        <v/>
      </c>
      <c r="D1019" s="8" t="str">
        <f t="shared" si="77"/>
        <v/>
      </c>
      <c r="F1019" s="4" t="str">
        <f>IF(Jugadores!B1019="","",Jugadores!B1019)</f>
        <v/>
      </c>
      <c r="G1019" s="4" t="str">
        <f>IF(Jugadores!B1019="","",Jugadores!A1019)</f>
        <v/>
      </c>
      <c r="H1019" s="4" t="str">
        <f>IF(F1019="","",SUMIF('Estadísticas Jugadores'!$F$2:$F$7001,F1019,'Estadísticas Jugadores'!$I$2:$I$7001))</f>
        <v/>
      </c>
      <c r="I1019" s="4" t="str">
        <f t="shared" si="78"/>
        <v/>
      </c>
      <c r="J1019" s="4" t="str">
        <f t="shared" si="79"/>
        <v/>
      </c>
    </row>
    <row r="1020" spans="1:10" ht="15" customHeight="1" x14ac:dyDescent="0.25">
      <c r="A1020" s="8" t="str">
        <f>IF(COUNT($J$2:$J$1501)&gt;=1019,1019,"")</f>
        <v/>
      </c>
      <c r="B1020" s="8" t="str">
        <f t="shared" si="75"/>
        <v/>
      </c>
      <c r="C1020" s="8" t="str">
        <f t="shared" si="76"/>
        <v/>
      </c>
      <c r="D1020" s="8" t="str">
        <f t="shared" si="77"/>
        <v/>
      </c>
      <c r="F1020" s="4" t="str">
        <f>IF(Jugadores!B1020="","",Jugadores!B1020)</f>
        <v/>
      </c>
      <c r="G1020" s="4" t="str">
        <f>IF(Jugadores!B1020="","",Jugadores!A1020)</f>
        <v/>
      </c>
      <c r="H1020" s="4" t="str">
        <f>IF(F1020="","",SUMIF('Estadísticas Jugadores'!$F$2:$F$7001,F1020,'Estadísticas Jugadores'!$I$2:$I$7001))</f>
        <v/>
      </c>
      <c r="I1020" s="4" t="str">
        <f t="shared" si="78"/>
        <v/>
      </c>
      <c r="J1020" s="4" t="str">
        <f t="shared" si="79"/>
        <v/>
      </c>
    </row>
    <row r="1021" spans="1:10" ht="15" customHeight="1" x14ac:dyDescent="0.25">
      <c r="A1021" s="8" t="str">
        <f>IF(COUNT($J$2:$J$1501)&gt;=1020,1020,"")</f>
        <v/>
      </c>
      <c r="B1021" s="8" t="str">
        <f t="shared" si="75"/>
        <v/>
      </c>
      <c r="C1021" s="8" t="str">
        <f t="shared" si="76"/>
        <v/>
      </c>
      <c r="D1021" s="8" t="str">
        <f t="shared" si="77"/>
        <v/>
      </c>
      <c r="F1021" s="4" t="str">
        <f>IF(Jugadores!B1021="","",Jugadores!B1021)</f>
        <v/>
      </c>
      <c r="G1021" s="4" t="str">
        <f>IF(Jugadores!B1021="","",Jugadores!A1021)</f>
        <v/>
      </c>
      <c r="H1021" s="4" t="str">
        <f>IF(F1021="","",SUMIF('Estadísticas Jugadores'!$F$2:$F$7001,F1021,'Estadísticas Jugadores'!$I$2:$I$7001))</f>
        <v/>
      </c>
      <c r="I1021" s="4" t="str">
        <f t="shared" si="78"/>
        <v/>
      </c>
      <c r="J1021" s="4" t="str">
        <f t="shared" si="79"/>
        <v/>
      </c>
    </row>
    <row r="1022" spans="1:10" ht="15" customHeight="1" x14ac:dyDescent="0.25">
      <c r="A1022" s="8" t="str">
        <f>IF(COUNT($J$2:$J$1501)&gt;=1021,1021,"")</f>
        <v/>
      </c>
      <c r="B1022" s="8" t="str">
        <f t="shared" si="75"/>
        <v/>
      </c>
      <c r="C1022" s="8" t="str">
        <f t="shared" si="76"/>
        <v/>
      </c>
      <c r="D1022" s="8" t="str">
        <f t="shared" si="77"/>
        <v/>
      </c>
      <c r="F1022" s="4" t="str">
        <f>IF(Jugadores!B1022="","",Jugadores!B1022)</f>
        <v/>
      </c>
      <c r="G1022" s="4" t="str">
        <f>IF(Jugadores!B1022="","",Jugadores!A1022)</f>
        <v/>
      </c>
      <c r="H1022" s="4" t="str">
        <f>IF(F1022="","",SUMIF('Estadísticas Jugadores'!$F$2:$F$7001,F1022,'Estadísticas Jugadores'!$I$2:$I$7001))</f>
        <v/>
      </c>
      <c r="I1022" s="4" t="str">
        <f t="shared" si="78"/>
        <v/>
      </c>
      <c r="J1022" s="4" t="str">
        <f t="shared" si="79"/>
        <v/>
      </c>
    </row>
    <row r="1023" spans="1:10" ht="15" customHeight="1" x14ac:dyDescent="0.25">
      <c r="A1023" s="8" t="str">
        <f>IF(COUNT($J$2:$J$1501)&gt;=1022,1022,"")</f>
        <v/>
      </c>
      <c r="B1023" s="8" t="str">
        <f t="shared" si="75"/>
        <v/>
      </c>
      <c r="C1023" s="8" t="str">
        <f t="shared" si="76"/>
        <v/>
      </c>
      <c r="D1023" s="8" t="str">
        <f t="shared" si="77"/>
        <v/>
      </c>
      <c r="F1023" s="4" t="str">
        <f>IF(Jugadores!B1023="","",Jugadores!B1023)</f>
        <v/>
      </c>
      <c r="G1023" s="4" t="str">
        <f>IF(Jugadores!B1023="","",Jugadores!A1023)</f>
        <v/>
      </c>
      <c r="H1023" s="4" t="str">
        <f>IF(F1023="","",SUMIF('Estadísticas Jugadores'!$F$2:$F$7001,F1023,'Estadísticas Jugadores'!$I$2:$I$7001))</f>
        <v/>
      </c>
      <c r="I1023" s="4" t="str">
        <f t="shared" si="78"/>
        <v/>
      </c>
      <c r="J1023" s="4" t="str">
        <f t="shared" si="79"/>
        <v/>
      </c>
    </row>
    <row r="1024" spans="1:10" ht="15" customHeight="1" x14ac:dyDescent="0.25">
      <c r="A1024" s="8" t="str">
        <f>IF(COUNT($J$2:$J$1501)&gt;=1023,1023,"")</f>
        <v/>
      </c>
      <c r="B1024" s="8" t="str">
        <f t="shared" si="75"/>
        <v/>
      </c>
      <c r="C1024" s="8" t="str">
        <f t="shared" si="76"/>
        <v/>
      </c>
      <c r="D1024" s="8" t="str">
        <f t="shared" si="77"/>
        <v/>
      </c>
      <c r="F1024" s="4" t="str">
        <f>IF(Jugadores!B1024="","",Jugadores!B1024)</f>
        <v/>
      </c>
      <c r="G1024" s="4" t="str">
        <f>IF(Jugadores!B1024="","",Jugadores!A1024)</f>
        <v/>
      </c>
      <c r="H1024" s="4" t="str">
        <f>IF(F1024="","",SUMIF('Estadísticas Jugadores'!$F$2:$F$7001,F1024,'Estadísticas Jugadores'!$I$2:$I$7001))</f>
        <v/>
      </c>
      <c r="I1024" s="4" t="str">
        <f t="shared" si="78"/>
        <v/>
      </c>
      <c r="J1024" s="4" t="str">
        <f t="shared" si="79"/>
        <v/>
      </c>
    </row>
    <row r="1025" spans="1:10" ht="15" customHeight="1" x14ac:dyDescent="0.25">
      <c r="A1025" s="8" t="str">
        <f>IF(COUNT($J$2:$J$1501)&gt;=1024,1024,"")</f>
        <v/>
      </c>
      <c r="B1025" s="8" t="str">
        <f t="shared" si="75"/>
        <v/>
      </c>
      <c r="C1025" s="8" t="str">
        <f t="shared" si="76"/>
        <v/>
      </c>
      <c r="D1025" s="8" t="str">
        <f t="shared" si="77"/>
        <v/>
      </c>
      <c r="F1025" s="4" t="str">
        <f>IF(Jugadores!B1025="","",Jugadores!B1025)</f>
        <v/>
      </c>
      <c r="G1025" s="4" t="str">
        <f>IF(Jugadores!B1025="","",Jugadores!A1025)</f>
        <v/>
      </c>
      <c r="H1025" s="4" t="str">
        <f>IF(F1025="","",SUMIF('Estadísticas Jugadores'!$F$2:$F$7001,F1025,'Estadísticas Jugadores'!$I$2:$I$7001))</f>
        <v/>
      </c>
      <c r="I1025" s="4" t="str">
        <f t="shared" si="78"/>
        <v/>
      </c>
      <c r="J1025" s="4" t="str">
        <f t="shared" si="79"/>
        <v/>
      </c>
    </row>
    <row r="1026" spans="1:10" ht="15" customHeight="1" x14ac:dyDescent="0.25">
      <c r="A1026" s="8" t="str">
        <f>IF(COUNT($J$2:$J$1501)&gt;=1025,1025,"")</f>
        <v/>
      </c>
      <c r="B1026" s="8" t="str">
        <f t="shared" ref="B1026:B1089" si="80">IF($A1026="","",INDEX($F$2:$F$1501,MATCH($A1026,$J$2:$J$1501,0)))</f>
        <v/>
      </c>
      <c r="C1026" s="8" t="str">
        <f t="shared" ref="C1026:C1089" si="81">IF($A1026="","",INDEX($G$2:$G$1501,MATCH($A1026,$J$2:$J$1501,0)))</f>
        <v/>
      </c>
      <c r="D1026" s="8" t="str">
        <f t="shared" ref="D1026:D1089" si="82">IF($A1026="","",INDEX($H$2:$H$1501,MATCH($A1026,$J$2:$J$1501,0)))</f>
        <v/>
      </c>
      <c r="F1026" s="4" t="str">
        <f>IF(Jugadores!B1026="","",Jugadores!B1026)</f>
        <v/>
      </c>
      <c r="G1026" s="4" t="str">
        <f>IF(Jugadores!B1026="","",Jugadores!A1026)</f>
        <v/>
      </c>
      <c r="H1026" s="4" t="str">
        <f>IF(F1026="","",SUMIF('Estadísticas Jugadores'!$F$2:$F$7001,F1026,'Estadísticas Jugadores'!$I$2:$I$7001))</f>
        <v/>
      </c>
      <c r="I1026" s="4" t="str">
        <f t="shared" ref="I1026:I1089" si="83">IF(F1026="","",H1026*1000-ROW()*0.0000001)</f>
        <v/>
      </c>
      <c r="J1026" s="4" t="str">
        <f t="shared" ref="J1026:J1089" si="84">IF(F1026="","",RANK(I1026,$I$2:$I$1501))</f>
        <v/>
      </c>
    </row>
    <row r="1027" spans="1:10" ht="15" customHeight="1" x14ac:dyDescent="0.25">
      <c r="A1027" s="8" t="str">
        <f>IF(COUNT($J$2:$J$1501)&gt;=1026,1026,"")</f>
        <v/>
      </c>
      <c r="B1027" s="8" t="str">
        <f t="shared" si="80"/>
        <v/>
      </c>
      <c r="C1027" s="8" t="str">
        <f t="shared" si="81"/>
        <v/>
      </c>
      <c r="D1027" s="8" t="str">
        <f t="shared" si="82"/>
        <v/>
      </c>
      <c r="F1027" s="4" t="str">
        <f>IF(Jugadores!B1027="","",Jugadores!B1027)</f>
        <v/>
      </c>
      <c r="G1027" s="4" t="str">
        <f>IF(Jugadores!B1027="","",Jugadores!A1027)</f>
        <v/>
      </c>
      <c r="H1027" s="4" t="str">
        <f>IF(F1027="","",SUMIF('Estadísticas Jugadores'!$F$2:$F$7001,F1027,'Estadísticas Jugadores'!$I$2:$I$7001))</f>
        <v/>
      </c>
      <c r="I1027" s="4" t="str">
        <f t="shared" si="83"/>
        <v/>
      </c>
      <c r="J1027" s="4" t="str">
        <f t="shared" si="84"/>
        <v/>
      </c>
    </row>
    <row r="1028" spans="1:10" ht="15" customHeight="1" x14ac:dyDescent="0.25">
      <c r="A1028" s="8" t="str">
        <f>IF(COUNT($J$2:$J$1501)&gt;=1027,1027,"")</f>
        <v/>
      </c>
      <c r="B1028" s="8" t="str">
        <f t="shared" si="80"/>
        <v/>
      </c>
      <c r="C1028" s="8" t="str">
        <f t="shared" si="81"/>
        <v/>
      </c>
      <c r="D1028" s="8" t="str">
        <f t="shared" si="82"/>
        <v/>
      </c>
      <c r="F1028" s="4" t="str">
        <f>IF(Jugadores!B1028="","",Jugadores!B1028)</f>
        <v/>
      </c>
      <c r="G1028" s="4" t="str">
        <f>IF(Jugadores!B1028="","",Jugadores!A1028)</f>
        <v/>
      </c>
      <c r="H1028" s="4" t="str">
        <f>IF(F1028="","",SUMIF('Estadísticas Jugadores'!$F$2:$F$7001,F1028,'Estadísticas Jugadores'!$I$2:$I$7001))</f>
        <v/>
      </c>
      <c r="I1028" s="4" t="str">
        <f t="shared" si="83"/>
        <v/>
      </c>
      <c r="J1028" s="4" t="str">
        <f t="shared" si="84"/>
        <v/>
      </c>
    </row>
    <row r="1029" spans="1:10" ht="15" customHeight="1" x14ac:dyDescent="0.25">
      <c r="A1029" s="8" t="str">
        <f>IF(COUNT($J$2:$J$1501)&gt;=1028,1028,"")</f>
        <v/>
      </c>
      <c r="B1029" s="8" t="str">
        <f t="shared" si="80"/>
        <v/>
      </c>
      <c r="C1029" s="8" t="str">
        <f t="shared" si="81"/>
        <v/>
      </c>
      <c r="D1029" s="8" t="str">
        <f t="shared" si="82"/>
        <v/>
      </c>
      <c r="F1029" s="4" t="str">
        <f>IF(Jugadores!B1029="","",Jugadores!B1029)</f>
        <v/>
      </c>
      <c r="G1029" s="4" t="str">
        <f>IF(Jugadores!B1029="","",Jugadores!A1029)</f>
        <v/>
      </c>
      <c r="H1029" s="4" t="str">
        <f>IF(F1029="","",SUMIF('Estadísticas Jugadores'!$F$2:$F$7001,F1029,'Estadísticas Jugadores'!$I$2:$I$7001))</f>
        <v/>
      </c>
      <c r="I1029" s="4" t="str">
        <f t="shared" si="83"/>
        <v/>
      </c>
      <c r="J1029" s="4" t="str">
        <f t="shared" si="84"/>
        <v/>
      </c>
    </row>
    <row r="1030" spans="1:10" ht="15" customHeight="1" x14ac:dyDescent="0.25">
      <c r="A1030" s="8" t="str">
        <f>IF(COUNT($J$2:$J$1501)&gt;=1029,1029,"")</f>
        <v/>
      </c>
      <c r="B1030" s="8" t="str">
        <f t="shared" si="80"/>
        <v/>
      </c>
      <c r="C1030" s="8" t="str">
        <f t="shared" si="81"/>
        <v/>
      </c>
      <c r="D1030" s="8" t="str">
        <f t="shared" si="82"/>
        <v/>
      </c>
      <c r="F1030" s="4" t="str">
        <f>IF(Jugadores!B1030="","",Jugadores!B1030)</f>
        <v/>
      </c>
      <c r="G1030" s="4" t="str">
        <f>IF(Jugadores!B1030="","",Jugadores!A1030)</f>
        <v/>
      </c>
      <c r="H1030" s="4" t="str">
        <f>IF(F1030="","",SUMIF('Estadísticas Jugadores'!$F$2:$F$7001,F1030,'Estadísticas Jugadores'!$I$2:$I$7001))</f>
        <v/>
      </c>
      <c r="I1030" s="4" t="str">
        <f t="shared" si="83"/>
        <v/>
      </c>
      <c r="J1030" s="4" t="str">
        <f t="shared" si="84"/>
        <v/>
      </c>
    </row>
    <row r="1031" spans="1:10" ht="15" customHeight="1" x14ac:dyDescent="0.25">
      <c r="A1031" s="8" t="str">
        <f>IF(COUNT($J$2:$J$1501)&gt;=1030,1030,"")</f>
        <v/>
      </c>
      <c r="B1031" s="8" t="str">
        <f t="shared" si="80"/>
        <v/>
      </c>
      <c r="C1031" s="8" t="str">
        <f t="shared" si="81"/>
        <v/>
      </c>
      <c r="D1031" s="8" t="str">
        <f t="shared" si="82"/>
        <v/>
      </c>
      <c r="F1031" s="4" t="str">
        <f>IF(Jugadores!B1031="","",Jugadores!B1031)</f>
        <v/>
      </c>
      <c r="G1031" s="4" t="str">
        <f>IF(Jugadores!B1031="","",Jugadores!A1031)</f>
        <v/>
      </c>
      <c r="H1031" s="4" t="str">
        <f>IF(F1031="","",SUMIF('Estadísticas Jugadores'!$F$2:$F$7001,F1031,'Estadísticas Jugadores'!$I$2:$I$7001))</f>
        <v/>
      </c>
      <c r="I1031" s="4" t="str">
        <f t="shared" si="83"/>
        <v/>
      </c>
      <c r="J1031" s="4" t="str">
        <f t="shared" si="84"/>
        <v/>
      </c>
    </row>
    <row r="1032" spans="1:10" ht="15" customHeight="1" x14ac:dyDescent="0.25">
      <c r="A1032" s="8" t="str">
        <f>IF(COUNT($J$2:$J$1501)&gt;=1031,1031,"")</f>
        <v/>
      </c>
      <c r="B1032" s="8" t="str">
        <f t="shared" si="80"/>
        <v/>
      </c>
      <c r="C1032" s="8" t="str">
        <f t="shared" si="81"/>
        <v/>
      </c>
      <c r="D1032" s="8" t="str">
        <f t="shared" si="82"/>
        <v/>
      </c>
      <c r="F1032" s="4" t="str">
        <f>IF(Jugadores!B1032="","",Jugadores!B1032)</f>
        <v/>
      </c>
      <c r="G1032" s="4" t="str">
        <f>IF(Jugadores!B1032="","",Jugadores!A1032)</f>
        <v/>
      </c>
      <c r="H1032" s="4" t="str">
        <f>IF(F1032="","",SUMIF('Estadísticas Jugadores'!$F$2:$F$7001,F1032,'Estadísticas Jugadores'!$I$2:$I$7001))</f>
        <v/>
      </c>
      <c r="I1032" s="4" t="str">
        <f t="shared" si="83"/>
        <v/>
      </c>
      <c r="J1032" s="4" t="str">
        <f t="shared" si="84"/>
        <v/>
      </c>
    </row>
    <row r="1033" spans="1:10" ht="15" customHeight="1" x14ac:dyDescent="0.25">
      <c r="A1033" s="8" t="str">
        <f>IF(COUNT($J$2:$J$1501)&gt;=1032,1032,"")</f>
        <v/>
      </c>
      <c r="B1033" s="8" t="str">
        <f t="shared" si="80"/>
        <v/>
      </c>
      <c r="C1033" s="8" t="str">
        <f t="shared" si="81"/>
        <v/>
      </c>
      <c r="D1033" s="8" t="str">
        <f t="shared" si="82"/>
        <v/>
      </c>
      <c r="F1033" s="4" t="str">
        <f>IF(Jugadores!B1033="","",Jugadores!B1033)</f>
        <v/>
      </c>
      <c r="G1033" s="4" t="str">
        <f>IF(Jugadores!B1033="","",Jugadores!A1033)</f>
        <v/>
      </c>
      <c r="H1033" s="4" t="str">
        <f>IF(F1033="","",SUMIF('Estadísticas Jugadores'!$F$2:$F$7001,F1033,'Estadísticas Jugadores'!$I$2:$I$7001))</f>
        <v/>
      </c>
      <c r="I1033" s="4" t="str">
        <f t="shared" si="83"/>
        <v/>
      </c>
      <c r="J1033" s="4" t="str">
        <f t="shared" si="84"/>
        <v/>
      </c>
    </row>
    <row r="1034" spans="1:10" ht="15" customHeight="1" x14ac:dyDescent="0.25">
      <c r="A1034" s="8" t="str">
        <f>IF(COUNT($J$2:$J$1501)&gt;=1033,1033,"")</f>
        <v/>
      </c>
      <c r="B1034" s="8" t="str">
        <f t="shared" si="80"/>
        <v/>
      </c>
      <c r="C1034" s="8" t="str">
        <f t="shared" si="81"/>
        <v/>
      </c>
      <c r="D1034" s="8" t="str">
        <f t="shared" si="82"/>
        <v/>
      </c>
      <c r="F1034" s="4" t="str">
        <f>IF(Jugadores!B1034="","",Jugadores!B1034)</f>
        <v/>
      </c>
      <c r="G1034" s="4" t="str">
        <f>IF(Jugadores!B1034="","",Jugadores!A1034)</f>
        <v/>
      </c>
      <c r="H1034" s="4" t="str">
        <f>IF(F1034="","",SUMIF('Estadísticas Jugadores'!$F$2:$F$7001,F1034,'Estadísticas Jugadores'!$I$2:$I$7001))</f>
        <v/>
      </c>
      <c r="I1034" s="4" t="str">
        <f t="shared" si="83"/>
        <v/>
      </c>
      <c r="J1034" s="4" t="str">
        <f t="shared" si="84"/>
        <v/>
      </c>
    </row>
    <row r="1035" spans="1:10" ht="15" customHeight="1" x14ac:dyDescent="0.25">
      <c r="A1035" s="8" t="str">
        <f>IF(COUNT($J$2:$J$1501)&gt;=1034,1034,"")</f>
        <v/>
      </c>
      <c r="B1035" s="8" t="str">
        <f t="shared" si="80"/>
        <v/>
      </c>
      <c r="C1035" s="8" t="str">
        <f t="shared" si="81"/>
        <v/>
      </c>
      <c r="D1035" s="8" t="str">
        <f t="shared" si="82"/>
        <v/>
      </c>
      <c r="F1035" s="4" t="str">
        <f>IF(Jugadores!B1035="","",Jugadores!B1035)</f>
        <v/>
      </c>
      <c r="G1035" s="4" t="str">
        <f>IF(Jugadores!B1035="","",Jugadores!A1035)</f>
        <v/>
      </c>
      <c r="H1035" s="4" t="str">
        <f>IF(F1035="","",SUMIF('Estadísticas Jugadores'!$F$2:$F$7001,F1035,'Estadísticas Jugadores'!$I$2:$I$7001))</f>
        <v/>
      </c>
      <c r="I1035" s="4" t="str">
        <f t="shared" si="83"/>
        <v/>
      </c>
      <c r="J1035" s="4" t="str">
        <f t="shared" si="84"/>
        <v/>
      </c>
    </row>
    <row r="1036" spans="1:10" ht="15" customHeight="1" x14ac:dyDescent="0.25">
      <c r="A1036" s="8" t="str">
        <f>IF(COUNT($J$2:$J$1501)&gt;=1035,1035,"")</f>
        <v/>
      </c>
      <c r="B1036" s="8" t="str">
        <f t="shared" si="80"/>
        <v/>
      </c>
      <c r="C1036" s="8" t="str">
        <f t="shared" si="81"/>
        <v/>
      </c>
      <c r="D1036" s="8" t="str">
        <f t="shared" si="82"/>
        <v/>
      </c>
      <c r="F1036" s="4" t="str">
        <f>IF(Jugadores!B1036="","",Jugadores!B1036)</f>
        <v/>
      </c>
      <c r="G1036" s="4" t="str">
        <f>IF(Jugadores!B1036="","",Jugadores!A1036)</f>
        <v/>
      </c>
      <c r="H1036" s="4" t="str">
        <f>IF(F1036="","",SUMIF('Estadísticas Jugadores'!$F$2:$F$7001,F1036,'Estadísticas Jugadores'!$I$2:$I$7001))</f>
        <v/>
      </c>
      <c r="I1036" s="4" t="str">
        <f t="shared" si="83"/>
        <v/>
      </c>
      <c r="J1036" s="4" t="str">
        <f t="shared" si="84"/>
        <v/>
      </c>
    </row>
    <row r="1037" spans="1:10" ht="15" customHeight="1" x14ac:dyDescent="0.25">
      <c r="A1037" s="8" t="str">
        <f>IF(COUNT($J$2:$J$1501)&gt;=1036,1036,"")</f>
        <v/>
      </c>
      <c r="B1037" s="8" t="str">
        <f t="shared" si="80"/>
        <v/>
      </c>
      <c r="C1037" s="8" t="str">
        <f t="shared" si="81"/>
        <v/>
      </c>
      <c r="D1037" s="8" t="str">
        <f t="shared" si="82"/>
        <v/>
      </c>
      <c r="F1037" s="4" t="str">
        <f>IF(Jugadores!B1037="","",Jugadores!B1037)</f>
        <v/>
      </c>
      <c r="G1037" s="4" t="str">
        <f>IF(Jugadores!B1037="","",Jugadores!A1037)</f>
        <v/>
      </c>
      <c r="H1037" s="4" t="str">
        <f>IF(F1037="","",SUMIF('Estadísticas Jugadores'!$F$2:$F$7001,F1037,'Estadísticas Jugadores'!$I$2:$I$7001))</f>
        <v/>
      </c>
      <c r="I1037" s="4" t="str">
        <f t="shared" si="83"/>
        <v/>
      </c>
      <c r="J1037" s="4" t="str">
        <f t="shared" si="84"/>
        <v/>
      </c>
    </row>
    <row r="1038" spans="1:10" ht="15" customHeight="1" x14ac:dyDescent="0.25">
      <c r="A1038" s="8" t="str">
        <f>IF(COUNT($J$2:$J$1501)&gt;=1037,1037,"")</f>
        <v/>
      </c>
      <c r="B1038" s="8" t="str">
        <f t="shared" si="80"/>
        <v/>
      </c>
      <c r="C1038" s="8" t="str">
        <f t="shared" si="81"/>
        <v/>
      </c>
      <c r="D1038" s="8" t="str">
        <f t="shared" si="82"/>
        <v/>
      </c>
      <c r="F1038" s="4" t="str">
        <f>IF(Jugadores!B1038="","",Jugadores!B1038)</f>
        <v/>
      </c>
      <c r="G1038" s="4" t="str">
        <f>IF(Jugadores!B1038="","",Jugadores!A1038)</f>
        <v/>
      </c>
      <c r="H1038" s="4" t="str">
        <f>IF(F1038="","",SUMIF('Estadísticas Jugadores'!$F$2:$F$7001,F1038,'Estadísticas Jugadores'!$I$2:$I$7001))</f>
        <v/>
      </c>
      <c r="I1038" s="4" t="str">
        <f t="shared" si="83"/>
        <v/>
      </c>
      <c r="J1038" s="4" t="str">
        <f t="shared" si="84"/>
        <v/>
      </c>
    </row>
    <row r="1039" spans="1:10" ht="15" customHeight="1" x14ac:dyDescent="0.25">
      <c r="A1039" s="8" t="str">
        <f>IF(COUNT($J$2:$J$1501)&gt;=1038,1038,"")</f>
        <v/>
      </c>
      <c r="B1039" s="8" t="str">
        <f t="shared" si="80"/>
        <v/>
      </c>
      <c r="C1039" s="8" t="str">
        <f t="shared" si="81"/>
        <v/>
      </c>
      <c r="D1039" s="8" t="str">
        <f t="shared" si="82"/>
        <v/>
      </c>
      <c r="F1039" s="4" t="str">
        <f>IF(Jugadores!B1039="","",Jugadores!B1039)</f>
        <v/>
      </c>
      <c r="G1039" s="4" t="str">
        <f>IF(Jugadores!B1039="","",Jugadores!A1039)</f>
        <v/>
      </c>
      <c r="H1039" s="4" t="str">
        <f>IF(F1039="","",SUMIF('Estadísticas Jugadores'!$F$2:$F$7001,F1039,'Estadísticas Jugadores'!$I$2:$I$7001))</f>
        <v/>
      </c>
      <c r="I1039" s="4" t="str">
        <f t="shared" si="83"/>
        <v/>
      </c>
      <c r="J1039" s="4" t="str">
        <f t="shared" si="84"/>
        <v/>
      </c>
    </row>
    <row r="1040" spans="1:10" ht="15" customHeight="1" x14ac:dyDescent="0.25">
      <c r="A1040" s="8" t="str">
        <f>IF(COUNT($J$2:$J$1501)&gt;=1039,1039,"")</f>
        <v/>
      </c>
      <c r="B1040" s="8" t="str">
        <f t="shared" si="80"/>
        <v/>
      </c>
      <c r="C1040" s="8" t="str">
        <f t="shared" si="81"/>
        <v/>
      </c>
      <c r="D1040" s="8" t="str">
        <f t="shared" si="82"/>
        <v/>
      </c>
      <c r="F1040" s="4" t="str">
        <f>IF(Jugadores!B1040="","",Jugadores!B1040)</f>
        <v/>
      </c>
      <c r="G1040" s="4" t="str">
        <f>IF(Jugadores!B1040="","",Jugadores!A1040)</f>
        <v/>
      </c>
      <c r="H1040" s="4" t="str">
        <f>IF(F1040="","",SUMIF('Estadísticas Jugadores'!$F$2:$F$7001,F1040,'Estadísticas Jugadores'!$I$2:$I$7001))</f>
        <v/>
      </c>
      <c r="I1040" s="4" t="str">
        <f t="shared" si="83"/>
        <v/>
      </c>
      <c r="J1040" s="4" t="str">
        <f t="shared" si="84"/>
        <v/>
      </c>
    </row>
    <row r="1041" spans="1:10" ht="15" customHeight="1" x14ac:dyDescent="0.25">
      <c r="A1041" s="8" t="str">
        <f>IF(COUNT($J$2:$J$1501)&gt;=1040,1040,"")</f>
        <v/>
      </c>
      <c r="B1041" s="8" t="str">
        <f t="shared" si="80"/>
        <v/>
      </c>
      <c r="C1041" s="8" t="str">
        <f t="shared" si="81"/>
        <v/>
      </c>
      <c r="D1041" s="8" t="str">
        <f t="shared" si="82"/>
        <v/>
      </c>
      <c r="F1041" s="4" t="str">
        <f>IF(Jugadores!B1041="","",Jugadores!B1041)</f>
        <v/>
      </c>
      <c r="G1041" s="4" t="str">
        <f>IF(Jugadores!B1041="","",Jugadores!A1041)</f>
        <v/>
      </c>
      <c r="H1041" s="4" t="str">
        <f>IF(F1041="","",SUMIF('Estadísticas Jugadores'!$F$2:$F$7001,F1041,'Estadísticas Jugadores'!$I$2:$I$7001))</f>
        <v/>
      </c>
      <c r="I1041" s="4" t="str">
        <f t="shared" si="83"/>
        <v/>
      </c>
      <c r="J1041" s="4" t="str">
        <f t="shared" si="84"/>
        <v/>
      </c>
    </row>
    <row r="1042" spans="1:10" ht="15" customHeight="1" x14ac:dyDescent="0.25">
      <c r="A1042" s="8" t="str">
        <f>IF(COUNT($J$2:$J$1501)&gt;=1041,1041,"")</f>
        <v/>
      </c>
      <c r="B1042" s="8" t="str">
        <f t="shared" si="80"/>
        <v/>
      </c>
      <c r="C1042" s="8" t="str">
        <f t="shared" si="81"/>
        <v/>
      </c>
      <c r="D1042" s="8" t="str">
        <f t="shared" si="82"/>
        <v/>
      </c>
      <c r="F1042" s="4" t="str">
        <f>IF(Jugadores!B1042="","",Jugadores!B1042)</f>
        <v/>
      </c>
      <c r="G1042" s="4" t="str">
        <f>IF(Jugadores!B1042="","",Jugadores!A1042)</f>
        <v/>
      </c>
      <c r="H1042" s="4" t="str">
        <f>IF(F1042="","",SUMIF('Estadísticas Jugadores'!$F$2:$F$7001,F1042,'Estadísticas Jugadores'!$I$2:$I$7001))</f>
        <v/>
      </c>
      <c r="I1042" s="4" t="str">
        <f t="shared" si="83"/>
        <v/>
      </c>
      <c r="J1042" s="4" t="str">
        <f t="shared" si="84"/>
        <v/>
      </c>
    </row>
    <row r="1043" spans="1:10" ht="15" customHeight="1" x14ac:dyDescent="0.25">
      <c r="A1043" s="8" t="str">
        <f>IF(COUNT($J$2:$J$1501)&gt;=1042,1042,"")</f>
        <v/>
      </c>
      <c r="B1043" s="8" t="str">
        <f t="shared" si="80"/>
        <v/>
      </c>
      <c r="C1043" s="8" t="str">
        <f t="shared" si="81"/>
        <v/>
      </c>
      <c r="D1043" s="8" t="str">
        <f t="shared" si="82"/>
        <v/>
      </c>
      <c r="F1043" s="4" t="str">
        <f>IF(Jugadores!B1043="","",Jugadores!B1043)</f>
        <v/>
      </c>
      <c r="G1043" s="4" t="str">
        <f>IF(Jugadores!B1043="","",Jugadores!A1043)</f>
        <v/>
      </c>
      <c r="H1043" s="4" t="str">
        <f>IF(F1043="","",SUMIF('Estadísticas Jugadores'!$F$2:$F$7001,F1043,'Estadísticas Jugadores'!$I$2:$I$7001))</f>
        <v/>
      </c>
      <c r="I1043" s="4" t="str">
        <f t="shared" si="83"/>
        <v/>
      </c>
      <c r="J1043" s="4" t="str">
        <f t="shared" si="84"/>
        <v/>
      </c>
    </row>
    <row r="1044" spans="1:10" ht="15" customHeight="1" x14ac:dyDescent="0.25">
      <c r="A1044" s="8" t="str">
        <f>IF(COUNT($J$2:$J$1501)&gt;=1043,1043,"")</f>
        <v/>
      </c>
      <c r="B1044" s="8" t="str">
        <f t="shared" si="80"/>
        <v/>
      </c>
      <c r="C1044" s="8" t="str">
        <f t="shared" si="81"/>
        <v/>
      </c>
      <c r="D1044" s="8" t="str">
        <f t="shared" si="82"/>
        <v/>
      </c>
      <c r="F1044" s="4" t="str">
        <f>IF(Jugadores!B1044="","",Jugadores!B1044)</f>
        <v/>
      </c>
      <c r="G1044" s="4" t="str">
        <f>IF(Jugadores!B1044="","",Jugadores!A1044)</f>
        <v/>
      </c>
      <c r="H1044" s="4" t="str">
        <f>IF(F1044="","",SUMIF('Estadísticas Jugadores'!$F$2:$F$7001,F1044,'Estadísticas Jugadores'!$I$2:$I$7001))</f>
        <v/>
      </c>
      <c r="I1044" s="4" t="str">
        <f t="shared" si="83"/>
        <v/>
      </c>
      <c r="J1044" s="4" t="str">
        <f t="shared" si="84"/>
        <v/>
      </c>
    </row>
    <row r="1045" spans="1:10" ht="15" customHeight="1" x14ac:dyDescent="0.25">
      <c r="A1045" s="8" t="str">
        <f>IF(COUNT($J$2:$J$1501)&gt;=1044,1044,"")</f>
        <v/>
      </c>
      <c r="B1045" s="8" t="str">
        <f t="shared" si="80"/>
        <v/>
      </c>
      <c r="C1045" s="8" t="str">
        <f t="shared" si="81"/>
        <v/>
      </c>
      <c r="D1045" s="8" t="str">
        <f t="shared" si="82"/>
        <v/>
      </c>
      <c r="F1045" s="4" t="str">
        <f>IF(Jugadores!B1045="","",Jugadores!B1045)</f>
        <v/>
      </c>
      <c r="G1045" s="4" t="str">
        <f>IF(Jugadores!B1045="","",Jugadores!A1045)</f>
        <v/>
      </c>
      <c r="H1045" s="4" t="str">
        <f>IF(F1045="","",SUMIF('Estadísticas Jugadores'!$F$2:$F$7001,F1045,'Estadísticas Jugadores'!$I$2:$I$7001))</f>
        <v/>
      </c>
      <c r="I1045" s="4" t="str">
        <f t="shared" si="83"/>
        <v/>
      </c>
      <c r="J1045" s="4" t="str">
        <f t="shared" si="84"/>
        <v/>
      </c>
    </row>
    <row r="1046" spans="1:10" ht="15" customHeight="1" x14ac:dyDescent="0.25">
      <c r="A1046" s="8" t="str">
        <f>IF(COUNT($J$2:$J$1501)&gt;=1045,1045,"")</f>
        <v/>
      </c>
      <c r="B1046" s="8" t="str">
        <f t="shared" si="80"/>
        <v/>
      </c>
      <c r="C1046" s="8" t="str">
        <f t="shared" si="81"/>
        <v/>
      </c>
      <c r="D1046" s="8" t="str">
        <f t="shared" si="82"/>
        <v/>
      </c>
      <c r="F1046" s="4" t="str">
        <f>IF(Jugadores!B1046="","",Jugadores!B1046)</f>
        <v/>
      </c>
      <c r="G1046" s="4" t="str">
        <f>IF(Jugadores!B1046="","",Jugadores!A1046)</f>
        <v/>
      </c>
      <c r="H1046" s="4" t="str">
        <f>IF(F1046="","",SUMIF('Estadísticas Jugadores'!$F$2:$F$7001,F1046,'Estadísticas Jugadores'!$I$2:$I$7001))</f>
        <v/>
      </c>
      <c r="I1046" s="4" t="str">
        <f t="shared" si="83"/>
        <v/>
      </c>
      <c r="J1046" s="4" t="str">
        <f t="shared" si="84"/>
        <v/>
      </c>
    </row>
    <row r="1047" spans="1:10" ht="15" customHeight="1" x14ac:dyDescent="0.25">
      <c r="A1047" s="8" t="str">
        <f>IF(COUNT($J$2:$J$1501)&gt;=1046,1046,"")</f>
        <v/>
      </c>
      <c r="B1047" s="8" t="str">
        <f t="shared" si="80"/>
        <v/>
      </c>
      <c r="C1047" s="8" t="str">
        <f t="shared" si="81"/>
        <v/>
      </c>
      <c r="D1047" s="8" t="str">
        <f t="shared" si="82"/>
        <v/>
      </c>
      <c r="F1047" s="4" t="str">
        <f>IF(Jugadores!B1047="","",Jugadores!B1047)</f>
        <v/>
      </c>
      <c r="G1047" s="4" t="str">
        <f>IF(Jugadores!B1047="","",Jugadores!A1047)</f>
        <v/>
      </c>
      <c r="H1047" s="4" t="str">
        <f>IF(F1047="","",SUMIF('Estadísticas Jugadores'!$F$2:$F$7001,F1047,'Estadísticas Jugadores'!$I$2:$I$7001))</f>
        <v/>
      </c>
      <c r="I1047" s="4" t="str">
        <f t="shared" si="83"/>
        <v/>
      </c>
      <c r="J1047" s="4" t="str">
        <f t="shared" si="84"/>
        <v/>
      </c>
    </row>
    <row r="1048" spans="1:10" ht="15" customHeight="1" x14ac:dyDescent="0.25">
      <c r="A1048" s="8" t="str">
        <f>IF(COUNT($J$2:$J$1501)&gt;=1047,1047,"")</f>
        <v/>
      </c>
      <c r="B1048" s="8" t="str">
        <f t="shared" si="80"/>
        <v/>
      </c>
      <c r="C1048" s="8" t="str">
        <f t="shared" si="81"/>
        <v/>
      </c>
      <c r="D1048" s="8" t="str">
        <f t="shared" si="82"/>
        <v/>
      </c>
      <c r="F1048" s="4" t="str">
        <f>IF(Jugadores!B1048="","",Jugadores!B1048)</f>
        <v/>
      </c>
      <c r="G1048" s="4" t="str">
        <f>IF(Jugadores!B1048="","",Jugadores!A1048)</f>
        <v/>
      </c>
      <c r="H1048" s="4" t="str">
        <f>IF(F1048="","",SUMIF('Estadísticas Jugadores'!$F$2:$F$7001,F1048,'Estadísticas Jugadores'!$I$2:$I$7001))</f>
        <v/>
      </c>
      <c r="I1048" s="4" t="str">
        <f t="shared" si="83"/>
        <v/>
      </c>
      <c r="J1048" s="4" t="str">
        <f t="shared" si="84"/>
        <v/>
      </c>
    </row>
    <row r="1049" spans="1:10" ht="15" customHeight="1" x14ac:dyDescent="0.25">
      <c r="A1049" s="8" t="str">
        <f>IF(COUNT($J$2:$J$1501)&gt;=1048,1048,"")</f>
        <v/>
      </c>
      <c r="B1049" s="8" t="str">
        <f t="shared" si="80"/>
        <v/>
      </c>
      <c r="C1049" s="8" t="str">
        <f t="shared" si="81"/>
        <v/>
      </c>
      <c r="D1049" s="8" t="str">
        <f t="shared" si="82"/>
        <v/>
      </c>
      <c r="F1049" s="4" t="str">
        <f>IF(Jugadores!B1049="","",Jugadores!B1049)</f>
        <v/>
      </c>
      <c r="G1049" s="4" t="str">
        <f>IF(Jugadores!B1049="","",Jugadores!A1049)</f>
        <v/>
      </c>
      <c r="H1049" s="4" t="str">
        <f>IF(F1049="","",SUMIF('Estadísticas Jugadores'!$F$2:$F$7001,F1049,'Estadísticas Jugadores'!$I$2:$I$7001))</f>
        <v/>
      </c>
      <c r="I1049" s="4" t="str">
        <f t="shared" si="83"/>
        <v/>
      </c>
      <c r="J1049" s="4" t="str">
        <f t="shared" si="84"/>
        <v/>
      </c>
    </row>
    <row r="1050" spans="1:10" ht="15" customHeight="1" x14ac:dyDescent="0.25">
      <c r="A1050" s="8" t="str">
        <f>IF(COUNT($J$2:$J$1501)&gt;=1049,1049,"")</f>
        <v/>
      </c>
      <c r="B1050" s="8" t="str">
        <f t="shared" si="80"/>
        <v/>
      </c>
      <c r="C1050" s="8" t="str">
        <f t="shared" si="81"/>
        <v/>
      </c>
      <c r="D1050" s="8" t="str">
        <f t="shared" si="82"/>
        <v/>
      </c>
      <c r="F1050" s="4" t="str">
        <f>IF(Jugadores!B1050="","",Jugadores!B1050)</f>
        <v/>
      </c>
      <c r="G1050" s="4" t="str">
        <f>IF(Jugadores!B1050="","",Jugadores!A1050)</f>
        <v/>
      </c>
      <c r="H1050" s="4" t="str">
        <f>IF(F1050="","",SUMIF('Estadísticas Jugadores'!$F$2:$F$7001,F1050,'Estadísticas Jugadores'!$I$2:$I$7001))</f>
        <v/>
      </c>
      <c r="I1050" s="4" t="str">
        <f t="shared" si="83"/>
        <v/>
      </c>
      <c r="J1050" s="4" t="str">
        <f t="shared" si="84"/>
        <v/>
      </c>
    </row>
    <row r="1051" spans="1:10" ht="15" customHeight="1" x14ac:dyDescent="0.25">
      <c r="A1051" s="8" t="str">
        <f>IF(COUNT($J$2:$J$1501)&gt;=1050,1050,"")</f>
        <v/>
      </c>
      <c r="B1051" s="8" t="str">
        <f t="shared" si="80"/>
        <v/>
      </c>
      <c r="C1051" s="8" t="str">
        <f t="shared" si="81"/>
        <v/>
      </c>
      <c r="D1051" s="8" t="str">
        <f t="shared" si="82"/>
        <v/>
      </c>
      <c r="F1051" s="4" t="str">
        <f>IF(Jugadores!B1051="","",Jugadores!B1051)</f>
        <v/>
      </c>
      <c r="G1051" s="4" t="str">
        <f>IF(Jugadores!B1051="","",Jugadores!A1051)</f>
        <v/>
      </c>
      <c r="H1051" s="4" t="str">
        <f>IF(F1051="","",SUMIF('Estadísticas Jugadores'!$F$2:$F$7001,F1051,'Estadísticas Jugadores'!$I$2:$I$7001))</f>
        <v/>
      </c>
      <c r="I1051" s="4" t="str">
        <f t="shared" si="83"/>
        <v/>
      </c>
      <c r="J1051" s="4" t="str">
        <f t="shared" si="84"/>
        <v/>
      </c>
    </row>
    <row r="1052" spans="1:10" ht="15" customHeight="1" x14ac:dyDescent="0.25">
      <c r="A1052" s="8" t="str">
        <f>IF(COUNT($J$2:$J$1501)&gt;=1051,1051,"")</f>
        <v/>
      </c>
      <c r="B1052" s="8" t="str">
        <f t="shared" si="80"/>
        <v/>
      </c>
      <c r="C1052" s="8" t="str">
        <f t="shared" si="81"/>
        <v/>
      </c>
      <c r="D1052" s="8" t="str">
        <f t="shared" si="82"/>
        <v/>
      </c>
      <c r="F1052" s="4" t="str">
        <f>IF(Jugadores!B1052="","",Jugadores!B1052)</f>
        <v/>
      </c>
      <c r="G1052" s="4" t="str">
        <f>IF(Jugadores!B1052="","",Jugadores!A1052)</f>
        <v/>
      </c>
      <c r="H1052" s="4" t="str">
        <f>IF(F1052="","",SUMIF('Estadísticas Jugadores'!$F$2:$F$7001,F1052,'Estadísticas Jugadores'!$I$2:$I$7001))</f>
        <v/>
      </c>
      <c r="I1052" s="4" t="str">
        <f t="shared" si="83"/>
        <v/>
      </c>
      <c r="J1052" s="4" t="str">
        <f t="shared" si="84"/>
        <v/>
      </c>
    </row>
    <row r="1053" spans="1:10" ht="15" customHeight="1" x14ac:dyDescent="0.25">
      <c r="A1053" s="8" t="str">
        <f>IF(COUNT($J$2:$J$1501)&gt;=1052,1052,"")</f>
        <v/>
      </c>
      <c r="B1053" s="8" t="str">
        <f t="shared" si="80"/>
        <v/>
      </c>
      <c r="C1053" s="8" t="str">
        <f t="shared" si="81"/>
        <v/>
      </c>
      <c r="D1053" s="8" t="str">
        <f t="shared" si="82"/>
        <v/>
      </c>
      <c r="F1053" s="4" t="str">
        <f>IF(Jugadores!B1053="","",Jugadores!B1053)</f>
        <v/>
      </c>
      <c r="G1053" s="4" t="str">
        <f>IF(Jugadores!B1053="","",Jugadores!A1053)</f>
        <v/>
      </c>
      <c r="H1053" s="4" t="str">
        <f>IF(F1053="","",SUMIF('Estadísticas Jugadores'!$F$2:$F$7001,F1053,'Estadísticas Jugadores'!$I$2:$I$7001))</f>
        <v/>
      </c>
      <c r="I1053" s="4" t="str">
        <f t="shared" si="83"/>
        <v/>
      </c>
      <c r="J1053" s="4" t="str">
        <f t="shared" si="84"/>
        <v/>
      </c>
    </row>
    <row r="1054" spans="1:10" ht="15" customHeight="1" x14ac:dyDescent="0.25">
      <c r="A1054" s="8" t="str">
        <f>IF(COUNT($J$2:$J$1501)&gt;=1053,1053,"")</f>
        <v/>
      </c>
      <c r="B1054" s="8" t="str">
        <f t="shared" si="80"/>
        <v/>
      </c>
      <c r="C1054" s="8" t="str">
        <f t="shared" si="81"/>
        <v/>
      </c>
      <c r="D1054" s="8" t="str">
        <f t="shared" si="82"/>
        <v/>
      </c>
      <c r="F1054" s="4" t="str">
        <f>IF(Jugadores!B1054="","",Jugadores!B1054)</f>
        <v/>
      </c>
      <c r="G1054" s="4" t="str">
        <f>IF(Jugadores!B1054="","",Jugadores!A1054)</f>
        <v/>
      </c>
      <c r="H1054" s="4" t="str">
        <f>IF(F1054="","",SUMIF('Estadísticas Jugadores'!$F$2:$F$7001,F1054,'Estadísticas Jugadores'!$I$2:$I$7001))</f>
        <v/>
      </c>
      <c r="I1054" s="4" t="str">
        <f t="shared" si="83"/>
        <v/>
      </c>
      <c r="J1054" s="4" t="str">
        <f t="shared" si="84"/>
        <v/>
      </c>
    </row>
    <row r="1055" spans="1:10" ht="15" customHeight="1" x14ac:dyDescent="0.25">
      <c r="A1055" s="8" t="str">
        <f>IF(COUNT($J$2:$J$1501)&gt;=1054,1054,"")</f>
        <v/>
      </c>
      <c r="B1055" s="8" t="str">
        <f t="shared" si="80"/>
        <v/>
      </c>
      <c r="C1055" s="8" t="str">
        <f t="shared" si="81"/>
        <v/>
      </c>
      <c r="D1055" s="8" t="str">
        <f t="shared" si="82"/>
        <v/>
      </c>
      <c r="F1055" s="4" t="str">
        <f>IF(Jugadores!B1055="","",Jugadores!B1055)</f>
        <v/>
      </c>
      <c r="G1055" s="4" t="str">
        <f>IF(Jugadores!B1055="","",Jugadores!A1055)</f>
        <v/>
      </c>
      <c r="H1055" s="4" t="str">
        <f>IF(F1055="","",SUMIF('Estadísticas Jugadores'!$F$2:$F$7001,F1055,'Estadísticas Jugadores'!$I$2:$I$7001))</f>
        <v/>
      </c>
      <c r="I1055" s="4" t="str">
        <f t="shared" si="83"/>
        <v/>
      </c>
      <c r="J1055" s="4" t="str">
        <f t="shared" si="84"/>
        <v/>
      </c>
    </row>
    <row r="1056" spans="1:10" ht="15" customHeight="1" x14ac:dyDescent="0.25">
      <c r="A1056" s="8" t="str">
        <f>IF(COUNT($J$2:$J$1501)&gt;=1055,1055,"")</f>
        <v/>
      </c>
      <c r="B1056" s="8" t="str">
        <f t="shared" si="80"/>
        <v/>
      </c>
      <c r="C1056" s="8" t="str">
        <f t="shared" si="81"/>
        <v/>
      </c>
      <c r="D1056" s="8" t="str">
        <f t="shared" si="82"/>
        <v/>
      </c>
      <c r="F1056" s="4" t="str">
        <f>IF(Jugadores!B1056="","",Jugadores!B1056)</f>
        <v/>
      </c>
      <c r="G1056" s="4" t="str">
        <f>IF(Jugadores!B1056="","",Jugadores!A1056)</f>
        <v/>
      </c>
      <c r="H1056" s="4" t="str">
        <f>IF(F1056="","",SUMIF('Estadísticas Jugadores'!$F$2:$F$7001,F1056,'Estadísticas Jugadores'!$I$2:$I$7001))</f>
        <v/>
      </c>
      <c r="I1056" s="4" t="str">
        <f t="shared" si="83"/>
        <v/>
      </c>
      <c r="J1056" s="4" t="str">
        <f t="shared" si="84"/>
        <v/>
      </c>
    </row>
    <row r="1057" spans="1:10" ht="15" customHeight="1" x14ac:dyDescent="0.25">
      <c r="A1057" s="8" t="str">
        <f>IF(COUNT($J$2:$J$1501)&gt;=1056,1056,"")</f>
        <v/>
      </c>
      <c r="B1057" s="8" t="str">
        <f t="shared" si="80"/>
        <v/>
      </c>
      <c r="C1057" s="8" t="str">
        <f t="shared" si="81"/>
        <v/>
      </c>
      <c r="D1057" s="8" t="str">
        <f t="shared" si="82"/>
        <v/>
      </c>
      <c r="F1057" s="4" t="str">
        <f>IF(Jugadores!B1057="","",Jugadores!B1057)</f>
        <v/>
      </c>
      <c r="G1057" s="4" t="str">
        <f>IF(Jugadores!B1057="","",Jugadores!A1057)</f>
        <v/>
      </c>
      <c r="H1057" s="4" t="str">
        <f>IF(F1057="","",SUMIF('Estadísticas Jugadores'!$F$2:$F$7001,F1057,'Estadísticas Jugadores'!$I$2:$I$7001))</f>
        <v/>
      </c>
      <c r="I1057" s="4" t="str">
        <f t="shared" si="83"/>
        <v/>
      </c>
      <c r="J1057" s="4" t="str">
        <f t="shared" si="84"/>
        <v/>
      </c>
    </row>
    <row r="1058" spans="1:10" ht="15" customHeight="1" x14ac:dyDescent="0.25">
      <c r="A1058" s="8" t="str">
        <f>IF(COUNT($J$2:$J$1501)&gt;=1057,1057,"")</f>
        <v/>
      </c>
      <c r="B1058" s="8" t="str">
        <f t="shared" si="80"/>
        <v/>
      </c>
      <c r="C1058" s="8" t="str">
        <f t="shared" si="81"/>
        <v/>
      </c>
      <c r="D1058" s="8" t="str">
        <f t="shared" si="82"/>
        <v/>
      </c>
      <c r="F1058" s="4" t="str">
        <f>IF(Jugadores!B1058="","",Jugadores!B1058)</f>
        <v/>
      </c>
      <c r="G1058" s="4" t="str">
        <f>IF(Jugadores!B1058="","",Jugadores!A1058)</f>
        <v/>
      </c>
      <c r="H1058" s="4" t="str">
        <f>IF(F1058="","",SUMIF('Estadísticas Jugadores'!$F$2:$F$7001,F1058,'Estadísticas Jugadores'!$I$2:$I$7001))</f>
        <v/>
      </c>
      <c r="I1058" s="4" t="str">
        <f t="shared" si="83"/>
        <v/>
      </c>
      <c r="J1058" s="4" t="str">
        <f t="shared" si="84"/>
        <v/>
      </c>
    </row>
    <row r="1059" spans="1:10" ht="15" customHeight="1" x14ac:dyDescent="0.25">
      <c r="A1059" s="8" t="str">
        <f>IF(COUNT($J$2:$J$1501)&gt;=1058,1058,"")</f>
        <v/>
      </c>
      <c r="B1059" s="8" t="str">
        <f t="shared" si="80"/>
        <v/>
      </c>
      <c r="C1059" s="8" t="str">
        <f t="shared" si="81"/>
        <v/>
      </c>
      <c r="D1059" s="8" t="str">
        <f t="shared" si="82"/>
        <v/>
      </c>
      <c r="F1059" s="4" t="str">
        <f>IF(Jugadores!B1059="","",Jugadores!B1059)</f>
        <v/>
      </c>
      <c r="G1059" s="4" t="str">
        <f>IF(Jugadores!B1059="","",Jugadores!A1059)</f>
        <v/>
      </c>
      <c r="H1059" s="4" t="str">
        <f>IF(F1059="","",SUMIF('Estadísticas Jugadores'!$F$2:$F$7001,F1059,'Estadísticas Jugadores'!$I$2:$I$7001))</f>
        <v/>
      </c>
      <c r="I1059" s="4" t="str">
        <f t="shared" si="83"/>
        <v/>
      </c>
      <c r="J1059" s="4" t="str">
        <f t="shared" si="84"/>
        <v/>
      </c>
    </row>
    <row r="1060" spans="1:10" ht="15" customHeight="1" x14ac:dyDescent="0.25">
      <c r="A1060" s="8" t="str">
        <f>IF(COUNT($J$2:$J$1501)&gt;=1059,1059,"")</f>
        <v/>
      </c>
      <c r="B1060" s="8" t="str">
        <f t="shared" si="80"/>
        <v/>
      </c>
      <c r="C1060" s="8" t="str">
        <f t="shared" si="81"/>
        <v/>
      </c>
      <c r="D1060" s="8" t="str">
        <f t="shared" si="82"/>
        <v/>
      </c>
      <c r="F1060" s="4" t="str">
        <f>IF(Jugadores!B1060="","",Jugadores!B1060)</f>
        <v/>
      </c>
      <c r="G1060" s="4" t="str">
        <f>IF(Jugadores!B1060="","",Jugadores!A1060)</f>
        <v/>
      </c>
      <c r="H1060" s="4" t="str">
        <f>IF(F1060="","",SUMIF('Estadísticas Jugadores'!$F$2:$F$7001,F1060,'Estadísticas Jugadores'!$I$2:$I$7001))</f>
        <v/>
      </c>
      <c r="I1060" s="4" t="str">
        <f t="shared" si="83"/>
        <v/>
      </c>
      <c r="J1060" s="4" t="str">
        <f t="shared" si="84"/>
        <v/>
      </c>
    </row>
    <row r="1061" spans="1:10" ht="15" customHeight="1" x14ac:dyDescent="0.25">
      <c r="A1061" s="8" t="str">
        <f>IF(COUNT($J$2:$J$1501)&gt;=1060,1060,"")</f>
        <v/>
      </c>
      <c r="B1061" s="8" t="str">
        <f t="shared" si="80"/>
        <v/>
      </c>
      <c r="C1061" s="8" t="str">
        <f t="shared" si="81"/>
        <v/>
      </c>
      <c r="D1061" s="8" t="str">
        <f t="shared" si="82"/>
        <v/>
      </c>
      <c r="F1061" s="4" t="str">
        <f>IF(Jugadores!B1061="","",Jugadores!B1061)</f>
        <v/>
      </c>
      <c r="G1061" s="4" t="str">
        <f>IF(Jugadores!B1061="","",Jugadores!A1061)</f>
        <v/>
      </c>
      <c r="H1061" s="4" t="str">
        <f>IF(F1061="","",SUMIF('Estadísticas Jugadores'!$F$2:$F$7001,F1061,'Estadísticas Jugadores'!$I$2:$I$7001))</f>
        <v/>
      </c>
      <c r="I1061" s="4" t="str">
        <f t="shared" si="83"/>
        <v/>
      </c>
      <c r="J1061" s="4" t="str">
        <f t="shared" si="84"/>
        <v/>
      </c>
    </row>
    <row r="1062" spans="1:10" ht="15" customHeight="1" x14ac:dyDescent="0.25">
      <c r="A1062" s="8" t="str">
        <f>IF(COUNT($J$2:$J$1501)&gt;=1061,1061,"")</f>
        <v/>
      </c>
      <c r="B1062" s="8" t="str">
        <f t="shared" si="80"/>
        <v/>
      </c>
      <c r="C1062" s="8" t="str">
        <f t="shared" si="81"/>
        <v/>
      </c>
      <c r="D1062" s="8" t="str">
        <f t="shared" si="82"/>
        <v/>
      </c>
      <c r="F1062" s="4" t="str">
        <f>IF(Jugadores!B1062="","",Jugadores!B1062)</f>
        <v/>
      </c>
      <c r="G1062" s="4" t="str">
        <f>IF(Jugadores!B1062="","",Jugadores!A1062)</f>
        <v/>
      </c>
      <c r="H1062" s="4" t="str">
        <f>IF(F1062="","",SUMIF('Estadísticas Jugadores'!$F$2:$F$7001,F1062,'Estadísticas Jugadores'!$I$2:$I$7001))</f>
        <v/>
      </c>
      <c r="I1062" s="4" t="str">
        <f t="shared" si="83"/>
        <v/>
      </c>
      <c r="J1062" s="4" t="str">
        <f t="shared" si="84"/>
        <v/>
      </c>
    </row>
    <row r="1063" spans="1:10" ht="15" customHeight="1" x14ac:dyDescent="0.25">
      <c r="A1063" s="8" t="str">
        <f>IF(COUNT($J$2:$J$1501)&gt;=1062,1062,"")</f>
        <v/>
      </c>
      <c r="B1063" s="8" t="str">
        <f t="shared" si="80"/>
        <v/>
      </c>
      <c r="C1063" s="8" t="str">
        <f t="shared" si="81"/>
        <v/>
      </c>
      <c r="D1063" s="8" t="str">
        <f t="shared" si="82"/>
        <v/>
      </c>
      <c r="F1063" s="4" t="str">
        <f>IF(Jugadores!B1063="","",Jugadores!B1063)</f>
        <v/>
      </c>
      <c r="G1063" s="4" t="str">
        <f>IF(Jugadores!B1063="","",Jugadores!A1063)</f>
        <v/>
      </c>
      <c r="H1063" s="4" t="str">
        <f>IF(F1063="","",SUMIF('Estadísticas Jugadores'!$F$2:$F$7001,F1063,'Estadísticas Jugadores'!$I$2:$I$7001))</f>
        <v/>
      </c>
      <c r="I1063" s="4" t="str">
        <f t="shared" si="83"/>
        <v/>
      </c>
      <c r="J1063" s="4" t="str">
        <f t="shared" si="84"/>
        <v/>
      </c>
    </row>
    <row r="1064" spans="1:10" ht="15" customHeight="1" x14ac:dyDescent="0.25">
      <c r="A1064" s="8" t="str">
        <f>IF(COUNT($J$2:$J$1501)&gt;=1063,1063,"")</f>
        <v/>
      </c>
      <c r="B1064" s="8" t="str">
        <f t="shared" si="80"/>
        <v/>
      </c>
      <c r="C1064" s="8" t="str">
        <f t="shared" si="81"/>
        <v/>
      </c>
      <c r="D1064" s="8" t="str">
        <f t="shared" si="82"/>
        <v/>
      </c>
      <c r="F1064" s="4" t="str">
        <f>IF(Jugadores!B1064="","",Jugadores!B1064)</f>
        <v/>
      </c>
      <c r="G1064" s="4" t="str">
        <f>IF(Jugadores!B1064="","",Jugadores!A1064)</f>
        <v/>
      </c>
      <c r="H1064" s="4" t="str">
        <f>IF(F1064="","",SUMIF('Estadísticas Jugadores'!$F$2:$F$7001,F1064,'Estadísticas Jugadores'!$I$2:$I$7001))</f>
        <v/>
      </c>
      <c r="I1064" s="4" t="str">
        <f t="shared" si="83"/>
        <v/>
      </c>
      <c r="J1064" s="4" t="str">
        <f t="shared" si="84"/>
        <v/>
      </c>
    </row>
    <row r="1065" spans="1:10" ht="15" customHeight="1" x14ac:dyDescent="0.25">
      <c r="A1065" s="8" t="str">
        <f>IF(COUNT($J$2:$J$1501)&gt;=1064,1064,"")</f>
        <v/>
      </c>
      <c r="B1065" s="8" t="str">
        <f t="shared" si="80"/>
        <v/>
      </c>
      <c r="C1065" s="8" t="str">
        <f t="shared" si="81"/>
        <v/>
      </c>
      <c r="D1065" s="8" t="str">
        <f t="shared" si="82"/>
        <v/>
      </c>
      <c r="F1065" s="4" t="str">
        <f>IF(Jugadores!B1065="","",Jugadores!B1065)</f>
        <v/>
      </c>
      <c r="G1065" s="4" t="str">
        <f>IF(Jugadores!B1065="","",Jugadores!A1065)</f>
        <v/>
      </c>
      <c r="H1065" s="4" t="str">
        <f>IF(F1065="","",SUMIF('Estadísticas Jugadores'!$F$2:$F$7001,F1065,'Estadísticas Jugadores'!$I$2:$I$7001))</f>
        <v/>
      </c>
      <c r="I1065" s="4" t="str">
        <f t="shared" si="83"/>
        <v/>
      </c>
      <c r="J1065" s="4" t="str">
        <f t="shared" si="84"/>
        <v/>
      </c>
    </row>
    <row r="1066" spans="1:10" ht="15" customHeight="1" x14ac:dyDescent="0.25">
      <c r="A1066" s="8" t="str">
        <f>IF(COUNT($J$2:$J$1501)&gt;=1065,1065,"")</f>
        <v/>
      </c>
      <c r="B1066" s="8" t="str">
        <f t="shared" si="80"/>
        <v/>
      </c>
      <c r="C1066" s="8" t="str">
        <f t="shared" si="81"/>
        <v/>
      </c>
      <c r="D1066" s="8" t="str">
        <f t="shared" si="82"/>
        <v/>
      </c>
      <c r="F1066" s="4" t="str">
        <f>IF(Jugadores!B1066="","",Jugadores!B1066)</f>
        <v/>
      </c>
      <c r="G1066" s="4" t="str">
        <f>IF(Jugadores!B1066="","",Jugadores!A1066)</f>
        <v/>
      </c>
      <c r="H1066" s="4" t="str">
        <f>IF(F1066="","",SUMIF('Estadísticas Jugadores'!$F$2:$F$7001,F1066,'Estadísticas Jugadores'!$I$2:$I$7001))</f>
        <v/>
      </c>
      <c r="I1066" s="4" t="str">
        <f t="shared" si="83"/>
        <v/>
      </c>
      <c r="J1066" s="4" t="str">
        <f t="shared" si="84"/>
        <v/>
      </c>
    </row>
    <row r="1067" spans="1:10" ht="15" customHeight="1" x14ac:dyDescent="0.25">
      <c r="A1067" s="8" t="str">
        <f>IF(COUNT($J$2:$J$1501)&gt;=1066,1066,"")</f>
        <v/>
      </c>
      <c r="B1067" s="8" t="str">
        <f t="shared" si="80"/>
        <v/>
      </c>
      <c r="C1067" s="8" t="str">
        <f t="shared" si="81"/>
        <v/>
      </c>
      <c r="D1067" s="8" t="str">
        <f t="shared" si="82"/>
        <v/>
      </c>
      <c r="F1067" s="4" t="str">
        <f>IF(Jugadores!B1067="","",Jugadores!B1067)</f>
        <v/>
      </c>
      <c r="G1067" s="4" t="str">
        <f>IF(Jugadores!B1067="","",Jugadores!A1067)</f>
        <v/>
      </c>
      <c r="H1067" s="4" t="str">
        <f>IF(F1067="","",SUMIF('Estadísticas Jugadores'!$F$2:$F$7001,F1067,'Estadísticas Jugadores'!$I$2:$I$7001))</f>
        <v/>
      </c>
      <c r="I1067" s="4" t="str">
        <f t="shared" si="83"/>
        <v/>
      </c>
      <c r="J1067" s="4" t="str">
        <f t="shared" si="84"/>
        <v/>
      </c>
    </row>
    <row r="1068" spans="1:10" ht="15" customHeight="1" x14ac:dyDescent="0.25">
      <c r="A1068" s="8" t="str">
        <f>IF(COUNT($J$2:$J$1501)&gt;=1067,1067,"")</f>
        <v/>
      </c>
      <c r="B1068" s="8" t="str">
        <f t="shared" si="80"/>
        <v/>
      </c>
      <c r="C1068" s="8" t="str">
        <f t="shared" si="81"/>
        <v/>
      </c>
      <c r="D1068" s="8" t="str">
        <f t="shared" si="82"/>
        <v/>
      </c>
      <c r="F1068" s="4" t="str">
        <f>IF(Jugadores!B1068="","",Jugadores!B1068)</f>
        <v/>
      </c>
      <c r="G1068" s="4" t="str">
        <f>IF(Jugadores!B1068="","",Jugadores!A1068)</f>
        <v/>
      </c>
      <c r="H1068" s="4" t="str">
        <f>IF(F1068="","",SUMIF('Estadísticas Jugadores'!$F$2:$F$7001,F1068,'Estadísticas Jugadores'!$I$2:$I$7001))</f>
        <v/>
      </c>
      <c r="I1068" s="4" t="str">
        <f t="shared" si="83"/>
        <v/>
      </c>
      <c r="J1068" s="4" t="str">
        <f t="shared" si="84"/>
        <v/>
      </c>
    </row>
    <row r="1069" spans="1:10" ht="15" customHeight="1" x14ac:dyDescent="0.25">
      <c r="A1069" s="8" t="str">
        <f>IF(COUNT($J$2:$J$1501)&gt;=1068,1068,"")</f>
        <v/>
      </c>
      <c r="B1069" s="8" t="str">
        <f t="shared" si="80"/>
        <v/>
      </c>
      <c r="C1069" s="8" t="str">
        <f t="shared" si="81"/>
        <v/>
      </c>
      <c r="D1069" s="8" t="str">
        <f t="shared" si="82"/>
        <v/>
      </c>
      <c r="F1069" s="4" t="str">
        <f>IF(Jugadores!B1069="","",Jugadores!B1069)</f>
        <v/>
      </c>
      <c r="G1069" s="4" t="str">
        <f>IF(Jugadores!B1069="","",Jugadores!A1069)</f>
        <v/>
      </c>
      <c r="H1069" s="4" t="str">
        <f>IF(F1069="","",SUMIF('Estadísticas Jugadores'!$F$2:$F$7001,F1069,'Estadísticas Jugadores'!$I$2:$I$7001))</f>
        <v/>
      </c>
      <c r="I1069" s="4" t="str">
        <f t="shared" si="83"/>
        <v/>
      </c>
      <c r="J1069" s="4" t="str">
        <f t="shared" si="84"/>
        <v/>
      </c>
    </row>
    <row r="1070" spans="1:10" ht="15" customHeight="1" x14ac:dyDescent="0.25">
      <c r="A1070" s="8" t="str">
        <f>IF(COUNT($J$2:$J$1501)&gt;=1069,1069,"")</f>
        <v/>
      </c>
      <c r="B1070" s="8" t="str">
        <f t="shared" si="80"/>
        <v/>
      </c>
      <c r="C1070" s="8" t="str">
        <f t="shared" si="81"/>
        <v/>
      </c>
      <c r="D1070" s="8" t="str">
        <f t="shared" si="82"/>
        <v/>
      </c>
      <c r="F1070" s="4" t="str">
        <f>IF(Jugadores!B1070="","",Jugadores!B1070)</f>
        <v/>
      </c>
      <c r="G1070" s="4" t="str">
        <f>IF(Jugadores!B1070="","",Jugadores!A1070)</f>
        <v/>
      </c>
      <c r="H1070" s="4" t="str">
        <f>IF(F1070="","",SUMIF('Estadísticas Jugadores'!$F$2:$F$7001,F1070,'Estadísticas Jugadores'!$I$2:$I$7001))</f>
        <v/>
      </c>
      <c r="I1070" s="4" t="str">
        <f t="shared" si="83"/>
        <v/>
      </c>
      <c r="J1070" s="4" t="str">
        <f t="shared" si="84"/>
        <v/>
      </c>
    </row>
    <row r="1071" spans="1:10" ht="15" customHeight="1" x14ac:dyDescent="0.25">
      <c r="A1071" s="8" t="str">
        <f>IF(COUNT($J$2:$J$1501)&gt;=1070,1070,"")</f>
        <v/>
      </c>
      <c r="B1071" s="8" t="str">
        <f t="shared" si="80"/>
        <v/>
      </c>
      <c r="C1071" s="8" t="str">
        <f t="shared" si="81"/>
        <v/>
      </c>
      <c r="D1071" s="8" t="str">
        <f t="shared" si="82"/>
        <v/>
      </c>
      <c r="F1071" s="4" t="str">
        <f>IF(Jugadores!B1071="","",Jugadores!B1071)</f>
        <v/>
      </c>
      <c r="G1071" s="4" t="str">
        <f>IF(Jugadores!B1071="","",Jugadores!A1071)</f>
        <v/>
      </c>
      <c r="H1071" s="4" t="str">
        <f>IF(F1071="","",SUMIF('Estadísticas Jugadores'!$F$2:$F$7001,F1071,'Estadísticas Jugadores'!$I$2:$I$7001))</f>
        <v/>
      </c>
      <c r="I1071" s="4" t="str">
        <f t="shared" si="83"/>
        <v/>
      </c>
      <c r="J1071" s="4" t="str">
        <f t="shared" si="84"/>
        <v/>
      </c>
    </row>
    <row r="1072" spans="1:10" ht="15" customHeight="1" x14ac:dyDescent="0.25">
      <c r="A1072" s="8" t="str">
        <f>IF(COUNT($J$2:$J$1501)&gt;=1071,1071,"")</f>
        <v/>
      </c>
      <c r="B1072" s="8" t="str">
        <f t="shared" si="80"/>
        <v/>
      </c>
      <c r="C1072" s="8" t="str">
        <f t="shared" si="81"/>
        <v/>
      </c>
      <c r="D1072" s="8" t="str">
        <f t="shared" si="82"/>
        <v/>
      </c>
      <c r="F1072" s="4" t="str">
        <f>IF(Jugadores!B1072="","",Jugadores!B1072)</f>
        <v/>
      </c>
      <c r="G1072" s="4" t="str">
        <f>IF(Jugadores!B1072="","",Jugadores!A1072)</f>
        <v/>
      </c>
      <c r="H1072" s="4" t="str">
        <f>IF(F1072="","",SUMIF('Estadísticas Jugadores'!$F$2:$F$7001,F1072,'Estadísticas Jugadores'!$I$2:$I$7001))</f>
        <v/>
      </c>
      <c r="I1072" s="4" t="str">
        <f t="shared" si="83"/>
        <v/>
      </c>
      <c r="J1072" s="4" t="str">
        <f t="shared" si="84"/>
        <v/>
      </c>
    </row>
    <row r="1073" spans="1:10" ht="15" customHeight="1" x14ac:dyDescent="0.25">
      <c r="A1073" s="8" t="str">
        <f>IF(COUNT($J$2:$J$1501)&gt;=1072,1072,"")</f>
        <v/>
      </c>
      <c r="B1073" s="8" t="str">
        <f t="shared" si="80"/>
        <v/>
      </c>
      <c r="C1073" s="8" t="str">
        <f t="shared" si="81"/>
        <v/>
      </c>
      <c r="D1073" s="8" t="str">
        <f t="shared" si="82"/>
        <v/>
      </c>
      <c r="F1073" s="4" t="str">
        <f>IF(Jugadores!B1073="","",Jugadores!B1073)</f>
        <v/>
      </c>
      <c r="G1073" s="4" t="str">
        <f>IF(Jugadores!B1073="","",Jugadores!A1073)</f>
        <v/>
      </c>
      <c r="H1073" s="4" t="str">
        <f>IF(F1073="","",SUMIF('Estadísticas Jugadores'!$F$2:$F$7001,F1073,'Estadísticas Jugadores'!$I$2:$I$7001))</f>
        <v/>
      </c>
      <c r="I1073" s="4" t="str">
        <f t="shared" si="83"/>
        <v/>
      </c>
      <c r="J1073" s="4" t="str">
        <f t="shared" si="84"/>
        <v/>
      </c>
    </row>
    <row r="1074" spans="1:10" ht="15" customHeight="1" x14ac:dyDescent="0.25">
      <c r="A1074" s="8" t="str">
        <f>IF(COUNT($J$2:$J$1501)&gt;=1073,1073,"")</f>
        <v/>
      </c>
      <c r="B1074" s="8" t="str">
        <f t="shared" si="80"/>
        <v/>
      </c>
      <c r="C1074" s="8" t="str">
        <f t="shared" si="81"/>
        <v/>
      </c>
      <c r="D1074" s="8" t="str">
        <f t="shared" si="82"/>
        <v/>
      </c>
      <c r="F1074" s="4" t="str">
        <f>IF(Jugadores!B1074="","",Jugadores!B1074)</f>
        <v/>
      </c>
      <c r="G1074" s="4" t="str">
        <f>IF(Jugadores!B1074="","",Jugadores!A1074)</f>
        <v/>
      </c>
      <c r="H1074" s="4" t="str">
        <f>IF(F1074="","",SUMIF('Estadísticas Jugadores'!$F$2:$F$7001,F1074,'Estadísticas Jugadores'!$I$2:$I$7001))</f>
        <v/>
      </c>
      <c r="I1074" s="4" t="str">
        <f t="shared" si="83"/>
        <v/>
      </c>
      <c r="J1074" s="4" t="str">
        <f t="shared" si="84"/>
        <v/>
      </c>
    </row>
    <row r="1075" spans="1:10" ht="15" customHeight="1" x14ac:dyDescent="0.25">
      <c r="A1075" s="8" t="str">
        <f>IF(COUNT($J$2:$J$1501)&gt;=1074,1074,"")</f>
        <v/>
      </c>
      <c r="B1075" s="8" t="str">
        <f t="shared" si="80"/>
        <v/>
      </c>
      <c r="C1075" s="8" t="str">
        <f t="shared" si="81"/>
        <v/>
      </c>
      <c r="D1075" s="8" t="str">
        <f t="shared" si="82"/>
        <v/>
      </c>
      <c r="F1075" s="4" t="str">
        <f>IF(Jugadores!B1075="","",Jugadores!B1075)</f>
        <v/>
      </c>
      <c r="G1075" s="4" t="str">
        <f>IF(Jugadores!B1075="","",Jugadores!A1075)</f>
        <v/>
      </c>
      <c r="H1075" s="4" t="str">
        <f>IF(F1075="","",SUMIF('Estadísticas Jugadores'!$F$2:$F$7001,F1075,'Estadísticas Jugadores'!$I$2:$I$7001))</f>
        <v/>
      </c>
      <c r="I1075" s="4" t="str">
        <f t="shared" si="83"/>
        <v/>
      </c>
      <c r="J1075" s="4" t="str">
        <f t="shared" si="84"/>
        <v/>
      </c>
    </row>
    <row r="1076" spans="1:10" ht="15" customHeight="1" x14ac:dyDescent="0.25">
      <c r="A1076" s="8" t="str">
        <f>IF(COUNT($J$2:$J$1501)&gt;=1075,1075,"")</f>
        <v/>
      </c>
      <c r="B1076" s="8" t="str">
        <f t="shared" si="80"/>
        <v/>
      </c>
      <c r="C1076" s="8" t="str">
        <f t="shared" si="81"/>
        <v/>
      </c>
      <c r="D1076" s="8" t="str">
        <f t="shared" si="82"/>
        <v/>
      </c>
      <c r="F1076" s="4" t="str">
        <f>IF(Jugadores!B1076="","",Jugadores!B1076)</f>
        <v/>
      </c>
      <c r="G1076" s="4" t="str">
        <f>IF(Jugadores!B1076="","",Jugadores!A1076)</f>
        <v/>
      </c>
      <c r="H1076" s="4" t="str">
        <f>IF(F1076="","",SUMIF('Estadísticas Jugadores'!$F$2:$F$7001,F1076,'Estadísticas Jugadores'!$I$2:$I$7001))</f>
        <v/>
      </c>
      <c r="I1076" s="4" t="str">
        <f t="shared" si="83"/>
        <v/>
      </c>
      <c r="J1076" s="4" t="str">
        <f t="shared" si="84"/>
        <v/>
      </c>
    </row>
    <row r="1077" spans="1:10" ht="15" customHeight="1" x14ac:dyDescent="0.25">
      <c r="A1077" s="8" t="str">
        <f>IF(COUNT($J$2:$J$1501)&gt;=1076,1076,"")</f>
        <v/>
      </c>
      <c r="B1077" s="8" t="str">
        <f t="shared" si="80"/>
        <v/>
      </c>
      <c r="C1077" s="8" t="str">
        <f t="shared" si="81"/>
        <v/>
      </c>
      <c r="D1077" s="8" t="str">
        <f t="shared" si="82"/>
        <v/>
      </c>
      <c r="F1077" s="4" t="str">
        <f>IF(Jugadores!B1077="","",Jugadores!B1077)</f>
        <v/>
      </c>
      <c r="G1077" s="4" t="str">
        <f>IF(Jugadores!B1077="","",Jugadores!A1077)</f>
        <v/>
      </c>
      <c r="H1077" s="4" t="str">
        <f>IF(F1077="","",SUMIF('Estadísticas Jugadores'!$F$2:$F$7001,F1077,'Estadísticas Jugadores'!$I$2:$I$7001))</f>
        <v/>
      </c>
      <c r="I1077" s="4" t="str">
        <f t="shared" si="83"/>
        <v/>
      </c>
      <c r="J1077" s="4" t="str">
        <f t="shared" si="84"/>
        <v/>
      </c>
    </row>
    <row r="1078" spans="1:10" ht="15" customHeight="1" x14ac:dyDescent="0.25">
      <c r="A1078" s="8" t="str">
        <f>IF(COUNT($J$2:$J$1501)&gt;=1077,1077,"")</f>
        <v/>
      </c>
      <c r="B1078" s="8" t="str">
        <f t="shared" si="80"/>
        <v/>
      </c>
      <c r="C1078" s="8" t="str">
        <f t="shared" si="81"/>
        <v/>
      </c>
      <c r="D1078" s="8" t="str">
        <f t="shared" si="82"/>
        <v/>
      </c>
      <c r="F1078" s="4" t="str">
        <f>IF(Jugadores!B1078="","",Jugadores!B1078)</f>
        <v/>
      </c>
      <c r="G1078" s="4" t="str">
        <f>IF(Jugadores!B1078="","",Jugadores!A1078)</f>
        <v/>
      </c>
      <c r="H1078" s="4" t="str">
        <f>IF(F1078="","",SUMIF('Estadísticas Jugadores'!$F$2:$F$7001,F1078,'Estadísticas Jugadores'!$I$2:$I$7001))</f>
        <v/>
      </c>
      <c r="I1078" s="4" t="str">
        <f t="shared" si="83"/>
        <v/>
      </c>
      <c r="J1078" s="4" t="str">
        <f t="shared" si="84"/>
        <v/>
      </c>
    </row>
    <row r="1079" spans="1:10" ht="15" customHeight="1" x14ac:dyDescent="0.25">
      <c r="A1079" s="8" t="str">
        <f>IF(COUNT($J$2:$J$1501)&gt;=1078,1078,"")</f>
        <v/>
      </c>
      <c r="B1079" s="8" t="str">
        <f t="shared" si="80"/>
        <v/>
      </c>
      <c r="C1079" s="8" t="str">
        <f t="shared" si="81"/>
        <v/>
      </c>
      <c r="D1079" s="8" t="str">
        <f t="shared" si="82"/>
        <v/>
      </c>
      <c r="F1079" s="4" t="str">
        <f>IF(Jugadores!B1079="","",Jugadores!B1079)</f>
        <v/>
      </c>
      <c r="G1079" s="4" t="str">
        <f>IF(Jugadores!B1079="","",Jugadores!A1079)</f>
        <v/>
      </c>
      <c r="H1079" s="4" t="str">
        <f>IF(F1079="","",SUMIF('Estadísticas Jugadores'!$F$2:$F$7001,F1079,'Estadísticas Jugadores'!$I$2:$I$7001))</f>
        <v/>
      </c>
      <c r="I1079" s="4" t="str">
        <f t="shared" si="83"/>
        <v/>
      </c>
      <c r="J1079" s="4" t="str">
        <f t="shared" si="84"/>
        <v/>
      </c>
    </row>
    <row r="1080" spans="1:10" ht="15" customHeight="1" x14ac:dyDescent="0.25">
      <c r="A1080" s="8" t="str">
        <f>IF(COUNT($J$2:$J$1501)&gt;=1079,1079,"")</f>
        <v/>
      </c>
      <c r="B1080" s="8" t="str">
        <f t="shared" si="80"/>
        <v/>
      </c>
      <c r="C1080" s="8" t="str">
        <f t="shared" si="81"/>
        <v/>
      </c>
      <c r="D1080" s="8" t="str">
        <f t="shared" si="82"/>
        <v/>
      </c>
      <c r="F1080" s="4" t="str">
        <f>IF(Jugadores!B1080="","",Jugadores!B1080)</f>
        <v/>
      </c>
      <c r="G1080" s="4" t="str">
        <f>IF(Jugadores!B1080="","",Jugadores!A1080)</f>
        <v/>
      </c>
      <c r="H1080" s="4" t="str">
        <f>IF(F1080="","",SUMIF('Estadísticas Jugadores'!$F$2:$F$7001,F1080,'Estadísticas Jugadores'!$I$2:$I$7001))</f>
        <v/>
      </c>
      <c r="I1080" s="4" t="str">
        <f t="shared" si="83"/>
        <v/>
      </c>
      <c r="J1080" s="4" t="str">
        <f t="shared" si="84"/>
        <v/>
      </c>
    </row>
    <row r="1081" spans="1:10" ht="15" customHeight="1" x14ac:dyDescent="0.25">
      <c r="A1081" s="8" t="str">
        <f>IF(COUNT($J$2:$J$1501)&gt;=1080,1080,"")</f>
        <v/>
      </c>
      <c r="B1081" s="8" t="str">
        <f t="shared" si="80"/>
        <v/>
      </c>
      <c r="C1081" s="8" t="str">
        <f t="shared" si="81"/>
        <v/>
      </c>
      <c r="D1081" s="8" t="str">
        <f t="shared" si="82"/>
        <v/>
      </c>
      <c r="F1081" s="4" t="str">
        <f>IF(Jugadores!B1081="","",Jugadores!B1081)</f>
        <v/>
      </c>
      <c r="G1081" s="4" t="str">
        <f>IF(Jugadores!B1081="","",Jugadores!A1081)</f>
        <v/>
      </c>
      <c r="H1081" s="4" t="str">
        <f>IF(F1081="","",SUMIF('Estadísticas Jugadores'!$F$2:$F$7001,F1081,'Estadísticas Jugadores'!$I$2:$I$7001))</f>
        <v/>
      </c>
      <c r="I1081" s="4" t="str">
        <f t="shared" si="83"/>
        <v/>
      </c>
      <c r="J1081" s="4" t="str">
        <f t="shared" si="84"/>
        <v/>
      </c>
    </row>
    <row r="1082" spans="1:10" ht="15" customHeight="1" x14ac:dyDescent="0.25">
      <c r="A1082" s="8" t="str">
        <f>IF(COUNT($J$2:$J$1501)&gt;=1081,1081,"")</f>
        <v/>
      </c>
      <c r="B1082" s="8" t="str">
        <f t="shared" si="80"/>
        <v/>
      </c>
      <c r="C1082" s="8" t="str">
        <f t="shared" si="81"/>
        <v/>
      </c>
      <c r="D1082" s="8" t="str">
        <f t="shared" si="82"/>
        <v/>
      </c>
      <c r="F1082" s="4" t="str">
        <f>IF(Jugadores!B1082="","",Jugadores!B1082)</f>
        <v/>
      </c>
      <c r="G1082" s="4" t="str">
        <f>IF(Jugadores!B1082="","",Jugadores!A1082)</f>
        <v/>
      </c>
      <c r="H1082" s="4" t="str">
        <f>IF(F1082="","",SUMIF('Estadísticas Jugadores'!$F$2:$F$7001,F1082,'Estadísticas Jugadores'!$I$2:$I$7001))</f>
        <v/>
      </c>
      <c r="I1082" s="4" t="str">
        <f t="shared" si="83"/>
        <v/>
      </c>
      <c r="J1082" s="4" t="str">
        <f t="shared" si="84"/>
        <v/>
      </c>
    </row>
    <row r="1083" spans="1:10" ht="15" customHeight="1" x14ac:dyDescent="0.25">
      <c r="A1083" s="8" t="str">
        <f>IF(COUNT($J$2:$J$1501)&gt;=1082,1082,"")</f>
        <v/>
      </c>
      <c r="B1083" s="8" t="str">
        <f t="shared" si="80"/>
        <v/>
      </c>
      <c r="C1083" s="8" t="str">
        <f t="shared" si="81"/>
        <v/>
      </c>
      <c r="D1083" s="8" t="str">
        <f t="shared" si="82"/>
        <v/>
      </c>
      <c r="F1083" s="4" t="str">
        <f>IF(Jugadores!B1083="","",Jugadores!B1083)</f>
        <v/>
      </c>
      <c r="G1083" s="4" t="str">
        <f>IF(Jugadores!B1083="","",Jugadores!A1083)</f>
        <v/>
      </c>
      <c r="H1083" s="4" t="str">
        <f>IF(F1083="","",SUMIF('Estadísticas Jugadores'!$F$2:$F$7001,F1083,'Estadísticas Jugadores'!$I$2:$I$7001))</f>
        <v/>
      </c>
      <c r="I1083" s="4" t="str">
        <f t="shared" si="83"/>
        <v/>
      </c>
      <c r="J1083" s="4" t="str">
        <f t="shared" si="84"/>
        <v/>
      </c>
    </row>
    <row r="1084" spans="1:10" ht="15" customHeight="1" x14ac:dyDescent="0.25">
      <c r="A1084" s="8" t="str">
        <f>IF(COUNT($J$2:$J$1501)&gt;=1083,1083,"")</f>
        <v/>
      </c>
      <c r="B1084" s="8" t="str">
        <f t="shared" si="80"/>
        <v/>
      </c>
      <c r="C1084" s="8" t="str">
        <f t="shared" si="81"/>
        <v/>
      </c>
      <c r="D1084" s="8" t="str">
        <f t="shared" si="82"/>
        <v/>
      </c>
      <c r="F1084" s="4" t="str">
        <f>IF(Jugadores!B1084="","",Jugadores!B1084)</f>
        <v/>
      </c>
      <c r="G1084" s="4" t="str">
        <f>IF(Jugadores!B1084="","",Jugadores!A1084)</f>
        <v/>
      </c>
      <c r="H1084" s="4" t="str">
        <f>IF(F1084="","",SUMIF('Estadísticas Jugadores'!$F$2:$F$7001,F1084,'Estadísticas Jugadores'!$I$2:$I$7001))</f>
        <v/>
      </c>
      <c r="I1084" s="4" t="str">
        <f t="shared" si="83"/>
        <v/>
      </c>
      <c r="J1084" s="4" t="str">
        <f t="shared" si="84"/>
        <v/>
      </c>
    </row>
    <row r="1085" spans="1:10" ht="15" customHeight="1" x14ac:dyDescent="0.25">
      <c r="A1085" s="8" t="str">
        <f>IF(COUNT($J$2:$J$1501)&gt;=1084,1084,"")</f>
        <v/>
      </c>
      <c r="B1085" s="8" t="str">
        <f t="shared" si="80"/>
        <v/>
      </c>
      <c r="C1085" s="8" t="str">
        <f t="shared" si="81"/>
        <v/>
      </c>
      <c r="D1085" s="8" t="str">
        <f t="shared" si="82"/>
        <v/>
      </c>
      <c r="F1085" s="4" t="str">
        <f>IF(Jugadores!B1085="","",Jugadores!B1085)</f>
        <v/>
      </c>
      <c r="G1085" s="4" t="str">
        <f>IF(Jugadores!B1085="","",Jugadores!A1085)</f>
        <v/>
      </c>
      <c r="H1085" s="4" t="str">
        <f>IF(F1085="","",SUMIF('Estadísticas Jugadores'!$F$2:$F$7001,F1085,'Estadísticas Jugadores'!$I$2:$I$7001))</f>
        <v/>
      </c>
      <c r="I1085" s="4" t="str">
        <f t="shared" si="83"/>
        <v/>
      </c>
      <c r="J1085" s="4" t="str">
        <f t="shared" si="84"/>
        <v/>
      </c>
    </row>
    <row r="1086" spans="1:10" ht="15" customHeight="1" x14ac:dyDescent="0.25">
      <c r="A1086" s="8" t="str">
        <f>IF(COUNT($J$2:$J$1501)&gt;=1085,1085,"")</f>
        <v/>
      </c>
      <c r="B1086" s="8" t="str">
        <f t="shared" si="80"/>
        <v/>
      </c>
      <c r="C1086" s="8" t="str">
        <f t="shared" si="81"/>
        <v/>
      </c>
      <c r="D1086" s="8" t="str">
        <f t="shared" si="82"/>
        <v/>
      </c>
      <c r="F1086" s="4" t="str">
        <f>IF(Jugadores!B1086="","",Jugadores!B1086)</f>
        <v/>
      </c>
      <c r="G1086" s="4" t="str">
        <f>IF(Jugadores!B1086="","",Jugadores!A1086)</f>
        <v/>
      </c>
      <c r="H1086" s="4" t="str">
        <f>IF(F1086="","",SUMIF('Estadísticas Jugadores'!$F$2:$F$7001,F1086,'Estadísticas Jugadores'!$I$2:$I$7001))</f>
        <v/>
      </c>
      <c r="I1086" s="4" t="str">
        <f t="shared" si="83"/>
        <v/>
      </c>
      <c r="J1086" s="4" t="str">
        <f t="shared" si="84"/>
        <v/>
      </c>
    </row>
    <row r="1087" spans="1:10" ht="15" customHeight="1" x14ac:dyDescent="0.25">
      <c r="A1087" s="8" t="str">
        <f>IF(COUNT($J$2:$J$1501)&gt;=1086,1086,"")</f>
        <v/>
      </c>
      <c r="B1087" s="8" t="str">
        <f t="shared" si="80"/>
        <v/>
      </c>
      <c r="C1087" s="8" t="str">
        <f t="shared" si="81"/>
        <v/>
      </c>
      <c r="D1087" s="8" t="str">
        <f t="shared" si="82"/>
        <v/>
      </c>
      <c r="F1087" s="4" t="str">
        <f>IF(Jugadores!B1087="","",Jugadores!B1087)</f>
        <v/>
      </c>
      <c r="G1087" s="4" t="str">
        <f>IF(Jugadores!B1087="","",Jugadores!A1087)</f>
        <v/>
      </c>
      <c r="H1087" s="4" t="str">
        <f>IF(F1087="","",SUMIF('Estadísticas Jugadores'!$F$2:$F$7001,F1087,'Estadísticas Jugadores'!$I$2:$I$7001))</f>
        <v/>
      </c>
      <c r="I1087" s="4" t="str">
        <f t="shared" si="83"/>
        <v/>
      </c>
      <c r="J1087" s="4" t="str">
        <f t="shared" si="84"/>
        <v/>
      </c>
    </row>
    <row r="1088" spans="1:10" ht="15" customHeight="1" x14ac:dyDescent="0.25">
      <c r="A1088" s="8" t="str">
        <f>IF(COUNT($J$2:$J$1501)&gt;=1087,1087,"")</f>
        <v/>
      </c>
      <c r="B1088" s="8" t="str">
        <f t="shared" si="80"/>
        <v/>
      </c>
      <c r="C1088" s="8" t="str">
        <f t="shared" si="81"/>
        <v/>
      </c>
      <c r="D1088" s="8" t="str">
        <f t="shared" si="82"/>
        <v/>
      </c>
      <c r="F1088" s="4" t="str">
        <f>IF(Jugadores!B1088="","",Jugadores!B1088)</f>
        <v/>
      </c>
      <c r="G1088" s="4" t="str">
        <f>IF(Jugadores!B1088="","",Jugadores!A1088)</f>
        <v/>
      </c>
      <c r="H1088" s="4" t="str">
        <f>IF(F1088="","",SUMIF('Estadísticas Jugadores'!$F$2:$F$7001,F1088,'Estadísticas Jugadores'!$I$2:$I$7001))</f>
        <v/>
      </c>
      <c r="I1088" s="4" t="str">
        <f t="shared" si="83"/>
        <v/>
      </c>
      <c r="J1088" s="4" t="str">
        <f t="shared" si="84"/>
        <v/>
      </c>
    </row>
    <row r="1089" spans="1:10" ht="15" customHeight="1" x14ac:dyDescent="0.25">
      <c r="A1089" s="8" t="str">
        <f>IF(COUNT($J$2:$J$1501)&gt;=1088,1088,"")</f>
        <v/>
      </c>
      <c r="B1089" s="8" t="str">
        <f t="shared" si="80"/>
        <v/>
      </c>
      <c r="C1089" s="8" t="str">
        <f t="shared" si="81"/>
        <v/>
      </c>
      <c r="D1089" s="8" t="str">
        <f t="shared" si="82"/>
        <v/>
      </c>
      <c r="F1089" s="4" t="str">
        <f>IF(Jugadores!B1089="","",Jugadores!B1089)</f>
        <v/>
      </c>
      <c r="G1089" s="4" t="str">
        <f>IF(Jugadores!B1089="","",Jugadores!A1089)</f>
        <v/>
      </c>
      <c r="H1089" s="4" t="str">
        <f>IF(F1089="","",SUMIF('Estadísticas Jugadores'!$F$2:$F$7001,F1089,'Estadísticas Jugadores'!$I$2:$I$7001))</f>
        <v/>
      </c>
      <c r="I1089" s="4" t="str">
        <f t="shared" si="83"/>
        <v/>
      </c>
      <c r="J1089" s="4" t="str">
        <f t="shared" si="84"/>
        <v/>
      </c>
    </row>
    <row r="1090" spans="1:10" ht="15" customHeight="1" x14ac:dyDescent="0.25">
      <c r="A1090" s="8" t="str">
        <f>IF(COUNT($J$2:$J$1501)&gt;=1089,1089,"")</f>
        <v/>
      </c>
      <c r="B1090" s="8" t="str">
        <f t="shared" ref="B1090:B1153" si="85">IF($A1090="","",INDEX($F$2:$F$1501,MATCH($A1090,$J$2:$J$1501,0)))</f>
        <v/>
      </c>
      <c r="C1090" s="8" t="str">
        <f t="shared" ref="C1090:C1153" si="86">IF($A1090="","",INDEX($G$2:$G$1501,MATCH($A1090,$J$2:$J$1501,0)))</f>
        <v/>
      </c>
      <c r="D1090" s="8" t="str">
        <f t="shared" ref="D1090:D1153" si="87">IF($A1090="","",INDEX($H$2:$H$1501,MATCH($A1090,$J$2:$J$1501,0)))</f>
        <v/>
      </c>
      <c r="F1090" s="4" t="str">
        <f>IF(Jugadores!B1090="","",Jugadores!B1090)</f>
        <v/>
      </c>
      <c r="G1090" s="4" t="str">
        <f>IF(Jugadores!B1090="","",Jugadores!A1090)</f>
        <v/>
      </c>
      <c r="H1090" s="4" t="str">
        <f>IF(F1090="","",SUMIF('Estadísticas Jugadores'!$F$2:$F$7001,F1090,'Estadísticas Jugadores'!$I$2:$I$7001))</f>
        <v/>
      </c>
      <c r="I1090" s="4" t="str">
        <f t="shared" ref="I1090:I1153" si="88">IF(F1090="","",H1090*1000-ROW()*0.0000001)</f>
        <v/>
      </c>
      <c r="J1090" s="4" t="str">
        <f t="shared" ref="J1090:J1153" si="89">IF(F1090="","",RANK(I1090,$I$2:$I$1501))</f>
        <v/>
      </c>
    </row>
    <row r="1091" spans="1:10" ht="15" customHeight="1" x14ac:dyDescent="0.25">
      <c r="A1091" s="8" t="str">
        <f>IF(COUNT($J$2:$J$1501)&gt;=1090,1090,"")</f>
        <v/>
      </c>
      <c r="B1091" s="8" t="str">
        <f t="shared" si="85"/>
        <v/>
      </c>
      <c r="C1091" s="8" t="str">
        <f t="shared" si="86"/>
        <v/>
      </c>
      <c r="D1091" s="8" t="str">
        <f t="shared" si="87"/>
        <v/>
      </c>
      <c r="F1091" s="4" t="str">
        <f>IF(Jugadores!B1091="","",Jugadores!B1091)</f>
        <v/>
      </c>
      <c r="G1091" s="4" t="str">
        <f>IF(Jugadores!B1091="","",Jugadores!A1091)</f>
        <v/>
      </c>
      <c r="H1091" s="4" t="str">
        <f>IF(F1091="","",SUMIF('Estadísticas Jugadores'!$F$2:$F$7001,F1091,'Estadísticas Jugadores'!$I$2:$I$7001))</f>
        <v/>
      </c>
      <c r="I1091" s="4" t="str">
        <f t="shared" si="88"/>
        <v/>
      </c>
      <c r="J1091" s="4" t="str">
        <f t="shared" si="89"/>
        <v/>
      </c>
    </row>
    <row r="1092" spans="1:10" ht="15" customHeight="1" x14ac:dyDescent="0.25">
      <c r="A1092" s="8" t="str">
        <f>IF(COUNT($J$2:$J$1501)&gt;=1091,1091,"")</f>
        <v/>
      </c>
      <c r="B1092" s="8" t="str">
        <f t="shared" si="85"/>
        <v/>
      </c>
      <c r="C1092" s="8" t="str">
        <f t="shared" si="86"/>
        <v/>
      </c>
      <c r="D1092" s="8" t="str">
        <f t="shared" si="87"/>
        <v/>
      </c>
      <c r="F1092" s="4" t="str">
        <f>IF(Jugadores!B1092="","",Jugadores!B1092)</f>
        <v/>
      </c>
      <c r="G1092" s="4" t="str">
        <f>IF(Jugadores!B1092="","",Jugadores!A1092)</f>
        <v/>
      </c>
      <c r="H1092" s="4" t="str">
        <f>IF(F1092="","",SUMIF('Estadísticas Jugadores'!$F$2:$F$7001,F1092,'Estadísticas Jugadores'!$I$2:$I$7001))</f>
        <v/>
      </c>
      <c r="I1092" s="4" t="str">
        <f t="shared" si="88"/>
        <v/>
      </c>
      <c r="J1092" s="4" t="str">
        <f t="shared" si="89"/>
        <v/>
      </c>
    </row>
    <row r="1093" spans="1:10" ht="15" customHeight="1" x14ac:dyDescent="0.25">
      <c r="A1093" s="8" t="str">
        <f>IF(COUNT($J$2:$J$1501)&gt;=1092,1092,"")</f>
        <v/>
      </c>
      <c r="B1093" s="8" t="str">
        <f t="shared" si="85"/>
        <v/>
      </c>
      <c r="C1093" s="8" t="str">
        <f t="shared" si="86"/>
        <v/>
      </c>
      <c r="D1093" s="8" t="str">
        <f t="shared" si="87"/>
        <v/>
      </c>
      <c r="F1093" s="4" t="str">
        <f>IF(Jugadores!B1093="","",Jugadores!B1093)</f>
        <v/>
      </c>
      <c r="G1093" s="4" t="str">
        <f>IF(Jugadores!B1093="","",Jugadores!A1093)</f>
        <v/>
      </c>
      <c r="H1093" s="4" t="str">
        <f>IF(F1093="","",SUMIF('Estadísticas Jugadores'!$F$2:$F$7001,F1093,'Estadísticas Jugadores'!$I$2:$I$7001))</f>
        <v/>
      </c>
      <c r="I1093" s="4" t="str">
        <f t="shared" si="88"/>
        <v/>
      </c>
      <c r="J1093" s="4" t="str">
        <f t="shared" si="89"/>
        <v/>
      </c>
    </row>
    <row r="1094" spans="1:10" ht="15" customHeight="1" x14ac:dyDescent="0.25">
      <c r="A1094" s="8" t="str">
        <f>IF(COUNT($J$2:$J$1501)&gt;=1093,1093,"")</f>
        <v/>
      </c>
      <c r="B1094" s="8" t="str">
        <f t="shared" si="85"/>
        <v/>
      </c>
      <c r="C1094" s="8" t="str">
        <f t="shared" si="86"/>
        <v/>
      </c>
      <c r="D1094" s="8" t="str">
        <f t="shared" si="87"/>
        <v/>
      </c>
      <c r="F1094" s="4" t="str">
        <f>IF(Jugadores!B1094="","",Jugadores!B1094)</f>
        <v/>
      </c>
      <c r="G1094" s="4" t="str">
        <f>IF(Jugadores!B1094="","",Jugadores!A1094)</f>
        <v/>
      </c>
      <c r="H1094" s="4" t="str">
        <f>IF(F1094="","",SUMIF('Estadísticas Jugadores'!$F$2:$F$7001,F1094,'Estadísticas Jugadores'!$I$2:$I$7001))</f>
        <v/>
      </c>
      <c r="I1094" s="4" t="str">
        <f t="shared" si="88"/>
        <v/>
      </c>
      <c r="J1094" s="4" t="str">
        <f t="shared" si="89"/>
        <v/>
      </c>
    </row>
    <row r="1095" spans="1:10" ht="15" customHeight="1" x14ac:dyDescent="0.25">
      <c r="A1095" s="8" t="str">
        <f>IF(COUNT($J$2:$J$1501)&gt;=1094,1094,"")</f>
        <v/>
      </c>
      <c r="B1095" s="8" t="str">
        <f t="shared" si="85"/>
        <v/>
      </c>
      <c r="C1095" s="8" t="str">
        <f t="shared" si="86"/>
        <v/>
      </c>
      <c r="D1095" s="8" t="str">
        <f t="shared" si="87"/>
        <v/>
      </c>
      <c r="F1095" s="4" t="str">
        <f>IF(Jugadores!B1095="","",Jugadores!B1095)</f>
        <v/>
      </c>
      <c r="G1095" s="4" t="str">
        <f>IF(Jugadores!B1095="","",Jugadores!A1095)</f>
        <v/>
      </c>
      <c r="H1095" s="4" t="str">
        <f>IF(F1095="","",SUMIF('Estadísticas Jugadores'!$F$2:$F$7001,F1095,'Estadísticas Jugadores'!$I$2:$I$7001))</f>
        <v/>
      </c>
      <c r="I1095" s="4" t="str">
        <f t="shared" si="88"/>
        <v/>
      </c>
      <c r="J1095" s="4" t="str">
        <f t="shared" si="89"/>
        <v/>
      </c>
    </row>
    <row r="1096" spans="1:10" ht="15" customHeight="1" x14ac:dyDescent="0.25">
      <c r="A1096" s="8" t="str">
        <f>IF(COUNT($J$2:$J$1501)&gt;=1095,1095,"")</f>
        <v/>
      </c>
      <c r="B1096" s="8" t="str">
        <f t="shared" si="85"/>
        <v/>
      </c>
      <c r="C1096" s="8" t="str">
        <f t="shared" si="86"/>
        <v/>
      </c>
      <c r="D1096" s="8" t="str">
        <f t="shared" si="87"/>
        <v/>
      </c>
      <c r="F1096" s="4" t="str">
        <f>IF(Jugadores!B1096="","",Jugadores!B1096)</f>
        <v/>
      </c>
      <c r="G1096" s="4" t="str">
        <f>IF(Jugadores!B1096="","",Jugadores!A1096)</f>
        <v/>
      </c>
      <c r="H1096" s="4" t="str">
        <f>IF(F1096="","",SUMIF('Estadísticas Jugadores'!$F$2:$F$7001,F1096,'Estadísticas Jugadores'!$I$2:$I$7001))</f>
        <v/>
      </c>
      <c r="I1096" s="4" t="str">
        <f t="shared" si="88"/>
        <v/>
      </c>
      <c r="J1096" s="4" t="str">
        <f t="shared" si="89"/>
        <v/>
      </c>
    </row>
    <row r="1097" spans="1:10" ht="15" customHeight="1" x14ac:dyDescent="0.25">
      <c r="A1097" s="8" t="str">
        <f>IF(COUNT($J$2:$J$1501)&gt;=1096,1096,"")</f>
        <v/>
      </c>
      <c r="B1097" s="8" t="str">
        <f t="shared" si="85"/>
        <v/>
      </c>
      <c r="C1097" s="8" t="str">
        <f t="shared" si="86"/>
        <v/>
      </c>
      <c r="D1097" s="8" t="str">
        <f t="shared" si="87"/>
        <v/>
      </c>
      <c r="F1097" s="4" t="str">
        <f>IF(Jugadores!B1097="","",Jugadores!B1097)</f>
        <v/>
      </c>
      <c r="G1097" s="4" t="str">
        <f>IF(Jugadores!B1097="","",Jugadores!A1097)</f>
        <v/>
      </c>
      <c r="H1097" s="4" t="str">
        <f>IF(F1097="","",SUMIF('Estadísticas Jugadores'!$F$2:$F$7001,F1097,'Estadísticas Jugadores'!$I$2:$I$7001))</f>
        <v/>
      </c>
      <c r="I1097" s="4" t="str">
        <f t="shared" si="88"/>
        <v/>
      </c>
      <c r="J1097" s="4" t="str">
        <f t="shared" si="89"/>
        <v/>
      </c>
    </row>
    <row r="1098" spans="1:10" ht="15" customHeight="1" x14ac:dyDescent="0.25">
      <c r="A1098" s="8" t="str">
        <f>IF(COUNT($J$2:$J$1501)&gt;=1097,1097,"")</f>
        <v/>
      </c>
      <c r="B1098" s="8" t="str">
        <f t="shared" si="85"/>
        <v/>
      </c>
      <c r="C1098" s="8" t="str">
        <f t="shared" si="86"/>
        <v/>
      </c>
      <c r="D1098" s="8" t="str">
        <f t="shared" si="87"/>
        <v/>
      </c>
      <c r="F1098" s="4" t="str">
        <f>IF(Jugadores!B1098="","",Jugadores!B1098)</f>
        <v/>
      </c>
      <c r="G1098" s="4" t="str">
        <f>IF(Jugadores!B1098="","",Jugadores!A1098)</f>
        <v/>
      </c>
      <c r="H1098" s="4" t="str">
        <f>IF(F1098="","",SUMIF('Estadísticas Jugadores'!$F$2:$F$7001,F1098,'Estadísticas Jugadores'!$I$2:$I$7001))</f>
        <v/>
      </c>
      <c r="I1098" s="4" t="str">
        <f t="shared" si="88"/>
        <v/>
      </c>
      <c r="J1098" s="4" t="str">
        <f t="shared" si="89"/>
        <v/>
      </c>
    </row>
    <row r="1099" spans="1:10" ht="15" customHeight="1" x14ac:dyDescent="0.25">
      <c r="A1099" s="8" t="str">
        <f>IF(COUNT($J$2:$J$1501)&gt;=1098,1098,"")</f>
        <v/>
      </c>
      <c r="B1099" s="8" t="str">
        <f t="shared" si="85"/>
        <v/>
      </c>
      <c r="C1099" s="8" t="str">
        <f t="shared" si="86"/>
        <v/>
      </c>
      <c r="D1099" s="8" t="str">
        <f t="shared" si="87"/>
        <v/>
      </c>
      <c r="F1099" s="4" t="str">
        <f>IF(Jugadores!B1099="","",Jugadores!B1099)</f>
        <v/>
      </c>
      <c r="G1099" s="4" t="str">
        <f>IF(Jugadores!B1099="","",Jugadores!A1099)</f>
        <v/>
      </c>
      <c r="H1099" s="4" t="str">
        <f>IF(F1099="","",SUMIF('Estadísticas Jugadores'!$F$2:$F$7001,F1099,'Estadísticas Jugadores'!$I$2:$I$7001))</f>
        <v/>
      </c>
      <c r="I1099" s="4" t="str">
        <f t="shared" si="88"/>
        <v/>
      </c>
      <c r="J1099" s="4" t="str">
        <f t="shared" si="89"/>
        <v/>
      </c>
    </row>
    <row r="1100" spans="1:10" ht="15" customHeight="1" x14ac:dyDescent="0.25">
      <c r="A1100" s="8" t="str">
        <f>IF(COUNT($J$2:$J$1501)&gt;=1099,1099,"")</f>
        <v/>
      </c>
      <c r="B1100" s="8" t="str">
        <f t="shared" si="85"/>
        <v/>
      </c>
      <c r="C1100" s="8" t="str">
        <f t="shared" si="86"/>
        <v/>
      </c>
      <c r="D1100" s="8" t="str">
        <f t="shared" si="87"/>
        <v/>
      </c>
      <c r="F1100" s="4" t="str">
        <f>IF(Jugadores!B1100="","",Jugadores!B1100)</f>
        <v/>
      </c>
      <c r="G1100" s="4" t="str">
        <f>IF(Jugadores!B1100="","",Jugadores!A1100)</f>
        <v/>
      </c>
      <c r="H1100" s="4" t="str">
        <f>IF(F1100="","",SUMIF('Estadísticas Jugadores'!$F$2:$F$7001,F1100,'Estadísticas Jugadores'!$I$2:$I$7001))</f>
        <v/>
      </c>
      <c r="I1100" s="4" t="str">
        <f t="shared" si="88"/>
        <v/>
      </c>
      <c r="J1100" s="4" t="str">
        <f t="shared" si="89"/>
        <v/>
      </c>
    </row>
    <row r="1101" spans="1:10" ht="15" customHeight="1" x14ac:dyDescent="0.25">
      <c r="A1101" s="8" t="str">
        <f>IF(COUNT($J$2:$J$1501)&gt;=1100,1100,"")</f>
        <v/>
      </c>
      <c r="B1101" s="8" t="str">
        <f t="shared" si="85"/>
        <v/>
      </c>
      <c r="C1101" s="8" t="str">
        <f t="shared" si="86"/>
        <v/>
      </c>
      <c r="D1101" s="8" t="str">
        <f t="shared" si="87"/>
        <v/>
      </c>
      <c r="F1101" s="4" t="str">
        <f>IF(Jugadores!B1101="","",Jugadores!B1101)</f>
        <v/>
      </c>
      <c r="G1101" s="4" t="str">
        <f>IF(Jugadores!B1101="","",Jugadores!A1101)</f>
        <v/>
      </c>
      <c r="H1101" s="4" t="str">
        <f>IF(F1101="","",SUMIF('Estadísticas Jugadores'!$F$2:$F$7001,F1101,'Estadísticas Jugadores'!$I$2:$I$7001))</f>
        <v/>
      </c>
      <c r="I1101" s="4" t="str">
        <f t="shared" si="88"/>
        <v/>
      </c>
      <c r="J1101" s="4" t="str">
        <f t="shared" si="89"/>
        <v/>
      </c>
    </row>
    <row r="1102" spans="1:10" ht="15" customHeight="1" x14ac:dyDescent="0.25">
      <c r="A1102" s="8" t="str">
        <f>IF(COUNT($J$2:$J$1501)&gt;=1101,1101,"")</f>
        <v/>
      </c>
      <c r="B1102" s="8" t="str">
        <f t="shared" si="85"/>
        <v/>
      </c>
      <c r="C1102" s="8" t="str">
        <f t="shared" si="86"/>
        <v/>
      </c>
      <c r="D1102" s="8" t="str">
        <f t="shared" si="87"/>
        <v/>
      </c>
      <c r="F1102" s="4" t="str">
        <f>IF(Jugadores!B1102="","",Jugadores!B1102)</f>
        <v/>
      </c>
      <c r="G1102" s="4" t="str">
        <f>IF(Jugadores!B1102="","",Jugadores!A1102)</f>
        <v/>
      </c>
      <c r="H1102" s="4" t="str">
        <f>IF(F1102="","",SUMIF('Estadísticas Jugadores'!$F$2:$F$7001,F1102,'Estadísticas Jugadores'!$I$2:$I$7001))</f>
        <v/>
      </c>
      <c r="I1102" s="4" t="str">
        <f t="shared" si="88"/>
        <v/>
      </c>
      <c r="J1102" s="4" t="str">
        <f t="shared" si="89"/>
        <v/>
      </c>
    </row>
    <row r="1103" spans="1:10" ht="15" customHeight="1" x14ac:dyDescent="0.25">
      <c r="A1103" s="8" t="str">
        <f>IF(COUNT($J$2:$J$1501)&gt;=1102,1102,"")</f>
        <v/>
      </c>
      <c r="B1103" s="8" t="str">
        <f t="shared" si="85"/>
        <v/>
      </c>
      <c r="C1103" s="8" t="str">
        <f t="shared" si="86"/>
        <v/>
      </c>
      <c r="D1103" s="8" t="str">
        <f t="shared" si="87"/>
        <v/>
      </c>
      <c r="F1103" s="4" t="str">
        <f>IF(Jugadores!B1103="","",Jugadores!B1103)</f>
        <v/>
      </c>
      <c r="G1103" s="4" t="str">
        <f>IF(Jugadores!B1103="","",Jugadores!A1103)</f>
        <v/>
      </c>
      <c r="H1103" s="4" t="str">
        <f>IF(F1103="","",SUMIF('Estadísticas Jugadores'!$F$2:$F$7001,F1103,'Estadísticas Jugadores'!$I$2:$I$7001))</f>
        <v/>
      </c>
      <c r="I1103" s="4" t="str">
        <f t="shared" si="88"/>
        <v/>
      </c>
      <c r="J1103" s="4" t="str">
        <f t="shared" si="89"/>
        <v/>
      </c>
    </row>
    <row r="1104" spans="1:10" ht="15" customHeight="1" x14ac:dyDescent="0.25">
      <c r="A1104" s="8" t="str">
        <f>IF(COUNT($J$2:$J$1501)&gt;=1103,1103,"")</f>
        <v/>
      </c>
      <c r="B1104" s="8" t="str">
        <f t="shared" si="85"/>
        <v/>
      </c>
      <c r="C1104" s="8" t="str">
        <f t="shared" si="86"/>
        <v/>
      </c>
      <c r="D1104" s="8" t="str">
        <f t="shared" si="87"/>
        <v/>
      </c>
      <c r="F1104" s="4" t="str">
        <f>IF(Jugadores!B1104="","",Jugadores!B1104)</f>
        <v/>
      </c>
      <c r="G1104" s="4" t="str">
        <f>IF(Jugadores!B1104="","",Jugadores!A1104)</f>
        <v/>
      </c>
      <c r="H1104" s="4" t="str">
        <f>IF(F1104="","",SUMIF('Estadísticas Jugadores'!$F$2:$F$7001,F1104,'Estadísticas Jugadores'!$I$2:$I$7001))</f>
        <v/>
      </c>
      <c r="I1104" s="4" t="str">
        <f t="shared" si="88"/>
        <v/>
      </c>
      <c r="J1104" s="4" t="str">
        <f t="shared" si="89"/>
        <v/>
      </c>
    </row>
    <row r="1105" spans="1:10" ht="15" customHeight="1" x14ac:dyDescent="0.25">
      <c r="A1105" s="8" t="str">
        <f>IF(COUNT($J$2:$J$1501)&gt;=1104,1104,"")</f>
        <v/>
      </c>
      <c r="B1105" s="8" t="str">
        <f t="shared" si="85"/>
        <v/>
      </c>
      <c r="C1105" s="8" t="str">
        <f t="shared" si="86"/>
        <v/>
      </c>
      <c r="D1105" s="8" t="str">
        <f t="shared" si="87"/>
        <v/>
      </c>
      <c r="F1105" s="4" t="str">
        <f>IF(Jugadores!B1105="","",Jugadores!B1105)</f>
        <v/>
      </c>
      <c r="G1105" s="4" t="str">
        <f>IF(Jugadores!B1105="","",Jugadores!A1105)</f>
        <v/>
      </c>
      <c r="H1105" s="4" t="str">
        <f>IF(F1105="","",SUMIF('Estadísticas Jugadores'!$F$2:$F$7001,F1105,'Estadísticas Jugadores'!$I$2:$I$7001))</f>
        <v/>
      </c>
      <c r="I1105" s="4" t="str">
        <f t="shared" si="88"/>
        <v/>
      </c>
      <c r="J1105" s="4" t="str">
        <f t="shared" si="89"/>
        <v/>
      </c>
    </row>
    <row r="1106" spans="1:10" ht="15" customHeight="1" x14ac:dyDescent="0.25">
      <c r="A1106" s="8" t="str">
        <f>IF(COUNT($J$2:$J$1501)&gt;=1105,1105,"")</f>
        <v/>
      </c>
      <c r="B1106" s="8" t="str">
        <f t="shared" si="85"/>
        <v/>
      </c>
      <c r="C1106" s="8" t="str">
        <f t="shared" si="86"/>
        <v/>
      </c>
      <c r="D1106" s="8" t="str">
        <f t="shared" si="87"/>
        <v/>
      </c>
      <c r="F1106" s="4" t="str">
        <f>IF(Jugadores!B1106="","",Jugadores!B1106)</f>
        <v/>
      </c>
      <c r="G1106" s="4" t="str">
        <f>IF(Jugadores!B1106="","",Jugadores!A1106)</f>
        <v/>
      </c>
      <c r="H1106" s="4" t="str">
        <f>IF(F1106="","",SUMIF('Estadísticas Jugadores'!$F$2:$F$7001,F1106,'Estadísticas Jugadores'!$I$2:$I$7001))</f>
        <v/>
      </c>
      <c r="I1106" s="4" t="str">
        <f t="shared" si="88"/>
        <v/>
      </c>
      <c r="J1106" s="4" t="str">
        <f t="shared" si="89"/>
        <v/>
      </c>
    </row>
    <row r="1107" spans="1:10" ht="15" customHeight="1" x14ac:dyDescent="0.25">
      <c r="A1107" s="8" t="str">
        <f>IF(COUNT($J$2:$J$1501)&gt;=1106,1106,"")</f>
        <v/>
      </c>
      <c r="B1107" s="8" t="str">
        <f t="shared" si="85"/>
        <v/>
      </c>
      <c r="C1107" s="8" t="str">
        <f t="shared" si="86"/>
        <v/>
      </c>
      <c r="D1107" s="8" t="str">
        <f t="shared" si="87"/>
        <v/>
      </c>
      <c r="F1107" s="4" t="str">
        <f>IF(Jugadores!B1107="","",Jugadores!B1107)</f>
        <v/>
      </c>
      <c r="G1107" s="4" t="str">
        <f>IF(Jugadores!B1107="","",Jugadores!A1107)</f>
        <v/>
      </c>
      <c r="H1107" s="4" t="str">
        <f>IF(F1107="","",SUMIF('Estadísticas Jugadores'!$F$2:$F$7001,F1107,'Estadísticas Jugadores'!$I$2:$I$7001))</f>
        <v/>
      </c>
      <c r="I1107" s="4" t="str">
        <f t="shared" si="88"/>
        <v/>
      </c>
      <c r="J1107" s="4" t="str">
        <f t="shared" si="89"/>
        <v/>
      </c>
    </row>
    <row r="1108" spans="1:10" ht="15" customHeight="1" x14ac:dyDescent="0.25">
      <c r="A1108" s="8" t="str">
        <f>IF(COUNT($J$2:$J$1501)&gt;=1107,1107,"")</f>
        <v/>
      </c>
      <c r="B1108" s="8" t="str">
        <f t="shared" si="85"/>
        <v/>
      </c>
      <c r="C1108" s="8" t="str">
        <f t="shared" si="86"/>
        <v/>
      </c>
      <c r="D1108" s="8" t="str">
        <f t="shared" si="87"/>
        <v/>
      </c>
      <c r="F1108" s="4" t="str">
        <f>IF(Jugadores!B1108="","",Jugadores!B1108)</f>
        <v/>
      </c>
      <c r="G1108" s="4" t="str">
        <f>IF(Jugadores!B1108="","",Jugadores!A1108)</f>
        <v/>
      </c>
      <c r="H1108" s="4" t="str">
        <f>IF(F1108="","",SUMIF('Estadísticas Jugadores'!$F$2:$F$7001,F1108,'Estadísticas Jugadores'!$I$2:$I$7001))</f>
        <v/>
      </c>
      <c r="I1108" s="4" t="str">
        <f t="shared" si="88"/>
        <v/>
      </c>
      <c r="J1108" s="4" t="str">
        <f t="shared" si="89"/>
        <v/>
      </c>
    </row>
    <row r="1109" spans="1:10" ht="15" customHeight="1" x14ac:dyDescent="0.25">
      <c r="A1109" s="8" t="str">
        <f>IF(COUNT($J$2:$J$1501)&gt;=1108,1108,"")</f>
        <v/>
      </c>
      <c r="B1109" s="8" t="str">
        <f t="shared" si="85"/>
        <v/>
      </c>
      <c r="C1109" s="8" t="str">
        <f t="shared" si="86"/>
        <v/>
      </c>
      <c r="D1109" s="8" t="str">
        <f t="shared" si="87"/>
        <v/>
      </c>
      <c r="F1109" s="4" t="str">
        <f>IF(Jugadores!B1109="","",Jugadores!B1109)</f>
        <v/>
      </c>
      <c r="G1109" s="4" t="str">
        <f>IF(Jugadores!B1109="","",Jugadores!A1109)</f>
        <v/>
      </c>
      <c r="H1109" s="4" t="str">
        <f>IF(F1109="","",SUMIF('Estadísticas Jugadores'!$F$2:$F$7001,F1109,'Estadísticas Jugadores'!$I$2:$I$7001))</f>
        <v/>
      </c>
      <c r="I1109" s="4" t="str">
        <f t="shared" si="88"/>
        <v/>
      </c>
      <c r="J1109" s="4" t="str">
        <f t="shared" si="89"/>
        <v/>
      </c>
    </row>
    <row r="1110" spans="1:10" ht="15" customHeight="1" x14ac:dyDescent="0.25">
      <c r="A1110" s="8" t="str">
        <f>IF(COUNT($J$2:$J$1501)&gt;=1109,1109,"")</f>
        <v/>
      </c>
      <c r="B1110" s="8" t="str">
        <f t="shared" si="85"/>
        <v/>
      </c>
      <c r="C1110" s="8" t="str">
        <f t="shared" si="86"/>
        <v/>
      </c>
      <c r="D1110" s="8" t="str">
        <f t="shared" si="87"/>
        <v/>
      </c>
      <c r="F1110" s="4" t="str">
        <f>IF(Jugadores!B1110="","",Jugadores!B1110)</f>
        <v/>
      </c>
      <c r="G1110" s="4" t="str">
        <f>IF(Jugadores!B1110="","",Jugadores!A1110)</f>
        <v/>
      </c>
      <c r="H1110" s="4" t="str">
        <f>IF(F1110="","",SUMIF('Estadísticas Jugadores'!$F$2:$F$7001,F1110,'Estadísticas Jugadores'!$I$2:$I$7001))</f>
        <v/>
      </c>
      <c r="I1110" s="4" t="str">
        <f t="shared" si="88"/>
        <v/>
      </c>
      <c r="J1110" s="4" t="str">
        <f t="shared" si="89"/>
        <v/>
      </c>
    </row>
    <row r="1111" spans="1:10" ht="15" customHeight="1" x14ac:dyDescent="0.25">
      <c r="A1111" s="8" t="str">
        <f>IF(COUNT($J$2:$J$1501)&gt;=1110,1110,"")</f>
        <v/>
      </c>
      <c r="B1111" s="8" t="str">
        <f t="shared" si="85"/>
        <v/>
      </c>
      <c r="C1111" s="8" t="str">
        <f t="shared" si="86"/>
        <v/>
      </c>
      <c r="D1111" s="8" t="str">
        <f t="shared" si="87"/>
        <v/>
      </c>
      <c r="F1111" s="4" t="str">
        <f>IF(Jugadores!B1111="","",Jugadores!B1111)</f>
        <v/>
      </c>
      <c r="G1111" s="4" t="str">
        <f>IF(Jugadores!B1111="","",Jugadores!A1111)</f>
        <v/>
      </c>
      <c r="H1111" s="4" t="str">
        <f>IF(F1111="","",SUMIF('Estadísticas Jugadores'!$F$2:$F$7001,F1111,'Estadísticas Jugadores'!$I$2:$I$7001))</f>
        <v/>
      </c>
      <c r="I1111" s="4" t="str">
        <f t="shared" si="88"/>
        <v/>
      </c>
      <c r="J1111" s="4" t="str">
        <f t="shared" si="89"/>
        <v/>
      </c>
    </row>
    <row r="1112" spans="1:10" ht="15" customHeight="1" x14ac:dyDescent="0.25">
      <c r="A1112" s="8" t="str">
        <f>IF(COUNT($J$2:$J$1501)&gt;=1111,1111,"")</f>
        <v/>
      </c>
      <c r="B1112" s="8" t="str">
        <f t="shared" si="85"/>
        <v/>
      </c>
      <c r="C1112" s="8" t="str">
        <f t="shared" si="86"/>
        <v/>
      </c>
      <c r="D1112" s="8" t="str">
        <f t="shared" si="87"/>
        <v/>
      </c>
      <c r="F1112" s="4" t="str">
        <f>IF(Jugadores!B1112="","",Jugadores!B1112)</f>
        <v/>
      </c>
      <c r="G1112" s="4" t="str">
        <f>IF(Jugadores!B1112="","",Jugadores!A1112)</f>
        <v/>
      </c>
      <c r="H1112" s="4" t="str">
        <f>IF(F1112="","",SUMIF('Estadísticas Jugadores'!$F$2:$F$7001,F1112,'Estadísticas Jugadores'!$I$2:$I$7001))</f>
        <v/>
      </c>
      <c r="I1112" s="4" t="str">
        <f t="shared" si="88"/>
        <v/>
      </c>
      <c r="J1112" s="4" t="str">
        <f t="shared" si="89"/>
        <v/>
      </c>
    </row>
    <row r="1113" spans="1:10" ht="15" customHeight="1" x14ac:dyDescent="0.25">
      <c r="A1113" s="8" t="str">
        <f>IF(COUNT($J$2:$J$1501)&gt;=1112,1112,"")</f>
        <v/>
      </c>
      <c r="B1113" s="8" t="str">
        <f t="shared" si="85"/>
        <v/>
      </c>
      <c r="C1113" s="8" t="str">
        <f t="shared" si="86"/>
        <v/>
      </c>
      <c r="D1113" s="8" t="str">
        <f t="shared" si="87"/>
        <v/>
      </c>
      <c r="F1113" s="4" t="str">
        <f>IF(Jugadores!B1113="","",Jugadores!B1113)</f>
        <v/>
      </c>
      <c r="G1113" s="4" t="str">
        <f>IF(Jugadores!B1113="","",Jugadores!A1113)</f>
        <v/>
      </c>
      <c r="H1113" s="4" t="str">
        <f>IF(F1113="","",SUMIF('Estadísticas Jugadores'!$F$2:$F$7001,F1113,'Estadísticas Jugadores'!$I$2:$I$7001))</f>
        <v/>
      </c>
      <c r="I1113" s="4" t="str">
        <f t="shared" si="88"/>
        <v/>
      </c>
      <c r="J1113" s="4" t="str">
        <f t="shared" si="89"/>
        <v/>
      </c>
    </row>
    <row r="1114" spans="1:10" ht="15" customHeight="1" x14ac:dyDescent="0.25">
      <c r="A1114" s="8" t="str">
        <f>IF(COUNT($J$2:$J$1501)&gt;=1113,1113,"")</f>
        <v/>
      </c>
      <c r="B1114" s="8" t="str">
        <f t="shared" si="85"/>
        <v/>
      </c>
      <c r="C1114" s="8" t="str">
        <f t="shared" si="86"/>
        <v/>
      </c>
      <c r="D1114" s="8" t="str">
        <f t="shared" si="87"/>
        <v/>
      </c>
      <c r="F1114" s="4" t="str">
        <f>IF(Jugadores!B1114="","",Jugadores!B1114)</f>
        <v/>
      </c>
      <c r="G1114" s="4" t="str">
        <f>IF(Jugadores!B1114="","",Jugadores!A1114)</f>
        <v/>
      </c>
      <c r="H1114" s="4" t="str">
        <f>IF(F1114="","",SUMIF('Estadísticas Jugadores'!$F$2:$F$7001,F1114,'Estadísticas Jugadores'!$I$2:$I$7001))</f>
        <v/>
      </c>
      <c r="I1114" s="4" t="str">
        <f t="shared" si="88"/>
        <v/>
      </c>
      <c r="J1114" s="4" t="str">
        <f t="shared" si="89"/>
        <v/>
      </c>
    </row>
    <row r="1115" spans="1:10" ht="15" customHeight="1" x14ac:dyDescent="0.25">
      <c r="A1115" s="8" t="str">
        <f>IF(COUNT($J$2:$J$1501)&gt;=1114,1114,"")</f>
        <v/>
      </c>
      <c r="B1115" s="8" t="str">
        <f t="shared" si="85"/>
        <v/>
      </c>
      <c r="C1115" s="8" t="str">
        <f t="shared" si="86"/>
        <v/>
      </c>
      <c r="D1115" s="8" t="str">
        <f t="shared" si="87"/>
        <v/>
      </c>
      <c r="F1115" s="4" t="str">
        <f>IF(Jugadores!B1115="","",Jugadores!B1115)</f>
        <v/>
      </c>
      <c r="G1115" s="4" t="str">
        <f>IF(Jugadores!B1115="","",Jugadores!A1115)</f>
        <v/>
      </c>
      <c r="H1115" s="4" t="str">
        <f>IF(F1115="","",SUMIF('Estadísticas Jugadores'!$F$2:$F$7001,F1115,'Estadísticas Jugadores'!$I$2:$I$7001))</f>
        <v/>
      </c>
      <c r="I1115" s="4" t="str">
        <f t="shared" si="88"/>
        <v/>
      </c>
      <c r="J1115" s="4" t="str">
        <f t="shared" si="89"/>
        <v/>
      </c>
    </row>
    <row r="1116" spans="1:10" ht="15" customHeight="1" x14ac:dyDescent="0.25">
      <c r="A1116" s="8" t="str">
        <f>IF(COUNT($J$2:$J$1501)&gt;=1115,1115,"")</f>
        <v/>
      </c>
      <c r="B1116" s="8" t="str">
        <f t="shared" si="85"/>
        <v/>
      </c>
      <c r="C1116" s="8" t="str">
        <f t="shared" si="86"/>
        <v/>
      </c>
      <c r="D1116" s="8" t="str">
        <f t="shared" si="87"/>
        <v/>
      </c>
      <c r="F1116" s="4" t="str">
        <f>IF(Jugadores!B1116="","",Jugadores!B1116)</f>
        <v/>
      </c>
      <c r="G1116" s="4" t="str">
        <f>IF(Jugadores!B1116="","",Jugadores!A1116)</f>
        <v/>
      </c>
      <c r="H1116" s="4" t="str">
        <f>IF(F1116="","",SUMIF('Estadísticas Jugadores'!$F$2:$F$7001,F1116,'Estadísticas Jugadores'!$I$2:$I$7001))</f>
        <v/>
      </c>
      <c r="I1116" s="4" t="str">
        <f t="shared" si="88"/>
        <v/>
      </c>
      <c r="J1116" s="4" t="str">
        <f t="shared" si="89"/>
        <v/>
      </c>
    </row>
    <row r="1117" spans="1:10" ht="15" customHeight="1" x14ac:dyDescent="0.25">
      <c r="A1117" s="8" t="str">
        <f>IF(COUNT($J$2:$J$1501)&gt;=1116,1116,"")</f>
        <v/>
      </c>
      <c r="B1117" s="8" t="str">
        <f t="shared" si="85"/>
        <v/>
      </c>
      <c r="C1117" s="8" t="str">
        <f t="shared" si="86"/>
        <v/>
      </c>
      <c r="D1117" s="8" t="str">
        <f t="shared" si="87"/>
        <v/>
      </c>
      <c r="F1117" s="4" t="str">
        <f>IF(Jugadores!B1117="","",Jugadores!B1117)</f>
        <v/>
      </c>
      <c r="G1117" s="4" t="str">
        <f>IF(Jugadores!B1117="","",Jugadores!A1117)</f>
        <v/>
      </c>
      <c r="H1117" s="4" t="str">
        <f>IF(F1117="","",SUMIF('Estadísticas Jugadores'!$F$2:$F$7001,F1117,'Estadísticas Jugadores'!$I$2:$I$7001))</f>
        <v/>
      </c>
      <c r="I1117" s="4" t="str">
        <f t="shared" si="88"/>
        <v/>
      </c>
      <c r="J1117" s="4" t="str">
        <f t="shared" si="89"/>
        <v/>
      </c>
    </row>
    <row r="1118" spans="1:10" ht="15" customHeight="1" x14ac:dyDescent="0.25">
      <c r="A1118" s="8" t="str">
        <f>IF(COUNT($J$2:$J$1501)&gt;=1117,1117,"")</f>
        <v/>
      </c>
      <c r="B1118" s="8" t="str">
        <f t="shared" si="85"/>
        <v/>
      </c>
      <c r="C1118" s="8" t="str">
        <f t="shared" si="86"/>
        <v/>
      </c>
      <c r="D1118" s="8" t="str">
        <f t="shared" si="87"/>
        <v/>
      </c>
      <c r="F1118" s="4" t="str">
        <f>IF(Jugadores!B1118="","",Jugadores!B1118)</f>
        <v/>
      </c>
      <c r="G1118" s="4" t="str">
        <f>IF(Jugadores!B1118="","",Jugadores!A1118)</f>
        <v/>
      </c>
      <c r="H1118" s="4" t="str">
        <f>IF(F1118="","",SUMIF('Estadísticas Jugadores'!$F$2:$F$7001,F1118,'Estadísticas Jugadores'!$I$2:$I$7001))</f>
        <v/>
      </c>
      <c r="I1118" s="4" t="str">
        <f t="shared" si="88"/>
        <v/>
      </c>
      <c r="J1118" s="4" t="str">
        <f t="shared" si="89"/>
        <v/>
      </c>
    </row>
    <row r="1119" spans="1:10" ht="15" customHeight="1" x14ac:dyDescent="0.25">
      <c r="A1119" s="8" t="str">
        <f>IF(COUNT($J$2:$J$1501)&gt;=1118,1118,"")</f>
        <v/>
      </c>
      <c r="B1119" s="8" t="str">
        <f t="shared" si="85"/>
        <v/>
      </c>
      <c r="C1119" s="8" t="str">
        <f t="shared" si="86"/>
        <v/>
      </c>
      <c r="D1119" s="8" t="str">
        <f t="shared" si="87"/>
        <v/>
      </c>
      <c r="F1119" s="4" t="str">
        <f>IF(Jugadores!B1119="","",Jugadores!B1119)</f>
        <v/>
      </c>
      <c r="G1119" s="4" t="str">
        <f>IF(Jugadores!B1119="","",Jugadores!A1119)</f>
        <v/>
      </c>
      <c r="H1119" s="4" t="str">
        <f>IF(F1119="","",SUMIF('Estadísticas Jugadores'!$F$2:$F$7001,F1119,'Estadísticas Jugadores'!$I$2:$I$7001))</f>
        <v/>
      </c>
      <c r="I1119" s="4" t="str">
        <f t="shared" si="88"/>
        <v/>
      </c>
      <c r="J1119" s="4" t="str">
        <f t="shared" si="89"/>
        <v/>
      </c>
    </row>
    <row r="1120" spans="1:10" ht="15" customHeight="1" x14ac:dyDescent="0.25">
      <c r="A1120" s="8" t="str">
        <f>IF(COUNT($J$2:$J$1501)&gt;=1119,1119,"")</f>
        <v/>
      </c>
      <c r="B1120" s="8" t="str">
        <f t="shared" si="85"/>
        <v/>
      </c>
      <c r="C1120" s="8" t="str">
        <f t="shared" si="86"/>
        <v/>
      </c>
      <c r="D1120" s="8" t="str">
        <f t="shared" si="87"/>
        <v/>
      </c>
      <c r="F1120" s="4" t="str">
        <f>IF(Jugadores!B1120="","",Jugadores!B1120)</f>
        <v/>
      </c>
      <c r="G1120" s="4" t="str">
        <f>IF(Jugadores!B1120="","",Jugadores!A1120)</f>
        <v/>
      </c>
      <c r="H1120" s="4" t="str">
        <f>IF(F1120="","",SUMIF('Estadísticas Jugadores'!$F$2:$F$7001,F1120,'Estadísticas Jugadores'!$I$2:$I$7001))</f>
        <v/>
      </c>
      <c r="I1120" s="4" t="str">
        <f t="shared" si="88"/>
        <v/>
      </c>
      <c r="J1120" s="4" t="str">
        <f t="shared" si="89"/>
        <v/>
      </c>
    </row>
    <row r="1121" spans="1:10" ht="15" customHeight="1" x14ac:dyDescent="0.25">
      <c r="A1121" s="8" t="str">
        <f>IF(COUNT($J$2:$J$1501)&gt;=1120,1120,"")</f>
        <v/>
      </c>
      <c r="B1121" s="8" t="str">
        <f t="shared" si="85"/>
        <v/>
      </c>
      <c r="C1121" s="8" t="str">
        <f t="shared" si="86"/>
        <v/>
      </c>
      <c r="D1121" s="8" t="str">
        <f t="shared" si="87"/>
        <v/>
      </c>
      <c r="F1121" s="4" t="str">
        <f>IF(Jugadores!B1121="","",Jugadores!B1121)</f>
        <v/>
      </c>
      <c r="G1121" s="4" t="str">
        <f>IF(Jugadores!B1121="","",Jugadores!A1121)</f>
        <v/>
      </c>
      <c r="H1121" s="4" t="str">
        <f>IF(F1121="","",SUMIF('Estadísticas Jugadores'!$F$2:$F$7001,F1121,'Estadísticas Jugadores'!$I$2:$I$7001))</f>
        <v/>
      </c>
      <c r="I1121" s="4" t="str">
        <f t="shared" si="88"/>
        <v/>
      </c>
      <c r="J1121" s="4" t="str">
        <f t="shared" si="89"/>
        <v/>
      </c>
    </row>
    <row r="1122" spans="1:10" ht="15" customHeight="1" x14ac:dyDescent="0.25">
      <c r="A1122" s="8" t="str">
        <f>IF(COUNT($J$2:$J$1501)&gt;=1121,1121,"")</f>
        <v/>
      </c>
      <c r="B1122" s="8" t="str">
        <f t="shared" si="85"/>
        <v/>
      </c>
      <c r="C1122" s="8" t="str">
        <f t="shared" si="86"/>
        <v/>
      </c>
      <c r="D1122" s="8" t="str">
        <f t="shared" si="87"/>
        <v/>
      </c>
      <c r="F1122" s="4" t="str">
        <f>IF(Jugadores!B1122="","",Jugadores!B1122)</f>
        <v/>
      </c>
      <c r="G1122" s="4" t="str">
        <f>IF(Jugadores!B1122="","",Jugadores!A1122)</f>
        <v/>
      </c>
      <c r="H1122" s="4" t="str">
        <f>IF(F1122="","",SUMIF('Estadísticas Jugadores'!$F$2:$F$7001,F1122,'Estadísticas Jugadores'!$I$2:$I$7001))</f>
        <v/>
      </c>
      <c r="I1122" s="4" t="str">
        <f t="shared" si="88"/>
        <v/>
      </c>
      <c r="J1122" s="4" t="str">
        <f t="shared" si="89"/>
        <v/>
      </c>
    </row>
    <row r="1123" spans="1:10" ht="15" customHeight="1" x14ac:dyDescent="0.25">
      <c r="A1123" s="8" t="str">
        <f>IF(COUNT($J$2:$J$1501)&gt;=1122,1122,"")</f>
        <v/>
      </c>
      <c r="B1123" s="8" t="str">
        <f t="shared" si="85"/>
        <v/>
      </c>
      <c r="C1123" s="8" t="str">
        <f t="shared" si="86"/>
        <v/>
      </c>
      <c r="D1123" s="8" t="str">
        <f t="shared" si="87"/>
        <v/>
      </c>
      <c r="F1123" s="4" t="str">
        <f>IF(Jugadores!B1123="","",Jugadores!B1123)</f>
        <v/>
      </c>
      <c r="G1123" s="4" t="str">
        <f>IF(Jugadores!B1123="","",Jugadores!A1123)</f>
        <v/>
      </c>
      <c r="H1123" s="4" t="str">
        <f>IF(F1123="","",SUMIF('Estadísticas Jugadores'!$F$2:$F$7001,F1123,'Estadísticas Jugadores'!$I$2:$I$7001))</f>
        <v/>
      </c>
      <c r="I1123" s="4" t="str">
        <f t="shared" si="88"/>
        <v/>
      </c>
      <c r="J1123" s="4" t="str">
        <f t="shared" si="89"/>
        <v/>
      </c>
    </row>
    <row r="1124" spans="1:10" ht="15" customHeight="1" x14ac:dyDescent="0.25">
      <c r="A1124" s="8" t="str">
        <f>IF(COUNT($J$2:$J$1501)&gt;=1123,1123,"")</f>
        <v/>
      </c>
      <c r="B1124" s="8" t="str">
        <f t="shared" si="85"/>
        <v/>
      </c>
      <c r="C1124" s="8" t="str">
        <f t="shared" si="86"/>
        <v/>
      </c>
      <c r="D1124" s="8" t="str">
        <f t="shared" si="87"/>
        <v/>
      </c>
      <c r="F1124" s="4" t="str">
        <f>IF(Jugadores!B1124="","",Jugadores!B1124)</f>
        <v/>
      </c>
      <c r="G1124" s="4" t="str">
        <f>IF(Jugadores!B1124="","",Jugadores!A1124)</f>
        <v/>
      </c>
      <c r="H1124" s="4" t="str">
        <f>IF(F1124="","",SUMIF('Estadísticas Jugadores'!$F$2:$F$7001,F1124,'Estadísticas Jugadores'!$I$2:$I$7001))</f>
        <v/>
      </c>
      <c r="I1124" s="4" t="str">
        <f t="shared" si="88"/>
        <v/>
      </c>
      <c r="J1124" s="4" t="str">
        <f t="shared" si="89"/>
        <v/>
      </c>
    </row>
    <row r="1125" spans="1:10" ht="15" customHeight="1" x14ac:dyDescent="0.25">
      <c r="A1125" s="8" t="str">
        <f>IF(COUNT($J$2:$J$1501)&gt;=1124,1124,"")</f>
        <v/>
      </c>
      <c r="B1125" s="8" t="str">
        <f t="shared" si="85"/>
        <v/>
      </c>
      <c r="C1125" s="8" t="str">
        <f t="shared" si="86"/>
        <v/>
      </c>
      <c r="D1125" s="8" t="str">
        <f t="shared" si="87"/>
        <v/>
      </c>
      <c r="F1125" s="4" t="str">
        <f>IF(Jugadores!B1125="","",Jugadores!B1125)</f>
        <v/>
      </c>
      <c r="G1125" s="4" t="str">
        <f>IF(Jugadores!B1125="","",Jugadores!A1125)</f>
        <v/>
      </c>
      <c r="H1125" s="4" t="str">
        <f>IF(F1125="","",SUMIF('Estadísticas Jugadores'!$F$2:$F$7001,F1125,'Estadísticas Jugadores'!$I$2:$I$7001))</f>
        <v/>
      </c>
      <c r="I1125" s="4" t="str">
        <f t="shared" si="88"/>
        <v/>
      </c>
      <c r="J1125" s="4" t="str">
        <f t="shared" si="89"/>
        <v/>
      </c>
    </row>
    <row r="1126" spans="1:10" ht="15" customHeight="1" x14ac:dyDescent="0.25">
      <c r="A1126" s="8" t="str">
        <f>IF(COUNT($J$2:$J$1501)&gt;=1125,1125,"")</f>
        <v/>
      </c>
      <c r="B1126" s="8" t="str">
        <f t="shared" si="85"/>
        <v/>
      </c>
      <c r="C1126" s="8" t="str">
        <f t="shared" si="86"/>
        <v/>
      </c>
      <c r="D1126" s="8" t="str">
        <f t="shared" si="87"/>
        <v/>
      </c>
      <c r="F1126" s="4" t="str">
        <f>IF(Jugadores!B1126="","",Jugadores!B1126)</f>
        <v/>
      </c>
      <c r="G1126" s="4" t="str">
        <f>IF(Jugadores!B1126="","",Jugadores!A1126)</f>
        <v/>
      </c>
      <c r="H1126" s="4" t="str">
        <f>IF(F1126="","",SUMIF('Estadísticas Jugadores'!$F$2:$F$7001,F1126,'Estadísticas Jugadores'!$I$2:$I$7001))</f>
        <v/>
      </c>
      <c r="I1126" s="4" t="str">
        <f t="shared" si="88"/>
        <v/>
      </c>
      <c r="J1126" s="4" t="str">
        <f t="shared" si="89"/>
        <v/>
      </c>
    </row>
    <row r="1127" spans="1:10" ht="15" customHeight="1" x14ac:dyDescent="0.25">
      <c r="A1127" s="8" t="str">
        <f>IF(COUNT($J$2:$J$1501)&gt;=1126,1126,"")</f>
        <v/>
      </c>
      <c r="B1127" s="8" t="str">
        <f t="shared" si="85"/>
        <v/>
      </c>
      <c r="C1127" s="8" t="str">
        <f t="shared" si="86"/>
        <v/>
      </c>
      <c r="D1127" s="8" t="str">
        <f t="shared" si="87"/>
        <v/>
      </c>
      <c r="F1127" s="4" t="str">
        <f>IF(Jugadores!B1127="","",Jugadores!B1127)</f>
        <v/>
      </c>
      <c r="G1127" s="4" t="str">
        <f>IF(Jugadores!B1127="","",Jugadores!A1127)</f>
        <v/>
      </c>
      <c r="H1127" s="4" t="str">
        <f>IF(F1127="","",SUMIF('Estadísticas Jugadores'!$F$2:$F$7001,F1127,'Estadísticas Jugadores'!$I$2:$I$7001))</f>
        <v/>
      </c>
      <c r="I1127" s="4" t="str">
        <f t="shared" si="88"/>
        <v/>
      </c>
      <c r="J1127" s="4" t="str">
        <f t="shared" si="89"/>
        <v/>
      </c>
    </row>
    <row r="1128" spans="1:10" ht="15" customHeight="1" x14ac:dyDescent="0.25">
      <c r="A1128" s="8" t="str">
        <f>IF(COUNT($J$2:$J$1501)&gt;=1127,1127,"")</f>
        <v/>
      </c>
      <c r="B1128" s="8" t="str">
        <f t="shared" si="85"/>
        <v/>
      </c>
      <c r="C1128" s="8" t="str">
        <f t="shared" si="86"/>
        <v/>
      </c>
      <c r="D1128" s="8" t="str">
        <f t="shared" si="87"/>
        <v/>
      </c>
      <c r="F1128" s="4" t="str">
        <f>IF(Jugadores!B1128="","",Jugadores!B1128)</f>
        <v/>
      </c>
      <c r="G1128" s="4" t="str">
        <f>IF(Jugadores!B1128="","",Jugadores!A1128)</f>
        <v/>
      </c>
      <c r="H1128" s="4" t="str">
        <f>IF(F1128="","",SUMIF('Estadísticas Jugadores'!$F$2:$F$7001,F1128,'Estadísticas Jugadores'!$I$2:$I$7001))</f>
        <v/>
      </c>
      <c r="I1128" s="4" t="str">
        <f t="shared" si="88"/>
        <v/>
      </c>
      <c r="J1128" s="4" t="str">
        <f t="shared" si="89"/>
        <v/>
      </c>
    </row>
    <row r="1129" spans="1:10" ht="15" customHeight="1" x14ac:dyDescent="0.25">
      <c r="A1129" s="8" t="str">
        <f>IF(COUNT($J$2:$J$1501)&gt;=1128,1128,"")</f>
        <v/>
      </c>
      <c r="B1129" s="8" t="str">
        <f t="shared" si="85"/>
        <v/>
      </c>
      <c r="C1129" s="8" t="str">
        <f t="shared" si="86"/>
        <v/>
      </c>
      <c r="D1129" s="8" t="str">
        <f t="shared" si="87"/>
        <v/>
      </c>
      <c r="F1129" s="4" t="str">
        <f>IF(Jugadores!B1129="","",Jugadores!B1129)</f>
        <v/>
      </c>
      <c r="G1129" s="4" t="str">
        <f>IF(Jugadores!B1129="","",Jugadores!A1129)</f>
        <v/>
      </c>
      <c r="H1129" s="4" t="str">
        <f>IF(F1129="","",SUMIF('Estadísticas Jugadores'!$F$2:$F$7001,F1129,'Estadísticas Jugadores'!$I$2:$I$7001))</f>
        <v/>
      </c>
      <c r="I1129" s="4" t="str">
        <f t="shared" si="88"/>
        <v/>
      </c>
      <c r="J1129" s="4" t="str">
        <f t="shared" si="89"/>
        <v/>
      </c>
    </row>
    <row r="1130" spans="1:10" ht="15" customHeight="1" x14ac:dyDescent="0.25">
      <c r="A1130" s="8" t="str">
        <f>IF(COUNT($J$2:$J$1501)&gt;=1129,1129,"")</f>
        <v/>
      </c>
      <c r="B1130" s="8" t="str">
        <f t="shared" si="85"/>
        <v/>
      </c>
      <c r="C1130" s="8" t="str">
        <f t="shared" si="86"/>
        <v/>
      </c>
      <c r="D1130" s="8" t="str">
        <f t="shared" si="87"/>
        <v/>
      </c>
      <c r="F1130" s="4" t="str">
        <f>IF(Jugadores!B1130="","",Jugadores!B1130)</f>
        <v/>
      </c>
      <c r="G1130" s="4" t="str">
        <f>IF(Jugadores!B1130="","",Jugadores!A1130)</f>
        <v/>
      </c>
      <c r="H1130" s="4" t="str">
        <f>IF(F1130="","",SUMIF('Estadísticas Jugadores'!$F$2:$F$7001,F1130,'Estadísticas Jugadores'!$I$2:$I$7001))</f>
        <v/>
      </c>
      <c r="I1130" s="4" t="str">
        <f t="shared" si="88"/>
        <v/>
      </c>
      <c r="J1130" s="4" t="str">
        <f t="shared" si="89"/>
        <v/>
      </c>
    </row>
    <row r="1131" spans="1:10" ht="15" customHeight="1" x14ac:dyDescent="0.25">
      <c r="A1131" s="8" t="str">
        <f>IF(COUNT($J$2:$J$1501)&gt;=1130,1130,"")</f>
        <v/>
      </c>
      <c r="B1131" s="8" t="str">
        <f t="shared" si="85"/>
        <v/>
      </c>
      <c r="C1131" s="8" t="str">
        <f t="shared" si="86"/>
        <v/>
      </c>
      <c r="D1131" s="8" t="str">
        <f t="shared" si="87"/>
        <v/>
      </c>
      <c r="F1131" s="4" t="str">
        <f>IF(Jugadores!B1131="","",Jugadores!B1131)</f>
        <v/>
      </c>
      <c r="G1131" s="4" t="str">
        <f>IF(Jugadores!B1131="","",Jugadores!A1131)</f>
        <v/>
      </c>
      <c r="H1131" s="4" t="str">
        <f>IF(F1131="","",SUMIF('Estadísticas Jugadores'!$F$2:$F$7001,F1131,'Estadísticas Jugadores'!$I$2:$I$7001))</f>
        <v/>
      </c>
      <c r="I1131" s="4" t="str">
        <f t="shared" si="88"/>
        <v/>
      </c>
      <c r="J1131" s="4" t="str">
        <f t="shared" si="89"/>
        <v/>
      </c>
    </row>
    <row r="1132" spans="1:10" ht="15" customHeight="1" x14ac:dyDescent="0.25">
      <c r="A1132" s="8" t="str">
        <f>IF(COUNT($J$2:$J$1501)&gt;=1131,1131,"")</f>
        <v/>
      </c>
      <c r="B1132" s="8" t="str">
        <f t="shared" si="85"/>
        <v/>
      </c>
      <c r="C1132" s="8" t="str">
        <f t="shared" si="86"/>
        <v/>
      </c>
      <c r="D1132" s="8" t="str">
        <f t="shared" si="87"/>
        <v/>
      </c>
      <c r="F1132" s="4" t="str">
        <f>IF(Jugadores!B1132="","",Jugadores!B1132)</f>
        <v/>
      </c>
      <c r="G1132" s="4" t="str">
        <f>IF(Jugadores!B1132="","",Jugadores!A1132)</f>
        <v/>
      </c>
      <c r="H1132" s="4" t="str">
        <f>IF(F1132="","",SUMIF('Estadísticas Jugadores'!$F$2:$F$7001,F1132,'Estadísticas Jugadores'!$I$2:$I$7001))</f>
        <v/>
      </c>
      <c r="I1132" s="4" t="str">
        <f t="shared" si="88"/>
        <v/>
      </c>
      <c r="J1132" s="4" t="str">
        <f t="shared" si="89"/>
        <v/>
      </c>
    </row>
    <row r="1133" spans="1:10" ht="15" customHeight="1" x14ac:dyDescent="0.25">
      <c r="A1133" s="8" t="str">
        <f>IF(COUNT($J$2:$J$1501)&gt;=1132,1132,"")</f>
        <v/>
      </c>
      <c r="B1133" s="8" t="str">
        <f t="shared" si="85"/>
        <v/>
      </c>
      <c r="C1133" s="8" t="str">
        <f t="shared" si="86"/>
        <v/>
      </c>
      <c r="D1133" s="8" t="str">
        <f t="shared" si="87"/>
        <v/>
      </c>
      <c r="F1133" s="4" t="str">
        <f>IF(Jugadores!B1133="","",Jugadores!B1133)</f>
        <v/>
      </c>
      <c r="G1133" s="4" t="str">
        <f>IF(Jugadores!B1133="","",Jugadores!A1133)</f>
        <v/>
      </c>
      <c r="H1133" s="4" t="str">
        <f>IF(F1133="","",SUMIF('Estadísticas Jugadores'!$F$2:$F$7001,F1133,'Estadísticas Jugadores'!$I$2:$I$7001))</f>
        <v/>
      </c>
      <c r="I1133" s="4" t="str">
        <f t="shared" si="88"/>
        <v/>
      </c>
      <c r="J1133" s="4" t="str">
        <f t="shared" si="89"/>
        <v/>
      </c>
    </row>
    <row r="1134" spans="1:10" ht="15" customHeight="1" x14ac:dyDescent="0.25">
      <c r="A1134" s="8" t="str">
        <f>IF(COUNT($J$2:$J$1501)&gt;=1133,1133,"")</f>
        <v/>
      </c>
      <c r="B1134" s="8" t="str">
        <f t="shared" si="85"/>
        <v/>
      </c>
      <c r="C1134" s="8" t="str">
        <f t="shared" si="86"/>
        <v/>
      </c>
      <c r="D1134" s="8" t="str">
        <f t="shared" si="87"/>
        <v/>
      </c>
      <c r="F1134" s="4" t="str">
        <f>IF(Jugadores!B1134="","",Jugadores!B1134)</f>
        <v/>
      </c>
      <c r="G1134" s="4" t="str">
        <f>IF(Jugadores!B1134="","",Jugadores!A1134)</f>
        <v/>
      </c>
      <c r="H1134" s="4" t="str">
        <f>IF(F1134="","",SUMIF('Estadísticas Jugadores'!$F$2:$F$7001,F1134,'Estadísticas Jugadores'!$I$2:$I$7001))</f>
        <v/>
      </c>
      <c r="I1134" s="4" t="str">
        <f t="shared" si="88"/>
        <v/>
      </c>
      <c r="J1134" s="4" t="str">
        <f t="shared" si="89"/>
        <v/>
      </c>
    </row>
    <row r="1135" spans="1:10" ht="15" customHeight="1" x14ac:dyDescent="0.25">
      <c r="A1135" s="8" t="str">
        <f>IF(COUNT($J$2:$J$1501)&gt;=1134,1134,"")</f>
        <v/>
      </c>
      <c r="B1135" s="8" t="str">
        <f t="shared" si="85"/>
        <v/>
      </c>
      <c r="C1135" s="8" t="str">
        <f t="shared" si="86"/>
        <v/>
      </c>
      <c r="D1135" s="8" t="str">
        <f t="shared" si="87"/>
        <v/>
      </c>
      <c r="F1135" s="4" t="str">
        <f>IF(Jugadores!B1135="","",Jugadores!B1135)</f>
        <v/>
      </c>
      <c r="G1135" s="4" t="str">
        <f>IF(Jugadores!B1135="","",Jugadores!A1135)</f>
        <v/>
      </c>
      <c r="H1135" s="4" t="str">
        <f>IF(F1135="","",SUMIF('Estadísticas Jugadores'!$F$2:$F$7001,F1135,'Estadísticas Jugadores'!$I$2:$I$7001))</f>
        <v/>
      </c>
      <c r="I1135" s="4" t="str">
        <f t="shared" si="88"/>
        <v/>
      </c>
      <c r="J1135" s="4" t="str">
        <f t="shared" si="89"/>
        <v/>
      </c>
    </row>
    <row r="1136" spans="1:10" ht="15" customHeight="1" x14ac:dyDescent="0.25">
      <c r="A1136" s="8" t="str">
        <f>IF(COUNT($J$2:$J$1501)&gt;=1135,1135,"")</f>
        <v/>
      </c>
      <c r="B1136" s="8" t="str">
        <f t="shared" si="85"/>
        <v/>
      </c>
      <c r="C1136" s="8" t="str">
        <f t="shared" si="86"/>
        <v/>
      </c>
      <c r="D1136" s="8" t="str">
        <f t="shared" si="87"/>
        <v/>
      </c>
      <c r="F1136" s="4" t="str">
        <f>IF(Jugadores!B1136="","",Jugadores!B1136)</f>
        <v/>
      </c>
      <c r="G1136" s="4" t="str">
        <f>IF(Jugadores!B1136="","",Jugadores!A1136)</f>
        <v/>
      </c>
      <c r="H1136" s="4" t="str">
        <f>IF(F1136="","",SUMIF('Estadísticas Jugadores'!$F$2:$F$7001,F1136,'Estadísticas Jugadores'!$I$2:$I$7001))</f>
        <v/>
      </c>
      <c r="I1136" s="4" t="str">
        <f t="shared" si="88"/>
        <v/>
      </c>
      <c r="J1136" s="4" t="str">
        <f t="shared" si="89"/>
        <v/>
      </c>
    </row>
    <row r="1137" spans="1:10" ht="15" customHeight="1" x14ac:dyDescent="0.25">
      <c r="A1137" s="8" t="str">
        <f>IF(COUNT($J$2:$J$1501)&gt;=1136,1136,"")</f>
        <v/>
      </c>
      <c r="B1137" s="8" t="str">
        <f t="shared" si="85"/>
        <v/>
      </c>
      <c r="C1137" s="8" t="str">
        <f t="shared" si="86"/>
        <v/>
      </c>
      <c r="D1137" s="8" t="str">
        <f t="shared" si="87"/>
        <v/>
      </c>
      <c r="F1137" s="4" t="str">
        <f>IF(Jugadores!B1137="","",Jugadores!B1137)</f>
        <v/>
      </c>
      <c r="G1137" s="4" t="str">
        <f>IF(Jugadores!B1137="","",Jugadores!A1137)</f>
        <v/>
      </c>
      <c r="H1137" s="4" t="str">
        <f>IF(F1137="","",SUMIF('Estadísticas Jugadores'!$F$2:$F$7001,F1137,'Estadísticas Jugadores'!$I$2:$I$7001))</f>
        <v/>
      </c>
      <c r="I1137" s="4" t="str">
        <f t="shared" si="88"/>
        <v/>
      </c>
      <c r="J1137" s="4" t="str">
        <f t="shared" si="89"/>
        <v/>
      </c>
    </row>
    <row r="1138" spans="1:10" ht="15" customHeight="1" x14ac:dyDescent="0.25">
      <c r="A1138" s="8" t="str">
        <f>IF(COUNT($J$2:$J$1501)&gt;=1137,1137,"")</f>
        <v/>
      </c>
      <c r="B1138" s="8" t="str">
        <f t="shared" si="85"/>
        <v/>
      </c>
      <c r="C1138" s="8" t="str">
        <f t="shared" si="86"/>
        <v/>
      </c>
      <c r="D1138" s="8" t="str">
        <f t="shared" si="87"/>
        <v/>
      </c>
      <c r="F1138" s="4" t="str">
        <f>IF(Jugadores!B1138="","",Jugadores!B1138)</f>
        <v/>
      </c>
      <c r="G1138" s="4" t="str">
        <f>IF(Jugadores!B1138="","",Jugadores!A1138)</f>
        <v/>
      </c>
      <c r="H1138" s="4" t="str">
        <f>IF(F1138="","",SUMIF('Estadísticas Jugadores'!$F$2:$F$7001,F1138,'Estadísticas Jugadores'!$I$2:$I$7001))</f>
        <v/>
      </c>
      <c r="I1138" s="4" t="str">
        <f t="shared" si="88"/>
        <v/>
      </c>
      <c r="J1138" s="4" t="str">
        <f t="shared" si="89"/>
        <v/>
      </c>
    </row>
    <row r="1139" spans="1:10" ht="15" customHeight="1" x14ac:dyDescent="0.25">
      <c r="A1139" s="8" t="str">
        <f>IF(COUNT($J$2:$J$1501)&gt;=1138,1138,"")</f>
        <v/>
      </c>
      <c r="B1139" s="8" t="str">
        <f t="shared" si="85"/>
        <v/>
      </c>
      <c r="C1139" s="8" t="str">
        <f t="shared" si="86"/>
        <v/>
      </c>
      <c r="D1139" s="8" t="str">
        <f t="shared" si="87"/>
        <v/>
      </c>
      <c r="F1139" s="4" t="str">
        <f>IF(Jugadores!B1139="","",Jugadores!B1139)</f>
        <v/>
      </c>
      <c r="G1139" s="4" t="str">
        <f>IF(Jugadores!B1139="","",Jugadores!A1139)</f>
        <v/>
      </c>
      <c r="H1139" s="4" t="str">
        <f>IF(F1139="","",SUMIF('Estadísticas Jugadores'!$F$2:$F$7001,F1139,'Estadísticas Jugadores'!$I$2:$I$7001))</f>
        <v/>
      </c>
      <c r="I1139" s="4" t="str">
        <f t="shared" si="88"/>
        <v/>
      </c>
      <c r="J1139" s="4" t="str">
        <f t="shared" si="89"/>
        <v/>
      </c>
    </row>
    <row r="1140" spans="1:10" ht="15" customHeight="1" x14ac:dyDescent="0.25">
      <c r="A1140" s="8" t="str">
        <f>IF(COUNT($J$2:$J$1501)&gt;=1139,1139,"")</f>
        <v/>
      </c>
      <c r="B1140" s="8" t="str">
        <f t="shared" si="85"/>
        <v/>
      </c>
      <c r="C1140" s="8" t="str">
        <f t="shared" si="86"/>
        <v/>
      </c>
      <c r="D1140" s="8" t="str">
        <f t="shared" si="87"/>
        <v/>
      </c>
      <c r="F1140" s="4" t="str">
        <f>IF(Jugadores!B1140="","",Jugadores!B1140)</f>
        <v/>
      </c>
      <c r="G1140" s="4" t="str">
        <f>IF(Jugadores!B1140="","",Jugadores!A1140)</f>
        <v/>
      </c>
      <c r="H1140" s="4" t="str">
        <f>IF(F1140="","",SUMIF('Estadísticas Jugadores'!$F$2:$F$7001,F1140,'Estadísticas Jugadores'!$I$2:$I$7001))</f>
        <v/>
      </c>
      <c r="I1140" s="4" t="str">
        <f t="shared" si="88"/>
        <v/>
      </c>
      <c r="J1140" s="4" t="str">
        <f t="shared" si="89"/>
        <v/>
      </c>
    </row>
    <row r="1141" spans="1:10" ht="15" customHeight="1" x14ac:dyDescent="0.25">
      <c r="A1141" s="8" t="str">
        <f>IF(COUNT($J$2:$J$1501)&gt;=1140,1140,"")</f>
        <v/>
      </c>
      <c r="B1141" s="8" t="str">
        <f t="shared" si="85"/>
        <v/>
      </c>
      <c r="C1141" s="8" t="str">
        <f t="shared" si="86"/>
        <v/>
      </c>
      <c r="D1141" s="8" t="str">
        <f t="shared" si="87"/>
        <v/>
      </c>
      <c r="F1141" s="4" t="str">
        <f>IF(Jugadores!B1141="","",Jugadores!B1141)</f>
        <v/>
      </c>
      <c r="G1141" s="4" t="str">
        <f>IF(Jugadores!B1141="","",Jugadores!A1141)</f>
        <v/>
      </c>
      <c r="H1141" s="4" t="str">
        <f>IF(F1141="","",SUMIF('Estadísticas Jugadores'!$F$2:$F$7001,F1141,'Estadísticas Jugadores'!$I$2:$I$7001))</f>
        <v/>
      </c>
      <c r="I1141" s="4" t="str">
        <f t="shared" si="88"/>
        <v/>
      </c>
      <c r="J1141" s="4" t="str">
        <f t="shared" si="89"/>
        <v/>
      </c>
    </row>
    <row r="1142" spans="1:10" ht="15" customHeight="1" x14ac:dyDescent="0.25">
      <c r="A1142" s="8" t="str">
        <f>IF(COUNT($J$2:$J$1501)&gt;=1141,1141,"")</f>
        <v/>
      </c>
      <c r="B1142" s="8" t="str">
        <f t="shared" si="85"/>
        <v/>
      </c>
      <c r="C1142" s="8" t="str">
        <f t="shared" si="86"/>
        <v/>
      </c>
      <c r="D1142" s="8" t="str">
        <f t="shared" si="87"/>
        <v/>
      </c>
      <c r="F1142" s="4" t="str">
        <f>IF(Jugadores!B1142="","",Jugadores!B1142)</f>
        <v/>
      </c>
      <c r="G1142" s="4" t="str">
        <f>IF(Jugadores!B1142="","",Jugadores!A1142)</f>
        <v/>
      </c>
      <c r="H1142" s="4" t="str">
        <f>IF(F1142="","",SUMIF('Estadísticas Jugadores'!$F$2:$F$7001,F1142,'Estadísticas Jugadores'!$I$2:$I$7001))</f>
        <v/>
      </c>
      <c r="I1142" s="4" t="str">
        <f t="shared" si="88"/>
        <v/>
      </c>
      <c r="J1142" s="4" t="str">
        <f t="shared" si="89"/>
        <v/>
      </c>
    </row>
    <row r="1143" spans="1:10" ht="15" customHeight="1" x14ac:dyDescent="0.25">
      <c r="A1143" s="8" t="str">
        <f>IF(COUNT($J$2:$J$1501)&gt;=1142,1142,"")</f>
        <v/>
      </c>
      <c r="B1143" s="8" t="str">
        <f t="shared" si="85"/>
        <v/>
      </c>
      <c r="C1143" s="8" t="str">
        <f t="shared" si="86"/>
        <v/>
      </c>
      <c r="D1143" s="8" t="str">
        <f t="shared" si="87"/>
        <v/>
      </c>
      <c r="F1143" s="4" t="str">
        <f>IF(Jugadores!B1143="","",Jugadores!B1143)</f>
        <v/>
      </c>
      <c r="G1143" s="4" t="str">
        <f>IF(Jugadores!B1143="","",Jugadores!A1143)</f>
        <v/>
      </c>
      <c r="H1143" s="4" t="str">
        <f>IF(F1143="","",SUMIF('Estadísticas Jugadores'!$F$2:$F$7001,F1143,'Estadísticas Jugadores'!$I$2:$I$7001))</f>
        <v/>
      </c>
      <c r="I1143" s="4" t="str">
        <f t="shared" si="88"/>
        <v/>
      </c>
      <c r="J1143" s="4" t="str">
        <f t="shared" si="89"/>
        <v/>
      </c>
    </row>
    <row r="1144" spans="1:10" ht="15" customHeight="1" x14ac:dyDescent="0.25">
      <c r="A1144" s="8" t="str">
        <f>IF(COUNT($J$2:$J$1501)&gt;=1143,1143,"")</f>
        <v/>
      </c>
      <c r="B1144" s="8" t="str">
        <f t="shared" si="85"/>
        <v/>
      </c>
      <c r="C1144" s="8" t="str">
        <f t="shared" si="86"/>
        <v/>
      </c>
      <c r="D1144" s="8" t="str">
        <f t="shared" si="87"/>
        <v/>
      </c>
      <c r="F1144" s="4" t="str">
        <f>IF(Jugadores!B1144="","",Jugadores!B1144)</f>
        <v/>
      </c>
      <c r="G1144" s="4" t="str">
        <f>IF(Jugadores!B1144="","",Jugadores!A1144)</f>
        <v/>
      </c>
      <c r="H1144" s="4" t="str">
        <f>IF(F1144="","",SUMIF('Estadísticas Jugadores'!$F$2:$F$7001,F1144,'Estadísticas Jugadores'!$I$2:$I$7001))</f>
        <v/>
      </c>
      <c r="I1144" s="4" t="str">
        <f t="shared" si="88"/>
        <v/>
      </c>
      <c r="J1144" s="4" t="str">
        <f t="shared" si="89"/>
        <v/>
      </c>
    </row>
    <row r="1145" spans="1:10" ht="15" customHeight="1" x14ac:dyDescent="0.25">
      <c r="A1145" s="8" t="str">
        <f>IF(COUNT($J$2:$J$1501)&gt;=1144,1144,"")</f>
        <v/>
      </c>
      <c r="B1145" s="8" t="str">
        <f t="shared" si="85"/>
        <v/>
      </c>
      <c r="C1145" s="8" t="str">
        <f t="shared" si="86"/>
        <v/>
      </c>
      <c r="D1145" s="8" t="str">
        <f t="shared" si="87"/>
        <v/>
      </c>
      <c r="F1145" s="4" t="str">
        <f>IF(Jugadores!B1145="","",Jugadores!B1145)</f>
        <v/>
      </c>
      <c r="G1145" s="4" t="str">
        <f>IF(Jugadores!B1145="","",Jugadores!A1145)</f>
        <v/>
      </c>
      <c r="H1145" s="4" t="str">
        <f>IF(F1145="","",SUMIF('Estadísticas Jugadores'!$F$2:$F$7001,F1145,'Estadísticas Jugadores'!$I$2:$I$7001))</f>
        <v/>
      </c>
      <c r="I1145" s="4" t="str">
        <f t="shared" si="88"/>
        <v/>
      </c>
      <c r="J1145" s="4" t="str">
        <f t="shared" si="89"/>
        <v/>
      </c>
    </row>
    <row r="1146" spans="1:10" ht="15" customHeight="1" x14ac:dyDescent="0.25">
      <c r="A1146" s="8" t="str">
        <f>IF(COUNT($J$2:$J$1501)&gt;=1145,1145,"")</f>
        <v/>
      </c>
      <c r="B1146" s="8" t="str">
        <f t="shared" si="85"/>
        <v/>
      </c>
      <c r="C1146" s="8" t="str">
        <f t="shared" si="86"/>
        <v/>
      </c>
      <c r="D1146" s="8" t="str">
        <f t="shared" si="87"/>
        <v/>
      </c>
      <c r="F1146" s="4" t="str">
        <f>IF(Jugadores!B1146="","",Jugadores!B1146)</f>
        <v/>
      </c>
      <c r="G1146" s="4" t="str">
        <f>IF(Jugadores!B1146="","",Jugadores!A1146)</f>
        <v/>
      </c>
      <c r="H1146" s="4" t="str">
        <f>IF(F1146="","",SUMIF('Estadísticas Jugadores'!$F$2:$F$7001,F1146,'Estadísticas Jugadores'!$I$2:$I$7001))</f>
        <v/>
      </c>
      <c r="I1146" s="4" t="str">
        <f t="shared" si="88"/>
        <v/>
      </c>
      <c r="J1146" s="4" t="str">
        <f t="shared" si="89"/>
        <v/>
      </c>
    </row>
    <row r="1147" spans="1:10" ht="15" customHeight="1" x14ac:dyDescent="0.25">
      <c r="A1147" s="8" t="str">
        <f>IF(COUNT($J$2:$J$1501)&gt;=1146,1146,"")</f>
        <v/>
      </c>
      <c r="B1147" s="8" t="str">
        <f t="shared" si="85"/>
        <v/>
      </c>
      <c r="C1147" s="8" t="str">
        <f t="shared" si="86"/>
        <v/>
      </c>
      <c r="D1147" s="8" t="str">
        <f t="shared" si="87"/>
        <v/>
      </c>
      <c r="F1147" s="4" t="str">
        <f>IF(Jugadores!B1147="","",Jugadores!B1147)</f>
        <v/>
      </c>
      <c r="G1147" s="4" t="str">
        <f>IF(Jugadores!B1147="","",Jugadores!A1147)</f>
        <v/>
      </c>
      <c r="H1147" s="4" t="str">
        <f>IF(F1147="","",SUMIF('Estadísticas Jugadores'!$F$2:$F$7001,F1147,'Estadísticas Jugadores'!$I$2:$I$7001))</f>
        <v/>
      </c>
      <c r="I1147" s="4" t="str">
        <f t="shared" si="88"/>
        <v/>
      </c>
      <c r="J1147" s="4" t="str">
        <f t="shared" si="89"/>
        <v/>
      </c>
    </row>
    <row r="1148" spans="1:10" ht="15" customHeight="1" x14ac:dyDescent="0.25">
      <c r="A1148" s="8" t="str">
        <f>IF(COUNT($J$2:$J$1501)&gt;=1147,1147,"")</f>
        <v/>
      </c>
      <c r="B1148" s="8" t="str">
        <f t="shared" si="85"/>
        <v/>
      </c>
      <c r="C1148" s="8" t="str">
        <f t="shared" si="86"/>
        <v/>
      </c>
      <c r="D1148" s="8" t="str">
        <f t="shared" si="87"/>
        <v/>
      </c>
      <c r="F1148" s="4" t="str">
        <f>IF(Jugadores!B1148="","",Jugadores!B1148)</f>
        <v/>
      </c>
      <c r="G1148" s="4" t="str">
        <f>IF(Jugadores!B1148="","",Jugadores!A1148)</f>
        <v/>
      </c>
      <c r="H1148" s="4" t="str">
        <f>IF(F1148="","",SUMIF('Estadísticas Jugadores'!$F$2:$F$7001,F1148,'Estadísticas Jugadores'!$I$2:$I$7001))</f>
        <v/>
      </c>
      <c r="I1148" s="4" t="str">
        <f t="shared" si="88"/>
        <v/>
      </c>
      <c r="J1148" s="4" t="str">
        <f t="shared" si="89"/>
        <v/>
      </c>
    </row>
    <row r="1149" spans="1:10" ht="15" customHeight="1" x14ac:dyDescent="0.25">
      <c r="A1149" s="8" t="str">
        <f>IF(COUNT($J$2:$J$1501)&gt;=1148,1148,"")</f>
        <v/>
      </c>
      <c r="B1149" s="8" t="str">
        <f t="shared" si="85"/>
        <v/>
      </c>
      <c r="C1149" s="8" t="str">
        <f t="shared" si="86"/>
        <v/>
      </c>
      <c r="D1149" s="8" t="str">
        <f t="shared" si="87"/>
        <v/>
      </c>
      <c r="F1149" s="4" t="str">
        <f>IF(Jugadores!B1149="","",Jugadores!B1149)</f>
        <v/>
      </c>
      <c r="G1149" s="4" t="str">
        <f>IF(Jugadores!B1149="","",Jugadores!A1149)</f>
        <v/>
      </c>
      <c r="H1149" s="4" t="str">
        <f>IF(F1149="","",SUMIF('Estadísticas Jugadores'!$F$2:$F$7001,F1149,'Estadísticas Jugadores'!$I$2:$I$7001))</f>
        <v/>
      </c>
      <c r="I1149" s="4" t="str">
        <f t="shared" si="88"/>
        <v/>
      </c>
      <c r="J1149" s="4" t="str">
        <f t="shared" si="89"/>
        <v/>
      </c>
    </row>
    <row r="1150" spans="1:10" ht="15" customHeight="1" x14ac:dyDescent="0.25">
      <c r="A1150" s="8" t="str">
        <f>IF(COUNT($J$2:$J$1501)&gt;=1149,1149,"")</f>
        <v/>
      </c>
      <c r="B1150" s="8" t="str">
        <f t="shared" si="85"/>
        <v/>
      </c>
      <c r="C1150" s="8" t="str">
        <f t="shared" si="86"/>
        <v/>
      </c>
      <c r="D1150" s="8" t="str">
        <f t="shared" si="87"/>
        <v/>
      </c>
      <c r="F1150" s="4" t="str">
        <f>IF(Jugadores!B1150="","",Jugadores!B1150)</f>
        <v/>
      </c>
      <c r="G1150" s="4" t="str">
        <f>IF(Jugadores!B1150="","",Jugadores!A1150)</f>
        <v/>
      </c>
      <c r="H1150" s="4" t="str">
        <f>IF(F1150="","",SUMIF('Estadísticas Jugadores'!$F$2:$F$7001,F1150,'Estadísticas Jugadores'!$I$2:$I$7001))</f>
        <v/>
      </c>
      <c r="I1150" s="4" t="str">
        <f t="shared" si="88"/>
        <v/>
      </c>
      <c r="J1150" s="4" t="str">
        <f t="shared" si="89"/>
        <v/>
      </c>
    </row>
    <row r="1151" spans="1:10" ht="15" customHeight="1" x14ac:dyDescent="0.25">
      <c r="A1151" s="8" t="str">
        <f>IF(COUNT($J$2:$J$1501)&gt;=1150,1150,"")</f>
        <v/>
      </c>
      <c r="B1151" s="8" t="str">
        <f t="shared" si="85"/>
        <v/>
      </c>
      <c r="C1151" s="8" t="str">
        <f t="shared" si="86"/>
        <v/>
      </c>
      <c r="D1151" s="8" t="str">
        <f t="shared" si="87"/>
        <v/>
      </c>
      <c r="F1151" s="4" t="str">
        <f>IF(Jugadores!B1151="","",Jugadores!B1151)</f>
        <v/>
      </c>
      <c r="G1151" s="4" t="str">
        <f>IF(Jugadores!B1151="","",Jugadores!A1151)</f>
        <v/>
      </c>
      <c r="H1151" s="4" t="str">
        <f>IF(F1151="","",SUMIF('Estadísticas Jugadores'!$F$2:$F$7001,F1151,'Estadísticas Jugadores'!$I$2:$I$7001))</f>
        <v/>
      </c>
      <c r="I1151" s="4" t="str">
        <f t="shared" si="88"/>
        <v/>
      </c>
      <c r="J1151" s="4" t="str">
        <f t="shared" si="89"/>
        <v/>
      </c>
    </row>
    <row r="1152" spans="1:10" ht="15" customHeight="1" x14ac:dyDescent="0.25">
      <c r="A1152" s="8" t="str">
        <f>IF(COUNT($J$2:$J$1501)&gt;=1151,1151,"")</f>
        <v/>
      </c>
      <c r="B1152" s="8" t="str">
        <f t="shared" si="85"/>
        <v/>
      </c>
      <c r="C1152" s="8" t="str">
        <f t="shared" si="86"/>
        <v/>
      </c>
      <c r="D1152" s="8" t="str">
        <f t="shared" si="87"/>
        <v/>
      </c>
      <c r="F1152" s="4" t="str">
        <f>IF(Jugadores!B1152="","",Jugadores!B1152)</f>
        <v/>
      </c>
      <c r="G1152" s="4" t="str">
        <f>IF(Jugadores!B1152="","",Jugadores!A1152)</f>
        <v/>
      </c>
      <c r="H1152" s="4" t="str">
        <f>IF(F1152="","",SUMIF('Estadísticas Jugadores'!$F$2:$F$7001,F1152,'Estadísticas Jugadores'!$I$2:$I$7001))</f>
        <v/>
      </c>
      <c r="I1152" s="4" t="str">
        <f t="shared" si="88"/>
        <v/>
      </c>
      <c r="J1152" s="4" t="str">
        <f t="shared" si="89"/>
        <v/>
      </c>
    </row>
    <row r="1153" spans="1:10" ht="15" customHeight="1" x14ac:dyDescent="0.25">
      <c r="A1153" s="8" t="str">
        <f>IF(COUNT($J$2:$J$1501)&gt;=1152,1152,"")</f>
        <v/>
      </c>
      <c r="B1153" s="8" t="str">
        <f t="shared" si="85"/>
        <v/>
      </c>
      <c r="C1153" s="8" t="str">
        <f t="shared" si="86"/>
        <v/>
      </c>
      <c r="D1153" s="8" t="str">
        <f t="shared" si="87"/>
        <v/>
      </c>
      <c r="F1153" s="4" t="str">
        <f>IF(Jugadores!B1153="","",Jugadores!B1153)</f>
        <v/>
      </c>
      <c r="G1153" s="4" t="str">
        <f>IF(Jugadores!B1153="","",Jugadores!A1153)</f>
        <v/>
      </c>
      <c r="H1153" s="4" t="str">
        <f>IF(F1153="","",SUMIF('Estadísticas Jugadores'!$F$2:$F$7001,F1153,'Estadísticas Jugadores'!$I$2:$I$7001))</f>
        <v/>
      </c>
      <c r="I1153" s="4" t="str">
        <f t="shared" si="88"/>
        <v/>
      </c>
      <c r="J1153" s="4" t="str">
        <f t="shared" si="89"/>
        <v/>
      </c>
    </row>
    <row r="1154" spans="1:10" ht="15" customHeight="1" x14ac:dyDescent="0.25">
      <c r="A1154" s="8" t="str">
        <f>IF(COUNT($J$2:$J$1501)&gt;=1153,1153,"")</f>
        <v/>
      </c>
      <c r="B1154" s="8" t="str">
        <f t="shared" ref="B1154:B1217" si="90">IF($A1154="","",INDEX($F$2:$F$1501,MATCH($A1154,$J$2:$J$1501,0)))</f>
        <v/>
      </c>
      <c r="C1154" s="8" t="str">
        <f t="shared" ref="C1154:C1217" si="91">IF($A1154="","",INDEX($G$2:$G$1501,MATCH($A1154,$J$2:$J$1501,0)))</f>
        <v/>
      </c>
      <c r="D1154" s="8" t="str">
        <f t="shared" ref="D1154:D1217" si="92">IF($A1154="","",INDEX($H$2:$H$1501,MATCH($A1154,$J$2:$J$1501,0)))</f>
        <v/>
      </c>
      <c r="F1154" s="4" t="str">
        <f>IF(Jugadores!B1154="","",Jugadores!B1154)</f>
        <v/>
      </c>
      <c r="G1154" s="4" t="str">
        <f>IF(Jugadores!B1154="","",Jugadores!A1154)</f>
        <v/>
      </c>
      <c r="H1154" s="4" t="str">
        <f>IF(F1154="","",SUMIF('Estadísticas Jugadores'!$F$2:$F$7001,F1154,'Estadísticas Jugadores'!$I$2:$I$7001))</f>
        <v/>
      </c>
      <c r="I1154" s="4" t="str">
        <f t="shared" ref="I1154:I1217" si="93">IF(F1154="","",H1154*1000-ROW()*0.0000001)</f>
        <v/>
      </c>
      <c r="J1154" s="4" t="str">
        <f t="shared" ref="J1154:J1217" si="94">IF(F1154="","",RANK(I1154,$I$2:$I$1501))</f>
        <v/>
      </c>
    </row>
    <row r="1155" spans="1:10" ht="15" customHeight="1" x14ac:dyDescent="0.25">
      <c r="A1155" s="8" t="str">
        <f>IF(COUNT($J$2:$J$1501)&gt;=1154,1154,"")</f>
        <v/>
      </c>
      <c r="B1155" s="8" t="str">
        <f t="shared" si="90"/>
        <v/>
      </c>
      <c r="C1155" s="8" t="str">
        <f t="shared" si="91"/>
        <v/>
      </c>
      <c r="D1155" s="8" t="str">
        <f t="shared" si="92"/>
        <v/>
      </c>
      <c r="F1155" s="4" t="str">
        <f>IF(Jugadores!B1155="","",Jugadores!B1155)</f>
        <v/>
      </c>
      <c r="G1155" s="4" t="str">
        <f>IF(Jugadores!B1155="","",Jugadores!A1155)</f>
        <v/>
      </c>
      <c r="H1155" s="4" t="str">
        <f>IF(F1155="","",SUMIF('Estadísticas Jugadores'!$F$2:$F$7001,F1155,'Estadísticas Jugadores'!$I$2:$I$7001))</f>
        <v/>
      </c>
      <c r="I1155" s="4" t="str">
        <f t="shared" si="93"/>
        <v/>
      </c>
      <c r="J1155" s="4" t="str">
        <f t="shared" si="94"/>
        <v/>
      </c>
    </row>
    <row r="1156" spans="1:10" ht="15" customHeight="1" x14ac:dyDescent="0.25">
      <c r="A1156" s="8" t="str">
        <f>IF(COUNT($J$2:$J$1501)&gt;=1155,1155,"")</f>
        <v/>
      </c>
      <c r="B1156" s="8" t="str">
        <f t="shared" si="90"/>
        <v/>
      </c>
      <c r="C1156" s="8" t="str">
        <f t="shared" si="91"/>
        <v/>
      </c>
      <c r="D1156" s="8" t="str">
        <f t="shared" si="92"/>
        <v/>
      </c>
      <c r="F1156" s="4" t="str">
        <f>IF(Jugadores!B1156="","",Jugadores!B1156)</f>
        <v/>
      </c>
      <c r="G1156" s="4" t="str">
        <f>IF(Jugadores!B1156="","",Jugadores!A1156)</f>
        <v/>
      </c>
      <c r="H1156" s="4" t="str">
        <f>IF(F1156="","",SUMIF('Estadísticas Jugadores'!$F$2:$F$7001,F1156,'Estadísticas Jugadores'!$I$2:$I$7001))</f>
        <v/>
      </c>
      <c r="I1156" s="4" t="str">
        <f t="shared" si="93"/>
        <v/>
      </c>
      <c r="J1156" s="4" t="str">
        <f t="shared" si="94"/>
        <v/>
      </c>
    </row>
    <row r="1157" spans="1:10" ht="15" customHeight="1" x14ac:dyDescent="0.25">
      <c r="A1157" s="8" t="str">
        <f>IF(COUNT($J$2:$J$1501)&gt;=1156,1156,"")</f>
        <v/>
      </c>
      <c r="B1157" s="8" t="str">
        <f t="shared" si="90"/>
        <v/>
      </c>
      <c r="C1157" s="8" t="str">
        <f t="shared" si="91"/>
        <v/>
      </c>
      <c r="D1157" s="8" t="str">
        <f t="shared" si="92"/>
        <v/>
      </c>
      <c r="F1157" s="4" t="str">
        <f>IF(Jugadores!B1157="","",Jugadores!B1157)</f>
        <v/>
      </c>
      <c r="G1157" s="4" t="str">
        <f>IF(Jugadores!B1157="","",Jugadores!A1157)</f>
        <v/>
      </c>
      <c r="H1157" s="4" t="str">
        <f>IF(F1157="","",SUMIF('Estadísticas Jugadores'!$F$2:$F$7001,F1157,'Estadísticas Jugadores'!$I$2:$I$7001))</f>
        <v/>
      </c>
      <c r="I1157" s="4" t="str">
        <f t="shared" si="93"/>
        <v/>
      </c>
      <c r="J1157" s="4" t="str">
        <f t="shared" si="94"/>
        <v/>
      </c>
    </row>
    <row r="1158" spans="1:10" ht="15" customHeight="1" x14ac:dyDescent="0.25">
      <c r="A1158" s="8" t="str">
        <f>IF(COUNT($J$2:$J$1501)&gt;=1157,1157,"")</f>
        <v/>
      </c>
      <c r="B1158" s="8" t="str">
        <f t="shared" si="90"/>
        <v/>
      </c>
      <c r="C1158" s="8" t="str">
        <f t="shared" si="91"/>
        <v/>
      </c>
      <c r="D1158" s="8" t="str">
        <f t="shared" si="92"/>
        <v/>
      </c>
      <c r="F1158" s="4" t="str">
        <f>IF(Jugadores!B1158="","",Jugadores!B1158)</f>
        <v/>
      </c>
      <c r="G1158" s="4" t="str">
        <f>IF(Jugadores!B1158="","",Jugadores!A1158)</f>
        <v/>
      </c>
      <c r="H1158" s="4" t="str">
        <f>IF(F1158="","",SUMIF('Estadísticas Jugadores'!$F$2:$F$7001,F1158,'Estadísticas Jugadores'!$I$2:$I$7001))</f>
        <v/>
      </c>
      <c r="I1158" s="4" t="str">
        <f t="shared" si="93"/>
        <v/>
      </c>
      <c r="J1158" s="4" t="str">
        <f t="shared" si="94"/>
        <v/>
      </c>
    </row>
    <row r="1159" spans="1:10" ht="15" customHeight="1" x14ac:dyDescent="0.25">
      <c r="A1159" s="8" t="str">
        <f>IF(COUNT($J$2:$J$1501)&gt;=1158,1158,"")</f>
        <v/>
      </c>
      <c r="B1159" s="8" t="str">
        <f t="shared" si="90"/>
        <v/>
      </c>
      <c r="C1159" s="8" t="str">
        <f t="shared" si="91"/>
        <v/>
      </c>
      <c r="D1159" s="8" t="str">
        <f t="shared" si="92"/>
        <v/>
      </c>
      <c r="F1159" s="4" t="str">
        <f>IF(Jugadores!B1159="","",Jugadores!B1159)</f>
        <v/>
      </c>
      <c r="G1159" s="4" t="str">
        <f>IF(Jugadores!B1159="","",Jugadores!A1159)</f>
        <v/>
      </c>
      <c r="H1159" s="4" t="str">
        <f>IF(F1159="","",SUMIF('Estadísticas Jugadores'!$F$2:$F$7001,F1159,'Estadísticas Jugadores'!$I$2:$I$7001))</f>
        <v/>
      </c>
      <c r="I1159" s="4" t="str">
        <f t="shared" si="93"/>
        <v/>
      </c>
      <c r="J1159" s="4" t="str">
        <f t="shared" si="94"/>
        <v/>
      </c>
    </row>
    <row r="1160" spans="1:10" ht="15" customHeight="1" x14ac:dyDescent="0.25">
      <c r="A1160" s="8" t="str">
        <f>IF(COUNT($J$2:$J$1501)&gt;=1159,1159,"")</f>
        <v/>
      </c>
      <c r="B1160" s="8" t="str">
        <f t="shared" si="90"/>
        <v/>
      </c>
      <c r="C1160" s="8" t="str">
        <f t="shared" si="91"/>
        <v/>
      </c>
      <c r="D1160" s="8" t="str">
        <f t="shared" si="92"/>
        <v/>
      </c>
      <c r="F1160" s="4" t="str">
        <f>IF(Jugadores!B1160="","",Jugadores!B1160)</f>
        <v/>
      </c>
      <c r="G1160" s="4" t="str">
        <f>IF(Jugadores!B1160="","",Jugadores!A1160)</f>
        <v/>
      </c>
      <c r="H1160" s="4" t="str">
        <f>IF(F1160="","",SUMIF('Estadísticas Jugadores'!$F$2:$F$7001,F1160,'Estadísticas Jugadores'!$I$2:$I$7001))</f>
        <v/>
      </c>
      <c r="I1160" s="4" t="str">
        <f t="shared" si="93"/>
        <v/>
      </c>
      <c r="J1160" s="4" t="str">
        <f t="shared" si="94"/>
        <v/>
      </c>
    </row>
    <row r="1161" spans="1:10" ht="15" customHeight="1" x14ac:dyDescent="0.25">
      <c r="A1161" s="8" t="str">
        <f>IF(COUNT($J$2:$J$1501)&gt;=1160,1160,"")</f>
        <v/>
      </c>
      <c r="B1161" s="8" t="str">
        <f t="shared" si="90"/>
        <v/>
      </c>
      <c r="C1161" s="8" t="str">
        <f t="shared" si="91"/>
        <v/>
      </c>
      <c r="D1161" s="8" t="str">
        <f t="shared" si="92"/>
        <v/>
      </c>
      <c r="F1161" s="4" t="str">
        <f>IF(Jugadores!B1161="","",Jugadores!B1161)</f>
        <v/>
      </c>
      <c r="G1161" s="4" t="str">
        <f>IF(Jugadores!B1161="","",Jugadores!A1161)</f>
        <v/>
      </c>
      <c r="H1161" s="4" t="str">
        <f>IF(F1161="","",SUMIF('Estadísticas Jugadores'!$F$2:$F$7001,F1161,'Estadísticas Jugadores'!$I$2:$I$7001))</f>
        <v/>
      </c>
      <c r="I1161" s="4" t="str">
        <f t="shared" si="93"/>
        <v/>
      </c>
      <c r="J1161" s="4" t="str">
        <f t="shared" si="94"/>
        <v/>
      </c>
    </row>
    <row r="1162" spans="1:10" ht="15" customHeight="1" x14ac:dyDescent="0.25">
      <c r="A1162" s="8" t="str">
        <f>IF(COUNT($J$2:$J$1501)&gt;=1161,1161,"")</f>
        <v/>
      </c>
      <c r="B1162" s="8" t="str">
        <f t="shared" si="90"/>
        <v/>
      </c>
      <c r="C1162" s="8" t="str">
        <f t="shared" si="91"/>
        <v/>
      </c>
      <c r="D1162" s="8" t="str">
        <f t="shared" si="92"/>
        <v/>
      </c>
      <c r="F1162" s="4" t="str">
        <f>IF(Jugadores!B1162="","",Jugadores!B1162)</f>
        <v/>
      </c>
      <c r="G1162" s="4" t="str">
        <f>IF(Jugadores!B1162="","",Jugadores!A1162)</f>
        <v/>
      </c>
      <c r="H1162" s="4" t="str">
        <f>IF(F1162="","",SUMIF('Estadísticas Jugadores'!$F$2:$F$7001,F1162,'Estadísticas Jugadores'!$I$2:$I$7001))</f>
        <v/>
      </c>
      <c r="I1162" s="4" t="str">
        <f t="shared" si="93"/>
        <v/>
      </c>
      <c r="J1162" s="4" t="str">
        <f t="shared" si="94"/>
        <v/>
      </c>
    </row>
    <row r="1163" spans="1:10" ht="15" customHeight="1" x14ac:dyDescent="0.25">
      <c r="A1163" s="8" t="str">
        <f>IF(COUNT($J$2:$J$1501)&gt;=1162,1162,"")</f>
        <v/>
      </c>
      <c r="B1163" s="8" t="str">
        <f t="shared" si="90"/>
        <v/>
      </c>
      <c r="C1163" s="8" t="str">
        <f t="shared" si="91"/>
        <v/>
      </c>
      <c r="D1163" s="8" t="str">
        <f t="shared" si="92"/>
        <v/>
      </c>
      <c r="F1163" s="4" t="str">
        <f>IF(Jugadores!B1163="","",Jugadores!B1163)</f>
        <v/>
      </c>
      <c r="G1163" s="4" t="str">
        <f>IF(Jugadores!B1163="","",Jugadores!A1163)</f>
        <v/>
      </c>
      <c r="H1163" s="4" t="str">
        <f>IF(F1163="","",SUMIF('Estadísticas Jugadores'!$F$2:$F$7001,F1163,'Estadísticas Jugadores'!$I$2:$I$7001))</f>
        <v/>
      </c>
      <c r="I1163" s="4" t="str">
        <f t="shared" si="93"/>
        <v/>
      </c>
      <c r="J1163" s="4" t="str">
        <f t="shared" si="94"/>
        <v/>
      </c>
    </row>
    <row r="1164" spans="1:10" ht="15" customHeight="1" x14ac:dyDescent="0.25">
      <c r="A1164" s="8" t="str">
        <f>IF(COUNT($J$2:$J$1501)&gt;=1163,1163,"")</f>
        <v/>
      </c>
      <c r="B1164" s="8" t="str">
        <f t="shared" si="90"/>
        <v/>
      </c>
      <c r="C1164" s="8" t="str">
        <f t="shared" si="91"/>
        <v/>
      </c>
      <c r="D1164" s="8" t="str">
        <f t="shared" si="92"/>
        <v/>
      </c>
      <c r="F1164" s="4" t="str">
        <f>IF(Jugadores!B1164="","",Jugadores!B1164)</f>
        <v/>
      </c>
      <c r="G1164" s="4" t="str">
        <f>IF(Jugadores!B1164="","",Jugadores!A1164)</f>
        <v/>
      </c>
      <c r="H1164" s="4" t="str">
        <f>IF(F1164="","",SUMIF('Estadísticas Jugadores'!$F$2:$F$7001,F1164,'Estadísticas Jugadores'!$I$2:$I$7001))</f>
        <v/>
      </c>
      <c r="I1164" s="4" t="str">
        <f t="shared" si="93"/>
        <v/>
      </c>
      <c r="J1164" s="4" t="str">
        <f t="shared" si="94"/>
        <v/>
      </c>
    </row>
    <row r="1165" spans="1:10" ht="15" customHeight="1" x14ac:dyDescent="0.25">
      <c r="A1165" s="8" t="str">
        <f>IF(COUNT($J$2:$J$1501)&gt;=1164,1164,"")</f>
        <v/>
      </c>
      <c r="B1165" s="8" t="str">
        <f t="shared" si="90"/>
        <v/>
      </c>
      <c r="C1165" s="8" t="str">
        <f t="shared" si="91"/>
        <v/>
      </c>
      <c r="D1165" s="8" t="str">
        <f t="shared" si="92"/>
        <v/>
      </c>
      <c r="F1165" s="4" t="str">
        <f>IF(Jugadores!B1165="","",Jugadores!B1165)</f>
        <v/>
      </c>
      <c r="G1165" s="4" t="str">
        <f>IF(Jugadores!B1165="","",Jugadores!A1165)</f>
        <v/>
      </c>
      <c r="H1165" s="4" t="str">
        <f>IF(F1165="","",SUMIF('Estadísticas Jugadores'!$F$2:$F$7001,F1165,'Estadísticas Jugadores'!$I$2:$I$7001))</f>
        <v/>
      </c>
      <c r="I1165" s="4" t="str">
        <f t="shared" si="93"/>
        <v/>
      </c>
      <c r="J1165" s="4" t="str">
        <f t="shared" si="94"/>
        <v/>
      </c>
    </row>
    <row r="1166" spans="1:10" ht="15" customHeight="1" x14ac:dyDescent="0.25">
      <c r="A1166" s="8" t="str">
        <f>IF(COUNT($J$2:$J$1501)&gt;=1165,1165,"")</f>
        <v/>
      </c>
      <c r="B1166" s="8" t="str">
        <f t="shared" si="90"/>
        <v/>
      </c>
      <c r="C1166" s="8" t="str">
        <f t="shared" si="91"/>
        <v/>
      </c>
      <c r="D1166" s="8" t="str">
        <f t="shared" si="92"/>
        <v/>
      </c>
      <c r="F1166" s="4" t="str">
        <f>IF(Jugadores!B1166="","",Jugadores!B1166)</f>
        <v/>
      </c>
      <c r="G1166" s="4" t="str">
        <f>IF(Jugadores!B1166="","",Jugadores!A1166)</f>
        <v/>
      </c>
      <c r="H1166" s="4" t="str">
        <f>IF(F1166="","",SUMIF('Estadísticas Jugadores'!$F$2:$F$7001,F1166,'Estadísticas Jugadores'!$I$2:$I$7001))</f>
        <v/>
      </c>
      <c r="I1166" s="4" t="str">
        <f t="shared" si="93"/>
        <v/>
      </c>
      <c r="J1166" s="4" t="str">
        <f t="shared" si="94"/>
        <v/>
      </c>
    </row>
    <row r="1167" spans="1:10" ht="15" customHeight="1" x14ac:dyDescent="0.25">
      <c r="A1167" s="8" t="str">
        <f>IF(COUNT($J$2:$J$1501)&gt;=1166,1166,"")</f>
        <v/>
      </c>
      <c r="B1167" s="8" t="str">
        <f t="shared" si="90"/>
        <v/>
      </c>
      <c r="C1167" s="8" t="str">
        <f t="shared" si="91"/>
        <v/>
      </c>
      <c r="D1167" s="8" t="str">
        <f t="shared" si="92"/>
        <v/>
      </c>
      <c r="F1167" s="4" t="str">
        <f>IF(Jugadores!B1167="","",Jugadores!B1167)</f>
        <v/>
      </c>
      <c r="G1167" s="4" t="str">
        <f>IF(Jugadores!B1167="","",Jugadores!A1167)</f>
        <v/>
      </c>
      <c r="H1167" s="4" t="str">
        <f>IF(F1167="","",SUMIF('Estadísticas Jugadores'!$F$2:$F$7001,F1167,'Estadísticas Jugadores'!$I$2:$I$7001))</f>
        <v/>
      </c>
      <c r="I1167" s="4" t="str">
        <f t="shared" si="93"/>
        <v/>
      </c>
      <c r="J1167" s="4" t="str">
        <f t="shared" si="94"/>
        <v/>
      </c>
    </row>
    <row r="1168" spans="1:10" ht="15" customHeight="1" x14ac:dyDescent="0.25">
      <c r="A1168" s="8" t="str">
        <f>IF(COUNT($J$2:$J$1501)&gt;=1167,1167,"")</f>
        <v/>
      </c>
      <c r="B1168" s="8" t="str">
        <f t="shared" si="90"/>
        <v/>
      </c>
      <c r="C1168" s="8" t="str">
        <f t="shared" si="91"/>
        <v/>
      </c>
      <c r="D1168" s="8" t="str">
        <f t="shared" si="92"/>
        <v/>
      </c>
      <c r="F1168" s="4" t="str">
        <f>IF(Jugadores!B1168="","",Jugadores!B1168)</f>
        <v/>
      </c>
      <c r="G1168" s="4" t="str">
        <f>IF(Jugadores!B1168="","",Jugadores!A1168)</f>
        <v/>
      </c>
      <c r="H1168" s="4" t="str">
        <f>IF(F1168="","",SUMIF('Estadísticas Jugadores'!$F$2:$F$7001,F1168,'Estadísticas Jugadores'!$I$2:$I$7001))</f>
        <v/>
      </c>
      <c r="I1168" s="4" t="str">
        <f t="shared" si="93"/>
        <v/>
      </c>
      <c r="J1168" s="4" t="str">
        <f t="shared" si="94"/>
        <v/>
      </c>
    </row>
    <row r="1169" spans="1:10" ht="15" customHeight="1" x14ac:dyDescent="0.25">
      <c r="A1169" s="8" t="str">
        <f>IF(COUNT($J$2:$J$1501)&gt;=1168,1168,"")</f>
        <v/>
      </c>
      <c r="B1169" s="8" t="str">
        <f t="shared" si="90"/>
        <v/>
      </c>
      <c r="C1169" s="8" t="str">
        <f t="shared" si="91"/>
        <v/>
      </c>
      <c r="D1169" s="8" t="str">
        <f t="shared" si="92"/>
        <v/>
      </c>
      <c r="F1169" s="4" t="str">
        <f>IF(Jugadores!B1169="","",Jugadores!B1169)</f>
        <v/>
      </c>
      <c r="G1169" s="4" t="str">
        <f>IF(Jugadores!B1169="","",Jugadores!A1169)</f>
        <v/>
      </c>
      <c r="H1169" s="4" t="str">
        <f>IF(F1169="","",SUMIF('Estadísticas Jugadores'!$F$2:$F$7001,F1169,'Estadísticas Jugadores'!$I$2:$I$7001))</f>
        <v/>
      </c>
      <c r="I1169" s="4" t="str">
        <f t="shared" si="93"/>
        <v/>
      </c>
      <c r="J1169" s="4" t="str">
        <f t="shared" si="94"/>
        <v/>
      </c>
    </row>
    <row r="1170" spans="1:10" ht="15" customHeight="1" x14ac:dyDescent="0.25">
      <c r="A1170" s="8" t="str">
        <f>IF(COUNT($J$2:$J$1501)&gt;=1169,1169,"")</f>
        <v/>
      </c>
      <c r="B1170" s="8" t="str">
        <f t="shared" si="90"/>
        <v/>
      </c>
      <c r="C1170" s="8" t="str">
        <f t="shared" si="91"/>
        <v/>
      </c>
      <c r="D1170" s="8" t="str">
        <f t="shared" si="92"/>
        <v/>
      </c>
      <c r="F1170" s="4" t="str">
        <f>IF(Jugadores!B1170="","",Jugadores!B1170)</f>
        <v/>
      </c>
      <c r="G1170" s="4" t="str">
        <f>IF(Jugadores!B1170="","",Jugadores!A1170)</f>
        <v/>
      </c>
      <c r="H1170" s="4" t="str">
        <f>IF(F1170="","",SUMIF('Estadísticas Jugadores'!$F$2:$F$7001,F1170,'Estadísticas Jugadores'!$I$2:$I$7001))</f>
        <v/>
      </c>
      <c r="I1170" s="4" t="str">
        <f t="shared" si="93"/>
        <v/>
      </c>
      <c r="J1170" s="4" t="str">
        <f t="shared" si="94"/>
        <v/>
      </c>
    </row>
    <row r="1171" spans="1:10" ht="15" customHeight="1" x14ac:dyDescent="0.25">
      <c r="A1171" s="8" t="str">
        <f>IF(COUNT($J$2:$J$1501)&gt;=1170,1170,"")</f>
        <v/>
      </c>
      <c r="B1171" s="8" t="str">
        <f t="shared" si="90"/>
        <v/>
      </c>
      <c r="C1171" s="8" t="str">
        <f t="shared" si="91"/>
        <v/>
      </c>
      <c r="D1171" s="8" t="str">
        <f t="shared" si="92"/>
        <v/>
      </c>
      <c r="F1171" s="4" t="str">
        <f>IF(Jugadores!B1171="","",Jugadores!B1171)</f>
        <v/>
      </c>
      <c r="G1171" s="4" t="str">
        <f>IF(Jugadores!B1171="","",Jugadores!A1171)</f>
        <v/>
      </c>
      <c r="H1171" s="4" t="str">
        <f>IF(F1171="","",SUMIF('Estadísticas Jugadores'!$F$2:$F$7001,F1171,'Estadísticas Jugadores'!$I$2:$I$7001))</f>
        <v/>
      </c>
      <c r="I1171" s="4" t="str">
        <f t="shared" si="93"/>
        <v/>
      </c>
      <c r="J1171" s="4" t="str">
        <f t="shared" si="94"/>
        <v/>
      </c>
    </row>
    <row r="1172" spans="1:10" ht="15" customHeight="1" x14ac:dyDescent="0.25">
      <c r="A1172" s="8" t="str">
        <f>IF(COUNT($J$2:$J$1501)&gt;=1171,1171,"")</f>
        <v/>
      </c>
      <c r="B1172" s="8" t="str">
        <f t="shared" si="90"/>
        <v/>
      </c>
      <c r="C1172" s="8" t="str">
        <f t="shared" si="91"/>
        <v/>
      </c>
      <c r="D1172" s="8" t="str">
        <f t="shared" si="92"/>
        <v/>
      </c>
      <c r="F1172" s="4" t="str">
        <f>IF(Jugadores!B1172="","",Jugadores!B1172)</f>
        <v/>
      </c>
      <c r="G1172" s="4" t="str">
        <f>IF(Jugadores!B1172="","",Jugadores!A1172)</f>
        <v/>
      </c>
      <c r="H1172" s="4" t="str">
        <f>IF(F1172="","",SUMIF('Estadísticas Jugadores'!$F$2:$F$7001,F1172,'Estadísticas Jugadores'!$I$2:$I$7001))</f>
        <v/>
      </c>
      <c r="I1172" s="4" t="str">
        <f t="shared" si="93"/>
        <v/>
      </c>
      <c r="J1172" s="4" t="str">
        <f t="shared" si="94"/>
        <v/>
      </c>
    </row>
    <row r="1173" spans="1:10" ht="15" customHeight="1" x14ac:dyDescent="0.25">
      <c r="A1173" s="8" t="str">
        <f>IF(COUNT($J$2:$J$1501)&gt;=1172,1172,"")</f>
        <v/>
      </c>
      <c r="B1173" s="8" t="str">
        <f t="shared" si="90"/>
        <v/>
      </c>
      <c r="C1173" s="8" t="str">
        <f t="shared" si="91"/>
        <v/>
      </c>
      <c r="D1173" s="8" t="str">
        <f t="shared" si="92"/>
        <v/>
      </c>
      <c r="F1173" s="4" t="str">
        <f>IF(Jugadores!B1173="","",Jugadores!B1173)</f>
        <v/>
      </c>
      <c r="G1173" s="4" t="str">
        <f>IF(Jugadores!B1173="","",Jugadores!A1173)</f>
        <v/>
      </c>
      <c r="H1173" s="4" t="str">
        <f>IF(F1173="","",SUMIF('Estadísticas Jugadores'!$F$2:$F$7001,F1173,'Estadísticas Jugadores'!$I$2:$I$7001))</f>
        <v/>
      </c>
      <c r="I1173" s="4" t="str">
        <f t="shared" si="93"/>
        <v/>
      </c>
      <c r="J1173" s="4" t="str">
        <f t="shared" si="94"/>
        <v/>
      </c>
    </row>
    <row r="1174" spans="1:10" ht="15" customHeight="1" x14ac:dyDescent="0.25">
      <c r="A1174" s="8" t="str">
        <f>IF(COUNT($J$2:$J$1501)&gt;=1173,1173,"")</f>
        <v/>
      </c>
      <c r="B1174" s="8" t="str">
        <f t="shared" si="90"/>
        <v/>
      </c>
      <c r="C1174" s="8" t="str">
        <f t="shared" si="91"/>
        <v/>
      </c>
      <c r="D1174" s="8" t="str">
        <f t="shared" si="92"/>
        <v/>
      </c>
      <c r="F1174" s="4" t="str">
        <f>IF(Jugadores!B1174="","",Jugadores!B1174)</f>
        <v/>
      </c>
      <c r="G1174" s="4" t="str">
        <f>IF(Jugadores!B1174="","",Jugadores!A1174)</f>
        <v/>
      </c>
      <c r="H1174" s="4" t="str">
        <f>IF(F1174="","",SUMIF('Estadísticas Jugadores'!$F$2:$F$7001,F1174,'Estadísticas Jugadores'!$I$2:$I$7001))</f>
        <v/>
      </c>
      <c r="I1174" s="4" t="str">
        <f t="shared" si="93"/>
        <v/>
      </c>
      <c r="J1174" s="4" t="str">
        <f t="shared" si="94"/>
        <v/>
      </c>
    </row>
    <row r="1175" spans="1:10" ht="15" customHeight="1" x14ac:dyDescent="0.25">
      <c r="A1175" s="8" t="str">
        <f>IF(COUNT($J$2:$J$1501)&gt;=1174,1174,"")</f>
        <v/>
      </c>
      <c r="B1175" s="8" t="str">
        <f t="shared" si="90"/>
        <v/>
      </c>
      <c r="C1175" s="8" t="str">
        <f t="shared" si="91"/>
        <v/>
      </c>
      <c r="D1175" s="8" t="str">
        <f t="shared" si="92"/>
        <v/>
      </c>
      <c r="F1175" s="4" t="str">
        <f>IF(Jugadores!B1175="","",Jugadores!B1175)</f>
        <v/>
      </c>
      <c r="G1175" s="4" t="str">
        <f>IF(Jugadores!B1175="","",Jugadores!A1175)</f>
        <v/>
      </c>
      <c r="H1175" s="4" t="str">
        <f>IF(F1175="","",SUMIF('Estadísticas Jugadores'!$F$2:$F$7001,F1175,'Estadísticas Jugadores'!$I$2:$I$7001))</f>
        <v/>
      </c>
      <c r="I1175" s="4" t="str">
        <f t="shared" si="93"/>
        <v/>
      </c>
      <c r="J1175" s="4" t="str">
        <f t="shared" si="94"/>
        <v/>
      </c>
    </row>
    <row r="1176" spans="1:10" ht="15" customHeight="1" x14ac:dyDescent="0.25">
      <c r="A1176" s="8" t="str">
        <f>IF(COUNT($J$2:$J$1501)&gt;=1175,1175,"")</f>
        <v/>
      </c>
      <c r="B1176" s="8" t="str">
        <f t="shared" si="90"/>
        <v/>
      </c>
      <c r="C1176" s="8" t="str">
        <f t="shared" si="91"/>
        <v/>
      </c>
      <c r="D1176" s="8" t="str">
        <f t="shared" si="92"/>
        <v/>
      </c>
      <c r="F1176" s="4" t="str">
        <f>IF(Jugadores!B1176="","",Jugadores!B1176)</f>
        <v/>
      </c>
      <c r="G1176" s="4" t="str">
        <f>IF(Jugadores!B1176="","",Jugadores!A1176)</f>
        <v/>
      </c>
      <c r="H1176" s="4" t="str">
        <f>IF(F1176="","",SUMIF('Estadísticas Jugadores'!$F$2:$F$7001,F1176,'Estadísticas Jugadores'!$I$2:$I$7001))</f>
        <v/>
      </c>
      <c r="I1176" s="4" t="str">
        <f t="shared" si="93"/>
        <v/>
      </c>
      <c r="J1176" s="4" t="str">
        <f t="shared" si="94"/>
        <v/>
      </c>
    </row>
    <row r="1177" spans="1:10" ht="15" customHeight="1" x14ac:dyDescent="0.25">
      <c r="A1177" s="8" t="str">
        <f>IF(COUNT($J$2:$J$1501)&gt;=1176,1176,"")</f>
        <v/>
      </c>
      <c r="B1177" s="8" t="str">
        <f t="shared" si="90"/>
        <v/>
      </c>
      <c r="C1177" s="8" t="str">
        <f t="shared" si="91"/>
        <v/>
      </c>
      <c r="D1177" s="8" t="str">
        <f t="shared" si="92"/>
        <v/>
      </c>
      <c r="F1177" s="4" t="str">
        <f>IF(Jugadores!B1177="","",Jugadores!B1177)</f>
        <v/>
      </c>
      <c r="G1177" s="4" t="str">
        <f>IF(Jugadores!B1177="","",Jugadores!A1177)</f>
        <v/>
      </c>
      <c r="H1177" s="4" t="str">
        <f>IF(F1177="","",SUMIF('Estadísticas Jugadores'!$F$2:$F$7001,F1177,'Estadísticas Jugadores'!$I$2:$I$7001))</f>
        <v/>
      </c>
      <c r="I1177" s="4" t="str">
        <f t="shared" si="93"/>
        <v/>
      </c>
      <c r="J1177" s="4" t="str">
        <f t="shared" si="94"/>
        <v/>
      </c>
    </row>
    <row r="1178" spans="1:10" ht="15" customHeight="1" x14ac:dyDescent="0.25">
      <c r="A1178" s="8" t="str">
        <f>IF(COUNT($J$2:$J$1501)&gt;=1177,1177,"")</f>
        <v/>
      </c>
      <c r="B1178" s="8" t="str">
        <f t="shared" si="90"/>
        <v/>
      </c>
      <c r="C1178" s="8" t="str">
        <f t="shared" si="91"/>
        <v/>
      </c>
      <c r="D1178" s="8" t="str">
        <f t="shared" si="92"/>
        <v/>
      </c>
      <c r="F1178" s="4" t="str">
        <f>IF(Jugadores!B1178="","",Jugadores!B1178)</f>
        <v/>
      </c>
      <c r="G1178" s="4" t="str">
        <f>IF(Jugadores!B1178="","",Jugadores!A1178)</f>
        <v/>
      </c>
      <c r="H1178" s="4" t="str">
        <f>IF(F1178="","",SUMIF('Estadísticas Jugadores'!$F$2:$F$7001,F1178,'Estadísticas Jugadores'!$I$2:$I$7001))</f>
        <v/>
      </c>
      <c r="I1178" s="4" t="str">
        <f t="shared" si="93"/>
        <v/>
      </c>
      <c r="J1178" s="4" t="str">
        <f t="shared" si="94"/>
        <v/>
      </c>
    </row>
    <row r="1179" spans="1:10" ht="15" customHeight="1" x14ac:dyDescent="0.25">
      <c r="A1179" s="8" t="str">
        <f>IF(COUNT($J$2:$J$1501)&gt;=1178,1178,"")</f>
        <v/>
      </c>
      <c r="B1179" s="8" t="str">
        <f t="shared" si="90"/>
        <v/>
      </c>
      <c r="C1179" s="8" t="str">
        <f t="shared" si="91"/>
        <v/>
      </c>
      <c r="D1179" s="8" t="str">
        <f t="shared" si="92"/>
        <v/>
      </c>
      <c r="F1179" s="4" t="str">
        <f>IF(Jugadores!B1179="","",Jugadores!B1179)</f>
        <v/>
      </c>
      <c r="G1179" s="4" t="str">
        <f>IF(Jugadores!B1179="","",Jugadores!A1179)</f>
        <v/>
      </c>
      <c r="H1179" s="4" t="str">
        <f>IF(F1179="","",SUMIF('Estadísticas Jugadores'!$F$2:$F$7001,F1179,'Estadísticas Jugadores'!$I$2:$I$7001))</f>
        <v/>
      </c>
      <c r="I1179" s="4" t="str">
        <f t="shared" si="93"/>
        <v/>
      </c>
      <c r="J1179" s="4" t="str">
        <f t="shared" si="94"/>
        <v/>
      </c>
    </row>
    <row r="1180" spans="1:10" ht="15" customHeight="1" x14ac:dyDescent="0.25">
      <c r="A1180" s="8" t="str">
        <f>IF(COUNT($J$2:$J$1501)&gt;=1179,1179,"")</f>
        <v/>
      </c>
      <c r="B1180" s="8" t="str">
        <f t="shared" si="90"/>
        <v/>
      </c>
      <c r="C1180" s="8" t="str">
        <f t="shared" si="91"/>
        <v/>
      </c>
      <c r="D1180" s="8" t="str">
        <f t="shared" si="92"/>
        <v/>
      </c>
      <c r="F1180" s="4" t="str">
        <f>IF(Jugadores!B1180="","",Jugadores!B1180)</f>
        <v/>
      </c>
      <c r="G1180" s="4" t="str">
        <f>IF(Jugadores!B1180="","",Jugadores!A1180)</f>
        <v/>
      </c>
      <c r="H1180" s="4" t="str">
        <f>IF(F1180="","",SUMIF('Estadísticas Jugadores'!$F$2:$F$7001,F1180,'Estadísticas Jugadores'!$I$2:$I$7001))</f>
        <v/>
      </c>
      <c r="I1180" s="4" t="str">
        <f t="shared" si="93"/>
        <v/>
      </c>
      <c r="J1180" s="4" t="str">
        <f t="shared" si="94"/>
        <v/>
      </c>
    </row>
    <row r="1181" spans="1:10" ht="15" customHeight="1" x14ac:dyDescent="0.25">
      <c r="A1181" s="8" t="str">
        <f>IF(COUNT($J$2:$J$1501)&gt;=1180,1180,"")</f>
        <v/>
      </c>
      <c r="B1181" s="8" t="str">
        <f t="shared" si="90"/>
        <v/>
      </c>
      <c r="C1181" s="8" t="str">
        <f t="shared" si="91"/>
        <v/>
      </c>
      <c r="D1181" s="8" t="str">
        <f t="shared" si="92"/>
        <v/>
      </c>
      <c r="F1181" s="4" t="str">
        <f>IF(Jugadores!B1181="","",Jugadores!B1181)</f>
        <v/>
      </c>
      <c r="G1181" s="4" t="str">
        <f>IF(Jugadores!B1181="","",Jugadores!A1181)</f>
        <v/>
      </c>
      <c r="H1181" s="4" t="str">
        <f>IF(F1181="","",SUMIF('Estadísticas Jugadores'!$F$2:$F$7001,F1181,'Estadísticas Jugadores'!$I$2:$I$7001))</f>
        <v/>
      </c>
      <c r="I1181" s="4" t="str">
        <f t="shared" si="93"/>
        <v/>
      </c>
      <c r="J1181" s="4" t="str">
        <f t="shared" si="94"/>
        <v/>
      </c>
    </row>
    <row r="1182" spans="1:10" ht="15" customHeight="1" x14ac:dyDescent="0.25">
      <c r="A1182" s="8" t="str">
        <f>IF(COUNT($J$2:$J$1501)&gt;=1181,1181,"")</f>
        <v/>
      </c>
      <c r="B1182" s="8" t="str">
        <f t="shared" si="90"/>
        <v/>
      </c>
      <c r="C1182" s="8" t="str">
        <f t="shared" si="91"/>
        <v/>
      </c>
      <c r="D1182" s="8" t="str">
        <f t="shared" si="92"/>
        <v/>
      </c>
      <c r="F1182" s="4" t="str">
        <f>IF(Jugadores!B1182="","",Jugadores!B1182)</f>
        <v/>
      </c>
      <c r="G1182" s="4" t="str">
        <f>IF(Jugadores!B1182="","",Jugadores!A1182)</f>
        <v/>
      </c>
      <c r="H1182" s="4" t="str">
        <f>IF(F1182="","",SUMIF('Estadísticas Jugadores'!$F$2:$F$7001,F1182,'Estadísticas Jugadores'!$I$2:$I$7001))</f>
        <v/>
      </c>
      <c r="I1182" s="4" t="str">
        <f t="shared" si="93"/>
        <v/>
      </c>
      <c r="J1182" s="4" t="str">
        <f t="shared" si="94"/>
        <v/>
      </c>
    </row>
    <row r="1183" spans="1:10" ht="15" customHeight="1" x14ac:dyDescent="0.25">
      <c r="A1183" s="8" t="str">
        <f>IF(COUNT($J$2:$J$1501)&gt;=1182,1182,"")</f>
        <v/>
      </c>
      <c r="B1183" s="8" t="str">
        <f t="shared" si="90"/>
        <v/>
      </c>
      <c r="C1183" s="8" t="str">
        <f t="shared" si="91"/>
        <v/>
      </c>
      <c r="D1183" s="8" t="str">
        <f t="shared" si="92"/>
        <v/>
      </c>
      <c r="F1183" s="4" t="str">
        <f>IF(Jugadores!B1183="","",Jugadores!B1183)</f>
        <v/>
      </c>
      <c r="G1183" s="4" t="str">
        <f>IF(Jugadores!B1183="","",Jugadores!A1183)</f>
        <v/>
      </c>
      <c r="H1183" s="4" t="str">
        <f>IF(F1183="","",SUMIF('Estadísticas Jugadores'!$F$2:$F$7001,F1183,'Estadísticas Jugadores'!$I$2:$I$7001))</f>
        <v/>
      </c>
      <c r="I1183" s="4" t="str">
        <f t="shared" si="93"/>
        <v/>
      </c>
      <c r="J1183" s="4" t="str">
        <f t="shared" si="94"/>
        <v/>
      </c>
    </row>
    <row r="1184" spans="1:10" ht="15" customHeight="1" x14ac:dyDescent="0.25">
      <c r="A1184" s="8" t="str">
        <f>IF(COUNT($J$2:$J$1501)&gt;=1183,1183,"")</f>
        <v/>
      </c>
      <c r="B1184" s="8" t="str">
        <f t="shared" si="90"/>
        <v/>
      </c>
      <c r="C1184" s="8" t="str">
        <f t="shared" si="91"/>
        <v/>
      </c>
      <c r="D1184" s="8" t="str">
        <f t="shared" si="92"/>
        <v/>
      </c>
      <c r="F1184" s="4" t="str">
        <f>IF(Jugadores!B1184="","",Jugadores!B1184)</f>
        <v/>
      </c>
      <c r="G1184" s="4" t="str">
        <f>IF(Jugadores!B1184="","",Jugadores!A1184)</f>
        <v/>
      </c>
      <c r="H1184" s="4" t="str">
        <f>IF(F1184="","",SUMIF('Estadísticas Jugadores'!$F$2:$F$7001,F1184,'Estadísticas Jugadores'!$I$2:$I$7001))</f>
        <v/>
      </c>
      <c r="I1184" s="4" t="str">
        <f t="shared" si="93"/>
        <v/>
      </c>
      <c r="J1184" s="4" t="str">
        <f t="shared" si="94"/>
        <v/>
      </c>
    </row>
    <row r="1185" spans="1:10" ht="15" customHeight="1" x14ac:dyDescent="0.25">
      <c r="A1185" s="8" t="str">
        <f>IF(COUNT($J$2:$J$1501)&gt;=1184,1184,"")</f>
        <v/>
      </c>
      <c r="B1185" s="8" t="str">
        <f t="shared" si="90"/>
        <v/>
      </c>
      <c r="C1185" s="8" t="str">
        <f t="shared" si="91"/>
        <v/>
      </c>
      <c r="D1185" s="8" t="str">
        <f t="shared" si="92"/>
        <v/>
      </c>
      <c r="F1185" s="4" t="str">
        <f>IF(Jugadores!B1185="","",Jugadores!B1185)</f>
        <v/>
      </c>
      <c r="G1185" s="4" t="str">
        <f>IF(Jugadores!B1185="","",Jugadores!A1185)</f>
        <v/>
      </c>
      <c r="H1185" s="4" t="str">
        <f>IF(F1185="","",SUMIF('Estadísticas Jugadores'!$F$2:$F$7001,F1185,'Estadísticas Jugadores'!$I$2:$I$7001))</f>
        <v/>
      </c>
      <c r="I1185" s="4" t="str">
        <f t="shared" si="93"/>
        <v/>
      </c>
      <c r="J1185" s="4" t="str">
        <f t="shared" si="94"/>
        <v/>
      </c>
    </row>
    <row r="1186" spans="1:10" ht="15" customHeight="1" x14ac:dyDescent="0.25">
      <c r="A1186" s="8" t="str">
        <f>IF(COUNT($J$2:$J$1501)&gt;=1185,1185,"")</f>
        <v/>
      </c>
      <c r="B1186" s="8" t="str">
        <f t="shared" si="90"/>
        <v/>
      </c>
      <c r="C1186" s="8" t="str">
        <f t="shared" si="91"/>
        <v/>
      </c>
      <c r="D1186" s="8" t="str">
        <f t="shared" si="92"/>
        <v/>
      </c>
      <c r="F1186" s="4" t="str">
        <f>IF(Jugadores!B1186="","",Jugadores!B1186)</f>
        <v/>
      </c>
      <c r="G1186" s="4" t="str">
        <f>IF(Jugadores!B1186="","",Jugadores!A1186)</f>
        <v/>
      </c>
      <c r="H1186" s="4" t="str">
        <f>IF(F1186="","",SUMIF('Estadísticas Jugadores'!$F$2:$F$7001,F1186,'Estadísticas Jugadores'!$I$2:$I$7001))</f>
        <v/>
      </c>
      <c r="I1186" s="4" t="str">
        <f t="shared" si="93"/>
        <v/>
      </c>
      <c r="J1186" s="4" t="str">
        <f t="shared" si="94"/>
        <v/>
      </c>
    </row>
    <row r="1187" spans="1:10" ht="15" customHeight="1" x14ac:dyDescent="0.25">
      <c r="A1187" s="8" t="str">
        <f>IF(COUNT($J$2:$J$1501)&gt;=1186,1186,"")</f>
        <v/>
      </c>
      <c r="B1187" s="8" t="str">
        <f t="shared" si="90"/>
        <v/>
      </c>
      <c r="C1187" s="8" t="str">
        <f t="shared" si="91"/>
        <v/>
      </c>
      <c r="D1187" s="8" t="str">
        <f t="shared" si="92"/>
        <v/>
      </c>
      <c r="F1187" s="4" t="str">
        <f>IF(Jugadores!B1187="","",Jugadores!B1187)</f>
        <v/>
      </c>
      <c r="G1187" s="4" t="str">
        <f>IF(Jugadores!B1187="","",Jugadores!A1187)</f>
        <v/>
      </c>
      <c r="H1187" s="4" t="str">
        <f>IF(F1187="","",SUMIF('Estadísticas Jugadores'!$F$2:$F$7001,F1187,'Estadísticas Jugadores'!$I$2:$I$7001))</f>
        <v/>
      </c>
      <c r="I1187" s="4" t="str">
        <f t="shared" si="93"/>
        <v/>
      </c>
      <c r="J1187" s="4" t="str">
        <f t="shared" si="94"/>
        <v/>
      </c>
    </row>
    <row r="1188" spans="1:10" ht="15" customHeight="1" x14ac:dyDescent="0.25">
      <c r="A1188" s="8" t="str">
        <f>IF(COUNT($J$2:$J$1501)&gt;=1187,1187,"")</f>
        <v/>
      </c>
      <c r="B1188" s="8" t="str">
        <f t="shared" si="90"/>
        <v/>
      </c>
      <c r="C1188" s="8" t="str">
        <f t="shared" si="91"/>
        <v/>
      </c>
      <c r="D1188" s="8" t="str">
        <f t="shared" si="92"/>
        <v/>
      </c>
      <c r="F1188" s="4" t="str">
        <f>IF(Jugadores!B1188="","",Jugadores!B1188)</f>
        <v/>
      </c>
      <c r="G1188" s="4" t="str">
        <f>IF(Jugadores!B1188="","",Jugadores!A1188)</f>
        <v/>
      </c>
      <c r="H1188" s="4" t="str">
        <f>IF(F1188="","",SUMIF('Estadísticas Jugadores'!$F$2:$F$7001,F1188,'Estadísticas Jugadores'!$I$2:$I$7001))</f>
        <v/>
      </c>
      <c r="I1188" s="4" t="str">
        <f t="shared" si="93"/>
        <v/>
      </c>
      <c r="J1188" s="4" t="str">
        <f t="shared" si="94"/>
        <v/>
      </c>
    </row>
    <row r="1189" spans="1:10" ht="15" customHeight="1" x14ac:dyDescent="0.25">
      <c r="A1189" s="8" t="str">
        <f>IF(COUNT($J$2:$J$1501)&gt;=1188,1188,"")</f>
        <v/>
      </c>
      <c r="B1189" s="8" t="str">
        <f t="shared" si="90"/>
        <v/>
      </c>
      <c r="C1189" s="8" t="str">
        <f t="shared" si="91"/>
        <v/>
      </c>
      <c r="D1189" s="8" t="str">
        <f t="shared" si="92"/>
        <v/>
      </c>
      <c r="F1189" s="4" t="str">
        <f>IF(Jugadores!B1189="","",Jugadores!B1189)</f>
        <v/>
      </c>
      <c r="G1189" s="4" t="str">
        <f>IF(Jugadores!B1189="","",Jugadores!A1189)</f>
        <v/>
      </c>
      <c r="H1189" s="4" t="str">
        <f>IF(F1189="","",SUMIF('Estadísticas Jugadores'!$F$2:$F$7001,F1189,'Estadísticas Jugadores'!$I$2:$I$7001))</f>
        <v/>
      </c>
      <c r="I1189" s="4" t="str">
        <f t="shared" si="93"/>
        <v/>
      </c>
      <c r="J1189" s="4" t="str">
        <f t="shared" si="94"/>
        <v/>
      </c>
    </row>
    <row r="1190" spans="1:10" ht="15" customHeight="1" x14ac:dyDescent="0.25">
      <c r="A1190" s="8" t="str">
        <f>IF(COUNT($J$2:$J$1501)&gt;=1189,1189,"")</f>
        <v/>
      </c>
      <c r="B1190" s="8" t="str">
        <f t="shared" si="90"/>
        <v/>
      </c>
      <c r="C1190" s="8" t="str">
        <f t="shared" si="91"/>
        <v/>
      </c>
      <c r="D1190" s="8" t="str">
        <f t="shared" si="92"/>
        <v/>
      </c>
      <c r="F1190" s="4" t="str">
        <f>IF(Jugadores!B1190="","",Jugadores!B1190)</f>
        <v/>
      </c>
      <c r="G1190" s="4" t="str">
        <f>IF(Jugadores!B1190="","",Jugadores!A1190)</f>
        <v/>
      </c>
      <c r="H1190" s="4" t="str">
        <f>IF(F1190="","",SUMIF('Estadísticas Jugadores'!$F$2:$F$7001,F1190,'Estadísticas Jugadores'!$I$2:$I$7001))</f>
        <v/>
      </c>
      <c r="I1190" s="4" t="str">
        <f t="shared" si="93"/>
        <v/>
      </c>
      <c r="J1190" s="4" t="str">
        <f t="shared" si="94"/>
        <v/>
      </c>
    </row>
    <row r="1191" spans="1:10" ht="15" customHeight="1" x14ac:dyDescent="0.25">
      <c r="A1191" s="8" t="str">
        <f>IF(COUNT($J$2:$J$1501)&gt;=1190,1190,"")</f>
        <v/>
      </c>
      <c r="B1191" s="8" t="str">
        <f t="shared" si="90"/>
        <v/>
      </c>
      <c r="C1191" s="8" t="str">
        <f t="shared" si="91"/>
        <v/>
      </c>
      <c r="D1191" s="8" t="str">
        <f t="shared" si="92"/>
        <v/>
      </c>
      <c r="F1191" s="4" t="str">
        <f>IF(Jugadores!B1191="","",Jugadores!B1191)</f>
        <v/>
      </c>
      <c r="G1191" s="4" t="str">
        <f>IF(Jugadores!B1191="","",Jugadores!A1191)</f>
        <v/>
      </c>
      <c r="H1191" s="4" t="str">
        <f>IF(F1191="","",SUMIF('Estadísticas Jugadores'!$F$2:$F$7001,F1191,'Estadísticas Jugadores'!$I$2:$I$7001))</f>
        <v/>
      </c>
      <c r="I1191" s="4" t="str">
        <f t="shared" si="93"/>
        <v/>
      </c>
      <c r="J1191" s="4" t="str">
        <f t="shared" si="94"/>
        <v/>
      </c>
    </row>
    <row r="1192" spans="1:10" ht="15" customHeight="1" x14ac:dyDescent="0.25">
      <c r="A1192" s="8" t="str">
        <f>IF(COUNT($J$2:$J$1501)&gt;=1191,1191,"")</f>
        <v/>
      </c>
      <c r="B1192" s="8" t="str">
        <f t="shared" si="90"/>
        <v/>
      </c>
      <c r="C1192" s="8" t="str">
        <f t="shared" si="91"/>
        <v/>
      </c>
      <c r="D1192" s="8" t="str">
        <f t="shared" si="92"/>
        <v/>
      </c>
      <c r="F1192" s="4" t="str">
        <f>IF(Jugadores!B1192="","",Jugadores!B1192)</f>
        <v/>
      </c>
      <c r="G1192" s="4" t="str">
        <f>IF(Jugadores!B1192="","",Jugadores!A1192)</f>
        <v/>
      </c>
      <c r="H1192" s="4" t="str">
        <f>IF(F1192="","",SUMIF('Estadísticas Jugadores'!$F$2:$F$7001,F1192,'Estadísticas Jugadores'!$I$2:$I$7001))</f>
        <v/>
      </c>
      <c r="I1192" s="4" t="str">
        <f t="shared" si="93"/>
        <v/>
      </c>
      <c r="J1192" s="4" t="str">
        <f t="shared" si="94"/>
        <v/>
      </c>
    </row>
    <row r="1193" spans="1:10" ht="15" customHeight="1" x14ac:dyDescent="0.25">
      <c r="A1193" s="8" t="str">
        <f>IF(COUNT($J$2:$J$1501)&gt;=1192,1192,"")</f>
        <v/>
      </c>
      <c r="B1193" s="8" t="str">
        <f t="shared" si="90"/>
        <v/>
      </c>
      <c r="C1193" s="8" t="str">
        <f t="shared" si="91"/>
        <v/>
      </c>
      <c r="D1193" s="8" t="str">
        <f t="shared" si="92"/>
        <v/>
      </c>
      <c r="F1193" s="4" t="str">
        <f>IF(Jugadores!B1193="","",Jugadores!B1193)</f>
        <v/>
      </c>
      <c r="G1193" s="4" t="str">
        <f>IF(Jugadores!B1193="","",Jugadores!A1193)</f>
        <v/>
      </c>
      <c r="H1193" s="4" t="str">
        <f>IF(F1193="","",SUMIF('Estadísticas Jugadores'!$F$2:$F$7001,F1193,'Estadísticas Jugadores'!$I$2:$I$7001))</f>
        <v/>
      </c>
      <c r="I1193" s="4" t="str">
        <f t="shared" si="93"/>
        <v/>
      </c>
      <c r="J1193" s="4" t="str">
        <f t="shared" si="94"/>
        <v/>
      </c>
    </row>
    <row r="1194" spans="1:10" ht="15" customHeight="1" x14ac:dyDescent="0.25">
      <c r="A1194" s="8" t="str">
        <f>IF(COUNT($J$2:$J$1501)&gt;=1193,1193,"")</f>
        <v/>
      </c>
      <c r="B1194" s="8" t="str">
        <f t="shared" si="90"/>
        <v/>
      </c>
      <c r="C1194" s="8" t="str">
        <f t="shared" si="91"/>
        <v/>
      </c>
      <c r="D1194" s="8" t="str">
        <f t="shared" si="92"/>
        <v/>
      </c>
      <c r="F1194" s="4" t="str">
        <f>IF(Jugadores!B1194="","",Jugadores!B1194)</f>
        <v/>
      </c>
      <c r="G1194" s="4" t="str">
        <f>IF(Jugadores!B1194="","",Jugadores!A1194)</f>
        <v/>
      </c>
      <c r="H1194" s="4" t="str">
        <f>IF(F1194="","",SUMIF('Estadísticas Jugadores'!$F$2:$F$7001,F1194,'Estadísticas Jugadores'!$I$2:$I$7001))</f>
        <v/>
      </c>
      <c r="I1194" s="4" t="str">
        <f t="shared" si="93"/>
        <v/>
      </c>
      <c r="J1194" s="4" t="str">
        <f t="shared" si="94"/>
        <v/>
      </c>
    </row>
    <row r="1195" spans="1:10" ht="15" customHeight="1" x14ac:dyDescent="0.25">
      <c r="A1195" s="8" t="str">
        <f>IF(COUNT($J$2:$J$1501)&gt;=1194,1194,"")</f>
        <v/>
      </c>
      <c r="B1195" s="8" t="str">
        <f t="shared" si="90"/>
        <v/>
      </c>
      <c r="C1195" s="8" t="str">
        <f t="shared" si="91"/>
        <v/>
      </c>
      <c r="D1195" s="8" t="str">
        <f t="shared" si="92"/>
        <v/>
      </c>
      <c r="F1195" s="4" t="str">
        <f>IF(Jugadores!B1195="","",Jugadores!B1195)</f>
        <v/>
      </c>
      <c r="G1195" s="4" t="str">
        <f>IF(Jugadores!B1195="","",Jugadores!A1195)</f>
        <v/>
      </c>
      <c r="H1195" s="4" t="str">
        <f>IF(F1195="","",SUMIF('Estadísticas Jugadores'!$F$2:$F$7001,F1195,'Estadísticas Jugadores'!$I$2:$I$7001))</f>
        <v/>
      </c>
      <c r="I1195" s="4" t="str">
        <f t="shared" si="93"/>
        <v/>
      </c>
      <c r="J1195" s="4" t="str">
        <f t="shared" si="94"/>
        <v/>
      </c>
    </row>
    <row r="1196" spans="1:10" ht="15" customHeight="1" x14ac:dyDescent="0.25">
      <c r="A1196" s="8" t="str">
        <f>IF(COUNT($J$2:$J$1501)&gt;=1195,1195,"")</f>
        <v/>
      </c>
      <c r="B1196" s="8" t="str">
        <f t="shared" si="90"/>
        <v/>
      </c>
      <c r="C1196" s="8" t="str">
        <f t="shared" si="91"/>
        <v/>
      </c>
      <c r="D1196" s="8" t="str">
        <f t="shared" si="92"/>
        <v/>
      </c>
      <c r="F1196" s="4" t="str">
        <f>IF(Jugadores!B1196="","",Jugadores!B1196)</f>
        <v/>
      </c>
      <c r="G1196" s="4" t="str">
        <f>IF(Jugadores!B1196="","",Jugadores!A1196)</f>
        <v/>
      </c>
      <c r="H1196" s="4" t="str">
        <f>IF(F1196="","",SUMIF('Estadísticas Jugadores'!$F$2:$F$7001,F1196,'Estadísticas Jugadores'!$I$2:$I$7001))</f>
        <v/>
      </c>
      <c r="I1196" s="4" t="str">
        <f t="shared" si="93"/>
        <v/>
      </c>
      <c r="J1196" s="4" t="str">
        <f t="shared" si="94"/>
        <v/>
      </c>
    </row>
    <row r="1197" spans="1:10" ht="15" customHeight="1" x14ac:dyDescent="0.25">
      <c r="A1197" s="8" t="str">
        <f>IF(COUNT($J$2:$J$1501)&gt;=1196,1196,"")</f>
        <v/>
      </c>
      <c r="B1197" s="8" t="str">
        <f t="shared" si="90"/>
        <v/>
      </c>
      <c r="C1197" s="8" t="str">
        <f t="shared" si="91"/>
        <v/>
      </c>
      <c r="D1197" s="8" t="str">
        <f t="shared" si="92"/>
        <v/>
      </c>
      <c r="F1197" s="4" t="str">
        <f>IF(Jugadores!B1197="","",Jugadores!B1197)</f>
        <v/>
      </c>
      <c r="G1197" s="4" t="str">
        <f>IF(Jugadores!B1197="","",Jugadores!A1197)</f>
        <v/>
      </c>
      <c r="H1197" s="4" t="str">
        <f>IF(F1197="","",SUMIF('Estadísticas Jugadores'!$F$2:$F$7001,F1197,'Estadísticas Jugadores'!$I$2:$I$7001))</f>
        <v/>
      </c>
      <c r="I1197" s="4" t="str">
        <f t="shared" si="93"/>
        <v/>
      </c>
      <c r="J1197" s="4" t="str">
        <f t="shared" si="94"/>
        <v/>
      </c>
    </row>
    <row r="1198" spans="1:10" ht="15" customHeight="1" x14ac:dyDescent="0.25">
      <c r="A1198" s="8" t="str">
        <f>IF(COUNT($J$2:$J$1501)&gt;=1197,1197,"")</f>
        <v/>
      </c>
      <c r="B1198" s="8" t="str">
        <f t="shared" si="90"/>
        <v/>
      </c>
      <c r="C1198" s="8" t="str">
        <f t="shared" si="91"/>
        <v/>
      </c>
      <c r="D1198" s="8" t="str">
        <f t="shared" si="92"/>
        <v/>
      </c>
      <c r="F1198" s="4" t="str">
        <f>IF(Jugadores!B1198="","",Jugadores!B1198)</f>
        <v/>
      </c>
      <c r="G1198" s="4" t="str">
        <f>IF(Jugadores!B1198="","",Jugadores!A1198)</f>
        <v/>
      </c>
      <c r="H1198" s="4" t="str">
        <f>IF(F1198="","",SUMIF('Estadísticas Jugadores'!$F$2:$F$7001,F1198,'Estadísticas Jugadores'!$I$2:$I$7001))</f>
        <v/>
      </c>
      <c r="I1198" s="4" t="str">
        <f t="shared" si="93"/>
        <v/>
      </c>
      <c r="J1198" s="4" t="str">
        <f t="shared" si="94"/>
        <v/>
      </c>
    </row>
    <row r="1199" spans="1:10" ht="15" customHeight="1" x14ac:dyDescent="0.25">
      <c r="A1199" s="8" t="str">
        <f>IF(COUNT($J$2:$J$1501)&gt;=1198,1198,"")</f>
        <v/>
      </c>
      <c r="B1199" s="8" t="str">
        <f t="shared" si="90"/>
        <v/>
      </c>
      <c r="C1199" s="8" t="str">
        <f t="shared" si="91"/>
        <v/>
      </c>
      <c r="D1199" s="8" t="str">
        <f t="shared" si="92"/>
        <v/>
      </c>
      <c r="F1199" s="4" t="str">
        <f>IF(Jugadores!B1199="","",Jugadores!B1199)</f>
        <v/>
      </c>
      <c r="G1199" s="4" t="str">
        <f>IF(Jugadores!B1199="","",Jugadores!A1199)</f>
        <v/>
      </c>
      <c r="H1199" s="4" t="str">
        <f>IF(F1199="","",SUMIF('Estadísticas Jugadores'!$F$2:$F$7001,F1199,'Estadísticas Jugadores'!$I$2:$I$7001))</f>
        <v/>
      </c>
      <c r="I1199" s="4" t="str">
        <f t="shared" si="93"/>
        <v/>
      </c>
      <c r="J1199" s="4" t="str">
        <f t="shared" si="94"/>
        <v/>
      </c>
    </row>
    <row r="1200" spans="1:10" ht="15" customHeight="1" x14ac:dyDescent="0.25">
      <c r="A1200" s="8" t="str">
        <f>IF(COUNT($J$2:$J$1501)&gt;=1199,1199,"")</f>
        <v/>
      </c>
      <c r="B1200" s="8" t="str">
        <f t="shared" si="90"/>
        <v/>
      </c>
      <c r="C1200" s="8" t="str">
        <f t="shared" si="91"/>
        <v/>
      </c>
      <c r="D1200" s="8" t="str">
        <f t="shared" si="92"/>
        <v/>
      </c>
      <c r="F1200" s="4" t="str">
        <f>IF(Jugadores!B1200="","",Jugadores!B1200)</f>
        <v/>
      </c>
      <c r="G1200" s="4" t="str">
        <f>IF(Jugadores!B1200="","",Jugadores!A1200)</f>
        <v/>
      </c>
      <c r="H1200" s="4" t="str">
        <f>IF(F1200="","",SUMIF('Estadísticas Jugadores'!$F$2:$F$7001,F1200,'Estadísticas Jugadores'!$I$2:$I$7001))</f>
        <v/>
      </c>
      <c r="I1200" s="4" t="str">
        <f t="shared" si="93"/>
        <v/>
      </c>
      <c r="J1200" s="4" t="str">
        <f t="shared" si="94"/>
        <v/>
      </c>
    </row>
    <row r="1201" spans="1:10" ht="15" customHeight="1" x14ac:dyDescent="0.25">
      <c r="A1201" s="8" t="str">
        <f>IF(COUNT($J$2:$J$1501)&gt;=1200,1200,"")</f>
        <v/>
      </c>
      <c r="B1201" s="8" t="str">
        <f t="shared" si="90"/>
        <v/>
      </c>
      <c r="C1201" s="8" t="str">
        <f t="shared" si="91"/>
        <v/>
      </c>
      <c r="D1201" s="8" t="str">
        <f t="shared" si="92"/>
        <v/>
      </c>
      <c r="F1201" s="4" t="str">
        <f>IF(Jugadores!B1201="","",Jugadores!B1201)</f>
        <v/>
      </c>
      <c r="G1201" s="4" t="str">
        <f>IF(Jugadores!B1201="","",Jugadores!A1201)</f>
        <v/>
      </c>
      <c r="H1201" s="4" t="str">
        <f>IF(F1201="","",SUMIF('Estadísticas Jugadores'!$F$2:$F$7001,F1201,'Estadísticas Jugadores'!$I$2:$I$7001))</f>
        <v/>
      </c>
      <c r="I1201" s="4" t="str">
        <f t="shared" si="93"/>
        <v/>
      </c>
      <c r="J1201" s="4" t="str">
        <f t="shared" si="94"/>
        <v/>
      </c>
    </row>
    <row r="1202" spans="1:10" ht="15" customHeight="1" x14ac:dyDescent="0.25">
      <c r="A1202" s="8" t="str">
        <f>IF(COUNT($J$2:$J$1501)&gt;=1201,1201,"")</f>
        <v/>
      </c>
      <c r="B1202" s="8" t="str">
        <f t="shared" si="90"/>
        <v/>
      </c>
      <c r="C1202" s="8" t="str">
        <f t="shared" si="91"/>
        <v/>
      </c>
      <c r="D1202" s="8" t="str">
        <f t="shared" si="92"/>
        <v/>
      </c>
      <c r="F1202" s="4" t="str">
        <f>IF(Jugadores!B1202="","",Jugadores!B1202)</f>
        <v/>
      </c>
      <c r="G1202" s="4" t="str">
        <f>IF(Jugadores!B1202="","",Jugadores!A1202)</f>
        <v/>
      </c>
      <c r="H1202" s="4" t="str">
        <f>IF(F1202="","",SUMIF('Estadísticas Jugadores'!$F$2:$F$7001,F1202,'Estadísticas Jugadores'!$I$2:$I$7001))</f>
        <v/>
      </c>
      <c r="I1202" s="4" t="str">
        <f t="shared" si="93"/>
        <v/>
      </c>
      <c r="J1202" s="4" t="str">
        <f t="shared" si="94"/>
        <v/>
      </c>
    </row>
    <row r="1203" spans="1:10" ht="15" customHeight="1" x14ac:dyDescent="0.25">
      <c r="A1203" s="8" t="str">
        <f>IF(COUNT($J$2:$J$1501)&gt;=1202,1202,"")</f>
        <v/>
      </c>
      <c r="B1203" s="8" t="str">
        <f t="shared" si="90"/>
        <v/>
      </c>
      <c r="C1203" s="8" t="str">
        <f t="shared" si="91"/>
        <v/>
      </c>
      <c r="D1203" s="8" t="str">
        <f t="shared" si="92"/>
        <v/>
      </c>
      <c r="F1203" s="4" t="str">
        <f>IF(Jugadores!B1203="","",Jugadores!B1203)</f>
        <v/>
      </c>
      <c r="G1203" s="4" t="str">
        <f>IF(Jugadores!B1203="","",Jugadores!A1203)</f>
        <v/>
      </c>
      <c r="H1203" s="4" t="str">
        <f>IF(F1203="","",SUMIF('Estadísticas Jugadores'!$F$2:$F$7001,F1203,'Estadísticas Jugadores'!$I$2:$I$7001))</f>
        <v/>
      </c>
      <c r="I1203" s="4" t="str">
        <f t="shared" si="93"/>
        <v/>
      </c>
      <c r="J1203" s="4" t="str">
        <f t="shared" si="94"/>
        <v/>
      </c>
    </row>
    <row r="1204" spans="1:10" ht="15" customHeight="1" x14ac:dyDescent="0.25">
      <c r="A1204" s="8" t="str">
        <f>IF(COUNT($J$2:$J$1501)&gt;=1203,1203,"")</f>
        <v/>
      </c>
      <c r="B1204" s="8" t="str">
        <f t="shared" si="90"/>
        <v/>
      </c>
      <c r="C1204" s="8" t="str">
        <f t="shared" si="91"/>
        <v/>
      </c>
      <c r="D1204" s="8" t="str">
        <f t="shared" si="92"/>
        <v/>
      </c>
      <c r="F1204" s="4" t="str">
        <f>IF(Jugadores!B1204="","",Jugadores!B1204)</f>
        <v/>
      </c>
      <c r="G1204" s="4" t="str">
        <f>IF(Jugadores!B1204="","",Jugadores!A1204)</f>
        <v/>
      </c>
      <c r="H1204" s="4" t="str">
        <f>IF(F1204="","",SUMIF('Estadísticas Jugadores'!$F$2:$F$7001,F1204,'Estadísticas Jugadores'!$I$2:$I$7001))</f>
        <v/>
      </c>
      <c r="I1204" s="4" t="str">
        <f t="shared" si="93"/>
        <v/>
      </c>
      <c r="J1204" s="4" t="str">
        <f t="shared" si="94"/>
        <v/>
      </c>
    </row>
    <row r="1205" spans="1:10" ht="15" customHeight="1" x14ac:dyDescent="0.25">
      <c r="A1205" s="8" t="str">
        <f>IF(COUNT($J$2:$J$1501)&gt;=1204,1204,"")</f>
        <v/>
      </c>
      <c r="B1205" s="8" t="str">
        <f t="shared" si="90"/>
        <v/>
      </c>
      <c r="C1205" s="8" t="str">
        <f t="shared" si="91"/>
        <v/>
      </c>
      <c r="D1205" s="8" t="str">
        <f t="shared" si="92"/>
        <v/>
      </c>
      <c r="F1205" s="4" t="str">
        <f>IF(Jugadores!B1205="","",Jugadores!B1205)</f>
        <v/>
      </c>
      <c r="G1205" s="4" t="str">
        <f>IF(Jugadores!B1205="","",Jugadores!A1205)</f>
        <v/>
      </c>
      <c r="H1205" s="4" t="str">
        <f>IF(F1205="","",SUMIF('Estadísticas Jugadores'!$F$2:$F$7001,F1205,'Estadísticas Jugadores'!$I$2:$I$7001))</f>
        <v/>
      </c>
      <c r="I1205" s="4" t="str">
        <f t="shared" si="93"/>
        <v/>
      </c>
      <c r="J1205" s="4" t="str">
        <f t="shared" si="94"/>
        <v/>
      </c>
    </row>
    <row r="1206" spans="1:10" ht="15" customHeight="1" x14ac:dyDescent="0.25">
      <c r="A1206" s="8" t="str">
        <f>IF(COUNT($J$2:$J$1501)&gt;=1205,1205,"")</f>
        <v/>
      </c>
      <c r="B1206" s="8" t="str">
        <f t="shared" si="90"/>
        <v/>
      </c>
      <c r="C1206" s="8" t="str">
        <f t="shared" si="91"/>
        <v/>
      </c>
      <c r="D1206" s="8" t="str">
        <f t="shared" si="92"/>
        <v/>
      </c>
      <c r="F1206" s="4" t="str">
        <f>IF(Jugadores!B1206="","",Jugadores!B1206)</f>
        <v/>
      </c>
      <c r="G1206" s="4" t="str">
        <f>IF(Jugadores!B1206="","",Jugadores!A1206)</f>
        <v/>
      </c>
      <c r="H1206" s="4" t="str">
        <f>IF(F1206="","",SUMIF('Estadísticas Jugadores'!$F$2:$F$7001,F1206,'Estadísticas Jugadores'!$I$2:$I$7001))</f>
        <v/>
      </c>
      <c r="I1206" s="4" t="str">
        <f t="shared" si="93"/>
        <v/>
      </c>
      <c r="J1206" s="4" t="str">
        <f t="shared" si="94"/>
        <v/>
      </c>
    </row>
    <row r="1207" spans="1:10" ht="15" customHeight="1" x14ac:dyDescent="0.25">
      <c r="A1207" s="8" t="str">
        <f>IF(COUNT($J$2:$J$1501)&gt;=1206,1206,"")</f>
        <v/>
      </c>
      <c r="B1207" s="8" t="str">
        <f t="shared" si="90"/>
        <v/>
      </c>
      <c r="C1207" s="8" t="str">
        <f t="shared" si="91"/>
        <v/>
      </c>
      <c r="D1207" s="8" t="str">
        <f t="shared" si="92"/>
        <v/>
      </c>
      <c r="F1207" s="4" t="str">
        <f>IF(Jugadores!B1207="","",Jugadores!B1207)</f>
        <v/>
      </c>
      <c r="G1207" s="4" t="str">
        <f>IF(Jugadores!B1207="","",Jugadores!A1207)</f>
        <v/>
      </c>
      <c r="H1207" s="4" t="str">
        <f>IF(F1207="","",SUMIF('Estadísticas Jugadores'!$F$2:$F$7001,F1207,'Estadísticas Jugadores'!$I$2:$I$7001))</f>
        <v/>
      </c>
      <c r="I1207" s="4" t="str">
        <f t="shared" si="93"/>
        <v/>
      </c>
      <c r="J1207" s="4" t="str">
        <f t="shared" si="94"/>
        <v/>
      </c>
    </row>
    <row r="1208" spans="1:10" ht="15" customHeight="1" x14ac:dyDescent="0.25">
      <c r="A1208" s="8" t="str">
        <f>IF(COUNT($J$2:$J$1501)&gt;=1207,1207,"")</f>
        <v/>
      </c>
      <c r="B1208" s="8" t="str">
        <f t="shared" si="90"/>
        <v/>
      </c>
      <c r="C1208" s="8" t="str">
        <f t="shared" si="91"/>
        <v/>
      </c>
      <c r="D1208" s="8" t="str">
        <f t="shared" si="92"/>
        <v/>
      </c>
      <c r="F1208" s="4" t="str">
        <f>IF(Jugadores!B1208="","",Jugadores!B1208)</f>
        <v/>
      </c>
      <c r="G1208" s="4" t="str">
        <f>IF(Jugadores!B1208="","",Jugadores!A1208)</f>
        <v/>
      </c>
      <c r="H1208" s="4" t="str">
        <f>IF(F1208="","",SUMIF('Estadísticas Jugadores'!$F$2:$F$7001,F1208,'Estadísticas Jugadores'!$I$2:$I$7001))</f>
        <v/>
      </c>
      <c r="I1208" s="4" t="str">
        <f t="shared" si="93"/>
        <v/>
      </c>
      <c r="J1208" s="4" t="str">
        <f t="shared" si="94"/>
        <v/>
      </c>
    </row>
    <row r="1209" spans="1:10" ht="15" customHeight="1" x14ac:dyDescent="0.25">
      <c r="A1209" s="8" t="str">
        <f>IF(COUNT($J$2:$J$1501)&gt;=1208,1208,"")</f>
        <v/>
      </c>
      <c r="B1209" s="8" t="str">
        <f t="shared" si="90"/>
        <v/>
      </c>
      <c r="C1209" s="8" t="str">
        <f t="shared" si="91"/>
        <v/>
      </c>
      <c r="D1209" s="8" t="str">
        <f t="shared" si="92"/>
        <v/>
      </c>
      <c r="F1209" s="4" t="str">
        <f>IF(Jugadores!B1209="","",Jugadores!B1209)</f>
        <v/>
      </c>
      <c r="G1209" s="4" t="str">
        <f>IF(Jugadores!B1209="","",Jugadores!A1209)</f>
        <v/>
      </c>
      <c r="H1209" s="4" t="str">
        <f>IF(F1209="","",SUMIF('Estadísticas Jugadores'!$F$2:$F$7001,F1209,'Estadísticas Jugadores'!$I$2:$I$7001))</f>
        <v/>
      </c>
      <c r="I1209" s="4" t="str">
        <f t="shared" si="93"/>
        <v/>
      </c>
      <c r="J1209" s="4" t="str">
        <f t="shared" si="94"/>
        <v/>
      </c>
    </row>
    <row r="1210" spans="1:10" ht="15" customHeight="1" x14ac:dyDescent="0.25">
      <c r="A1210" s="8" t="str">
        <f>IF(COUNT($J$2:$J$1501)&gt;=1209,1209,"")</f>
        <v/>
      </c>
      <c r="B1210" s="8" t="str">
        <f t="shared" si="90"/>
        <v/>
      </c>
      <c r="C1210" s="8" t="str">
        <f t="shared" si="91"/>
        <v/>
      </c>
      <c r="D1210" s="8" t="str">
        <f t="shared" si="92"/>
        <v/>
      </c>
      <c r="F1210" s="4" t="str">
        <f>IF(Jugadores!B1210="","",Jugadores!B1210)</f>
        <v/>
      </c>
      <c r="G1210" s="4" t="str">
        <f>IF(Jugadores!B1210="","",Jugadores!A1210)</f>
        <v/>
      </c>
      <c r="H1210" s="4" t="str">
        <f>IF(F1210="","",SUMIF('Estadísticas Jugadores'!$F$2:$F$7001,F1210,'Estadísticas Jugadores'!$I$2:$I$7001))</f>
        <v/>
      </c>
      <c r="I1210" s="4" t="str">
        <f t="shared" si="93"/>
        <v/>
      </c>
      <c r="J1210" s="4" t="str">
        <f t="shared" si="94"/>
        <v/>
      </c>
    </row>
    <row r="1211" spans="1:10" ht="15" customHeight="1" x14ac:dyDescent="0.25">
      <c r="A1211" s="8" t="str">
        <f>IF(COUNT($J$2:$J$1501)&gt;=1210,1210,"")</f>
        <v/>
      </c>
      <c r="B1211" s="8" t="str">
        <f t="shared" si="90"/>
        <v/>
      </c>
      <c r="C1211" s="8" t="str">
        <f t="shared" si="91"/>
        <v/>
      </c>
      <c r="D1211" s="8" t="str">
        <f t="shared" si="92"/>
        <v/>
      </c>
      <c r="F1211" s="4" t="str">
        <f>IF(Jugadores!B1211="","",Jugadores!B1211)</f>
        <v/>
      </c>
      <c r="G1211" s="4" t="str">
        <f>IF(Jugadores!B1211="","",Jugadores!A1211)</f>
        <v/>
      </c>
      <c r="H1211" s="4" t="str">
        <f>IF(F1211="","",SUMIF('Estadísticas Jugadores'!$F$2:$F$7001,F1211,'Estadísticas Jugadores'!$I$2:$I$7001))</f>
        <v/>
      </c>
      <c r="I1211" s="4" t="str">
        <f t="shared" si="93"/>
        <v/>
      </c>
      <c r="J1211" s="4" t="str">
        <f t="shared" si="94"/>
        <v/>
      </c>
    </row>
    <row r="1212" spans="1:10" ht="15" customHeight="1" x14ac:dyDescent="0.25">
      <c r="A1212" s="8" t="str">
        <f>IF(COUNT($J$2:$J$1501)&gt;=1211,1211,"")</f>
        <v/>
      </c>
      <c r="B1212" s="8" t="str">
        <f t="shared" si="90"/>
        <v/>
      </c>
      <c r="C1212" s="8" t="str">
        <f t="shared" si="91"/>
        <v/>
      </c>
      <c r="D1212" s="8" t="str">
        <f t="shared" si="92"/>
        <v/>
      </c>
      <c r="F1212" s="4" t="str">
        <f>IF(Jugadores!B1212="","",Jugadores!B1212)</f>
        <v/>
      </c>
      <c r="G1212" s="4" t="str">
        <f>IF(Jugadores!B1212="","",Jugadores!A1212)</f>
        <v/>
      </c>
      <c r="H1212" s="4" t="str">
        <f>IF(F1212="","",SUMIF('Estadísticas Jugadores'!$F$2:$F$7001,F1212,'Estadísticas Jugadores'!$I$2:$I$7001))</f>
        <v/>
      </c>
      <c r="I1212" s="4" t="str">
        <f t="shared" si="93"/>
        <v/>
      </c>
      <c r="J1212" s="4" t="str">
        <f t="shared" si="94"/>
        <v/>
      </c>
    </row>
    <row r="1213" spans="1:10" ht="15" customHeight="1" x14ac:dyDescent="0.25">
      <c r="A1213" s="8" t="str">
        <f>IF(COUNT($J$2:$J$1501)&gt;=1212,1212,"")</f>
        <v/>
      </c>
      <c r="B1213" s="8" t="str">
        <f t="shared" si="90"/>
        <v/>
      </c>
      <c r="C1213" s="8" t="str">
        <f t="shared" si="91"/>
        <v/>
      </c>
      <c r="D1213" s="8" t="str">
        <f t="shared" si="92"/>
        <v/>
      </c>
      <c r="F1213" s="4" t="str">
        <f>IF(Jugadores!B1213="","",Jugadores!B1213)</f>
        <v/>
      </c>
      <c r="G1213" s="4" t="str">
        <f>IF(Jugadores!B1213="","",Jugadores!A1213)</f>
        <v/>
      </c>
      <c r="H1213" s="4" t="str">
        <f>IF(F1213="","",SUMIF('Estadísticas Jugadores'!$F$2:$F$7001,F1213,'Estadísticas Jugadores'!$I$2:$I$7001))</f>
        <v/>
      </c>
      <c r="I1213" s="4" t="str">
        <f t="shared" si="93"/>
        <v/>
      </c>
      <c r="J1213" s="4" t="str">
        <f t="shared" si="94"/>
        <v/>
      </c>
    </row>
    <row r="1214" spans="1:10" ht="15" customHeight="1" x14ac:dyDescent="0.25">
      <c r="A1214" s="8" t="str">
        <f>IF(COUNT($J$2:$J$1501)&gt;=1213,1213,"")</f>
        <v/>
      </c>
      <c r="B1214" s="8" t="str">
        <f t="shared" si="90"/>
        <v/>
      </c>
      <c r="C1214" s="8" t="str">
        <f t="shared" si="91"/>
        <v/>
      </c>
      <c r="D1214" s="8" t="str">
        <f t="shared" si="92"/>
        <v/>
      </c>
      <c r="F1214" s="4" t="str">
        <f>IF(Jugadores!B1214="","",Jugadores!B1214)</f>
        <v/>
      </c>
      <c r="G1214" s="4" t="str">
        <f>IF(Jugadores!B1214="","",Jugadores!A1214)</f>
        <v/>
      </c>
      <c r="H1214" s="4" t="str">
        <f>IF(F1214="","",SUMIF('Estadísticas Jugadores'!$F$2:$F$7001,F1214,'Estadísticas Jugadores'!$I$2:$I$7001))</f>
        <v/>
      </c>
      <c r="I1214" s="4" t="str">
        <f t="shared" si="93"/>
        <v/>
      </c>
      <c r="J1214" s="4" t="str">
        <f t="shared" si="94"/>
        <v/>
      </c>
    </row>
    <row r="1215" spans="1:10" ht="15" customHeight="1" x14ac:dyDescent="0.25">
      <c r="A1215" s="8" t="str">
        <f>IF(COUNT($J$2:$J$1501)&gt;=1214,1214,"")</f>
        <v/>
      </c>
      <c r="B1215" s="8" t="str">
        <f t="shared" si="90"/>
        <v/>
      </c>
      <c r="C1215" s="8" t="str">
        <f t="shared" si="91"/>
        <v/>
      </c>
      <c r="D1215" s="8" t="str">
        <f t="shared" si="92"/>
        <v/>
      </c>
      <c r="F1215" s="4" t="str">
        <f>IF(Jugadores!B1215="","",Jugadores!B1215)</f>
        <v/>
      </c>
      <c r="G1215" s="4" t="str">
        <f>IF(Jugadores!B1215="","",Jugadores!A1215)</f>
        <v/>
      </c>
      <c r="H1215" s="4" t="str">
        <f>IF(F1215="","",SUMIF('Estadísticas Jugadores'!$F$2:$F$7001,F1215,'Estadísticas Jugadores'!$I$2:$I$7001))</f>
        <v/>
      </c>
      <c r="I1215" s="4" t="str">
        <f t="shared" si="93"/>
        <v/>
      </c>
      <c r="J1215" s="4" t="str">
        <f t="shared" si="94"/>
        <v/>
      </c>
    </row>
    <row r="1216" spans="1:10" ht="15" customHeight="1" x14ac:dyDescent="0.25">
      <c r="A1216" s="8" t="str">
        <f>IF(COUNT($J$2:$J$1501)&gt;=1215,1215,"")</f>
        <v/>
      </c>
      <c r="B1216" s="8" t="str">
        <f t="shared" si="90"/>
        <v/>
      </c>
      <c r="C1216" s="8" t="str">
        <f t="shared" si="91"/>
        <v/>
      </c>
      <c r="D1216" s="8" t="str">
        <f t="shared" si="92"/>
        <v/>
      </c>
      <c r="F1216" s="4" t="str">
        <f>IF(Jugadores!B1216="","",Jugadores!B1216)</f>
        <v/>
      </c>
      <c r="G1216" s="4" t="str">
        <f>IF(Jugadores!B1216="","",Jugadores!A1216)</f>
        <v/>
      </c>
      <c r="H1216" s="4" t="str">
        <f>IF(F1216="","",SUMIF('Estadísticas Jugadores'!$F$2:$F$7001,F1216,'Estadísticas Jugadores'!$I$2:$I$7001))</f>
        <v/>
      </c>
      <c r="I1216" s="4" t="str">
        <f t="shared" si="93"/>
        <v/>
      </c>
      <c r="J1216" s="4" t="str">
        <f t="shared" si="94"/>
        <v/>
      </c>
    </row>
    <row r="1217" spans="1:10" ht="15" customHeight="1" x14ac:dyDescent="0.25">
      <c r="A1217" s="8" t="str">
        <f>IF(COUNT($J$2:$J$1501)&gt;=1216,1216,"")</f>
        <v/>
      </c>
      <c r="B1217" s="8" t="str">
        <f t="shared" si="90"/>
        <v/>
      </c>
      <c r="C1217" s="8" t="str">
        <f t="shared" si="91"/>
        <v/>
      </c>
      <c r="D1217" s="8" t="str">
        <f t="shared" si="92"/>
        <v/>
      </c>
      <c r="F1217" s="4" t="str">
        <f>IF(Jugadores!B1217="","",Jugadores!B1217)</f>
        <v/>
      </c>
      <c r="G1217" s="4" t="str">
        <f>IF(Jugadores!B1217="","",Jugadores!A1217)</f>
        <v/>
      </c>
      <c r="H1217" s="4" t="str">
        <f>IF(F1217="","",SUMIF('Estadísticas Jugadores'!$F$2:$F$7001,F1217,'Estadísticas Jugadores'!$I$2:$I$7001))</f>
        <v/>
      </c>
      <c r="I1217" s="4" t="str">
        <f t="shared" si="93"/>
        <v/>
      </c>
      <c r="J1217" s="4" t="str">
        <f t="shared" si="94"/>
        <v/>
      </c>
    </row>
    <row r="1218" spans="1:10" ht="15" customHeight="1" x14ac:dyDescent="0.25">
      <c r="A1218" s="8" t="str">
        <f>IF(COUNT($J$2:$J$1501)&gt;=1217,1217,"")</f>
        <v/>
      </c>
      <c r="B1218" s="8" t="str">
        <f t="shared" ref="B1218:B1281" si="95">IF($A1218="","",INDEX($F$2:$F$1501,MATCH($A1218,$J$2:$J$1501,0)))</f>
        <v/>
      </c>
      <c r="C1218" s="8" t="str">
        <f t="shared" ref="C1218:C1281" si="96">IF($A1218="","",INDEX($G$2:$G$1501,MATCH($A1218,$J$2:$J$1501,0)))</f>
        <v/>
      </c>
      <c r="D1218" s="8" t="str">
        <f t="shared" ref="D1218:D1281" si="97">IF($A1218="","",INDEX($H$2:$H$1501,MATCH($A1218,$J$2:$J$1501,0)))</f>
        <v/>
      </c>
      <c r="F1218" s="4" t="str">
        <f>IF(Jugadores!B1218="","",Jugadores!B1218)</f>
        <v/>
      </c>
      <c r="G1218" s="4" t="str">
        <f>IF(Jugadores!B1218="","",Jugadores!A1218)</f>
        <v/>
      </c>
      <c r="H1218" s="4" t="str">
        <f>IF(F1218="","",SUMIF('Estadísticas Jugadores'!$F$2:$F$7001,F1218,'Estadísticas Jugadores'!$I$2:$I$7001))</f>
        <v/>
      </c>
      <c r="I1218" s="4" t="str">
        <f t="shared" ref="I1218:I1281" si="98">IF(F1218="","",H1218*1000-ROW()*0.0000001)</f>
        <v/>
      </c>
      <c r="J1218" s="4" t="str">
        <f t="shared" ref="J1218:J1281" si="99">IF(F1218="","",RANK(I1218,$I$2:$I$1501))</f>
        <v/>
      </c>
    </row>
    <row r="1219" spans="1:10" ht="15" customHeight="1" x14ac:dyDescent="0.25">
      <c r="A1219" s="8" t="str">
        <f>IF(COUNT($J$2:$J$1501)&gt;=1218,1218,"")</f>
        <v/>
      </c>
      <c r="B1219" s="8" t="str">
        <f t="shared" si="95"/>
        <v/>
      </c>
      <c r="C1219" s="8" t="str">
        <f t="shared" si="96"/>
        <v/>
      </c>
      <c r="D1219" s="8" t="str">
        <f t="shared" si="97"/>
        <v/>
      </c>
      <c r="F1219" s="4" t="str">
        <f>IF(Jugadores!B1219="","",Jugadores!B1219)</f>
        <v/>
      </c>
      <c r="G1219" s="4" t="str">
        <f>IF(Jugadores!B1219="","",Jugadores!A1219)</f>
        <v/>
      </c>
      <c r="H1219" s="4" t="str">
        <f>IF(F1219="","",SUMIF('Estadísticas Jugadores'!$F$2:$F$7001,F1219,'Estadísticas Jugadores'!$I$2:$I$7001))</f>
        <v/>
      </c>
      <c r="I1219" s="4" t="str">
        <f t="shared" si="98"/>
        <v/>
      </c>
      <c r="J1219" s="4" t="str">
        <f t="shared" si="99"/>
        <v/>
      </c>
    </row>
    <row r="1220" spans="1:10" ht="15" customHeight="1" x14ac:dyDescent="0.25">
      <c r="A1220" s="8" t="str">
        <f>IF(COUNT($J$2:$J$1501)&gt;=1219,1219,"")</f>
        <v/>
      </c>
      <c r="B1220" s="8" t="str">
        <f t="shared" si="95"/>
        <v/>
      </c>
      <c r="C1220" s="8" t="str">
        <f t="shared" si="96"/>
        <v/>
      </c>
      <c r="D1220" s="8" t="str">
        <f t="shared" si="97"/>
        <v/>
      </c>
      <c r="F1220" s="4" t="str">
        <f>IF(Jugadores!B1220="","",Jugadores!B1220)</f>
        <v/>
      </c>
      <c r="G1220" s="4" t="str">
        <f>IF(Jugadores!B1220="","",Jugadores!A1220)</f>
        <v/>
      </c>
      <c r="H1220" s="4" t="str">
        <f>IF(F1220="","",SUMIF('Estadísticas Jugadores'!$F$2:$F$7001,F1220,'Estadísticas Jugadores'!$I$2:$I$7001))</f>
        <v/>
      </c>
      <c r="I1220" s="4" t="str">
        <f t="shared" si="98"/>
        <v/>
      </c>
      <c r="J1220" s="4" t="str">
        <f t="shared" si="99"/>
        <v/>
      </c>
    </row>
    <row r="1221" spans="1:10" ht="15" customHeight="1" x14ac:dyDescent="0.25">
      <c r="A1221" s="8" t="str">
        <f>IF(COUNT($J$2:$J$1501)&gt;=1220,1220,"")</f>
        <v/>
      </c>
      <c r="B1221" s="8" t="str">
        <f t="shared" si="95"/>
        <v/>
      </c>
      <c r="C1221" s="8" t="str">
        <f t="shared" si="96"/>
        <v/>
      </c>
      <c r="D1221" s="8" t="str">
        <f t="shared" si="97"/>
        <v/>
      </c>
      <c r="F1221" s="4" t="str">
        <f>IF(Jugadores!B1221="","",Jugadores!B1221)</f>
        <v/>
      </c>
      <c r="G1221" s="4" t="str">
        <f>IF(Jugadores!B1221="","",Jugadores!A1221)</f>
        <v/>
      </c>
      <c r="H1221" s="4" t="str">
        <f>IF(F1221="","",SUMIF('Estadísticas Jugadores'!$F$2:$F$7001,F1221,'Estadísticas Jugadores'!$I$2:$I$7001))</f>
        <v/>
      </c>
      <c r="I1221" s="4" t="str">
        <f t="shared" si="98"/>
        <v/>
      </c>
      <c r="J1221" s="4" t="str">
        <f t="shared" si="99"/>
        <v/>
      </c>
    </row>
    <row r="1222" spans="1:10" ht="15" customHeight="1" x14ac:dyDescent="0.25">
      <c r="A1222" s="8" t="str">
        <f>IF(COUNT($J$2:$J$1501)&gt;=1221,1221,"")</f>
        <v/>
      </c>
      <c r="B1222" s="8" t="str">
        <f t="shared" si="95"/>
        <v/>
      </c>
      <c r="C1222" s="8" t="str">
        <f t="shared" si="96"/>
        <v/>
      </c>
      <c r="D1222" s="8" t="str">
        <f t="shared" si="97"/>
        <v/>
      </c>
      <c r="F1222" s="4" t="str">
        <f>IF(Jugadores!B1222="","",Jugadores!B1222)</f>
        <v/>
      </c>
      <c r="G1222" s="4" t="str">
        <f>IF(Jugadores!B1222="","",Jugadores!A1222)</f>
        <v/>
      </c>
      <c r="H1222" s="4" t="str">
        <f>IF(F1222="","",SUMIF('Estadísticas Jugadores'!$F$2:$F$7001,F1222,'Estadísticas Jugadores'!$I$2:$I$7001))</f>
        <v/>
      </c>
      <c r="I1222" s="4" t="str">
        <f t="shared" si="98"/>
        <v/>
      </c>
      <c r="J1222" s="4" t="str">
        <f t="shared" si="99"/>
        <v/>
      </c>
    </row>
    <row r="1223" spans="1:10" ht="15" customHeight="1" x14ac:dyDescent="0.25">
      <c r="A1223" s="8" t="str">
        <f>IF(COUNT($J$2:$J$1501)&gt;=1222,1222,"")</f>
        <v/>
      </c>
      <c r="B1223" s="8" t="str">
        <f t="shared" si="95"/>
        <v/>
      </c>
      <c r="C1223" s="8" t="str">
        <f t="shared" si="96"/>
        <v/>
      </c>
      <c r="D1223" s="8" t="str">
        <f t="shared" si="97"/>
        <v/>
      </c>
      <c r="F1223" s="4" t="str">
        <f>IF(Jugadores!B1223="","",Jugadores!B1223)</f>
        <v/>
      </c>
      <c r="G1223" s="4" t="str">
        <f>IF(Jugadores!B1223="","",Jugadores!A1223)</f>
        <v/>
      </c>
      <c r="H1223" s="4" t="str">
        <f>IF(F1223="","",SUMIF('Estadísticas Jugadores'!$F$2:$F$7001,F1223,'Estadísticas Jugadores'!$I$2:$I$7001))</f>
        <v/>
      </c>
      <c r="I1223" s="4" t="str">
        <f t="shared" si="98"/>
        <v/>
      </c>
      <c r="J1223" s="4" t="str">
        <f t="shared" si="99"/>
        <v/>
      </c>
    </row>
    <row r="1224" spans="1:10" ht="15" customHeight="1" x14ac:dyDescent="0.25">
      <c r="A1224" s="8" t="str">
        <f>IF(COUNT($J$2:$J$1501)&gt;=1223,1223,"")</f>
        <v/>
      </c>
      <c r="B1224" s="8" t="str">
        <f t="shared" si="95"/>
        <v/>
      </c>
      <c r="C1224" s="8" t="str">
        <f t="shared" si="96"/>
        <v/>
      </c>
      <c r="D1224" s="8" t="str">
        <f t="shared" si="97"/>
        <v/>
      </c>
      <c r="F1224" s="4" t="str">
        <f>IF(Jugadores!B1224="","",Jugadores!B1224)</f>
        <v/>
      </c>
      <c r="G1224" s="4" t="str">
        <f>IF(Jugadores!B1224="","",Jugadores!A1224)</f>
        <v/>
      </c>
      <c r="H1224" s="4" t="str">
        <f>IF(F1224="","",SUMIF('Estadísticas Jugadores'!$F$2:$F$7001,F1224,'Estadísticas Jugadores'!$I$2:$I$7001))</f>
        <v/>
      </c>
      <c r="I1224" s="4" t="str">
        <f t="shared" si="98"/>
        <v/>
      </c>
      <c r="J1224" s="4" t="str">
        <f t="shared" si="99"/>
        <v/>
      </c>
    </row>
    <row r="1225" spans="1:10" ht="15" customHeight="1" x14ac:dyDescent="0.25">
      <c r="A1225" s="8" t="str">
        <f>IF(COUNT($J$2:$J$1501)&gt;=1224,1224,"")</f>
        <v/>
      </c>
      <c r="B1225" s="8" t="str">
        <f t="shared" si="95"/>
        <v/>
      </c>
      <c r="C1225" s="8" t="str">
        <f t="shared" si="96"/>
        <v/>
      </c>
      <c r="D1225" s="8" t="str">
        <f t="shared" si="97"/>
        <v/>
      </c>
      <c r="F1225" s="4" t="str">
        <f>IF(Jugadores!B1225="","",Jugadores!B1225)</f>
        <v/>
      </c>
      <c r="G1225" s="4" t="str">
        <f>IF(Jugadores!B1225="","",Jugadores!A1225)</f>
        <v/>
      </c>
      <c r="H1225" s="4" t="str">
        <f>IF(F1225="","",SUMIF('Estadísticas Jugadores'!$F$2:$F$7001,F1225,'Estadísticas Jugadores'!$I$2:$I$7001))</f>
        <v/>
      </c>
      <c r="I1225" s="4" t="str">
        <f t="shared" si="98"/>
        <v/>
      </c>
      <c r="J1225" s="4" t="str">
        <f t="shared" si="99"/>
        <v/>
      </c>
    </row>
    <row r="1226" spans="1:10" ht="15" customHeight="1" x14ac:dyDescent="0.25">
      <c r="A1226" s="8" t="str">
        <f>IF(COUNT($J$2:$J$1501)&gt;=1225,1225,"")</f>
        <v/>
      </c>
      <c r="B1226" s="8" t="str">
        <f t="shared" si="95"/>
        <v/>
      </c>
      <c r="C1226" s="8" t="str">
        <f t="shared" si="96"/>
        <v/>
      </c>
      <c r="D1226" s="8" t="str">
        <f t="shared" si="97"/>
        <v/>
      </c>
      <c r="F1226" s="4" t="str">
        <f>IF(Jugadores!B1226="","",Jugadores!B1226)</f>
        <v/>
      </c>
      <c r="G1226" s="4" t="str">
        <f>IF(Jugadores!B1226="","",Jugadores!A1226)</f>
        <v/>
      </c>
      <c r="H1226" s="4" t="str">
        <f>IF(F1226="","",SUMIF('Estadísticas Jugadores'!$F$2:$F$7001,F1226,'Estadísticas Jugadores'!$I$2:$I$7001))</f>
        <v/>
      </c>
      <c r="I1226" s="4" t="str">
        <f t="shared" si="98"/>
        <v/>
      </c>
      <c r="J1226" s="4" t="str">
        <f t="shared" si="99"/>
        <v/>
      </c>
    </row>
    <row r="1227" spans="1:10" ht="15" customHeight="1" x14ac:dyDescent="0.25">
      <c r="A1227" s="8" t="str">
        <f>IF(COUNT($J$2:$J$1501)&gt;=1226,1226,"")</f>
        <v/>
      </c>
      <c r="B1227" s="8" t="str">
        <f t="shared" si="95"/>
        <v/>
      </c>
      <c r="C1227" s="8" t="str">
        <f t="shared" si="96"/>
        <v/>
      </c>
      <c r="D1227" s="8" t="str">
        <f t="shared" si="97"/>
        <v/>
      </c>
      <c r="F1227" s="4" t="str">
        <f>IF(Jugadores!B1227="","",Jugadores!B1227)</f>
        <v/>
      </c>
      <c r="G1227" s="4" t="str">
        <f>IF(Jugadores!B1227="","",Jugadores!A1227)</f>
        <v/>
      </c>
      <c r="H1227" s="4" t="str">
        <f>IF(F1227="","",SUMIF('Estadísticas Jugadores'!$F$2:$F$7001,F1227,'Estadísticas Jugadores'!$I$2:$I$7001))</f>
        <v/>
      </c>
      <c r="I1227" s="4" t="str">
        <f t="shared" si="98"/>
        <v/>
      </c>
      <c r="J1227" s="4" t="str">
        <f t="shared" si="99"/>
        <v/>
      </c>
    </row>
    <row r="1228" spans="1:10" ht="15" customHeight="1" x14ac:dyDescent="0.25">
      <c r="A1228" s="8" t="str">
        <f>IF(COUNT($J$2:$J$1501)&gt;=1227,1227,"")</f>
        <v/>
      </c>
      <c r="B1228" s="8" t="str">
        <f t="shared" si="95"/>
        <v/>
      </c>
      <c r="C1228" s="8" t="str">
        <f t="shared" si="96"/>
        <v/>
      </c>
      <c r="D1228" s="8" t="str">
        <f t="shared" si="97"/>
        <v/>
      </c>
      <c r="F1228" s="4" t="str">
        <f>IF(Jugadores!B1228="","",Jugadores!B1228)</f>
        <v/>
      </c>
      <c r="G1228" s="4" t="str">
        <f>IF(Jugadores!B1228="","",Jugadores!A1228)</f>
        <v/>
      </c>
      <c r="H1228" s="4" t="str">
        <f>IF(F1228="","",SUMIF('Estadísticas Jugadores'!$F$2:$F$7001,F1228,'Estadísticas Jugadores'!$I$2:$I$7001))</f>
        <v/>
      </c>
      <c r="I1228" s="4" t="str">
        <f t="shared" si="98"/>
        <v/>
      </c>
      <c r="J1228" s="4" t="str">
        <f t="shared" si="99"/>
        <v/>
      </c>
    </row>
    <row r="1229" spans="1:10" ht="15" customHeight="1" x14ac:dyDescent="0.25">
      <c r="A1229" s="8" t="str">
        <f>IF(COUNT($J$2:$J$1501)&gt;=1228,1228,"")</f>
        <v/>
      </c>
      <c r="B1229" s="8" t="str">
        <f t="shared" si="95"/>
        <v/>
      </c>
      <c r="C1229" s="8" t="str">
        <f t="shared" si="96"/>
        <v/>
      </c>
      <c r="D1229" s="8" t="str">
        <f t="shared" si="97"/>
        <v/>
      </c>
      <c r="F1229" s="4" t="str">
        <f>IF(Jugadores!B1229="","",Jugadores!B1229)</f>
        <v/>
      </c>
      <c r="G1229" s="4" t="str">
        <f>IF(Jugadores!B1229="","",Jugadores!A1229)</f>
        <v/>
      </c>
      <c r="H1229" s="4" t="str">
        <f>IF(F1229="","",SUMIF('Estadísticas Jugadores'!$F$2:$F$7001,F1229,'Estadísticas Jugadores'!$I$2:$I$7001))</f>
        <v/>
      </c>
      <c r="I1229" s="4" t="str">
        <f t="shared" si="98"/>
        <v/>
      </c>
      <c r="J1229" s="4" t="str">
        <f t="shared" si="99"/>
        <v/>
      </c>
    </row>
    <row r="1230" spans="1:10" ht="15" customHeight="1" x14ac:dyDescent="0.25">
      <c r="A1230" s="8" t="str">
        <f>IF(COUNT($J$2:$J$1501)&gt;=1229,1229,"")</f>
        <v/>
      </c>
      <c r="B1230" s="8" t="str">
        <f t="shared" si="95"/>
        <v/>
      </c>
      <c r="C1230" s="8" t="str">
        <f t="shared" si="96"/>
        <v/>
      </c>
      <c r="D1230" s="8" t="str">
        <f t="shared" si="97"/>
        <v/>
      </c>
      <c r="F1230" s="4" t="str">
        <f>IF(Jugadores!B1230="","",Jugadores!B1230)</f>
        <v/>
      </c>
      <c r="G1230" s="4" t="str">
        <f>IF(Jugadores!B1230="","",Jugadores!A1230)</f>
        <v/>
      </c>
      <c r="H1230" s="4" t="str">
        <f>IF(F1230="","",SUMIF('Estadísticas Jugadores'!$F$2:$F$7001,F1230,'Estadísticas Jugadores'!$I$2:$I$7001))</f>
        <v/>
      </c>
      <c r="I1230" s="4" t="str">
        <f t="shared" si="98"/>
        <v/>
      </c>
      <c r="J1230" s="4" t="str">
        <f t="shared" si="99"/>
        <v/>
      </c>
    </row>
    <row r="1231" spans="1:10" ht="15" customHeight="1" x14ac:dyDescent="0.25">
      <c r="A1231" s="8" t="str">
        <f>IF(COUNT($J$2:$J$1501)&gt;=1230,1230,"")</f>
        <v/>
      </c>
      <c r="B1231" s="8" t="str">
        <f t="shared" si="95"/>
        <v/>
      </c>
      <c r="C1231" s="8" t="str">
        <f t="shared" si="96"/>
        <v/>
      </c>
      <c r="D1231" s="8" t="str">
        <f t="shared" si="97"/>
        <v/>
      </c>
      <c r="F1231" s="4" t="str">
        <f>IF(Jugadores!B1231="","",Jugadores!B1231)</f>
        <v/>
      </c>
      <c r="G1231" s="4" t="str">
        <f>IF(Jugadores!B1231="","",Jugadores!A1231)</f>
        <v/>
      </c>
      <c r="H1231" s="4" t="str">
        <f>IF(F1231="","",SUMIF('Estadísticas Jugadores'!$F$2:$F$7001,F1231,'Estadísticas Jugadores'!$I$2:$I$7001))</f>
        <v/>
      </c>
      <c r="I1231" s="4" t="str">
        <f t="shared" si="98"/>
        <v/>
      </c>
      <c r="J1231" s="4" t="str">
        <f t="shared" si="99"/>
        <v/>
      </c>
    </row>
    <row r="1232" spans="1:10" ht="15" customHeight="1" x14ac:dyDescent="0.25">
      <c r="A1232" s="8" t="str">
        <f>IF(COUNT($J$2:$J$1501)&gt;=1231,1231,"")</f>
        <v/>
      </c>
      <c r="B1232" s="8" t="str">
        <f t="shared" si="95"/>
        <v/>
      </c>
      <c r="C1232" s="8" t="str">
        <f t="shared" si="96"/>
        <v/>
      </c>
      <c r="D1232" s="8" t="str">
        <f t="shared" si="97"/>
        <v/>
      </c>
      <c r="F1232" s="4" t="str">
        <f>IF(Jugadores!B1232="","",Jugadores!B1232)</f>
        <v/>
      </c>
      <c r="G1232" s="4" t="str">
        <f>IF(Jugadores!B1232="","",Jugadores!A1232)</f>
        <v/>
      </c>
      <c r="H1232" s="4" t="str">
        <f>IF(F1232="","",SUMIF('Estadísticas Jugadores'!$F$2:$F$7001,F1232,'Estadísticas Jugadores'!$I$2:$I$7001))</f>
        <v/>
      </c>
      <c r="I1232" s="4" t="str">
        <f t="shared" si="98"/>
        <v/>
      </c>
      <c r="J1232" s="4" t="str">
        <f t="shared" si="99"/>
        <v/>
      </c>
    </row>
    <row r="1233" spans="1:10" ht="15" customHeight="1" x14ac:dyDescent="0.25">
      <c r="A1233" s="8" t="str">
        <f>IF(COUNT($J$2:$J$1501)&gt;=1232,1232,"")</f>
        <v/>
      </c>
      <c r="B1233" s="8" t="str">
        <f t="shared" si="95"/>
        <v/>
      </c>
      <c r="C1233" s="8" t="str">
        <f t="shared" si="96"/>
        <v/>
      </c>
      <c r="D1233" s="8" t="str">
        <f t="shared" si="97"/>
        <v/>
      </c>
      <c r="F1233" s="4" t="str">
        <f>IF(Jugadores!B1233="","",Jugadores!B1233)</f>
        <v/>
      </c>
      <c r="G1233" s="4" t="str">
        <f>IF(Jugadores!B1233="","",Jugadores!A1233)</f>
        <v/>
      </c>
      <c r="H1233" s="4" t="str">
        <f>IF(F1233="","",SUMIF('Estadísticas Jugadores'!$F$2:$F$7001,F1233,'Estadísticas Jugadores'!$I$2:$I$7001))</f>
        <v/>
      </c>
      <c r="I1233" s="4" t="str">
        <f t="shared" si="98"/>
        <v/>
      </c>
      <c r="J1233" s="4" t="str">
        <f t="shared" si="99"/>
        <v/>
      </c>
    </row>
    <row r="1234" spans="1:10" ht="15" customHeight="1" x14ac:dyDescent="0.25">
      <c r="A1234" s="8" t="str">
        <f>IF(COUNT($J$2:$J$1501)&gt;=1233,1233,"")</f>
        <v/>
      </c>
      <c r="B1234" s="8" t="str">
        <f t="shared" si="95"/>
        <v/>
      </c>
      <c r="C1234" s="8" t="str">
        <f t="shared" si="96"/>
        <v/>
      </c>
      <c r="D1234" s="8" t="str">
        <f t="shared" si="97"/>
        <v/>
      </c>
      <c r="F1234" s="4" t="str">
        <f>IF(Jugadores!B1234="","",Jugadores!B1234)</f>
        <v/>
      </c>
      <c r="G1234" s="4" t="str">
        <f>IF(Jugadores!B1234="","",Jugadores!A1234)</f>
        <v/>
      </c>
      <c r="H1234" s="4" t="str">
        <f>IF(F1234="","",SUMIF('Estadísticas Jugadores'!$F$2:$F$7001,F1234,'Estadísticas Jugadores'!$I$2:$I$7001))</f>
        <v/>
      </c>
      <c r="I1234" s="4" t="str">
        <f t="shared" si="98"/>
        <v/>
      </c>
      <c r="J1234" s="4" t="str">
        <f t="shared" si="99"/>
        <v/>
      </c>
    </row>
    <row r="1235" spans="1:10" ht="15" customHeight="1" x14ac:dyDescent="0.25">
      <c r="A1235" s="8" t="str">
        <f>IF(COUNT($J$2:$J$1501)&gt;=1234,1234,"")</f>
        <v/>
      </c>
      <c r="B1235" s="8" t="str">
        <f t="shared" si="95"/>
        <v/>
      </c>
      <c r="C1235" s="8" t="str">
        <f t="shared" si="96"/>
        <v/>
      </c>
      <c r="D1235" s="8" t="str">
        <f t="shared" si="97"/>
        <v/>
      </c>
      <c r="F1235" s="4" t="str">
        <f>IF(Jugadores!B1235="","",Jugadores!B1235)</f>
        <v/>
      </c>
      <c r="G1235" s="4" t="str">
        <f>IF(Jugadores!B1235="","",Jugadores!A1235)</f>
        <v/>
      </c>
      <c r="H1235" s="4" t="str">
        <f>IF(F1235="","",SUMIF('Estadísticas Jugadores'!$F$2:$F$7001,F1235,'Estadísticas Jugadores'!$I$2:$I$7001))</f>
        <v/>
      </c>
      <c r="I1235" s="4" t="str">
        <f t="shared" si="98"/>
        <v/>
      </c>
      <c r="J1235" s="4" t="str">
        <f t="shared" si="99"/>
        <v/>
      </c>
    </row>
    <row r="1236" spans="1:10" ht="15" customHeight="1" x14ac:dyDescent="0.25">
      <c r="A1236" s="8" t="str">
        <f>IF(COUNT($J$2:$J$1501)&gt;=1235,1235,"")</f>
        <v/>
      </c>
      <c r="B1236" s="8" t="str">
        <f t="shared" si="95"/>
        <v/>
      </c>
      <c r="C1236" s="8" t="str">
        <f t="shared" si="96"/>
        <v/>
      </c>
      <c r="D1236" s="8" t="str">
        <f t="shared" si="97"/>
        <v/>
      </c>
      <c r="F1236" s="4" t="str">
        <f>IF(Jugadores!B1236="","",Jugadores!B1236)</f>
        <v/>
      </c>
      <c r="G1236" s="4" t="str">
        <f>IF(Jugadores!B1236="","",Jugadores!A1236)</f>
        <v/>
      </c>
      <c r="H1236" s="4" t="str">
        <f>IF(F1236="","",SUMIF('Estadísticas Jugadores'!$F$2:$F$7001,F1236,'Estadísticas Jugadores'!$I$2:$I$7001))</f>
        <v/>
      </c>
      <c r="I1236" s="4" t="str">
        <f t="shared" si="98"/>
        <v/>
      </c>
      <c r="J1236" s="4" t="str">
        <f t="shared" si="99"/>
        <v/>
      </c>
    </row>
    <row r="1237" spans="1:10" ht="15" customHeight="1" x14ac:dyDescent="0.25">
      <c r="A1237" s="8" t="str">
        <f>IF(COUNT($J$2:$J$1501)&gt;=1236,1236,"")</f>
        <v/>
      </c>
      <c r="B1237" s="8" t="str">
        <f t="shared" si="95"/>
        <v/>
      </c>
      <c r="C1237" s="8" t="str">
        <f t="shared" si="96"/>
        <v/>
      </c>
      <c r="D1237" s="8" t="str">
        <f t="shared" si="97"/>
        <v/>
      </c>
      <c r="F1237" s="4" t="str">
        <f>IF(Jugadores!B1237="","",Jugadores!B1237)</f>
        <v/>
      </c>
      <c r="G1237" s="4" t="str">
        <f>IF(Jugadores!B1237="","",Jugadores!A1237)</f>
        <v/>
      </c>
      <c r="H1237" s="4" t="str">
        <f>IF(F1237="","",SUMIF('Estadísticas Jugadores'!$F$2:$F$7001,F1237,'Estadísticas Jugadores'!$I$2:$I$7001))</f>
        <v/>
      </c>
      <c r="I1237" s="4" t="str">
        <f t="shared" si="98"/>
        <v/>
      </c>
      <c r="J1237" s="4" t="str">
        <f t="shared" si="99"/>
        <v/>
      </c>
    </row>
    <row r="1238" spans="1:10" ht="15" customHeight="1" x14ac:dyDescent="0.25">
      <c r="A1238" s="8" t="str">
        <f>IF(COUNT($J$2:$J$1501)&gt;=1237,1237,"")</f>
        <v/>
      </c>
      <c r="B1238" s="8" t="str">
        <f t="shared" si="95"/>
        <v/>
      </c>
      <c r="C1238" s="8" t="str">
        <f t="shared" si="96"/>
        <v/>
      </c>
      <c r="D1238" s="8" t="str">
        <f t="shared" si="97"/>
        <v/>
      </c>
      <c r="F1238" s="4" t="str">
        <f>IF(Jugadores!B1238="","",Jugadores!B1238)</f>
        <v/>
      </c>
      <c r="G1238" s="4" t="str">
        <f>IF(Jugadores!B1238="","",Jugadores!A1238)</f>
        <v/>
      </c>
      <c r="H1238" s="4" t="str">
        <f>IF(F1238="","",SUMIF('Estadísticas Jugadores'!$F$2:$F$7001,F1238,'Estadísticas Jugadores'!$I$2:$I$7001))</f>
        <v/>
      </c>
      <c r="I1238" s="4" t="str">
        <f t="shared" si="98"/>
        <v/>
      </c>
      <c r="J1238" s="4" t="str">
        <f t="shared" si="99"/>
        <v/>
      </c>
    </row>
    <row r="1239" spans="1:10" ht="15" customHeight="1" x14ac:dyDescent="0.25">
      <c r="A1239" s="8" t="str">
        <f>IF(COUNT($J$2:$J$1501)&gt;=1238,1238,"")</f>
        <v/>
      </c>
      <c r="B1239" s="8" t="str">
        <f t="shared" si="95"/>
        <v/>
      </c>
      <c r="C1239" s="8" t="str">
        <f t="shared" si="96"/>
        <v/>
      </c>
      <c r="D1239" s="8" t="str">
        <f t="shared" si="97"/>
        <v/>
      </c>
      <c r="F1239" s="4" t="str">
        <f>IF(Jugadores!B1239="","",Jugadores!B1239)</f>
        <v/>
      </c>
      <c r="G1239" s="4" t="str">
        <f>IF(Jugadores!B1239="","",Jugadores!A1239)</f>
        <v/>
      </c>
      <c r="H1239" s="4" t="str">
        <f>IF(F1239="","",SUMIF('Estadísticas Jugadores'!$F$2:$F$7001,F1239,'Estadísticas Jugadores'!$I$2:$I$7001))</f>
        <v/>
      </c>
      <c r="I1239" s="4" t="str">
        <f t="shared" si="98"/>
        <v/>
      </c>
      <c r="J1239" s="4" t="str">
        <f t="shared" si="99"/>
        <v/>
      </c>
    </row>
    <row r="1240" spans="1:10" ht="15" customHeight="1" x14ac:dyDescent="0.25">
      <c r="A1240" s="8" t="str">
        <f>IF(COUNT($J$2:$J$1501)&gt;=1239,1239,"")</f>
        <v/>
      </c>
      <c r="B1240" s="8" t="str">
        <f t="shared" si="95"/>
        <v/>
      </c>
      <c r="C1240" s="8" t="str">
        <f t="shared" si="96"/>
        <v/>
      </c>
      <c r="D1240" s="8" t="str">
        <f t="shared" si="97"/>
        <v/>
      </c>
      <c r="F1240" s="4" t="str">
        <f>IF(Jugadores!B1240="","",Jugadores!B1240)</f>
        <v/>
      </c>
      <c r="G1240" s="4" t="str">
        <f>IF(Jugadores!B1240="","",Jugadores!A1240)</f>
        <v/>
      </c>
      <c r="H1240" s="4" t="str">
        <f>IF(F1240="","",SUMIF('Estadísticas Jugadores'!$F$2:$F$7001,F1240,'Estadísticas Jugadores'!$I$2:$I$7001))</f>
        <v/>
      </c>
      <c r="I1240" s="4" t="str">
        <f t="shared" si="98"/>
        <v/>
      </c>
      <c r="J1240" s="4" t="str">
        <f t="shared" si="99"/>
        <v/>
      </c>
    </row>
    <row r="1241" spans="1:10" ht="15" customHeight="1" x14ac:dyDescent="0.25">
      <c r="A1241" s="8" t="str">
        <f>IF(COUNT($J$2:$J$1501)&gt;=1240,1240,"")</f>
        <v/>
      </c>
      <c r="B1241" s="8" t="str">
        <f t="shared" si="95"/>
        <v/>
      </c>
      <c r="C1241" s="8" t="str">
        <f t="shared" si="96"/>
        <v/>
      </c>
      <c r="D1241" s="8" t="str">
        <f t="shared" si="97"/>
        <v/>
      </c>
      <c r="F1241" s="4" t="str">
        <f>IF(Jugadores!B1241="","",Jugadores!B1241)</f>
        <v/>
      </c>
      <c r="G1241" s="4" t="str">
        <f>IF(Jugadores!B1241="","",Jugadores!A1241)</f>
        <v/>
      </c>
      <c r="H1241" s="4" t="str">
        <f>IF(F1241="","",SUMIF('Estadísticas Jugadores'!$F$2:$F$7001,F1241,'Estadísticas Jugadores'!$I$2:$I$7001))</f>
        <v/>
      </c>
      <c r="I1241" s="4" t="str">
        <f t="shared" si="98"/>
        <v/>
      </c>
      <c r="J1241" s="4" t="str">
        <f t="shared" si="99"/>
        <v/>
      </c>
    </row>
    <row r="1242" spans="1:10" ht="15" customHeight="1" x14ac:dyDescent="0.25">
      <c r="A1242" s="8" t="str">
        <f>IF(COUNT($J$2:$J$1501)&gt;=1241,1241,"")</f>
        <v/>
      </c>
      <c r="B1242" s="8" t="str">
        <f t="shared" si="95"/>
        <v/>
      </c>
      <c r="C1242" s="8" t="str">
        <f t="shared" si="96"/>
        <v/>
      </c>
      <c r="D1242" s="8" t="str">
        <f t="shared" si="97"/>
        <v/>
      </c>
      <c r="F1242" s="4" t="str">
        <f>IF(Jugadores!B1242="","",Jugadores!B1242)</f>
        <v/>
      </c>
      <c r="G1242" s="4" t="str">
        <f>IF(Jugadores!B1242="","",Jugadores!A1242)</f>
        <v/>
      </c>
      <c r="H1242" s="4" t="str">
        <f>IF(F1242="","",SUMIF('Estadísticas Jugadores'!$F$2:$F$7001,F1242,'Estadísticas Jugadores'!$I$2:$I$7001))</f>
        <v/>
      </c>
      <c r="I1242" s="4" t="str">
        <f t="shared" si="98"/>
        <v/>
      </c>
      <c r="J1242" s="4" t="str">
        <f t="shared" si="99"/>
        <v/>
      </c>
    </row>
    <row r="1243" spans="1:10" ht="15" customHeight="1" x14ac:dyDescent="0.25">
      <c r="A1243" s="8" t="str">
        <f>IF(COUNT($J$2:$J$1501)&gt;=1242,1242,"")</f>
        <v/>
      </c>
      <c r="B1243" s="8" t="str">
        <f t="shared" si="95"/>
        <v/>
      </c>
      <c r="C1243" s="8" t="str">
        <f t="shared" si="96"/>
        <v/>
      </c>
      <c r="D1243" s="8" t="str">
        <f t="shared" si="97"/>
        <v/>
      </c>
      <c r="F1243" s="4" t="str">
        <f>IF(Jugadores!B1243="","",Jugadores!B1243)</f>
        <v/>
      </c>
      <c r="G1243" s="4" t="str">
        <f>IF(Jugadores!B1243="","",Jugadores!A1243)</f>
        <v/>
      </c>
      <c r="H1243" s="4" t="str">
        <f>IF(F1243="","",SUMIF('Estadísticas Jugadores'!$F$2:$F$7001,F1243,'Estadísticas Jugadores'!$I$2:$I$7001))</f>
        <v/>
      </c>
      <c r="I1243" s="4" t="str">
        <f t="shared" si="98"/>
        <v/>
      </c>
      <c r="J1243" s="4" t="str">
        <f t="shared" si="99"/>
        <v/>
      </c>
    </row>
    <row r="1244" spans="1:10" ht="15" customHeight="1" x14ac:dyDescent="0.25">
      <c r="A1244" s="8" t="str">
        <f>IF(COUNT($J$2:$J$1501)&gt;=1243,1243,"")</f>
        <v/>
      </c>
      <c r="B1244" s="8" t="str">
        <f t="shared" si="95"/>
        <v/>
      </c>
      <c r="C1244" s="8" t="str">
        <f t="shared" si="96"/>
        <v/>
      </c>
      <c r="D1244" s="8" t="str">
        <f t="shared" si="97"/>
        <v/>
      </c>
      <c r="F1244" s="4" t="str">
        <f>IF(Jugadores!B1244="","",Jugadores!B1244)</f>
        <v/>
      </c>
      <c r="G1244" s="4" t="str">
        <f>IF(Jugadores!B1244="","",Jugadores!A1244)</f>
        <v/>
      </c>
      <c r="H1244" s="4" t="str">
        <f>IF(F1244="","",SUMIF('Estadísticas Jugadores'!$F$2:$F$7001,F1244,'Estadísticas Jugadores'!$I$2:$I$7001))</f>
        <v/>
      </c>
      <c r="I1244" s="4" t="str">
        <f t="shared" si="98"/>
        <v/>
      </c>
      <c r="J1244" s="4" t="str">
        <f t="shared" si="99"/>
        <v/>
      </c>
    </row>
    <row r="1245" spans="1:10" ht="15" customHeight="1" x14ac:dyDescent="0.25">
      <c r="A1245" s="8" t="str">
        <f>IF(COUNT($J$2:$J$1501)&gt;=1244,1244,"")</f>
        <v/>
      </c>
      <c r="B1245" s="8" t="str">
        <f t="shared" si="95"/>
        <v/>
      </c>
      <c r="C1245" s="8" t="str">
        <f t="shared" si="96"/>
        <v/>
      </c>
      <c r="D1245" s="8" t="str">
        <f t="shared" si="97"/>
        <v/>
      </c>
      <c r="F1245" s="4" t="str">
        <f>IF(Jugadores!B1245="","",Jugadores!B1245)</f>
        <v/>
      </c>
      <c r="G1245" s="4" t="str">
        <f>IF(Jugadores!B1245="","",Jugadores!A1245)</f>
        <v/>
      </c>
      <c r="H1245" s="4" t="str">
        <f>IF(F1245="","",SUMIF('Estadísticas Jugadores'!$F$2:$F$7001,F1245,'Estadísticas Jugadores'!$I$2:$I$7001))</f>
        <v/>
      </c>
      <c r="I1245" s="4" t="str">
        <f t="shared" si="98"/>
        <v/>
      </c>
      <c r="J1245" s="4" t="str">
        <f t="shared" si="99"/>
        <v/>
      </c>
    </row>
    <row r="1246" spans="1:10" ht="15" customHeight="1" x14ac:dyDescent="0.25">
      <c r="A1246" s="8" t="str">
        <f>IF(COUNT($J$2:$J$1501)&gt;=1245,1245,"")</f>
        <v/>
      </c>
      <c r="B1246" s="8" t="str">
        <f t="shared" si="95"/>
        <v/>
      </c>
      <c r="C1246" s="8" t="str">
        <f t="shared" si="96"/>
        <v/>
      </c>
      <c r="D1246" s="8" t="str">
        <f t="shared" si="97"/>
        <v/>
      </c>
      <c r="F1246" s="4" t="str">
        <f>IF(Jugadores!B1246="","",Jugadores!B1246)</f>
        <v/>
      </c>
      <c r="G1246" s="4" t="str">
        <f>IF(Jugadores!B1246="","",Jugadores!A1246)</f>
        <v/>
      </c>
      <c r="H1246" s="4" t="str">
        <f>IF(F1246="","",SUMIF('Estadísticas Jugadores'!$F$2:$F$7001,F1246,'Estadísticas Jugadores'!$I$2:$I$7001))</f>
        <v/>
      </c>
      <c r="I1246" s="4" t="str">
        <f t="shared" si="98"/>
        <v/>
      </c>
      <c r="J1246" s="4" t="str">
        <f t="shared" si="99"/>
        <v/>
      </c>
    </row>
    <row r="1247" spans="1:10" ht="15" customHeight="1" x14ac:dyDescent="0.25">
      <c r="A1247" s="8" t="str">
        <f>IF(COUNT($J$2:$J$1501)&gt;=1246,1246,"")</f>
        <v/>
      </c>
      <c r="B1247" s="8" t="str">
        <f t="shared" si="95"/>
        <v/>
      </c>
      <c r="C1247" s="8" t="str">
        <f t="shared" si="96"/>
        <v/>
      </c>
      <c r="D1247" s="8" t="str">
        <f t="shared" si="97"/>
        <v/>
      </c>
      <c r="F1247" s="4" t="str">
        <f>IF(Jugadores!B1247="","",Jugadores!B1247)</f>
        <v/>
      </c>
      <c r="G1247" s="4" t="str">
        <f>IF(Jugadores!B1247="","",Jugadores!A1247)</f>
        <v/>
      </c>
      <c r="H1247" s="4" t="str">
        <f>IF(F1247="","",SUMIF('Estadísticas Jugadores'!$F$2:$F$7001,F1247,'Estadísticas Jugadores'!$I$2:$I$7001))</f>
        <v/>
      </c>
      <c r="I1247" s="4" t="str">
        <f t="shared" si="98"/>
        <v/>
      </c>
      <c r="J1247" s="4" t="str">
        <f t="shared" si="99"/>
        <v/>
      </c>
    </row>
    <row r="1248" spans="1:10" ht="15" customHeight="1" x14ac:dyDescent="0.25">
      <c r="A1248" s="8" t="str">
        <f>IF(COUNT($J$2:$J$1501)&gt;=1247,1247,"")</f>
        <v/>
      </c>
      <c r="B1248" s="8" t="str">
        <f t="shared" si="95"/>
        <v/>
      </c>
      <c r="C1248" s="8" t="str">
        <f t="shared" si="96"/>
        <v/>
      </c>
      <c r="D1248" s="8" t="str">
        <f t="shared" si="97"/>
        <v/>
      </c>
      <c r="F1248" s="4" t="str">
        <f>IF(Jugadores!B1248="","",Jugadores!B1248)</f>
        <v/>
      </c>
      <c r="G1248" s="4" t="str">
        <f>IF(Jugadores!B1248="","",Jugadores!A1248)</f>
        <v/>
      </c>
      <c r="H1248" s="4" t="str">
        <f>IF(F1248="","",SUMIF('Estadísticas Jugadores'!$F$2:$F$7001,F1248,'Estadísticas Jugadores'!$I$2:$I$7001))</f>
        <v/>
      </c>
      <c r="I1248" s="4" t="str">
        <f t="shared" si="98"/>
        <v/>
      </c>
      <c r="J1248" s="4" t="str">
        <f t="shared" si="99"/>
        <v/>
      </c>
    </row>
    <row r="1249" spans="1:10" ht="15" customHeight="1" x14ac:dyDescent="0.25">
      <c r="A1249" s="8" t="str">
        <f>IF(COUNT($J$2:$J$1501)&gt;=1248,1248,"")</f>
        <v/>
      </c>
      <c r="B1249" s="8" t="str">
        <f t="shared" si="95"/>
        <v/>
      </c>
      <c r="C1249" s="8" t="str">
        <f t="shared" si="96"/>
        <v/>
      </c>
      <c r="D1249" s="8" t="str">
        <f t="shared" si="97"/>
        <v/>
      </c>
      <c r="F1249" s="4" t="str">
        <f>IF(Jugadores!B1249="","",Jugadores!B1249)</f>
        <v/>
      </c>
      <c r="G1249" s="4" t="str">
        <f>IF(Jugadores!B1249="","",Jugadores!A1249)</f>
        <v/>
      </c>
      <c r="H1249" s="4" t="str">
        <f>IF(F1249="","",SUMIF('Estadísticas Jugadores'!$F$2:$F$7001,F1249,'Estadísticas Jugadores'!$I$2:$I$7001))</f>
        <v/>
      </c>
      <c r="I1249" s="4" t="str">
        <f t="shared" si="98"/>
        <v/>
      </c>
      <c r="J1249" s="4" t="str">
        <f t="shared" si="99"/>
        <v/>
      </c>
    </row>
    <row r="1250" spans="1:10" ht="15" customHeight="1" x14ac:dyDescent="0.25">
      <c r="A1250" s="8" t="str">
        <f>IF(COUNT($J$2:$J$1501)&gt;=1249,1249,"")</f>
        <v/>
      </c>
      <c r="B1250" s="8" t="str">
        <f t="shared" si="95"/>
        <v/>
      </c>
      <c r="C1250" s="8" t="str">
        <f t="shared" si="96"/>
        <v/>
      </c>
      <c r="D1250" s="8" t="str">
        <f t="shared" si="97"/>
        <v/>
      </c>
      <c r="F1250" s="4" t="str">
        <f>IF(Jugadores!B1250="","",Jugadores!B1250)</f>
        <v/>
      </c>
      <c r="G1250" s="4" t="str">
        <f>IF(Jugadores!B1250="","",Jugadores!A1250)</f>
        <v/>
      </c>
      <c r="H1250" s="4" t="str">
        <f>IF(F1250="","",SUMIF('Estadísticas Jugadores'!$F$2:$F$7001,F1250,'Estadísticas Jugadores'!$I$2:$I$7001))</f>
        <v/>
      </c>
      <c r="I1250" s="4" t="str">
        <f t="shared" si="98"/>
        <v/>
      </c>
      <c r="J1250" s="4" t="str">
        <f t="shared" si="99"/>
        <v/>
      </c>
    </row>
    <row r="1251" spans="1:10" ht="15" customHeight="1" x14ac:dyDescent="0.25">
      <c r="A1251" s="8" t="str">
        <f>IF(COUNT($J$2:$J$1501)&gt;=1250,1250,"")</f>
        <v/>
      </c>
      <c r="B1251" s="8" t="str">
        <f t="shared" si="95"/>
        <v/>
      </c>
      <c r="C1251" s="8" t="str">
        <f t="shared" si="96"/>
        <v/>
      </c>
      <c r="D1251" s="8" t="str">
        <f t="shared" si="97"/>
        <v/>
      </c>
      <c r="F1251" s="4" t="str">
        <f>IF(Jugadores!B1251="","",Jugadores!B1251)</f>
        <v/>
      </c>
      <c r="G1251" s="4" t="str">
        <f>IF(Jugadores!B1251="","",Jugadores!A1251)</f>
        <v/>
      </c>
      <c r="H1251" s="4" t="str">
        <f>IF(F1251="","",SUMIF('Estadísticas Jugadores'!$F$2:$F$7001,F1251,'Estadísticas Jugadores'!$I$2:$I$7001))</f>
        <v/>
      </c>
      <c r="I1251" s="4" t="str">
        <f t="shared" si="98"/>
        <v/>
      </c>
      <c r="J1251" s="4" t="str">
        <f t="shared" si="99"/>
        <v/>
      </c>
    </row>
    <row r="1252" spans="1:10" ht="15" customHeight="1" x14ac:dyDescent="0.25">
      <c r="A1252" s="8" t="str">
        <f>IF(COUNT($J$2:$J$1501)&gt;=1251,1251,"")</f>
        <v/>
      </c>
      <c r="B1252" s="8" t="str">
        <f t="shared" si="95"/>
        <v/>
      </c>
      <c r="C1252" s="8" t="str">
        <f t="shared" si="96"/>
        <v/>
      </c>
      <c r="D1252" s="8" t="str">
        <f t="shared" si="97"/>
        <v/>
      </c>
      <c r="F1252" s="4" t="str">
        <f>IF(Jugadores!B1252="","",Jugadores!B1252)</f>
        <v/>
      </c>
      <c r="G1252" s="4" t="str">
        <f>IF(Jugadores!B1252="","",Jugadores!A1252)</f>
        <v/>
      </c>
      <c r="H1252" s="4" t="str">
        <f>IF(F1252="","",SUMIF('Estadísticas Jugadores'!$F$2:$F$7001,F1252,'Estadísticas Jugadores'!$I$2:$I$7001))</f>
        <v/>
      </c>
      <c r="I1252" s="4" t="str">
        <f t="shared" si="98"/>
        <v/>
      </c>
      <c r="J1252" s="4" t="str">
        <f t="shared" si="99"/>
        <v/>
      </c>
    </row>
    <row r="1253" spans="1:10" ht="15" customHeight="1" x14ac:dyDescent="0.25">
      <c r="A1253" s="8" t="str">
        <f>IF(COUNT($J$2:$J$1501)&gt;=1252,1252,"")</f>
        <v/>
      </c>
      <c r="B1253" s="8" t="str">
        <f t="shared" si="95"/>
        <v/>
      </c>
      <c r="C1253" s="8" t="str">
        <f t="shared" si="96"/>
        <v/>
      </c>
      <c r="D1253" s="8" t="str">
        <f t="shared" si="97"/>
        <v/>
      </c>
      <c r="F1253" s="4" t="str">
        <f>IF(Jugadores!B1253="","",Jugadores!B1253)</f>
        <v/>
      </c>
      <c r="G1253" s="4" t="str">
        <f>IF(Jugadores!B1253="","",Jugadores!A1253)</f>
        <v/>
      </c>
      <c r="H1253" s="4" t="str">
        <f>IF(F1253="","",SUMIF('Estadísticas Jugadores'!$F$2:$F$7001,F1253,'Estadísticas Jugadores'!$I$2:$I$7001))</f>
        <v/>
      </c>
      <c r="I1253" s="4" t="str">
        <f t="shared" si="98"/>
        <v/>
      </c>
      <c r="J1253" s="4" t="str">
        <f t="shared" si="99"/>
        <v/>
      </c>
    </row>
    <row r="1254" spans="1:10" ht="15" customHeight="1" x14ac:dyDescent="0.25">
      <c r="A1254" s="8" t="str">
        <f>IF(COUNT($J$2:$J$1501)&gt;=1253,1253,"")</f>
        <v/>
      </c>
      <c r="B1254" s="8" t="str">
        <f t="shared" si="95"/>
        <v/>
      </c>
      <c r="C1254" s="8" t="str">
        <f t="shared" si="96"/>
        <v/>
      </c>
      <c r="D1254" s="8" t="str">
        <f t="shared" si="97"/>
        <v/>
      </c>
      <c r="F1254" s="4" t="str">
        <f>IF(Jugadores!B1254="","",Jugadores!B1254)</f>
        <v/>
      </c>
      <c r="G1254" s="4" t="str">
        <f>IF(Jugadores!B1254="","",Jugadores!A1254)</f>
        <v/>
      </c>
      <c r="H1254" s="4" t="str">
        <f>IF(F1254="","",SUMIF('Estadísticas Jugadores'!$F$2:$F$7001,F1254,'Estadísticas Jugadores'!$I$2:$I$7001))</f>
        <v/>
      </c>
      <c r="I1254" s="4" t="str">
        <f t="shared" si="98"/>
        <v/>
      </c>
      <c r="J1254" s="4" t="str">
        <f t="shared" si="99"/>
        <v/>
      </c>
    </row>
    <row r="1255" spans="1:10" ht="15" customHeight="1" x14ac:dyDescent="0.25">
      <c r="A1255" s="8" t="str">
        <f>IF(COUNT($J$2:$J$1501)&gt;=1254,1254,"")</f>
        <v/>
      </c>
      <c r="B1255" s="8" t="str">
        <f t="shared" si="95"/>
        <v/>
      </c>
      <c r="C1255" s="8" t="str">
        <f t="shared" si="96"/>
        <v/>
      </c>
      <c r="D1255" s="8" t="str">
        <f t="shared" si="97"/>
        <v/>
      </c>
      <c r="F1255" s="4" t="str">
        <f>IF(Jugadores!B1255="","",Jugadores!B1255)</f>
        <v/>
      </c>
      <c r="G1255" s="4" t="str">
        <f>IF(Jugadores!B1255="","",Jugadores!A1255)</f>
        <v/>
      </c>
      <c r="H1255" s="4" t="str">
        <f>IF(F1255="","",SUMIF('Estadísticas Jugadores'!$F$2:$F$7001,F1255,'Estadísticas Jugadores'!$I$2:$I$7001))</f>
        <v/>
      </c>
      <c r="I1255" s="4" t="str">
        <f t="shared" si="98"/>
        <v/>
      </c>
      <c r="J1255" s="4" t="str">
        <f t="shared" si="99"/>
        <v/>
      </c>
    </row>
    <row r="1256" spans="1:10" ht="15" customHeight="1" x14ac:dyDescent="0.25">
      <c r="A1256" s="8" t="str">
        <f>IF(COUNT($J$2:$J$1501)&gt;=1255,1255,"")</f>
        <v/>
      </c>
      <c r="B1256" s="8" t="str">
        <f t="shared" si="95"/>
        <v/>
      </c>
      <c r="C1256" s="8" t="str">
        <f t="shared" si="96"/>
        <v/>
      </c>
      <c r="D1256" s="8" t="str">
        <f t="shared" si="97"/>
        <v/>
      </c>
      <c r="F1256" s="4" t="str">
        <f>IF(Jugadores!B1256="","",Jugadores!B1256)</f>
        <v/>
      </c>
      <c r="G1256" s="4" t="str">
        <f>IF(Jugadores!B1256="","",Jugadores!A1256)</f>
        <v/>
      </c>
      <c r="H1256" s="4" t="str">
        <f>IF(F1256="","",SUMIF('Estadísticas Jugadores'!$F$2:$F$7001,F1256,'Estadísticas Jugadores'!$I$2:$I$7001))</f>
        <v/>
      </c>
      <c r="I1256" s="4" t="str">
        <f t="shared" si="98"/>
        <v/>
      </c>
      <c r="J1256" s="4" t="str">
        <f t="shared" si="99"/>
        <v/>
      </c>
    </row>
    <row r="1257" spans="1:10" ht="15" customHeight="1" x14ac:dyDescent="0.25">
      <c r="A1257" s="8" t="str">
        <f>IF(COUNT($J$2:$J$1501)&gt;=1256,1256,"")</f>
        <v/>
      </c>
      <c r="B1257" s="8" t="str">
        <f t="shared" si="95"/>
        <v/>
      </c>
      <c r="C1257" s="8" t="str">
        <f t="shared" si="96"/>
        <v/>
      </c>
      <c r="D1257" s="8" t="str">
        <f t="shared" si="97"/>
        <v/>
      </c>
      <c r="F1257" s="4" t="str">
        <f>IF(Jugadores!B1257="","",Jugadores!B1257)</f>
        <v/>
      </c>
      <c r="G1257" s="4" t="str">
        <f>IF(Jugadores!B1257="","",Jugadores!A1257)</f>
        <v/>
      </c>
      <c r="H1257" s="4" t="str">
        <f>IF(F1257="","",SUMIF('Estadísticas Jugadores'!$F$2:$F$7001,F1257,'Estadísticas Jugadores'!$I$2:$I$7001))</f>
        <v/>
      </c>
      <c r="I1257" s="4" t="str">
        <f t="shared" si="98"/>
        <v/>
      </c>
      <c r="J1257" s="4" t="str">
        <f t="shared" si="99"/>
        <v/>
      </c>
    </row>
    <row r="1258" spans="1:10" ht="15" customHeight="1" x14ac:dyDescent="0.25">
      <c r="A1258" s="8" t="str">
        <f>IF(COUNT($J$2:$J$1501)&gt;=1257,1257,"")</f>
        <v/>
      </c>
      <c r="B1258" s="8" t="str">
        <f t="shared" si="95"/>
        <v/>
      </c>
      <c r="C1258" s="8" t="str">
        <f t="shared" si="96"/>
        <v/>
      </c>
      <c r="D1258" s="8" t="str">
        <f t="shared" si="97"/>
        <v/>
      </c>
      <c r="F1258" s="4" t="str">
        <f>IF(Jugadores!B1258="","",Jugadores!B1258)</f>
        <v/>
      </c>
      <c r="G1258" s="4" t="str">
        <f>IF(Jugadores!B1258="","",Jugadores!A1258)</f>
        <v/>
      </c>
      <c r="H1258" s="4" t="str">
        <f>IF(F1258="","",SUMIF('Estadísticas Jugadores'!$F$2:$F$7001,F1258,'Estadísticas Jugadores'!$I$2:$I$7001))</f>
        <v/>
      </c>
      <c r="I1258" s="4" t="str">
        <f t="shared" si="98"/>
        <v/>
      </c>
      <c r="J1258" s="4" t="str">
        <f t="shared" si="99"/>
        <v/>
      </c>
    </row>
    <row r="1259" spans="1:10" ht="15" customHeight="1" x14ac:dyDescent="0.25">
      <c r="A1259" s="8" t="str">
        <f>IF(COUNT($J$2:$J$1501)&gt;=1258,1258,"")</f>
        <v/>
      </c>
      <c r="B1259" s="8" t="str">
        <f t="shared" si="95"/>
        <v/>
      </c>
      <c r="C1259" s="8" t="str">
        <f t="shared" si="96"/>
        <v/>
      </c>
      <c r="D1259" s="8" t="str">
        <f t="shared" si="97"/>
        <v/>
      </c>
      <c r="F1259" s="4" t="str">
        <f>IF(Jugadores!B1259="","",Jugadores!B1259)</f>
        <v/>
      </c>
      <c r="G1259" s="4" t="str">
        <f>IF(Jugadores!B1259="","",Jugadores!A1259)</f>
        <v/>
      </c>
      <c r="H1259" s="4" t="str">
        <f>IF(F1259="","",SUMIF('Estadísticas Jugadores'!$F$2:$F$7001,F1259,'Estadísticas Jugadores'!$I$2:$I$7001))</f>
        <v/>
      </c>
      <c r="I1259" s="4" t="str">
        <f t="shared" si="98"/>
        <v/>
      </c>
      <c r="J1259" s="4" t="str">
        <f t="shared" si="99"/>
        <v/>
      </c>
    </row>
    <row r="1260" spans="1:10" ht="15" customHeight="1" x14ac:dyDescent="0.25">
      <c r="A1260" s="8" t="str">
        <f>IF(COUNT($J$2:$J$1501)&gt;=1259,1259,"")</f>
        <v/>
      </c>
      <c r="B1260" s="8" t="str">
        <f t="shared" si="95"/>
        <v/>
      </c>
      <c r="C1260" s="8" t="str">
        <f t="shared" si="96"/>
        <v/>
      </c>
      <c r="D1260" s="8" t="str">
        <f t="shared" si="97"/>
        <v/>
      </c>
      <c r="F1260" s="4" t="str">
        <f>IF(Jugadores!B1260="","",Jugadores!B1260)</f>
        <v/>
      </c>
      <c r="G1260" s="4" t="str">
        <f>IF(Jugadores!B1260="","",Jugadores!A1260)</f>
        <v/>
      </c>
      <c r="H1260" s="4" t="str">
        <f>IF(F1260="","",SUMIF('Estadísticas Jugadores'!$F$2:$F$7001,F1260,'Estadísticas Jugadores'!$I$2:$I$7001))</f>
        <v/>
      </c>
      <c r="I1260" s="4" t="str">
        <f t="shared" si="98"/>
        <v/>
      </c>
      <c r="J1260" s="4" t="str">
        <f t="shared" si="99"/>
        <v/>
      </c>
    </row>
    <row r="1261" spans="1:10" ht="15" customHeight="1" x14ac:dyDescent="0.25">
      <c r="A1261" s="8" t="str">
        <f>IF(COUNT($J$2:$J$1501)&gt;=1260,1260,"")</f>
        <v/>
      </c>
      <c r="B1261" s="8" t="str">
        <f t="shared" si="95"/>
        <v/>
      </c>
      <c r="C1261" s="8" t="str">
        <f t="shared" si="96"/>
        <v/>
      </c>
      <c r="D1261" s="8" t="str">
        <f t="shared" si="97"/>
        <v/>
      </c>
      <c r="F1261" s="4" t="str">
        <f>IF(Jugadores!B1261="","",Jugadores!B1261)</f>
        <v/>
      </c>
      <c r="G1261" s="4" t="str">
        <f>IF(Jugadores!B1261="","",Jugadores!A1261)</f>
        <v/>
      </c>
      <c r="H1261" s="4" t="str">
        <f>IF(F1261="","",SUMIF('Estadísticas Jugadores'!$F$2:$F$7001,F1261,'Estadísticas Jugadores'!$I$2:$I$7001))</f>
        <v/>
      </c>
      <c r="I1261" s="4" t="str">
        <f t="shared" si="98"/>
        <v/>
      </c>
      <c r="J1261" s="4" t="str">
        <f t="shared" si="99"/>
        <v/>
      </c>
    </row>
    <row r="1262" spans="1:10" ht="15" customHeight="1" x14ac:dyDescent="0.25">
      <c r="A1262" s="8" t="str">
        <f>IF(COUNT($J$2:$J$1501)&gt;=1261,1261,"")</f>
        <v/>
      </c>
      <c r="B1262" s="8" t="str">
        <f t="shared" si="95"/>
        <v/>
      </c>
      <c r="C1262" s="8" t="str">
        <f t="shared" si="96"/>
        <v/>
      </c>
      <c r="D1262" s="8" t="str">
        <f t="shared" si="97"/>
        <v/>
      </c>
      <c r="F1262" s="4" t="str">
        <f>IF(Jugadores!B1262="","",Jugadores!B1262)</f>
        <v/>
      </c>
      <c r="G1262" s="4" t="str">
        <f>IF(Jugadores!B1262="","",Jugadores!A1262)</f>
        <v/>
      </c>
      <c r="H1262" s="4" t="str">
        <f>IF(F1262="","",SUMIF('Estadísticas Jugadores'!$F$2:$F$7001,F1262,'Estadísticas Jugadores'!$I$2:$I$7001))</f>
        <v/>
      </c>
      <c r="I1262" s="4" t="str">
        <f t="shared" si="98"/>
        <v/>
      </c>
      <c r="J1262" s="4" t="str">
        <f t="shared" si="99"/>
        <v/>
      </c>
    </row>
    <row r="1263" spans="1:10" ht="15" customHeight="1" x14ac:dyDescent="0.25">
      <c r="A1263" s="8" t="str">
        <f>IF(COUNT($J$2:$J$1501)&gt;=1262,1262,"")</f>
        <v/>
      </c>
      <c r="B1263" s="8" t="str">
        <f t="shared" si="95"/>
        <v/>
      </c>
      <c r="C1263" s="8" t="str">
        <f t="shared" si="96"/>
        <v/>
      </c>
      <c r="D1263" s="8" t="str">
        <f t="shared" si="97"/>
        <v/>
      </c>
      <c r="F1263" s="4" t="str">
        <f>IF(Jugadores!B1263="","",Jugadores!B1263)</f>
        <v/>
      </c>
      <c r="G1263" s="4" t="str">
        <f>IF(Jugadores!B1263="","",Jugadores!A1263)</f>
        <v/>
      </c>
      <c r="H1263" s="4" t="str">
        <f>IF(F1263="","",SUMIF('Estadísticas Jugadores'!$F$2:$F$7001,F1263,'Estadísticas Jugadores'!$I$2:$I$7001))</f>
        <v/>
      </c>
      <c r="I1263" s="4" t="str">
        <f t="shared" si="98"/>
        <v/>
      </c>
      <c r="J1263" s="4" t="str">
        <f t="shared" si="99"/>
        <v/>
      </c>
    </row>
    <row r="1264" spans="1:10" ht="15" customHeight="1" x14ac:dyDescent="0.25">
      <c r="A1264" s="8" t="str">
        <f>IF(COUNT($J$2:$J$1501)&gt;=1263,1263,"")</f>
        <v/>
      </c>
      <c r="B1264" s="8" t="str">
        <f t="shared" si="95"/>
        <v/>
      </c>
      <c r="C1264" s="8" t="str">
        <f t="shared" si="96"/>
        <v/>
      </c>
      <c r="D1264" s="8" t="str">
        <f t="shared" si="97"/>
        <v/>
      </c>
      <c r="F1264" s="4" t="str">
        <f>IF(Jugadores!B1264="","",Jugadores!B1264)</f>
        <v/>
      </c>
      <c r="G1264" s="4" t="str">
        <f>IF(Jugadores!B1264="","",Jugadores!A1264)</f>
        <v/>
      </c>
      <c r="H1264" s="4" t="str">
        <f>IF(F1264="","",SUMIF('Estadísticas Jugadores'!$F$2:$F$7001,F1264,'Estadísticas Jugadores'!$I$2:$I$7001))</f>
        <v/>
      </c>
      <c r="I1264" s="4" t="str">
        <f t="shared" si="98"/>
        <v/>
      </c>
      <c r="J1264" s="4" t="str">
        <f t="shared" si="99"/>
        <v/>
      </c>
    </row>
    <row r="1265" spans="1:10" ht="15" customHeight="1" x14ac:dyDescent="0.25">
      <c r="A1265" s="8" t="str">
        <f>IF(COUNT($J$2:$J$1501)&gt;=1264,1264,"")</f>
        <v/>
      </c>
      <c r="B1265" s="8" t="str">
        <f t="shared" si="95"/>
        <v/>
      </c>
      <c r="C1265" s="8" t="str">
        <f t="shared" si="96"/>
        <v/>
      </c>
      <c r="D1265" s="8" t="str">
        <f t="shared" si="97"/>
        <v/>
      </c>
      <c r="F1265" s="4" t="str">
        <f>IF(Jugadores!B1265="","",Jugadores!B1265)</f>
        <v/>
      </c>
      <c r="G1265" s="4" t="str">
        <f>IF(Jugadores!B1265="","",Jugadores!A1265)</f>
        <v/>
      </c>
      <c r="H1265" s="4" t="str">
        <f>IF(F1265="","",SUMIF('Estadísticas Jugadores'!$F$2:$F$7001,F1265,'Estadísticas Jugadores'!$I$2:$I$7001))</f>
        <v/>
      </c>
      <c r="I1265" s="4" t="str">
        <f t="shared" si="98"/>
        <v/>
      </c>
      <c r="J1265" s="4" t="str">
        <f t="shared" si="99"/>
        <v/>
      </c>
    </row>
    <row r="1266" spans="1:10" ht="15" customHeight="1" x14ac:dyDescent="0.25">
      <c r="A1266" s="8" t="str">
        <f>IF(COUNT($J$2:$J$1501)&gt;=1265,1265,"")</f>
        <v/>
      </c>
      <c r="B1266" s="8" t="str">
        <f t="shared" si="95"/>
        <v/>
      </c>
      <c r="C1266" s="8" t="str">
        <f t="shared" si="96"/>
        <v/>
      </c>
      <c r="D1266" s="8" t="str">
        <f t="shared" si="97"/>
        <v/>
      </c>
      <c r="F1266" s="4" t="str">
        <f>IF(Jugadores!B1266="","",Jugadores!B1266)</f>
        <v/>
      </c>
      <c r="G1266" s="4" t="str">
        <f>IF(Jugadores!B1266="","",Jugadores!A1266)</f>
        <v/>
      </c>
      <c r="H1266" s="4" t="str">
        <f>IF(F1266="","",SUMIF('Estadísticas Jugadores'!$F$2:$F$7001,F1266,'Estadísticas Jugadores'!$I$2:$I$7001))</f>
        <v/>
      </c>
      <c r="I1266" s="4" t="str">
        <f t="shared" si="98"/>
        <v/>
      </c>
      <c r="J1266" s="4" t="str">
        <f t="shared" si="99"/>
        <v/>
      </c>
    </row>
    <row r="1267" spans="1:10" ht="15" customHeight="1" x14ac:dyDescent="0.25">
      <c r="A1267" s="8" t="str">
        <f>IF(COUNT($J$2:$J$1501)&gt;=1266,1266,"")</f>
        <v/>
      </c>
      <c r="B1267" s="8" t="str">
        <f t="shared" si="95"/>
        <v/>
      </c>
      <c r="C1267" s="8" t="str">
        <f t="shared" si="96"/>
        <v/>
      </c>
      <c r="D1267" s="8" t="str">
        <f t="shared" si="97"/>
        <v/>
      </c>
      <c r="F1267" s="4" t="str">
        <f>IF(Jugadores!B1267="","",Jugadores!B1267)</f>
        <v/>
      </c>
      <c r="G1267" s="4" t="str">
        <f>IF(Jugadores!B1267="","",Jugadores!A1267)</f>
        <v/>
      </c>
      <c r="H1267" s="4" t="str">
        <f>IF(F1267="","",SUMIF('Estadísticas Jugadores'!$F$2:$F$7001,F1267,'Estadísticas Jugadores'!$I$2:$I$7001))</f>
        <v/>
      </c>
      <c r="I1267" s="4" t="str">
        <f t="shared" si="98"/>
        <v/>
      </c>
      <c r="J1267" s="4" t="str">
        <f t="shared" si="99"/>
        <v/>
      </c>
    </row>
    <row r="1268" spans="1:10" ht="15" customHeight="1" x14ac:dyDescent="0.25">
      <c r="A1268" s="8" t="str">
        <f>IF(COUNT($J$2:$J$1501)&gt;=1267,1267,"")</f>
        <v/>
      </c>
      <c r="B1268" s="8" t="str">
        <f t="shared" si="95"/>
        <v/>
      </c>
      <c r="C1268" s="8" t="str">
        <f t="shared" si="96"/>
        <v/>
      </c>
      <c r="D1268" s="8" t="str">
        <f t="shared" si="97"/>
        <v/>
      </c>
      <c r="F1268" s="4" t="str">
        <f>IF(Jugadores!B1268="","",Jugadores!B1268)</f>
        <v/>
      </c>
      <c r="G1268" s="4" t="str">
        <f>IF(Jugadores!B1268="","",Jugadores!A1268)</f>
        <v/>
      </c>
      <c r="H1268" s="4" t="str">
        <f>IF(F1268="","",SUMIF('Estadísticas Jugadores'!$F$2:$F$7001,F1268,'Estadísticas Jugadores'!$I$2:$I$7001))</f>
        <v/>
      </c>
      <c r="I1268" s="4" t="str">
        <f t="shared" si="98"/>
        <v/>
      </c>
      <c r="J1268" s="4" t="str">
        <f t="shared" si="99"/>
        <v/>
      </c>
    </row>
    <row r="1269" spans="1:10" ht="15" customHeight="1" x14ac:dyDescent="0.25">
      <c r="A1269" s="8" t="str">
        <f>IF(COUNT($J$2:$J$1501)&gt;=1268,1268,"")</f>
        <v/>
      </c>
      <c r="B1269" s="8" t="str">
        <f t="shared" si="95"/>
        <v/>
      </c>
      <c r="C1269" s="8" t="str">
        <f t="shared" si="96"/>
        <v/>
      </c>
      <c r="D1269" s="8" t="str">
        <f t="shared" si="97"/>
        <v/>
      </c>
      <c r="F1269" s="4" t="str">
        <f>IF(Jugadores!B1269="","",Jugadores!B1269)</f>
        <v/>
      </c>
      <c r="G1269" s="4" t="str">
        <f>IF(Jugadores!B1269="","",Jugadores!A1269)</f>
        <v/>
      </c>
      <c r="H1269" s="4" t="str">
        <f>IF(F1269="","",SUMIF('Estadísticas Jugadores'!$F$2:$F$7001,F1269,'Estadísticas Jugadores'!$I$2:$I$7001))</f>
        <v/>
      </c>
      <c r="I1269" s="4" t="str">
        <f t="shared" si="98"/>
        <v/>
      </c>
      <c r="J1269" s="4" t="str">
        <f t="shared" si="99"/>
        <v/>
      </c>
    </row>
    <row r="1270" spans="1:10" ht="15" customHeight="1" x14ac:dyDescent="0.25">
      <c r="A1270" s="8" t="str">
        <f>IF(COUNT($J$2:$J$1501)&gt;=1269,1269,"")</f>
        <v/>
      </c>
      <c r="B1270" s="8" t="str">
        <f t="shared" si="95"/>
        <v/>
      </c>
      <c r="C1270" s="8" t="str">
        <f t="shared" si="96"/>
        <v/>
      </c>
      <c r="D1270" s="8" t="str">
        <f t="shared" si="97"/>
        <v/>
      </c>
      <c r="F1270" s="4" t="str">
        <f>IF(Jugadores!B1270="","",Jugadores!B1270)</f>
        <v/>
      </c>
      <c r="G1270" s="4" t="str">
        <f>IF(Jugadores!B1270="","",Jugadores!A1270)</f>
        <v/>
      </c>
      <c r="H1270" s="4" t="str">
        <f>IF(F1270="","",SUMIF('Estadísticas Jugadores'!$F$2:$F$7001,F1270,'Estadísticas Jugadores'!$I$2:$I$7001))</f>
        <v/>
      </c>
      <c r="I1270" s="4" t="str">
        <f t="shared" si="98"/>
        <v/>
      </c>
      <c r="J1270" s="4" t="str">
        <f t="shared" si="99"/>
        <v/>
      </c>
    </row>
    <row r="1271" spans="1:10" ht="15" customHeight="1" x14ac:dyDescent="0.25">
      <c r="A1271" s="8" t="str">
        <f>IF(COUNT($J$2:$J$1501)&gt;=1270,1270,"")</f>
        <v/>
      </c>
      <c r="B1271" s="8" t="str">
        <f t="shared" si="95"/>
        <v/>
      </c>
      <c r="C1271" s="8" t="str">
        <f t="shared" si="96"/>
        <v/>
      </c>
      <c r="D1271" s="8" t="str">
        <f t="shared" si="97"/>
        <v/>
      </c>
      <c r="F1271" s="4" t="str">
        <f>IF(Jugadores!B1271="","",Jugadores!B1271)</f>
        <v/>
      </c>
      <c r="G1271" s="4" t="str">
        <f>IF(Jugadores!B1271="","",Jugadores!A1271)</f>
        <v/>
      </c>
      <c r="H1271" s="4" t="str">
        <f>IF(F1271="","",SUMIF('Estadísticas Jugadores'!$F$2:$F$7001,F1271,'Estadísticas Jugadores'!$I$2:$I$7001))</f>
        <v/>
      </c>
      <c r="I1271" s="4" t="str">
        <f t="shared" si="98"/>
        <v/>
      </c>
      <c r="J1271" s="4" t="str">
        <f t="shared" si="99"/>
        <v/>
      </c>
    </row>
    <row r="1272" spans="1:10" ht="15" customHeight="1" x14ac:dyDescent="0.25">
      <c r="A1272" s="8" t="str">
        <f>IF(COUNT($J$2:$J$1501)&gt;=1271,1271,"")</f>
        <v/>
      </c>
      <c r="B1272" s="8" t="str">
        <f t="shared" si="95"/>
        <v/>
      </c>
      <c r="C1272" s="8" t="str">
        <f t="shared" si="96"/>
        <v/>
      </c>
      <c r="D1272" s="8" t="str">
        <f t="shared" si="97"/>
        <v/>
      </c>
      <c r="F1272" s="4" t="str">
        <f>IF(Jugadores!B1272="","",Jugadores!B1272)</f>
        <v/>
      </c>
      <c r="G1272" s="4" t="str">
        <f>IF(Jugadores!B1272="","",Jugadores!A1272)</f>
        <v/>
      </c>
      <c r="H1272" s="4" t="str">
        <f>IF(F1272="","",SUMIF('Estadísticas Jugadores'!$F$2:$F$7001,F1272,'Estadísticas Jugadores'!$I$2:$I$7001))</f>
        <v/>
      </c>
      <c r="I1272" s="4" t="str">
        <f t="shared" si="98"/>
        <v/>
      </c>
      <c r="J1272" s="4" t="str">
        <f t="shared" si="99"/>
        <v/>
      </c>
    </row>
    <row r="1273" spans="1:10" ht="15" customHeight="1" x14ac:dyDescent="0.25">
      <c r="A1273" s="8" t="str">
        <f>IF(COUNT($J$2:$J$1501)&gt;=1272,1272,"")</f>
        <v/>
      </c>
      <c r="B1273" s="8" t="str">
        <f t="shared" si="95"/>
        <v/>
      </c>
      <c r="C1273" s="8" t="str">
        <f t="shared" si="96"/>
        <v/>
      </c>
      <c r="D1273" s="8" t="str">
        <f t="shared" si="97"/>
        <v/>
      </c>
      <c r="F1273" s="4" t="str">
        <f>IF(Jugadores!B1273="","",Jugadores!B1273)</f>
        <v/>
      </c>
      <c r="G1273" s="4" t="str">
        <f>IF(Jugadores!B1273="","",Jugadores!A1273)</f>
        <v/>
      </c>
      <c r="H1273" s="4" t="str">
        <f>IF(F1273="","",SUMIF('Estadísticas Jugadores'!$F$2:$F$7001,F1273,'Estadísticas Jugadores'!$I$2:$I$7001))</f>
        <v/>
      </c>
      <c r="I1273" s="4" t="str">
        <f t="shared" si="98"/>
        <v/>
      </c>
      <c r="J1273" s="4" t="str">
        <f t="shared" si="99"/>
        <v/>
      </c>
    </row>
    <row r="1274" spans="1:10" ht="15" customHeight="1" x14ac:dyDescent="0.25">
      <c r="A1274" s="8" t="str">
        <f>IF(COUNT($J$2:$J$1501)&gt;=1273,1273,"")</f>
        <v/>
      </c>
      <c r="B1274" s="8" t="str">
        <f t="shared" si="95"/>
        <v/>
      </c>
      <c r="C1274" s="8" t="str">
        <f t="shared" si="96"/>
        <v/>
      </c>
      <c r="D1274" s="8" t="str">
        <f t="shared" si="97"/>
        <v/>
      </c>
      <c r="F1274" s="4" t="str">
        <f>IF(Jugadores!B1274="","",Jugadores!B1274)</f>
        <v/>
      </c>
      <c r="G1274" s="4" t="str">
        <f>IF(Jugadores!B1274="","",Jugadores!A1274)</f>
        <v/>
      </c>
      <c r="H1274" s="4" t="str">
        <f>IF(F1274="","",SUMIF('Estadísticas Jugadores'!$F$2:$F$7001,F1274,'Estadísticas Jugadores'!$I$2:$I$7001))</f>
        <v/>
      </c>
      <c r="I1274" s="4" t="str">
        <f t="shared" si="98"/>
        <v/>
      </c>
      <c r="J1274" s="4" t="str">
        <f t="shared" si="99"/>
        <v/>
      </c>
    </row>
    <row r="1275" spans="1:10" ht="15" customHeight="1" x14ac:dyDescent="0.25">
      <c r="A1275" s="8" t="str">
        <f>IF(COUNT($J$2:$J$1501)&gt;=1274,1274,"")</f>
        <v/>
      </c>
      <c r="B1275" s="8" t="str">
        <f t="shared" si="95"/>
        <v/>
      </c>
      <c r="C1275" s="8" t="str">
        <f t="shared" si="96"/>
        <v/>
      </c>
      <c r="D1275" s="8" t="str">
        <f t="shared" si="97"/>
        <v/>
      </c>
      <c r="F1275" s="4" t="str">
        <f>IF(Jugadores!B1275="","",Jugadores!B1275)</f>
        <v/>
      </c>
      <c r="G1275" s="4" t="str">
        <f>IF(Jugadores!B1275="","",Jugadores!A1275)</f>
        <v/>
      </c>
      <c r="H1275" s="4" t="str">
        <f>IF(F1275="","",SUMIF('Estadísticas Jugadores'!$F$2:$F$7001,F1275,'Estadísticas Jugadores'!$I$2:$I$7001))</f>
        <v/>
      </c>
      <c r="I1275" s="4" t="str">
        <f t="shared" si="98"/>
        <v/>
      </c>
      <c r="J1275" s="4" t="str">
        <f t="shared" si="99"/>
        <v/>
      </c>
    </row>
    <row r="1276" spans="1:10" ht="15" customHeight="1" x14ac:dyDescent="0.25">
      <c r="A1276" s="8" t="str">
        <f>IF(COUNT($J$2:$J$1501)&gt;=1275,1275,"")</f>
        <v/>
      </c>
      <c r="B1276" s="8" t="str">
        <f t="shared" si="95"/>
        <v/>
      </c>
      <c r="C1276" s="8" t="str">
        <f t="shared" si="96"/>
        <v/>
      </c>
      <c r="D1276" s="8" t="str">
        <f t="shared" si="97"/>
        <v/>
      </c>
      <c r="F1276" s="4" t="str">
        <f>IF(Jugadores!B1276="","",Jugadores!B1276)</f>
        <v/>
      </c>
      <c r="G1276" s="4" t="str">
        <f>IF(Jugadores!B1276="","",Jugadores!A1276)</f>
        <v/>
      </c>
      <c r="H1276" s="4" t="str">
        <f>IF(F1276="","",SUMIF('Estadísticas Jugadores'!$F$2:$F$7001,F1276,'Estadísticas Jugadores'!$I$2:$I$7001))</f>
        <v/>
      </c>
      <c r="I1276" s="4" t="str">
        <f t="shared" si="98"/>
        <v/>
      </c>
      <c r="J1276" s="4" t="str">
        <f t="shared" si="99"/>
        <v/>
      </c>
    </row>
    <row r="1277" spans="1:10" ht="15" customHeight="1" x14ac:dyDescent="0.25">
      <c r="A1277" s="8" t="str">
        <f>IF(COUNT($J$2:$J$1501)&gt;=1276,1276,"")</f>
        <v/>
      </c>
      <c r="B1277" s="8" t="str">
        <f t="shared" si="95"/>
        <v/>
      </c>
      <c r="C1277" s="8" t="str">
        <f t="shared" si="96"/>
        <v/>
      </c>
      <c r="D1277" s="8" t="str">
        <f t="shared" si="97"/>
        <v/>
      </c>
      <c r="F1277" s="4" t="str">
        <f>IF(Jugadores!B1277="","",Jugadores!B1277)</f>
        <v/>
      </c>
      <c r="G1277" s="4" t="str">
        <f>IF(Jugadores!B1277="","",Jugadores!A1277)</f>
        <v/>
      </c>
      <c r="H1277" s="4" t="str">
        <f>IF(F1277="","",SUMIF('Estadísticas Jugadores'!$F$2:$F$7001,F1277,'Estadísticas Jugadores'!$I$2:$I$7001))</f>
        <v/>
      </c>
      <c r="I1277" s="4" t="str">
        <f t="shared" si="98"/>
        <v/>
      </c>
      <c r="J1277" s="4" t="str">
        <f t="shared" si="99"/>
        <v/>
      </c>
    </row>
    <row r="1278" spans="1:10" ht="15" customHeight="1" x14ac:dyDescent="0.25">
      <c r="A1278" s="8" t="str">
        <f>IF(COUNT($J$2:$J$1501)&gt;=1277,1277,"")</f>
        <v/>
      </c>
      <c r="B1278" s="8" t="str">
        <f t="shared" si="95"/>
        <v/>
      </c>
      <c r="C1278" s="8" t="str">
        <f t="shared" si="96"/>
        <v/>
      </c>
      <c r="D1278" s="8" t="str">
        <f t="shared" si="97"/>
        <v/>
      </c>
      <c r="F1278" s="4" t="str">
        <f>IF(Jugadores!B1278="","",Jugadores!B1278)</f>
        <v/>
      </c>
      <c r="G1278" s="4" t="str">
        <f>IF(Jugadores!B1278="","",Jugadores!A1278)</f>
        <v/>
      </c>
      <c r="H1278" s="4" t="str">
        <f>IF(F1278="","",SUMIF('Estadísticas Jugadores'!$F$2:$F$7001,F1278,'Estadísticas Jugadores'!$I$2:$I$7001))</f>
        <v/>
      </c>
      <c r="I1278" s="4" t="str">
        <f t="shared" si="98"/>
        <v/>
      </c>
      <c r="J1278" s="4" t="str">
        <f t="shared" si="99"/>
        <v/>
      </c>
    </row>
    <row r="1279" spans="1:10" ht="15" customHeight="1" x14ac:dyDescent="0.25">
      <c r="A1279" s="8" t="str">
        <f>IF(COUNT($J$2:$J$1501)&gt;=1278,1278,"")</f>
        <v/>
      </c>
      <c r="B1279" s="8" t="str">
        <f t="shared" si="95"/>
        <v/>
      </c>
      <c r="C1279" s="8" t="str">
        <f t="shared" si="96"/>
        <v/>
      </c>
      <c r="D1279" s="8" t="str">
        <f t="shared" si="97"/>
        <v/>
      </c>
      <c r="F1279" s="4" t="str">
        <f>IF(Jugadores!B1279="","",Jugadores!B1279)</f>
        <v/>
      </c>
      <c r="G1279" s="4" t="str">
        <f>IF(Jugadores!B1279="","",Jugadores!A1279)</f>
        <v/>
      </c>
      <c r="H1279" s="4" t="str">
        <f>IF(F1279="","",SUMIF('Estadísticas Jugadores'!$F$2:$F$7001,F1279,'Estadísticas Jugadores'!$I$2:$I$7001))</f>
        <v/>
      </c>
      <c r="I1279" s="4" t="str">
        <f t="shared" si="98"/>
        <v/>
      </c>
      <c r="J1279" s="4" t="str">
        <f t="shared" si="99"/>
        <v/>
      </c>
    </row>
    <row r="1280" spans="1:10" ht="15" customHeight="1" x14ac:dyDescent="0.25">
      <c r="A1280" s="8" t="str">
        <f>IF(COUNT($J$2:$J$1501)&gt;=1279,1279,"")</f>
        <v/>
      </c>
      <c r="B1280" s="8" t="str">
        <f t="shared" si="95"/>
        <v/>
      </c>
      <c r="C1280" s="8" t="str">
        <f t="shared" si="96"/>
        <v/>
      </c>
      <c r="D1280" s="8" t="str">
        <f t="shared" si="97"/>
        <v/>
      </c>
      <c r="F1280" s="4" t="str">
        <f>IF(Jugadores!B1280="","",Jugadores!B1280)</f>
        <v/>
      </c>
      <c r="G1280" s="4" t="str">
        <f>IF(Jugadores!B1280="","",Jugadores!A1280)</f>
        <v/>
      </c>
      <c r="H1280" s="4" t="str">
        <f>IF(F1280="","",SUMIF('Estadísticas Jugadores'!$F$2:$F$7001,F1280,'Estadísticas Jugadores'!$I$2:$I$7001))</f>
        <v/>
      </c>
      <c r="I1280" s="4" t="str">
        <f t="shared" si="98"/>
        <v/>
      </c>
      <c r="J1280" s="4" t="str">
        <f t="shared" si="99"/>
        <v/>
      </c>
    </row>
    <row r="1281" spans="1:10" ht="15" customHeight="1" x14ac:dyDescent="0.25">
      <c r="A1281" s="8" t="str">
        <f>IF(COUNT($J$2:$J$1501)&gt;=1280,1280,"")</f>
        <v/>
      </c>
      <c r="B1281" s="8" t="str">
        <f t="shared" si="95"/>
        <v/>
      </c>
      <c r="C1281" s="8" t="str">
        <f t="shared" si="96"/>
        <v/>
      </c>
      <c r="D1281" s="8" t="str">
        <f t="shared" si="97"/>
        <v/>
      </c>
      <c r="F1281" s="4" t="str">
        <f>IF(Jugadores!B1281="","",Jugadores!B1281)</f>
        <v/>
      </c>
      <c r="G1281" s="4" t="str">
        <f>IF(Jugadores!B1281="","",Jugadores!A1281)</f>
        <v/>
      </c>
      <c r="H1281" s="4" t="str">
        <f>IF(F1281="","",SUMIF('Estadísticas Jugadores'!$F$2:$F$7001,F1281,'Estadísticas Jugadores'!$I$2:$I$7001))</f>
        <v/>
      </c>
      <c r="I1281" s="4" t="str">
        <f t="shared" si="98"/>
        <v/>
      </c>
      <c r="J1281" s="4" t="str">
        <f t="shared" si="99"/>
        <v/>
      </c>
    </row>
    <row r="1282" spans="1:10" ht="15" customHeight="1" x14ac:dyDescent="0.25">
      <c r="A1282" s="8" t="str">
        <f>IF(COUNT($J$2:$J$1501)&gt;=1281,1281,"")</f>
        <v/>
      </c>
      <c r="B1282" s="8" t="str">
        <f t="shared" ref="B1282:B1345" si="100">IF($A1282="","",INDEX($F$2:$F$1501,MATCH($A1282,$J$2:$J$1501,0)))</f>
        <v/>
      </c>
      <c r="C1282" s="8" t="str">
        <f t="shared" ref="C1282:C1345" si="101">IF($A1282="","",INDEX($G$2:$G$1501,MATCH($A1282,$J$2:$J$1501,0)))</f>
        <v/>
      </c>
      <c r="D1282" s="8" t="str">
        <f t="shared" ref="D1282:D1345" si="102">IF($A1282="","",INDEX($H$2:$H$1501,MATCH($A1282,$J$2:$J$1501,0)))</f>
        <v/>
      </c>
      <c r="F1282" s="4" t="str">
        <f>IF(Jugadores!B1282="","",Jugadores!B1282)</f>
        <v/>
      </c>
      <c r="G1282" s="4" t="str">
        <f>IF(Jugadores!B1282="","",Jugadores!A1282)</f>
        <v/>
      </c>
      <c r="H1282" s="4" t="str">
        <f>IF(F1282="","",SUMIF('Estadísticas Jugadores'!$F$2:$F$7001,F1282,'Estadísticas Jugadores'!$I$2:$I$7001))</f>
        <v/>
      </c>
      <c r="I1282" s="4" t="str">
        <f t="shared" ref="I1282:I1345" si="103">IF(F1282="","",H1282*1000-ROW()*0.0000001)</f>
        <v/>
      </c>
      <c r="J1282" s="4" t="str">
        <f t="shared" ref="J1282:J1345" si="104">IF(F1282="","",RANK(I1282,$I$2:$I$1501))</f>
        <v/>
      </c>
    </row>
    <row r="1283" spans="1:10" ht="15" customHeight="1" x14ac:dyDescent="0.25">
      <c r="A1283" s="8" t="str">
        <f>IF(COUNT($J$2:$J$1501)&gt;=1282,1282,"")</f>
        <v/>
      </c>
      <c r="B1283" s="8" t="str">
        <f t="shared" si="100"/>
        <v/>
      </c>
      <c r="C1283" s="8" t="str">
        <f t="shared" si="101"/>
        <v/>
      </c>
      <c r="D1283" s="8" t="str">
        <f t="shared" si="102"/>
        <v/>
      </c>
      <c r="F1283" s="4" t="str">
        <f>IF(Jugadores!B1283="","",Jugadores!B1283)</f>
        <v/>
      </c>
      <c r="G1283" s="4" t="str">
        <f>IF(Jugadores!B1283="","",Jugadores!A1283)</f>
        <v/>
      </c>
      <c r="H1283" s="4" t="str">
        <f>IF(F1283="","",SUMIF('Estadísticas Jugadores'!$F$2:$F$7001,F1283,'Estadísticas Jugadores'!$I$2:$I$7001))</f>
        <v/>
      </c>
      <c r="I1283" s="4" t="str">
        <f t="shared" si="103"/>
        <v/>
      </c>
      <c r="J1283" s="4" t="str">
        <f t="shared" si="104"/>
        <v/>
      </c>
    </row>
    <row r="1284" spans="1:10" ht="15" customHeight="1" x14ac:dyDescent="0.25">
      <c r="A1284" s="8" t="str">
        <f>IF(COUNT($J$2:$J$1501)&gt;=1283,1283,"")</f>
        <v/>
      </c>
      <c r="B1284" s="8" t="str">
        <f t="shared" si="100"/>
        <v/>
      </c>
      <c r="C1284" s="8" t="str">
        <f t="shared" si="101"/>
        <v/>
      </c>
      <c r="D1284" s="8" t="str">
        <f t="shared" si="102"/>
        <v/>
      </c>
      <c r="F1284" s="4" t="str">
        <f>IF(Jugadores!B1284="","",Jugadores!B1284)</f>
        <v/>
      </c>
      <c r="G1284" s="4" t="str">
        <f>IF(Jugadores!B1284="","",Jugadores!A1284)</f>
        <v/>
      </c>
      <c r="H1284" s="4" t="str">
        <f>IF(F1284="","",SUMIF('Estadísticas Jugadores'!$F$2:$F$7001,F1284,'Estadísticas Jugadores'!$I$2:$I$7001))</f>
        <v/>
      </c>
      <c r="I1284" s="4" t="str">
        <f t="shared" si="103"/>
        <v/>
      </c>
      <c r="J1284" s="4" t="str">
        <f t="shared" si="104"/>
        <v/>
      </c>
    </row>
    <row r="1285" spans="1:10" ht="15" customHeight="1" x14ac:dyDescent="0.25">
      <c r="A1285" s="8" t="str">
        <f>IF(COUNT($J$2:$J$1501)&gt;=1284,1284,"")</f>
        <v/>
      </c>
      <c r="B1285" s="8" t="str">
        <f t="shared" si="100"/>
        <v/>
      </c>
      <c r="C1285" s="8" t="str">
        <f t="shared" si="101"/>
        <v/>
      </c>
      <c r="D1285" s="8" t="str">
        <f t="shared" si="102"/>
        <v/>
      </c>
      <c r="F1285" s="4" t="str">
        <f>IF(Jugadores!B1285="","",Jugadores!B1285)</f>
        <v/>
      </c>
      <c r="G1285" s="4" t="str">
        <f>IF(Jugadores!B1285="","",Jugadores!A1285)</f>
        <v/>
      </c>
      <c r="H1285" s="4" t="str">
        <f>IF(F1285="","",SUMIF('Estadísticas Jugadores'!$F$2:$F$7001,F1285,'Estadísticas Jugadores'!$I$2:$I$7001))</f>
        <v/>
      </c>
      <c r="I1285" s="4" t="str">
        <f t="shared" si="103"/>
        <v/>
      </c>
      <c r="J1285" s="4" t="str">
        <f t="shared" si="104"/>
        <v/>
      </c>
    </row>
    <row r="1286" spans="1:10" ht="15" customHeight="1" x14ac:dyDescent="0.25">
      <c r="A1286" s="8" t="str">
        <f>IF(COUNT($J$2:$J$1501)&gt;=1285,1285,"")</f>
        <v/>
      </c>
      <c r="B1286" s="8" t="str">
        <f t="shared" si="100"/>
        <v/>
      </c>
      <c r="C1286" s="8" t="str">
        <f t="shared" si="101"/>
        <v/>
      </c>
      <c r="D1286" s="8" t="str">
        <f t="shared" si="102"/>
        <v/>
      </c>
      <c r="F1286" s="4" t="str">
        <f>IF(Jugadores!B1286="","",Jugadores!B1286)</f>
        <v/>
      </c>
      <c r="G1286" s="4" t="str">
        <f>IF(Jugadores!B1286="","",Jugadores!A1286)</f>
        <v/>
      </c>
      <c r="H1286" s="4" t="str">
        <f>IF(F1286="","",SUMIF('Estadísticas Jugadores'!$F$2:$F$7001,F1286,'Estadísticas Jugadores'!$I$2:$I$7001))</f>
        <v/>
      </c>
      <c r="I1286" s="4" t="str">
        <f t="shared" si="103"/>
        <v/>
      </c>
      <c r="J1286" s="4" t="str">
        <f t="shared" si="104"/>
        <v/>
      </c>
    </row>
    <row r="1287" spans="1:10" ht="15" customHeight="1" x14ac:dyDescent="0.25">
      <c r="A1287" s="8" t="str">
        <f>IF(COUNT($J$2:$J$1501)&gt;=1286,1286,"")</f>
        <v/>
      </c>
      <c r="B1287" s="8" t="str">
        <f t="shared" si="100"/>
        <v/>
      </c>
      <c r="C1287" s="8" t="str">
        <f t="shared" si="101"/>
        <v/>
      </c>
      <c r="D1287" s="8" t="str">
        <f t="shared" si="102"/>
        <v/>
      </c>
      <c r="F1287" s="4" t="str">
        <f>IF(Jugadores!B1287="","",Jugadores!B1287)</f>
        <v/>
      </c>
      <c r="G1287" s="4" t="str">
        <f>IF(Jugadores!B1287="","",Jugadores!A1287)</f>
        <v/>
      </c>
      <c r="H1287" s="4" t="str">
        <f>IF(F1287="","",SUMIF('Estadísticas Jugadores'!$F$2:$F$7001,F1287,'Estadísticas Jugadores'!$I$2:$I$7001))</f>
        <v/>
      </c>
      <c r="I1287" s="4" t="str">
        <f t="shared" si="103"/>
        <v/>
      </c>
      <c r="J1287" s="4" t="str">
        <f t="shared" si="104"/>
        <v/>
      </c>
    </row>
    <row r="1288" spans="1:10" ht="15" customHeight="1" x14ac:dyDescent="0.25">
      <c r="A1288" s="8" t="str">
        <f>IF(COUNT($J$2:$J$1501)&gt;=1287,1287,"")</f>
        <v/>
      </c>
      <c r="B1288" s="8" t="str">
        <f t="shared" si="100"/>
        <v/>
      </c>
      <c r="C1288" s="8" t="str">
        <f t="shared" si="101"/>
        <v/>
      </c>
      <c r="D1288" s="8" t="str">
        <f t="shared" si="102"/>
        <v/>
      </c>
      <c r="F1288" s="4" t="str">
        <f>IF(Jugadores!B1288="","",Jugadores!B1288)</f>
        <v/>
      </c>
      <c r="G1288" s="4" t="str">
        <f>IF(Jugadores!B1288="","",Jugadores!A1288)</f>
        <v/>
      </c>
      <c r="H1288" s="4" t="str">
        <f>IF(F1288="","",SUMIF('Estadísticas Jugadores'!$F$2:$F$7001,F1288,'Estadísticas Jugadores'!$I$2:$I$7001))</f>
        <v/>
      </c>
      <c r="I1288" s="4" t="str">
        <f t="shared" si="103"/>
        <v/>
      </c>
      <c r="J1288" s="4" t="str">
        <f t="shared" si="104"/>
        <v/>
      </c>
    </row>
    <row r="1289" spans="1:10" ht="15" customHeight="1" x14ac:dyDescent="0.25">
      <c r="A1289" s="8" t="str">
        <f>IF(COUNT($J$2:$J$1501)&gt;=1288,1288,"")</f>
        <v/>
      </c>
      <c r="B1289" s="8" t="str">
        <f t="shared" si="100"/>
        <v/>
      </c>
      <c r="C1289" s="8" t="str">
        <f t="shared" si="101"/>
        <v/>
      </c>
      <c r="D1289" s="8" t="str">
        <f t="shared" si="102"/>
        <v/>
      </c>
      <c r="F1289" s="4" t="str">
        <f>IF(Jugadores!B1289="","",Jugadores!B1289)</f>
        <v/>
      </c>
      <c r="G1289" s="4" t="str">
        <f>IF(Jugadores!B1289="","",Jugadores!A1289)</f>
        <v/>
      </c>
      <c r="H1289" s="4" t="str">
        <f>IF(F1289="","",SUMIF('Estadísticas Jugadores'!$F$2:$F$7001,F1289,'Estadísticas Jugadores'!$I$2:$I$7001))</f>
        <v/>
      </c>
      <c r="I1289" s="4" t="str">
        <f t="shared" si="103"/>
        <v/>
      </c>
      <c r="J1289" s="4" t="str">
        <f t="shared" si="104"/>
        <v/>
      </c>
    </row>
    <row r="1290" spans="1:10" ht="15" customHeight="1" x14ac:dyDescent="0.25">
      <c r="A1290" s="8" t="str">
        <f>IF(COUNT($J$2:$J$1501)&gt;=1289,1289,"")</f>
        <v/>
      </c>
      <c r="B1290" s="8" t="str">
        <f t="shared" si="100"/>
        <v/>
      </c>
      <c r="C1290" s="8" t="str">
        <f t="shared" si="101"/>
        <v/>
      </c>
      <c r="D1290" s="8" t="str">
        <f t="shared" si="102"/>
        <v/>
      </c>
      <c r="F1290" s="4" t="str">
        <f>IF(Jugadores!B1290="","",Jugadores!B1290)</f>
        <v/>
      </c>
      <c r="G1290" s="4" t="str">
        <f>IF(Jugadores!B1290="","",Jugadores!A1290)</f>
        <v/>
      </c>
      <c r="H1290" s="4" t="str">
        <f>IF(F1290="","",SUMIF('Estadísticas Jugadores'!$F$2:$F$7001,F1290,'Estadísticas Jugadores'!$I$2:$I$7001))</f>
        <v/>
      </c>
      <c r="I1290" s="4" t="str">
        <f t="shared" si="103"/>
        <v/>
      </c>
      <c r="J1290" s="4" t="str">
        <f t="shared" si="104"/>
        <v/>
      </c>
    </row>
    <row r="1291" spans="1:10" ht="15" customHeight="1" x14ac:dyDescent="0.25">
      <c r="A1291" s="8" t="str">
        <f>IF(COUNT($J$2:$J$1501)&gt;=1290,1290,"")</f>
        <v/>
      </c>
      <c r="B1291" s="8" t="str">
        <f t="shared" si="100"/>
        <v/>
      </c>
      <c r="C1291" s="8" t="str">
        <f t="shared" si="101"/>
        <v/>
      </c>
      <c r="D1291" s="8" t="str">
        <f t="shared" si="102"/>
        <v/>
      </c>
      <c r="F1291" s="4" t="str">
        <f>IF(Jugadores!B1291="","",Jugadores!B1291)</f>
        <v/>
      </c>
      <c r="G1291" s="4" t="str">
        <f>IF(Jugadores!B1291="","",Jugadores!A1291)</f>
        <v/>
      </c>
      <c r="H1291" s="4" t="str">
        <f>IF(F1291="","",SUMIF('Estadísticas Jugadores'!$F$2:$F$7001,F1291,'Estadísticas Jugadores'!$I$2:$I$7001))</f>
        <v/>
      </c>
      <c r="I1291" s="4" t="str">
        <f t="shared" si="103"/>
        <v/>
      </c>
      <c r="J1291" s="4" t="str">
        <f t="shared" si="104"/>
        <v/>
      </c>
    </row>
    <row r="1292" spans="1:10" ht="15" customHeight="1" x14ac:dyDescent="0.25">
      <c r="A1292" s="8" t="str">
        <f>IF(COUNT($J$2:$J$1501)&gt;=1291,1291,"")</f>
        <v/>
      </c>
      <c r="B1292" s="8" t="str">
        <f t="shared" si="100"/>
        <v/>
      </c>
      <c r="C1292" s="8" t="str">
        <f t="shared" si="101"/>
        <v/>
      </c>
      <c r="D1292" s="8" t="str">
        <f t="shared" si="102"/>
        <v/>
      </c>
      <c r="F1292" s="4" t="str">
        <f>IF(Jugadores!B1292="","",Jugadores!B1292)</f>
        <v/>
      </c>
      <c r="G1292" s="4" t="str">
        <f>IF(Jugadores!B1292="","",Jugadores!A1292)</f>
        <v/>
      </c>
      <c r="H1292" s="4" t="str">
        <f>IF(F1292="","",SUMIF('Estadísticas Jugadores'!$F$2:$F$7001,F1292,'Estadísticas Jugadores'!$I$2:$I$7001))</f>
        <v/>
      </c>
      <c r="I1292" s="4" t="str">
        <f t="shared" si="103"/>
        <v/>
      </c>
      <c r="J1292" s="4" t="str">
        <f t="shared" si="104"/>
        <v/>
      </c>
    </row>
    <row r="1293" spans="1:10" ht="15" customHeight="1" x14ac:dyDescent="0.25">
      <c r="A1293" s="8" t="str">
        <f>IF(COUNT($J$2:$J$1501)&gt;=1292,1292,"")</f>
        <v/>
      </c>
      <c r="B1293" s="8" t="str">
        <f t="shared" si="100"/>
        <v/>
      </c>
      <c r="C1293" s="8" t="str">
        <f t="shared" si="101"/>
        <v/>
      </c>
      <c r="D1293" s="8" t="str">
        <f t="shared" si="102"/>
        <v/>
      </c>
      <c r="F1293" s="4" t="str">
        <f>IF(Jugadores!B1293="","",Jugadores!B1293)</f>
        <v/>
      </c>
      <c r="G1293" s="4" t="str">
        <f>IF(Jugadores!B1293="","",Jugadores!A1293)</f>
        <v/>
      </c>
      <c r="H1293" s="4" t="str">
        <f>IF(F1293="","",SUMIF('Estadísticas Jugadores'!$F$2:$F$7001,F1293,'Estadísticas Jugadores'!$I$2:$I$7001))</f>
        <v/>
      </c>
      <c r="I1293" s="4" t="str">
        <f t="shared" si="103"/>
        <v/>
      </c>
      <c r="J1293" s="4" t="str">
        <f t="shared" si="104"/>
        <v/>
      </c>
    </row>
    <row r="1294" spans="1:10" ht="15" customHeight="1" x14ac:dyDescent="0.25">
      <c r="A1294" s="8" t="str">
        <f>IF(COUNT($J$2:$J$1501)&gt;=1293,1293,"")</f>
        <v/>
      </c>
      <c r="B1294" s="8" t="str">
        <f t="shared" si="100"/>
        <v/>
      </c>
      <c r="C1294" s="8" t="str">
        <f t="shared" si="101"/>
        <v/>
      </c>
      <c r="D1294" s="8" t="str">
        <f t="shared" si="102"/>
        <v/>
      </c>
      <c r="F1294" s="4" t="str">
        <f>IF(Jugadores!B1294="","",Jugadores!B1294)</f>
        <v/>
      </c>
      <c r="G1294" s="4" t="str">
        <f>IF(Jugadores!B1294="","",Jugadores!A1294)</f>
        <v/>
      </c>
      <c r="H1294" s="4" t="str">
        <f>IF(F1294="","",SUMIF('Estadísticas Jugadores'!$F$2:$F$7001,F1294,'Estadísticas Jugadores'!$I$2:$I$7001))</f>
        <v/>
      </c>
      <c r="I1294" s="4" t="str">
        <f t="shared" si="103"/>
        <v/>
      </c>
      <c r="J1294" s="4" t="str">
        <f t="shared" si="104"/>
        <v/>
      </c>
    </row>
    <row r="1295" spans="1:10" ht="15" customHeight="1" x14ac:dyDescent="0.25">
      <c r="A1295" s="8" t="str">
        <f>IF(COUNT($J$2:$J$1501)&gt;=1294,1294,"")</f>
        <v/>
      </c>
      <c r="B1295" s="8" t="str">
        <f t="shared" si="100"/>
        <v/>
      </c>
      <c r="C1295" s="8" t="str">
        <f t="shared" si="101"/>
        <v/>
      </c>
      <c r="D1295" s="8" t="str">
        <f t="shared" si="102"/>
        <v/>
      </c>
      <c r="F1295" s="4" t="str">
        <f>IF(Jugadores!B1295="","",Jugadores!B1295)</f>
        <v/>
      </c>
      <c r="G1295" s="4" t="str">
        <f>IF(Jugadores!B1295="","",Jugadores!A1295)</f>
        <v/>
      </c>
      <c r="H1295" s="4" t="str">
        <f>IF(F1295="","",SUMIF('Estadísticas Jugadores'!$F$2:$F$7001,F1295,'Estadísticas Jugadores'!$I$2:$I$7001))</f>
        <v/>
      </c>
      <c r="I1295" s="4" t="str">
        <f t="shared" si="103"/>
        <v/>
      </c>
      <c r="J1295" s="4" t="str">
        <f t="shared" si="104"/>
        <v/>
      </c>
    </row>
    <row r="1296" spans="1:10" ht="15" customHeight="1" x14ac:dyDescent="0.25">
      <c r="A1296" s="8" t="str">
        <f>IF(COUNT($J$2:$J$1501)&gt;=1295,1295,"")</f>
        <v/>
      </c>
      <c r="B1296" s="8" t="str">
        <f t="shared" si="100"/>
        <v/>
      </c>
      <c r="C1296" s="8" t="str">
        <f t="shared" si="101"/>
        <v/>
      </c>
      <c r="D1296" s="8" t="str">
        <f t="shared" si="102"/>
        <v/>
      </c>
      <c r="F1296" s="4" t="str">
        <f>IF(Jugadores!B1296="","",Jugadores!B1296)</f>
        <v/>
      </c>
      <c r="G1296" s="4" t="str">
        <f>IF(Jugadores!B1296="","",Jugadores!A1296)</f>
        <v/>
      </c>
      <c r="H1296" s="4" t="str">
        <f>IF(F1296="","",SUMIF('Estadísticas Jugadores'!$F$2:$F$7001,F1296,'Estadísticas Jugadores'!$I$2:$I$7001))</f>
        <v/>
      </c>
      <c r="I1296" s="4" t="str">
        <f t="shared" si="103"/>
        <v/>
      </c>
      <c r="J1296" s="4" t="str">
        <f t="shared" si="104"/>
        <v/>
      </c>
    </row>
    <row r="1297" spans="1:10" ht="15" customHeight="1" x14ac:dyDescent="0.25">
      <c r="A1297" s="8" t="str">
        <f>IF(COUNT($J$2:$J$1501)&gt;=1296,1296,"")</f>
        <v/>
      </c>
      <c r="B1297" s="8" t="str">
        <f t="shared" si="100"/>
        <v/>
      </c>
      <c r="C1297" s="8" t="str">
        <f t="shared" si="101"/>
        <v/>
      </c>
      <c r="D1297" s="8" t="str">
        <f t="shared" si="102"/>
        <v/>
      </c>
      <c r="F1297" s="4" t="str">
        <f>IF(Jugadores!B1297="","",Jugadores!B1297)</f>
        <v/>
      </c>
      <c r="G1297" s="4" t="str">
        <f>IF(Jugadores!B1297="","",Jugadores!A1297)</f>
        <v/>
      </c>
      <c r="H1297" s="4" t="str">
        <f>IF(F1297="","",SUMIF('Estadísticas Jugadores'!$F$2:$F$7001,F1297,'Estadísticas Jugadores'!$I$2:$I$7001))</f>
        <v/>
      </c>
      <c r="I1297" s="4" t="str">
        <f t="shared" si="103"/>
        <v/>
      </c>
      <c r="J1297" s="4" t="str">
        <f t="shared" si="104"/>
        <v/>
      </c>
    </row>
    <row r="1298" spans="1:10" ht="15" customHeight="1" x14ac:dyDescent="0.25">
      <c r="A1298" s="8" t="str">
        <f>IF(COUNT($J$2:$J$1501)&gt;=1297,1297,"")</f>
        <v/>
      </c>
      <c r="B1298" s="8" t="str">
        <f t="shared" si="100"/>
        <v/>
      </c>
      <c r="C1298" s="8" t="str">
        <f t="shared" si="101"/>
        <v/>
      </c>
      <c r="D1298" s="8" t="str">
        <f t="shared" si="102"/>
        <v/>
      </c>
      <c r="F1298" s="4" t="str">
        <f>IF(Jugadores!B1298="","",Jugadores!B1298)</f>
        <v/>
      </c>
      <c r="G1298" s="4" t="str">
        <f>IF(Jugadores!B1298="","",Jugadores!A1298)</f>
        <v/>
      </c>
      <c r="H1298" s="4" t="str">
        <f>IF(F1298="","",SUMIF('Estadísticas Jugadores'!$F$2:$F$7001,F1298,'Estadísticas Jugadores'!$I$2:$I$7001))</f>
        <v/>
      </c>
      <c r="I1298" s="4" t="str">
        <f t="shared" si="103"/>
        <v/>
      </c>
      <c r="J1298" s="4" t="str">
        <f t="shared" si="104"/>
        <v/>
      </c>
    </row>
    <row r="1299" spans="1:10" ht="15" customHeight="1" x14ac:dyDescent="0.25">
      <c r="A1299" s="8" t="str">
        <f>IF(COUNT($J$2:$J$1501)&gt;=1298,1298,"")</f>
        <v/>
      </c>
      <c r="B1299" s="8" t="str">
        <f t="shared" si="100"/>
        <v/>
      </c>
      <c r="C1299" s="8" t="str">
        <f t="shared" si="101"/>
        <v/>
      </c>
      <c r="D1299" s="8" t="str">
        <f t="shared" si="102"/>
        <v/>
      </c>
      <c r="F1299" s="4" t="str">
        <f>IF(Jugadores!B1299="","",Jugadores!B1299)</f>
        <v/>
      </c>
      <c r="G1299" s="4" t="str">
        <f>IF(Jugadores!B1299="","",Jugadores!A1299)</f>
        <v/>
      </c>
      <c r="H1299" s="4" t="str">
        <f>IF(F1299="","",SUMIF('Estadísticas Jugadores'!$F$2:$F$7001,F1299,'Estadísticas Jugadores'!$I$2:$I$7001))</f>
        <v/>
      </c>
      <c r="I1299" s="4" t="str">
        <f t="shared" si="103"/>
        <v/>
      </c>
      <c r="J1299" s="4" t="str">
        <f t="shared" si="104"/>
        <v/>
      </c>
    </row>
    <row r="1300" spans="1:10" ht="15" customHeight="1" x14ac:dyDescent="0.25">
      <c r="A1300" s="8" t="str">
        <f>IF(COUNT($J$2:$J$1501)&gt;=1299,1299,"")</f>
        <v/>
      </c>
      <c r="B1300" s="8" t="str">
        <f t="shared" si="100"/>
        <v/>
      </c>
      <c r="C1300" s="8" t="str">
        <f t="shared" si="101"/>
        <v/>
      </c>
      <c r="D1300" s="8" t="str">
        <f t="shared" si="102"/>
        <v/>
      </c>
      <c r="F1300" s="4" t="str">
        <f>IF(Jugadores!B1300="","",Jugadores!B1300)</f>
        <v/>
      </c>
      <c r="G1300" s="4" t="str">
        <f>IF(Jugadores!B1300="","",Jugadores!A1300)</f>
        <v/>
      </c>
      <c r="H1300" s="4" t="str">
        <f>IF(F1300="","",SUMIF('Estadísticas Jugadores'!$F$2:$F$7001,F1300,'Estadísticas Jugadores'!$I$2:$I$7001))</f>
        <v/>
      </c>
      <c r="I1300" s="4" t="str">
        <f t="shared" si="103"/>
        <v/>
      </c>
      <c r="J1300" s="4" t="str">
        <f t="shared" si="104"/>
        <v/>
      </c>
    </row>
    <row r="1301" spans="1:10" ht="15" customHeight="1" x14ac:dyDescent="0.25">
      <c r="A1301" s="8" t="str">
        <f>IF(COUNT($J$2:$J$1501)&gt;=1300,1300,"")</f>
        <v/>
      </c>
      <c r="B1301" s="8" t="str">
        <f t="shared" si="100"/>
        <v/>
      </c>
      <c r="C1301" s="8" t="str">
        <f t="shared" si="101"/>
        <v/>
      </c>
      <c r="D1301" s="8" t="str">
        <f t="shared" si="102"/>
        <v/>
      </c>
      <c r="F1301" s="4" t="str">
        <f>IF(Jugadores!B1301="","",Jugadores!B1301)</f>
        <v/>
      </c>
      <c r="G1301" s="4" t="str">
        <f>IF(Jugadores!B1301="","",Jugadores!A1301)</f>
        <v/>
      </c>
      <c r="H1301" s="4" t="str">
        <f>IF(F1301="","",SUMIF('Estadísticas Jugadores'!$F$2:$F$7001,F1301,'Estadísticas Jugadores'!$I$2:$I$7001))</f>
        <v/>
      </c>
      <c r="I1301" s="4" t="str">
        <f t="shared" si="103"/>
        <v/>
      </c>
      <c r="J1301" s="4" t="str">
        <f t="shared" si="104"/>
        <v/>
      </c>
    </row>
    <row r="1302" spans="1:10" ht="15" customHeight="1" x14ac:dyDescent="0.25">
      <c r="A1302" s="8" t="str">
        <f>IF(COUNT($J$2:$J$1501)&gt;=1301,1301,"")</f>
        <v/>
      </c>
      <c r="B1302" s="8" t="str">
        <f t="shared" si="100"/>
        <v/>
      </c>
      <c r="C1302" s="8" t="str">
        <f t="shared" si="101"/>
        <v/>
      </c>
      <c r="D1302" s="8" t="str">
        <f t="shared" si="102"/>
        <v/>
      </c>
      <c r="F1302" s="4" t="str">
        <f>IF(Jugadores!B1302="","",Jugadores!B1302)</f>
        <v/>
      </c>
      <c r="G1302" s="4" t="str">
        <f>IF(Jugadores!B1302="","",Jugadores!A1302)</f>
        <v/>
      </c>
      <c r="H1302" s="4" t="str">
        <f>IF(F1302="","",SUMIF('Estadísticas Jugadores'!$F$2:$F$7001,F1302,'Estadísticas Jugadores'!$I$2:$I$7001))</f>
        <v/>
      </c>
      <c r="I1302" s="4" t="str">
        <f t="shared" si="103"/>
        <v/>
      </c>
      <c r="J1302" s="4" t="str">
        <f t="shared" si="104"/>
        <v/>
      </c>
    </row>
    <row r="1303" spans="1:10" ht="15" customHeight="1" x14ac:dyDescent="0.25">
      <c r="A1303" s="8" t="str">
        <f>IF(COUNT($J$2:$J$1501)&gt;=1302,1302,"")</f>
        <v/>
      </c>
      <c r="B1303" s="8" t="str">
        <f t="shared" si="100"/>
        <v/>
      </c>
      <c r="C1303" s="8" t="str">
        <f t="shared" si="101"/>
        <v/>
      </c>
      <c r="D1303" s="8" t="str">
        <f t="shared" si="102"/>
        <v/>
      </c>
      <c r="F1303" s="4" t="str">
        <f>IF(Jugadores!B1303="","",Jugadores!B1303)</f>
        <v/>
      </c>
      <c r="G1303" s="4" t="str">
        <f>IF(Jugadores!B1303="","",Jugadores!A1303)</f>
        <v/>
      </c>
      <c r="H1303" s="4" t="str">
        <f>IF(F1303="","",SUMIF('Estadísticas Jugadores'!$F$2:$F$7001,F1303,'Estadísticas Jugadores'!$I$2:$I$7001))</f>
        <v/>
      </c>
      <c r="I1303" s="4" t="str">
        <f t="shared" si="103"/>
        <v/>
      </c>
      <c r="J1303" s="4" t="str">
        <f t="shared" si="104"/>
        <v/>
      </c>
    </row>
    <row r="1304" spans="1:10" ht="15" customHeight="1" x14ac:dyDescent="0.25">
      <c r="A1304" s="8" t="str">
        <f>IF(COUNT($J$2:$J$1501)&gt;=1303,1303,"")</f>
        <v/>
      </c>
      <c r="B1304" s="8" t="str">
        <f t="shared" si="100"/>
        <v/>
      </c>
      <c r="C1304" s="8" t="str">
        <f t="shared" si="101"/>
        <v/>
      </c>
      <c r="D1304" s="8" t="str">
        <f t="shared" si="102"/>
        <v/>
      </c>
      <c r="F1304" s="4" t="str">
        <f>IF(Jugadores!B1304="","",Jugadores!B1304)</f>
        <v/>
      </c>
      <c r="G1304" s="4" t="str">
        <f>IF(Jugadores!B1304="","",Jugadores!A1304)</f>
        <v/>
      </c>
      <c r="H1304" s="4" t="str">
        <f>IF(F1304="","",SUMIF('Estadísticas Jugadores'!$F$2:$F$7001,F1304,'Estadísticas Jugadores'!$I$2:$I$7001))</f>
        <v/>
      </c>
      <c r="I1304" s="4" t="str">
        <f t="shared" si="103"/>
        <v/>
      </c>
      <c r="J1304" s="4" t="str">
        <f t="shared" si="104"/>
        <v/>
      </c>
    </row>
    <row r="1305" spans="1:10" ht="15" customHeight="1" x14ac:dyDescent="0.25">
      <c r="A1305" s="8" t="str">
        <f>IF(COUNT($J$2:$J$1501)&gt;=1304,1304,"")</f>
        <v/>
      </c>
      <c r="B1305" s="8" t="str">
        <f t="shared" si="100"/>
        <v/>
      </c>
      <c r="C1305" s="8" t="str">
        <f t="shared" si="101"/>
        <v/>
      </c>
      <c r="D1305" s="8" t="str">
        <f t="shared" si="102"/>
        <v/>
      </c>
      <c r="F1305" s="4" t="str">
        <f>IF(Jugadores!B1305="","",Jugadores!B1305)</f>
        <v/>
      </c>
      <c r="G1305" s="4" t="str">
        <f>IF(Jugadores!B1305="","",Jugadores!A1305)</f>
        <v/>
      </c>
      <c r="H1305" s="4" t="str">
        <f>IF(F1305="","",SUMIF('Estadísticas Jugadores'!$F$2:$F$7001,F1305,'Estadísticas Jugadores'!$I$2:$I$7001))</f>
        <v/>
      </c>
      <c r="I1305" s="4" t="str">
        <f t="shared" si="103"/>
        <v/>
      </c>
      <c r="J1305" s="4" t="str">
        <f t="shared" si="104"/>
        <v/>
      </c>
    </row>
    <row r="1306" spans="1:10" ht="15" customHeight="1" x14ac:dyDescent="0.25">
      <c r="A1306" s="8" t="str">
        <f>IF(COUNT($J$2:$J$1501)&gt;=1305,1305,"")</f>
        <v/>
      </c>
      <c r="B1306" s="8" t="str">
        <f t="shared" si="100"/>
        <v/>
      </c>
      <c r="C1306" s="8" t="str">
        <f t="shared" si="101"/>
        <v/>
      </c>
      <c r="D1306" s="8" t="str">
        <f t="shared" si="102"/>
        <v/>
      </c>
      <c r="F1306" s="4" t="str">
        <f>IF(Jugadores!B1306="","",Jugadores!B1306)</f>
        <v/>
      </c>
      <c r="G1306" s="4" t="str">
        <f>IF(Jugadores!B1306="","",Jugadores!A1306)</f>
        <v/>
      </c>
      <c r="H1306" s="4" t="str">
        <f>IF(F1306="","",SUMIF('Estadísticas Jugadores'!$F$2:$F$7001,F1306,'Estadísticas Jugadores'!$I$2:$I$7001))</f>
        <v/>
      </c>
      <c r="I1306" s="4" t="str">
        <f t="shared" si="103"/>
        <v/>
      </c>
      <c r="J1306" s="4" t="str">
        <f t="shared" si="104"/>
        <v/>
      </c>
    </row>
    <row r="1307" spans="1:10" ht="15" customHeight="1" x14ac:dyDescent="0.25">
      <c r="A1307" s="8" t="str">
        <f>IF(COUNT($J$2:$J$1501)&gt;=1306,1306,"")</f>
        <v/>
      </c>
      <c r="B1307" s="8" t="str">
        <f t="shared" si="100"/>
        <v/>
      </c>
      <c r="C1307" s="8" t="str">
        <f t="shared" si="101"/>
        <v/>
      </c>
      <c r="D1307" s="8" t="str">
        <f t="shared" si="102"/>
        <v/>
      </c>
      <c r="F1307" s="4" t="str">
        <f>IF(Jugadores!B1307="","",Jugadores!B1307)</f>
        <v/>
      </c>
      <c r="G1307" s="4" t="str">
        <f>IF(Jugadores!B1307="","",Jugadores!A1307)</f>
        <v/>
      </c>
      <c r="H1307" s="4" t="str">
        <f>IF(F1307="","",SUMIF('Estadísticas Jugadores'!$F$2:$F$7001,F1307,'Estadísticas Jugadores'!$I$2:$I$7001))</f>
        <v/>
      </c>
      <c r="I1307" s="4" t="str">
        <f t="shared" si="103"/>
        <v/>
      </c>
      <c r="J1307" s="4" t="str">
        <f t="shared" si="104"/>
        <v/>
      </c>
    </row>
    <row r="1308" spans="1:10" ht="15" customHeight="1" x14ac:dyDescent="0.25">
      <c r="A1308" s="8" t="str">
        <f>IF(COUNT($J$2:$J$1501)&gt;=1307,1307,"")</f>
        <v/>
      </c>
      <c r="B1308" s="8" t="str">
        <f t="shared" si="100"/>
        <v/>
      </c>
      <c r="C1308" s="8" t="str">
        <f t="shared" si="101"/>
        <v/>
      </c>
      <c r="D1308" s="8" t="str">
        <f t="shared" si="102"/>
        <v/>
      </c>
      <c r="F1308" s="4" t="str">
        <f>IF(Jugadores!B1308="","",Jugadores!B1308)</f>
        <v/>
      </c>
      <c r="G1308" s="4" t="str">
        <f>IF(Jugadores!B1308="","",Jugadores!A1308)</f>
        <v/>
      </c>
      <c r="H1308" s="4" t="str">
        <f>IF(F1308="","",SUMIF('Estadísticas Jugadores'!$F$2:$F$7001,F1308,'Estadísticas Jugadores'!$I$2:$I$7001))</f>
        <v/>
      </c>
      <c r="I1308" s="4" t="str">
        <f t="shared" si="103"/>
        <v/>
      </c>
      <c r="J1308" s="4" t="str">
        <f t="shared" si="104"/>
        <v/>
      </c>
    </row>
    <row r="1309" spans="1:10" ht="15" customHeight="1" x14ac:dyDescent="0.25">
      <c r="A1309" s="8" t="str">
        <f>IF(COUNT($J$2:$J$1501)&gt;=1308,1308,"")</f>
        <v/>
      </c>
      <c r="B1309" s="8" t="str">
        <f t="shared" si="100"/>
        <v/>
      </c>
      <c r="C1309" s="8" t="str">
        <f t="shared" si="101"/>
        <v/>
      </c>
      <c r="D1309" s="8" t="str">
        <f t="shared" si="102"/>
        <v/>
      </c>
      <c r="F1309" s="4" t="str">
        <f>IF(Jugadores!B1309="","",Jugadores!B1309)</f>
        <v/>
      </c>
      <c r="G1309" s="4" t="str">
        <f>IF(Jugadores!B1309="","",Jugadores!A1309)</f>
        <v/>
      </c>
      <c r="H1309" s="4" t="str">
        <f>IF(F1309="","",SUMIF('Estadísticas Jugadores'!$F$2:$F$7001,F1309,'Estadísticas Jugadores'!$I$2:$I$7001))</f>
        <v/>
      </c>
      <c r="I1309" s="4" t="str">
        <f t="shared" si="103"/>
        <v/>
      </c>
      <c r="J1309" s="4" t="str">
        <f t="shared" si="104"/>
        <v/>
      </c>
    </row>
    <row r="1310" spans="1:10" ht="15" customHeight="1" x14ac:dyDescent="0.25">
      <c r="A1310" s="8" t="str">
        <f>IF(COUNT($J$2:$J$1501)&gt;=1309,1309,"")</f>
        <v/>
      </c>
      <c r="B1310" s="8" t="str">
        <f t="shared" si="100"/>
        <v/>
      </c>
      <c r="C1310" s="8" t="str">
        <f t="shared" si="101"/>
        <v/>
      </c>
      <c r="D1310" s="8" t="str">
        <f t="shared" si="102"/>
        <v/>
      </c>
      <c r="F1310" s="4" t="str">
        <f>IF(Jugadores!B1310="","",Jugadores!B1310)</f>
        <v/>
      </c>
      <c r="G1310" s="4" t="str">
        <f>IF(Jugadores!B1310="","",Jugadores!A1310)</f>
        <v/>
      </c>
      <c r="H1310" s="4" t="str">
        <f>IF(F1310="","",SUMIF('Estadísticas Jugadores'!$F$2:$F$7001,F1310,'Estadísticas Jugadores'!$I$2:$I$7001))</f>
        <v/>
      </c>
      <c r="I1310" s="4" t="str">
        <f t="shared" si="103"/>
        <v/>
      </c>
      <c r="J1310" s="4" t="str">
        <f t="shared" si="104"/>
        <v/>
      </c>
    </row>
    <row r="1311" spans="1:10" ht="15" customHeight="1" x14ac:dyDescent="0.25">
      <c r="A1311" s="8" t="str">
        <f>IF(COUNT($J$2:$J$1501)&gt;=1310,1310,"")</f>
        <v/>
      </c>
      <c r="B1311" s="8" t="str">
        <f t="shared" si="100"/>
        <v/>
      </c>
      <c r="C1311" s="8" t="str">
        <f t="shared" si="101"/>
        <v/>
      </c>
      <c r="D1311" s="8" t="str">
        <f t="shared" si="102"/>
        <v/>
      </c>
      <c r="F1311" s="4" t="str">
        <f>IF(Jugadores!B1311="","",Jugadores!B1311)</f>
        <v/>
      </c>
      <c r="G1311" s="4" t="str">
        <f>IF(Jugadores!B1311="","",Jugadores!A1311)</f>
        <v/>
      </c>
      <c r="H1311" s="4" t="str">
        <f>IF(F1311="","",SUMIF('Estadísticas Jugadores'!$F$2:$F$7001,F1311,'Estadísticas Jugadores'!$I$2:$I$7001))</f>
        <v/>
      </c>
      <c r="I1311" s="4" t="str">
        <f t="shared" si="103"/>
        <v/>
      </c>
      <c r="J1311" s="4" t="str">
        <f t="shared" si="104"/>
        <v/>
      </c>
    </row>
    <row r="1312" spans="1:10" ht="15" customHeight="1" x14ac:dyDescent="0.25">
      <c r="A1312" s="8" t="str">
        <f>IF(COUNT($J$2:$J$1501)&gt;=1311,1311,"")</f>
        <v/>
      </c>
      <c r="B1312" s="8" t="str">
        <f t="shared" si="100"/>
        <v/>
      </c>
      <c r="C1312" s="8" t="str">
        <f t="shared" si="101"/>
        <v/>
      </c>
      <c r="D1312" s="8" t="str">
        <f t="shared" si="102"/>
        <v/>
      </c>
      <c r="F1312" s="4" t="str">
        <f>IF(Jugadores!B1312="","",Jugadores!B1312)</f>
        <v/>
      </c>
      <c r="G1312" s="4" t="str">
        <f>IF(Jugadores!B1312="","",Jugadores!A1312)</f>
        <v/>
      </c>
      <c r="H1312" s="4" t="str">
        <f>IF(F1312="","",SUMIF('Estadísticas Jugadores'!$F$2:$F$7001,F1312,'Estadísticas Jugadores'!$I$2:$I$7001))</f>
        <v/>
      </c>
      <c r="I1312" s="4" t="str">
        <f t="shared" si="103"/>
        <v/>
      </c>
      <c r="J1312" s="4" t="str">
        <f t="shared" si="104"/>
        <v/>
      </c>
    </row>
    <row r="1313" spans="1:10" ht="15" customHeight="1" x14ac:dyDescent="0.25">
      <c r="A1313" s="8" t="str">
        <f>IF(COUNT($J$2:$J$1501)&gt;=1312,1312,"")</f>
        <v/>
      </c>
      <c r="B1313" s="8" t="str">
        <f t="shared" si="100"/>
        <v/>
      </c>
      <c r="C1313" s="8" t="str">
        <f t="shared" si="101"/>
        <v/>
      </c>
      <c r="D1313" s="8" t="str">
        <f t="shared" si="102"/>
        <v/>
      </c>
      <c r="F1313" s="4" t="str">
        <f>IF(Jugadores!B1313="","",Jugadores!B1313)</f>
        <v/>
      </c>
      <c r="G1313" s="4" t="str">
        <f>IF(Jugadores!B1313="","",Jugadores!A1313)</f>
        <v/>
      </c>
      <c r="H1313" s="4" t="str">
        <f>IF(F1313="","",SUMIF('Estadísticas Jugadores'!$F$2:$F$7001,F1313,'Estadísticas Jugadores'!$I$2:$I$7001))</f>
        <v/>
      </c>
      <c r="I1313" s="4" t="str">
        <f t="shared" si="103"/>
        <v/>
      </c>
      <c r="J1313" s="4" t="str">
        <f t="shared" si="104"/>
        <v/>
      </c>
    </row>
    <row r="1314" spans="1:10" ht="15" customHeight="1" x14ac:dyDescent="0.25">
      <c r="A1314" s="8" t="str">
        <f>IF(COUNT($J$2:$J$1501)&gt;=1313,1313,"")</f>
        <v/>
      </c>
      <c r="B1314" s="8" t="str">
        <f t="shared" si="100"/>
        <v/>
      </c>
      <c r="C1314" s="8" t="str">
        <f t="shared" si="101"/>
        <v/>
      </c>
      <c r="D1314" s="8" t="str">
        <f t="shared" si="102"/>
        <v/>
      </c>
      <c r="F1314" s="4" t="str">
        <f>IF(Jugadores!B1314="","",Jugadores!B1314)</f>
        <v/>
      </c>
      <c r="G1314" s="4" t="str">
        <f>IF(Jugadores!B1314="","",Jugadores!A1314)</f>
        <v/>
      </c>
      <c r="H1314" s="4" t="str">
        <f>IF(F1314="","",SUMIF('Estadísticas Jugadores'!$F$2:$F$7001,F1314,'Estadísticas Jugadores'!$I$2:$I$7001))</f>
        <v/>
      </c>
      <c r="I1314" s="4" t="str">
        <f t="shared" si="103"/>
        <v/>
      </c>
      <c r="J1314" s="4" t="str">
        <f t="shared" si="104"/>
        <v/>
      </c>
    </row>
    <row r="1315" spans="1:10" ht="15" customHeight="1" x14ac:dyDescent="0.25">
      <c r="A1315" s="8" t="str">
        <f>IF(COUNT($J$2:$J$1501)&gt;=1314,1314,"")</f>
        <v/>
      </c>
      <c r="B1315" s="8" t="str">
        <f t="shared" si="100"/>
        <v/>
      </c>
      <c r="C1315" s="8" t="str">
        <f t="shared" si="101"/>
        <v/>
      </c>
      <c r="D1315" s="8" t="str">
        <f t="shared" si="102"/>
        <v/>
      </c>
      <c r="F1315" s="4" t="str">
        <f>IF(Jugadores!B1315="","",Jugadores!B1315)</f>
        <v/>
      </c>
      <c r="G1315" s="4" t="str">
        <f>IF(Jugadores!B1315="","",Jugadores!A1315)</f>
        <v/>
      </c>
      <c r="H1315" s="4" t="str">
        <f>IF(F1315="","",SUMIF('Estadísticas Jugadores'!$F$2:$F$7001,F1315,'Estadísticas Jugadores'!$I$2:$I$7001))</f>
        <v/>
      </c>
      <c r="I1315" s="4" t="str">
        <f t="shared" si="103"/>
        <v/>
      </c>
      <c r="J1315" s="4" t="str">
        <f t="shared" si="104"/>
        <v/>
      </c>
    </row>
    <row r="1316" spans="1:10" ht="15" customHeight="1" x14ac:dyDescent="0.25">
      <c r="A1316" s="8" t="str">
        <f>IF(COUNT($J$2:$J$1501)&gt;=1315,1315,"")</f>
        <v/>
      </c>
      <c r="B1316" s="8" t="str">
        <f t="shared" si="100"/>
        <v/>
      </c>
      <c r="C1316" s="8" t="str">
        <f t="shared" si="101"/>
        <v/>
      </c>
      <c r="D1316" s="8" t="str">
        <f t="shared" si="102"/>
        <v/>
      </c>
      <c r="F1316" s="4" t="str">
        <f>IF(Jugadores!B1316="","",Jugadores!B1316)</f>
        <v/>
      </c>
      <c r="G1316" s="4" t="str">
        <f>IF(Jugadores!B1316="","",Jugadores!A1316)</f>
        <v/>
      </c>
      <c r="H1316" s="4" t="str">
        <f>IF(F1316="","",SUMIF('Estadísticas Jugadores'!$F$2:$F$7001,F1316,'Estadísticas Jugadores'!$I$2:$I$7001))</f>
        <v/>
      </c>
      <c r="I1316" s="4" t="str">
        <f t="shared" si="103"/>
        <v/>
      </c>
      <c r="J1316" s="4" t="str">
        <f t="shared" si="104"/>
        <v/>
      </c>
    </row>
    <row r="1317" spans="1:10" ht="15" customHeight="1" x14ac:dyDescent="0.25">
      <c r="A1317" s="8" t="str">
        <f>IF(COUNT($J$2:$J$1501)&gt;=1316,1316,"")</f>
        <v/>
      </c>
      <c r="B1317" s="8" t="str">
        <f t="shared" si="100"/>
        <v/>
      </c>
      <c r="C1317" s="8" t="str">
        <f t="shared" si="101"/>
        <v/>
      </c>
      <c r="D1317" s="8" t="str">
        <f t="shared" si="102"/>
        <v/>
      </c>
      <c r="F1317" s="4" t="str">
        <f>IF(Jugadores!B1317="","",Jugadores!B1317)</f>
        <v/>
      </c>
      <c r="G1317" s="4" t="str">
        <f>IF(Jugadores!B1317="","",Jugadores!A1317)</f>
        <v/>
      </c>
      <c r="H1317" s="4" t="str">
        <f>IF(F1317="","",SUMIF('Estadísticas Jugadores'!$F$2:$F$7001,F1317,'Estadísticas Jugadores'!$I$2:$I$7001))</f>
        <v/>
      </c>
      <c r="I1317" s="4" t="str">
        <f t="shared" si="103"/>
        <v/>
      </c>
      <c r="J1317" s="4" t="str">
        <f t="shared" si="104"/>
        <v/>
      </c>
    </row>
    <row r="1318" spans="1:10" ht="15" customHeight="1" x14ac:dyDescent="0.25">
      <c r="A1318" s="8" t="str">
        <f>IF(COUNT($J$2:$J$1501)&gt;=1317,1317,"")</f>
        <v/>
      </c>
      <c r="B1318" s="8" t="str">
        <f t="shared" si="100"/>
        <v/>
      </c>
      <c r="C1318" s="8" t="str">
        <f t="shared" si="101"/>
        <v/>
      </c>
      <c r="D1318" s="8" t="str">
        <f t="shared" si="102"/>
        <v/>
      </c>
      <c r="F1318" s="4" t="str">
        <f>IF(Jugadores!B1318="","",Jugadores!B1318)</f>
        <v/>
      </c>
      <c r="G1318" s="4" t="str">
        <f>IF(Jugadores!B1318="","",Jugadores!A1318)</f>
        <v/>
      </c>
      <c r="H1318" s="4" t="str">
        <f>IF(F1318="","",SUMIF('Estadísticas Jugadores'!$F$2:$F$7001,F1318,'Estadísticas Jugadores'!$I$2:$I$7001))</f>
        <v/>
      </c>
      <c r="I1318" s="4" t="str">
        <f t="shared" si="103"/>
        <v/>
      </c>
      <c r="J1318" s="4" t="str">
        <f t="shared" si="104"/>
        <v/>
      </c>
    </row>
    <row r="1319" spans="1:10" ht="15" customHeight="1" x14ac:dyDescent="0.25">
      <c r="A1319" s="8" t="str">
        <f>IF(COUNT($J$2:$J$1501)&gt;=1318,1318,"")</f>
        <v/>
      </c>
      <c r="B1319" s="8" t="str">
        <f t="shared" si="100"/>
        <v/>
      </c>
      <c r="C1319" s="8" t="str">
        <f t="shared" si="101"/>
        <v/>
      </c>
      <c r="D1319" s="8" t="str">
        <f t="shared" si="102"/>
        <v/>
      </c>
      <c r="F1319" s="4" t="str">
        <f>IF(Jugadores!B1319="","",Jugadores!B1319)</f>
        <v/>
      </c>
      <c r="G1319" s="4" t="str">
        <f>IF(Jugadores!B1319="","",Jugadores!A1319)</f>
        <v/>
      </c>
      <c r="H1319" s="4" t="str">
        <f>IF(F1319="","",SUMIF('Estadísticas Jugadores'!$F$2:$F$7001,F1319,'Estadísticas Jugadores'!$I$2:$I$7001))</f>
        <v/>
      </c>
      <c r="I1319" s="4" t="str">
        <f t="shared" si="103"/>
        <v/>
      </c>
      <c r="J1319" s="4" t="str">
        <f t="shared" si="104"/>
        <v/>
      </c>
    </row>
    <row r="1320" spans="1:10" ht="15" customHeight="1" x14ac:dyDescent="0.25">
      <c r="A1320" s="8" t="str">
        <f>IF(COUNT($J$2:$J$1501)&gt;=1319,1319,"")</f>
        <v/>
      </c>
      <c r="B1320" s="8" t="str">
        <f t="shared" si="100"/>
        <v/>
      </c>
      <c r="C1320" s="8" t="str">
        <f t="shared" si="101"/>
        <v/>
      </c>
      <c r="D1320" s="8" t="str">
        <f t="shared" si="102"/>
        <v/>
      </c>
      <c r="F1320" s="4" t="str">
        <f>IF(Jugadores!B1320="","",Jugadores!B1320)</f>
        <v/>
      </c>
      <c r="G1320" s="4" t="str">
        <f>IF(Jugadores!B1320="","",Jugadores!A1320)</f>
        <v/>
      </c>
      <c r="H1320" s="4" t="str">
        <f>IF(F1320="","",SUMIF('Estadísticas Jugadores'!$F$2:$F$7001,F1320,'Estadísticas Jugadores'!$I$2:$I$7001))</f>
        <v/>
      </c>
      <c r="I1320" s="4" t="str">
        <f t="shared" si="103"/>
        <v/>
      </c>
      <c r="J1320" s="4" t="str">
        <f t="shared" si="104"/>
        <v/>
      </c>
    </row>
    <row r="1321" spans="1:10" ht="15" customHeight="1" x14ac:dyDescent="0.25">
      <c r="A1321" s="8" t="str">
        <f>IF(COUNT($J$2:$J$1501)&gt;=1320,1320,"")</f>
        <v/>
      </c>
      <c r="B1321" s="8" t="str">
        <f t="shared" si="100"/>
        <v/>
      </c>
      <c r="C1321" s="8" t="str">
        <f t="shared" si="101"/>
        <v/>
      </c>
      <c r="D1321" s="8" t="str">
        <f t="shared" si="102"/>
        <v/>
      </c>
      <c r="F1321" s="4" t="str">
        <f>IF(Jugadores!B1321="","",Jugadores!B1321)</f>
        <v/>
      </c>
      <c r="G1321" s="4" t="str">
        <f>IF(Jugadores!B1321="","",Jugadores!A1321)</f>
        <v/>
      </c>
      <c r="H1321" s="4" t="str">
        <f>IF(F1321="","",SUMIF('Estadísticas Jugadores'!$F$2:$F$7001,F1321,'Estadísticas Jugadores'!$I$2:$I$7001))</f>
        <v/>
      </c>
      <c r="I1321" s="4" t="str">
        <f t="shared" si="103"/>
        <v/>
      </c>
      <c r="J1321" s="4" t="str">
        <f t="shared" si="104"/>
        <v/>
      </c>
    </row>
    <row r="1322" spans="1:10" ht="15" customHeight="1" x14ac:dyDescent="0.25">
      <c r="A1322" s="8" t="str">
        <f>IF(COUNT($J$2:$J$1501)&gt;=1321,1321,"")</f>
        <v/>
      </c>
      <c r="B1322" s="8" t="str">
        <f t="shared" si="100"/>
        <v/>
      </c>
      <c r="C1322" s="8" t="str">
        <f t="shared" si="101"/>
        <v/>
      </c>
      <c r="D1322" s="8" t="str">
        <f t="shared" si="102"/>
        <v/>
      </c>
      <c r="F1322" s="4" t="str">
        <f>IF(Jugadores!B1322="","",Jugadores!B1322)</f>
        <v/>
      </c>
      <c r="G1322" s="4" t="str">
        <f>IF(Jugadores!B1322="","",Jugadores!A1322)</f>
        <v/>
      </c>
      <c r="H1322" s="4" t="str">
        <f>IF(F1322="","",SUMIF('Estadísticas Jugadores'!$F$2:$F$7001,F1322,'Estadísticas Jugadores'!$I$2:$I$7001))</f>
        <v/>
      </c>
      <c r="I1322" s="4" t="str">
        <f t="shared" si="103"/>
        <v/>
      </c>
      <c r="J1322" s="4" t="str">
        <f t="shared" si="104"/>
        <v/>
      </c>
    </row>
    <row r="1323" spans="1:10" ht="15" customHeight="1" x14ac:dyDescent="0.25">
      <c r="A1323" s="8" t="str">
        <f>IF(COUNT($J$2:$J$1501)&gt;=1322,1322,"")</f>
        <v/>
      </c>
      <c r="B1323" s="8" t="str">
        <f t="shared" si="100"/>
        <v/>
      </c>
      <c r="C1323" s="8" t="str">
        <f t="shared" si="101"/>
        <v/>
      </c>
      <c r="D1323" s="8" t="str">
        <f t="shared" si="102"/>
        <v/>
      </c>
      <c r="F1323" s="4" t="str">
        <f>IF(Jugadores!B1323="","",Jugadores!B1323)</f>
        <v/>
      </c>
      <c r="G1323" s="4" t="str">
        <f>IF(Jugadores!B1323="","",Jugadores!A1323)</f>
        <v/>
      </c>
      <c r="H1323" s="4" t="str">
        <f>IF(F1323="","",SUMIF('Estadísticas Jugadores'!$F$2:$F$7001,F1323,'Estadísticas Jugadores'!$I$2:$I$7001))</f>
        <v/>
      </c>
      <c r="I1323" s="4" t="str">
        <f t="shared" si="103"/>
        <v/>
      </c>
      <c r="J1323" s="4" t="str">
        <f t="shared" si="104"/>
        <v/>
      </c>
    </row>
    <row r="1324" spans="1:10" ht="15" customHeight="1" x14ac:dyDescent="0.25">
      <c r="A1324" s="8" t="str">
        <f>IF(COUNT($J$2:$J$1501)&gt;=1323,1323,"")</f>
        <v/>
      </c>
      <c r="B1324" s="8" t="str">
        <f t="shared" si="100"/>
        <v/>
      </c>
      <c r="C1324" s="8" t="str">
        <f t="shared" si="101"/>
        <v/>
      </c>
      <c r="D1324" s="8" t="str">
        <f t="shared" si="102"/>
        <v/>
      </c>
      <c r="F1324" s="4" t="str">
        <f>IF(Jugadores!B1324="","",Jugadores!B1324)</f>
        <v/>
      </c>
      <c r="G1324" s="4" t="str">
        <f>IF(Jugadores!B1324="","",Jugadores!A1324)</f>
        <v/>
      </c>
      <c r="H1324" s="4" t="str">
        <f>IF(F1324="","",SUMIF('Estadísticas Jugadores'!$F$2:$F$7001,F1324,'Estadísticas Jugadores'!$I$2:$I$7001))</f>
        <v/>
      </c>
      <c r="I1324" s="4" t="str">
        <f t="shared" si="103"/>
        <v/>
      </c>
      <c r="J1324" s="4" t="str">
        <f t="shared" si="104"/>
        <v/>
      </c>
    </row>
    <row r="1325" spans="1:10" ht="15" customHeight="1" x14ac:dyDescent="0.25">
      <c r="A1325" s="8" t="str">
        <f>IF(COUNT($J$2:$J$1501)&gt;=1324,1324,"")</f>
        <v/>
      </c>
      <c r="B1325" s="8" t="str">
        <f t="shared" si="100"/>
        <v/>
      </c>
      <c r="C1325" s="8" t="str">
        <f t="shared" si="101"/>
        <v/>
      </c>
      <c r="D1325" s="8" t="str">
        <f t="shared" si="102"/>
        <v/>
      </c>
      <c r="F1325" s="4" t="str">
        <f>IF(Jugadores!B1325="","",Jugadores!B1325)</f>
        <v/>
      </c>
      <c r="G1325" s="4" t="str">
        <f>IF(Jugadores!B1325="","",Jugadores!A1325)</f>
        <v/>
      </c>
      <c r="H1325" s="4" t="str">
        <f>IF(F1325="","",SUMIF('Estadísticas Jugadores'!$F$2:$F$7001,F1325,'Estadísticas Jugadores'!$I$2:$I$7001))</f>
        <v/>
      </c>
      <c r="I1325" s="4" t="str">
        <f t="shared" si="103"/>
        <v/>
      </c>
      <c r="J1325" s="4" t="str">
        <f t="shared" si="104"/>
        <v/>
      </c>
    </row>
    <row r="1326" spans="1:10" ht="15" customHeight="1" x14ac:dyDescent="0.25">
      <c r="A1326" s="8" t="str">
        <f>IF(COUNT($J$2:$J$1501)&gt;=1325,1325,"")</f>
        <v/>
      </c>
      <c r="B1326" s="8" t="str">
        <f t="shared" si="100"/>
        <v/>
      </c>
      <c r="C1326" s="8" t="str">
        <f t="shared" si="101"/>
        <v/>
      </c>
      <c r="D1326" s="8" t="str">
        <f t="shared" si="102"/>
        <v/>
      </c>
      <c r="F1326" s="4" t="str">
        <f>IF(Jugadores!B1326="","",Jugadores!B1326)</f>
        <v/>
      </c>
      <c r="G1326" s="4" t="str">
        <f>IF(Jugadores!B1326="","",Jugadores!A1326)</f>
        <v/>
      </c>
      <c r="H1326" s="4" t="str">
        <f>IF(F1326="","",SUMIF('Estadísticas Jugadores'!$F$2:$F$7001,F1326,'Estadísticas Jugadores'!$I$2:$I$7001))</f>
        <v/>
      </c>
      <c r="I1326" s="4" t="str">
        <f t="shared" si="103"/>
        <v/>
      </c>
      <c r="J1326" s="4" t="str">
        <f t="shared" si="104"/>
        <v/>
      </c>
    </row>
    <row r="1327" spans="1:10" ht="15" customHeight="1" x14ac:dyDescent="0.25">
      <c r="A1327" s="8" t="str">
        <f>IF(COUNT($J$2:$J$1501)&gt;=1326,1326,"")</f>
        <v/>
      </c>
      <c r="B1327" s="8" t="str">
        <f t="shared" si="100"/>
        <v/>
      </c>
      <c r="C1327" s="8" t="str">
        <f t="shared" si="101"/>
        <v/>
      </c>
      <c r="D1327" s="8" t="str">
        <f t="shared" si="102"/>
        <v/>
      </c>
      <c r="F1327" s="4" t="str">
        <f>IF(Jugadores!B1327="","",Jugadores!B1327)</f>
        <v/>
      </c>
      <c r="G1327" s="4" t="str">
        <f>IF(Jugadores!B1327="","",Jugadores!A1327)</f>
        <v/>
      </c>
      <c r="H1327" s="4" t="str">
        <f>IF(F1327="","",SUMIF('Estadísticas Jugadores'!$F$2:$F$7001,F1327,'Estadísticas Jugadores'!$I$2:$I$7001))</f>
        <v/>
      </c>
      <c r="I1327" s="4" t="str">
        <f t="shared" si="103"/>
        <v/>
      </c>
      <c r="J1327" s="4" t="str">
        <f t="shared" si="104"/>
        <v/>
      </c>
    </row>
    <row r="1328" spans="1:10" ht="15" customHeight="1" x14ac:dyDescent="0.25">
      <c r="A1328" s="8" t="str">
        <f>IF(COUNT($J$2:$J$1501)&gt;=1327,1327,"")</f>
        <v/>
      </c>
      <c r="B1328" s="8" t="str">
        <f t="shared" si="100"/>
        <v/>
      </c>
      <c r="C1328" s="8" t="str">
        <f t="shared" si="101"/>
        <v/>
      </c>
      <c r="D1328" s="8" t="str">
        <f t="shared" si="102"/>
        <v/>
      </c>
      <c r="F1328" s="4" t="str">
        <f>IF(Jugadores!B1328="","",Jugadores!B1328)</f>
        <v/>
      </c>
      <c r="G1328" s="4" t="str">
        <f>IF(Jugadores!B1328="","",Jugadores!A1328)</f>
        <v/>
      </c>
      <c r="H1328" s="4" t="str">
        <f>IF(F1328="","",SUMIF('Estadísticas Jugadores'!$F$2:$F$7001,F1328,'Estadísticas Jugadores'!$I$2:$I$7001))</f>
        <v/>
      </c>
      <c r="I1328" s="4" t="str">
        <f t="shared" si="103"/>
        <v/>
      </c>
      <c r="J1328" s="4" t="str">
        <f t="shared" si="104"/>
        <v/>
      </c>
    </row>
    <row r="1329" spans="1:10" ht="15" customHeight="1" x14ac:dyDescent="0.25">
      <c r="A1329" s="8" t="str">
        <f>IF(COUNT($J$2:$J$1501)&gt;=1328,1328,"")</f>
        <v/>
      </c>
      <c r="B1329" s="8" t="str">
        <f t="shared" si="100"/>
        <v/>
      </c>
      <c r="C1329" s="8" t="str">
        <f t="shared" si="101"/>
        <v/>
      </c>
      <c r="D1329" s="8" t="str">
        <f t="shared" si="102"/>
        <v/>
      </c>
      <c r="F1329" s="4" t="str">
        <f>IF(Jugadores!B1329="","",Jugadores!B1329)</f>
        <v/>
      </c>
      <c r="G1329" s="4" t="str">
        <f>IF(Jugadores!B1329="","",Jugadores!A1329)</f>
        <v/>
      </c>
      <c r="H1329" s="4" t="str">
        <f>IF(F1329="","",SUMIF('Estadísticas Jugadores'!$F$2:$F$7001,F1329,'Estadísticas Jugadores'!$I$2:$I$7001))</f>
        <v/>
      </c>
      <c r="I1329" s="4" t="str">
        <f t="shared" si="103"/>
        <v/>
      </c>
      <c r="J1329" s="4" t="str">
        <f t="shared" si="104"/>
        <v/>
      </c>
    </row>
    <row r="1330" spans="1:10" ht="15" customHeight="1" x14ac:dyDescent="0.25">
      <c r="A1330" s="8" t="str">
        <f>IF(COUNT($J$2:$J$1501)&gt;=1329,1329,"")</f>
        <v/>
      </c>
      <c r="B1330" s="8" t="str">
        <f t="shared" si="100"/>
        <v/>
      </c>
      <c r="C1330" s="8" t="str">
        <f t="shared" si="101"/>
        <v/>
      </c>
      <c r="D1330" s="8" t="str">
        <f t="shared" si="102"/>
        <v/>
      </c>
      <c r="F1330" s="4" t="str">
        <f>IF(Jugadores!B1330="","",Jugadores!B1330)</f>
        <v/>
      </c>
      <c r="G1330" s="4" t="str">
        <f>IF(Jugadores!B1330="","",Jugadores!A1330)</f>
        <v/>
      </c>
      <c r="H1330" s="4" t="str">
        <f>IF(F1330="","",SUMIF('Estadísticas Jugadores'!$F$2:$F$7001,F1330,'Estadísticas Jugadores'!$I$2:$I$7001))</f>
        <v/>
      </c>
      <c r="I1330" s="4" t="str">
        <f t="shared" si="103"/>
        <v/>
      </c>
      <c r="J1330" s="4" t="str">
        <f t="shared" si="104"/>
        <v/>
      </c>
    </row>
    <row r="1331" spans="1:10" ht="15" customHeight="1" x14ac:dyDescent="0.25">
      <c r="A1331" s="8" t="str">
        <f>IF(COUNT($J$2:$J$1501)&gt;=1330,1330,"")</f>
        <v/>
      </c>
      <c r="B1331" s="8" t="str">
        <f t="shared" si="100"/>
        <v/>
      </c>
      <c r="C1331" s="8" t="str">
        <f t="shared" si="101"/>
        <v/>
      </c>
      <c r="D1331" s="8" t="str">
        <f t="shared" si="102"/>
        <v/>
      </c>
      <c r="F1331" s="4" t="str">
        <f>IF(Jugadores!B1331="","",Jugadores!B1331)</f>
        <v/>
      </c>
      <c r="G1331" s="4" t="str">
        <f>IF(Jugadores!B1331="","",Jugadores!A1331)</f>
        <v/>
      </c>
      <c r="H1331" s="4" t="str">
        <f>IF(F1331="","",SUMIF('Estadísticas Jugadores'!$F$2:$F$7001,F1331,'Estadísticas Jugadores'!$I$2:$I$7001))</f>
        <v/>
      </c>
      <c r="I1331" s="4" t="str">
        <f t="shared" si="103"/>
        <v/>
      </c>
      <c r="J1331" s="4" t="str">
        <f t="shared" si="104"/>
        <v/>
      </c>
    </row>
    <row r="1332" spans="1:10" ht="15" customHeight="1" x14ac:dyDescent="0.25">
      <c r="A1332" s="8" t="str">
        <f>IF(COUNT($J$2:$J$1501)&gt;=1331,1331,"")</f>
        <v/>
      </c>
      <c r="B1332" s="8" t="str">
        <f t="shared" si="100"/>
        <v/>
      </c>
      <c r="C1332" s="8" t="str">
        <f t="shared" si="101"/>
        <v/>
      </c>
      <c r="D1332" s="8" t="str">
        <f t="shared" si="102"/>
        <v/>
      </c>
      <c r="F1332" s="4" t="str">
        <f>IF(Jugadores!B1332="","",Jugadores!B1332)</f>
        <v/>
      </c>
      <c r="G1332" s="4" t="str">
        <f>IF(Jugadores!B1332="","",Jugadores!A1332)</f>
        <v/>
      </c>
      <c r="H1332" s="4" t="str">
        <f>IF(F1332="","",SUMIF('Estadísticas Jugadores'!$F$2:$F$7001,F1332,'Estadísticas Jugadores'!$I$2:$I$7001))</f>
        <v/>
      </c>
      <c r="I1332" s="4" t="str">
        <f t="shared" si="103"/>
        <v/>
      </c>
      <c r="J1332" s="4" t="str">
        <f t="shared" si="104"/>
        <v/>
      </c>
    </row>
    <row r="1333" spans="1:10" ht="15" customHeight="1" x14ac:dyDescent="0.25">
      <c r="A1333" s="8" t="str">
        <f>IF(COUNT($J$2:$J$1501)&gt;=1332,1332,"")</f>
        <v/>
      </c>
      <c r="B1333" s="8" t="str">
        <f t="shared" si="100"/>
        <v/>
      </c>
      <c r="C1333" s="8" t="str">
        <f t="shared" si="101"/>
        <v/>
      </c>
      <c r="D1333" s="8" t="str">
        <f t="shared" si="102"/>
        <v/>
      </c>
      <c r="F1333" s="4" t="str">
        <f>IF(Jugadores!B1333="","",Jugadores!B1333)</f>
        <v/>
      </c>
      <c r="G1333" s="4" t="str">
        <f>IF(Jugadores!B1333="","",Jugadores!A1333)</f>
        <v/>
      </c>
      <c r="H1333" s="4" t="str">
        <f>IF(F1333="","",SUMIF('Estadísticas Jugadores'!$F$2:$F$7001,F1333,'Estadísticas Jugadores'!$I$2:$I$7001))</f>
        <v/>
      </c>
      <c r="I1333" s="4" t="str">
        <f t="shared" si="103"/>
        <v/>
      </c>
      <c r="J1333" s="4" t="str">
        <f t="shared" si="104"/>
        <v/>
      </c>
    </row>
    <row r="1334" spans="1:10" ht="15" customHeight="1" x14ac:dyDescent="0.25">
      <c r="A1334" s="8" t="str">
        <f>IF(COUNT($J$2:$J$1501)&gt;=1333,1333,"")</f>
        <v/>
      </c>
      <c r="B1334" s="8" t="str">
        <f t="shared" si="100"/>
        <v/>
      </c>
      <c r="C1334" s="8" t="str">
        <f t="shared" si="101"/>
        <v/>
      </c>
      <c r="D1334" s="8" t="str">
        <f t="shared" si="102"/>
        <v/>
      </c>
      <c r="F1334" s="4" t="str">
        <f>IF(Jugadores!B1334="","",Jugadores!B1334)</f>
        <v/>
      </c>
      <c r="G1334" s="4" t="str">
        <f>IF(Jugadores!B1334="","",Jugadores!A1334)</f>
        <v/>
      </c>
      <c r="H1334" s="4" t="str">
        <f>IF(F1334="","",SUMIF('Estadísticas Jugadores'!$F$2:$F$7001,F1334,'Estadísticas Jugadores'!$I$2:$I$7001))</f>
        <v/>
      </c>
      <c r="I1334" s="4" t="str">
        <f t="shared" si="103"/>
        <v/>
      </c>
      <c r="J1334" s="4" t="str">
        <f t="shared" si="104"/>
        <v/>
      </c>
    </row>
    <row r="1335" spans="1:10" ht="15" customHeight="1" x14ac:dyDescent="0.25">
      <c r="A1335" s="8" t="str">
        <f>IF(COUNT($J$2:$J$1501)&gt;=1334,1334,"")</f>
        <v/>
      </c>
      <c r="B1335" s="8" t="str">
        <f t="shared" si="100"/>
        <v/>
      </c>
      <c r="C1335" s="8" t="str">
        <f t="shared" si="101"/>
        <v/>
      </c>
      <c r="D1335" s="8" t="str">
        <f t="shared" si="102"/>
        <v/>
      </c>
      <c r="F1335" s="4" t="str">
        <f>IF(Jugadores!B1335="","",Jugadores!B1335)</f>
        <v/>
      </c>
      <c r="G1335" s="4" t="str">
        <f>IF(Jugadores!B1335="","",Jugadores!A1335)</f>
        <v/>
      </c>
      <c r="H1335" s="4" t="str">
        <f>IF(F1335="","",SUMIF('Estadísticas Jugadores'!$F$2:$F$7001,F1335,'Estadísticas Jugadores'!$I$2:$I$7001))</f>
        <v/>
      </c>
      <c r="I1335" s="4" t="str">
        <f t="shared" si="103"/>
        <v/>
      </c>
      <c r="J1335" s="4" t="str">
        <f t="shared" si="104"/>
        <v/>
      </c>
    </row>
    <row r="1336" spans="1:10" ht="15" customHeight="1" x14ac:dyDescent="0.25">
      <c r="A1336" s="8" t="str">
        <f>IF(COUNT($J$2:$J$1501)&gt;=1335,1335,"")</f>
        <v/>
      </c>
      <c r="B1336" s="8" t="str">
        <f t="shared" si="100"/>
        <v/>
      </c>
      <c r="C1336" s="8" t="str">
        <f t="shared" si="101"/>
        <v/>
      </c>
      <c r="D1336" s="8" t="str">
        <f t="shared" si="102"/>
        <v/>
      </c>
      <c r="F1336" s="4" t="str">
        <f>IF(Jugadores!B1336="","",Jugadores!B1336)</f>
        <v/>
      </c>
      <c r="G1336" s="4" t="str">
        <f>IF(Jugadores!B1336="","",Jugadores!A1336)</f>
        <v/>
      </c>
      <c r="H1336" s="4" t="str">
        <f>IF(F1336="","",SUMIF('Estadísticas Jugadores'!$F$2:$F$7001,F1336,'Estadísticas Jugadores'!$I$2:$I$7001))</f>
        <v/>
      </c>
      <c r="I1336" s="4" t="str">
        <f t="shared" si="103"/>
        <v/>
      </c>
      <c r="J1336" s="4" t="str">
        <f t="shared" si="104"/>
        <v/>
      </c>
    </row>
    <row r="1337" spans="1:10" ht="15" customHeight="1" x14ac:dyDescent="0.25">
      <c r="A1337" s="8" t="str">
        <f>IF(COUNT($J$2:$J$1501)&gt;=1336,1336,"")</f>
        <v/>
      </c>
      <c r="B1337" s="8" t="str">
        <f t="shared" si="100"/>
        <v/>
      </c>
      <c r="C1337" s="8" t="str">
        <f t="shared" si="101"/>
        <v/>
      </c>
      <c r="D1337" s="8" t="str">
        <f t="shared" si="102"/>
        <v/>
      </c>
      <c r="F1337" s="4" t="str">
        <f>IF(Jugadores!B1337="","",Jugadores!B1337)</f>
        <v/>
      </c>
      <c r="G1337" s="4" t="str">
        <f>IF(Jugadores!B1337="","",Jugadores!A1337)</f>
        <v/>
      </c>
      <c r="H1337" s="4" t="str">
        <f>IF(F1337="","",SUMIF('Estadísticas Jugadores'!$F$2:$F$7001,F1337,'Estadísticas Jugadores'!$I$2:$I$7001))</f>
        <v/>
      </c>
      <c r="I1337" s="4" t="str">
        <f t="shared" si="103"/>
        <v/>
      </c>
      <c r="J1337" s="4" t="str">
        <f t="shared" si="104"/>
        <v/>
      </c>
    </row>
    <row r="1338" spans="1:10" ht="15" customHeight="1" x14ac:dyDescent="0.25">
      <c r="A1338" s="8" t="str">
        <f>IF(COUNT($J$2:$J$1501)&gt;=1337,1337,"")</f>
        <v/>
      </c>
      <c r="B1338" s="8" t="str">
        <f t="shared" si="100"/>
        <v/>
      </c>
      <c r="C1338" s="8" t="str">
        <f t="shared" si="101"/>
        <v/>
      </c>
      <c r="D1338" s="8" t="str">
        <f t="shared" si="102"/>
        <v/>
      </c>
      <c r="F1338" s="4" t="str">
        <f>IF(Jugadores!B1338="","",Jugadores!B1338)</f>
        <v/>
      </c>
      <c r="G1338" s="4" t="str">
        <f>IF(Jugadores!B1338="","",Jugadores!A1338)</f>
        <v/>
      </c>
      <c r="H1338" s="4" t="str">
        <f>IF(F1338="","",SUMIF('Estadísticas Jugadores'!$F$2:$F$7001,F1338,'Estadísticas Jugadores'!$I$2:$I$7001))</f>
        <v/>
      </c>
      <c r="I1338" s="4" t="str">
        <f t="shared" si="103"/>
        <v/>
      </c>
      <c r="J1338" s="4" t="str">
        <f t="shared" si="104"/>
        <v/>
      </c>
    </row>
    <row r="1339" spans="1:10" ht="15" customHeight="1" x14ac:dyDescent="0.25">
      <c r="A1339" s="8" t="str">
        <f>IF(COUNT($J$2:$J$1501)&gt;=1338,1338,"")</f>
        <v/>
      </c>
      <c r="B1339" s="8" t="str">
        <f t="shared" si="100"/>
        <v/>
      </c>
      <c r="C1339" s="8" t="str">
        <f t="shared" si="101"/>
        <v/>
      </c>
      <c r="D1339" s="8" t="str">
        <f t="shared" si="102"/>
        <v/>
      </c>
      <c r="F1339" s="4" t="str">
        <f>IF(Jugadores!B1339="","",Jugadores!B1339)</f>
        <v/>
      </c>
      <c r="G1339" s="4" t="str">
        <f>IF(Jugadores!B1339="","",Jugadores!A1339)</f>
        <v/>
      </c>
      <c r="H1339" s="4" t="str">
        <f>IF(F1339="","",SUMIF('Estadísticas Jugadores'!$F$2:$F$7001,F1339,'Estadísticas Jugadores'!$I$2:$I$7001))</f>
        <v/>
      </c>
      <c r="I1339" s="4" t="str">
        <f t="shared" si="103"/>
        <v/>
      </c>
      <c r="J1339" s="4" t="str">
        <f t="shared" si="104"/>
        <v/>
      </c>
    </row>
    <row r="1340" spans="1:10" ht="15" customHeight="1" x14ac:dyDescent="0.25">
      <c r="A1340" s="8" t="str">
        <f>IF(COUNT($J$2:$J$1501)&gt;=1339,1339,"")</f>
        <v/>
      </c>
      <c r="B1340" s="8" t="str">
        <f t="shared" si="100"/>
        <v/>
      </c>
      <c r="C1340" s="8" t="str">
        <f t="shared" si="101"/>
        <v/>
      </c>
      <c r="D1340" s="8" t="str">
        <f t="shared" si="102"/>
        <v/>
      </c>
      <c r="F1340" s="4" t="str">
        <f>IF(Jugadores!B1340="","",Jugadores!B1340)</f>
        <v/>
      </c>
      <c r="G1340" s="4" t="str">
        <f>IF(Jugadores!B1340="","",Jugadores!A1340)</f>
        <v/>
      </c>
      <c r="H1340" s="4" t="str">
        <f>IF(F1340="","",SUMIF('Estadísticas Jugadores'!$F$2:$F$7001,F1340,'Estadísticas Jugadores'!$I$2:$I$7001))</f>
        <v/>
      </c>
      <c r="I1340" s="4" t="str">
        <f t="shared" si="103"/>
        <v/>
      </c>
      <c r="J1340" s="4" t="str">
        <f t="shared" si="104"/>
        <v/>
      </c>
    </row>
    <row r="1341" spans="1:10" ht="15" customHeight="1" x14ac:dyDescent="0.25">
      <c r="A1341" s="8" t="str">
        <f>IF(COUNT($J$2:$J$1501)&gt;=1340,1340,"")</f>
        <v/>
      </c>
      <c r="B1341" s="8" t="str">
        <f t="shared" si="100"/>
        <v/>
      </c>
      <c r="C1341" s="8" t="str">
        <f t="shared" si="101"/>
        <v/>
      </c>
      <c r="D1341" s="8" t="str">
        <f t="shared" si="102"/>
        <v/>
      </c>
      <c r="F1341" s="4" t="str">
        <f>IF(Jugadores!B1341="","",Jugadores!B1341)</f>
        <v/>
      </c>
      <c r="G1341" s="4" t="str">
        <f>IF(Jugadores!B1341="","",Jugadores!A1341)</f>
        <v/>
      </c>
      <c r="H1341" s="4" t="str">
        <f>IF(F1341="","",SUMIF('Estadísticas Jugadores'!$F$2:$F$7001,F1341,'Estadísticas Jugadores'!$I$2:$I$7001))</f>
        <v/>
      </c>
      <c r="I1341" s="4" t="str">
        <f t="shared" si="103"/>
        <v/>
      </c>
      <c r="J1341" s="4" t="str">
        <f t="shared" si="104"/>
        <v/>
      </c>
    </row>
    <row r="1342" spans="1:10" ht="15" customHeight="1" x14ac:dyDescent="0.25">
      <c r="A1342" s="8" t="str">
        <f>IF(COUNT($J$2:$J$1501)&gt;=1341,1341,"")</f>
        <v/>
      </c>
      <c r="B1342" s="8" t="str">
        <f t="shared" si="100"/>
        <v/>
      </c>
      <c r="C1342" s="8" t="str">
        <f t="shared" si="101"/>
        <v/>
      </c>
      <c r="D1342" s="8" t="str">
        <f t="shared" si="102"/>
        <v/>
      </c>
      <c r="F1342" s="4" t="str">
        <f>IF(Jugadores!B1342="","",Jugadores!B1342)</f>
        <v/>
      </c>
      <c r="G1342" s="4" t="str">
        <f>IF(Jugadores!B1342="","",Jugadores!A1342)</f>
        <v/>
      </c>
      <c r="H1342" s="4" t="str">
        <f>IF(F1342="","",SUMIF('Estadísticas Jugadores'!$F$2:$F$7001,F1342,'Estadísticas Jugadores'!$I$2:$I$7001))</f>
        <v/>
      </c>
      <c r="I1342" s="4" t="str">
        <f t="shared" si="103"/>
        <v/>
      </c>
      <c r="J1342" s="4" t="str">
        <f t="shared" si="104"/>
        <v/>
      </c>
    </row>
    <row r="1343" spans="1:10" ht="15" customHeight="1" x14ac:dyDescent="0.25">
      <c r="A1343" s="8" t="str">
        <f>IF(COUNT($J$2:$J$1501)&gt;=1342,1342,"")</f>
        <v/>
      </c>
      <c r="B1343" s="8" t="str">
        <f t="shared" si="100"/>
        <v/>
      </c>
      <c r="C1343" s="8" t="str">
        <f t="shared" si="101"/>
        <v/>
      </c>
      <c r="D1343" s="8" t="str">
        <f t="shared" si="102"/>
        <v/>
      </c>
      <c r="F1343" s="4" t="str">
        <f>IF(Jugadores!B1343="","",Jugadores!B1343)</f>
        <v/>
      </c>
      <c r="G1343" s="4" t="str">
        <f>IF(Jugadores!B1343="","",Jugadores!A1343)</f>
        <v/>
      </c>
      <c r="H1343" s="4" t="str">
        <f>IF(F1343="","",SUMIF('Estadísticas Jugadores'!$F$2:$F$7001,F1343,'Estadísticas Jugadores'!$I$2:$I$7001))</f>
        <v/>
      </c>
      <c r="I1343" s="4" t="str">
        <f t="shared" si="103"/>
        <v/>
      </c>
      <c r="J1343" s="4" t="str">
        <f t="shared" si="104"/>
        <v/>
      </c>
    </row>
    <row r="1344" spans="1:10" ht="15" customHeight="1" x14ac:dyDescent="0.25">
      <c r="A1344" s="8" t="str">
        <f>IF(COUNT($J$2:$J$1501)&gt;=1343,1343,"")</f>
        <v/>
      </c>
      <c r="B1344" s="8" t="str">
        <f t="shared" si="100"/>
        <v/>
      </c>
      <c r="C1344" s="8" t="str">
        <f t="shared" si="101"/>
        <v/>
      </c>
      <c r="D1344" s="8" t="str">
        <f t="shared" si="102"/>
        <v/>
      </c>
      <c r="F1344" s="4" t="str">
        <f>IF(Jugadores!B1344="","",Jugadores!B1344)</f>
        <v/>
      </c>
      <c r="G1344" s="4" t="str">
        <f>IF(Jugadores!B1344="","",Jugadores!A1344)</f>
        <v/>
      </c>
      <c r="H1344" s="4" t="str">
        <f>IF(F1344="","",SUMIF('Estadísticas Jugadores'!$F$2:$F$7001,F1344,'Estadísticas Jugadores'!$I$2:$I$7001))</f>
        <v/>
      </c>
      <c r="I1344" s="4" t="str">
        <f t="shared" si="103"/>
        <v/>
      </c>
      <c r="J1344" s="4" t="str">
        <f t="shared" si="104"/>
        <v/>
      </c>
    </row>
    <row r="1345" spans="1:10" ht="15" customHeight="1" x14ac:dyDescent="0.25">
      <c r="A1345" s="8" t="str">
        <f>IF(COUNT($J$2:$J$1501)&gt;=1344,1344,"")</f>
        <v/>
      </c>
      <c r="B1345" s="8" t="str">
        <f t="shared" si="100"/>
        <v/>
      </c>
      <c r="C1345" s="8" t="str">
        <f t="shared" si="101"/>
        <v/>
      </c>
      <c r="D1345" s="8" t="str">
        <f t="shared" si="102"/>
        <v/>
      </c>
      <c r="F1345" s="4" t="str">
        <f>IF(Jugadores!B1345="","",Jugadores!B1345)</f>
        <v/>
      </c>
      <c r="G1345" s="4" t="str">
        <f>IF(Jugadores!B1345="","",Jugadores!A1345)</f>
        <v/>
      </c>
      <c r="H1345" s="4" t="str">
        <f>IF(F1345="","",SUMIF('Estadísticas Jugadores'!$F$2:$F$7001,F1345,'Estadísticas Jugadores'!$I$2:$I$7001))</f>
        <v/>
      </c>
      <c r="I1345" s="4" t="str">
        <f t="shared" si="103"/>
        <v/>
      </c>
      <c r="J1345" s="4" t="str">
        <f t="shared" si="104"/>
        <v/>
      </c>
    </row>
    <row r="1346" spans="1:10" ht="15" customHeight="1" x14ac:dyDescent="0.25">
      <c r="A1346" s="8" t="str">
        <f>IF(COUNT($J$2:$J$1501)&gt;=1345,1345,"")</f>
        <v/>
      </c>
      <c r="B1346" s="8" t="str">
        <f t="shared" ref="B1346:B1409" si="105">IF($A1346="","",INDEX($F$2:$F$1501,MATCH($A1346,$J$2:$J$1501,0)))</f>
        <v/>
      </c>
      <c r="C1346" s="8" t="str">
        <f t="shared" ref="C1346:C1409" si="106">IF($A1346="","",INDEX($G$2:$G$1501,MATCH($A1346,$J$2:$J$1501,0)))</f>
        <v/>
      </c>
      <c r="D1346" s="8" t="str">
        <f t="shared" ref="D1346:D1409" si="107">IF($A1346="","",INDEX($H$2:$H$1501,MATCH($A1346,$J$2:$J$1501,0)))</f>
        <v/>
      </c>
      <c r="F1346" s="4" t="str">
        <f>IF(Jugadores!B1346="","",Jugadores!B1346)</f>
        <v/>
      </c>
      <c r="G1346" s="4" t="str">
        <f>IF(Jugadores!B1346="","",Jugadores!A1346)</f>
        <v/>
      </c>
      <c r="H1346" s="4" t="str">
        <f>IF(F1346="","",SUMIF('Estadísticas Jugadores'!$F$2:$F$7001,F1346,'Estadísticas Jugadores'!$I$2:$I$7001))</f>
        <v/>
      </c>
      <c r="I1346" s="4" t="str">
        <f t="shared" ref="I1346:I1409" si="108">IF(F1346="","",H1346*1000-ROW()*0.0000001)</f>
        <v/>
      </c>
      <c r="J1346" s="4" t="str">
        <f t="shared" ref="J1346:J1409" si="109">IF(F1346="","",RANK(I1346,$I$2:$I$1501))</f>
        <v/>
      </c>
    </row>
    <row r="1347" spans="1:10" ht="15" customHeight="1" x14ac:dyDescent="0.25">
      <c r="A1347" s="8" t="str">
        <f>IF(COUNT($J$2:$J$1501)&gt;=1346,1346,"")</f>
        <v/>
      </c>
      <c r="B1347" s="8" t="str">
        <f t="shared" si="105"/>
        <v/>
      </c>
      <c r="C1347" s="8" t="str">
        <f t="shared" si="106"/>
        <v/>
      </c>
      <c r="D1347" s="8" t="str">
        <f t="shared" si="107"/>
        <v/>
      </c>
      <c r="F1347" s="4" t="str">
        <f>IF(Jugadores!B1347="","",Jugadores!B1347)</f>
        <v/>
      </c>
      <c r="G1347" s="4" t="str">
        <f>IF(Jugadores!B1347="","",Jugadores!A1347)</f>
        <v/>
      </c>
      <c r="H1347" s="4" t="str">
        <f>IF(F1347="","",SUMIF('Estadísticas Jugadores'!$F$2:$F$7001,F1347,'Estadísticas Jugadores'!$I$2:$I$7001))</f>
        <v/>
      </c>
      <c r="I1347" s="4" t="str">
        <f t="shared" si="108"/>
        <v/>
      </c>
      <c r="J1347" s="4" t="str">
        <f t="shared" si="109"/>
        <v/>
      </c>
    </row>
    <row r="1348" spans="1:10" ht="15" customHeight="1" x14ac:dyDescent="0.25">
      <c r="A1348" s="8" t="str">
        <f>IF(COUNT($J$2:$J$1501)&gt;=1347,1347,"")</f>
        <v/>
      </c>
      <c r="B1348" s="8" t="str">
        <f t="shared" si="105"/>
        <v/>
      </c>
      <c r="C1348" s="8" t="str">
        <f t="shared" si="106"/>
        <v/>
      </c>
      <c r="D1348" s="8" t="str">
        <f t="shared" si="107"/>
        <v/>
      </c>
      <c r="F1348" s="4" t="str">
        <f>IF(Jugadores!B1348="","",Jugadores!B1348)</f>
        <v/>
      </c>
      <c r="G1348" s="4" t="str">
        <f>IF(Jugadores!B1348="","",Jugadores!A1348)</f>
        <v/>
      </c>
      <c r="H1348" s="4" t="str">
        <f>IF(F1348="","",SUMIF('Estadísticas Jugadores'!$F$2:$F$7001,F1348,'Estadísticas Jugadores'!$I$2:$I$7001))</f>
        <v/>
      </c>
      <c r="I1348" s="4" t="str">
        <f t="shared" si="108"/>
        <v/>
      </c>
      <c r="J1348" s="4" t="str">
        <f t="shared" si="109"/>
        <v/>
      </c>
    </row>
    <row r="1349" spans="1:10" ht="15" customHeight="1" x14ac:dyDescent="0.25">
      <c r="A1349" s="8" t="str">
        <f>IF(COUNT($J$2:$J$1501)&gt;=1348,1348,"")</f>
        <v/>
      </c>
      <c r="B1349" s="8" t="str">
        <f t="shared" si="105"/>
        <v/>
      </c>
      <c r="C1349" s="8" t="str">
        <f t="shared" si="106"/>
        <v/>
      </c>
      <c r="D1349" s="8" t="str">
        <f t="shared" si="107"/>
        <v/>
      </c>
      <c r="F1349" s="4" t="str">
        <f>IF(Jugadores!B1349="","",Jugadores!B1349)</f>
        <v/>
      </c>
      <c r="G1349" s="4" t="str">
        <f>IF(Jugadores!B1349="","",Jugadores!A1349)</f>
        <v/>
      </c>
      <c r="H1349" s="4" t="str">
        <f>IF(F1349="","",SUMIF('Estadísticas Jugadores'!$F$2:$F$7001,F1349,'Estadísticas Jugadores'!$I$2:$I$7001))</f>
        <v/>
      </c>
      <c r="I1349" s="4" t="str">
        <f t="shared" si="108"/>
        <v/>
      </c>
      <c r="J1349" s="4" t="str">
        <f t="shared" si="109"/>
        <v/>
      </c>
    </row>
    <row r="1350" spans="1:10" ht="15" customHeight="1" x14ac:dyDescent="0.25">
      <c r="A1350" s="8" t="str">
        <f>IF(COUNT($J$2:$J$1501)&gt;=1349,1349,"")</f>
        <v/>
      </c>
      <c r="B1350" s="8" t="str">
        <f t="shared" si="105"/>
        <v/>
      </c>
      <c r="C1350" s="8" t="str">
        <f t="shared" si="106"/>
        <v/>
      </c>
      <c r="D1350" s="8" t="str">
        <f t="shared" si="107"/>
        <v/>
      </c>
      <c r="F1350" s="4" t="str">
        <f>IF(Jugadores!B1350="","",Jugadores!B1350)</f>
        <v/>
      </c>
      <c r="G1350" s="4" t="str">
        <f>IF(Jugadores!B1350="","",Jugadores!A1350)</f>
        <v/>
      </c>
      <c r="H1350" s="4" t="str">
        <f>IF(F1350="","",SUMIF('Estadísticas Jugadores'!$F$2:$F$7001,F1350,'Estadísticas Jugadores'!$I$2:$I$7001))</f>
        <v/>
      </c>
      <c r="I1350" s="4" t="str">
        <f t="shared" si="108"/>
        <v/>
      </c>
      <c r="J1350" s="4" t="str">
        <f t="shared" si="109"/>
        <v/>
      </c>
    </row>
    <row r="1351" spans="1:10" ht="15" customHeight="1" x14ac:dyDescent="0.25">
      <c r="A1351" s="8" t="str">
        <f>IF(COUNT($J$2:$J$1501)&gt;=1350,1350,"")</f>
        <v/>
      </c>
      <c r="B1351" s="8" t="str">
        <f t="shared" si="105"/>
        <v/>
      </c>
      <c r="C1351" s="8" t="str">
        <f t="shared" si="106"/>
        <v/>
      </c>
      <c r="D1351" s="8" t="str">
        <f t="shared" si="107"/>
        <v/>
      </c>
      <c r="F1351" s="4" t="str">
        <f>IF(Jugadores!B1351="","",Jugadores!B1351)</f>
        <v/>
      </c>
      <c r="G1351" s="4" t="str">
        <f>IF(Jugadores!B1351="","",Jugadores!A1351)</f>
        <v/>
      </c>
      <c r="H1351" s="4" t="str">
        <f>IF(F1351="","",SUMIF('Estadísticas Jugadores'!$F$2:$F$7001,F1351,'Estadísticas Jugadores'!$I$2:$I$7001))</f>
        <v/>
      </c>
      <c r="I1351" s="4" t="str">
        <f t="shared" si="108"/>
        <v/>
      </c>
      <c r="J1351" s="4" t="str">
        <f t="shared" si="109"/>
        <v/>
      </c>
    </row>
    <row r="1352" spans="1:10" ht="15" customHeight="1" x14ac:dyDescent="0.25">
      <c r="A1352" s="8" t="str">
        <f>IF(COUNT($J$2:$J$1501)&gt;=1351,1351,"")</f>
        <v/>
      </c>
      <c r="B1352" s="8" t="str">
        <f t="shared" si="105"/>
        <v/>
      </c>
      <c r="C1352" s="8" t="str">
        <f t="shared" si="106"/>
        <v/>
      </c>
      <c r="D1352" s="8" t="str">
        <f t="shared" si="107"/>
        <v/>
      </c>
      <c r="F1352" s="4" t="str">
        <f>IF(Jugadores!B1352="","",Jugadores!B1352)</f>
        <v/>
      </c>
      <c r="G1352" s="4" t="str">
        <f>IF(Jugadores!B1352="","",Jugadores!A1352)</f>
        <v/>
      </c>
      <c r="H1352" s="4" t="str">
        <f>IF(F1352="","",SUMIF('Estadísticas Jugadores'!$F$2:$F$7001,F1352,'Estadísticas Jugadores'!$I$2:$I$7001))</f>
        <v/>
      </c>
      <c r="I1352" s="4" t="str">
        <f t="shared" si="108"/>
        <v/>
      </c>
      <c r="J1352" s="4" t="str">
        <f t="shared" si="109"/>
        <v/>
      </c>
    </row>
    <row r="1353" spans="1:10" ht="15" customHeight="1" x14ac:dyDescent="0.25">
      <c r="A1353" s="8" t="str">
        <f>IF(COUNT($J$2:$J$1501)&gt;=1352,1352,"")</f>
        <v/>
      </c>
      <c r="B1353" s="8" t="str">
        <f t="shared" si="105"/>
        <v/>
      </c>
      <c r="C1353" s="8" t="str">
        <f t="shared" si="106"/>
        <v/>
      </c>
      <c r="D1353" s="8" t="str">
        <f t="shared" si="107"/>
        <v/>
      </c>
      <c r="F1353" s="4" t="str">
        <f>IF(Jugadores!B1353="","",Jugadores!B1353)</f>
        <v/>
      </c>
      <c r="G1353" s="4" t="str">
        <f>IF(Jugadores!B1353="","",Jugadores!A1353)</f>
        <v/>
      </c>
      <c r="H1353" s="4" t="str">
        <f>IF(F1353="","",SUMIF('Estadísticas Jugadores'!$F$2:$F$7001,F1353,'Estadísticas Jugadores'!$I$2:$I$7001))</f>
        <v/>
      </c>
      <c r="I1353" s="4" t="str">
        <f t="shared" si="108"/>
        <v/>
      </c>
      <c r="J1353" s="4" t="str">
        <f t="shared" si="109"/>
        <v/>
      </c>
    </row>
    <row r="1354" spans="1:10" ht="15" customHeight="1" x14ac:dyDescent="0.25">
      <c r="A1354" s="8" t="str">
        <f>IF(COUNT($J$2:$J$1501)&gt;=1353,1353,"")</f>
        <v/>
      </c>
      <c r="B1354" s="8" t="str">
        <f t="shared" si="105"/>
        <v/>
      </c>
      <c r="C1354" s="8" t="str">
        <f t="shared" si="106"/>
        <v/>
      </c>
      <c r="D1354" s="8" t="str">
        <f t="shared" si="107"/>
        <v/>
      </c>
      <c r="F1354" s="4" t="str">
        <f>IF(Jugadores!B1354="","",Jugadores!B1354)</f>
        <v/>
      </c>
      <c r="G1354" s="4" t="str">
        <f>IF(Jugadores!B1354="","",Jugadores!A1354)</f>
        <v/>
      </c>
      <c r="H1354" s="4" t="str">
        <f>IF(F1354="","",SUMIF('Estadísticas Jugadores'!$F$2:$F$7001,F1354,'Estadísticas Jugadores'!$I$2:$I$7001))</f>
        <v/>
      </c>
      <c r="I1354" s="4" t="str">
        <f t="shared" si="108"/>
        <v/>
      </c>
      <c r="J1354" s="4" t="str">
        <f t="shared" si="109"/>
        <v/>
      </c>
    </row>
    <row r="1355" spans="1:10" ht="15" customHeight="1" x14ac:dyDescent="0.25">
      <c r="A1355" s="8" t="str">
        <f>IF(COUNT($J$2:$J$1501)&gt;=1354,1354,"")</f>
        <v/>
      </c>
      <c r="B1355" s="8" t="str">
        <f t="shared" si="105"/>
        <v/>
      </c>
      <c r="C1355" s="8" t="str">
        <f t="shared" si="106"/>
        <v/>
      </c>
      <c r="D1355" s="8" t="str">
        <f t="shared" si="107"/>
        <v/>
      </c>
      <c r="F1355" s="4" t="str">
        <f>IF(Jugadores!B1355="","",Jugadores!B1355)</f>
        <v/>
      </c>
      <c r="G1355" s="4" t="str">
        <f>IF(Jugadores!B1355="","",Jugadores!A1355)</f>
        <v/>
      </c>
      <c r="H1355" s="4" t="str">
        <f>IF(F1355="","",SUMIF('Estadísticas Jugadores'!$F$2:$F$7001,F1355,'Estadísticas Jugadores'!$I$2:$I$7001))</f>
        <v/>
      </c>
      <c r="I1355" s="4" t="str">
        <f t="shared" si="108"/>
        <v/>
      </c>
      <c r="J1355" s="4" t="str">
        <f t="shared" si="109"/>
        <v/>
      </c>
    </row>
    <row r="1356" spans="1:10" ht="15" customHeight="1" x14ac:dyDescent="0.25">
      <c r="A1356" s="8" t="str">
        <f>IF(COUNT($J$2:$J$1501)&gt;=1355,1355,"")</f>
        <v/>
      </c>
      <c r="B1356" s="8" t="str">
        <f t="shared" si="105"/>
        <v/>
      </c>
      <c r="C1356" s="8" t="str">
        <f t="shared" si="106"/>
        <v/>
      </c>
      <c r="D1356" s="8" t="str">
        <f t="shared" si="107"/>
        <v/>
      </c>
      <c r="F1356" s="4" t="str">
        <f>IF(Jugadores!B1356="","",Jugadores!B1356)</f>
        <v/>
      </c>
      <c r="G1356" s="4" t="str">
        <f>IF(Jugadores!B1356="","",Jugadores!A1356)</f>
        <v/>
      </c>
      <c r="H1356" s="4" t="str">
        <f>IF(F1356="","",SUMIF('Estadísticas Jugadores'!$F$2:$F$7001,F1356,'Estadísticas Jugadores'!$I$2:$I$7001))</f>
        <v/>
      </c>
      <c r="I1356" s="4" t="str">
        <f t="shared" si="108"/>
        <v/>
      </c>
      <c r="J1356" s="4" t="str">
        <f t="shared" si="109"/>
        <v/>
      </c>
    </row>
    <row r="1357" spans="1:10" ht="15" customHeight="1" x14ac:dyDescent="0.25">
      <c r="A1357" s="8" t="str">
        <f>IF(COUNT($J$2:$J$1501)&gt;=1356,1356,"")</f>
        <v/>
      </c>
      <c r="B1357" s="8" t="str">
        <f t="shared" si="105"/>
        <v/>
      </c>
      <c r="C1357" s="8" t="str">
        <f t="shared" si="106"/>
        <v/>
      </c>
      <c r="D1357" s="8" t="str">
        <f t="shared" si="107"/>
        <v/>
      </c>
      <c r="F1357" s="4" t="str">
        <f>IF(Jugadores!B1357="","",Jugadores!B1357)</f>
        <v/>
      </c>
      <c r="G1357" s="4" t="str">
        <f>IF(Jugadores!B1357="","",Jugadores!A1357)</f>
        <v/>
      </c>
      <c r="H1357" s="4" t="str">
        <f>IF(F1357="","",SUMIF('Estadísticas Jugadores'!$F$2:$F$7001,F1357,'Estadísticas Jugadores'!$I$2:$I$7001))</f>
        <v/>
      </c>
      <c r="I1357" s="4" t="str">
        <f t="shared" si="108"/>
        <v/>
      </c>
      <c r="J1357" s="4" t="str">
        <f t="shared" si="109"/>
        <v/>
      </c>
    </row>
    <row r="1358" spans="1:10" ht="15" customHeight="1" x14ac:dyDescent="0.25">
      <c r="A1358" s="8" t="str">
        <f>IF(COUNT($J$2:$J$1501)&gt;=1357,1357,"")</f>
        <v/>
      </c>
      <c r="B1358" s="8" t="str">
        <f t="shared" si="105"/>
        <v/>
      </c>
      <c r="C1358" s="8" t="str">
        <f t="shared" si="106"/>
        <v/>
      </c>
      <c r="D1358" s="8" t="str">
        <f t="shared" si="107"/>
        <v/>
      </c>
      <c r="F1358" s="4" t="str">
        <f>IF(Jugadores!B1358="","",Jugadores!B1358)</f>
        <v/>
      </c>
      <c r="G1358" s="4" t="str">
        <f>IF(Jugadores!B1358="","",Jugadores!A1358)</f>
        <v/>
      </c>
      <c r="H1358" s="4" t="str">
        <f>IF(F1358="","",SUMIF('Estadísticas Jugadores'!$F$2:$F$7001,F1358,'Estadísticas Jugadores'!$I$2:$I$7001))</f>
        <v/>
      </c>
      <c r="I1358" s="4" t="str">
        <f t="shared" si="108"/>
        <v/>
      </c>
      <c r="J1358" s="4" t="str">
        <f t="shared" si="109"/>
        <v/>
      </c>
    </row>
    <row r="1359" spans="1:10" ht="15" customHeight="1" x14ac:dyDescent="0.25">
      <c r="A1359" s="8" t="str">
        <f>IF(COUNT($J$2:$J$1501)&gt;=1358,1358,"")</f>
        <v/>
      </c>
      <c r="B1359" s="8" t="str">
        <f t="shared" si="105"/>
        <v/>
      </c>
      <c r="C1359" s="8" t="str">
        <f t="shared" si="106"/>
        <v/>
      </c>
      <c r="D1359" s="8" t="str">
        <f t="shared" si="107"/>
        <v/>
      </c>
      <c r="F1359" s="4" t="str">
        <f>IF(Jugadores!B1359="","",Jugadores!B1359)</f>
        <v/>
      </c>
      <c r="G1359" s="4" t="str">
        <f>IF(Jugadores!B1359="","",Jugadores!A1359)</f>
        <v/>
      </c>
      <c r="H1359" s="4" t="str">
        <f>IF(F1359="","",SUMIF('Estadísticas Jugadores'!$F$2:$F$7001,F1359,'Estadísticas Jugadores'!$I$2:$I$7001))</f>
        <v/>
      </c>
      <c r="I1359" s="4" t="str">
        <f t="shared" si="108"/>
        <v/>
      </c>
      <c r="J1359" s="4" t="str">
        <f t="shared" si="109"/>
        <v/>
      </c>
    </row>
    <row r="1360" spans="1:10" ht="15" customHeight="1" x14ac:dyDescent="0.25">
      <c r="A1360" s="8" t="str">
        <f>IF(COUNT($J$2:$J$1501)&gt;=1359,1359,"")</f>
        <v/>
      </c>
      <c r="B1360" s="8" t="str">
        <f t="shared" si="105"/>
        <v/>
      </c>
      <c r="C1360" s="8" t="str">
        <f t="shared" si="106"/>
        <v/>
      </c>
      <c r="D1360" s="8" t="str">
        <f t="shared" si="107"/>
        <v/>
      </c>
      <c r="F1360" s="4" t="str">
        <f>IF(Jugadores!B1360="","",Jugadores!B1360)</f>
        <v/>
      </c>
      <c r="G1360" s="4" t="str">
        <f>IF(Jugadores!B1360="","",Jugadores!A1360)</f>
        <v/>
      </c>
      <c r="H1360" s="4" t="str">
        <f>IF(F1360="","",SUMIF('Estadísticas Jugadores'!$F$2:$F$7001,F1360,'Estadísticas Jugadores'!$I$2:$I$7001))</f>
        <v/>
      </c>
      <c r="I1360" s="4" t="str">
        <f t="shared" si="108"/>
        <v/>
      </c>
      <c r="J1360" s="4" t="str">
        <f t="shared" si="109"/>
        <v/>
      </c>
    </row>
    <row r="1361" spans="1:10" ht="15" customHeight="1" x14ac:dyDescent="0.25">
      <c r="A1361" s="8" t="str">
        <f>IF(COUNT($J$2:$J$1501)&gt;=1360,1360,"")</f>
        <v/>
      </c>
      <c r="B1361" s="8" t="str">
        <f t="shared" si="105"/>
        <v/>
      </c>
      <c r="C1361" s="8" t="str">
        <f t="shared" si="106"/>
        <v/>
      </c>
      <c r="D1361" s="8" t="str">
        <f t="shared" si="107"/>
        <v/>
      </c>
      <c r="F1361" s="4" t="str">
        <f>IF(Jugadores!B1361="","",Jugadores!B1361)</f>
        <v/>
      </c>
      <c r="G1361" s="4" t="str">
        <f>IF(Jugadores!B1361="","",Jugadores!A1361)</f>
        <v/>
      </c>
      <c r="H1361" s="4" t="str">
        <f>IF(F1361="","",SUMIF('Estadísticas Jugadores'!$F$2:$F$7001,F1361,'Estadísticas Jugadores'!$I$2:$I$7001))</f>
        <v/>
      </c>
      <c r="I1361" s="4" t="str">
        <f t="shared" si="108"/>
        <v/>
      </c>
      <c r="J1361" s="4" t="str">
        <f t="shared" si="109"/>
        <v/>
      </c>
    </row>
    <row r="1362" spans="1:10" ht="15" customHeight="1" x14ac:dyDescent="0.25">
      <c r="A1362" s="8" t="str">
        <f>IF(COUNT($J$2:$J$1501)&gt;=1361,1361,"")</f>
        <v/>
      </c>
      <c r="B1362" s="8" t="str">
        <f t="shared" si="105"/>
        <v/>
      </c>
      <c r="C1362" s="8" t="str">
        <f t="shared" si="106"/>
        <v/>
      </c>
      <c r="D1362" s="8" t="str">
        <f t="shared" si="107"/>
        <v/>
      </c>
      <c r="F1362" s="4" t="str">
        <f>IF(Jugadores!B1362="","",Jugadores!B1362)</f>
        <v/>
      </c>
      <c r="G1362" s="4" t="str">
        <f>IF(Jugadores!B1362="","",Jugadores!A1362)</f>
        <v/>
      </c>
      <c r="H1362" s="4" t="str">
        <f>IF(F1362="","",SUMIF('Estadísticas Jugadores'!$F$2:$F$7001,F1362,'Estadísticas Jugadores'!$I$2:$I$7001))</f>
        <v/>
      </c>
      <c r="I1362" s="4" t="str">
        <f t="shared" si="108"/>
        <v/>
      </c>
      <c r="J1362" s="4" t="str">
        <f t="shared" si="109"/>
        <v/>
      </c>
    </row>
    <row r="1363" spans="1:10" ht="15" customHeight="1" x14ac:dyDescent="0.25">
      <c r="A1363" s="8" t="str">
        <f>IF(COUNT($J$2:$J$1501)&gt;=1362,1362,"")</f>
        <v/>
      </c>
      <c r="B1363" s="8" t="str">
        <f t="shared" si="105"/>
        <v/>
      </c>
      <c r="C1363" s="8" t="str">
        <f t="shared" si="106"/>
        <v/>
      </c>
      <c r="D1363" s="8" t="str">
        <f t="shared" si="107"/>
        <v/>
      </c>
      <c r="F1363" s="4" t="str">
        <f>IF(Jugadores!B1363="","",Jugadores!B1363)</f>
        <v/>
      </c>
      <c r="G1363" s="4" t="str">
        <f>IF(Jugadores!B1363="","",Jugadores!A1363)</f>
        <v/>
      </c>
      <c r="H1363" s="4" t="str">
        <f>IF(F1363="","",SUMIF('Estadísticas Jugadores'!$F$2:$F$7001,F1363,'Estadísticas Jugadores'!$I$2:$I$7001))</f>
        <v/>
      </c>
      <c r="I1363" s="4" t="str">
        <f t="shared" si="108"/>
        <v/>
      </c>
      <c r="J1363" s="4" t="str">
        <f t="shared" si="109"/>
        <v/>
      </c>
    </row>
    <row r="1364" spans="1:10" ht="15" customHeight="1" x14ac:dyDescent="0.25">
      <c r="A1364" s="8" t="str">
        <f>IF(COUNT($J$2:$J$1501)&gt;=1363,1363,"")</f>
        <v/>
      </c>
      <c r="B1364" s="8" t="str">
        <f t="shared" si="105"/>
        <v/>
      </c>
      <c r="C1364" s="8" t="str">
        <f t="shared" si="106"/>
        <v/>
      </c>
      <c r="D1364" s="8" t="str">
        <f t="shared" si="107"/>
        <v/>
      </c>
      <c r="F1364" s="4" t="str">
        <f>IF(Jugadores!B1364="","",Jugadores!B1364)</f>
        <v/>
      </c>
      <c r="G1364" s="4" t="str">
        <f>IF(Jugadores!B1364="","",Jugadores!A1364)</f>
        <v/>
      </c>
      <c r="H1364" s="4" t="str">
        <f>IF(F1364="","",SUMIF('Estadísticas Jugadores'!$F$2:$F$7001,F1364,'Estadísticas Jugadores'!$I$2:$I$7001))</f>
        <v/>
      </c>
      <c r="I1364" s="4" t="str">
        <f t="shared" si="108"/>
        <v/>
      </c>
      <c r="J1364" s="4" t="str">
        <f t="shared" si="109"/>
        <v/>
      </c>
    </row>
    <row r="1365" spans="1:10" ht="15" customHeight="1" x14ac:dyDescent="0.25">
      <c r="A1365" s="8" t="str">
        <f>IF(COUNT($J$2:$J$1501)&gt;=1364,1364,"")</f>
        <v/>
      </c>
      <c r="B1365" s="8" t="str">
        <f t="shared" si="105"/>
        <v/>
      </c>
      <c r="C1365" s="8" t="str">
        <f t="shared" si="106"/>
        <v/>
      </c>
      <c r="D1365" s="8" t="str">
        <f t="shared" si="107"/>
        <v/>
      </c>
      <c r="F1365" s="4" t="str">
        <f>IF(Jugadores!B1365="","",Jugadores!B1365)</f>
        <v/>
      </c>
      <c r="G1365" s="4" t="str">
        <f>IF(Jugadores!B1365="","",Jugadores!A1365)</f>
        <v/>
      </c>
      <c r="H1365" s="4" t="str">
        <f>IF(F1365="","",SUMIF('Estadísticas Jugadores'!$F$2:$F$7001,F1365,'Estadísticas Jugadores'!$I$2:$I$7001))</f>
        <v/>
      </c>
      <c r="I1365" s="4" t="str">
        <f t="shared" si="108"/>
        <v/>
      </c>
      <c r="J1365" s="4" t="str">
        <f t="shared" si="109"/>
        <v/>
      </c>
    </row>
    <row r="1366" spans="1:10" ht="15" customHeight="1" x14ac:dyDescent="0.25">
      <c r="A1366" s="8" t="str">
        <f>IF(COUNT($J$2:$J$1501)&gt;=1365,1365,"")</f>
        <v/>
      </c>
      <c r="B1366" s="8" t="str">
        <f t="shared" si="105"/>
        <v/>
      </c>
      <c r="C1366" s="8" t="str">
        <f t="shared" si="106"/>
        <v/>
      </c>
      <c r="D1366" s="8" t="str">
        <f t="shared" si="107"/>
        <v/>
      </c>
      <c r="F1366" s="4" t="str">
        <f>IF(Jugadores!B1366="","",Jugadores!B1366)</f>
        <v/>
      </c>
      <c r="G1366" s="4" t="str">
        <f>IF(Jugadores!B1366="","",Jugadores!A1366)</f>
        <v/>
      </c>
      <c r="H1366" s="4" t="str">
        <f>IF(F1366="","",SUMIF('Estadísticas Jugadores'!$F$2:$F$7001,F1366,'Estadísticas Jugadores'!$I$2:$I$7001))</f>
        <v/>
      </c>
      <c r="I1366" s="4" t="str">
        <f t="shared" si="108"/>
        <v/>
      </c>
      <c r="J1366" s="4" t="str">
        <f t="shared" si="109"/>
        <v/>
      </c>
    </row>
    <row r="1367" spans="1:10" ht="15" customHeight="1" x14ac:dyDescent="0.25">
      <c r="A1367" s="8" t="str">
        <f>IF(COUNT($J$2:$J$1501)&gt;=1366,1366,"")</f>
        <v/>
      </c>
      <c r="B1367" s="8" t="str">
        <f t="shared" si="105"/>
        <v/>
      </c>
      <c r="C1367" s="8" t="str">
        <f t="shared" si="106"/>
        <v/>
      </c>
      <c r="D1367" s="8" t="str">
        <f t="shared" si="107"/>
        <v/>
      </c>
      <c r="F1367" s="4" t="str">
        <f>IF(Jugadores!B1367="","",Jugadores!B1367)</f>
        <v/>
      </c>
      <c r="G1367" s="4" t="str">
        <f>IF(Jugadores!B1367="","",Jugadores!A1367)</f>
        <v/>
      </c>
      <c r="H1367" s="4" t="str">
        <f>IF(F1367="","",SUMIF('Estadísticas Jugadores'!$F$2:$F$7001,F1367,'Estadísticas Jugadores'!$I$2:$I$7001))</f>
        <v/>
      </c>
      <c r="I1367" s="4" t="str">
        <f t="shared" si="108"/>
        <v/>
      </c>
      <c r="J1367" s="4" t="str">
        <f t="shared" si="109"/>
        <v/>
      </c>
    </row>
    <row r="1368" spans="1:10" ht="15" customHeight="1" x14ac:dyDescent="0.25">
      <c r="A1368" s="8" t="str">
        <f>IF(COUNT($J$2:$J$1501)&gt;=1367,1367,"")</f>
        <v/>
      </c>
      <c r="B1368" s="8" t="str">
        <f t="shared" si="105"/>
        <v/>
      </c>
      <c r="C1368" s="8" t="str">
        <f t="shared" si="106"/>
        <v/>
      </c>
      <c r="D1368" s="8" t="str">
        <f t="shared" si="107"/>
        <v/>
      </c>
      <c r="F1368" s="4" t="str">
        <f>IF(Jugadores!B1368="","",Jugadores!B1368)</f>
        <v/>
      </c>
      <c r="G1368" s="4" t="str">
        <f>IF(Jugadores!B1368="","",Jugadores!A1368)</f>
        <v/>
      </c>
      <c r="H1368" s="4" t="str">
        <f>IF(F1368="","",SUMIF('Estadísticas Jugadores'!$F$2:$F$7001,F1368,'Estadísticas Jugadores'!$I$2:$I$7001))</f>
        <v/>
      </c>
      <c r="I1368" s="4" t="str">
        <f t="shared" si="108"/>
        <v/>
      </c>
      <c r="J1368" s="4" t="str">
        <f t="shared" si="109"/>
        <v/>
      </c>
    </row>
    <row r="1369" spans="1:10" ht="15" customHeight="1" x14ac:dyDescent="0.25">
      <c r="A1369" s="8" t="str">
        <f>IF(COUNT($J$2:$J$1501)&gt;=1368,1368,"")</f>
        <v/>
      </c>
      <c r="B1369" s="8" t="str">
        <f t="shared" si="105"/>
        <v/>
      </c>
      <c r="C1369" s="8" t="str">
        <f t="shared" si="106"/>
        <v/>
      </c>
      <c r="D1369" s="8" t="str">
        <f t="shared" si="107"/>
        <v/>
      </c>
      <c r="F1369" s="4" t="str">
        <f>IF(Jugadores!B1369="","",Jugadores!B1369)</f>
        <v/>
      </c>
      <c r="G1369" s="4" t="str">
        <f>IF(Jugadores!B1369="","",Jugadores!A1369)</f>
        <v/>
      </c>
      <c r="H1369" s="4" t="str">
        <f>IF(F1369="","",SUMIF('Estadísticas Jugadores'!$F$2:$F$7001,F1369,'Estadísticas Jugadores'!$I$2:$I$7001))</f>
        <v/>
      </c>
      <c r="I1369" s="4" t="str">
        <f t="shared" si="108"/>
        <v/>
      </c>
      <c r="J1369" s="4" t="str">
        <f t="shared" si="109"/>
        <v/>
      </c>
    </row>
    <row r="1370" spans="1:10" ht="15" customHeight="1" x14ac:dyDescent="0.25">
      <c r="A1370" s="8" t="str">
        <f>IF(COUNT($J$2:$J$1501)&gt;=1369,1369,"")</f>
        <v/>
      </c>
      <c r="B1370" s="8" t="str">
        <f t="shared" si="105"/>
        <v/>
      </c>
      <c r="C1370" s="8" t="str">
        <f t="shared" si="106"/>
        <v/>
      </c>
      <c r="D1370" s="8" t="str">
        <f t="shared" si="107"/>
        <v/>
      </c>
      <c r="F1370" s="4" t="str">
        <f>IF(Jugadores!B1370="","",Jugadores!B1370)</f>
        <v/>
      </c>
      <c r="G1370" s="4" t="str">
        <f>IF(Jugadores!B1370="","",Jugadores!A1370)</f>
        <v/>
      </c>
      <c r="H1370" s="4" t="str">
        <f>IF(F1370="","",SUMIF('Estadísticas Jugadores'!$F$2:$F$7001,F1370,'Estadísticas Jugadores'!$I$2:$I$7001))</f>
        <v/>
      </c>
      <c r="I1370" s="4" t="str">
        <f t="shared" si="108"/>
        <v/>
      </c>
      <c r="J1370" s="4" t="str">
        <f t="shared" si="109"/>
        <v/>
      </c>
    </row>
    <row r="1371" spans="1:10" ht="15" customHeight="1" x14ac:dyDescent="0.25">
      <c r="A1371" s="8" t="str">
        <f>IF(COUNT($J$2:$J$1501)&gt;=1370,1370,"")</f>
        <v/>
      </c>
      <c r="B1371" s="8" t="str">
        <f t="shared" si="105"/>
        <v/>
      </c>
      <c r="C1371" s="8" t="str">
        <f t="shared" si="106"/>
        <v/>
      </c>
      <c r="D1371" s="8" t="str">
        <f t="shared" si="107"/>
        <v/>
      </c>
      <c r="F1371" s="4" t="str">
        <f>IF(Jugadores!B1371="","",Jugadores!B1371)</f>
        <v/>
      </c>
      <c r="G1371" s="4" t="str">
        <f>IF(Jugadores!B1371="","",Jugadores!A1371)</f>
        <v/>
      </c>
      <c r="H1371" s="4" t="str">
        <f>IF(F1371="","",SUMIF('Estadísticas Jugadores'!$F$2:$F$7001,F1371,'Estadísticas Jugadores'!$I$2:$I$7001))</f>
        <v/>
      </c>
      <c r="I1371" s="4" t="str">
        <f t="shared" si="108"/>
        <v/>
      </c>
      <c r="J1371" s="4" t="str">
        <f t="shared" si="109"/>
        <v/>
      </c>
    </row>
    <row r="1372" spans="1:10" ht="15" customHeight="1" x14ac:dyDescent="0.25">
      <c r="A1372" s="8" t="str">
        <f>IF(COUNT($J$2:$J$1501)&gt;=1371,1371,"")</f>
        <v/>
      </c>
      <c r="B1372" s="8" t="str">
        <f t="shared" si="105"/>
        <v/>
      </c>
      <c r="C1372" s="8" t="str">
        <f t="shared" si="106"/>
        <v/>
      </c>
      <c r="D1372" s="8" t="str">
        <f t="shared" si="107"/>
        <v/>
      </c>
      <c r="F1372" s="4" t="str">
        <f>IF(Jugadores!B1372="","",Jugadores!B1372)</f>
        <v/>
      </c>
      <c r="G1372" s="4" t="str">
        <f>IF(Jugadores!B1372="","",Jugadores!A1372)</f>
        <v/>
      </c>
      <c r="H1372" s="4" t="str">
        <f>IF(F1372="","",SUMIF('Estadísticas Jugadores'!$F$2:$F$7001,F1372,'Estadísticas Jugadores'!$I$2:$I$7001))</f>
        <v/>
      </c>
      <c r="I1372" s="4" t="str">
        <f t="shared" si="108"/>
        <v/>
      </c>
      <c r="J1372" s="4" t="str">
        <f t="shared" si="109"/>
        <v/>
      </c>
    </row>
    <row r="1373" spans="1:10" ht="15" customHeight="1" x14ac:dyDescent="0.25">
      <c r="A1373" s="8" t="str">
        <f>IF(COUNT($J$2:$J$1501)&gt;=1372,1372,"")</f>
        <v/>
      </c>
      <c r="B1373" s="8" t="str">
        <f t="shared" si="105"/>
        <v/>
      </c>
      <c r="C1373" s="8" t="str">
        <f t="shared" si="106"/>
        <v/>
      </c>
      <c r="D1373" s="8" t="str">
        <f t="shared" si="107"/>
        <v/>
      </c>
      <c r="F1373" s="4" t="str">
        <f>IF(Jugadores!B1373="","",Jugadores!B1373)</f>
        <v/>
      </c>
      <c r="G1373" s="4" t="str">
        <f>IF(Jugadores!B1373="","",Jugadores!A1373)</f>
        <v/>
      </c>
      <c r="H1373" s="4" t="str">
        <f>IF(F1373="","",SUMIF('Estadísticas Jugadores'!$F$2:$F$7001,F1373,'Estadísticas Jugadores'!$I$2:$I$7001))</f>
        <v/>
      </c>
      <c r="I1373" s="4" t="str">
        <f t="shared" si="108"/>
        <v/>
      </c>
      <c r="J1373" s="4" t="str">
        <f t="shared" si="109"/>
        <v/>
      </c>
    </row>
    <row r="1374" spans="1:10" ht="15" customHeight="1" x14ac:dyDescent="0.25">
      <c r="A1374" s="8" t="str">
        <f>IF(COUNT($J$2:$J$1501)&gt;=1373,1373,"")</f>
        <v/>
      </c>
      <c r="B1374" s="8" t="str">
        <f t="shared" si="105"/>
        <v/>
      </c>
      <c r="C1374" s="8" t="str">
        <f t="shared" si="106"/>
        <v/>
      </c>
      <c r="D1374" s="8" t="str">
        <f t="shared" si="107"/>
        <v/>
      </c>
      <c r="F1374" s="4" t="str">
        <f>IF(Jugadores!B1374="","",Jugadores!B1374)</f>
        <v/>
      </c>
      <c r="G1374" s="4" t="str">
        <f>IF(Jugadores!B1374="","",Jugadores!A1374)</f>
        <v/>
      </c>
      <c r="H1374" s="4" t="str">
        <f>IF(F1374="","",SUMIF('Estadísticas Jugadores'!$F$2:$F$7001,F1374,'Estadísticas Jugadores'!$I$2:$I$7001))</f>
        <v/>
      </c>
      <c r="I1374" s="4" t="str">
        <f t="shared" si="108"/>
        <v/>
      </c>
      <c r="J1374" s="4" t="str">
        <f t="shared" si="109"/>
        <v/>
      </c>
    </row>
    <row r="1375" spans="1:10" ht="15" customHeight="1" x14ac:dyDescent="0.25">
      <c r="A1375" s="8" t="str">
        <f>IF(COUNT($J$2:$J$1501)&gt;=1374,1374,"")</f>
        <v/>
      </c>
      <c r="B1375" s="8" t="str">
        <f t="shared" si="105"/>
        <v/>
      </c>
      <c r="C1375" s="8" t="str">
        <f t="shared" si="106"/>
        <v/>
      </c>
      <c r="D1375" s="8" t="str">
        <f t="shared" si="107"/>
        <v/>
      </c>
      <c r="F1375" s="4" t="str">
        <f>IF(Jugadores!B1375="","",Jugadores!B1375)</f>
        <v/>
      </c>
      <c r="G1375" s="4" t="str">
        <f>IF(Jugadores!B1375="","",Jugadores!A1375)</f>
        <v/>
      </c>
      <c r="H1375" s="4" t="str">
        <f>IF(F1375="","",SUMIF('Estadísticas Jugadores'!$F$2:$F$7001,F1375,'Estadísticas Jugadores'!$I$2:$I$7001))</f>
        <v/>
      </c>
      <c r="I1375" s="4" t="str">
        <f t="shared" si="108"/>
        <v/>
      </c>
      <c r="J1375" s="4" t="str">
        <f t="shared" si="109"/>
        <v/>
      </c>
    </row>
    <row r="1376" spans="1:10" ht="15" customHeight="1" x14ac:dyDescent="0.25">
      <c r="A1376" s="8" t="str">
        <f>IF(COUNT($J$2:$J$1501)&gt;=1375,1375,"")</f>
        <v/>
      </c>
      <c r="B1376" s="8" t="str">
        <f t="shared" si="105"/>
        <v/>
      </c>
      <c r="C1376" s="8" t="str">
        <f t="shared" si="106"/>
        <v/>
      </c>
      <c r="D1376" s="8" t="str">
        <f t="shared" si="107"/>
        <v/>
      </c>
      <c r="F1376" s="4" t="str">
        <f>IF(Jugadores!B1376="","",Jugadores!B1376)</f>
        <v/>
      </c>
      <c r="G1376" s="4" t="str">
        <f>IF(Jugadores!B1376="","",Jugadores!A1376)</f>
        <v/>
      </c>
      <c r="H1376" s="4" t="str">
        <f>IF(F1376="","",SUMIF('Estadísticas Jugadores'!$F$2:$F$7001,F1376,'Estadísticas Jugadores'!$I$2:$I$7001))</f>
        <v/>
      </c>
      <c r="I1376" s="4" t="str">
        <f t="shared" si="108"/>
        <v/>
      </c>
      <c r="J1376" s="4" t="str">
        <f t="shared" si="109"/>
        <v/>
      </c>
    </row>
    <row r="1377" spans="1:10" ht="15" customHeight="1" x14ac:dyDescent="0.25">
      <c r="A1377" s="8" t="str">
        <f>IF(COUNT($J$2:$J$1501)&gt;=1376,1376,"")</f>
        <v/>
      </c>
      <c r="B1377" s="8" t="str">
        <f t="shared" si="105"/>
        <v/>
      </c>
      <c r="C1377" s="8" t="str">
        <f t="shared" si="106"/>
        <v/>
      </c>
      <c r="D1377" s="8" t="str">
        <f t="shared" si="107"/>
        <v/>
      </c>
      <c r="F1377" s="4" t="str">
        <f>IF(Jugadores!B1377="","",Jugadores!B1377)</f>
        <v/>
      </c>
      <c r="G1377" s="4" t="str">
        <f>IF(Jugadores!B1377="","",Jugadores!A1377)</f>
        <v/>
      </c>
      <c r="H1377" s="4" t="str">
        <f>IF(F1377="","",SUMIF('Estadísticas Jugadores'!$F$2:$F$7001,F1377,'Estadísticas Jugadores'!$I$2:$I$7001))</f>
        <v/>
      </c>
      <c r="I1377" s="4" t="str">
        <f t="shared" si="108"/>
        <v/>
      </c>
      <c r="J1377" s="4" t="str">
        <f t="shared" si="109"/>
        <v/>
      </c>
    </row>
    <row r="1378" spans="1:10" ht="15" customHeight="1" x14ac:dyDescent="0.25">
      <c r="A1378" s="8" t="str">
        <f>IF(COUNT($J$2:$J$1501)&gt;=1377,1377,"")</f>
        <v/>
      </c>
      <c r="B1378" s="8" t="str">
        <f t="shared" si="105"/>
        <v/>
      </c>
      <c r="C1378" s="8" t="str">
        <f t="shared" si="106"/>
        <v/>
      </c>
      <c r="D1378" s="8" t="str">
        <f t="shared" si="107"/>
        <v/>
      </c>
      <c r="F1378" s="4" t="str">
        <f>IF(Jugadores!B1378="","",Jugadores!B1378)</f>
        <v/>
      </c>
      <c r="G1378" s="4" t="str">
        <f>IF(Jugadores!B1378="","",Jugadores!A1378)</f>
        <v/>
      </c>
      <c r="H1378" s="4" t="str">
        <f>IF(F1378="","",SUMIF('Estadísticas Jugadores'!$F$2:$F$7001,F1378,'Estadísticas Jugadores'!$I$2:$I$7001))</f>
        <v/>
      </c>
      <c r="I1378" s="4" t="str">
        <f t="shared" si="108"/>
        <v/>
      </c>
      <c r="J1378" s="4" t="str">
        <f t="shared" si="109"/>
        <v/>
      </c>
    </row>
    <row r="1379" spans="1:10" ht="15" customHeight="1" x14ac:dyDescent="0.25">
      <c r="A1379" s="8" t="str">
        <f>IF(COUNT($J$2:$J$1501)&gt;=1378,1378,"")</f>
        <v/>
      </c>
      <c r="B1379" s="8" t="str">
        <f t="shared" si="105"/>
        <v/>
      </c>
      <c r="C1379" s="8" t="str">
        <f t="shared" si="106"/>
        <v/>
      </c>
      <c r="D1379" s="8" t="str">
        <f t="shared" si="107"/>
        <v/>
      </c>
      <c r="F1379" s="4" t="str">
        <f>IF(Jugadores!B1379="","",Jugadores!B1379)</f>
        <v/>
      </c>
      <c r="G1379" s="4" t="str">
        <f>IF(Jugadores!B1379="","",Jugadores!A1379)</f>
        <v/>
      </c>
      <c r="H1379" s="4" t="str">
        <f>IF(F1379="","",SUMIF('Estadísticas Jugadores'!$F$2:$F$7001,F1379,'Estadísticas Jugadores'!$I$2:$I$7001))</f>
        <v/>
      </c>
      <c r="I1379" s="4" t="str">
        <f t="shared" si="108"/>
        <v/>
      </c>
      <c r="J1379" s="4" t="str">
        <f t="shared" si="109"/>
        <v/>
      </c>
    </row>
    <row r="1380" spans="1:10" ht="15" customHeight="1" x14ac:dyDescent="0.25">
      <c r="A1380" s="8" t="str">
        <f>IF(COUNT($J$2:$J$1501)&gt;=1379,1379,"")</f>
        <v/>
      </c>
      <c r="B1380" s="8" t="str">
        <f t="shared" si="105"/>
        <v/>
      </c>
      <c r="C1380" s="8" t="str">
        <f t="shared" si="106"/>
        <v/>
      </c>
      <c r="D1380" s="8" t="str">
        <f t="shared" si="107"/>
        <v/>
      </c>
      <c r="F1380" s="4" t="str">
        <f>IF(Jugadores!B1380="","",Jugadores!B1380)</f>
        <v/>
      </c>
      <c r="G1380" s="4" t="str">
        <f>IF(Jugadores!B1380="","",Jugadores!A1380)</f>
        <v/>
      </c>
      <c r="H1380" s="4" t="str">
        <f>IF(F1380="","",SUMIF('Estadísticas Jugadores'!$F$2:$F$7001,F1380,'Estadísticas Jugadores'!$I$2:$I$7001))</f>
        <v/>
      </c>
      <c r="I1380" s="4" t="str">
        <f t="shared" si="108"/>
        <v/>
      </c>
      <c r="J1380" s="4" t="str">
        <f t="shared" si="109"/>
        <v/>
      </c>
    </row>
    <row r="1381" spans="1:10" ht="15" customHeight="1" x14ac:dyDescent="0.25">
      <c r="A1381" s="8" t="str">
        <f>IF(COUNT($J$2:$J$1501)&gt;=1380,1380,"")</f>
        <v/>
      </c>
      <c r="B1381" s="8" t="str">
        <f t="shared" si="105"/>
        <v/>
      </c>
      <c r="C1381" s="8" t="str">
        <f t="shared" si="106"/>
        <v/>
      </c>
      <c r="D1381" s="8" t="str">
        <f t="shared" si="107"/>
        <v/>
      </c>
      <c r="F1381" s="4" t="str">
        <f>IF(Jugadores!B1381="","",Jugadores!B1381)</f>
        <v/>
      </c>
      <c r="G1381" s="4" t="str">
        <f>IF(Jugadores!B1381="","",Jugadores!A1381)</f>
        <v/>
      </c>
      <c r="H1381" s="4" t="str">
        <f>IF(F1381="","",SUMIF('Estadísticas Jugadores'!$F$2:$F$7001,F1381,'Estadísticas Jugadores'!$I$2:$I$7001))</f>
        <v/>
      </c>
      <c r="I1381" s="4" t="str">
        <f t="shared" si="108"/>
        <v/>
      </c>
      <c r="J1381" s="4" t="str">
        <f t="shared" si="109"/>
        <v/>
      </c>
    </row>
    <row r="1382" spans="1:10" ht="15" customHeight="1" x14ac:dyDescent="0.25">
      <c r="A1382" s="8" t="str">
        <f>IF(COUNT($J$2:$J$1501)&gt;=1381,1381,"")</f>
        <v/>
      </c>
      <c r="B1382" s="8" t="str">
        <f t="shared" si="105"/>
        <v/>
      </c>
      <c r="C1382" s="8" t="str">
        <f t="shared" si="106"/>
        <v/>
      </c>
      <c r="D1382" s="8" t="str">
        <f t="shared" si="107"/>
        <v/>
      </c>
      <c r="F1382" s="4" t="str">
        <f>IF(Jugadores!B1382="","",Jugadores!B1382)</f>
        <v/>
      </c>
      <c r="G1382" s="4" t="str">
        <f>IF(Jugadores!B1382="","",Jugadores!A1382)</f>
        <v/>
      </c>
      <c r="H1382" s="4" t="str">
        <f>IF(F1382="","",SUMIF('Estadísticas Jugadores'!$F$2:$F$7001,F1382,'Estadísticas Jugadores'!$I$2:$I$7001))</f>
        <v/>
      </c>
      <c r="I1382" s="4" t="str">
        <f t="shared" si="108"/>
        <v/>
      </c>
      <c r="J1382" s="4" t="str">
        <f t="shared" si="109"/>
        <v/>
      </c>
    </row>
    <row r="1383" spans="1:10" ht="15" customHeight="1" x14ac:dyDescent="0.25">
      <c r="A1383" s="8" t="str">
        <f>IF(COUNT($J$2:$J$1501)&gt;=1382,1382,"")</f>
        <v/>
      </c>
      <c r="B1383" s="8" t="str">
        <f t="shared" si="105"/>
        <v/>
      </c>
      <c r="C1383" s="8" t="str">
        <f t="shared" si="106"/>
        <v/>
      </c>
      <c r="D1383" s="8" t="str">
        <f t="shared" si="107"/>
        <v/>
      </c>
      <c r="F1383" s="4" t="str">
        <f>IF(Jugadores!B1383="","",Jugadores!B1383)</f>
        <v/>
      </c>
      <c r="G1383" s="4" t="str">
        <f>IF(Jugadores!B1383="","",Jugadores!A1383)</f>
        <v/>
      </c>
      <c r="H1383" s="4" t="str">
        <f>IF(F1383="","",SUMIF('Estadísticas Jugadores'!$F$2:$F$7001,F1383,'Estadísticas Jugadores'!$I$2:$I$7001))</f>
        <v/>
      </c>
      <c r="I1383" s="4" t="str">
        <f t="shared" si="108"/>
        <v/>
      </c>
      <c r="J1383" s="4" t="str">
        <f t="shared" si="109"/>
        <v/>
      </c>
    </row>
    <row r="1384" spans="1:10" ht="15" customHeight="1" x14ac:dyDescent="0.25">
      <c r="A1384" s="8" t="str">
        <f>IF(COUNT($J$2:$J$1501)&gt;=1383,1383,"")</f>
        <v/>
      </c>
      <c r="B1384" s="8" t="str">
        <f t="shared" si="105"/>
        <v/>
      </c>
      <c r="C1384" s="8" t="str">
        <f t="shared" si="106"/>
        <v/>
      </c>
      <c r="D1384" s="8" t="str">
        <f t="shared" si="107"/>
        <v/>
      </c>
      <c r="F1384" s="4" t="str">
        <f>IF(Jugadores!B1384="","",Jugadores!B1384)</f>
        <v/>
      </c>
      <c r="G1384" s="4" t="str">
        <f>IF(Jugadores!B1384="","",Jugadores!A1384)</f>
        <v/>
      </c>
      <c r="H1384" s="4" t="str">
        <f>IF(F1384="","",SUMIF('Estadísticas Jugadores'!$F$2:$F$7001,F1384,'Estadísticas Jugadores'!$I$2:$I$7001))</f>
        <v/>
      </c>
      <c r="I1384" s="4" t="str">
        <f t="shared" si="108"/>
        <v/>
      </c>
      <c r="J1384" s="4" t="str">
        <f t="shared" si="109"/>
        <v/>
      </c>
    </row>
    <row r="1385" spans="1:10" ht="15" customHeight="1" x14ac:dyDescent="0.25">
      <c r="A1385" s="8" t="str">
        <f>IF(COUNT($J$2:$J$1501)&gt;=1384,1384,"")</f>
        <v/>
      </c>
      <c r="B1385" s="8" t="str">
        <f t="shared" si="105"/>
        <v/>
      </c>
      <c r="C1385" s="8" t="str">
        <f t="shared" si="106"/>
        <v/>
      </c>
      <c r="D1385" s="8" t="str">
        <f t="shared" si="107"/>
        <v/>
      </c>
      <c r="F1385" s="4" t="str">
        <f>IF(Jugadores!B1385="","",Jugadores!B1385)</f>
        <v/>
      </c>
      <c r="G1385" s="4" t="str">
        <f>IF(Jugadores!B1385="","",Jugadores!A1385)</f>
        <v/>
      </c>
      <c r="H1385" s="4" t="str">
        <f>IF(F1385="","",SUMIF('Estadísticas Jugadores'!$F$2:$F$7001,F1385,'Estadísticas Jugadores'!$I$2:$I$7001))</f>
        <v/>
      </c>
      <c r="I1385" s="4" t="str">
        <f t="shared" si="108"/>
        <v/>
      </c>
      <c r="J1385" s="4" t="str">
        <f t="shared" si="109"/>
        <v/>
      </c>
    </row>
    <row r="1386" spans="1:10" ht="15" customHeight="1" x14ac:dyDescent="0.25">
      <c r="A1386" s="8" t="str">
        <f>IF(COUNT($J$2:$J$1501)&gt;=1385,1385,"")</f>
        <v/>
      </c>
      <c r="B1386" s="8" t="str">
        <f t="shared" si="105"/>
        <v/>
      </c>
      <c r="C1386" s="8" t="str">
        <f t="shared" si="106"/>
        <v/>
      </c>
      <c r="D1386" s="8" t="str">
        <f t="shared" si="107"/>
        <v/>
      </c>
      <c r="F1386" s="4" t="str">
        <f>IF(Jugadores!B1386="","",Jugadores!B1386)</f>
        <v/>
      </c>
      <c r="G1386" s="4" t="str">
        <f>IF(Jugadores!B1386="","",Jugadores!A1386)</f>
        <v/>
      </c>
      <c r="H1386" s="4" t="str">
        <f>IF(F1386="","",SUMIF('Estadísticas Jugadores'!$F$2:$F$7001,F1386,'Estadísticas Jugadores'!$I$2:$I$7001))</f>
        <v/>
      </c>
      <c r="I1386" s="4" t="str">
        <f t="shared" si="108"/>
        <v/>
      </c>
      <c r="J1386" s="4" t="str">
        <f t="shared" si="109"/>
        <v/>
      </c>
    </row>
    <row r="1387" spans="1:10" ht="15" customHeight="1" x14ac:dyDescent="0.25">
      <c r="A1387" s="8" t="str">
        <f>IF(COUNT($J$2:$J$1501)&gt;=1386,1386,"")</f>
        <v/>
      </c>
      <c r="B1387" s="8" t="str">
        <f t="shared" si="105"/>
        <v/>
      </c>
      <c r="C1387" s="8" t="str">
        <f t="shared" si="106"/>
        <v/>
      </c>
      <c r="D1387" s="8" t="str">
        <f t="shared" si="107"/>
        <v/>
      </c>
      <c r="F1387" s="4" t="str">
        <f>IF(Jugadores!B1387="","",Jugadores!B1387)</f>
        <v/>
      </c>
      <c r="G1387" s="4" t="str">
        <f>IF(Jugadores!B1387="","",Jugadores!A1387)</f>
        <v/>
      </c>
      <c r="H1387" s="4" t="str">
        <f>IF(F1387="","",SUMIF('Estadísticas Jugadores'!$F$2:$F$7001,F1387,'Estadísticas Jugadores'!$I$2:$I$7001))</f>
        <v/>
      </c>
      <c r="I1387" s="4" t="str">
        <f t="shared" si="108"/>
        <v/>
      </c>
      <c r="J1387" s="4" t="str">
        <f t="shared" si="109"/>
        <v/>
      </c>
    </row>
    <row r="1388" spans="1:10" ht="15" customHeight="1" x14ac:dyDescent="0.25">
      <c r="A1388" s="8" t="str">
        <f>IF(COUNT($J$2:$J$1501)&gt;=1387,1387,"")</f>
        <v/>
      </c>
      <c r="B1388" s="8" t="str">
        <f t="shared" si="105"/>
        <v/>
      </c>
      <c r="C1388" s="8" t="str">
        <f t="shared" si="106"/>
        <v/>
      </c>
      <c r="D1388" s="8" t="str">
        <f t="shared" si="107"/>
        <v/>
      </c>
      <c r="F1388" s="4" t="str">
        <f>IF(Jugadores!B1388="","",Jugadores!B1388)</f>
        <v/>
      </c>
      <c r="G1388" s="4" t="str">
        <f>IF(Jugadores!B1388="","",Jugadores!A1388)</f>
        <v/>
      </c>
      <c r="H1388" s="4" t="str">
        <f>IF(F1388="","",SUMIF('Estadísticas Jugadores'!$F$2:$F$7001,F1388,'Estadísticas Jugadores'!$I$2:$I$7001))</f>
        <v/>
      </c>
      <c r="I1388" s="4" t="str">
        <f t="shared" si="108"/>
        <v/>
      </c>
      <c r="J1388" s="4" t="str">
        <f t="shared" si="109"/>
        <v/>
      </c>
    </row>
    <row r="1389" spans="1:10" ht="15" customHeight="1" x14ac:dyDescent="0.25">
      <c r="A1389" s="8" t="str">
        <f>IF(COUNT($J$2:$J$1501)&gt;=1388,1388,"")</f>
        <v/>
      </c>
      <c r="B1389" s="8" t="str">
        <f t="shared" si="105"/>
        <v/>
      </c>
      <c r="C1389" s="8" t="str">
        <f t="shared" si="106"/>
        <v/>
      </c>
      <c r="D1389" s="8" t="str">
        <f t="shared" si="107"/>
        <v/>
      </c>
      <c r="F1389" s="4" t="str">
        <f>IF(Jugadores!B1389="","",Jugadores!B1389)</f>
        <v/>
      </c>
      <c r="G1389" s="4" t="str">
        <f>IF(Jugadores!B1389="","",Jugadores!A1389)</f>
        <v/>
      </c>
      <c r="H1389" s="4" t="str">
        <f>IF(F1389="","",SUMIF('Estadísticas Jugadores'!$F$2:$F$7001,F1389,'Estadísticas Jugadores'!$I$2:$I$7001))</f>
        <v/>
      </c>
      <c r="I1389" s="4" t="str">
        <f t="shared" si="108"/>
        <v/>
      </c>
      <c r="J1389" s="4" t="str">
        <f t="shared" si="109"/>
        <v/>
      </c>
    </row>
    <row r="1390" spans="1:10" ht="15" customHeight="1" x14ac:dyDescent="0.25">
      <c r="A1390" s="8" t="str">
        <f>IF(COUNT($J$2:$J$1501)&gt;=1389,1389,"")</f>
        <v/>
      </c>
      <c r="B1390" s="8" t="str">
        <f t="shared" si="105"/>
        <v/>
      </c>
      <c r="C1390" s="8" t="str">
        <f t="shared" si="106"/>
        <v/>
      </c>
      <c r="D1390" s="8" t="str">
        <f t="shared" si="107"/>
        <v/>
      </c>
      <c r="F1390" s="4" t="str">
        <f>IF(Jugadores!B1390="","",Jugadores!B1390)</f>
        <v/>
      </c>
      <c r="G1390" s="4" t="str">
        <f>IF(Jugadores!B1390="","",Jugadores!A1390)</f>
        <v/>
      </c>
      <c r="H1390" s="4" t="str">
        <f>IF(F1390="","",SUMIF('Estadísticas Jugadores'!$F$2:$F$7001,F1390,'Estadísticas Jugadores'!$I$2:$I$7001))</f>
        <v/>
      </c>
      <c r="I1390" s="4" t="str">
        <f t="shared" si="108"/>
        <v/>
      </c>
      <c r="J1390" s="4" t="str">
        <f t="shared" si="109"/>
        <v/>
      </c>
    </row>
    <row r="1391" spans="1:10" ht="15" customHeight="1" x14ac:dyDescent="0.25">
      <c r="A1391" s="8" t="str">
        <f>IF(COUNT($J$2:$J$1501)&gt;=1390,1390,"")</f>
        <v/>
      </c>
      <c r="B1391" s="8" t="str">
        <f t="shared" si="105"/>
        <v/>
      </c>
      <c r="C1391" s="8" t="str">
        <f t="shared" si="106"/>
        <v/>
      </c>
      <c r="D1391" s="8" t="str">
        <f t="shared" si="107"/>
        <v/>
      </c>
      <c r="F1391" s="4" t="str">
        <f>IF(Jugadores!B1391="","",Jugadores!B1391)</f>
        <v/>
      </c>
      <c r="G1391" s="4" t="str">
        <f>IF(Jugadores!B1391="","",Jugadores!A1391)</f>
        <v/>
      </c>
      <c r="H1391" s="4" t="str">
        <f>IF(F1391="","",SUMIF('Estadísticas Jugadores'!$F$2:$F$7001,F1391,'Estadísticas Jugadores'!$I$2:$I$7001))</f>
        <v/>
      </c>
      <c r="I1391" s="4" t="str">
        <f t="shared" si="108"/>
        <v/>
      </c>
      <c r="J1391" s="4" t="str">
        <f t="shared" si="109"/>
        <v/>
      </c>
    </row>
    <row r="1392" spans="1:10" ht="15" customHeight="1" x14ac:dyDescent="0.25">
      <c r="A1392" s="8" t="str">
        <f>IF(COUNT($J$2:$J$1501)&gt;=1391,1391,"")</f>
        <v/>
      </c>
      <c r="B1392" s="8" t="str">
        <f t="shared" si="105"/>
        <v/>
      </c>
      <c r="C1392" s="8" t="str">
        <f t="shared" si="106"/>
        <v/>
      </c>
      <c r="D1392" s="8" t="str">
        <f t="shared" si="107"/>
        <v/>
      </c>
      <c r="F1392" s="4" t="str">
        <f>IF(Jugadores!B1392="","",Jugadores!B1392)</f>
        <v/>
      </c>
      <c r="G1392" s="4" t="str">
        <f>IF(Jugadores!B1392="","",Jugadores!A1392)</f>
        <v/>
      </c>
      <c r="H1392" s="4" t="str">
        <f>IF(F1392="","",SUMIF('Estadísticas Jugadores'!$F$2:$F$7001,F1392,'Estadísticas Jugadores'!$I$2:$I$7001))</f>
        <v/>
      </c>
      <c r="I1392" s="4" t="str">
        <f t="shared" si="108"/>
        <v/>
      </c>
      <c r="J1392" s="4" t="str">
        <f t="shared" si="109"/>
        <v/>
      </c>
    </row>
    <row r="1393" spans="1:10" ht="15" customHeight="1" x14ac:dyDescent="0.25">
      <c r="A1393" s="8" t="str">
        <f>IF(COUNT($J$2:$J$1501)&gt;=1392,1392,"")</f>
        <v/>
      </c>
      <c r="B1393" s="8" t="str">
        <f t="shared" si="105"/>
        <v/>
      </c>
      <c r="C1393" s="8" t="str">
        <f t="shared" si="106"/>
        <v/>
      </c>
      <c r="D1393" s="8" t="str">
        <f t="shared" si="107"/>
        <v/>
      </c>
      <c r="F1393" s="4" t="str">
        <f>IF(Jugadores!B1393="","",Jugadores!B1393)</f>
        <v/>
      </c>
      <c r="G1393" s="4" t="str">
        <f>IF(Jugadores!B1393="","",Jugadores!A1393)</f>
        <v/>
      </c>
      <c r="H1393" s="4" t="str">
        <f>IF(F1393="","",SUMIF('Estadísticas Jugadores'!$F$2:$F$7001,F1393,'Estadísticas Jugadores'!$I$2:$I$7001))</f>
        <v/>
      </c>
      <c r="I1393" s="4" t="str">
        <f t="shared" si="108"/>
        <v/>
      </c>
      <c r="J1393" s="4" t="str">
        <f t="shared" si="109"/>
        <v/>
      </c>
    </row>
    <row r="1394" spans="1:10" ht="15" customHeight="1" x14ac:dyDescent="0.25">
      <c r="A1394" s="8" t="str">
        <f>IF(COUNT($J$2:$J$1501)&gt;=1393,1393,"")</f>
        <v/>
      </c>
      <c r="B1394" s="8" t="str">
        <f t="shared" si="105"/>
        <v/>
      </c>
      <c r="C1394" s="8" t="str">
        <f t="shared" si="106"/>
        <v/>
      </c>
      <c r="D1394" s="8" t="str">
        <f t="shared" si="107"/>
        <v/>
      </c>
      <c r="F1394" s="4" t="str">
        <f>IF(Jugadores!B1394="","",Jugadores!B1394)</f>
        <v/>
      </c>
      <c r="G1394" s="4" t="str">
        <f>IF(Jugadores!B1394="","",Jugadores!A1394)</f>
        <v/>
      </c>
      <c r="H1394" s="4" t="str">
        <f>IF(F1394="","",SUMIF('Estadísticas Jugadores'!$F$2:$F$7001,F1394,'Estadísticas Jugadores'!$I$2:$I$7001))</f>
        <v/>
      </c>
      <c r="I1394" s="4" t="str">
        <f t="shared" si="108"/>
        <v/>
      </c>
      <c r="J1394" s="4" t="str">
        <f t="shared" si="109"/>
        <v/>
      </c>
    </row>
    <row r="1395" spans="1:10" ht="15" customHeight="1" x14ac:dyDescent="0.25">
      <c r="A1395" s="8" t="str">
        <f>IF(COUNT($J$2:$J$1501)&gt;=1394,1394,"")</f>
        <v/>
      </c>
      <c r="B1395" s="8" t="str">
        <f t="shared" si="105"/>
        <v/>
      </c>
      <c r="C1395" s="8" t="str">
        <f t="shared" si="106"/>
        <v/>
      </c>
      <c r="D1395" s="8" t="str">
        <f t="shared" si="107"/>
        <v/>
      </c>
      <c r="F1395" s="4" t="str">
        <f>IF(Jugadores!B1395="","",Jugadores!B1395)</f>
        <v/>
      </c>
      <c r="G1395" s="4" t="str">
        <f>IF(Jugadores!B1395="","",Jugadores!A1395)</f>
        <v/>
      </c>
      <c r="H1395" s="4" t="str">
        <f>IF(F1395="","",SUMIF('Estadísticas Jugadores'!$F$2:$F$7001,F1395,'Estadísticas Jugadores'!$I$2:$I$7001))</f>
        <v/>
      </c>
      <c r="I1395" s="4" t="str">
        <f t="shared" si="108"/>
        <v/>
      </c>
      <c r="J1395" s="4" t="str">
        <f t="shared" si="109"/>
        <v/>
      </c>
    </row>
    <row r="1396" spans="1:10" ht="15" customHeight="1" x14ac:dyDescent="0.25">
      <c r="A1396" s="8" t="str">
        <f>IF(COUNT($J$2:$J$1501)&gt;=1395,1395,"")</f>
        <v/>
      </c>
      <c r="B1396" s="8" t="str">
        <f t="shared" si="105"/>
        <v/>
      </c>
      <c r="C1396" s="8" t="str">
        <f t="shared" si="106"/>
        <v/>
      </c>
      <c r="D1396" s="8" t="str">
        <f t="shared" si="107"/>
        <v/>
      </c>
      <c r="F1396" s="4" t="str">
        <f>IF(Jugadores!B1396="","",Jugadores!B1396)</f>
        <v/>
      </c>
      <c r="G1396" s="4" t="str">
        <f>IF(Jugadores!B1396="","",Jugadores!A1396)</f>
        <v/>
      </c>
      <c r="H1396" s="4" t="str">
        <f>IF(F1396="","",SUMIF('Estadísticas Jugadores'!$F$2:$F$7001,F1396,'Estadísticas Jugadores'!$I$2:$I$7001))</f>
        <v/>
      </c>
      <c r="I1396" s="4" t="str">
        <f t="shared" si="108"/>
        <v/>
      </c>
      <c r="J1396" s="4" t="str">
        <f t="shared" si="109"/>
        <v/>
      </c>
    </row>
    <row r="1397" spans="1:10" ht="15" customHeight="1" x14ac:dyDescent="0.25">
      <c r="A1397" s="8" t="str">
        <f>IF(COUNT($J$2:$J$1501)&gt;=1396,1396,"")</f>
        <v/>
      </c>
      <c r="B1397" s="8" t="str">
        <f t="shared" si="105"/>
        <v/>
      </c>
      <c r="C1397" s="8" t="str">
        <f t="shared" si="106"/>
        <v/>
      </c>
      <c r="D1397" s="8" t="str">
        <f t="shared" si="107"/>
        <v/>
      </c>
      <c r="F1397" s="4" t="str">
        <f>IF(Jugadores!B1397="","",Jugadores!B1397)</f>
        <v/>
      </c>
      <c r="G1397" s="4" t="str">
        <f>IF(Jugadores!B1397="","",Jugadores!A1397)</f>
        <v/>
      </c>
      <c r="H1397" s="4" t="str">
        <f>IF(F1397="","",SUMIF('Estadísticas Jugadores'!$F$2:$F$7001,F1397,'Estadísticas Jugadores'!$I$2:$I$7001))</f>
        <v/>
      </c>
      <c r="I1397" s="4" t="str">
        <f t="shared" si="108"/>
        <v/>
      </c>
      <c r="J1397" s="4" t="str">
        <f t="shared" si="109"/>
        <v/>
      </c>
    </row>
    <row r="1398" spans="1:10" ht="15" customHeight="1" x14ac:dyDescent="0.25">
      <c r="A1398" s="8" t="str">
        <f>IF(COUNT($J$2:$J$1501)&gt;=1397,1397,"")</f>
        <v/>
      </c>
      <c r="B1398" s="8" t="str">
        <f t="shared" si="105"/>
        <v/>
      </c>
      <c r="C1398" s="8" t="str">
        <f t="shared" si="106"/>
        <v/>
      </c>
      <c r="D1398" s="8" t="str">
        <f t="shared" si="107"/>
        <v/>
      </c>
      <c r="F1398" s="4" t="str">
        <f>IF(Jugadores!B1398="","",Jugadores!B1398)</f>
        <v/>
      </c>
      <c r="G1398" s="4" t="str">
        <f>IF(Jugadores!B1398="","",Jugadores!A1398)</f>
        <v/>
      </c>
      <c r="H1398" s="4" t="str">
        <f>IF(F1398="","",SUMIF('Estadísticas Jugadores'!$F$2:$F$7001,F1398,'Estadísticas Jugadores'!$I$2:$I$7001))</f>
        <v/>
      </c>
      <c r="I1398" s="4" t="str">
        <f t="shared" si="108"/>
        <v/>
      </c>
      <c r="J1398" s="4" t="str">
        <f t="shared" si="109"/>
        <v/>
      </c>
    </row>
    <row r="1399" spans="1:10" ht="15" customHeight="1" x14ac:dyDescent="0.25">
      <c r="A1399" s="8" t="str">
        <f>IF(COUNT($J$2:$J$1501)&gt;=1398,1398,"")</f>
        <v/>
      </c>
      <c r="B1399" s="8" t="str">
        <f t="shared" si="105"/>
        <v/>
      </c>
      <c r="C1399" s="8" t="str">
        <f t="shared" si="106"/>
        <v/>
      </c>
      <c r="D1399" s="8" t="str">
        <f t="shared" si="107"/>
        <v/>
      </c>
      <c r="F1399" s="4" t="str">
        <f>IF(Jugadores!B1399="","",Jugadores!B1399)</f>
        <v/>
      </c>
      <c r="G1399" s="4" t="str">
        <f>IF(Jugadores!B1399="","",Jugadores!A1399)</f>
        <v/>
      </c>
      <c r="H1399" s="4" t="str">
        <f>IF(F1399="","",SUMIF('Estadísticas Jugadores'!$F$2:$F$7001,F1399,'Estadísticas Jugadores'!$I$2:$I$7001))</f>
        <v/>
      </c>
      <c r="I1399" s="4" t="str">
        <f t="shared" si="108"/>
        <v/>
      </c>
      <c r="J1399" s="4" t="str">
        <f t="shared" si="109"/>
        <v/>
      </c>
    </row>
    <row r="1400" spans="1:10" ht="15" customHeight="1" x14ac:dyDescent="0.25">
      <c r="A1400" s="8" t="str">
        <f>IF(COUNT($J$2:$J$1501)&gt;=1399,1399,"")</f>
        <v/>
      </c>
      <c r="B1400" s="8" t="str">
        <f t="shared" si="105"/>
        <v/>
      </c>
      <c r="C1400" s="8" t="str">
        <f t="shared" si="106"/>
        <v/>
      </c>
      <c r="D1400" s="8" t="str">
        <f t="shared" si="107"/>
        <v/>
      </c>
      <c r="F1400" s="4" t="str">
        <f>IF(Jugadores!B1400="","",Jugadores!B1400)</f>
        <v/>
      </c>
      <c r="G1400" s="4" t="str">
        <f>IF(Jugadores!B1400="","",Jugadores!A1400)</f>
        <v/>
      </c>
      <c r="H1400" s="4" t="str">
        <f>IF(F1400="","",SUMIF('Estadísticas Jugadores'!$F$2:$F$7001,F1400,'Estadísticas Jugadores'!$I$2:$I$7001))</f>
        <v/>
      </c>
      <c r="I1400" s="4" t="str">
        <f t="shared" si="108"/>
        <v/>
      </c>
      <c r="J1400" s="4" t="str">
        <f t="shared" si="109"/>
        <v/>
      </c>
    </row>
    <row r="1401" spans="1:10" ht="15" customHeight="1" x14ac:dyDescent="0.25">
      <c r="A1401" s="8" t="str">
        <f>IF(COUNT($J$2:$J$1501)&gt;=1400,1400,"")</f>
        <v/>
      </c>
      <c r="B1401" s="8" t="str">
        <f t="shared" si="105"/>
        <v/>
      </c>
      <c r="C1401" s="8" t="str">
        <f t="shared" si="106"/>
        <v/>
      </c>
      <c r="D1401" s="8" t="str">
        <f t="shared" si="107"/>
        <v/>
      </c>
      <c r="F1401" s="4" t="str">
        <f>IF(Jugadores!B1401="","",Jugadores!B1401)</f>
        <v/>
      </c>
      <c r="G1401" s="4" t="str">
        <f>IF(Jugadores!B1401="","",Jugadores!A1401)</f>
        <v/>
      </c>
      <c r="H1401" s="4" t="str">
        <f>IF(F1401="","",SUMIF('Estadísticas Jugadores'!$F$2:$F$7001,F1401,'Estadísticas Jugadores'!$I$2:$I$7001))</f>
        <v/>
      </c>
      <c r="I1401" s="4" t="str">
        <f t="shared" si="108"/>
        <v/>
      </c>
      <c r="J1401" s="4" t="str">
        <f t="shared" si="109"/>
        <v/>
      </c>
    </row>
    <row r="1402" spans="1:10" ht="15" customHeight="1" x14ac:dyDescent="0.25">
      <c r="A1402" s="8" t="str">
        <f>IF(COUNT($J$2:$J$1501)&gt;=1401,1401,"")</f>
        <v/>
      </c>
      <c r="B1402" s="8" t="str">
        <f t="shared" si="105"/>
        <v/>
      </c>
      <c r="C1402" s="8" t="str">
        <f t="shared" si="106"/>
        <v/>
      </c>
      <c r="D1402" s="8" t="str">
        <f t="shared" si="107"/>
        <v/>
      </c>
      <c r="F1402" s="4" t="str">
        <f>IF(Jugadores!B1402="","",Jugadores!B1402)</f>
        <v/>
      </c>
      <c r="G1402" s="4" t="str">
        <f>IF(Jugadores!B1402="","",Jugadores!A1402)</f>
        <v/>
      </c>
      <c r="H1402" s="4" t="str">
        <f>IF(F1402="","",SUMIF('Estadísticas Jugadores'!$F$2:$F$7001,F1402,'Estadísticas Jugadores'!$I$2:$I$7001))</f>
        <v/>
      </c>
      <c r="I1402" s="4" t="str">
        <f t="shared" si="108"/>
        <v/>
      </c>
      <c r="J1402" s="4" t="str">
        <f t="shared" si="109"/>
        <v/>
      </c>
    </row>
    <row r="1403" spans="1:10" ht="15" customHeight="1" x14ac:dyDescent="0.25">
      <c r="A1403" s="8" t="str">
        <f>IF(COUNT($J$2:$J$1501)&gt;=1402,1402,"")</f>
        <v/>
      </c>
      <c r="B1403" s="8" t="str">
        <f t="shared" si="105"/>
        <v/>
      </c>
      <c r="C1403" s="8" t="str">
        <f t="shared" si="106"/>
        <v/>
      </c>
      <c r="D1403" s="8" t="str">
        <f t="shared" si="107"/>
        <v/>
      </c>
      <c r="F1403" s="4" t="str">
        <f>IF(Jugadores!B1403="","",Jugadores!B1403)</f>
        <v/>
      </c>
      <c r="G1403" s="4" t="str">
        <f>IF(Jugadores!B1403="","",Jugadores!A1403)</f>
        <v/>
      </c>
      <c r="H1403" s="4" t="str">
        <f>IF(F1403="","",SUMIF('Estadísticas Jugadores'!$F$2:$F$7001,F1403,'Estadísticas Jugadores'!$I$2:$I$7001))</f>
        <v/>
      </c>
      <c r="I1403" s="4" t="str">
        <f t="shared" si="108"/>
        <v/>
      </c>
      <c r="J1403" s="4" t="str">
        <f t="shared" si="109"/>
        <v/>
      </c>
    </row>
    <row r="1404" spans="1:10" ht="15" customHeight="1" x14ac:dyDescent="0.25">
      <c r="A1404" s="8" t="str">
        <f>IF(COUNT($J$2:$J$1501)&gt;=1403,1403,"")</f>
        <v/>
      </c>
      <c r="B1404" s="8" t="str">
        <f t="shared" si="105"/>
        <v/>
      </c>
      <c r="C1404" s="8" t="str">
        <f t="shared" si="106"/>
        <v/>
      </c>
      <c r="D1404" s="8" t="str">
        <f t="shared" si="107"/>
        <v/>
      </c>
      <c r="F1404" s="4" t="str">
        <f>IF(Jugadores!B1404="","",Jugadores!B1404)</f>
        <v/>
      </c>
      <c r="G1404" s="4" t="str">
        <f>IF(Jugadores!B1404="","",Jugadores!A1404)</f>
        <v/>
      </c>
      <c r="H1404" s="4" t="str">
        <f>IF(F1404="","",SUMIF('Estadísticas Jugadores'!$F$2:$F$7001,F1404,'Estadísticas Jugadores'!$I$2:$I$7001))</f>
        <v/>
      </c>
      <c r="I1404" s="4" t="str">
        <f t="shared" si="108"/>
        <v/>
      </c>
      <c r="J1404" s="4" t="str">
        <f t="shared" si="109"/>
        <v/>
      </c>
    </row>
    <row r="1405" spans="1:10" ht="15" customHeight="1" x14ac:dyDescent="0.25">
      <c r="A1405" s="8" t="str">
        <f>IF(COUNT($J$2:$J$1501)&gt;=1404,1404,"")</f>
        <v/>
      </c>
      <c r="B1405" s="8" t="str">
        <f t="shared" si="105"/>
        <v/>
      </c>
      <c r="C1405" s="8" t="str">
        <f t="shared" si="106"/>
        <v/>
      </c>
      <c r="D1405" s="8" t="str">
        <f t="shared" si="107"/>
        <v/>
      </c>
      <c r="F1405" s="4" t="str">
        <f>IF(Jugadores!B1405="","",Jugadores!B1405)</f>
        <v/>
      </c>
      <c r="G1405" s="4" t="str">
        <f>IF(Jugadores!B1405="","",Jugadores!A1405)</f>
        <v/>
      </c>
      <c r="H1405" s="4" t="str">
        <f>IF(F1405="","",SUMIF('Estadísticas Jugadores'!$F$2:$F$7001,F1405,'Estadísticas Jugadores'!$I$2:$I$7001))</f>
        <v/>
      </c>
      <c r="I1405" s="4" t="str">
        <f t="shared" si="108"/>
        <v/>
      </c>
      <c r="J1405" s="4" t="str">
        <f t="shared" si="109"/>
        <v/>
      </c>
    </row>
    <row r="1406" spans="1:10" ht="15" customHeight="1" x14ac:dyDescent="0.25">
      <c r="A1406" s="8" t="str">
        <f>IF(COUNT($J$2:$J$1501)&gt;=1405,1405,"")</f>
        <v/>
      </c>
      <c r="B1406" s="8" t="str">
        <f t="shared" si="105"/>
        <v/>
      </c>
      <c r="C1406" s="8" t="str">
        <f t="shared" si="106"/>
        <v/>
      </c>
      <c r="D1406" s="8" t="str">
        <f t="shared" si="107"/>
        <v/>
      </c>
      <c r="F1406" s="4" t="str">
        <f>IF(Jugadores!B1406="","",Jugadores!B1406)</f>
        <v/>
      </c>
      <c r="G1406" s="4" t="str">
        <f>IF(Jugadores!B1406="","",Jugadores!A1406)</f>
        <v/>
      </c>
      <c r="H1406" s="4" t="str">
        <f>IF(F1406="","",SUMIF('Estadísticas Jugadores'!$F$2:$F$7001,F1406,'Estadísticas Jugadores'!$I$2:$I$7001))</f>
        <v/>
      </c>
      <c r="I1406" s="4" t="str">
        <f t="shared" si="108"/>
        <v/>
      </c>
      <c r="J1406" s="4" t="str">
        <f t="shared" si="109"/>
        <v/>
      </c>
    </row>
    <row r="1407" spans="1:10" ht="15" customHeight="1" x14ac:dyDescent="0.25">
      <c r="A1407" s="8" t="str">
        <f>IF(COUNT($J$2:$J$1501)&gt;=1406,1406,"")</f>
        <v/>
      </c>
      <c r="B1407" s="8" t="str">
        <f t="shared" si="105"/>
        <v/>
      </c>
      <c r="C1407" s="8" t="str">
        <f t="shared" si="106"/>
        <v/>
      </c>
      <c r="D1407" s="8" t="str">
        <f t="shared" si="107"/>
        <v/>
      </c>
      <c r="F1407" s="4" t="str">
        <f>IF(Jugadores!B1407="","",Jugadores!B1407)</f>
        <v/>
      </c>
      <c r="G1407" s="4" t="str">
        <f>IF(Jugadores!B1407="","",Jugadores!A1407)</f>
        <v/>
      </c>
      <c r="H1407" s="4" t="str">
        <f>IF(F1407="","",SUMIF('Estadísticas Jugadores'!$F$2:$F$7001,F1407,'Estadísticas Jugadores'!$I$2:$I$7001))</f>
        <v/>
      </c>
      <c r="I1407" s="4" t="str">
        <f t="shared" si="108"/>
        <v/>
      </c>
      <c r="J1407" s="4" t="str">
        <f t="shared" si="109"/>
        <v/>
      </c>
    </row>
    <row r="1408" spans="1:10" ht="15" customHeight="1" x14ac:dyDescent="0.25">
      <c r="A1408" s="8" t="str">
        <f>IF(COUNT($J$2:$J$1501)&gt;=1407,1407,"")</f>
        <v/>
      </c>
      <c r="B1408" s="8" t="str">
        <f t="shared" si="105"/>
        <v/>
      </c>
      <c r="C1408" s="8" t="str">
        <f t="shared" si="106"/>
        <v/>
      </c>
      <c r="D1408" s="8" t="str">
        <f t="shared" si="107"/>
        <v/>
      </c>
      <c r="F1408" s="4" t="str">
        <f>IF(Jugadores!B1408="","",Jugadores!B1408)</f>
        <v/>
      </c>
      <c r="G1408" s="4" t="str">
        <f>IF(Jugadores!B1408="","",Jugadores!A1408)</f>
        <v/>
      </c>
      <c r="H1408" s="4" t="str">
        <f>IF(F1408="","",SUMIF('Estadísticas Jugadores'!$F$2:$F$7001,F1408,'Estadísticas Jugadores'!$I$2:$I$7001))</f>
        <v/>
      </c>
      <c r="I1408" s="4" t="str">
        <f t="shared" si="108"/>
        <v/>
      </c>
      <c r="J1408" s="4" t="str">
        <f t="shared" si="109"/>
        <v/>
      </c>
    </row>
    <row r="1409" spans="1:10" ht="15" customHeight="1" x14ac:dyDescent="0.25">
      <c r="A1409" s="8" t="str">
        <f>IF(COUNT($J$2:$J$1501)&gt;=1408,1408,"")</f>
        <v/>
      </c>
      <c r="B1409" s="8" t="str">
        <f t="shared" si="105"/>
        <v/>
      </c>
      <c r="C1409" s="8" t="str">
        <f t="shared" si="106"/>
        <v/>
      </c>
      <c r="D1409" s="8" t="str">
        <f t="shared" si="107"/>
        <v/>
      </c>
      <c r="F1409" s="4" t="str">
        <f>IF(Jugadores!B1409="","",Jugadores!B1409)</f>
        <v/>
      </c>
      <c r="G1409" s="4" t="str">
        <f>IF(Jugadores!B1409="","",Jugadores!A1409)</f>
        <v/>
      </c>
      <c r="H1409" s="4" t="str">
        <f>IF(F1409="","",SUMIF('Estadísticas Jugadores'!$F$2:$F$7001,F1409,'Estadísticas Jugadores'!$I$2:$I$7001))</f>
        <v/>
      </c>
      <c r="I1409" s="4" t="str">
        <f t="shared" si="108"/>
        <v/>
      </c>
      <c r="J1409" s="4" t="str">
        <f t="shared" si="109"/>
        <v/>
      </c>
    </row>
    <row r="1410" spans="1:10" ht="15" customHeight="1" x14ac:dyDescent="0.25">
      <c r="A1410" s="8" t="str">
        <f>IF(COUNT($J$2:$J$1501)&gt;=1409,1409,"")</f>
        <v/>
      </c>
      <c r="B1410" s="8" t="str">
        <f t="shared" ref="B1410:B1473" si="110">IF($A1410="","",INDEX($F$2:$F$1501,MATCH($A1410,$J$2:$J$1501,0)))</f>
        <v/>
      </c>
      <c r="C1410" s="8" t="str">
        <f t="shared" ref="C1410:C1473" si="111">IF($A1410="","",INDEX($G$2:$G$1501,MATCH($A1410,$J$2:$J$1501,0)))</f>
        <v/>
      </c>
      <c r="D1410" s="8" t="str">
        <f t="shared" ref="D1410:D1473" si="112">IF($A1410="","",INDEX($H$2:$H$1501,MATCH($A1410,$J$2:$J$1501,0)))</f>
        <v/>
      </c>
      <c r="F1410" s="4" t="str">
        <f>IF(Jugadores!B1410="","",Jugadores!B1410)</f>
        <v/>
      </c>
      <c r="G1410" s="4" t="str">
        <f>IF(Jugadores!B1410="","",Jugadores!A1410)</f>
        <v/>
      </c>
      <c r="H1410" s="4" t="str">
        <f>IF(F1410="","",SUMIF('Estadísticas Jugadores'!$F$2:$F$7001,F1410,'Estadísticas Jugadores'!$I$2:$I$7001))</f>
        <v/>
      </c>
      <c r="I1410" s="4" t="str">
        <f t="shared" ref="I1410:I1473" si="113">IF(F1410="","",H1410*1000-ROW()*0.0000001)</f>
        <v/>
      </c>
      <c r="J1410" s="4" t="str">
        <f t="shared" ref="J1410:J1473" si="114">IF(F1410="","",RANK(I1410,$I$2:$I$1501))</f>
        <v/>
      </c>
    </row>
    <row r="1411" spans="1:10" ht="15" customHeight="1" x14ac:dyDescent="0.25">
      <c r="A1411" s="8" t="str">
        <f>IF(COUNT($J$2:$J$1501)&gt;=1410,1410,"")</f>
        <v/>
      </c>
      <c r="B1411" s="8" t="str">
        <f t="shared" si="110"/>
        <v/>
      </c>
      <c r="C1411" s="8" t="str">
        <f t="shared" si="111"/>
        <v/>
      </c>
      <c r="D1411" s="8" t="str">
        <f t="shared" si="112"/>
        <v/>
      </c>
      <c r="F1411" s="4" t="str">
        <f>IF(Jugadores!B1411="","",Jugadores!B1411)</f>
        <v/>
      </c>
      <c r="G1411" s="4" t="str">
        <f>IF(Jugadores!B1411="","",Jugadores!A1411)</f>
        <v/>
      </c>
      <c r="H1411" s="4" t="str">
        <f>IF(F1411="","",SUMIF('Estadísticas Jugadores'!$F$2:$F$7001,F1411,'Estadísticas Jugadores'!$I$2:$I$7001))</f>
        <v/>
      </c>
      <c r="I1411" s="4" t="str">
        <f t="shared" si="113"/>
        <v/>
      </c>
      <c r="J1411" s="4" t="str">
        <f t="shared" si="114"/>
        <v/>
      </c>
    </row>
    <row r="1412" spans="1:10" ht="15" customHeight="1" x14ac:dyDescent="0.25">
      <c r="A1412" s="8" t="str">
        <f>IF(COUNT($J$2:$J$1501)&gt;=1411,1411,"")</f>
        <v/>
      </c>
      <c r="B1412" s="8" t="str">
        <f t="shared" si="110"/>
        <v/>
      </c>
      <c r="C1412" s="8" t="str">
        <f t="shared" si="111"/>
        <v/>
      </c>
      <c r="D1412" s="8" t="str">
        <f t="shared" si="112"/>
        <v/>
      </c>
      <c r="F1412" s="4" t="str">
        <f>IF(Jugadores!B1412="","",Jugadores!B1412)</f>
        <v/>
      </c>
      <c r="G1412" s="4" t="str">
        <f>IF(Jugadores!B1412="","",Jugadores!A1412)</f>
        <v/>
      </c>
      <c r="H1412" s="4" t="str">
        <f>IF(F1412="","",SUMIF('Estadísticas Jugadores'!$F$2:$F$7001,F1412,'Estadísticas Jugadores'!$I$2:$I$7001))</f>
        <v/>
      </c>
      <c r="I1412" s="4" t="str">
        <f t="shared" si="113"/>
        <v/>
      </c>
      <c r="J1412" s="4" t="str">
        <f t="shared" si="114"/>
        <v/>
      </c>
    </row>
    <row r="1413" spans="1:10" ht="15" customHeight="1" x14ac:dyDescent="0.25">
      <c r="A1413" s="8" t="str">
        <f>IF(COUNT($J$2:$J$1501)&gt;=1412,1412,"")</f>
        <v/>
      </c>
      <c r="B1413" s="8" t="str">
        <f t="shared" si="110"/>
        <v/>
      </c>
      <c r="C1413" s="8" t="str">
        <f t="shared" si="111"/>
        <v/>
      </c>
      <c r="D1413" s="8" t="str">
        <f t="shared" si="112"/>
        <v/>
      </c>
      <c r="F1413" s="4" t="str">
        <f>IF(Jugadores!B1413="","",Jugadores!B1413)</f>
        <v/>
      </c>
      <c r="G1413" s="4" t="str">
        <f>IF(Jugadores!B1413="","",Jugadores!A1413)</f>
        <v/>
      </c>
      <c r="H1413" s="4" t="str">
        <f>IF(F1413="","",SUMIF('Estadísticas Jugadores'!$F$2:$F$7001,F1413,'Estadísticas Jugadores'!$I$2:$I$7001))</f>
        <v/>
      </c>
      <c r="I1413" s="4" t="str">
        <f t="shared" si="113"/>
        <v/>
      </c>
      <c r="J1413" s="4" t="str">
        <f t="shared" si="114"/>
        <v/>
      </c>
    </row>
    <row r="1414" spans="1:10" ht="15" customHeight="1" x14ac:dyDescent="0.25">
      <c r="A1414" s="8" t="str">
        <f>IF(COUNT($J$2:$J$1501)&gt;=1413,1413,"")</f>
        <v/>
      </c>
      <c r="B1414" s="8" t="str">
        <f t="shared" si="110"/>
        <v/>
      </c>
      <c r="C1414" s="8" t="str">
        <f t="shared" si="111"/>
        <v/>
      </c>
      <c r="D1414" s="8" t="str">
        <f t="shared" si="112"/>
        <v/>
      </c>
      <c r="F1414" s="4" t="str">
        <f>IF(Jugadores!B1414="","",Jugadores!B1414)</f>
        <v/>
      </c>
      <c r="G1414" s="4" t="str">
        <f>IF(Jugadores!B1414="","",Jugadores!A1414)</f>
        <v/>
      </c>
      <c r="H1414" s="4" t="str">
        <f>IF(F1414="","",SUMIF('Estadísticas Jugadores'!$F$2:$F$7001,F1414,'Estadísticas Jugadores'!$I$2:$I$7001))</f>
        <v/>
      </c>
      <c r="I1414" s="4" t="str">
        <f t="shared" si="113"/>
        <v/>
      </c>
      <c r="J1414" s="4" t="str">
        <f t="shared" si="114"/>
        <v/>
      </c>
    </row>
    <row r="1415" spans="1:10" ht="15" customHeight="1" x14ac:dyDescent="0.25">
      <c r="A1415" s="8" t="str">
        <f>IF(COUNT($J$2:$J$1501)&gt;=1414,1414,"")</f>
        <v/>
      </c>
      <c r="B1415" s="8" t="str">
        <f t="shared" si="110"/>
        <v/>
      </c>
      <c r="C1415" s="8" t="str">
        <f t="shared" si="111"/>
        <v/>
      </c>
      <c r="D1415" s="8" t="str">
        <f t="shared" si="112"/>
        <v/>
      </c>
      <c r="F1415" s="4" t="str">
        <f>IF(Jugadores!B1415="","",Jugadores!B1415)</f>
        <v/>
      </c>
      <c r="G1415" s="4" t="str">
        <f>IF(Jugadores!B1415="","",Jugadores!A1415)</f>
        <v/>
      </c>
      <c r="H1415" s="4" t="str">
        <f>IF(F1415="","",SUMIF('Estadísticas Jugadores'!$F$2:$F$7001,F1415,'Estadísticas Jugadores'!$I$2:$I$7001))</f>
        <v/>
      </c>
      <c r="I1415" s="4" t="str">
        <f t="shared" si="113"/>
        <v/>
      </c>
      <c r="J1415" s="4" t="str">
        <f t="shared" si="114"/>
        <v/>
      </c>
    </row>
    <row r="1416" spans="1:10" ht="15" customHeight="1" x14ac:dyDescent="0.25">
      <c r="A1416" s="8" t="str">
        <f>IF(COUNT($J$2:$J$1501)&gt;=1415,1415,"")</f>
        <v/>
      </c>
      <c r="B1416" s="8" t="str">
        <f t="shared" si="110"/>
        <v/>
      </c>
      <c r="C1416" s="8" t="str">
        <f t="shared" si="111"/>
        <v/>
      </c>
      <c r="D1416" s="8" t="str">
        <f t="shared" si="112"/>
        <v/>
      </c>
      <c r="F1416" s="4" t="str">
        <f>IF(Jugadores!B1416="","",Jugadores!B1416)</f>
        <v/>
      </c>
      <c r="G1416" s="4" t="str">
        <f>IF(Jugadores!B1416="","",Jugadores!A1416)</f>
        <v/>
      </c>
      <c r="H1416" s="4" t="str">
        <f>IF(F1416="","",SUMIF('Estadísticas Jugadores'!$F$2:$F$7001,F1416,'Estadísticas Jugadores'!$I$2:$I$7001))</f>
        <v/>
      </c>
      <c r="I1416" s="4" t="str">
        <f t="shared" si="113"/>
        <v/>
      </c>
      <c r="J1416" s="4" t="str">
        <f t="shared" si="114"/>
        <v/>
      </c>
    </row>
    <row r="1417" spans="1:10" ht="15" customHeight="1" x14ac:dyDescent="0.25">
      <c r="A1417" s="8" t="str">
        <f>IF(COUNT($J$2:$J$1501)&gt;=1416,1416,"")</f>
        <v/>
      </c>
      <c r="B1417" s="8" t="str">
        <f t="shared" si="110"/>
        <v/>
      </c>
      <c r="C1417" s="8" t="str">
        <f t="shared" si="111"/>
        <v/>
      </c>
      <c r="D1417" s="8" t="str">
        <f t="shared" si="112"/>
        <v/>
      </c>
      <c r="F1417" s="4" t="str">
        <f>IF(Jugadores!B1417="","",Jugadores!B1417)</f>
        <v/>
      </c>
      <c r="G1417" s="4" t="str">
        <f>IF(Jugadores!B1417="","",Jugadores!A1417)</f>
        <v/>
      </c>
      <c r="H1417" s="4" t="str">
        <f>IF(F1417="","",SUMIF('Estadísticas Jugadores'!$F$2:$F$7001,F1417,'Estadísticas Jugadores'!$I$2:$I$7001))</f>
        <v/>
      </c>
      <c r="I1417" s="4" t="str">
        <f t="shared" si="113"/>
        <v/>
      </c>
      <c r="J1417" s="4" t="str">
        <f t="shared" si="114"/>
        <v/>
      </c>
    </row>
    <row r="1418" spans="1:10" ht="15" customHeight="1" x14ac:dyDescent="0.25">
      <c r="A1418" s="8" t="str">
        <f>IF(COUNT($J$2:$J$1501)&gt;=1417,1417,"")</f>
        <v/>
      </c>
      <c r="B1418" s="8" t="str">
        <f t="shared" si="110"/>
        <v/>
      </c>
      <c r="C1418" s="8" t="str">
        <f t="shared" si="111"/>
        <v/>
      </c>
      <c r="D1418" s="8" t="str">
        <f t="shared" si="112"/>
        <v/>
      </c>
      <c r="F1418" s="4" t="str">
        <f>IF(Jugadores!B1418="","",Jugadores!B1418)</f>
        <v/>
      </c>
      <c r="G1418" s="4" t="str">
        <f>IF(Jugadores!B1418="","",Jugadores!A1418)</f>
        <v/>
      </c>
      <c r="H1418" s="4" t="str">
        <f>IF(F1418="","",SUMIF('Estadísticas Jugadores'!$F$2:$F$7001,F1418,'Estadísticas Jugadores'!$I$2:$I$7001))</f>
        <v/>
      </c>
      <c r="I1418" s="4" t="str">
        <f t="shared" si="113"/>
        <v/>
      </c>
      <c r="J1418" s="4" t="str">
        <f t="shared" si="114"/>
        <v/>
      </c>
    </row>
    <row r="1419" spans="1:10" ht="15" customHeight="1" x14ac:dyDescent="0.25">
      <c r="A1419" s="8" t="str">
        <f>IF(COUNT($J$2:$J$1501)&gt;=1418,1418,"")</f>
        <v/>
      </c>
      <c r="B1419" s="8" t="str">
        <f t="shared" si="110"/>
        <v/>
      </c>
      <c r="C1419" s="8" t="str">
        <f t="shared" si="111"/>
        <v/>
      </c>
      <c r="D1419" s="8" t="str">
        <f t="shared" si="112"/>
        <v/>
      </c>
      <c r="F1419" s="4" t="str">
        <f>IF(Jugadores!B1419="","",Jugadores!B1419)</f>
        <v/>
      </c>
      <c r="G1419" s="4" t="str">
        <f>IF(Jugadores!B1419="","",Jugadores!A1419)</f>
        <v/>
      </c>
      <c r="H1419" s="4" t="str">
        <f>IF(F1419="","",SUMIF('Estadísticas Jugadores'!$F$2:$F$7001,F1419,'Estadísticas Jugadores'!$I$2:$I$7001))</f>
        <v/>
      </c>
      <c r="I1419" s="4" t="str">
        <f t="shared" si="113"/>
        <v/>
      </c>
      <c r="J1419" s="4" t="str">
        <f t="shared" si="114"/>
        <v/>
      </c>
    </row>
    <row r="1420" spans="1:10" ht="15" customHeight="1" x14ac:dyDescent="0.25">
      <c r="A1420" s="8" t="str">
        <f>IF(COUNT($J$2:$J$1501)&gt;=1419,1419,"")</f>
        <v/>
      </c>
      <c r="B1420" s="8" t="str">
        <f t="shared" si="110"/>
        <v/>
      </c>
      <c r="C1420" s="8" t="str">
        <f t="shared" si="111"/>
        <v/>
      </c>
      <c r="D1420" s="8" t="str">
        <f t="shared" si="112"/>
        <v/>
      </c>
      <c r="F1420" s="4" t="str">
        <f>IF(Jugadores!B1420="","",Jugadores!B1420)</f>
        <v/>
      </c>
      <c r="G1420" s="4" t="str">
        <f>IF(Jugadores!B1420="","",Jugadores!A1420)</f>
        <v/>
      </c>
      <c r="H1420" s="4" t="str">
        <f>IF(F1420="","",SUMIF('Estadísticas Jugadores'!$F$2:$F$7001,F1420,'Estadísticas Jugadores'!$I$2:$I$7001))</f>
        <v/>
      </c>
      <c r="I1420" s="4" t="str">
        <f t="shared" si="113"/>
        <v/>
      </c>
      <c r="J1420" s="4" t="str">
        <f t="shared" si="114"/>
        <v/>
      </c>
    </row>
    <row r="1421" spans="1:10" ht="15" customHeight="1" x14ac:dyDescent="0.25">
      <c r="A1421" s="8" t="str">
        <f>IF(COUNT($J$2:$J$1501)&gt;=1420,1420,"")</f>
        <v/>
      </c>
      <c r="B1421" s="8" t="str">
        <f t="shared" si="110"/>
        <v/>
      </c>
      <c r="C1421" s="8" t="str">
        <f t="shared" si="111"/>
        <v/>
      </c>
      <c r="D1421" s="8" t="str">
        <f t="shared" si="112"/>
        <v/>
      </c>
      <c r="F1421" s="4" t="str">
        <f>IF(Jugadores!B1421="","",Jugadores!B1421)</f>
        <v/>
      </c>
      <c r="G1421" s="4" t="str">
        <f>IF(Jugadores!B1421="","",Jugadores!A1421)</f>
        <v/>
      </c>
      <c r="H1421" s="4" t="str">
        <f>IF(F1421="","",SUMIF('Estadísticas Jugadores'!$F$2:$F$7001,F1421,'Estadísticas Jugadores'!$I$2:$I$7001))</f>
        <v/>
      </c>
      <c r="I1421" s="4" t="str">
        <f t="shared" si="113"/>
        <v/>
      </c>
      <c r="J1421" s="4" t="str">
        <f t="shared" si="114"/>
        <v/>
      </c>
    </row>
    <row r="1422" spans="1:10" ht="15" customHeight="1" x14ac:dyDescent="0.25">
      <c r="A1422" s="8" t="str">
        <f>IF(COUNT($J$2:$J$1501)&gt;=1421,1421,"")</f>
        <v/>
      </c>
      <c r="B1422" s="8" t="str">
        <f t="shared" si="110"/>
        <v/>
      </c>
      <c r="C1422" s="8" t="str">
        <f t="shared" si="111"/>
        <v/>
      </c>
      <c r="D1422" s="8" t="str">
        <f t="shared" si="112"/>
        <v/>
      </c>
      <c r="F1422" s="4" t="str">
        <f>IF(Jugadores!B1422="","",Jugadores!B1422)</f>
        <v/>
      </c>
      <c r="G1422" s="4" t="str">
        <f>IF(Jugadores!B1422="","",Jugadores!A1422)</f>
        <v/>
      </c>
      <c r="H1422" s="4" t="str">
        <f>IF(F1422="","",SUMIF('Estadísticas Jugadores'!$F$2:$F$7001,F1422,'Estadísticas Jugadores'!$I$2:$I$7001))</f>
        <v/>
      </c>
      <c r="I1422" s="4" t="str">
        <f t="shared" si="113"/>
        <v/>
      </c>
      <c r="J1422" s="4" t="str">
        <f t="shared" si="114"/>
        <v/>
      </c>
    </row>
    <row r="1423" spans="1:10" ht="15" customHeight="1" x14ac:dyDescent="0.25">
      <c r="A1423" s="8" t="str">
        <f>IF(COUNT($J$2:$J$1501)&gt;=1422,1422,"")</f>
        <v/>
      </c>
      <c r="B1423" s="8" t="str">
        <f t="shared" si="110"/>
        <v/>
      </c>
      <c r="C1423" s="8" t="str">
        <f t="shared" si="111"/>
        <v/>
      </c>
      <c r="D1423" s="8" t="str">
        <f t="shared" si="112"/>
        <v/>
      </c>
      <c r="F1423" s="4" t="str">
        <f>IF(Jugadores!B1423="","",Jugadores!B1423)</f>
        <v/>
      </c>
      <c r="G1423" s="4" t="str">
        <f>IF(Jugadores!B1423="","",Jugadores!A1423)</f>
        <v/>
      </c>
      <c r="H1423" s="4" t="str">
        <f>IF(F1423="","",SUMIF('Estadísticas Jugadores'!$F$2:$F$7001,F1423,'Estadísticas Jugadores'!$I$2:$I$7001))</f>
        <v/>
      </c>
      <c r="I1423" s="4" t="str">
        <f t="shared" si="113"/>
        <v/>
      </c>
      <c r="J1423" s="4" t="str">
        <f t="shared" si="114"/>
        <v/>
      </c>
    </row>
    <row r="1424" spans="1:10" ht="15" customHeight="1" x14ac:dyDescent="0.25">
      <c r="A1424" s="8" t="str">
        <f>IF(COUNT($J$2:$J$1501)&gt;=1423,1423,"")</f>
        <v/>
      </c>
      <c r="B1424" s="8" t="str">
        <f t="shared" si="110"/>
        <v/>
      </c>
      <c r="C1424" s="8" t="str">
        <f t="shared" si="111"/>
        <v/>
      </c>
      <c r="D1424" s="8" t="str">
        <f t="shared" si="112"/>
        <v/>
      </c>
      <c r="F1424" s="4" t="str">
        <f>IF(Jugadores!B1424="","",Jugadores!B1424)</f>
        <v/>
      </c>
      <c r="G1424" s="4" t="str">
        <f>IF(Jugadores!B1424="","",Jugadores!A1424)</f>
        <v/>
      </c>
      <c r="H1424" s="4" t="str">
        <f>IF(F1424="","",SUMIF('Estadísticas Jugadores'!$F$2:$F$7001,F1424,'Estadísticas Jugadores'!$I$2:$I$7001))</f>
        <v/>
      </c>
      <c r="I1424" s="4" t="str">
        <f t="shared" si="113"/>
        <v/>
      </c>
      <c r="J1424" s="4" t="str">
        <f t="shared" si="114"/>
        <v/>
      </c>
    </row>
    <row r="1425" spans="1:10" ht="15" customHeight="1" x14ac:dyDescent="0.25">
      <c r="A1425" s="8" t="str">
        <f>IF(COUNT($J$2:$J$1501)&gt;=1424,1424,"")</f>
        <v/>
      </c>
      <c r="B1425" s="8" t="str">
        <f t="shared" si="110"/>
        <v/>
      </c>
      <c r="C1425" s="8" t="str">
        <f t="shared" si="111"/>
        <v/>
      </c>
      <c r="D1425" s="8" t="str">
        <f t="shared" si="112"/>
        <v/>
      </c>
      <c r="F1425" s="4" t="str">
        <f>IF(Jugadores!B1425="","",Jugadores!B1425)</f>
        <v/>
      </c>
      <c r="G1425" s="4" t="str">
        <f>IF(Jugadores!B1425="","",Jugadores!A1425)</f>
        <v/>
      </c>
      <c r="H1425" s="4" t="str">
        <f>IF(F1425="","",SUMIF('Estadísticas Jugadores'!$F$2:$F$7001,F1425,'Estadísticas Jugadores'!$I$2:$I$7001))</f>
        <v/>
      </c>
      <c r="I1425" s="4" t="str">
        <f t="shared" si="113"/>
        <v/>
      </c>
      <c r="J1425" s="4" t="str">
        <f t="shared" si="114"/>
        <v/>
      </c>
    </row>
    <row r="1426" spans="1:10" ht="15" customHeight="1" x14ac:dyDescent="0.25">
      <c r="A1426" s="8" t="str">
        <f>IF(COUNT($J$2:$J$1501)&gt;=1425,1425,"")</f>
        <v/>
      </c>
      <c r="B1426" s="8" t="str">
        <f t="shared" si="110"/>
        <v/>
      </c>
      <c r="C1426" s="8" t="str">
        <f t="shared" si="111"/>
        <v/>
      </c>
      <c r="D1426" s="8" t="str">
        <f t="shared" si="112"/>
        <v/>
      </c>
      <c r="F1426" s="4" t="str">
        <f>IF(Jugadores!B1426="","",Jugadores!B1426)</f>
        <v/>
      </c>
      <c r="G1426" s="4" t="str">
        <f>IF(Jugadores!B1426="","",Jugadores!A1426)</f>
        <v/>
      </c>
      <c r="H1426" s="4" t="str">
        <f>IF(F1426="","",SUMIF('Estadísticas Jugadores'!$F$2:$F$7001,F1426,'Estadísticas Jugadores'!$I$2:$I$7001))</f>
        <v/>
      </c>
      <c r="I1426" s="4" t="str">
        <f t="shared" si="113"/>
        <v/>
      </c>
      <c r="J1426" s="4" t="str">
        <f t="shared" si="114"/>
        <v/>
      </c>
    </row>
    <row r="1427" spans="1:10" ht="15" customHeight="1" x14ac:dyDescent="0.25">
      <c r="A1427" s="8" t="str">
        <f>IF(COUNT($J$2:$J$1501)&gt;=1426,1426,"")</f>
        <v/>
      </c>
      <c r="B1427" s="8" t="str">
        <f t="shared" si="110"/>
        <v/>
      </c>
      <c r="C1427" s="8" t="str">
        <f t="shared" si="111"/>
        <v/>
      </c>
      <c r="D1427" s="8" t="str">
        <f t="shared" si="112"/>
        <v/>
      </c>
      <c r="F1427" s="4" t="str">
        <f>IF(Jugadores!B1427="","",Jugadores!B1427)</f>
        <v/>
      </c>
      <c r="G1427" s="4" t="str">
        <f>IF(Jugadores!B1427="","",Jugadores!A1427)</f>
        <v/>
      </c>
      <c r="H1427" s="4" t="str">
        <f>IF(F1427="","",SUMIF('Estadísticas Jugadores'!$F$2:$F$7001,F1427,'Estadísticas Jugadores'!$I$2:$I$7001))</f>
        <v/>
      </c>
      <c r="I1427" s="4" t="str">
        <f t="shared" si="113"/>
        <v/>
      </c>
      <c r="J1427" s="4" t="str">
        <f t="shared" si="114"/>
        <v/>
      </c>
    </row>
    <row r="1428" spans="1:10" ht="15" customHeight="1" x14ac:dyDescent="0.25">
      <c r="A1428" s="8" t="str">
        <f>IF(COUNT($J$2:$J$1501)&gt;=1427,1427,"")</f>
        <v/>
      </c>
      <c r="B1428" s="8" t="str">
        <f t="shared" si="110"/>
        <v/>
      </c>
      <c r="C1428" s="8" t="str">
        <f t="shared" si="111"/>
        <v/>
      </c>
      <c r="D1428" s="8" t="str">
        <f t="shared" si="112"/>
        <v/>
      </c>
      <c r="F1428" s="4" t="str">
        <f>IF(Jugadores!B1428="","",Jugadores!B1428)</f>
        <v/>
      </c>
      <c r="G1428" s="4" t="str">
        <f>IF(Jugadores!B1428="","",Jugadores!A1428)</f>
        <v/>
      </c>
      <c r="H1428" s="4" t="str">
        <f>IF(F1428="","",SUMIF('Estadísticas Jugadores'!$F$2:$F$7001,F1428,'Estadísticas Jugadores'!$I$2:$I$7001))</f>
        <v/>
      </c>
      <c r="I1428" s="4" t="str">
        <f t="shared" si="113"/>
        <v/>
      </c>
      <c r="J1428" s="4" t="str">
        <f t="shared" si="114"/>
        <v/>
      </c>
    </row>
    <row r="1429" spans="1:10" ht="15" customHeight="1" x14ac:dyDescent="0.25">
      <c r="A1429" s="8" t="str">
        <f>IF(COUNT($J$2:$J$1501)&gt;=1428,1428,"")</f>
        <v/>
      </c>
      <c r="B1429" s="8" t="str">
        <f t="shared" si="110"/>
        <v/>
      </c>
      <c r="C1429" s="8" t="str">
        <f t="shared" si="111"/>
        <v/>
      </c>
      <c r="D1429" s="8" t="str">
        <f t="shared" si="112"/>
        <v/>
      </c>
      <c r="F1429" s="4" t="str">
        <f>IF(Jugadores!B1429="","",Jugadores!B1429)</f>
        <v/>
      </c>
      <c r="G1429" s="4" t="str">
        <f>IF(Jugadores!B1429="","",Jugadores!A1429)</f>
        <v/>
      </c>
      <c r="H1429" s="4" t="str">
        <f>IF(F1429="","",SUMIF('Estadísticas Jugadores'!$F$2:$F$7001,F1429,'Estadísticas Jugadores'!$I$2:$I$7001))</f>
        <v/>
      </c>
      <c r="I1429" s="4" t="str">
        <f t="shared" si="113"/>
        <v/>
      </c>
      <c r="J1429" s="4" t="str">
        <f t="shared" si="114"/>
        <v/>
      </c>
    </row>
    <row r="1430" spans="1:10" ht="15" customHeight="1" x14ac:dyDescent="0.25">
      <c r="A1430" s="8" t="str">
        <f>IF(COUNT($J$2:$J$1501)&gt;=1429,1429,"")</f>
        <v/>
      </c>
      <c r="B1430" s="8" t="str">
        <f t="shared" si="110"/>
        <v/>
      </c>
      <c r="C1430" s="8" t="str">
        <f t="shared" si="111"/>
        <v/>
      </c>
      <c r="D1430" s="8" t="str">
        <f t="shared" si="112"/>
        <v/>
      </c>
      <c r="F1430" s="4" t="str">
        <f>IF(Jugadores!B1430="","",Jugadores!B1430)</f>
        <v/>
      </c>
      <c r="G1430" s="4" t="str">
        <f>IF(Jugadores!B1430="","",Jugadores!A1430)</f>
        <v/>
      </c>
      <c r="H1430" s="4" t="str">
        <f>IF(F1430="","",SUMIF('Estadísticas Jugadores'!$F$2:$F$7001,F1430,'Estadísticas Jugadores'!$I$2:$I$7001))</f>
        <v/>
      </c>
      <c r="I1430" s="4" t="str">
        <f t="shared" si="113"/>
        <v/>
      </c>
      <c r="J1430" s="4" t="str">
        <f t="shared" si="114"/>
        <v/>
      </c>
    </row>
    <row r="1431" spans="1:10" ht="15" customHeight="1" x14ac:dyDescent="0.25">
      <c r="A1431" s="8" t="str">
        <f>IF(COUNT($J$2:$J$1501)&gt;=1430,1430,"")</f>
        <v/>
      </c>
      <c r="B1431" s="8" t="str">
        <f t="shared" si="110"/>
        <v/>
      </c>
      <c r="C1431" s="8" t="str">
        <f t="shared" si="111"/>
        <v/>
      </c>
      <c r="D1431" s="8" t="str">
        <f t="shared" si="112"/>
        <v/>
      </c>
      <c r="F1431" s="4" t="str">
        <f>IF(Jugadores!B1431="","",Jugadores!B1431)</f>
        <v/>
      </c>
      <c r="G1431" s="4" t="str">
        <f>IF(Jugadores!B1431="","",Jugadores!A1431)</f>
        <v/>
      </c>
      <c r="H1431" s="4" t="str">
        <f>IF(F1431="","",SUMIF('Estadísticas Jugadores'!$F$2:$F$7001,F1431,'Estadísticas Jugadores'!$I$2:$I$7001))</f>
        <v/>
      </c>
      <c r="I1431" s="4" t="str">
        <f t="shared" si="113"/>
        <v/>
      </c>
      <c r="J1431" s="4" t="str">
        <f t="shared" si="114"/>
        <v/>
      </c>
    </row>
    <row r="1432" spans="1:10" ht="15" customHeight="1" x14ac:dyDescent="0.25">
      <c r="A1432" s="8" t="str">
        <f>IF(COUNT($J$2:$J$1501)&gt;=1431,1431,"")</f>
        <v/>
      </c>
      <c r="B1432" s="8" t="str">
        <f t="shared" si="110"/>
        <v/>
      </c>
      <c r="C1432" s="8" t="str">
        <f t="shared" si="111"/>
        <v/>
      </c>
      <c r="D1432" s="8" t="str">
        <f t="shared" si="112"/>
        <v/>
      </c>
      <c r="F1432" s="4" t="str">
        <f>IF(Jugadores!B1432="","",Jugadores!B1432)</f>
        <v/>
      </c>
      <c r="G1432" s="4" t="str">
        <f>IF(Jugadores!B1432="","",Jugadores!A1432)</f>
        <v/>
      </c>
      <c r="H1432" s="4" t="str">
        <f>IF(F1432="","",SUMIF('Estadísticas Jugadores'!$F$2:$F$7001,F1432,'Estadísticas Jugadores'!$I$2:$I$7001))</f>
        <v/>
      </c>
      <c r="I1432" s="4" t="str">
        <f t="shared" si="113"/>
        <v/>
      </c>
      <c r="J1432" s="4" t="str">
        <f t="shared" si="114"/>
        <v/>
      </c>
    </row>
    <row r="1433" spans="1:10" ht="15" customHeight="1" x14ac:dyDescent="0.25">
      <c r="A1433" s="8" t="str">
        <f>IF(COUNT($J$2:$J$1501)&gt;=1432,1432,"")</f>
        <v/>
      </c>
      <c r="B1433" s="8" t="str">
        <f t="shared" si="110"/>
        <v/>
      </c>
      <c r="C1433" s="8" t="str">
        <f t="shared" si="111"/>
        <v/>
      </c>
      <c r="D1433" s="8" t="str">
        <f t="shared" si="112"/>
        <v/>
      </c>
      <c r="F1433" s="4" t="str">
        <f>IF(Jugadores!B1433="","",Jugadores!B1433)</f>
        <v/>
      </c>
      <c r="G1433" s="4" t="str">
        <f>IF(Jugadores!B1433="","",Jugadores!A1433)</f>
        <v/>
      </c>
      <c r="H1433" s="4" t="str">
        <f>IF(F1433="","",SUMIF('Estadísticas Jugadores'!$F$2:$F$7001,F1433,'Estadísticas Jugadores'!$I$2:$I$7001))</f>
        <v/>
      </c>
      <c r="I1433" s="4" t="str">
        <f t="shared" si="113"/>
        <v/>
      </c>
      <c r="J1433" s="4" t="str">
        <f t="shared" si="114"/>
        <v/>
      </c>
    </row>
    <row r="1434" spans="1:10" ht="15" customHeight="1" x14ac:dyDescent="0.25">
      <c r="A1434" s="8" t="str">
        <f>IF(COUNT($J$2:$J$1501)&gt;=1433,1433,"")</f>
        <v/>
      </c>
      <c r="B1434" s="8" t="str">
        <f t="shared" si="110"/>
        <v/>
      </c>
      <c r="C1434" s="8" t="str">
        <f t="shared" si="111"/>
        <v/>
      </c>
      <c r="D1434" s="8" t="str">
        <f t="shared" si="112"/>
        <v/>
      </c>
      <c r="F1434" s="4" t="str">
        <f>IF(Jugadores!B1434="","",Jugadores!B1434)</f>
        <v/>
      </c>
      <c r="G1434" s="4" t="str">
        <f>IF(Jugadores!B1434="","",Jugadores!A1434)</f>
        <v/>
      </c>
      <c r="H1434" s="4" t="str">
        <f>IF(F1434="","",SUMIF('Estadísticas Jugadores'!$F$2:$F$7001,F1434,'Estadísticas Jugadores'!$I$2:$I$7001))</f>
        <v/>
      </c>
      <c r="I1434" s="4" t="str">
        <f t="shared" si="113"/>
        <v/>
      </c>
      <c r="J1434" s="4" t="str">
        <f t="shared" si="114"/>
        <v/>
      </c>
    </row>
    <row r="1435" spans="1:10" ht="15" customHeight="1" x14ac:dyDescent="0.25">
      <c r="A1435" s="8" t="str">
        <f>IF(COUNT($J$2:$J$1501)&gt;=1434,1434,"")</f>
        <v/>
      </c>
      <c r="B1435" s="8" t="str">
        <f t="shared" si="110"/>
        <v/>
      </c>
      <c r="C1435" s="8" t="str">
        <f t="shared" si="111"/>
        <v/>
      </c>
      <c r="D1435" s="8" t="str">
        <f t="shared" si="112"/>
        <v/>
      </c>
      <c r="F1435" s="4" t="str">
        <f>IF(Jugadores!B1435="","",Jugadores!B1435)</f>
        <v/>
      </c>
      <c r="G1435" s="4" t="str">
        <f>IF(Jugadores!B1435="","",Jugadores!A1435)</f>
        <v/>
      </c>
      <c r="H1435" s="4" t="str">
        <f>IF(F1435="","",SUMIF('Estadísticas Jugadores'!$F$2:$F$7001,F1435,'Estadísticas Jugadores'!$I$2:$I$7001))</f>
        <v/>
      </c>
      <c r="I1435" s="4" t="str">
        <f t="shared" si="113"/>
        <v/>
      </c>
      <c r="J1435" s="4" t="str">
        <f t="shared" si="114"/>
        <v/>
      </c>
    </row>
    <row r="1436" spans="1:10" ht="15" customHeight="1" x14ac:dyDescent="0.25">
      <c r="A1436" s="8" t="str">
        <f>IF(COUNT($J$2:$J$1501)&gt;=1435,1435,"")</f>
        <v/>
      </c>
      <c r="B1436" s="8" t="str">
        <f t="shared" si="110"/>
        <v/>
      </c>
      <c r="C1436" s="8" t="str">
        <f t="shared" si="111"/>
        <v/>
      </c>
      <c r="D1436" s="8" t="str">
        <f t="shared" si="112"/>
        <v/>
      </c>
      <c r="F1436" s="4" t="str">
        <f>IF(Jugadores!B1436="","",Jugadores!B1436)</f>
        <v/>
      </c>
      <c r="G1436" s="4" t="str">
        <f>IF(Jugadores!B1436="","",Jugadores!A1436)</f>
        <v/>
      </c>
      <c r="H1436" s="4" t="str">
        <f>IF(F1436="","",SUMIF('Estadísticas Jugadores'!$F$2:$F$7001,F1436,'Estadísticas Jugadores'!$I$2:$I$7001))</f>
        <v/>
      </c>
      <c r="I1436" s="4" t="str">
        <f t="shared" si="113"/>
        <v/>
      </c>
      <c r="J1436" s="4" t="str">
        <f t="shared" si="114"/>
        <v/>
      </c>
    </row>
    <row r="1437" spans="1:10" ht="15" customHeight="1" x14ac:dyDescent="0.25">
      <c r="A1437" s="8" t="str">
        <f>IF(COUNT($J$2:$J$1501)&gt;=1436,1436,"")</f>
        <v/>
      </c>
      <c r="B1437" s="8" t="str">
        <f t="shared" si="110"/>
        <v/>
      </c>
      <c r="C1437" s="8" t="str">
        <f t="shared" si="111"/>
        <v/>
      </c>
      <c r="D1437" s="8" t="str">
        <f t="shared" si="112"/>
        <v/>
      </c>
      <c r="F1437" s="4" t="str">
        <f>IF(Jugadores!B1437="","",Jugadores!B1437)</f>
        <v/>
      </c>
      <c r="G1437" s="4" t="str">
        <f>IF(Jugadores!B1437="","",Jugadores!A1437)</f>
        <v/>
      </c>
      <c r="H1437" s="4" t="str">
        <f>IF(F1437="","",SUMIF('Estadísticas Jugadores'!$F$2:$F$7001,F1437,'Estadísticas Jugadores'!$I$2:$I$7001))</f>
        <v/>
      </c>
      <c r="I1437" s="4" t="str">
        <f t="shared" si="113"/>
        <v/>
      </c>
      <c r="J1437" s="4" t="str">
        <f t="shared" si="114"/>
        <v/>
      </c>
    </row>
    <row r="1438" spans="1:10" ht="15" customHeight="1" x14ac:dyDescent="0.25">
      <c r="A1438" s="8" t="str">
        <f>IF(COUNT($J$2:$J$1501)&gt;=1437,1437,"")</f>
        <v/>
      </c>
      <c r="B1438" s="8" t="str">
        <f t="shared" si="110"/>
        <v/>
      </c>
      <c r="C1438" s="8" t="str">
        <f t="shared" si="111"/>
        <v/>
      </c>
      <c r="D1438" s="8" t="str">
        <f t="shared" si="112"/>
        <v/>
      </c>
      <c r="F1438" s="4" t="str">
        <f>IF(Jugadores!B1438="","",Jugadores!B1438)</f>
        <v/>
      </c>
      <c r="G1438" s="4" t="str">
        <f>IF(Jugadores!B1438="","",Jugadores!A1438)</f>
        <v/>
      </c>
      <c r="H1438" s="4" t="str">
        <f>IF(F1438="","",SUMIF('Estadísticas Jugadores'!$F$2:$F$7001,F1438,'Estadísticas Jugadores'!$I$2:$I$7001))</f>
        <v/>
      </c>
      <c r="I1438" s="4" t="str">
        <f t="shared" si="113"/>
        <v/>
      </c>
      <c r="J1438" s="4" t="str">
        <f t="shared" si="114"/>
        <v/>
      </c>
    </row>
    <row r="1439" spans="1:10" ht="15" customHeight="1" x14ac:dyDescent="0.25">
      <c r="A1439" s="8" t="str">
        <f>IF(COUNT($J$2:$J$1501)&gt;=1438,1438,"")</f>
        <v/>
      </c>
      <c r="B1439" s="8" t="str">
        <f t="shared" si="110"/>
        <v/>
      </c>
      <c r="C1439" s="8" t="str">
        <f t="shared" si="111"/>
        <v/>
      </c>
      <c r="D1439" s="8" t="str">
        <f t="shared" si="112"/>
        <v/>
      </c>
      <c r="F1439" s="4" t="str">
        <f>IF(Jugadores!B1439="","",Jugadores!B1439)</f>
        <v/>
      </c>
      <c r="G1439" s="4" t="str">
        <f>IF(Jugadores!B1439="","",Jugadores!A1439)</f>
        <v/>
      </c>
      <c r="H1439" s="4" t="str">
        <f>IF(F1439="","",SUMIF('Estadísticas Jugadores'!$F$2:$F$7001,F1439,'Estadísticas Jugadores'!$I$2:$I$7001))</f>
        <v/>
      </c>
      <c r="I1439" s="4" t="str">
        <f t="shared" si="113"/>
        <v/>
      </c>
      <c r="J1439" s="4" t="str">
        <f t="shared" si="114"/>
        <v/>
      </c>
    </row>
    <row r="1440" spans="1:10" ht="15" customHeight="1" x14ac:dyDescent="0.25">
      <c r="A1440" s="8" t="str">
        <f>IF(COUNT($J$2:$J$1501)&gt;=1439,1439,"")</f>
        <v/>
      </c>
      <c r="B1440" s="8" t="str">
        <f t="shared" si="110"/>
        <v/>
      </c>
      <c r="C1440" s="8" t="str">
        <f t="shared" si="111"/>
        <v/>
      </c>
      <c r="D1440" s="8" t="str">
        <f t="shared" si="112"/>
        <v/>
      </c>
      <c r="F1440" s="4" t="str">
        <f>IF(Jugadores!B1440="","",Jugadores!B1440)</f>
        <v/>
      </c>
      <c r="G1440" s="4" t="str">
        <f>IF(Jugadores!B1440="","",Jugadores!A1440)</f>
        <v/>
      </c>
      <c r="H1440" s="4" t="str">
        <f>IF(F1440="","",SUMIF('Estadísticas Jugadores'!$F$2:$F$7001,F1440,'Estadísticas Jugadores'!$I$2:$I$7001))</f>
        <v/>
      </c>
      <c r="I1440" s="4" t="str">
        <f t="shared" si="113"/>
        <v/>
      </c>
      <c r="J1440" s="4" t="str">
        <f t="shared" si="114"/>
        <v/>
      </c>
    </row>
    <row r="1441" spans="1:10" ht="15" customHeight="1" x14ac:dyDescent="0.25">
      <c r="A1441" s="8" t="str">
        <f>IF(COUNT($J$2:$J$1501)&gt;=1440,1440,"")</f>
        <v/>
      </c>
      <c r="B1441" s="8" t="str">
        <f t="shared" si="110"/>
        <v/>
      </c>
      <c r="C1441" s="8" t="str">
        <f t="shared" si="111"/>
        <v/>
      </c>
      <c r="D1441" s="8" t="str">
        <f t="shared" si="112"/>
        <v/>
      </c>
      <c r="F1441" s="4" t="str">
        <f>IF(Jugadores!B1441="","",Jugadores!B1441)</f>
        <v/>
      </c>
      <c r="G1441" s="4" t="str">
        <f>IF(Jugadores!B1441="","",Jugadores!A1441)</f>
        <v/>
      </c>
      <c r="H1441" s="4" t="str">
        <f>IF(F1441="","",SUMIF('Estadísticas Jugadores'!$F$2:$F$7001,F1441,'Estadísticas Jugadores'!$I$2:$I$7001))</f>
        <v/>
      </c>
      <c r="I1441" s="4" t="str">
        <f t="shared" si="113"/>
        <v/>
      </c>
      <c r="J1441" s="4" t="str">
        <f t="shared" si="114"/>
        <v/>
      </c>
    </row>
    <row r="1442" spans="1:10" ht="15" customHeight="1" x14ac:dyDescent="0.25">
      <c r="A1442" s="8" t="str">
        <f>IF(COUNT($J$2:$J$1501)&gt;=1441,1441,"")</f>
        <v/>
      </c>
      <c r="B1442" s="8" t="str">
        <f t="shared" si="110"/>
        <v/>
      </c>
      <c r="C1442" s="8" t="str">
        <f t="shared" si="111"/>
        <v/>
      </c>
      <c r="D1442" s="8" t="str">
        <f t="shared" si="112"/>
        <v/>
      </c>
      <c r="F1442" s="4" t="str">
        <f>IF(Jugadores!B1442="","",Jugadores!B1442)</f>
        <v/>
      </c>
      <c r="G1442" s="4" t="str">
        <f>IF(Jugadores!B1442="","",Jugadores!A1442)</f>
        <v/>
      </c>
      <c r="H1442" s="4" t="str">
        <f>IF(F1442="","",SUMIF('Estadísticas Jugadores'!$F$2:$F$7001,F1442,'Estadísticas Jugadores'!$I$2:$I$7001))</f>
        <v/>
      </c>
      <c r="I1442" s="4" t="str">
        <f t="shared" si="113"/>
        <v/>
      </c>
      <c r="J1442" s="4" t="str">
        <f t="shared" si="114"/>
        <v/>
      </c>
    </row>
    <row r="1443" spans="1:10" ht="15" customHeight="1" x14ac:dyDescent="0.25">
      <c r="A1443" s="8" t="str">
        <f>IF(COUNT($J$2:$J$1501)&gt;=1442,1442,"")</f>
        <v/>
      </c>
      <c r="B1443" s="8" t="str">
        <f t="shared" si="110"/>
        <v/>
      </c>
      <c r="C1443" s="8" t="str">
        <f t="shared" si="111"/>
        <v/>
      </c>
      <c r="D1443" s="8" t="str">
        <f t="shared" si="112"/>
        <v/>
      </c>
      <c r="F1443" s="4" t="str">
        <f>IF(Jugadores!B1443="","",Jugadores!B1443)</f>
        <v/>
      </c>
      <c r="G1443" s="4" t="str">
        <f>IF(Jugadores!B1443="","",Jugadores!A1443)</f>
        <v/>
      </c>
      <c r="H1443" s="4" t="str">
        <f>IF(F1443="","",SUMIF('Estadísticas Jugadores'!$F$2:$F$7001,F1443,'Estadísticas Jugadores'!$I$2:$I$7001))</f>
        <v/>
      </c>
      <c r="I1443" s="4" t="str">
        <f t="shared" si="113"/>
        <v/>
      </c>
      <c r="J1443" s="4" t="str">
        <f t="shared" si="114"/>
        <v/>
      </c>
    </row>
    <row r="1444" spans="1:10" ht="15" customHeight="1" x14ac:dyDescent="0.25">
      <c r="A1444" s="8" t="str">
        <f>IF(COUNT($J$2:$J$1501)&gt;=1443,1443,"")</f>
        <v/>
      </c>
      <c r="B1444" s="8" t="str">
        <f t="shared" si="110"/>
        <v/>
      </c>
      <c r="C1444" s="8" t="str">
        <f t="shared" si="111"/>
        <v/>
      </c>
      <c r="D1444" s="8" t="str">
        <f t="shared" si="112"/>
        <v/>
      </c>
      <c r="F1444" s="4" t="str">
        <f>IF(Jugadores!B1444="","",Jugadores!B1444)</f>
        <v/>
      </c>
      <c r="G1444" s="4" t="str">
        <f>IF(Jugadores!B1444="","",Jugadores!A1444)</f>
        <v/>
      </c>
      <c r="H1444" s="4" t="str">
        <f>IF(F1444="","",SUMIF('Estadísticas Jugadores'!$F$2:$F$7001,F1444,'Estadísticas Jugadores'!$I$2:$I$7001))</f>
        <v/>
      </c>
      <c r="I1444" s="4" t="str">
        <f t="shared" si="113"/>
        <v/>
      </c>
      <c r="J1444" s="4" t="str">
        <f t="shared" si="114"/>
        <v/>
      </c>
    </row>
    <row r="1445" spans="1:10" ht="15" customHeight="1" x14ac:dyDescent="0.25">
      <c r="A1445" s="8" t="str">
        <f>IF(COUNT($J$2:$J$1501)&gt;=1444,1444,"")</f>
        <v/>
      </c>
      <c r="B1445" s="8" t="str">
        <f t="shared" si="110"/>
        <v/>
      </c>
      <c r="C1445" s="8" t="str">
        <f t="shared" si="111"/>
        <v/>
      </c>
      <c r="D1445" s="8" t="str">
        <f t="shared" si="112"/>
        <v/>
      </c>
      <c r="F1445" s="4" t="str">
        <f>IF(Jugadores!B1445="","",Jugadores!B1445)</f>
        <v/>
      </c>
      <c r="G1445" s="4" t="str">
        <f>IF(Jugadores!B1445="","",Jugadores!A1445)</f>
        <v/>
      </c>
      <c r="H1445" s="4" t="str">
        <f>IF(F1445="","",SUMIF('Estadísticas Jugadores'!$F$2:$F$7001,F1445,'Estadísticas Jugadores'!$I$2:$I$7001))</f>
        <v/>
      </c>
      <c r="I1445" s="4" t="str">
        <f t="shared" si="113"/>
        <v/>
      </c>
      <c r="J1445" s="4" t="str">
        <f t="shared" si="114"/>
        <v/>
      </c>
    </row>
    <row r="1446" spans="1:10" ht="15" customHeight="1" x14ac:dyDescent="0.25">
      <c r="A1446" s="8" t="str">
        <f>IF(COUNT($J$2:$J$1501)&gt;=1445,1445,"")</f>
        <v/>
      </c>
      <c r="B1446" s="8" t="str">
        <f t="shared" si="110"/>
        <v/>
      </c>
      <c r="C1446" s="8" t="str">
        <f t="shared" si="111"/>
        <v/>
      </c>
      <c r="D1446" s="8" t="str">
        <f t="shared" si="112"/>
        <v/>
      </c>
      <c r="F1446" s="4" t="str">
        <f>IF(Jugadores!B1446="","",Jugadores!B1446)</f>
        <v/>
      </c>
      <c r="G1446" s="4" t="str">
        <f>IF(Jugadores!B1446="","",Jugadores!A1446)</f>
        <v/>
      </c>
      <c r="H1446" s="4" t="str">
        <f>IF(F1446="","",SUMIF('Estadísticas Jugadores'!$F$2:$F$7001,F1446,'Estadísticas Jugadores'!$I$2:$I$7001))</f>
        <v/>
      </c>
      <c r="I1446" s="4" t="str">
        <f t="shared" si="113"/>
        <v/>
      </c>
      <c r="J1446" s="4" t="str">
        <f t="shared" si="114"/>
        <v/>
      </c>
    </row>
    <row r="1447" spans="1:10" ht="15" customHeight="1" x14ac:dyDescent="0.25">
      <c r="A1447" s="8" t="str">
        <f>IF(COUNT($J$2:$J$1501)&gt;=1446,1446,"")</f>
        <v/>
      </c>
      <c r="B1447" s="8" t="str">
        <f t="shared" si="110"/>
        <v/>
      </c>
      <c r="C1447" s="8" t="str">
        <f t="shared" si="111"/>
        <v/>
      </c>
      <c r="D1447" s="8" t="str">
        <f t="shared" si="112"/>
        <v/>
      </c>
      <c r="F1447" s="4" t="str">
        <f>IF(Jugadores!B1447="","",Jugadores!B1447)</f>
        <v/>
      </c>
      <c r="G1447" s="4" t="str">
        <f>IF(Jugadores!B1447="","",Jugadores!A1447)</f>
        <v/>
      </c>
      <c r="H1447" s="4" t="str">
        <f>IF(F1447="","",SUMIF('Estadísticas Jugadores'!$F$2:$F$7001,F1447,'Estadísticas Jugadores'!$I$2:$I$7001))</f>
        <v/>
      </c>
      <c r="I1447" s="4" t="str">
        <f t="shared" si="113"/>
        <v/>
      </c>
      <c r="J1447" s="4" t="str">
        <f t="shared" si="114"/>
        <v/>
      </c>
    </row>
    <row r="1448" spans="1:10" ht="15" customHeight="1" x14ac:dyDescent="0.25">
      <c r="A1448" s="8" t="str">
        <f>IF(COUNT($J$2:$J$1501)&gt;=1447,1447,"")</f>
        <v/>
      </c>
      <c r="B1448" s="8" t="str">
        <f t="shared" si="110"/>
        <v/>
      </c>
      <c r="C1448" s="8" t="str">
        <f t="shared" si="111"/>
        <v/>
      </c>
      <c r="D1448" s="8" t="str">
        <f t="shared" si="112"/>
        <v/>
      </c>
      <c r="F1448" s="4" t="str">
        <f>IF(Jugadores!B1448="","",Jugadores!B1448)</f>
        <v/>
      </c>
      <c r="G1448" s="4" t="str">
        <f>IF(Jugadores!B1448="","",Jugadores!A1448)</f>
        <v/>
      </c>
      <c r="H1448" s="4" t="str">
        <f>IF(F1448="","",SUMIF('Estadísticas Jugadores'!$F$2:$F$7001,F1448,'Estadísticas Jugadores'!$I$2:$I$7001))</f>
        <v/>
      </c>
      <c r="I1448" s="4" t="str">
        <f t="shared" si="113"/>
        <v/>
      </c>
      <c r="J1448" s="4" t="str">
        <f t="shared" si="114"/>
        <v/>
      </c>
    </row>
    <row r="1449" spans="1:10" ht="15" customHeight="1" x14ac:dyDescent="0.25">
      <c r="A1449" s="8" t="str">
        <f>IF(COUNT($J$2:$J$1501)&gt;=1448,1448,"")</f>
        <v/>
      </c>
      <c r="B1449" s="8" t="str">
        <f t="shared" si="110"/>
        <v/>
      </c>
      <c r="C1449" s="8" t="str">
        <f t="shared" si="111"/>
        <v/>
      </c>
      <c r="D1449" s="8" t="str">
        <f t="shared" si="112"/>
        <v/>
      </c>
      <c r="F1449" s="4" t="str">
        <f>IF(Jugadores!B1449="","",Jugadores!B1449)</f>
        <v/>
      </c>
      <c r="G1449" s="4" t="str">
        <f>IF(Jugadores!B1449="","",Jugadores!A1449)</f>
        <v/>
      </c>
      <c r="H1449" s="4" t="str">
        <f>IF(F1449="","",SUMIF('Estadísticas Jugadores'!$F$2:$F$7001,F1449,'Estadísticas Jugadores'!$I$2:$I$7001))</f>
        <v/>
      </c>
      <c r="I1449" s="4" t="str">
        <f t="shared" si="113"/>
        <v/>
      </c>
      <c r="J1449" s="4" t="str">
        <f t="shared" si="114"/>
        <v/>
      </c>
    </row>
    <row r="1450" spans="1:10" ht="15" customHeight="1" x14ac:dyDescent="0.25">
      <c r="A1450" s="8" t="str">
        <f>IF(COUNT($J$2:$J$1501)&gt;=1449,1449,"")</f>
        <v/>
      </c>
      <c r="B1450" s="8" t="str">
        <f t="shared" si="110"/>
        <v/>
      </c>
      <c r="C1450" s="8" t="str">
        <f t="shared" si="111"/>
        <v/>
      </c>
      <c r="D1450" s="8" t="str">
        <f t="shared" si="112"/>
        <v/>
      </c>
      <c r="F1450" s="4" t="str">
        <f>IF(Jugadores!B1450="","",Jugadores!B1450)</f>
        <v/>
      </c>
      <c r="G1450" s="4" t="str">
        <f>IF(Jugadores!B1450="","",Jugadores!A1450)</f>
        <v/>
      </c>
      <c r="H1450" s="4" t="str">
        <f>IF(F1450="","",SUMIF('Estadísticas Jugadores'!$F$2:$F$7001,F1450,'Estadísticas Jugadores'!$I$2:$I$7001))</f>
        <v/>
      </c>
      <c r="I1450" s="4" t="str">
        <f t="shared" si="113"/>
        <v/>
      </c>
      <c r="J1450" s="4" t="str">
        <f t="shared" si="114"/>
        <v/>
      </c>
    </row>
    <row r="1451" spans="1:10" ht="15" customHeight="1" x14ac:dyDescent="0.25">
      <c r="A1451" s="8" t="str">
        <f>IF(COUNT($J$2:$J$1501)&gt;=1450,1450,"")</f>
        <v/>
      </c>
      <c r="B1451" s="8" t="str">
        <f t="shared" si="110"/>
        <v/>
      </c>
      <c r="C1451" s="8" t="str">
        <f t="shared" si="111"/>
        <v/>
      </c>
      <c r="D1451" s="8" t="str">
        <f t="shared" si="112"/>
        <v/>
      </c>
      <c r="F1451" s="4" t="str">
        <f>IF(Jugadores!B1451="","",Jugadores!B1451)</f>
        <v/>
      </c>
      <c r="G1451" s="4" t="str">
        <f>IF(Jugadores!B1451="","",Jugadores!A1451)</f>
        <v/>
      </c>
      <c r="H1451" s="4" t="str">
        <f>IF(F1451="","",SUMIF('Estadísticas Jugadores'!$F$2:$F$7001,F1451,'Estadísticas Jugadores'!$I$2:$I$7001))</f>
        <v/>
      </c>
      <c r="I1451" s="4" t="str">
        <f t="shared" si="113"/>
        <v/>
      </c>
      <c r="J1451" s="4" t="str">
        <f t="shared" si="114"/>
        <v/>
      </c>
    </row>
    <row r="1452" spans="1:10" ht="15" customHeight="1" x14ac:dyDescent="0.25">
      <c r="A1452" s="8" t="str">
        <f>IF(COUNT($J$2:$J$1501)&gt;=1451,1451,"")</f>
        <v/>
      </c>
      <c r="B1452" s="8" t="str">
        <f t="shared" si="110"/>
        <v/>
      </c>
      <c r="C1452" s="8" t="str">
        <f t="shared" si="111"/>
        <v/>
      </c>
      <c r="D1452" s="8" t="str">
        <f t="shared" si="112"/>
        <v/>
      </c>
      <c r="F1452" s="4" t="str">
        <f>IF(Jugadores!B1452="","",Jugadores!B1452)</f>
        <v/>
      </c>
      <c r="G1452" s="4" t="str">
        <f>IF(Jugadores!B1452="","",Jugadores!A1452)</f>
        <v/>
      </c>
      <c r="H1452" s="4" t="str">
        <f>IF(F1452="","",SUMIF('Estadísticas Jugadores'!$F$2:$F$7001,F1452,'Estadísticas Jugadores'!$I$2:$I$7001))</f>
        <v/>
      </c>
      <c r="I1452" s="4" t="str">
        <f t="shared" si="113"/>
        <v/>
      </c>
      <c r="J1452" s="4" t="str">
        <f t="shared" si="114"/>
        <v/>
      </c>
    </row>
    <row r="1453" spans="1:10" ht="15" customHeight="1" x14ac:dyDescent="0.25">
      <c r="A1453" s="8" t="str">
        <f>IF(COUNT($J$2:$J$1501)&gt;=1452,1452,"")</f>
        <v/>
      </c>
      <c r="B1453" s="8" t="str">
        <f t="shared" si="110"/>
        <v/>
      </c>
      <c r="C1453" s="8" t="str">
        <f t="shared" si="111"/>
        <v/>
      </c>
      <c r="D1453" s="8" t="str">
        <f t="shared" si="112"/>
        <v/>
      </c>
      <c r="F1453" s="4" t="str">
        <f>IF(Jugadores!B1453="","",Jugadores!B1453)</f>
        <v/>
      </c>
      <c r="G1453" s="4" t="str">
        <f>IF(Jugadores!B1453="","",Jugadores!A1453)</f>
        <v/>
      </c>
      <c r="H1453" s="4" t="str">
        <f>IF(F1453="","",SUMIF('Estadísticas Jugadores'!$F$2:$F$7001,F1453,'Estadísticas Jugadores'!$I$2:$I$7001))</f>
        <v/>
      </c>
      <c r="I1453" s="4" t="str">
        <f t="shared" si="113"/>
        <v/>
      </c>
      <c r="J1453" s="4" t="str">
        <f t="shared" si="114"/>
        <v/>
      </c>
    </row>
    <row r="1454" spans="1:10" ht="15" customHeight="1" x14ac:dyDescent="0.25">
      <c r="A1454" s="8" t="str">
        <f>IF(COUNT($J$2:$J$1501)&gt;=1453,1453,"")</f>
        <v/>
      </c>
      <c r="B1454" s="8" t="str">
        <f t="shared" si="110"/>
        <v/>
      </c>
      <c r="C1454" s="8" t="str">
        <f t="shared" si="111"/>
        <v/>
      </c>
      <c r="D1454" s="8" t="str">
        <f t="shared" si="112"/>
        <v/>
      </c>
      <c r="F1454" s="4" t="str">
        <f>IF(Jugadores!B1454="","",Jugadores!B1454)</f>
        <v/>
      </c>
      <c r="G1454" s="4" t="str">
        <f>IF(Jugadores!B1454="","",Jugadores!A1454)</f>
        <v/>
      </c>
      <c r="H1454" s="4" t="str">
        <f>IF(F1454="","",SUMIF('Estadísticas Jugadores'!$F$2:$F$7001,F1454,'Estadísticas Jugadores'!$I$2:$I$7001))</f>
        <v/>
      </c>
      <c r="I1454" s="4" t="str">
        <f t="shared" si="113"/>
        <v/>
      </c>
      <c r="J1454" s="4" t="str">
        <f t="shared" si="114"/>
        <v/>
      </c>
    </row>
    <row r="1455" spans="1:10" ht="15" customHeight="1" x14ac:dyDescent="0.25">
      <c r="A1455" s="8" t="str">
        <f>IF(COUNT($J$2:$J$1501)&gt;=1454,1454,"")</f>
        <v/>
      </c>
      <c r="B1455" s="8" t="str">
        <f t="shared" si="110"/>
        <v/>
      </c>
      <c r="C1455" s="8" t="str">
        <f t="shared" si="111"/>
        <v/>
      </c>
      <c r="D1455" s="8" t="str">
        <f t="shared" si="112"/>
        <v/>
      </c>
      <c r="F1455" s="4" t="str">
        <f>IF(Jugadores!B1455="","",Jugadores!B1455)</f>
        <v/>
      </c>
      <c r="G1455" s="4" t="str">
        <f>IF(Jugadores!B1455="","",Jugadores!A1455)</f>
        <v/>
      </c>
      <c r="H1455" s="4" t="str">
        <f>IF(F1455="","",SUMIF('Estadísticas Jugadores'!$F$2:$F$7001,F1455,'Estadísticas Jugadores'!$I$2:$I$7001))</f>
        <v/>
      </c>
      <c r="I1455" s="4" t="str">
        <f t="shared" si="113"/>
        <v/>
      </c>
      <c r="J1455" s="4" t="str">
        <f t="shared" si="114"/>
        <v/>
      </c>
    </row>
    <row r="1456" spans="1:10" ht="15" customHeight="1" x14ac:dyDescent="0.25">
      <c r="A1456" s="8" t="str">
        <f>IF(COUNT($J$2:$J$1501)&gt;=1455,1455,"")</f>
        <v/>
      </c>
      <c r="B1456" s="8" t="str">
        <f t="shared" si="110"/>
        <v/>
      </c>
      <c r="C1456" s="8" t="str">
        <f t="shared" si="111"/>
        <v/>
      </c>
      <c r="D1456" s="8" t="str">
        <f t="shared" si="112"/>
        <v/>
      </c>
      <c r="F1456" s="4" t="str">
        <f>IF(Jugadores!B1456="","",Jugadores!B1456)</f>
        <v/>
      </c>
      <c r="G1456" s="4" t="str">
        <f>IF(Jugadores!B1456="","",Jugadores!A1456)</f>
        <v/>
      </c>
      <c r="H1456" s="4" t="str">
        <f>IF(F1456="","",SUMIF('Estadísticas Jugadores'!$F$2:$F$7001,F1456,'Estadísticas Jugadores'!$I$2:$I$7001))</f>
        <v/>
      </c>
      <c r="I1456" s="4" t="str">
        <f t="shared" si="113"/>
        <v/>
      </c>
      <c r="J1456" s="4" t="str">
        <f t="shared" si="114"/>
        <v/>
      </c>
    </row>
    <row r="1457" spans="1:10" ht="15" customHeight="1" x14ac:dyDescent="0.25">
      <c r="A1457" s="8" t="str">
        <f>IF(COUNT($J$2:$J$1501)&gt;=1456,1456,"")</f>
        <v/>
      </c>
      <c r="B1457" s="8" t="str">
        <f t="shared" si="110"/>
        <v/>
      </c>
      <c r="C1457" s="8" t="str">
        <f t="shared" si="111"/>
        <v/>
      </c>
      <c r="D1457" s="8" t="str">
        <f t="shared" si="112"/>
        <v/>
      </c>
      <c r="F1457" s="4" t="str">
        <f>IF(Jugadores!B1457="","",Jugadores!B1457)</f>
        <v/>
      </c>
      <c r="G1457" s="4" t="str">
        <f>IF(Jugadores!B1457="","",Jugadores!A1457)</f>
        <v/>
      </c>
      <c r="H1457" s="4" t="str">
        <f>IF(F1457="","",SUMIF('Estadísticas Jugadores'!$F$2:$F$7001,F1457,'Estadísticas Jugadores'!$I$2:$I$7001))</f>
        <v/>
      </c>
      <c r="I1457" s="4" t="str">
        <f t="shared" si="113"/>
        <v/>
      </c>
      <c r="J1457" s="4" t="str">
        <f t="shared" si="114"/>
        <v/>
      </c>
    </row>
    <row r="1458" spans="1:10" ht="15" customHeight="1" x14ac:dyDescent="0.25">
      <c r="A1458" s="8" t="str">
        <f>IF(COUNT($J$2:$J$1501)&gt;=1457,1457,"")</f>
        <v/>
      </c>
      <c r="B1458" s="8" t="str">
        <f t="shared" si="110"/>
        <v/>
      </c>
      <c r="C1458" s="8" t="str">
        <f t="shared" si="111"/>
        <v/>
      </c>
      <c r="D1458" s="8" t="str">
        <f t="shared" si="112"/>
        <v/>
      </c>
      <c r="F1458" s="4" t="str">
        <f>IF(Jugadores!B1458="","",Jugadores!B1458)</f>
        <v/>
      </c>
      <c r="G1458" s="4" t="str">
        <f>IF(Jugadores!B1458="","",Jugadores!A1458)</f>
        <v/>
      </c>
      <c r="H1458" s="4" t="str">
        <f>IF(F1458="","",SUMIF('Estadísticas Jugadores'!$F$2:$F$7001,F1458,'Estadísticas Jugadores'!$I$2:$I$7001))</f>
        <v/>
      </c>
      <c r="I1458" s="4" t="str">
        <f t="shared" si="113"/>
        <v/>
      </c>
      <c r="J1458" s="4" t="str">
        <f t="shared" si="114"/>
        <v/>
      </c>
    </row>
    <row r="1459" spans="1:10" ht="15" customHeight="1" x14ac:dyDescent="0.25">
      <c r="A1459" s="8" t="str">
        <f>IF(COUNT($J$2:$J$1501)&gt;=1458,1458,"")</f>
        <v/>
      </c>
      <c r="B1459" s="8" t="str">
        <f t="shared" si="110"/>
        <v/>
      </c>
      <c r="C1459" s="8" t="str">
        <f t="shared" si="111"/>
        <v/>
      </c>
      <c r="D1459" s="8" t="str">
        <f t="shared" si="112"/>
        <v/>
      </c>
      <c r="F1459" s="4" t="str">
        <f>IF(Jugadores!B1459="","",Jugadores!B1459)</f>
        <v/>
      </c>
      <c r="G1459" s="4" t="str">
        <f>IF(Jugadores!B1459="","",Jugadores!A1459)</f>
        <v/>
      </c>
      <c r="H1459" s="4" t="str">
        <f>IF(F1459="","",SUMIF('Estadísticas Jugadores'!$F$2:$F$7001,F1459,'Estadísticas Jugadores'!$I$2:$I$7001))</f>
        <v/>
      </c>
      <c r="I1459" s="4" t="str">
        <f t="shared" si="113"/>
        <v/>
      </c>
      <c r="J1459" s="4" t="str">
        <f t="shared" si="114"/>
        <v/>
      </c>
    </row>
    <row r="1460" spans="1:10" ht="15" customHeight="1" x14ac:dyDescent="0.25">
      <c r="A1460" s="8" t="str">
        <f>IF(COUNT($J$2:$J$1501)&gt;=1459,1459,"")</f>
        <v/>
      </c>
      <c r="B1460" s="8" t="str">
        <f t="shared" si="110"/>
        <v/>
      </c>
      <c r="C1460" s="8" t="str">
        <f t="shared" si="111"/>
        <v/>
      </c>
      <c r="D1460" s="8" t="str">
        <f t="shared" si="112"/>
        <v/>
      </c>
      <c r="F1460" s="4" t="str">
        <f>IF(Jugadores!B1460="","",Jugadores!B1460)</f>
        <v/>
      </c>
      <c r="G1460" s="4" t="str">
        <f>IF(Jugadores!B1460="","",Jugadores!A1460)</f>
        <v/>
      </c>
      <c r="H1460" s="4" t="str">
        <f>IF(F1460="","",SUMIF('Estadísticas Jugadores'!$F$2:$F$7001,F1460,'Estadísticas Jugadores'!$I$2:$I$7001))</f>
        <v/>
      </c>
      <c r="I1460" s="4" t="str">
        <f t="shared" si="113"/>
        <v/>
      </c>
      <c r="J1460" s="4" t="str">
        <f t="shared" si="114"/>
        <v/>
      </c>
    </row>
    <row r="1461" spans="1:10" ht="15" customHeight="1" x14ac:dyDescent="0.25">
      <c r="A1461" s="8" t="str">
        <f>IF(COUNT($J$2:$J$1501)&gt;=1460,1460,"")</f>
        <v/>
      </c>
      <c r="B1461" s="8" t="str">
        <f t="shared" si="110"/>
        <v/>
      </c>
      <c r="C1461" s="8" t="str">
        <f t="shared" si="111"/>
        <v/>
      </c>
      <c r="D1461" s="8" t="str">
        <f t="shared" si="112"/>
        <v/>
      </c>
      <c r="F1461" s="4" t="str">
        <f>IF(Jugadores!B1461="","",Jugadores!B1461)</f>
        <v/>
      </c>
      <c r="G1461" s="4" t="str">
        <f>IF(Jugadores!B1461="","",Jugadores!A1461)</f>
        <v/>
      </c>
      <c r="H1461" s="4" t="str">
        <f>IF(F1461="","",SUMIF('Estadísticas Jugadores'!$F$2:$F$7001,F1461,'Estadísticas Jugadores'!$I$2:$I$7001))</f>
        <v/>
      </c>
      <c r="I1461" s="4" t="str">
        <f t="shared" si="113"/>
        <v/>
      </c>
      <c r="J1461" s="4" t="str">
        <f t="shared" si="114"/>
        <v/>
      </c>
    </row>
    <row r="1462" spans="1:10" ht="15" customHeight="1" x14ac:dyDescent="0.25">
      <c r="A1462" s="8" t="str">
        <f>IF(COUNT($J$2:$J$1501)&gt;=1461,1461,"")</f>
        <v/>
      </c>
      <c r="B1462" s="8" t="str">
        <f t="shared" si="110"/>
        <v/>
      </c>
      <c r="C1462" s="8" t="str">
        <f t="shared" si="111"/>
        <v/>
      </c>
      <c r="D1462" s="8" t="str">
        <f t="shared" si="112"/>
        <v/>
      </c>
      <c r="F1462" s="4" t="str">
        <f>IF(Jugadores!B1462="","",Jugadores!B1462)</f>
        <v/>
      </c>
      <c r="G1462" s="4" t="str">
        <f>IF(Jugadores!B1462="","",Jugadores!A1462)</f>
        <v/>
      </c>
      <c r="H1462" s="4" t="str">
        <f>IF(F1462="","",SUMIF('Estadísticas Jugadores'!$F$2:$F$7001,F1462,'Estadísticas Jugadores'!$I$2:$I$7001))</f>
        <v/>
      </c>
      <c r="I1462" s="4" t="str">
        <f t="shared" si="113"/>
        <v/>
      </c>
      <c r="J1462" s="4" t="str">
        <f t="shared" si="114"/>
        <v/>
      </c>
    </row>
    <row r="1463" spans="1:10" ht="15" customHeight="1" x14ac:dyDescent="0.25">
      <c r="A1463" s="8" t="str">
        <f>IF(COUNT($J$2:$J$1501)&gt;=1462,1462,"")</f>
        <v/>
      </c>
      <c r="B1463" s="8" t="str">
        <f t="shared" si="110"/>
        <v/>
      </c>
      <c r="C1463" s="8" t="str">
        <f t="shared" si="111"/>
        <v/>
      </c>
      <c r="D1463" s="8" t="str">
        <f t="shared" si="112"/>
        <v/>
      </c>
      <c r="F1463" s="4" t="str">
        <f>IF(Jugadores!B1463="","",Jugadores!B1463)</f>
        <v/>
      </c>
      <c r="G1463" s="4" t="str">
        <f>IF(Jugadores!B1463="","",Jugadores!A1463)</f>
        <v/>
      </c>
      <c r="H1463" s="4" t="str">
        <f>IF(F1463="","",SUMIF('Estadísticas Jugadores'!$F$2:$F$7001,F1463,'Estadísticas Jugadores'!$I$2:$I$7001))</f>
        <v/>
      </c>
      <c r="I1463" s="4" t="str">
        <f t="shared" si="113"/>
        <v/>
      </c>
      <c r="J1463" s="4" t="str">
        <f t="shared" si="114"/>
        <v/>
      </c>
    </row>
    <row r="1464" spans="1:10" ht="15" customHeight="1" x14ac:dyDescent="0.25">
      <c r="A1464" s="8" t="str">
        <f>IF(COUNT($J$2:$J$1501)&gt;=1463,1463,"")</f>
        <v/>
      </c>
      <c r="B1464" s="8" t="str">
        <f t="shared" si="110"/>
        <v/>
      </c>
      <c r="C1464" s="8" t="str">
        <f t="shared" si="111"/>
        <v/>
      </c>
      <c r="D1464" s="8" t="str">
        <f t="shared" si="112"/>
        <v/>
      </c>
      <c r="F1464" s="4" t="str">
        <f>IF(Jugadores!B1464="","",Jugadores!B1464)</f>
        <v/>
      </c>
      <c r="G1464" s="4" t="str">
        <f>IF(Jugadores!B1464="","",Jugadores!A1464)</f>
        <v/>
      </c>
      <c r="H1464" s="4" t="str">
        <f>IF(F1464="","",SUMIF('Estadísticas Jugadores'!$F$2:$F$7001,F1464,'Estadísticas Jugadores'!$I$2:$I$7001))</f>
        <v/>
      </c>
      <c r="I1464" s="4" t="str">
        <f t="shared" si="113"/>
        <v/>
      </c>
      <c r="J1464" s="4" t="str">
        <f t="shared" si="114"/>
        <v/>
      </c>
    </row>
    <row r="1465" spans="1:10" ht="15" customHeight="1" x14ac:dyDescent="0.25">
      <c r="A1465" s="8" t="str">
        <f>IF(COUNT($J$2:$J$1501)&gt;=1464,1464,"")</f>
        <v/>
      </c>
      <c r="B1465" s="8" t="str">
        <f t="shared" si="110"/>
        <v/>
      </c>
      <c r="C1465" s="8" t="str">
        <f t="shared" si="111"/>
        <v/>
      </c>
      <c r="D1465" s="8" t="str">
        <f t="shared" si="112"/>
        <v/>
      </c>
      <c r="F1465" s="4" t="str">
        <f>IF(Jugadores!B1465="","",Jugadores!B1465)</f>
        <v/>
      </c>
      <c r="G1465" s="4" t="str">
        <f>IF(Jugadores!B1465="","",Jugadores!A1465)</f>
        <v/>
      </c>
      <c r="H1465" s="4" t="str">
        <f>IF(F1465="","",SUMIF('Estadísticas Jugadores'!$F$2:$F$7001,F1465,'Estadísticas Jugadores'!$I$2:$I$7001))</f>
        <v/>
      </c>
      <c r="I1465" s="4" t="str">
        <f t="shared" si="113"/>
        <v/>
      </c>
      <c r="J1465" s="4" t="str">
        <f t="shared" si="114"/>
        <v/>
      </c>
    </row>
    <row r="1466" spans="1:10" ht="15" customHeight="1" x14ac:dyDescent="0.25">
      <c r="A1466" s="8" t="str">
        <f>IF(COUNT($J$2:$J$1501)&gt;=1465,1465,"")</f>
        <v/>
      </c>
      <c r="B1466" s="8" t="str">
        <f t="shared" si="110"/>
        <v/>
      </c>
      <c r="C1466" s="8" t="str">
        <f t="shared" si="111"/>
        <v/>
      </c>
      <c r="D1466" s="8" t="str">
        <f t="shared" si="112"/>
        <v/>
      </c>
      <c r="F1466" s="4" t="str">
        <f>IF(Jugadores!B1466="","",Jugadores!B1466)</f>
        <v/>
      </c>
      <c r="G1466" s="4" t="str">
        <f>IF(Jugadores!B1466="","",Jugadores!A1466)</f>
        <v/>
      </c>
      <c r="H1466" s="4" t="str">
        <f>IF(F1466="","",SUMIF('Estadísticas Jugadores'!$F$2:$F$7001,F1466,'Estadísticas Jugadores'!$I$2:$I$7001))</f>
        <v/>
      </c>
      <c r="I1466" s="4" t="str">
        <f t="shared" si="113"/>
        <v/>
      </c>
      <c r="J1466" s="4" t="str">
        <f t="shared" si="114"/>
        <v/>
      </c>
    </row>
    <row r="1467" spans="1:10" ht="15" customHeight="1" x14ac:dyDescent="0.25">
      <c r="A1467" s="8" t="str">
        <f>IF(COUNT($J$2:$J$1501)&gt;=1466,1466,"")</f>
        <v/>
      </c>
      <c r="B1467" s="8" t="str">
        <f t="shared" si="110"/>
        <v/>
      </c>
      <c r="C1467" s="8" t="str">
        <f t="shared" si="111"/>
        <v/>
      </c>
      <c r="D1467" s="8" t="str">
        <f t="shared" si="112"/>
        <v/>
      </c>
      <c r="F1467" s="4" t="str">
        <f>IF(Jugadores!B1467="","",Jugadores!B1467)</f>
        <v/>
      </c>
      <c r="G1467" s="4" t="str">
        <f>IF(Jugadores!B1467="","",Jugadores!A1467)</f>
        <v/>
      </c>
      <c r="H1467" s="4" t="str">
        <f>IF(F1467="","",SUMIF('Estadísticas Jugadores'!$F$2:$F$7001,F1467,'Estadísticas Jugadores'!$I$2:$I$7001))</f>
        <v/>
      </c>
      <c r="I1467" s="4" t="str">
        <f t="shared" si="113"/>
        <v/>
      </c>
      <c r="J1467" s="4" t="str">
        <f t="shared" si="114"/>
        <v/>
      </c>
    </row>
    <row r="1468" spans="1:10" ht="15" customHeight="1" x14ac:dyDescent="0.25">
      <c r="A1468" s="8" t="str">
        <f>IF(COUNT($J$2:$J$1501)&gt;=1467,1467,"")</f>
        <v/>
      </c>
      <c r="B1468" s="8" t="str">
        <f t="shared" si="110"/>
        <v/>
      </c>
      <c r="C1468" s="8" t="str">
        <f t="shared" si="111"/>
        <v/>
      </c>
      <c r="D1468" s="8" t="str">
        <f t="shared" si="112"/>
        <v/>
      </c>
      <c r="F1468" s="4" t="str">
        <f>IF(Jugadores!B1468="","",Jugadores!B1468)</f>
        <v/>
      </c>
      <c r="G1468" s="4" t="str">
        <f>IF(Jugadores!B1468="","",Jugadores!A1468)</f>
        <v/>
      </c>
      <c r="H1468" s="4" t="str">
        <f>IF(F1468="","",SUMIF('Estadísticas Jugadores'!$F$2:$F$7001,F1468,'Estadísticas Jugadores'!$I$2:$I$7001))</f>
        <v/>
      </c>
      <c r="I1468" s="4" t="str">
        <f t="shared" si="113"/>
        <v/>
      </c>
      <c r="J1468" s="4" t="str">
        <f t="shared" si="114"/>
        <v/>
      </c>
    </row>
    <row r="1469" spans="1:10" ht="15" customHeight="1" x14ac:dyDescent="0.25">
      <c r="A1469" s="8" t="str">
        <f>IF(COUNT($J$2:$J$1501)&gt;=1468,1468,"")</f>
        <v/>
      </c>
      <c r="B1469" s="8" t="str">
        <f t="shared" si="110"/>
        <v/>
      </c>
      <c r="C1469" s="8" t="str">
        <f t="shared" si="111"/>
        <v/>
      </c>
      <c r="D1469" s="8" t="str">
        <f t="shared" si="112"/>
        <v/>
      </c>
      <c r="F1469" s="4" t="str">
        <f>IF(Jugadores!B1469="","",Jugadores!B1469)</f>
        <v/>
      </c>
      <c r="G1469" s="4" t="str">
        <f>IF(Jugadores!B1469="","",Jugadores!A1469)</f>
        <v/>
      </c>
      <c r="H1469" s="4" t="str">
        <f>IF(F1469="","",SUMIF('Estadísticas Jugadores'!$F$2:$F$7001,F1469,'Estadísticas Jugadores'!$I$2:$I$7001))</f>
        <v/>
      </c>
      <c r="I1469" s="4" t="str">
        <f t="shared" si="113"/>
        <v/>
      </c>
      <c r="J1469" s="4" t="str">
        <f t="shared" si="114"/>
        <v/>
      </c>
    </row>
    <row r="1470" spans="1:10" ht="15" customHeight="1" x14ac:dyDescent="0.25">
      <c r="A1470" s="8" t="str">
        <f>IF(COUNT($J$2:$J$1501)&gt;=1469,1469,"")</f>
        <v/>
      </c>
      <c r="B1470" s="8" t="str">
        <f t="shared" si="110"/>
        <v/>
      </c>
      <c r="C1470" s="8" t="str">
        <f t="shared" si="111"/>
        <v/>
      </c>
      <c r="D1470" s="8" t="str">
        <f t="shared" si="112"/>
        <v/>
      </c>
      <c r="F1470" s="4" t="str">
        <f>IF(Jugadores!B1470="","",Jugadores!B1470)</f>
        <v/>
      </c>
      <c r="G1470" s="4" t="str">
        <f>IF(Jugadores!B1470="","",Jugadores!A1470)</f>
        <v/>
      </c>
      <c r="H1470" s="4" t="str">
        <f>IF(F1470="","",SUMIF('Estadísticas Jugadores'!$F$2:$F$7001,F1470,'Estadísticas Jugadores'!$I$2:$I$7001))</f>
        <v/>
      </c>
      <c r="I1470" s="4" t="str">
        <f t="shared" si="113"/>
        <v/>
      </c>
      <c r="J1470" s="4" t="str">
        <f t="shared" si="114"/>
        <v/>
      </c>
    </row>
    <row r="1471" spans="1:10" ht="15" customHeight="1" x14ac:dyDescent="0.25">
      <c r="A1471" s="8" t="str">
        <f>IF(COUNT($J$2:$J$1501)&gt;=1470,1470,"")</f>
        <v/>
      </c>
      <c r="B1471" s="8" t="str">
        <f t="shared" si="110"/>
        <v/>
      </c>
      <c r="C1471" s="8" t="str">
        <f t="shared" si="111"/>
        <v/>
      </c>
      <c r="D1471" s="8" t="str">
        <f t="shared" si="112"/>
        <v/>
      </c>
      <c r="F1471" s="4" t="str">
        <f>IF(Jugadores!B1471="","",Jugadores!B1471)</f>
        <v/>
      </c>
      <c r="G1471" s="4" t="str">
        <f>IF(Jugadores!B1471="","",Jugadores!A1471)</f>
        <v/>
      </c>
      <c r="H1471" s="4" t="str">
        <f>IF(F1471="","",SUMIF('Estadísticas Jugadores'!$F$2:$F$7001,F1471,'Estadísticas Jugadores'!$I$2:$I$7001))</f>
        <v/>
      </c>
      <c r="I1471" s="4" t="str">
        <f t="shared" si="113"/>
        <v/>
      </c>
      <c r="J1471" s="4" t="str">
        <f t="shared" si="114"/>
        <v/>
      </c>
    </row>
    <row r="1472" spans="1:10" ht="15" customHeight="1" x14ac:dyDescent="0.25">
      <c r="A1472" s="8" t="str">
        <f>IF(COUNT($J$2:$J$1501)&gt;=1471,1471,"")</f>
        <v/>
      </c>
      <c r="B1472" s="8" t="str">
        <f t="shared" si="110"/>
        <v/>
      </c>
      <c r="C1472" s="8" t="str">
        <f t="shared" si="111"/>
        <v/>
      </c>
      <c r="D1472" s="8" t="str">
        <f t="shared" si="112"/>
        <v/>
      </c>
      <c r="F1472" s="4" t="str">
        <f>IF(Jugadores!B1472="","",Jugadores!B1472)</f>
        <v/>
      </c>
      <c r="G1472" s="4" t="str">
        <f>IF(Jugadores!B1472="","",Jugadores!A1472)</f>
        <v/>
      </c>
      <c r="H1472" s="4" t="str">
        <f>IF(F1472="","",SUMIF('Estadísticas Jugadores'!$F$2:$F$7001,F1472,'Estadísticas Jugadores'!$I$2:$I$7001))</f>
        <v/>
      </c>
      <c r="I1472" s="4" t="str">
        <f t="shared" si="113"/>
        <v/>
      </c>
      <c r="J1472" s="4" t="str">
        <f t="shared" si="114"/>
        <v/>
      </c>
    </row>
    <row r="1473" spans="1:10" ht="15" customHeight="1" x14ac:dyDescent="0.25">
      <c r="A1473" s="8" t="str">
        <f>IF(COUNT($J$2:$J$1501)&gt;=1472,1472,"")</f>
        <v/>
      </c>
      <c r="B1473" s="8" t="str">
        <f t="shared" si="110"/>
        <v/>
      </c>
      <c r="C1473" s="8" t="str">
        <f t="shared" si="111"/>
        <v/>
      </c>
      <c r="D1473" s="8" t="str">
        <f t="shared" si="112"/>
        <v/>
      </c>
      <c r="F1473" s="4" t="str">
        <f>IF(Jugadores!B1473="","",Jugadores!B1473)</f>
        <v/>
      </c>
      <c r="G1473" s="4" t="str">
        <f>IF(Jugadores!B1473="","",Jugadores!A1473)</f>
        <v/>
      </c>
      <c r="H1473" s="4" t="str">
        <f>IF(F1473="","",SUMIF('Estadísticas Jugadores'!$F$2:$F$7001,F1473,'Estadísticas Jugadores'!$I$2:$I$7001))</f>
        <v/>
      </c>
      <c r="I1473" s="4" t="str">
        <f t="shared" si="113"/>
        <v/>
      </c>
      <c r="J1473" s="4" t="str">
        <f t="shared" si="114"/>
        <v/>
      </c>
    </row>
    <row r="1474" spans="1:10" ht="15" customHeight="1" x14ac:dyDescent="0.25">
      <c r="A1474" s="8" t="str">
        <f>IF(COUNT($J$2:$J$1501)&gt;=1473,1473,"")</f>
        <v/>
      </c>
      <c r="B1474" s="8" t="str">
        <f t="shared" ref="B1474:B1501" si="115">IF($A1474="","",INDEX($F$2:$F$1501,MATCH($A1474,$J$2:$J$1501,0)))</f>
        <v/>
      </c>
      <c r="C1474" s="8" t="str">
        <f t="shared" ref="C1474:C1501" si="116">IF($A1474="","",INDEX($G$2:$G$1501,MATCH($A1474,$J$2:$J$1501,0)))</f>
        <v/>
      </c>
      <c r="D1474" s="8" t="str">
        <f t="shared" ref="D1474:D1501" si="117">IF($A1474="","",INDEX($H$2:$H$1501,MATCH($A1474,$J$2:$J$1501,0)))</f>
        <v/>
      </c>
      <c r="F1474" s="4" t="str">
        <f>IF(Jugadores!B1474="","",Jugadores!B1474)</f>
        <v/>
      </c>
      <c r="G1474" s="4" t="str">
        <f>IF(Jugadores!B1474="","",Jugadores!A1474)</f>
        <v/>
      </c>
      <c r="H1474" s="4" t="str">
        <f>IF(F1474="","",SUMIF('Estadísticas Jugadores'!$F$2:$F$7001,F1474,'Estadísticas Jugadores'!$I$2:$I$7001))</f>
        <v/>
      </c>
      <c r="I1474" s="4" t="str">
        <f t="shared" ref="I1474:I1501" si="118">IF(F1474="","",H1474*1000-ROW()*0.0000001)</f>
        <v/>
      </c>
      <c r="J1474" s="4" t="str">
        <f t="shared" ref="J1474:J1501" si="119">IF(F1474="","",RANK(I1474,$I$2:$I$1501))</f>
        <v/>
      </c>
    </row>
    <row r="1475" spans="1:10" ht="15" customHeight="1" x14ac:dyDescent="0.25">
      <c r="A1475" s="8" t="str">
        <f>IF(COUNT($J$2:$J$1501)&gt;=1474,1474,"")</f>
        <v/>
      </c>
      <c r="B1475" s="8" t="str">
        <f t="shared" si="115"/>
        <v/>
      </c>
      <c r="C1475" s="8" t="str">
        <f t="shared" si="116"/>
        <v/>
      </c>
      <c r="D1475" s="8" t="str">
        <f t="shared" si="117"/>
        <v/>
      </c>
      <c r="F1475" s="4" t="str">
        <f>IF(Jugadores!B1475="","",Jugadores!B1475)</f>
        <v/>
      </c>
      <c r="G1475" s="4" t="str">
        <f>IF(Jugadores!B1475="","",Jugadores!A1475)</f>
        <v/>
      </c>
      <c r="H1475" s="4" t="str">
        <f>IF(F1475="","",SUMIF('Estadísticas Jugadores'!$F$2:$F$7001,F1475,'Estadísticas Jugadores'!$I$2:$I$7001))</f>
        <v/>
      </c>
      <c r="I1475" s="4" t="str">
        <f t="shared" si="118"/>
        <v/>
      </c>
      <c r="J1475" s="4" t="str">
        <f t="shared" si="119"/>
        <v/>
      </c>
    </row>
    <row r="1476" spans="1:10" ht="15" customHeight="1" x14ac:dyDescent="0.25">
      <c r="A1476" s="8" t="str">
        <f>IF(COUNT($J$2:$J$1501)&gt;=1475,1475,"")</f>
        <v/>
      </c>
      <c r="B1476" s="8" t="str">
        <f t="shared" si="115"/>
        <v/>
      </c>
      <c r="C1476" s="8" t="str">
        <f t="shared" si="116"/>
        <v/>
      </c>
      <c r="D1476" s="8" t="str">
        <f t="shared" si="117"/>
        <v/>
      </c>
      <c r="F1476" s="4" t="str">
        <f>IF(Jugadores!B1476="","",Jugadores!B1476)</f>
        <v/>
      </c>
      <c r="G1476" s="4" t="str">
        <f>IF(Jugadores!B1476="","",Jugadores!A1476)</f>
        <v/>
      </c>
      <c r="H1476" s="4" t="str">
        <f>IF(F1476="","",SUMIF('Estadísticas Jugadores'!$F$2:$F$7001,F1476,'Estadísticas Jugadores'!$I$2:$I$7001))</f>
        <v/>
      </c>
      <c r="I1476" s="4" t="str">
        <f t="shared" si="118"/>
        <v/>
      </c>
      <c r="J1476" s="4" t="str">
        <f t="shared" si="119"/>
        <v/>
      </c>
    </row>
    <row r="1477" spans="1:10" ht="15" customHeight="1" x14ac:dyDescent="0.25">
      <c r="A1477" s="8" t="str">
        <f>IF(COUNT($J$2:$J$1501)&gt;=1476,1476,"")</f>
        <v/>
      </c>
      <c r="B1477" s="8" t="str">
        <f t="shared" si="115"/>
        <v/>
      </c>
      <c r="C1477" s="8" t="str">
        <f t="shared" si="116"/>
        <v/>
      </c>
      <c r="D1477" s="8" t="str">
        <f t="shared" si="117"/>
        <v/>
      </c>
      <c r="F1477" s="4" t="str">
        <f>IF(Jugadores!B1477="","",Jugadores!B1477)</f>
        <v/>
      </c>
      <c r="G1477" s="4" t="str">
        <f>IF(Jugadores!B1477="","",Jugadores!A1477)</f>
        <v/>
      </c>
      <c r="H1477" s="4" t="str">
        <f>IF(F1477="","",SUMIF('Estadísticas Jugadores'!$F$2:$F$7001,F1477,'Estadísticas Jugadores'!$I$2:$I$7001))</f>
        <v/>
      </c>
      <c r="I1477" s="4" t="str">
        <f t="shared" si="118"/>
        <v/>
      </c>
      <c r="J1477" s="4" t="str">
        <f t="shared" si="119"/>
        <v/>
      </c>
    </row>
    <row r="1478" spans="1:10" ht="15" customHeight="1" x14ac:dyDescent="0.25">
      <c r="A1478" s="8" t="str">
        <f>IF(COUNT($J$2:$J$1501)&gt;=1477,1477,"")</f>
        <v/>
      </c>
      <c r="B1478" s="8" t="str">
        <f t="shared" si="115"/>
        <v/>
      </c>
      <c r="C1478" s="8" t="str">
        <f t="shared" si="116"/>
        <v/>
      </c>
      <c r="D1478" s="8" t="str">
        <f t="shared" si="117"/>
        <v/>
      </c>
      <c r="F1478" s="4" t="str">
        <f>IF(Jugadores!B1478="","",Jugadores!B1478)</f>
        <v/>
      </c>
      <c r="G1478" s="4" t="str">
        <f>IF(Jugadores!B1478="","",Jugadores!A1478)</f>
        <v/>
      </c>
      <c r="H1478" s="4" t="str">
        <f>IF(F1478="","",SUMIF('Estadísticas Jugadores'!$F$2:$F$7001,F1478,'Estadísticas Jugadores'!$I$2:$I$7001))</f>
        <v/>
      </c>
      <c r="I1478" s="4" t="str">
        <f t="shared" si="118"/>
        <v/>
      </c>
      <c r="J1478" s="4" t="str">
        <f t="shared" si="119"/>
        <v/>
      </c>
    </row>
    <row r="1479" spans="1:10" ht="15" customHeight="1" x14ac:dyDescent="0.25">
      <c r="A1479" s="8" t="str">
        <f>IF(COUNT($J$2:$J$1501)&gt;=1478,1478,"")</f>
        <v/>
      </c>
      <c r="B1479" s="8" t="str">
        <f t="shared" si="115"/>
        <v/>
      </c>
      <c r="C1479" s="8" t="str">
        <f t="shared" si="116"/>
        <v/>
      </c>
      <c r="D1479" s="8" t="str">
        <f t="shared" si="117"/>
        <v/>
      </c>
      <c r="F1479" s="4" t="str">
        <f>IF(Jugadores!B1479="","",Jugadores!B1479)</f>
        <v/>
      </c>
      <c r="G1479" s="4" t="str">
        <f>IF(Jugadores!B1479="","",Jugadores!A1479)</f>
        <v/>
      </c>
      <c r="H1479" s="4" t="str">
        <f>IF(F1479="","",SUMIF('Estadísticas Jugadores'!$F$2:$F$7001,F1479,'Estadísticas Jugadores'!$I$2:$I$7001))</f>
        <v/>
      </c>
      <c r="I1479" s="4" t="str">
        <f t="shared" si="118"/>
        <v/>
      </c>
      <c r="J1479" s="4" t="str">
        <f t="shared" si="119"/>
        <v/>
      </c>
    </row>
    <row r="1480" spans="1:10" ht="15" customHeight="1" x14ac:dyDescent="0.25">
      <c r="A1480" s="8" t="str">
        <f>IF(COUNT($J$2:$J$1501)&gt;=1479,1479,"")</f>
        <v/>
      </c>
      <c r="B1480" s="8" t="str">
        <f t="shared" si="115"/>
        <v/>
      </c>
      <c r="C1480" s="8" t="str">
        <f t="shared" si="116"/>
        <v/>
      </c>
      <c r="D1480" s="8" t="str">
        <f t="shared" si="117"/>
        <v/>
      </c>
      <c r="F1480" s="4" t="str">
        <f>IF(Jugadores!B1480="","",Jugadores!B1480)</f>
        <v/>
      </c>
      <c r="G1480" s="4" t="str">
        <f>IF(Jugadores!B1480="","",Jugadores!A1480)</f>
        <v/>
      </c>
      <c r="H1480" s="4" t="str">
        <f>IF(F1480="","",SUMIF('Estadísticas Jugadores'!$F$2:$F$7001,F1480,'Estadísticas Jugadores'!$I$2:$I$7001))</f>
        <v/>
      </c>
      <c r="I1480" s="4" t="str">
        <f t="shared" si="118"/>
        <v/>
      </c>
      <c r="J1480" s="4" t="str">
        <f t="shared" si="119"/>
        <v/>
      </c>
    </row>
    <row r="1481" spans="1:10" ht="15" customHeight="1" x14ac:dyDescent="0.25">
      <c r="A1481" s="8" t="str">
        <f>IF(COUNT($J$2:$J$1501)&gt;=1480,1480,"")</f>
        <v/>
      </c>
      <c r="B1481" s="8" t="str">
        <f t="shared" si="115"/>
        <v/>
      </c>
      <c r="C1481" s="8" t="str">
        <f t="shared" si="116"/>
        <v/>
      </c>
      <c r="D1481" s="8" t="str">
        <f t="shared" si="117"/>
        <v/>
      </c>
      <c r="F1481" s="4" t="str">
        <f>IF(Jugadores!B1481="","",Jugadores!B1481)</f>
        <v/>
      </c>
      <c r="G1481" s="4" t="str">
        <f>IF(Jugadores!B1481="","",Jugadores!A1481)</f>
        <v/>
      </c>
      <c r="H1481" s="4" t="str">
        <f>IF(F1481="","",SUMIF('Estadísticas Jugadores'!$F$2:$F$7001,F1481,'Estadísticas Jugadores'!$I$2:$I$7001))</f>
        <v/>
      </c>
      <c r="I1481" s="4" t="str">
        <f t="shared" si="118"/>
        <v/>
      </c>
      <c r="J1481" s="4" t="str">
        <f t="shared" si="119"/>
        <v/>
      </c>
    </row>
    <row r="1482" spans="1:10" ht="15" customHeight="1" x14ac:dyDescent="0.25">
      <c r="A1482" s="8" t="str">
        <f>IF(COUNT($J$2:$J$1501)&gt;=1481,1481,"")</f>
        <v/>
      </c>
      <c r="B1482" s="8" t="str">
        <f t="shared" si="115"/>
        <v/>
      </c>
      <c r="C1482" s="8" t="str">
        <f t="shared" si="116"/>
        <v/>
      </c>
      <c r="D1482" s="8" t="str">
        <f t="shared" si="117"/>
        <v/>
      </c>
      <c r="F1482" s="4" t="str">
        <f>IF(Jugadores!B1482="","",Jugadores!B1482)</f>
        <v/>
      </c>
      <c r="G1482" s="4" t="str">
        <f>IF(Jugadores!B1482="","",Jugadores!A1482)</f>
        <v/>
      </c>
      <c r="H1482" s="4" t="str">
        <f>IF(F1482="","",SUMIF('Estadísticas Jugadores'!$F$2:$F$7001,F1482,'Estadísticas Jugadores'!$I$2:$I$7001))</f>
        <v/>
      </c>
      <c r="I1482" s="4" t="str">
        <f t="shared" si="118"/>
        <v/>
      </c>
      <c r="J1482" s="4" t="str">
        <f t="shared" si="119"/>
        <v/>
      </c>
    </row>
    <row r="1483" spans="1:10" ht="15" customHeight="1" x14ac:dyDescent="0.25">
      <c r="A1483" s="8" t="str">
        <f>IF(COUNT($J$2:$J$1501)&gt;=1482,1482,"")</f>
        <v/>
      </c>
      <c r="B1483" s="8" t="str">
        <f t="shared" si="115"/>
        <v/>
      </c>
      <c r="C1483" s="8" t="str">
        <f t="shared" si="116"/>
        <v/>
      </c>
      <c r="D1483" s="8" t="str">
        <f t="shared" si="117"/>
        <v/>
      </c>
      <c r="F1483" s="4" t="str">
        <f>IF(Jugadores!B1483="","",Jugadores!B1483)</f>
        <v/>
      </c>
      <c r="G1483" s="4" t="str">
        <f>IF(Jugadores!B1483="","",Jugadores!A1483)</f>
        <v/>
      </c>
      <c r="H1483" s="4" t="str">
        <f>IF(F1483="","",SUMIF('Estadísticas Jugadores'!$F$2:$F$7001,F1483,'Estadísticas Jugadores'!$I$2:$I$7001))</f>
        <v/>
      </c>
      <c r="I1483" s="4" t="str">
        <f t="shared" si="118"/>
        <v/>
      </c>
      <c r="J1483" s="4" t="str">
        <f t="shared" si="119"/>
        <v/>
      </c>
    </row>
    <row r="1484" spans="1:10" ht="15" customHeight="1" x14ac:dyDescent="0.25">
      <c r="A1484" s="8" t="str">
        <f>IF(COUNT($J$2:$J$1501)&gt;=1483,1483,"")</f>
        <v/>
      </c>
      <c r="B1484" s="8" t="str">
        <f t="shared" si="115"/>
        <v/>
      </c>
      <c r="C1484" s="8" t="str">
        <f t="shared" si="116"/>
        <v/>
      </c>
      <c r="D1484" s="8" t="str">
        <f t="shared" si="117"/>
        <v/>
      </c>
      <c r="F1484" s="4" t="str">
        <f>IF(Jugadores!B1484="","",Jugadores!B1484)</f>
        <v/>
      </c>
      <c r="G1484" s="4" t="str">
        <f>IF(Jugadores!B1484="","",Jugadores!A1484)</f>
        <v/>
      </c>
      <c r="H1484" s="4" t="str">
        <f>IF(F1484="","",SUMIF('Estadísticas Jugadores'!$F$2:$F$7001,F1484,'Estadísticas Jugadores'!$I$2:$I$7001))</f>
        <v/>
      </c>
      <c r="I1484" s="4" t="str">
        <f t="shared" si="118"/>
        <v/>
      </c>
      <c r="J1484" s="4" t="str">
        <f t="shared" si="119"/>
        <v/>
      </c>
    </row>
    <row r="1485" spans="1:10" ht="15" customHeight="1" x14ac:dyDescent="0.25">
      <c r="A1485" s="8" t="str">
        <f>IF(COUNT($J$2:$J$1501)&gt;=1484,1484,"")</f>
        <v/>
      </c>
      <c r="B1485" s="8" t="str">
        <f t="shared" si="115"/>
        <v/>
      </c>
      <c r="C1485" s="8" t="str">
        <f t="shared" si="116"/>
        <v/>
      </c>
      <c r="D1485" s="8" t="str">
        <f t="shared" si="117"/>
        <v/>
      </c>
      <c r="F1485" s="4" t="str">
        <f>IF(Jugadores!B1485="","",Jugadores!B1485)</f>
        <v/>
      </c>
      <c r="G1485" s="4" t="str">
        <f>IF(Jugadores!B1485="","",Jugadores!A1485)</f>
        <v/>
      </c>
      <c r="H1485" s="4" t="str">
        <f>IF(F1485="","",SUMIF('Estadísticas Jugadores'!$F$2:$F$7001,F1485,'Estadísticas Jugadores'!$I$2:$I$7001))</f>
        <v/>
      </c>
      <c r="I1485" s="4" t="str">
        <f t="shared" si="118"/>
        <v/>
      </c>
      <c r="J1485" s="4" t="str">
        <f t="shared" si="119"/>
        <v/>
      </c>
    </row>
    <row r="1486" spans="1:10" ht="15" customHeight="1" x14ac:dyDescent="0.25">
      <c r="A1486" s="8" t="str">
        <f>IF(COUNT($J$2:$J$1501)&gt;=1485,1485,"")</f>
        <v/>
      </c>
      <c r="B1486" s="8" t="str">
        <f t="shared" si="115"/>
        <v/>
      </c>
      <c r="C1486" s="8" t="str">
        <f t="shared" si="116"/>
        <v/>
      </c>
      <c r="D1486" s="8" t="str">
        <f t="shared" si="117"/>
        <v/>
      </c>
      <c r="F1486" s="4" t="str">
        <f>IF(Jugadores!B1486="","",Jugadores!B1486)</f>
        <v/>
      </c>
      <c r="G1486" s="4" t="str">
        <f>IF(Jugadores!B1486="","",Jugadores!A1486)</f>
        <v/>
      </c>
      <c r="H1486" s="4" t="str">
        <f>IF(F1486="","",SUMIF('Estadísticas Jugadores'!$F$2:$F$7001,F1486,'Estadísticas Jugadores'!$I$2:$I$7001))</f>
        <v/>
      </c>
      <c r="I1486" s="4" t="str">
        <f t="shared" si="118"/>
        <v/>
      </c>
      <c r="J1486" s="4" t="str">
        <f t="shared" si="119"/>
        <v/>
      </c>
    </row>
    <row r="1487" spans="1:10" ht="15" customHeight="1" x14ac:dyDescent="0.25">
      <c r="A1487" s="8" t="str">
        <f>IF(COUNT($J$2:$J$1501)&gt;=1486,1486,"")</f>
        <v/>
      </c>
      <c r="B1487" s="8" t="str">
        <f t="shared" si="115"/>
        <v/>
      </c>
      <c r="C1487" s="8" t="str">
        <f t="shared" si="116"/>
        <v/>
      </c>
      <c r="D1487" s="8" t="str">
        <f t="shared" si="117"/>
        <v/>
      </c>
      <c r="F1487" s="4" t="str">
        <f>IF(Jugadores!B1487="","",Jugadores!B1487)</f>
        <v/>
      </c>
      <c r="G1487" s="4" t="str">
        <f>IF(Jugadores!B1487="","",Jugadores!A1487)</f>
        <v/>
      </c>
      <c r="H1487" s="4" t="str">
        <f>IF(F1487="","",SUMIF('Estadísticas Jugadores'!$F$2:$F$7001,F1487,'Estadísticas Jugadores'!$I$2:$I$7001))</f>
        <v/>
      </c>
      <c r="I1487" s="4" t="str">
        <f t="shared" si="118"/>
        <v/>
      </c>
      <c r="J1487" s="4" t="str">
        <f t="shared" si="119"/>
        <v/>
      </c>
    </row>
    <row r="1488" spans="1:10" ht="15" customHeight="1" x14ac:dyDescent="0.25">
      <c r="A1488" s="8" t="str">
        <f>IF(COUNT($J$2:$J$1501)&gt;=1487,1487,"")</f>
        <v/>
      </c>
      <c r="B1488" s="8" t="str">
        <f t="shared" si="115"/>
        <v/>
      </c>
      <c r="C1488" s="8" t="str">
        <f t="shared" si="116"/>
        <v/>
      </c>
      <c r="D1488" s="8" t="str">
        <f t="shared" si="117"/>
        <v/>
      </c>
      <c r="F1488" s="4" t="str">
        <f>IF(Jugadores!B1488="","",Jugadores!B1488)</f>
        <v/>
      </c>
      <c r="G1488" s="4" t="str">
        <f>IF(Jugadores!B1488="","",Jugadores!A1488)</f>
        <v/>
      </c>
      <c r="H1488" s="4" t="str">
        <f>IF(F1488="","",SUMIF('Estadísticas Jugadores'!$F$2:$F$7001,F1488,'Estadísticas Jugadores'!$I$2:$I$7001))</f>
        <v/>
      </c>
      <c r="I1488" s="4" t="str">
        <f t="shared" si="118"/>
        <v/>
      </c>
      <c r="J1488" s="4" t="str">
        <f t="shared" si="119"/>
        <v/>
      </c>
    </row>
    <row r="1489" spans="1:10" ht="15" customHeight="1" x14ac:dyDescent="0.25">
      <c r="A1489" s="8" t="str">
        <f>IF(COUNT($J$2:$J$1501)&gt;=1488,1488,"")</f>
        <v/>
      </c>
      <c r="B1489" s="8" t="str">
        <f t="shared" si="115"/>
        <v/>
      </c>
      <c r="C1489" s="8" t="str">
        <f t="shared" si="116"/>
        <v/>
      </c>
      <c r="D1489" s="8" t="str">
        <f t="shared" si="117"/>
        <v/>
      </c>
      <c r="F1489" s="4" t="str">
        <f>IF(Jugadores!B1489="","",Jugadores!B1489)</f>
        <v/>
      </c>
      <c r="G1489" s="4" t="str">
        <f>IF(Jugadores!B1489="","",Jugadores!A1489)</f>
        <v/>
      </c>
      <c r="H1489" s="4" t="str">
        <f>IF(F1489="","",SUMIF('Estadísticas Jugadores'!$F$2:$F$7001,F1489,'Estadísticas Jugadores'!$I$2:$I$7001))</f>
        <v/>
      </c>
      <c r="I1489" s="4" t="str">
        <f t="shared" si="118"/>
        <v/>
      </c>
      <c r="J1489" s="4" t="str">
        <f t="shared" si="119"/>
        <v/>
      </c>
    </row>
    <row r="1490" spans="1:10" ht="15" customHeight="1" x14ac:dyDescent="0.25">
      <c r="A1490" s="8" t="str">
        <f>IF(COUNT($J$2:$J$1501)&gt;=1489,1489,"")</f>
        <v/>
      </c>
      <c r="B1490" s="8" t="str">
        <f t="shared" si="115"/>
        <v/>
      </c>
      <c r="C1490" s="8" t="str">
        <f t="shared" si="116"/>
        <v/>
      </c>
      <c r="D1490" s="8" t="str">
        <f t="shared" si="117"/>
        <v/>
      </c>
      <c r="F1490" s="4" t="str">
        <f>IF(Jugadores!B1490="","",Jugadores!B1490)</f>
        <v/>
      </c>
      <c r="G1490" s="4" t="str">
        <f>IF(Jugadores!B1490="","",Jugadores!A1490)</f>
        <v/>
      </c>
      <c r="H1490" s="4" t="str">
        <f>IF(F1490="","",SUMIF('Estadísticas Jugadores'!$F$2:$F$7001,F1490,'Estadísticas Jugadores'!$I$2:$I$7001))</f>
        <v/>
      </c>
      <c r="I1490" s="4" t="str">
        <f t="shared" si="118"/>
        <v/>
      </c>
      <c r="J1490" s="4" t="str">
        <f t="shared" si="119"/>
        <v/>
      </c>
    </row>
    <row r="1491" spans="1:10" ht="15" customHeight="1" x14ac:dyDescent="0.25">
      <c r="A1491" s="8" t="str">
        <f>IF(COUNT($J$2:$J$1501)&gt;=1490,1490,"")</f>
        <v/>
      </c>
      <c r="B1491" s="8" t="str">
        <f t="shared" si="115"/>
        <v/>
      </c>
      <c r="C1491" s="8" t="str">
        <f t="shared" si="116"/>
        <v/>
      </c>
      <c r="D1491" s="8" t="str">
        <f t="shared" si="117"/>
        <v/>
      </c>
      <c r="F1491" s="4" t="str">
        <f>IF(Jugadores!B1491="","",Jugadores!B1491)</f>
        <v/>
      </c>
      <c r="G1491" s="4" t="str">
        <f>IF(Jugadores!B1491="","",Jugadores!A1491)</f>
        <v/>
      </c>
      <c r="H1491" s="4" t="str">
        <f>IF(F1491="","",SUMIF('Estadísticas Jugadores'!$F$2:$F$7001,F1491,'Estadísticas Jugadores'!$I$2:$I$7001))</f>
        <v/>
      </c>
      <c r="I1491" s="4" t="str">
        <f t="shared" si="118"/>
        <v/>
      </c>
      <c r="J1491" s="4" t="str">
        <f t="shared" si="119"/>
        <v/>
      </c>
    </row>
    <row r="1492" spans="1:10" ht="15" customHeight="1" x14ac:dyDescent="0.25">
      <c r="A1492" s="8" t="str">
        <f>IF(COUNT($J$2:$J$1501)&gt;=1491,1491,"")</f>
        <v/>
      </c>
      <c r="B1492" s="8" t="str">
        <f t="shared" si="115"/>
        <v/>
      </c>
      <c r="C1492" s="8" t="str">
        <f t="shared" si="116"/>
        <v/>
      </c>
      <c r="D1492" s="8" t="str">
        <f t="shared" si="117"/>
        <v/>
      </c>
      <c r="F1492" s="4" t="str">
        <f>IF(Jugadores!B1492="","",Jugadores!B1492)</f>
        <v/>
      </c>
      <c r="G1492" s="4" t="str">
        <f>IF(Jugadores!B1492="","",Jugadores!A1492)</f>
        <v/>
      </c>
      <c r="H1492" s="4" t="str">
        <f>IF(F1492="","",SUMIF('Estadísticas Jugadores'!$F$2:$F$7001,F1492,'Estadísticas Jugadores'!$I$2:$I$7001))</f>
        <v/>
      </c>
      <c r="I1492" s="4" t="str">
        <f t="shared" si="118"/>
        <v/>
      </c>
      <c r="J1492" s="4" t="str">
        <f t="shared" si="119"/>
        <v/>
      </c>
    </row>
    <row r="1493" spans="1:10" ht="15" customHeight="1" x14ac:dyDescent="0.25">
      <c r="A1493" s="8" t="str">
        <f>IF(COUNT($J$2:$J$1501)&gt;=1492,1492,"")</f>
        <v/>
      </c>
      <c r="B1493" s="8" t="str">
        <f t="shared" si="115"/>
        <v/>
      </c>
      <c r="C1493" s="8" t="str">
        <f t="shared" si="116"/>
        <v/>
      </c>
      <c r="D1493" s="8" t="str">
        <f t="shared" si="117"/>
        <v/>
      </c>
      <c r="F1493" s="4" t="str">
        <f>IF(Jugadores!B1493="","",Jugadores!B1493)</f>
        <v/>
      </c>
      <c r="G1493" s="4" t="str">
        <f>IF(Jugadores!B1493="","",Jugadores!A1493)</f>
        <v/>
      </c>
      <c r="H1493" s="4" t="str">
        <f>IF(F1493="","",SUMIF('Estadísticas Jugadores'!$F$2:$F$7001,F1493,'Estadísticas Jugadores'!$I$2:$I$7001))</f>
        <v/>
      </c>
      <c r="I1493" s="4" t="str">
        <f t="shared" si="118"/>
        <v/>
      </c>
      <c r="J1493" s="4" t="str">
        <f t="shared" si="119"/>
        <v/>
      </c>
    </row>
    <row r="1494" spans="1:10" ht="15" customHeight="1" x14ac:dyDescent="0.25">
      <c r="A1494" s="8" t="str">
        <f>IF(COUNT($J$2:$J$1501)&gt;=1493,1493,"")</f>
        <v/>
      </c>
      <c r="B1494" s="8" t="str">
        <f t="shared" si="115"/>
        <v/>
      </c>
      <c r="C1494" s="8" t="str">
        <f t="shared" si="116"/>
        <v/>
      </c>
      <c r="D1494" s="8" t="str">
        <f t="shared" si="117"/>
        <v/>
      </c>
      <c r="F1494" s="4" t="str">
        <f>IF(Jugadores!B1494="","",Jugadores!B1494)</f>
        <v/>
      </c>
      <c r="G1494" s="4" t="str">
        <f>IF(Jugadores!B1494="","",Jugadores!A1494)</f>
        <v/>
      </c>
      <c r="H1494" s="4" t="str">
        <f>IF(F1494="","",SUMIF('Estadísticas Jugadores'!$F$2:$F$7001,F1494,'Estadísticas Jugadores'!$I$2:$I$7001))</f>
        <v/>
      </c>
      <c r="I1494" s="4" t="str">
        <f t="shared" si="118"/>
        <v/>
      </c>
      <c r="J1494" s="4" t="str">
        <f t="shared" si="119"/>
        <v/>
      </c>
    </row>
    <row r="1495" spans="1:10" ht="15" customHeight="1" x14ac:dyDescent="0.25">
      <c r="A1495" s="8" t="str">
        <f>IF(COUNT($J$2:$J$1501)&gt;=1494,1494,"")</f>
        <v/>
      </c>
      <c r="B1495" s="8" t="str">
        <f t="shared" si="115"/>
        <v/>
      </c>
      <c r="C1495" s="8" t="str">
        <f t="shared" si="116"/>
        <v/>
      </c>
      <c r="D1495" s="8" t="str">
        <f t="shared" si="117"/>
        <v/>
      </c>
      <c r="F1495" s="4" t="str">
        <f>IF(Jugadores!B1495="","",Jugadores!B1495)</f>
        <v/>
      </c>
      <c r="G1495" s="4" t="str">
        <f>IF(Jugadores!B1495="","",Jugadores!A1495)</f>
        <v/>
      </c>
      <c r="H1495" s="4" t="str">
        <f>IF(F1495="","",SUMIF('Estadísticas Jugadores'!$F$2:$F$7001,F1495,'Estadísticas Jugadores'!$I$2:$I$7001))</f>
        <v/>
      </c>
      <c r="I1495" s="4" t="str">
        <f t="shared" si="118"/>
        <v/>
      </c>
      <c r="J1495" s="4" t="str">
        <f t="shared" si="119"/>
        <v/>
      </c>
    </row>
    <row r="1496" spans="1:10" ht="15" customHeight="1" x14ac:dyDescent="0.25">
      <c r="A1496" s="8" t="str">
        <f>IF(COUNT($J$2:$J$1501)&gt;=1495,1495,"")</f>
        <v/>
      </c>
      <c r="B1496" s="8" t="str">
        <f t="shared" si="115"/>
        <v/>
      </c>
      <c r="C1496" s="8" t="str">
        <f t="shared" si="116"/>
        <v/>
      </c>
      <c r="D1496" s="8" t="str">
        <f t="shared" si="117"/>
        <v/>
      </c>
      <c r="F1496" s="4" t="str">
        <f>IF(Jugadores!B1496="","",Jugadores!B1496)</f>
        <v/>
      </c>
      <c r="G1496" s="4" t="str">
        <f>IF(Jugadores!B1496="","",Jugadores!A1496)</f>
        <v/>
      </c>
      <c r="H1496" s="4" t="str">
        <f>IF(F1496="","",SUMIF('Estadísticas Jugadores'!$F$2:$F$7001,F1496,'Estadísticas Jugadores'!$I$2:$I$7001))</f>
        <v/>
      </c>
      <c r="I1496" s="4" t="str">
        <f t="shared" si="118"/>
        <v/>
      </c>
      <c r="J1496" s="4" t="str">
        <f t="shared" si="119"/>
        <v/>
      </c>
    </row>
    <row r="1497" spans="1:10" ht="15" customHeight="1" x14ac:dyDescent="0.25">
      <c r="A1497" s="8" t="str">
        <f>IF(COUNT($J$2:$J$1501)&gt;=1496,1496,"")</f>
        <v/>
      </c>
      <c r="B1497" s="8" t="str">
        <f t="shared" si="115"/>
        <v/>
      </c>
      <c r="C1497" s="8" t="str">
        <f t="shared" si="116"/>
        <v/>
      </c>
      <c r="D1497" s="8" t="str">
        <f t="shared" si="117"/>
        <v/>
      </c>
      <c r="F1497" s="4" t="str">
        <f>IF(Jugadores!B1497="","",Jugadores!B1497)</f>
        <v/>
      </c>
      <c r="G1497" s="4" t="str">
        <f>IF(Jugadores!B1497="","",Jugadores!A1497)</f>
        <v/>
      </c>
      <c r="H1497" s="4" t="str">
        <f>IF(F1497="","",SUMIF('Estadísticas Jugadores'!$F$2:$F$7001,F1497,'Estadísticas Jugadores'!$I$2:$I$7001))</f>
        <v/>
      </c>
      <c r="I1497" s="4" t="str">
        <f t="shared" si="118"/>
        <v/>
      </c>
      <c r="J1497" s="4" t="str">
        <f t="shared" si="119"/>
        <v/>
      </c>
    </row>
    <row r="1498" spans="1:10" ht="15" customHeight="1" x14ac:dyDescent="0.25">
      <c r="A1498" s="8" t="str">
        <f>IF(COUNT($J$2:$J$1501)&gt;=1497,1497,"")</f>
        <v/>
      </c>
      <c r="B1498" s="8" t="str">
        <f t="shared" si="115"/>
        <v/>
      </c>
      <c r="C1498" s="8" t="str">
        <f t="shared" si="116"/>
        <v/>
      </c>
      <c r="D1498" s="8" t="str">
        <f t="shared" si="117"/>
        <v/>
      </c>
      <c r="F1498" s="4" t="str">
        <f>IF(Jugadores!B1498="","",Jugadores!B1498)</f>
        <v/>
      </c>
      <c r="G1498" s="4" t="str">
        <f>IF(Jugadores!B1498="","",Jugadores!A1498)</f>
        <v/>
      </c>
      <c r="H1498" s="4" t="str">
        <f>IF(F1498="","",SUMIF('Estadísticas Jugadores'!$F$2:$F$7001,F1498,'Estadísticas Jugadores'!$I$2:$I$7001))</f>
        <v/>
      </c>
      <c r="I1498" s="4" t="str">
        <f t="shared" si="118"/>
        <v/>
      </c>
      <c r="J1498" s="4" t="str">
        <f t="shared" si="119"/>
        <v/>
      </c>
    </row>
    <row r="1499" spans="1:10" ht="15" customHeight="1" x14ac:dyDescent="0.25">
      <c r="A1499" s="8" t="str">
        <f>IF(COUNT($J$2:$J$1501)&gt;=1498,1498,"")</f>
        <v/>
      </c>
      <c r="B1499" s="8" t="str">
        <f t="shared" si="115"/>
        <v/>
      </c>
      <c r="C1499" s="8" t="str">
        <f t="shared" si="116"/>
        <v/>
      </c>
      <c r="D1499" s="8" t="str">
        <f t="shared" si="117"/>
        <v/>
      </c>
      <c r="F1499" s="4" t="str">
        <f>IF(Jugadores!B1499="","",Jugadores!B1499)</f>
        <v/>
      </c>
      <c r="G1499" s="4" t="str">
        <f>IF(Jugadores!B1499="","",Jugadores!A1499)</f>
        <v/>
      </c>
      <c r="H1499" s="4" t="str">
        <f>IF(F1499="","",SUMIF('Estadísticas Jugadores'!$F$2:$F$7001,F1499,'Estadísticas Jugadores'!$I$2:$I$7001))</f>
        <v/>
      </c>
      <c r="I1499" s="4" t="str">
        <f t="shared" si="118"/>
        <v/>
      </c>
      <c r="J1499" s="4" t="str">
        <f t="shared" si="119"/>
        <v/>
      </c>
    </row>
    <row r="1500" spans="1:10" ht="15" customHeight="1" x14ac:dyDescent="0.25">
      <c r="A1500" s="8" t="str">
        <f>IF(COUNT($J$2:$J$1501)&gt;=1499,1499,"")</f>
        <v/>
      </c>
      <c r="B1500" s="8" t="str">
        <f t="shared" si="115"/>
        <v/>
      </c>
      <c r="C1500" s="8" t="str">
        <f t="shared" si="116"/>
        <v/>
      </c>
      <c r="D1500" s="8" t="str">
        <f t="shared" si="117"/>
        <v/>
      </c>
      <c r="F1500" s="4" t="str">
        <f>IF(Jugadores!B1500="","",Jugadores!B1500)</f>
        <v/>
      </c>
      <c r="G1500" s="4" t="str">
        <f>IF(Jugadores!B1500="","",Jugadores!A1500)</f>
        <v/>
      </c>
      <c r="H1500" s="4" t="str">
        <f>IF(F1500="","",SUMIF('Estadísticas Jugadores'!$F$2:$F$7001,F1500,'Estadísticas Jugadores'!$I$2:$I$7001))</f>
        <v/>
      </c>
      <c r="I1500" s="4" t="str">
        <f t="shared" si="118"/>
        <v/>
      </c>
      <c r="J1500" s="4" t="str">
        <f t="shared" si="119"/>
        <v/>
      </c>
    </row>
    <row r="1501" spans="1:10" ht="15" customHeight="1" x14ac:dyDescent="0.25">
      <c r="A1501" s="8" t="str">
        <f>IF(COUNT($J$2:$J$1501)&gt;=1500,1500,"")</f>
        <v/>
      </c>
      <c r="B1501" s="8" t="str">
        <f t="shared" si="115"/>
        <v/>
      </c>
      <c r="C1501" s="8" t="str">
        <f t="shared" si="116"/>
        <v/>
      </c>
      <c r="D1501" s="8" t="str">
        <f t="shared" si="117"/>
        <v/>
      </c>
      <c r="F1501" s="4" t="str">
        <f>IF(Jugadores!B1501="","",Jugadores!B1501)</f>
        <v/>
      </c>
      <c r="G1501" s="4" t="str">
        <f>IF(Jugadores!B1501="","",Jugadores!A1501)</f>
        <v/>
      </c>
      <c r="H1501" s="4" t="str">
        <f>IF(F1501="","",SUMIF('Estadísticas Jugadores'!$F$2:$F$7001,F1501,'Estadísticas Jugadores'!$I$2:$I$7001))</f>
        <v/>
      </c>
      <c r="I1501" s="4" t="str">
        <f t="shared" si="118"/>
        <v/>
      </c>
      <c r="J1501" s="4" t="str">
        <f t="shared" si="11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01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10" defaultColWidth="9.140625" defaultRowHeight="15" x14ac:dyDescent="0.25"/>
  <cols>
    <col min="1" max="4" width="30.7109375" style="8" customWidth="1"/>
    <col min="6" max="6" width="22" style="7" hidden="1" customWidth="1"/>
    <col min="7" max="7" width="16" style="7" hidden="1" customWidth="1"/>
    <col min="8" max="10" width="13" style="7" hidden="1" customWidth="1"/>
  </cols>
  <sheetData>
    <row r="1" spans="1:10" ht="15" customHeight="1" x14ac:dyDescent="0.25">
      <c r="A1" s="1" t="s">
        <v>63</v>
      </c>
      <c r="B1" s="1" t="s">
        <v>77</v>
      </c>
      <c r="C1" s="1" t="s">
        <v>64</v>
      </c>
      <c r="D1" s="1" t="s">
        <v>15</v>
      </c>
      <c r="F1" s="2" t="s">
        <v>75</v>
      </c>
      <c r="G1" s="2"/>
      <c r="H1" s="5" t="s">
        <v>75</v>
      </c>
    </row>
    <row r="2" spans="1:10" ht="15" customHeight="1" x14ac:dyDescent="0.25">
      <c r="A2" s="8">
        <f>IF(COUNT($J$2:$J$1501)&gt;=1,1,"")</f>
        <v>1</v>
      </c>
      <c r="B2" s="8" t="str">
        <f t="shared" ref="B2:B65" si="0">IF($A2="","",INDEX($F$2:$F$1501,MATCH($A2,$J$2:$J$1501,0)))</f>
        <v>Montiel Elias</v>
      </c>
      <c r="C2" s="8" t="str">
        <f t="shared" ref="C2:C65" si="1">IF($A2="","",INDEX($G$2:$G$1501,MATCH($A2,$J$2:$J$1501,0)))</f>
        <v>Pachuca</v>
      </c>
      <c r="D2" s="8">
        <f t="shared" ref="D2:D65" si="2">IF($A2="","",INDEX($H$2:$H$1501,MATCH($A2,$J$2:$J$1501,0)))</f>
        <v>1</v>
      </c>
      <c r="F2" s="4" t="str">
        <f>IF(Jugadores!B2="","",Jugadores!B2)</f>
        <v>Camacho Cesar</v>
      </c>
      <c r="G2" s="4" t="str">
        <f>IF(Jugadores!B2="","",Jugadores!A2)</f>
        <v>Pachuca</v>
      </c>
      <c r="H2" s="4">
        <f>IF(F2="","",SUMIF('Estadísticas Jugadores'!$F$2:$F$7001,F2,'Estadísticas Jugadores'!$J$2:$J$7001))</f>
        <v>0</v>
      </c>
      <c r="I2" s="4">
        <f t="shared" ref="I2:I65" si="3">IF(F2="","",H2*1000-ROW()*0.0000001)</f>
        <v>-1.9999999999999999E-7</v>
      </c>
      <c r="J2" s="4">
        <f t="shared" ref="J2:J65" si="4">IF(F2="","",RANK(I2,$I$2:$I$1501))</f>
        <v>18</v>
      </c>
    </row>
    <row r="3" spans="1:10" ht="15" customHeight="1" x14ac:dyDescent="0.25">
      <c r="A3" s="8">
        <f>IF(COUNT($J$2:$J$1501)&gt;=2,2,"")</f>
        <v>2</v>
      </c>
      <c r="B3" s="8" t="str">
        <f t="shared" si="0"/>
        <v>Idrissi Oussama</v>
      </c>
      <c r="C3" s="8" t="str">
        <f t="shared" si="1"/>
        <v>Pachuca</v>
      </c>
      <c r="D3" s="8">
        <f t="shared" si="2"/>
        <v>1</v>
      </c>
      <c r="F3" s="4" t="str">
        <f>IF(Jugadores!B3="","",Jugadores!B3)</f>
        <v>Eulogio Jose</v>
      </c>
      <c r="G3" s="4" t="str">
        <f>IF(Jugadores!B3="","",Jugadores!A3)</f>
        <v>Pachuca</v>
      </c>
      <c r="H3" s="4">
        <f>IF(F3="","",SUMIF('Estadísticas Jugadores'!$F$2:$F$7001,F3,'Estadísticas Jugadores'!$J$2:$J$7001))</f>
        <v>0</v>
      </c>
      <c r="I3" s="4">
        <f t="shared" si="3"/>
        <v>-2.9999999999999999E-7</v>
      </c>
      <c r="J3" s="4">
        <f t="shared" si="4"/>
        <v>19</v>
      </c>
    </row>
    <row r="4" spans="1:10" ht="15" customHeight="1" x14ac:dyDescent="0.25">
      <c r="A4" s="8">
        <f>IF(COUNT($J$2:$J$1501)&gt;=3,3,"")</f>
        <v>3</v>
      </c>
      <c r="B4" s="8" t="str">
        <f t="shared" si="0"/>
        <v>Padilla Nanitamo</v>
      </c>
      <c r="C4" s="8" t="str">
        <f t="shared" si="1"/>
        <v>Tijuana</v>
      </c>
      <c r="D4" s="8">
        <f t="shared" si="2"/>
        <v>1</v>
      </c>
      <c r="F4" s="4" t="str">
        <f>IF(Jugadores!B4="","",Jugadores!B4)</f>
        <v>Moreno Carlos</v>
      </c>
      <c r="G4" s="4" t="str">
        <f>IF(Jugadores!B4="","",Jugadores!A4)</f>
        <v>Pachuca</v>
      </c>
      <c r="H4" s="4">
        <f>IF(F4="","",SUMIF('Estadísticas Jugadores'!$F$2:$F$7001,F4,'Estadísticas Jugadores'!$J$2:$J$7001))</f>
        <v>0</v>
      </c>
      <c r="I4" s="4">
        <f t="shared" si="3"/>
        <v>-3.9999999999999998E-7</v>
      </c>
      <c r="J4" s="4">
        <f t="shared" si="4"/>
        <v>20</v>
      </c>
    </row>
    <row r="5" spans="1:10" ht="15" customHeight="1" x14ac:dyDescent="0.25">
      <c r="A5" s="8">
        <f>IF(COUNT($J$2:$J$1501)&gt;=4,4,"")</f>
        <v>4</v>
      </c>
      <c r="B5" s="8" t="str">
        <f t="shared" si="0"/>
        <v>Helinho</v>
      </c>
      <c r="C5" s="8" t="str">
        <f t="shared" si="1"/>
        <v>Toluca</v>
      </c>
      <c r="D5" s="8">
        <f t="shared" si="2"/>
        <v>1</v>
      </c>
      <c r="F5" s="4" t="str">
        <f>IF(Jugadores!B5="","",Jugadores!B5)</f>
        <v>Barreto Sergio Damian</v>
      </c>
      <c r="G5" s="4" t="str">
        <f>IF(Jugadores!B5="","",Jugadores!A5)</f>
        <v>Pachuca</v>
      </c>
      <c r="H5" s="4">
        <f>IF(F5="","",SUMIF('Estadísticas Jugadores'!$F$2:$F$7001,F5,'Estadísticas Jugadores'!$J$2:$J$7001))</f>
        <v>0</v>
      </c>
      <c r="I5" s="4">
        <f t="shared" si="3"/>
        <v>-4.9999999999999998E-7</v>
      </c>
      <c r="J5" s="4">
        <f t="shared" si="4"/>
        <v>21</v>
      </c>
    </row>
    <row r="6" spans="1:10" ht="15" customHeight="1" x14ac:dyDescent="0.25">
      <c r="A6" s="8">
        <f>IF(COUNT($J$2:$J$1501)&gt;=5,5,"")</f>
        <v>5</v>
      </c>
      <c r="B6" s="8" t="str">
        <f t="shared" si="0"/>
        <v>Torres Óliver</v>
      </c>
      <c r="C6" s="8" t="str">
        <f t="shared" si="1"/>
        <v>Monterrey</v>
      </c>
      <c r="D6" s="8">
        <f t="shared" si="2"/>
        <v>1</v>
      </c>
      <c r="F6" s="4" t="str">
        <f>IF(Jugadores!B6="","",Jugadores!B6)</f>
        <v>Berlanga Jorge</v>
      </c>
      <c r="G6" s="4" t="str">
        <f>IF(Jugadores!B6="","",Jugadores!A6)</f>
        <v>Pachuca</v>
      </c>
      <c r="H6" s="4">
        <f>IF(F6="","",SUMIF('Estadísticas Jugadores'!$F$2:$F$7001,F6,'Estadísticas Jugadores'!$J$2:$J$7001))</f>
        <v>0</v>
      </c>
      <c r="I6" s="4">
        <f t="shared" si="3"/>
        <v>-5.9999999999999997E-7</v>
      </c>
      <c r="J6" s="4">
        <f t="shared" si="4"/>
        <v>22</v>
      </c>
    </row>
    <row r="7" spans="1:10" ht="15" customHeight="1" x14ac:dyDescent="0.25">
      <c r="A7" s="8">
        <f>IF(COUNT($J$2:$J$1501)&gt;=6,6,"")</f>
        <v>6</v>
      </c>
      <c r="B7" s="8" t="str">
        <f t="shared" si="0"/>
        <v>Ocampos Lucas</v>
      </c>
      <c r="C7" s="8" t="str">
        <f t="shared" si="1"/>
        <v>Monterrey</v>
      </c>
      <c r="D7" s="8">
        <f t="shared" si="2"/>
        <v>1</v>
      </c>
      <c r="F7" s="4" t="str">
        <f>IF(Jugadores!B7="","",Jugadores!B7)</f>
        <v>Collazo David</v>
      </c>
      <c r="G7" s="4" t="str">
        <f>IF(Jugadores!B7="","",Jugadores!A7)</f>
        <v>Pachuca</v>
      </c>
      <c r="H7" s="4">
        <f>IF(F7="","",SUMIF('Estadísticas Jugadores'!$F$2:$F$7001,F7,'Estadísticas Jugadores'!$J$2:$J$7001))</f>
        <v>0</v>
      </c>
      <c r="I7" s="4">
        <f t="shared" si="3"/>
        <v>-6.9999999999999997E-7</v>
      </c>
      <c r="J7" s="4">
        <f t="shared" si="4"/>
        <v>23</v>
      </c>
    </row>
    <row r="8" spans="1:10" ht="15" customHeight="1" x14ac:dyDescent="0.25">
      <c r="A8" s="8">
        <f>IF(COUNT($J$2:$J$1501)&gt;=7,7,"")</f>
        <v>7</v>
      </c>
      <c r="B8" s="8" t="str">
        <f t="shared" si="0"/>
        <v>Rossi Diego</v>
      </c>
      <c r="C8" s="8" t="str">
        <f t="shared" si="1"/>
        <v>Monterrey</v>
      </c>
      <c r="D8" s="8">
        <f t="shared" si="2"/>
        <v>1</v>
      </c>
      <c r="F8" s="4" t="str">
        <f>IF(Jugadores!B8="","",Jugadores!B8)</f>
        <v>Eduardo Bauermann</v>
      </c>
      <c r="G8" s="4" t="str">
        <f>IF(Jugadores!B8="","",Jugadores!A8)</f>
        <v>Pachuca</v>
      </c>
      <c r="H8" s="4">
        <f>IF(F8="","",SUMIF('Estadísticas Jugadores'!$F$2:$F$7001,F8,'Estadísticas Jugadores'!$J$2:$J$7001))</f>
        <v>0</v>
      </c>
      <c r="I8" s="4">
        <f t="shared" si="3"/>
        <v>-7.9999999999999996E-7</v>
      </c>
      <c r="J8" s="4">
        <f t="shared" si="4"/>
        <v>24</v>
      </c>
    </row>
    <row r="9" spans="1:10" ht="15" customHeight="1" x14ac:dyDescent="0.25">
      <c r="A9" s="8">
        <f>IF(COUNT($J$2:$J$1501)&gt;=8,8,"")</f>
        <v>8</v>
      </c>
      <c r="B9" s="8" t="str">
        <f t="shared" si="0"/>
        <v>Rodriguez Carlos</v>
      </c>
      <c r="C9" s="8" t="str">
        <f t="shared" si="1"/>
        <v>Cruz Azul</v>
      </c>
      <c r="D9" s="8">
        <f t="shared" si="2"/>
        <v>1</v>
      </c>
      <c r="F9" s="4" t="str">
        <f>IF(Jugadores!B9="","",Jugadores!B9)</f>
        <v>Gamez Juan</v>
      </c>
      <c r="G9" s="4" t="str">
        <f>IF(Jugadores!B9="","",Jugadores!A9)</f>
        <v>Pachuca</v>
      </c>
      <c r="H9" s="4">
        <f>IF(F9="","",SUMIF('Estadísticas Jugadores'!$F$2:$F$7001,F9,'Estadísticas Jugadores'!$J$2:$J$7001))</f>
        <v>0</v>
      </c>
      <c r="I9" s="4">
        <f t="shared" si="3"/>
        <v>-8.9999999999999996E-7</v>
      </c>
      <c r="J9" s="4">
        <f t="shared" si="4"/>
        <v>25</v>
      </c>
    </row>
    <row r="10" spans="1:10" ht="15" customHeight="1" x14ac:dyDescent="0.25">
      <c r="A10" s="8">
        <f>IF(COUNT($J$2:$J$1501)&gt;=9,9,"")</f>
        <v>9</v>
      </c>
      <c r="B10" s="8" t="str">
        <f t="shared" si="0"/>
        <v>Romero Luka</v>
      </c>
      <c r="C10" s="8" t="str">
        <f t="shared" si="1"/>
        <v>Cruz Azul</v>
      </c>
      <c r="D10" s="8">
        <f t="shared" si="2"/>
        <v>1</v>
      </c>
      <c r="F10" s="4" t="str">
        <f>IF(Jugadores!B10="","",Jugadores!B10)</f>
        <v>Isais Mauricio</v>
      </c>
      <c r="G10" s="4" t="str">
        <f>IF(Jugadores!B10="","",Jugadores!A10)</f>
        <v>Pachuca</v>
      </c>
      <c r="H10" s="4">
        <f>IF(F10="","",SUMIF('Estadísticas Jugadores'!$F$2:$F$7001,F10,'Estadísticas Jugadores'!$J$2:$J$7001))</f>
        <v>0</v>
      </c>
      <c r="I10" s="4">
        <f t="shared" si="3"/>
        <v>-9.9999999999999995E-7</v>
      </c>
      <c r="J10" s="4">
        <f t="shared" si="4"/>
        <v>26</v>
      </c>
    </row>
    <row r="11" spans="1:10" ht="15" customHeight="1" x14ac:dyDescent="0.25">
      <c r="A11" s="8">
        <f>IF(COUNT($J$2:$J$1501)&gt;=10,10,"")</f>
        <v>10</v>
      </c>
      <c r="B11" s="8" t="str">
        <f t="shared" si="0"/>
        <v>Gustavo Ferrareis</v>
      </c>
      <c r="C11" s="8" t="str">
        <f t="shared" si="1"/>
        <v>Atlas</v>
      </c>
      <c r="D11" s="8">
        <f t="shared" si="2"/>
        <v>1</v>
      </c>
      <c r="F11" s="4" t="str">
        <f>IF(Jugadores!B11="","",Jugadores!B11)</f>
        <v>Lopez Abutro Rene</v>
      </c>
      <c r="G11" s="4" t="str">
        <f>IF(Jugadores!B11="","",Jugadores!A11)</f>
        <v>Pachuca</v>
      </c>
      <c r="H11" s="4">
        <f>IF(F11="","",SUMIF('Estadísticas Jugadores'!$F$2:$F$7001,F11,'Estadísticas Jugadores'!$J$2:$J$7001))</f>
        <v>0</v>
      </c>
      <c r="I11" s="4">
        <f t="shared" si="3"/>
        <v>-1.1000000000000001E-6</v>
      </c>
      <c r="J11" s="4">
        <f t="shared" si="4"/>
        <v>27</v>
      </c>
    </row>
    <row r="12" spans="1:10" ht="15" customHeight="1" x14ac:dyDescent="0.25">
      <c r="A12" s="8">
        <f>IF(COUNT($J$2:$J$1501)&gt;=11,11,"")</f>
        <v>11</v>
      </c>
      <c r="B12" s="8" t="str">
        <f t="shared" si="0"/>
        <v>Carranza Julian</v>
      </c>
      <c r="C12" s="8" t="str">
        <f t="shared" si="1"/>
        <v>Necaxa</v>
      </c>
      <c r="D12" s="8">
        <f t="shared" si="2"/>
        <v>1</v>
      </c>
      <c r="F12" s="4" t="str">
        <f>IF(Jugadores!B12="","",Jugadores!B12)</f>
        <v>Mozo Alan</v>
      </c>
      <c r="G12" s="4" t="str">
        <f>IF(Jugadores!B12="","",Jugadores!A12)</f>
        <v>Pachuca</v>
      </c>
      <c r="H12" s="4">
        <f>IF(F12="","",SUMIF('Estadísticas Jugadores'!$F$2:$F$7001,F12,'Estadísticas Jugadores'!$J$2:$J$7001))</f>
        <v>0</v>
      </c>
      <c r="I12" s="4">
        <f t="shared" si="3"/>
        <v>-1.1999999999999999E-6</v>
      </c>
      <c r="J12" s="4">
        <f t="shared" si="4"/>
        <v>28</v>
      </c>
    </row>
    <row r="13" spans="1:10" ht="15" customHeight="1" x14ac:dyDescent="0.25">
      <c r="A13" s="8">
        <f>IF(COUNT($J$2:$J$1501)&gt;=12,12,"")</f>
        <v>12</v>
      </c>
      <c r="B13" s="8" t="str">
        <f t="shared" si="0"/>
        <v>Martin Henry</v>
      </c>
      <c r="C13" s="8" t="str">
        <f t="shared" si="1"/>
        <v>Club América</v>
      </c>
      <c r="D13" s="8">
        <f t="shared" si="2"/>
        <v>1</v>
      </c>
      <c r="F13" s="4" t="str">
        <f>IF(Jugadores!B13="","",Jugadores!B13)</f>
        <v>Sanchez Carlos</v>
      </c>
      <c r="G13" s="4" t="str">
        <f>IF(Jugadores!B13="","",Jugadores!A13)</f>
        <v>Pachuca</v>
      </c>
      <c r="H13" s="4">
        <f>IF(F13="","",SUMIF('Estadísticas Jugadores'!$F$2:$F$7001,F13,'Estadísticas Jugadores'!$J$2:$J$7001))</f>
        <v>0</v>
      </c>
      <c r="I13" s="4">
        <f t="shared" si="3"/>
        <v>-1.2999999999999998E-6</v>
      </c>
      <c r="J13" s="4">
        <f t="shared" si="4"/>
        <v>29</v>
      </c>
    </row>
    <row r="14" spans="1:10" ht="15" customHeight="1" x14ac:dyDescent="0.25">
      <c r="A14" s="8">
        <f>IF(COUNT($J$2:$J$1501)&gt;=13,13,"")</f>
        <v>13</v>
      </c>
      <c r="B14" s="8" t="str">
        <f t="shared" si="0"/>
        <v>Herrera Alberto</v>
      </c>
      <c r="C14" s="8" t="str">
        <f t="shared" si="1"/>
        <v>Puebla</v>
      </c>
      <c r="D14" s="8">
        <f t="shared" si="2"/>
        <v>1</v>
      </c>
      <c r="F14" s="4" t="str">
        <f>IF(Jugadores!B14="","",Jugadores!B14)</f>
        <v>Sánchez Moñino Edwin</v>
      </c>
      <c r="G14" s="4" t="str">
        <f>IF(Jugadores!B14="","",Jugadores!A14)</f>
        <v>Pachuca</v>
      </c>
      <c r="H14" s="4">
        <f>IF(F14="","",SUMIF('Estadísticas Jugadores'!$F$2:$F$7001,F14,'Estadísticas Jugadores'!$J$2:$J$7001))</f>
        <v>0</v>
      </c>
      <c r="I14" s="4">
        <f t="shared" si="3"/>
        <v>-1.3999999999999999E-6</v>
      </c>
      <c r="J14" s="4">
        <f t="shared" si="4"/>
        <v>30</v>
      </c>
    </row>
    <row r="15" spans="1:10" ht="15" customHeight="1" x14ac:dyDescent="0.25">
      <c r="A15" s="8">
        <f>IF(COUNT($J$2:$J$1501)&gt;=14,14,"")</f>
        <v>14</v>
      </c>
      <c r="B15" s="8" t="str">
        <f t="shared" si="0"/>
        <v>Sanchez Filipe</v>
      </c>
      <c r="C15" s="8" t="str">
        <f t="shared" si="1"/>
        <v>Santos Laguna</v>
      </c>
      <c r="D15" s="8">
        <f t="shared" si="2"/>
        <v>1</v>
      </c>
      <c r="F15" s="4" t="str">
        <f>IF(Jugadores!B15="","",Jugadores!B15)</f>
        <v>Venegas Moreno Francisco Eduardo</v>
      </c>
      <c r="G15" s="4" t="str">
        <f>IF(Jugadores!B15="","",Jugadores!A15)</f>
        <v>Pachuca</v>
      </c>
      <c r="H15" s="4">
        <f>IF(F15="","",SUMIF('Estadísticas Jugadores'!$F$2:$F$7001,F15,'Estadísticas Jugadores'!$J$2:$J$7001))</f>
        <v>0</v>
      </c>
      <c r="I15" s="4">
        <f t="shared" si="3"/>
        <v>-1.5E-6</v>
      </c>
      <c r="J15" s="4">
        <f t="shared" si="4"/>
        <v>31</v>
      </c>
    </row>
    <row r="16" spans="1:10" ht="15" customHeight="1" x14ac:dyDescent="0.25">
      <c r="A16" s="8">
        <f>IF(COUNT($J$2:$J$1501)&gt;=15,15,"")</f>
        <v>15</v>
      </c>
      <c r="B16" s="8" t="str">
        <f t="shared" si="0"/>
        <v>Flores Leonardo</v>
      </c>
      <c r="C16" s="8" t="str">
        <f t="shared" si="1"/>
        <v>Atlético de San Luis</v>
      </c>
      <c r="D16" s="8">
        <f t="shared" si="2"/>
        <v>1</v>
      </c>
      <c r="F16" s="4" t="str">
        <f>IF(Jugadores!B16="","",Jugadores!B16)</f>
        <v>Alvarez Gaël</v>
      </c>
      <c r="G16" s="4" t="str">
        <f>IF(Jugadores!B16="","",Jugadores!A16)</f>
        <v>Pachuca</v>
      </c>
      <c r="H16" s="4">
        <f>IF(F16="","",SUMIF('Estadísticas Jugadores'!$F$2:$F$7001,F16,'Estadísticas Jugadores'!$J$2:$J$7001))</f>
        <v>0</v>
      </c>
      <c r="I16" s="4">
        <f t="shared" si="3"/>
        <v>-1.5999999999999999E-6</v>
      </c>
      <c r="J16" s="4">
        <f t="shared" si="4"/>
        <v>32</v>
      </c>
    </row>
    <row r="17" spans="1:10" ht="15" customHeight="1" x14ac:dyDescent="0.25">
      <c r="A17" s="8">
        <f>IF(COUNT($J$2:$J$1501)&gt;=16,16,"")</f>
        <v>16</v>
      </c>
      <c r="B17" s="8" t="str">
        <f t="shared" si="0"/>
        <v>Alvarado Alfonso</v>
      </c>
      <c r="C17" s="8" t="str">
        <f t="shared" si="1"/>
        <v>León</v>
      </c>
      <c r="D17" s="8">
        <f t="shared" si="2"/>
        <v>1</v>
      </c>
      <c r="F17" s="4" t="str">
        <f>IF(Jugadores!B17="","",Jugadores!B17)</f>
        <v>Bautista Alan</v>
      </c>
      <c r="G17" s="4" t="str">
        <f>IF(Jugadores!B17="","",Jugadores!A17)</f>
        <v>Pachuca</v>
      </c>
      <c r="H17" s="4">
        <f>IF(F17="","",SUMIF('Estadísticas Jugadores'!$F$2:$F$7001,F17,'Estadísticas Jugadores'!$J$2:$J$7001))</f>
        <v>0</v>
      </c>
      <c r="I17" s="4">
        <f t="shared" si="3"/>
        <v>-1.6999999999999998E-6</v>
      </c>
      <c r="J17" s="4">
        <f t="shared" si="4"/>
        <v>33</v>
      </c>
    </row>
    <row r="18" spans="1:10" ht="15" customHeight="1" x14ac:dyDescent="0.25">
      <c r="A18" s="8">
        <f>IF(COUNT($J$2:$J$1501)&gt;=17,17,"")</f>
        <v>17</v>
      </c>
      <c r="B18" s="8" t="str">
        <f t="shared" si="0"/>
        <v>Joaquim</v>
      </c>
      <c r="C18" s="8" t="str">
        <f t="shared" si="1"/>
        <v>Tigres UANL</v>
      </c>
      <c r="D18" s="8">
        <f t="shared" si="2"/>
        <v>1</v>
      </c>
      <c r="F18" s="4" t="str">
        <f>IF(Jugadores!B18="","",Jugadores!B18)</f>
        <v>Contreras Ari</v>
      </c>
      <c r="G18" s="4" t="str">
        <f>IF(Jugadores!B18="","",Jugadores!A18)</f>
        <v>Pachuca</v>
      </c>
      <c r="H18" s="4">
        <f>IF(F18="","",SUMIF('Estadísticas Jugadores'!$F$2:$F$7001,F18,'Estadísticas Jugadores'!$J$2:$J$7001))</f>
        <v>0</v>
      </c>
      <c r="I18" s="4">
        <f t="shared" si="3"/>
        <v>-1.7999999999999999E-6</v>
      </c>
      <c r="J18" s="4">
        <f t="shared" si="4"/>
        <v>34</v>
      </c>
    </row>
    <row r="19" spans="1:10" ht="15" customHeight="1" x14ac:dyDescent="0.25">
      <c r="A19" s="8">
        <f>IF(COUNT($J$2:$J$1501)&gt;=18,18,"")</f>
        <v>18</v>
      </c>
      <c r="B19" s="8" t="str">
        <f t="shared" si="0"/>
        <v>Camacho Cesar</v>
      </c>
      <c r="C19" s="8" t="str">
        <f t="shared" si="1"/>
        <v>Pachuca</v>
      </c>
      <c r="D19" s="8">
        <f t="shared" si="2"/>
        <v>0</v>
      </c>
      <c r="F19" s="4" t="str">
        <f>IF(Jugadores!B19="","",Jugadores!B19)</f>
        <v>Montiel Elias</v>
      </c>
      <c r="G19" s="4" t="str">
        <f>IF(Jugadores!B19="","",Jugadores!A19)</f>
        <v>Pachuca</v>
      </c>
      <c r="H19" s="4">
        <f>IF(F19="","",SUMIF('Estadísticas Jugadores'!$F$2:$F$7001,F19,'Estadísticas Jugadores'!$J$2:$J$7001))</f>
        <v>1</v>
      </c>
      <c r="I19" s="4">
        <f t="shared" si="3"/>
        <v>999.99999809999997</v>
      </c>
      <c r="J19" s="4">
        <f t="shared" si="4"/>
        <v>1</v>
      </c>
    </row>
    <row r="20" spans="1:10" ht="15" customHeight="1" x14ac:dyDescent="0.25">
      <c r="A20" s="8">
        <f>IF(COUNT($J$2:$J$1501)&gt;=19,19,"")</f>
        <v>19</v>
      </c>
      <c r="B20" s="8" t="str">
        <f t="shared" si="0"/>
        <v>Eulogio Jose</v>
      </c>
      <c r="C20" s="8" t="str">
        <f t="shared" si="1"/>
        <v>Pachuca</v>
      </c>
      <c r="D20" s="8">
        <f t="shared" si="2"/>
        <v>0</v>
      </c>
      <c r="F20" s="4" t="str">
        <f>IF(Jugadores!B20="","",Jugadores!B20)</f>
        <v>Pizarro Rodolfo</v>
      </c>
      <c r="G20" s="4" t="str">
        <f>IF(Jugadores!B20="","",Jugadores!A20)</f>
        <v>Pachuca</v>
      </c>
      <c r="H20" s="4">
        <f>IF(F20="","",SUMIF('Estadísticas Jugadores'!$F$2:$F$7001,F20,'Estadísticas Jugadores'!$J$2:$J$7001))</f>
        <v>0</v>
      </c>
      <c r="I20" s="4">
        <f t="shared" si="3"/>
        <v>-1.9999999999999999E-6</v>
      </c>
      <c r="J20" s="4">
        <f t="shared" si="4"/>
        <v>35</v>
      </c>
    </row>
    <row r="21" spans="1:10" ht="15" customHeight="1" x14ac:dyDescent="0.25">
      <c r="A21" s="8">
        <f>IF(COUNT($J$2:$J$1501)&gt;=20,20,"")</f>
        <v>20</v>
      </c>
      <c r="B21" s="8" t="str">
        <f t="shared" si="0"/>
        <v>Moreno Carlos</v>
      </c>
      <c r="C21" s="8" t="str">
        <f t="shared" si="1"/>
        <v>Pachuca</v>
      </c>
      <c r="D21" s="8">
        <f t="shared" si="2"/>
        <v>0</v>
      </c>
      <c r="F21" s="4" t="str">
        <f>IF(Jugadores!B21="","",Jugadores!B21)</f>
        <v>Rivera Christian</v>
      </c>
      <c r="G21" s="4" t="str">
        <f>IF(Jugadores!B21="","",Jugadores!A21)</f>
        <v>Pachuca</v>
      </c>
      <c r="H21" s="4">
        <f>IF(F21="","",SUMIF('Estadísticas Jugadores'!$F$2:$F$7001,F21,'Estadísticas Jugadores'!$J$2:$J$7001))</f>
        <v>0</v>
      </c>
      <c r="I21" s="4">
        <f t="shared" si="3"/>
        <v>-2.0999999999999998E-6</v>
      </c>
      <c r="J21" s="4">
        <f t="shared" si="4"/>
        <v>36</v>
      </c>
    </row>
    <row r="22" spans="1:10" ht="15" customHeight="1" x14ac:dyDescent="0.25">
      <c r="A22" s="8">
        <f>IF(COUNT($J$2:$J$1501)&gt;=21,21,"")</f>
        <v>21</v>
      </c>
      <c r="B22" s="8" t="str">
        <f t="shared" si="0"/>
        <v>Barreto Sergio Damian</v>
      </c>
      <c r="C22" s="8" t="str">
        <f t="shared" si="1"/>
        <v>Pachuca</v>
      </c>
      <c r="D22" s="8">
        <f t="shared" si="2"/>
        <v>0</v>
      </c>
      <c r="F22" s="4" t="str">
        <f>IF(Jugadores!B22="","",Jugadores!B22)</f>
        <v>Rodriguez Sergio</v>
      </c>
      <c r="G22" s="4" t="str">
        <f>IF(Jugadores!B22="","",Jugadores!A22)</f>
        <v>Pachuca</v>
      </c>
      <c r="H22" s="4">
        <f>IF(F22="","",SUMIF('Estadísticas Jugadores'!$F$2:$F$7001,F22,'Estadísticas Jugadores'!$J$2:$J$7001))</f>
        <v>0</v>
      </c>
      <c r="I22" s="4">
        <f t="shared" si="3"/>
        <v>-2.2000000000000001E-6</v>
      </c>
      <c r="J22" s="4">
        <f t="shared" si="4"/>
        <v>37</v>
      </c>
    </row>
    <row r="23" spans="1:10" ht="15" customHeight="1" x14ac:dyDescent="0.25">
      <c r="A23" s="8">
        <f>IF(COUNT($J$2:$J$1501)&gt;=22,22,"")</f>
        <v>22</v>
      </c>
      <c r="B23" s="8" t="str">
        <f t="shared" si="0"/>
        <v>Berlanga Jorge</v>
      </c>
      <c r="C23" s="8" t="str">
        <f t="shared" si="1"/>
        <v>Pachuca</v>
      </c>
      <c r="D23" s="8">
        <f t="shared" si="2"/>
        <v>0</v>
      </c>
      <c r="F23" s="4" t="str">
        <f>IF(Jugadores!B23="","",Jugadores!B23)</f>
        <v>Alcaraz Adrián</v>
      </c>
      <c r="G23" s="4" t="str">
        <f>IF(Jugadores!B23="","",Jugadores!A23)</f>
        <v>Pachuca</v>
      </c>
      <c r="H23" s="4">
        <f>IF(F23="","",SUMIF('Estadísticas Jugadores'!$F$2:$F$7001,F23,'Estadísticas Jugadores'!$J$2:$J$7001))</f>
        <v>0</v>
      </c>
      <c r="I23" s="4">
        <f t="shared" si="3"/>
        <v>-2.3E-6</v>
      </c>
      <c r="J23" s="4">
        <f t="shared" si="4"/>
        <v>38</v>
      </c>
    </row>
    <row r="24" spans="1:10" ht="15" customHeight="1" x14ac:dyDescent="0.25">
      <c r="A24" s="8">
        <f>IF(COUNT($J$2:$J$1501)&gt;=23,23,"")</f>
        <v>23</v>
      </c>
      <c r="B24" s="8" t="str">
        <f t="shared" si="0"/>
        <v>Collazo David</v>
      </c>
      <c r="C24" s="8" t="str">
        <f t="shared" si="1"/>
        <v>Pachuca</v>
      </c>
      <c r="D24" s="8">
        <f t="shared" si="2"/>
        <v>0</v>
      </c>
      <c r="F24" s="4" t="str">
        <f>IF(Jugadores!B24="","",Jugadores!B24)</f>
        <v>Dominguez Alexei</v>
      </c>
      <c r="G24" s="4" t="str">
        <f>IF(Jugadores!B24="","",Jugadores!A24)</f>
        <v>Pachuca</v>
      </c>
      <c r="H24" s="4">
        <f>IF(F24="","",SUMIF('Estadísticas Jugadores'!$F$2:$F$7001,F24,'Estadísticas Jugadores'!$J$2:$J$7001))</f>
        <v>0</v>
      </c>
      <c r="I24" s="4">
        <f t="shared" si="3"/>
        <v>-2.3999999999999999E-6</v>
      </c>
      <c r="J24" s="4">
        <f t="shared" si="4"/>
        <v>39</v>
      </c>
    </row>
    <row r="25" spans="1:10" ht="15" customHeight="1" x14ac:dyDescent="0.25">
      <c r="A25" s="8">
        <f>IF(COUNT($J$2:$J$1501)&gt;=24,24,"")</f>
        <v>24</v>
      </c>
      <c r="B25" s="8" t="str">
        <f t="shared" si="0"/>
        <v>Eduardo Bauermann</v>
      </c>
      <c r="C25" s="8" t="str">
        <f t="shared" si="1"/>
        <v>Pachuca</v>
      </c>
      <c r="D25" s="8">
        <f t="shared" si="2"/>
        <v>0</v>
      </c>
      <c r="F25" s="4" t="str">
        <f>IF(Jugadores!B25="","",Jugadores!B25)</f>
        <v>Hernandez Cristobal</v>
      </c>
      <c r="G25" s="4" t="str">
        <f>IF(Jugadores!B25="","",Jugadores!A25)</f>
        <v>Pachuca</v>
      </c>
      <c r="H25" s="4">
        <f>IF(F25="","",SUMIF('Estadísticas Jugadores'!$F$2:$F$7001,F25,'Estadísticas Jugadores'!$J$2:$J$7001))</f>
        <v>0</v>
      </c>
      <c r="I25" s="4">
        <f t="shared" si="3"/>
        <v>-2.4999999999999998E-6</v>
      </c>
      <c r="J25" s="4">
        <f t="shared" si="4"/>
        <v>40</v>
      </c>
    </row>
    <row r="26" spans="1:10" ht="15" customHeight="1" x14ac:dyDescent="0.25">
      <c r="A26" s="8">
        <f>IF(COUNT($J$2:$J$1501)&gt;=25,25,"")</f>
        <v>25</v>
      </c>
      <c r="B26" s="8" t="str">
        <f t="shared" si="0"/>
        <v>Gamez Juan</v>
      </c>
      <c r="C26" s="8" t="str">
        <f t="shared" si="1"/>
        <v>Pachuca</v>
      </c>
      <c r="D26" s="8">
        <f t="shared" si="2"/>
        <v>0</v>
      </c>
      <c r="F26" s="4" t="str">
        <f>IF(Jugadores!B26="","",Jugadores!B26)</f>
        <v>Hernández Illian</v>
      </c>
      <c r="G26" s="4" t="str">
        <f>IF(Jugadores!B26="","",Jugadores!A26)</f>
        <v>Pachuca</v>
      </c>
      <c r="H26" s="4">
        <f>IF(F26="","",SUMIF('Estadísticas Jugadores'!$F$2:$F$7001,F26,'Estadísticas Jugadores'!$J$2:$J$7001))</f>
        <v>0</v>
      </c>
      <c r="I26" s="4">
        <f t="shared" si="3"/>
        <v>-2.5999999999999997E-6</v>
      </c>
      <c r="J26" s="4">
        <f t="shared" si="4"/>
        <v>41</v>
      </c>
    </row>
    <row r="27" spans="1:10" ht="15" customHeight="1" x14ac:dyDescent="0.25">
      <c r="A27" s="8">
        <f>IF(COUNT($J$2:$J$1501)&gt;=26,26,"")</f>
        <v>26</v>
      </c>
      <c r="B27" s="8" t="str">
        <f t="shared" si="0"/>
        <v>Isais Mauricio</v>
      </c>
      <c r="C27" s="8" t="str">
        <f t="shared" si="1"/>
        <v>Pachuca</v>
      </c>
      <c r="D27" s="8">
        <f t="shared" si="2"/>
        <v>0</v>
      </c>
      <c r="F27" s="4" t="str">
        <f>IF(Jugadores!B27="","",Jugadores!B27)</f>
        <v>Idrissi Oussama</v>
      </c>
      <c r="G27" s="4" t="str">
        <f>IF(Jugadores!B27="","",Jugadores!A27)</f>
        <v>Pachuca</v>
      </c>
      <c r="H27" s="4">
        <f>IF(F27="","",SUMIF('Estadísticas Jugadores'!$F$2:$F$7001,F27,'Estadísticas Jugadores'!$J$2:$J$7001))</f>
        <v>1</v>
      </c>
      <c r="I27" s="4">
        <f t="shared" si="3"/>
        <v>999.99999730000002</v>
      </c>
      <c r="J27" s="4">
        <f t="shared" si="4"/>
        <v>2</v>
      </c>
    </row>
    <row r="28" spans="1:10" ht="15" customHeight="1" x14ac:dyDescent="0.25">
      <c r="A28" s="8">
        <f>IF(COUNT($J$2:$J$1501)&gt;=27,27,"")</f>
        <v>27</v>
      </c>
      <c r="B28" s="8" t="str">
        <f t="shared" si="0"/>
        <v>Lopez Abutro Rene</v>
      </c>
      <c r="C28" s="8" t="str">
        <f t="shared" si="1"/>
        <v>Pachuca</v>
      </c>
      <c r="D28" s="8">
        <f t="shared" si="2"/>
        <v>0</v>
      </c>
      <c r="F28" s="4" t="str">
        <f>IF(Jugadores!B28="","",Jugadores!B28)</f>
        <v>Kenedy</v>
      </c>
      <c r="G28" s="4" t="str">
        <f>IF(Jugadores!B28="","",Jugadores!A28)</f>
        <v>Pachuca</v>
      </c>
      <c r="H28" s="4">
        <f>IF(F28="","",SUMIF('Estadísticas Jugadores'!$F$2:$F$7001,F28,'Estadísticas Jugadores'!$J$2:$J$7001))</f>
        <v>0</v>
      </c>
      <c r="I28" s="4">
        <f t="shared" si="3"/>
        <v>-2.7999999999999999E-6</v>
      </c>
      <c r="J28" s="4">
        <f t="shared" si="4"/>
        <v>42</v>
      </c>
    </row>
    <row r="29" spans="1:10" ht="15" customHeight="1" x14ac:dyDescent="0.25">
      <c r="A29" s="8">
        <f>IF(COUNT($J$2:$J$1501)&gt;=28,28,"")</f>
        <v>28</v>
      </c>
      <c r="B29" s="8" t="str">
        <f t="shared" si="0"/>
        <v>Mozo Alan</v>
      </c>
      <c r="C29" s="8" t="str">
        <f t="shared" si="1"/>
        <v>Pachuca</v>
      </c>
      <c r="D29" s="8">
        <f t="shared" si="2"/>
        <v>0</v>
      </c>
      <c r="F29" s="4" t="str">
        <f>IF(Jugadores!B29="","",Jugadores!B29)</f>
        <v>Mendez Daniel</v>
      </c>
      <c r="G29" s="4" t="str">
        <f>IF(Jugadores!B29="","",Jugadores!A29)</f>
        <v>Pachuca</v>
      </c>
      <c r="H29" s="4">
        <f>IF(F29="","",SUMIF('Estadísticas Jugadores'!$F$2:$F$7001,F29,'Estadísticas Jugadores'!$J$2:$J$7001))</f>
        <v>0</v>
      </c>
      <c r="I29" s="4">
        <f t="shared" si="3"/>
        <v>-2.8999999999999998E-6</v>
      </c>
      <c r="J29" s="4">
        <f t="shared" si="4"/>
        <v>43</v>
      </c>
    </row>
    <row r="30" spans="1:10" ht="15" customHeight="1" x14ac:dyDescent="0.25">
      <c r="A30" s="8">
        <f>IF(COUNT($J$2:$J$1501)&gt;=29,29,"")</f>
        <v>29</v>
      </c>
      <c r="B30" s="8" t="str">
        <f t="shared" si="0"/>
        <v>Sanchez Carlos</v>
      </c>
      <c r="C30" s="8" t="str">
        <f t="shared" si="1"/>
        <v>Pachuca</v>
      </c>
      <c r="D30" s="8">
        <f t="shared" si="2"/>
        <v>0</v>
      </c>
      <c r="F30" s="4" t="str">
        <f>IF(Jugadores!B30="","",Jugadores!B30)</f>
        <v>Ramirez Jonatan</v>
      </c>
      <c r="G30" s="4" t="str">
        <f>IF(Jugadores!B30="","",Jugadores!A30)</f>
        <v>Pachuca</v>
      </c>
      <c r="H30" s="4">
        <f>IF(F30="","",SUMIF('Estadísticas Jugadores'!$F$2:$F$7001,F30,'Estadísticas Jugadores'!$J$2:$J$7001))</f>
        <v>0</v>
      </c>
      <c r="I30" s="4">
        <f t="shared" si="3"/>
        <v>-3.0000000000000001E-6</v>
      </c>
      <c r="J30" s="4">
        <f t="shared" si="4"/>
        <v>44</v>
      </c>
    </row>
    <row r="31" spans="1:10" ht="15" customHeight="1" x14ac:dyDescent="0.25">
      <c r="A31" s="8">
        <f>IF(COUNT($J$2:$J$1501)&gt;=30,30,"")</f>
        <v>30</v>
      </c>
      <c r="B31" s="8" t="str">
        <f t="shared" si="0"/>
        <v>Sánchez Moñino Edwin</v>
      </c>
      <c r="C31" s="8" t="str">
        <f t="shared" si="1"/>
        <v>Pachuca</v>
      </c>
      <c r="D31" s="8">
        <f t="shared" si="2"/>
        <v>0</v>
      </c>
      <c r="F31" s="4" t="str">
        <f>IF(Jugadores!B31="","",Jugadores!B31)</f>
        <v>Rondón Salomon</v>
      </c>
      <c r="G31" s="4" t="str">
        <f>IF(Jugadores!B31="","",Jugadores!A31)</f>
        <v>Pachuca</v>
      </c>
      <c r="H31" s="4">
        <f>IF(F31="","",SUMIF('Estadísticas Jugadores'!$F$2:$F$7001,F31,'Estadísticas Jugadores'!$J$2:$J$7001))</f>
        <v>0</v>
      </c>
      <c r="I31" s="4">
        <f t="shared" si="3"/>
        <v>-3.1E-6</v>
      </c>
      <c r="J31" s="4">
        <f t="shared" si="4"/>
        <v>45</v>
      </c>
    </row>
    <row r="32" spans="1:10" ht="15" customHeight="1" x14ac:dyDescent="0.25">
      <c r="A32" s="8">
        <f>IF(COUNT($J$2:$J$1501)&gt;=31,31,"")</f>
        <v>31</v>
      </c>
      <c r="B32" s="8" t="str">
        <f t="shared" si="0"/>
        <v>Venegas Moreno Francisco Eduardo</v>
      </c>
      <c r="C32" s="8" t="str">
        <f t="shared" si="1"/>
        <v>Pachuca</v>
      </c>
      <c r="D32" s="8">
        <f t="shared" si="2"/>
        <v>0</v>
      </c>
      <c r="F32" s="4" t="str">
        <f>IF(Jugadores!B32="","",Jugadores!B32)</f>
        <v>Vallejo Nicolas</v>
      </c>
      <c r="G32" s="4" t="str">
        <f>IF(Jugadores!B32="","",Jugadores!A32)</f>
        <v>Pachuca</v>
      </c>
      <c r="H32" s="4">
        <f>IF(F32="","",SUMIF('Estadísticas Jugadores'!$F$2:$F$7001,F32,'Estadísticas Jugadores'!$J$2:$J$7001))</f>
        <v>0</v>
      </c>
      <c r="I32" s="4">
        <f t="shared" si="3"/>
        <v>-3.1999999999999999E-6</v>
      </c>
      <c r="J32" s="4">
        <f t="shared" si="4"/>
        <v>46</v>
      </c>
    </row>
    <row r="33" spans="1:10" ht="15" customHeight="1" x14ac:dyDescent="0.25">
      <c r="A33" s="8">
        <f>IF(COUNT($J$2:$J$1501)&gt;=32,32,"")</f>
        <v>32</v>
      </c>
      <c r="B33" s="8" t="str">
        <f t="shared" si="0"/>
        <v>Alvarez Gaël</v>
      </c>
      <c r="C33" s="8" t="str">
        <f t="shared" si="1"/>
        <v>Pachuca</v>
      </c>
      <c r="D33" s="8">
        <f t="shared" si="2"/>
        <v>0</v>
      </c>
      <c r="F33" s="4" t="str">
        <f>IF(Jugadores!B33="","",Jugadores!B33)</f>
        <v>Hernández Jorge</v>
      </c>
      <c r="G33" s="4" t="str">
        <f>IF(Jugadores!B33="","",Jugadores!A33)</f>
        <v>Tijuana</v>
      </c>
      <c r="H33" s="4">
        <f>IF(F33="","",SUMIF('Estadísticas Jugadores'!$F$2:$F$7001,F33,'Estadísticas Jugadores'!$J$2:$J$7001))</f>
        <v>0</v>
      </c>
      <c r="I33" s="4">
        <f t="shared" si="3"/>
        <v>-3.2999999999999997E-6</v>
      </c>
      <c r="J33" s="4">
        <f t="shared" si="4"/>
        <v>47</v>
      </c>
    </row>
    <row r="34" spans="1:10" ht="15" customHeight="1" x14ac:dyDescent="0.25">
      <c r="A34" s="8">
        <f>IF(COUNT($J$2:$J$1501)&gt;=33,33,"")</f>
        <v>33</v>
      </c>
      <c r="B34" s="8" t="str">
        <f t="shared" si="0"/>
        <v>Bautista Alan</v>
      </c>
      <c r="C34" s="8" t="str">
        <f t="shared" si="1"/>
        <v>Pachuca</v>
      </c>
      <c r="D34" s="8">
        <f t="shared" si="2"/>
        <v>0</v>
      </c>
      <c r="F34" s="4" t="str">
        <f>IF(Jugadores!B34="","",Jugadores!B34)</f>
        <v>Rodríguez Antonio</v>
      </c>
      <c r="G34" s="4" t="str">
        <f>IF(Jugadores!B34="","",Jugadores!A34)</f>
        <v>Tijuana</v>
      </c>
      <c r="H34" s="4">
        <f>IF(F34="","",SUMIF('Estadísticas Jugadores'!$F$2:$F$7001,F34,'Estadísticas Jugadores'!$J$2:$J$7001))</f>
        <v>0</v>
      </c>
      <c r="I34" s="4">
        <f t="shared" si="3"/>
        <v>-3.3999999999999996E-6</v>
      </c>
      <c r="J34" s="4">
        <f t="shared" si="4"/>
        <v>48</v>
      </c>
    </row>
    <row r="35" spans="1:10" ht="15" customHeight="1" x14ac:dyDescent="0.25">
      <c r="A35" s="8">
        <f>IF(COUNT($J$2:$J$1501)&gt;=34,34,"")</f>
        <v>34</v>
      </c>
      <c r="B35" s="8" t="str">
        <f t="shared" si="0"/>
        <v>Contreras Ari</v>
      </c>
      <c r="C35" s="8" t="str">
        <f t="shared" si="1"/>
        <v>Pachuca</v>
      </c>
      <c r="D35" s="8">
        <f t="shared" si="2"/>
        <v>0</v>
      </c>
      <c r="F35" s="4" t="str">
        <f>IF(Jugadores!B35="","",Jugadores!B35)</f>
        <v>Bilbao Arteta Unai</v>
      </c>
      <c r="G35" s="4" t="str">
        <f>IF(Jugadores!B35="","",Jugadores!A35)</f>
        <v>Tijuana</v>
      </c>
      <c r="H35" s="4">
        <f>IF(F35="","",SUMIF('Estadísticas Jugadores'!$F$2:$F$7001,F35,'Estadísticas Jugadores'!$J$2:$J$7001))</f>
        <v>0</v>
      </c>
      <c r="I35" s="4">
        <f t="shared" si="3"/>
        <v>-3.4999999999999999E-6</v>
      </c>
      <c r="J35" s="4">
        <f t="shared" si="4"/>
        <v>49</v>
      </c>
    </row>
    <row r="36" spans="1:10" ht="15" customHeight="1" x14ac:dyDescent="0.25">
      <c r="A36" s="8">
        <f>IF(COUNT($J$2:$J$1501)&gt;=35,35,"")</f>
        <v>35</v>
      </c>
      <c r="B36" s="8" t="str">
        <f t="shared" si="0"/>
        <v>Pizarro Rodolfo</v>
      </c>
      <c r="C36" s="8" t="str">
        <f t="shared" si="1"/>
        <v>Pachuca</v>
      </c>
      <c r="D36" s="8">
        <f t="shared" si="2"/>
        <v>0</v>
      </c>
      <c r="F36" s="4" t="str">
        <f>IF(Jugadores!B36="","",Jugadores!B36)</f>
        <v>Cordero Vega Alan</v>
      </c>
      <c r="G36" s="4" t="str">
        <f>IF(Jugadores!B36="","",Jugadores!A36)</f>
        <v>Tijuana</v>
      </c>
      <c r="H36" s="4">
        <f>IF(F36="","",SUMIF('Estadísticas Jugadores'!$F$2:$F$7001,F36,'Estadísticas Jugadores'!$J$2:$J$7001))</f>
        <v>0</v>
      </c>
      <c r="I36" s="4">
        <f t="shared" si="3"/>
        <v>-3.5999999999999998E-6</v>
      </c>
      <c r="J36" s="4">
        <f t="shared" si="4"/>
        <v>50</v>
      </c>
    </row>
    <row r="37" spans="1:10" ht="15" customHeight="1" x14ac:dyDescent="0.25">
      <c r="A37" s="8">
        <f>IF(COUNT($J$2:$J$1501)&gt;=36,36,"")</f>
        <v>36</v>
      </c>
      <c r="B37" s="8" t="str">
        <f t="shared" si="0"/>
        <v>Rivera Christian</v>
      </c>
      <c r="C37" s="8" t="str">
        <f t="shared" si="1"/>
        <v>Pachuca</v>
      </c>
      <c r="D37" s="8">
        <f t="shared" si="2"/>
        <v>0</v>
      </c>
      <c r="F37" s="4" t="str">
        <f>IF(Jugadores!B37="","",Jugadores!B37)</f>
        <v>Fernández Rafael</v>
      </c>
      <c r="G37" s="4" t="str">
        <f>IF(Jugadores!B37="","",Jugadores!A37)</f>
        <v>Tijuana</v>
      </c>
      <c r="H37" s="4">
        <f>IF(F37="","",SUMIF('Estadísticas Jugadores'!$F$2:$F$7001,F37,'Estadísticas Jugadores'!$J$2:$J$7001))</f>
        <v>0</v>
      </c>
      <c r="I37" s="4">
        <f t="shared" si="3"/>
        <v>-3.6999999999999997E-6</v>
      </c>
      <c r="J37" s="4">
        <f t="shared" si="4"/>
        <v>51</v>
      </c>
    </row>
    <row r="38" spans="1:10" ht="15" customHeight="1" x14ac:dyDescent="0.25">
      <c r="A38" s="8">
        <f>IF(COUNT($J$2:$J$1501)&gt;=37,37,"")</f>
        <v>37</v>
      </c>
      <c r="B38" s="8" t="str">
        <f t="shared" si="0"/>
        <v>Rodriguez Sergio</v>
      </c>
      <c r="C38" s="8" t="str">
        <f t="shared" si="1"/>
        <v>Pachuca</v>
      </c>
      <c r="D38" s="8">
        <f t="shared" si="2"/>
        <v>0</v>
      </c>
      <c r="F38" s="4" t="str">
        <f>IF(Jugadores!B38="","",Jugadores!B38)</f>
        <v>Gomez Alejandro</v>
      </c>
      <c r="G38" s="4" t="str">
        <f>IF(Jugadores!B38="","",Jugadores!A38)</f>
        <v>Tijuana</v>
      </c>
      <c r="H38" s="4">
        <f>IF(F38="","",SUMIF('Estadísticas Jugadores'!$F$2:$F$7001,F38,'Estadísticas Jugadores'!$J$2:$J$7001))</f>
        <v>0</v>
      </c>
      <c r="I38" s="4">
        <f t="shared" si="3"/>
        <v>-3.8E-6</v>
      </c>
      <c r="J38" s="4">
        <f t="shared" si="4"/>
        <v>52</v>
      </c>
    </row>
    <row r="39" spans="1:10" ht="15" customHeight="1" x14ac:dyDescent="0.25">
      <c r="A39" s="8">
        <f>IF(COUNT($J$2:$J$1501)&gt;=38,38,"")</f>
        <v>38</v>
      </c>
      <c r="B39" s="8" t="str">
        <f t="shared" si="0"/>
        <v>Alcaraz Adrián</v>
      </c>
      <c r="C39" s="8" t="str">
        <f t="shared" si="1"/>
        <v>Pachuca</v>
      </c>
      <c r="D39" s="8">
        <f t="shared" si="2"/>
        <v>0</v>
      </c>
      <c r="F39" s="4" t="str">
        <f>IF(Jugadores!B39="","",Jugadores!B39)</f>
        <v>Manzanarez Oscar</v>
      </c>
      <c r="G39" s="4" t="str">
        <f>IF(Jugadores!B39="","",Jugadores!A39)</f>
        <v>Tijuana</v>
      </c>
      <c r="H39" s="4">
        <f>IF(F39="","",SUMIF('Estadísticas Jugadores'!$F$2:$F$7001,F39,'Estadísticas Jugadores'!$J$2:$J$7001))</f>
        <v>0</v>
      </c>
      <c r="I39" s="4">
        <f t="shared" si="3"/>
        <v>-3.8999999999999999E-6</v>
      </c>
      <c r="J39" s="4">
        <f t="shared" si="4"/>
        <v>53</v>
      </c>
    </row>
    <row r="40" spans="1:10" ht="15" customHeight="1" x14ac:dyDescent="0.25">
      <c r="A40" s="8">
        <f>IF(COUNT($J$2:$J$1501)&gt;=39,39,"")</f>
        <v>39</v>
      </c>
      <c r="B40" s="8" t="str">
        <f t="shared" si="0"/>
        <v>Dominguez Alexei</v>
      </c>
      <c r="C40" s="8" t="str">
        <f t="shared" si="1"/>
        <v>Pachuca</v>
      </c>
      <c r="D40" s="8">
        <f t="shared" si="2"/>
        <v>0</v>
      </c>
      <c r="F40" s="4" t="str">
        <f>IF(Jugadores!B40="","",Jugadores!B40)</f>
        <v>Ortiz Orozco Pablo Nicolas</v>
      </c>
      <c r="G40" s="4" t="str">
        <f>IF(Jugadores!B40="","",Jugadores!A40)</f>
        <v>Tijuana</v>
      </c>
      <c r="H40" s="4">
        <f>IF(F40="","",SUMIF('Estadísticas Jugadores'!$F$2:$F$7001,F40,'Estadísticas Jugadores'!$J$2:$J$7001))</f>
        <v>0</v>
      </c>
      <c r="I40" s="4">
        <f t="shared" si="3"/>
        <v>-3.9999999999999998E-6</v>
      </c>
      <c r="J40" s="4">
        <f t="shared" si="4"/>
        <v>54</v>
      </c>
    </row>
    <row r="41" spans="1:10" ht="15" customHeight="1" x14ac:dyDescent="0.25">
      <c r="A41" s="8">
        <f>IF(COUNT($J$2:$J$1501)&gt;=40,40,"")</f>
        <v>40</v>
      </c>
      <c r="B41" s="8" t="str">
        <f t="shared" si="0"/>
        <v>Hernandez Cristobal</v>
      </c>
      <c r="C41" s="8" t="str">
        <f t="shared" si="1"/>
        <v>Pachuca</v>
      </c>
      <c r="D41" s="8">
        <f t="shared" si="2"/>
        <v>0</v>
      </c>
      <c r="F41" s="4" t="str">
        <f>IF(Jugadores!B41="","",Jugadores!B41)</f>
        <v>Porozo Jackson</v>
      </c>
      <c r="G41" s="4" t="str">
        <f>IF(Jugadores!B41="","",Jugadores!A41)</f>
        <v>Tijuana</v>
      </c>
      <c r="H41" s="4">
        <f>IF(F41="","",SUMIF('Estadísticas Jugadores'!$F$2:$F$7001,F41,'Estadísticas Jugadores'!$J$2:$J$7001))</f>
        <v>0</v>
      </c>
      <c r="I41" s="4">
        <f t="shared" si="3"/>
        <v>-4.0999999999999997E-6</v>
      </c>
      <c r="J41" s="4">
        <f t="shared" si="4"/>
        <v>55</v>
      </c>
    </row>
    <row r="42" spans="1:10" ht="15" customHeight="1" x14ac:dyDescent="0.25">
      <c r="A42" s="8">
        <f>IF(COUNT($J$2:$J$1501)&gt;=41,41,"")</f>
        <v>41</v>
      </c>
      <c r="B42" s="8" t="str">
        <f t="shared" si="0"/>
        <v>Hernández Illian</v>
      </c>
      <c r="C42" s="8" t="str">
        <f t="shared" si="1"/>
        <v>Pachuca</v>
      </c>
      <c r="D42" s="8">
        <f t="shared" si="2"/>
        <v>0</v>
      </c>
      <c r="F42" s="4" t="str">
        <f>IF(Jugadores!B42="","",Jugadores!B42)</f>
        <v>Arciga Ramiro</v>
      </c>
      <c r="G42" s="4" t="str">
        <f>IF(Jugadores!B42="","",Jugadores!A42)</f>
        <v>Tijuana</v>
      </c>
      <c r="H42" s="4">
        <f>IF(F42="","",SUMIF('Estadísticas Jugadores'!$F$2:$F$7001,F42,'Estadísticas Jugadores'!$J$2:$J$7001))</f>
        <v>0</v>
      </c>
      <c r="I42" s="4">
        <f t="shared" si="3"/>
        <v>-4.1999999999999996E-6</v>
      </c>
      <c r="J42" s="4">
        <f t="shared" si="4"/>
        <v>56</v>
      </c>
    </row>
    <row r="43" spans="1:10" ht="15" customHeight="1" x14ac:dyDescent="0.25">
      <c r="A43" s="8">
        <f>IF(COUNT($J$2:$J$1501)&gt;=42,42,"")</f>
        <v>42</v>
      </c>
      <c r="B43" s="8" t="str">
        <f t="shared" si="0"/>
        <v>Kenedy</v>
      </c>
      <c r="C43" s="8" t="str">
        <f t="shared" si="1"/>
        <v>Pachuca</v>
      </c>
      <c r="D43" s="8">
        <f t="shared" si="2"/>
        <v>0</v>
      </c>
      <c r="F43" s="4" t="str">
        <f>IF(Jugadores!B43="","",Jugadores!B43)</f>
        <v>Boya Frank</v>
      </c>
      <c r="G43" s="4" t="str">
        <f>IF(Jugadores!B43="","",Jugadores!A43)</f>
        <v>Tijuana</v>
      </c>
      <c r="H43" s="4">
        <f>IF(F43="","",SUMIF('Estadísticas Jugadores'!$F$2:$F$7001,F43,'Estadísticas Jugadores'!$J$2:$J$7001))</f>
        <v>0</v>
      </c>
      <c r="I43" s="4">
        <f t="shared" si="3"/>
        <v>-4.2999999999999995E-6</v>
      </c>
      <c r="J43" s="4">
        <f t="shared" si="4"/>
        <v>57</v>
      </c>
    </row>
    <row r="44" spans="1:10" ht="15" customHeight="1" x14ac:dyDescent="0.25">
      <c r="A44" s="8">
        <f>IF(COUNT($J$2:$J$1501)&gt;=43,43,"")</f>
        <v>43</v>
      </c>
      <c r="B44" s="8" t="str">
        <f t="shared" si="0"/>
        <v>Mendez Daniel</v>
      </c>
      <c r="C44" s="8" t="str">
        <f t="shared" si="1"/>
        <v>Pachuca</v>
      </c>
      <c r="D44" s="8">
        <f t="shared" si="2"/>
        <v>0</v>
      </c>
      <c r="F44" s="4" t="str">
        <f>IF(Jugadores!B44="","",Jugadores!B44)</f>
        <v>Escamilla Kevin</v>
      </c>
      <c r="G44" s="4" t="str">
        <f>IF(Jugadores!B44="","",Jugadores!A44)</f>
        <v>Tijuana</v>
      </c>
      <c r="H44" s="4">
        <f>IF(F44="","",SUMIF('Estadísticas Jugadores'!$F$2:$F$7001,F44,'Estadísticas Jugadores'!$J$2:$J$7001))</f>
        <v>0</v>
      </c>
      <c r="I44" s="4">
        <f t="shared" si="3"/>
        <v>-4.4000000000000002E-6</v>
      </c>
      <c r="J44" s="4">
        <f t="shared" si="4"/>
        <v>58</v>
      </c>
    </row>
    <row r="45" spans="1:10" ht="15" customHeight="1" x14ac:dyDescent="0.25">
      <c r="A45" s="8">
        <f>IF(COUNT($J$2:$J$1501)&gt;=44,44,"")</f>
        <v>44</v>
      </c>
      <c r="B45" s="8" t="str">
        <f t="shared" si="0"/>
        <v>Ramirez Jonatan</v>
      </c>
      <c r="C45" s="8" t="str">
        <f t="shared" si="1"/>
        <v>Pachuca</v>
      </c>
      <c r="D45" s="8">
        <f t="shared" si="2"/>
        <v>0</v>
      </c>
      <c r="F45" s="4" t="str">
        <f>IF(Jugadores!B45="","",Jugadores!B45)</f>
        <v>Gonzalez Joban</v>
      </c>
      <c r="G45" s="4" t="str">
        <f>IF(Jugadores!B45="","",Jugadores!A45)</f>
        <v>Tijuana</v>
      </c>
      <c r="H45" s="4">
        <f>IF(F45="","",SUMIF('Estadísticas Jugadores'!$F$2:$F$7001,F45,'Estadísticas Jugadores'!$J$2:$J$7001))</f>
        <v>0</v>
      </c>
      <c r="I45" s="4">
        <f t="shared" si="3"/>
        <v>-4.5000000000000001E-6</v>
      </c>
      <c r="J45" s="4">
        <f t="shared" si="4"/>
        <v>59</v>
      </c>
    </row>
    <row r="46" spans="1:10" ht="15" customHeight="1" x14ac:dyDescent="0.25">
      <c r="A46" s="8">
        <f>IF(COUNT($J$2:$J$1501)&gt;=45,45,"")</f>
        <v>45</v>
      </c>
      <c r="B46" s="8" t="str">
        <f t="shared" si="0"/>
        <v>Rondón Salomon</v>
      </c>
      <c r="C46" s="8" t="str">
        <f t="shared" si="1"/>
        <v>Pachuca</v>
      </c>
      <c r="D46" s="8">
        <f t="shared" si="2"/>
        <v>0</v>
      </c>
      <c r="F46" s="4" t="str">
        <f>IF(Jugadores!B46="","",Jugadores!B46)</f>
        <v>Mora Gilberto</v>
      </c>
      <c r="G46" s="4" t="str">
        <f>IF(Jugadores!B46="","",Jugadores!A46)</f>
        <v>Tijuana</v>
      </c>
      <c r="H46" s="4">
        <f>IF(F46="","",SUMIF('Estadísticas Jugadores'!$F$2:$F$7001,F46,'Estadísticas Jugadores'!$J$2:$J$7001))</f>
        <v>0</v>
      </c>
      <c r="I46" s="4">
        <f t="shared" si="3"/>
        <v>-4.6E-6</v>
      </c>
      <c r="J46" s="4">
        <f t="shared" si="4"/>
        <v>60</v>
      </c>
    </row>
    <row r="47" spans="1:10" ht="15" customHeight="1" x14ac:dyDescent="0.25">
      <c r="A47" s="8">
        <f>IF(COUNT($J$2:$J$1501)&gt;=46,46,"")</f>
        <v>46</v>
      </c>
      <c r="B47" s="8" t="str">
        <f t="shared" si="0"/>
        <v>Vallejo Nicolas</v>
      </c>
      <c r="C47" s="8" t="str">
        <f t="shared" si="1"/>
        <v>Pachuca</v>
      </c>
      <c r="D47" s="8">
        <f t="shared" si="2"/>
        <v>0</v>
      </c>
      <c r="F47" s="4" t="str">
        <f>IF(Jugadores!B47="","",Jugadores!B47)</f>
        <v>Orduno Jesús</v>
      </c>
      <c r="G47" s="4" t="str">
        <f>IF(Jugadores!B47="","",Jugadores!A47)</f>
        <v>Tijuana</v>
      </c>
      <c r="H47" s="4">
        <f>IF(F47="","",SUMIF('Estadísticas Jugadores'!$F$2:$F$7001,F47,'Estadísticas Jugadores'!$J$2:$J$7001))</f>
        <v>0</v>
      </c>
      <c r="I47" s="4">
        <f t="shared" si="3"/>
        <v>-4.6999999999999999E-6</v>
      </c>
      <c r="J47" s="4">
        <f t="shared" si="4"/>
        <v>61</v>
      </c>
    </row>
    <row r="48" spans="1:10" ht="15" customHeight="1" x14ac:dyDescent="0.25">
      <c r="A48" s="8">
        <f>IF(COUNT($J$2:$J$1501)&gt;=47,47,"")</f>
        <v>47</v>
      </c>
      <c r="B48" s="8" t="str">
        <f t="shared" si="0"/>
        <v>Hernández Jorge</v>
      </c>
      <c r="C48" s="8" t="str">
        <f t="shared" si="1"/>
        <v>Tijuana</v>
      </c>
      <c r="D48" s="8">
        <f t="shared" si="2"/>
        <v>0</v>
      </c>
      <c r="F48" s="4" t="str">
        <f>IF(Jugadores!B48="","",Jugadores!B48)</f>
        <v>Padilla German</v>
      </c>
      <c r="G48" s="4" t="str">
        <f>IF(Jugadores!B48="","",Jugadores!A48)</f>
        <v>Tijuana</v>
      </c>
      <c r="H48" s="4">
        <f>IF(F48="","",SUMIF('Estadísticas Jugadores'!$F$2:$F$7001,F48,'Estadísticas Jugadores'!$J$2:$J$7001))</f>
        <v>0</v>
      </c>
      <c r="I48" s="4">
        <f t="shared" si="3"/>
        <v>-4.7999999999999998E-6</v>
      </c>
      <c r="J48" s="4">
        <f t="shared" si="4"/>
        <v>62</v>
      </c>
    </row>
    <row r="49" spans="1:10" ht="15" customHeight="1" x14ac:dyDescent="0.25">
      <c r="A49" s="8">
        <f>IF(COUNT($J$2:$J$1501)&gt;=48,48,"")</f>
        <v>48</v>
      </c>
      <c r="B49" s="8" t="str">
        <f t="shared" si="0"/>
        <v>Rodríguez Antonio</v>
      </c>
      <c r="C49" s="8" t="str">
        <f t="shared" si="1"/>
        <v>Tijuana</v>
      </c>
      <c r="D49" s="8">
        <f t="shared" si="2"/>
        <v>0</v>
      </c>
      <c r="F49" s="4" t="str">
        <f>IF(Jugadores!B49="","",Jugadores!B49)</f>
        <v>Padilla Nanitamo</v>
      </c>
      <c r="G49" s="4" t="str">
        <f>IF(Jugadores!B49="","",Jugadores!A49)</f>
        <v>Tijuana</v>
      </c>
      <c r="H49" s="4">
        <f>IF(F49="","",SUMIF('Estadísticas Jugadores'!$F$2:$F$7001,F49,'Estadísticas Jugadores'!$J$2:$J$7001))</f>
        <v>1</v>
      </c>
      <c r="I49" s="4">
        <f t="shared" si="3"/>
        <v>999.99999509999998</v>
      </c>
      <c r="J49" s="4">
        <f t="shared" si="4"/>
        <v>3</v>
      </c>
    </row>
    <row r="50" spans="1:10" ht="15" customHeight="1" x14ac:dyDescent="0.25">
      <c r="A50" s="8">
        <f>IF(COUNT($J$2:$J$1501)&gt;=49,49,"")</f>
        <v>49</v>
      </c>
      <c r="B50" s="8" t="str">
        <f t="shared" si="0"/>
        <v>Bilbao Arteta Unai</v>
      </c>
      <c r="C50" s="8" t="str">
        <f t="shared" si="1"/>
        <v>Tijuana</v>
      </c>
      <c r="D50" s="8">
        <f t="shared" si="2"/>
        <v>0</v>
      </c>
      <c r="F50" s="4" t="str">
        <f>IF(Jugadores!B50="","",Jugadores!B50)</f>
        <v>Perez Aldahir</v>
      </c>
      <c r="G50" s="4" t="str">
        <f>IF(Jugadores!B50="","",Jugadores!A50)</f>
        <v>Tijuana</v>
      </c>
      <c r="H50" s="4">
        <f>IF(F50="","",SUMIF('Estadísticas Jugadores'!$F$2:$F$7001,F50,'Estadísticas Jugadores'!$J$2:$J$7001))</f>
        <v>0</v>
      </c>
      <c r="I50" s="4">
        <f t="shared" si="3"/>
        <v>-4.9999999999999996E-6</v>
      </c>
      <c r="J50" s="4">
        <f t="shared" si="4"/>
        <v>63</v>
      </c>
    </row>
    <row r="51" spans="1:10" ht="15" customHeight="1" x14ac:dyDescent="0.25">
      <c r="A51" s="8">
        <f>IF(COUNT($J$2:$J$1501)&gt;=50,50,"")</f>
        <v>50</v>
      </c>
      <c r="B51" s="8" t="str">
        <f t="shared" si="0"/>
        <v>Cordero Vega Alan</v>
      </c>
      <c r="C51" s="8" t="str">
        <f t="shared" si="1"/>
        <v>Tijuana</v>
      </c>
      <c r="D51" s="8">
        <f t="shared" si="2"/>
        <v>0</v>
      </c>
      <c r="F51" s="4" t="str">
        <f>IF(Jugadores!B51="","",Jugadores!B51)</f>
        <v>Preciado Quintero Adonis Stalin</v>
      </c>
      <c r="G51" s="4" t="str">
        <f>IF(Jugadores!B51="","",Jugadores!A51)</f>
        <v>Tijuana</v>
      </c>
      <c r="H51" s="4">
        <f>IF(F51="","",SUMIF('Estadísticas Jugadores'!$F$2:$F$7001,F51,'Estadísticas Jugadores'!$J$2:$J$7001))</f>
        <v>0</v>
      </c>
      <c r="I51" s="4">
        <f t="shared" si="3"/>
        <v>-5.0999999999999995E-6</v>
      </c>
      <c r="J51" s="4">
        <f t="shared" si="4"/>
        <v>64</v>
      </c>
    </row>
    <row r="52" spans="1:10" ht="15" customHeight="1" x14ac:dyDescent="0.25">
      <c r="A52" s="8">
        <f>IF(COUNT($J$2:$J$1501)&gt;=51,51,"")</f>
        <v>51</v>
      </c>
      <c r="B52" s="8" t="str">
        <f t="shared" si="0"/>
        <v>Fernández Rafael</v>
      </c>
      <c r="C52" s="8" t="str">
        <f t="shared" si="1"/>
        <v>Tijuana</v>
      </c>
      <c r="D52" s="8">
        <f t="shared" si="2"/>
        <v>0</v>
      </c>
      <c r="F52" s="4" t="str">
        <f>IF(Jugadores!B52="","",Jugadores!B52)</f>
        <v>Rivero Ignacio</v>
      </c>
      <c r="G52" s="4" t="str">
        <f>IF(Jugadores!B52="","",Jugadores!A52)</f>
        <v>Tijuana</v>
      </c>
      <c r="H52" s="4">
        <f>IF(F52="","",SUMIF('Estadísticas Jugadores'!$F$2:$F$7001,F52,'Estadísticas Jugadores'!$J$2:$J$7001))</f>
        <v>0</v>
      </c>
      <c r="I52" s="4">
        <f t="shared" si="3"/>
        <v>-5.1999999999999993E-6</v>
      </c>
      <c r="J52" s="4">
        <f t="shared" si="4"/>
        <v>65</v>
      </c>
    </row>
    <row r="53" spans="1:10" ht="15" customHeight="1" x14ac:dyDescent="0.25">
      <c r="A53" s="8">
        <f>IF(COUNT($J$2:$J$1501)&gt;=52,52,"")</f>
        <v>52</v>
      </c>
      <c r="B53" s="8" t="str">
        <f t="shared" si="0"/>
        <v>Gomez Alejandro</v>
      </c>
      <c r="C53" s="8" t="str">
        <f t="shared" si="1"/>
        <v>Tijuana</v>
      </c>
      <c r="D53" s="8">
        <f t="shared" si="2"/>
        <v>0</v>
      </c>
      <c r="F53" s="4" t="str">
        <f>IF(Jugadores!B53="","",Jugadores!B53)</f>
        <v>Tona Ivan</v>
      </c>
      <c r="G53" s="4" t="str">
        <f>IF(Jugadores!B53="","",Jugadores!A53)</f>
        <v>Tijuana</v>
      </c>
      <c r="H53" s="4">
        <f>IF(F53="","",SUMIF('Estadísticas Jugadores'!$F$2:$F$7001,F53,'Estadísticas Jugadores'!$J$2:$J$7001))</f>
        <v>0</v>
      </c>
      <c r="I53" s="4">
        <f t="shared" si="3"/>
        <v>-5.3000000000000001E-6</v>
      </c>
      <c r="J53" s="4">
        <f t="shared" si="4"/>
        <v>66</v>
      </c>
    </row>
    <row r="54" spans="1:10" ht="15" customHeight="1" x14ac:dyDescent="0.25">
      <c r="A54" s="8">
        <f>IF(COUNT($J$2:$J$1501)&gt;=53,53,"")</f>
        <v>53</v>
      </c>
      <c r="B54" s="8" t="str">
        <f t="shared" si="0"/>
        <v>Manzanarez Oscar</v>
      </c>
      <c r="C54" s="8" t="str">
        <f t="shared" si="1"/>
        <v>Tijuana</v>
      </c>
      <c r="D54" s="8">
        <f t="shared" si="2"/>
        <v>0</v>
      </c>
      <c r="F54" s="4" t="str">
        <f>IF(Jugadores!B54="","",Jugadores!B54)</f>
        <v>Zapata Angel</v>
      </c>
      <c r="G54" s="4" t="str">
        <f>IF(Jugadores!B54="","",Jugadores!A54)</f>
        <v>Tijuana</v>
      </c>
      <c r="H54" s="4">
        <f>IF(F54="","",SUMIF('Estadísticas Jugadores'!$F$2:$F$7001,F54,'Estadísticas Jugadores'!$J$2:$J$7001))</f>
        <v>0</v>
      </c>
      <c r="I54" s="4">
        <f t="shared" si="3"/>
        <v>-5.4E-6</v>
      </c>
      <c r="J54" s="4">
        <f t="shared" si="4"/>
        <v>67</v>
      </c>
    </row>
    <row r="55" spans="1:10" ht="15" customHeight="1" x14ac:dyDescent="0.25">
      <c r="A55" s="8">
        <f>IF(COUNT($J$2:$J$1501)&gt;=54,54,"")</f>
        <v>54</v>
      </c>
      <c r="B55" s="8" t="str">
        <f t="shared" si="0"/>
        <v>Ortiz Orozco Pablo Nicolas</v>
      </c>
      <c r="C55" s="8" t="str">
        <f t="shared" si="1"/>
        <v>Tijuana</v>
      </c>
      <c r="D55" s="8">
        <f t="shared" si="2"/>
        <v>0</v>
      </c>
      <c r="F55" s="4" t="str">
        <f>IF(Jugadores!B55="","",Jugadores!B55)</f>
        <v>Abreu Diego</v>
      </c>
      <c r="G55" s="4" t="str">
        <f>IF(Jugadores!B55="","",Jugadores!A55)</f>
        <v>Tijuana</v>
      </c>
      <c r="H55" s="4">
        <f>IF(F55="","",SUMIF('Estadísticas Jugadores'!$F$2:$F$7001,F55,'Estadísticas Jugadores'!$J$2:$J$7001))</f>
        <v>0</v>
      </c>
      <c r="I55" s="4">
        <f t="shared" si="3"/>
        <v>-5.4999999999999999E-6</v>
      </c>
      <c r="J55" s="4">
        <f t="shared" si="4"/>
        <v>68</v>
      </c>
    </row>
    <row r="56" spans="1:10" ht="15" customHeight="1" x14ac:dyDescent="0.25">
      <c r="A56" s="8">
        <f>IF(COUNT($J$2:$J$1501)&gt;=55,55,"")</f>
        <v>55</v>
      </c>
      <c r="B56" s="8" t="str">
        <f t="shared" si="0"/>
        <v>Porozo Jackson</v>
      </c>
      <c r="C56" s="8" t="str">
        <f t="shared" si="1"/>
        <v>Tijuana</v>
      </c>
      <c r="D56" s="8">
        <f t="shared" si="2"/>
        <v>0</v>
      </c>
      <c r="F56" s="4" t="str">
        <f>IF(Jugadores!B56="","",Jugadores!B56)</f>
        <v>El Ghezouani Mourad</v>
      </c>
      <c r="G56" s="4" t="str">
        <f>IF(Jugadores!B56="","",Jugadores!A56)</f>
        <v>Tijuana</v>
      </c>
      <c r="H56" s="4">
        <f>IF(F56="","",SUMIF('Estadísticas Jugadores'!$F$2:$F$7001,F56,'Estadísticas Jugadores'!$J$2:$J$7001))</f>
        <v>0</v>
      </c>
      <c r="I56" s="4">
        <f t="shared" si="3"/>
        <v>-5.5999999999999997E-6</v>
      </c>
      <c r="J56" s="4">
        <f t="shared" si="4"/>
        <v>69</v>
      </c>
    </row>
    <row r="57" spans="1:10" ht="15" customHeight="1" x14ac:dyDescent="0.25">
      <c r="A57" s="8">
        <f>IF(COUNT($J$2:$J$1501)&gt;=56,56,"")</f>
        <v>56</v>
      </c>
      <c r="B57" s="8" t="str">
        <f t="shared" si="0"/>
        <v>Arciga Ramiro</v>
      </c>
      <c r="C57" s="8" t="str">
        <f t="shared" si="1"/>
        <v>Tijuana</v>
      </c>
      <c r="D57" s="8">
        <f t="shared" si="2"/>
        <v>0</v>
      </c>
      <c r="F57" s="4" t="str">
        <f>IF(Jugadores!B57="","",Jugadores!B57)</f>
        <v>Leyva Christian</v>
      </c>
      <c r="G57" s="4" t="str">
        <f>IF(Jugadores!B57="","",Jugadores!A57)</f>
        <v>Tijuana</v>
      </c>
      <c r="H57" s="4">
        <f>IF(F57="","",SUMIF('Estadísticas Jugadores'!$F$2:$F$7001,F57,'Estadísticas Jugadores'!$J$2:$J$7001))</f>
        <v>0</v>
      </c>
      <c r="I57" s="4">
        <f t="shared" si="3"/>
        <v>-5.6999999999999996E-6</v>
      </c>
      <c r="J57" s="4">
        <f t="shared" si="4"/>
        <v>70</v>
      </c>
    </row>
    <row r="58" spans="1:10" ht="15" customHeight="1" x14ac:dyDescent="0.25">
      <c r="A58" s="8">
        <f>IF(COUNT($J$2:$J$1501)&gt;=57,57,"")</f>
        <v>57</v>
      </c>
      <c r="B58" s="8" t="str">
        <f t="shared" si="0"/>
        <v>Boya Frank</v>
      </c>
      <c r="C58" s="8" t="str">
        <f t="shared" si="1"/>
        <v>Tijuana</v>
      </c>
      <c r="D58" s="8">
        <f t="shared" si="2"/>
        <v>0</v>
      </c>
      <c r="F58" s="4" t="str">
        <f>IF(Jugadores!B58="","",Jugadores!B58)</f>
        <v>Magallon Alejandro</v>
      </c>
      <c r="G58" s="4" t="str">
        <f>IF(Jugadores!B58="","",Jugadores!A58)</f>
        <v>Tijuana</v>
      </c>
      <c r="H58" s="4">
        <f>IF(F58="","",SUMIF('Estadísticas Jugadores'!$F$2:$F$7001,F58,'Estadísticas Jugadores'!$J$2:$J$7001))</f>
        <v>0</v>
      </c>
      <c r="I58" s="4">
        <f t="shared" si="3"/>
        <v>-5.7999999999999995E-6</v>
      </c>
      <c r="J58" s="4">
        <f t="shared" si="4"/>
        <v>71</v>
      </c>
    </row>
    <row r="59" spans="1:10" ht="15" customHeight="1" x14ac:dyDescent="0.25">
      <c r="A59" s="8">
        <f>IF(COUNT($J$2:$J$1501)&gt;=58,58,"")</f>
        <v>58</v>
      </c>
      <c r="B59" s="8" t="str">
        <f t="shared" si="0"/>
        <v>Escamilla Kevin</v>
      </c>
      <c r="C59" s="8" t="str">
        <f t="shared" si="1"/>
        <v>Tijuana</v>
      </c>
      <c r="D59" s="8">
        <f t="shared" si="2"/>
        <v>0</v>
      </c>
      <c r="F59" s="4" t="str">
        <f>IF(Jugadores!B59="","",Jugadores!B59)</f>
        <v>Martinez Josef</v>
      </c>
      <c r="G59" s="4" t="str">
        <f>IF(Jugadores!B59="","",Jugadores!A59)</f>
        <v>Tijuana</v>
      </c>
      <c r="H59" s="4">
        <f>IF(F59="","",SUMIF('Estadísticas Jugadores'!$F$2:$F$7001,F59,'Estadísticas Jugadores'!$J$2:$J$7001))</f>
        <v>0</v>
      </c>
      <c r="I59" s="4">
        <f t="shared" si="3"/>
        <v>-5.8999999999999994E-6</v>
      </c>
      <c r="J59" s="4">
        <f t="shared" si="4"/>
        <v>72</v>
      </c>
    </row>
    <row r="60" spans="1:10" ht="15" customHeight="1" x14ac:dyDescent="0.25">
      <c r="A60" s="8">
        <f>IF(COUNT($J$2:$J$1501)&gt;=59,59,"")</f>
        <v>59</v>
      </c>
      <c r="B60" s="8" t="str">
        <f t="shared" si="0"/>
        <v>Gonzalez Joban</v>
      </c>
      <c r="C60" s="8" t="str">
        <f t="shared" si="1"/>
        <v>Tijuana</v>
      </c>
      <c r="D60" s="8">
        <f t="shared" si="2"/>
        <v>0</v>
      </c>
      <c r="F60" s="4" t="str">
        <f>IF(Jugadores!B60="","",Jugadores!B60)</f>
        <v>Garcia Palomera Luis Manuel</v>
      </c>
      <c r="G60" s="4" t="str">
        <f>IF(Jugadores!B60="","",Jugadores!A60)</f>
        <v>Toluca</v>
      </c>
      <c r="H60" s="4">
        <f>IF(F60="","",SUMIF('Estadísticas Jugadores'!$F$2:$F$7001,F60,'Estadísticas Jugadores'!$J$2:$J$7001))</f>
        <v>0</v>
      </c>
      <c r="I60" s="4">
        <f t="shared" si="3"/>
        <v>-6.0000000000000002E-6</v>
      </c>
      <c r="J60" s="4">
        <f t="shared" si="4"/>
        <v>73</v>
      </c>
    </row>
    <row r="61" spans="1:10" ht="15" customHeight="1" x14ac:dyDescent="0.25">
      <c r="A61" s="8">
        <f>IF(COUNT($J$2:$J$1501)&gt;=60,60,"")</f>
        <v>60</v>
      </c>
      <c r="B61" s="8" t="str">
        <f t="shared" si="0"/>
        <v>Mora Gilberto</v>
      </c>
      <c r="C61" s="8" t="str">
        <f t="shared" si="1"/>
        <v>Tijuana</v>
      </c>
      <c r="D61" s="8">
        <f t="shared" si="2"/>
        <v>0</v>
      </c>
      <c r="F61" s="4" t="str">
        <f>IF(Jugadores!B61="","",Jugadores!B61)</f>
        <v>Gonzalez Duran Hugo Alfonso</v>
      </c>
      <c r="G61" s="4" t="str">
        <f>IF(Jugadores!B61="","",Jugadores!A61)</f>
        <v>Toluca</v>
      </c>
      <c r="H61" s="4">
        <f>IF(F61="","",SUMIF('Estadísticas Jugadores'!$F$2:$F$7001,F61,'Estadísticas Jugadores'!$J$2:$J$7001))</f>
        <v>0</v>
      </c>
      <c r="I61" s="4">
        <f t="shared" si="3"/>
        <v>-6.1E-6</v>
      </c>
      <c r="J61" s="4">
        <f t="shared" si="4"/>
        <v>74</v>
      </c>
    </row>
    <row r="62" spans="1:10" ht="15" customHeight="1" x14ac:dyDescent="0.25">
      <c r="A62" s="8">
        <f>IF(COUNT($J$2:$J$1501)&gt;=61,61,"")</f>
        <v>61</v>
      </c>
      <c r="B62" s="8" t="str">
        <f t="shared" si="0"/>
        <v>Orduno Jesús</v>
      </c>
      <c r="C62" s="8" t="str">
        <f t="shared" si="1"/>
        <v>Tijuana</v>
      </c>
      <c r="D62" s="8">
        <f t="shared" si="2"/>
        <v>0</v>
      </c>
      <c r="F62" s="4" t="str">
        <f>IF(Jugadores!B62="","",Jugadores!B62)</f>
        <v>Aceves Sebastian</v>
      </c>
      <c r="G62" s="4" t="str">
        <f>IF(Jugadores!B62="","",Jugadores!A62)</f>
        <v>Toluca</v>
      </c>
      <c r="H62" s="4">
        <f>IF(F62="","",SUMIF('Estadísticas Jugadores'!$F$2:$F$7001,F62,'Estadísticas Jugadores'!$J$2:$J$7001))</f>
        <v>0</v>
      </c>
      <c r="I62" s="4">
        <f t="shared" si="3"/>
        <v>-6.1999999999999999E-6</v>
      </c>
      <c r="J62" s="4">
        <f t="shared" si="4"/>
        <v>75</v>
      </c>
    </row>
    <row r="63" spans="1:10" ht="15" customHeight="1" x14ac:dyDescent="0.25">
      <c r="A63" s="8">
        <f>IF(COUNT($J$2:$J$1501)&gt;=62,62,"")</f>
        <v>62</v>
      </c>
      <c r="B63" s="8" t="str">
        <f t="shared" si="0"/>
        <v>Padilla German</v>
      </c>
      <c r="C63" s="8" t="str">
        <f t="shared" si="1"/>
        <v>Tijuana</v>
      </c>
      <c r="D63" s="8">
        <f t="shared" si="2"/>
        <v>0</v>
      </c>
      <c r="F63" s="4" t="str">
        <f>IF(Jugadores!B63="","",Jugadores!B63)</f>
        <v>Barbosa Diego</v>
      </c>
      <c r="G63" s="4" t="str">
        <f>IF(Jugadores!B63="","",Jugadores!A63)</f>
        <v>Toluca</v>
      </c>
      <c r="H63" s="4">
        <f>IF(F63="","",SUMIF('Estadísticas Jugadores'!$F$2:$F$7001,F63,'Estadísticas Jugadores'!$J$2:$J$7001))</f>
        <v>0</v>
      </c>
      <c r="I63" s="4">
        <f t="shared" si="3"/>
        <v>-6.2999999999999998E-6</v>
      </c>
      <c r="J63" s="4">
        <f t="shared" si="4"/>
        <v>76</v>
      </c>
    </row>
    <row r="64" spans="1:10" ht="15" customHeight="1" x14ac:dyDescent="0.25">
      <c r="A64" s="8">
        <f>IF(COUNT($J$2:$J$1501)&gt;=63,63,"")</f>
        <v>63</v>
      </c>
      <c r="B64" s="8" t="str">
        <f t="shared" si="0"/>
        <v>Perez Aldahir</v>
      </c>
      <c r="C64" s="8" t="str">
        <f t="shared" si="1"/>
        <v>Tijuana</v>
      </c>
      <c r="D64" s="8">
        <f t="shared" si="2"/>
        <v>0</v>
      </c>
      <c r="F64" s="4" t="str">
        <f>IF(Jugadores!B64="","",Jugadores!B64)</f>
        <v>Briseno Antonio</v>
      </c>
      <c r="G64" s="4" t="str">
        <f>IF(Jugadores!B64="","",Jugadores!A64)</f>
        <v>Toluca</v>
      </c>
      <c r="H64" s="4">
        <f>IF(F64="","",SUMIF('Estadísticas Jugadores'!$F$2:$F$7001,F64,'Estadísticas Jugadores'!$J$2:$J$7001))</f>
        <v>0</v>
      </c>
      <c r="I64" s="4">
        <f t="shared" si="3"/>
        <v>-6.3999999999999997E-6</v>
      </c>
      <c r="J64" s="4">
        <f t="shared" si="4"/>
        <v>77</v>
      </c>
    </row>
    <row r="65" spans="1:10" ht="15" customHeight="1" x14ac:dyDescent="0.25">
      <c r="A65" s="8">
        <f>IF(COUNT($J$2:$J$1501)&gt;=64,64,"")</f>
        <v>64</v>
      </c>
      <c r="B65" s="8" t="str">
        <f t="shared" si="0"/>
        <v>Preciado Quintero Adonis Stalin</v>
      </c>
      <c r="C65" s="8" t="str">
        <f t="shared" si="1"/>
        <v>Tijuana</v>
      </c>
      <c r="D65" s="8">
        <f t="shared" si="2"/>
        <v>0</v>
      </c>
      <c r="F65" s="4" t="str">
        <f>IF(Jugadores!B65="","",Jugadores!B65)</f>
        <v>Bruno Méndez</v>
      </c>
      <c r="G65" s="4" t="str">
        <f>IF(Jugadores!B65="","",Jugadores!A65)</f>
        <v>Toluca</v>
      </c>
      <c r="H65" s="4">
        <f>IF(F65="","",SUMIF('Estadísticas Jugadores'!$F$2:$F$7001,F65,'Estadísticas Jugadores'!$J$2:$J$7001))</f>
        <v>0</v>
      </c>
      <c r="I65" s="4">
        <f t="shared" si="3"/>
        <v>-6.4999999999999996E-6</v>
      </c>
      <c r="J65" s="4">
        <f t="shared" si="4"/>
        <v>78</v>
      </c>
    </row>
    <row r="66" spans="1:10" ht="15" customHeight="1" x14ac:dyDescent="0.25">
      <c r="A66" s="8">
        <f>IF(COUNT($J$2:$J$1501)&gt;=65,65,"")</f>
        <v>65</v>
      </c>
      <c r="B66" s="8" t="str">
        <f t="shared" ref="B66:B129" si="5">IF($A66="","",INDEX($F$2:$F$1501,MATCH($A66,$J$2:$J$1501,0)))</f>
        <v>Rivero Ignacio</v>
      </c>
      <c r="C66" s="8" t="str">
        <f t="shared" ref="C66:C129" si="6">IF($A66="","",INDEX($G$2:$G$1501,MATCH($A66,$J$2:$J$1501,0)))</f>
        <v>Tijuana</v>
      </c>
      <c r="D66" s="8">
        <f t="shared" ref="D66:D129" si="7">IF($A66="","",INDEX($H$2:$H$1501,MATCH($A66,$J$2:$J$1501,0)))</f>
        <v>0</v>
      </c>
      <c r="F66" s="4" t="str">
        <f>IF(Jugadores!B66="","",Jugadores!B66)</f>
        <v>Gallardo Jesus</v>
      </c>
      <c r="G66" s="4" t="str">
        <f>IF(Jugadores!B66="","",Jugadores!A66)</f>
        <v>Toluca</v>
      </c>
      <c r="H66" s="4">
        <f>IF(F66="","",SUMIF('Estadísticas Jugadores'!$F$2:$F$7001,F66,'Estadísticas Jugadores'!$J$2:$J$7001))</f>
        <v>0</v>
      </c>
      <c r="I66" s="4">
        <f t="shared" ref="I66:I129" si="8">IF(F66="","",H66*1000-ROW()*0.0000001)</f>
        <v>-6.5999999999999995E-6</v>
      </c>
      <c r="J66" s="4">
        <f t="shared" ref="J66:J129" si="9">IF(F66="","",RANK(I66,$I$2:$I$1501))</f>
        <v>79</v>
      </c>
    </row>
    <row r="67" spans="1:10" ht="15" customHeight="1" x14ac:dyDescent="0.25">
      <c r="A67" s="8">
        <f>IF(COUNT($J$2:$J$1501)&gt;=66,66,"")</f>
        <v>66</v>
      </c>
      <c r="B67" s="8" t="str">
        <f t="shared" si="5"/>
        <v>Tona Ivan</v>
      </c>
      <c r="C67" s="8" t="str">
        <f t="shared" si="6"/>
        <v>Tijuana</v>
      </c>
      <c r="D67" s="8">
        <f t="shared" si="7"/>
        <v>0</v>
      </c>
      <c r="F67" s="4" t="str">
        <f>IF(Jugadores!B67="","",Jugadores!B67)</f>
        <v>Garcia Caprizo Brian Alberto</v>
      </c>
      <c r="G67" s="4" t="str">
        <f>IF(Jugadores!B67="","",Jugadores!A67)</f>
        <v>Toluca</v>
      </c>
      <c r="H67" s="4">
        <f>IF(F67="","",SUMIF('Estadísticas Jugadores'!$F$2:$F$7001,F67,'Estadísticas Jugadores'!$J$2:$J$7001))</f>
        <v>0</v>
      </c>
      <c r="I67" s="4">
        <f t="shared" si="8"/>
        <v>-6.6999999999999994E-6</v>
      </c>
      <c r="J67" s="4">
        <f t="shared" si="9"/>
        <v>80</v>
      </c>
    </row>
    <row r="68" spans="1:10" ht="15" customHeight="1" x14ac:dyDescent="0.25">
      <c r="A68" s="8">
        <f>IF(COUNT($J$2:$J$1501)&gt;=67,67,"")</f>
        <v>67</v>
      </c>
      <c r="B68" s="8" t="str">
        <f t="shared" si="5"/>
        <v>Zapata Angel</v>
      </c>
      <c r="C68" s="8" t="str">
        <f t="shared" si="6"/>
        <v>Tijuana</v>
      </c>
      <c r="D68" s="8">
        <f t="shared" si="7"/>
        <v>0</v>
      </c>
      <c r="F68" s="4" t="str">
        <f>IF(Jugadores!B68="","",Jugadores!B68)</f>
        <v>Luan</v>
      </c>
      <c r="G68" s="4" t="str">
        <f>IF(Jugadores!B68="","",Jugadores!A68)</f>
        <v>Toluca</v>
      </c>
      <c r="H68" s="4">
        <f>IF(F68="","",SUMIF('Estadísticas Jugadores'!$F$2:$F$7001,F68,'Estadísticas Jugadores'!$J$2:$J$7001))</f>
        <v>0</v>
      </c>
      <c r="I68" s="4">
        <f t="shared" si="8"/>
        <v>-6.7999999999999993E-6</v>
      </c>
      <c r="J68" s="4">
        <f t="shared" si="9"/>
        <v>81</v>
      </c>
    </row>
    <row r="69" spans="1:10" ht="15" customHeight="1" x14ac:dyDescent="0.25">
      <c r="A69" s="8">
        <f>IF(COUNT($J$2:$J$1501)&gt;=68,68,"")</f>
        <v>68</v>
      </c>
      <c r="B69" s="8" t="str">
        <f t="shared" si="5"/>
        <v>Abreu Diego</v>
      </c>
      <c r="C69" s="8" t="str">
        <f t="shared" si="6"/>
        <v>Tijuana</v>
      </c>
      <c r="D69" s="8">
        <f t="shared" si="7"/>
        <v>0</v>
      </c>
      <c r="F69" s="4" t="str">
        <f>IF(Jugadores!B69="","",Jugadores!B69)</f>
        <v>Orta Erick</v>
      </c>
      <c r="G69" s="4" t="str">
        <f>IF(Jugadores!B69="","",Jugadores!A69)</f>
        <v>Toluca</v>
      </c>
      <c r="H69" s="4">
        <f>IF(F69="","",SUMIF('Estadísticas Jugadores'!$F$2:$F$7001,F69,'Estadísticas Jugadores'!$J$2:$J$7001))</f>
        <v>0</v>
      </c>
      <c r="I69" s="4">
        <f t="shared" si="8"/>
        <v>-6.9E-6</v>
      </c>
      <c r="J69" s="4">
        <f t="shared" si="9"/>
        <v>82</v>
      </c>
    </row>
    <row r="70" spans="1:10" ht="15" customHeight="1" x14ac:dyDescent="0.25">
      <c r="A70" s="8">
        <f>IF(COUNT($J$2:$J$1501)&gt;=69,69,"")</f>
        <v>69</v>
      </c>
      <c r="B70" s="8" t="str">
        <f t="shared" si="5"/>
        <v>El Ghezouani Mourad</v>
      </c>
      <c r="C70" s="8" t="str">
        <f t="shared" si="6"/>
        <v>Tijuana</v>
      </c>
      <c r="D70" s="8">
        <f t="shared" si="7"/>
        <v>0</v>
      </c>
      <c r="F70" s="4" t="str">
        <f>IF(Jugadores!B70="","",Jugadores!B70)</f>
        <v>Pereira Federico</v>
      </c>
      <c r="G70" s="4" t="str">
        <f>IF(Jugadores!B70="","",Jugadores!A70)</f>
        <v>Toluca</v>
      </c>
      <c r="H70" s="4">
        <f>IF(F70="","",SUMIF('Estadísticas Jugadores'!$F$2:$F$7001,F70,'Estadísticas Jugadores'!$J$2:$J$7001))</f>
        <v>0</v>
      </c>
      <c r="I70" s="4">
        <f t="shared" si="8"/>
        <v>-6.9999999999999999E-6</v>
      </c>
      <c r="J70" s="4">
        <f t="shared" si="9"/>
        <v>83</v>
      </c>
    </row>
    <row r="71" spans="1:10" ht="15" customHeight="1" x14ac:dyDescent="0.25">
      <c r="A71" s="8">
        <f>IF(COUNT($J$2:$J$1501)&gt;=70,70,"")</f>
        <v>70</v>
      </c>
      <c r="B71" s="8" t="str">
        <f t="shared" si="5"/>
        <v>Leyva Christian</v>
      </c>
      <c r="C71" s="8" t="str">
        <f t="shared" si="6"/>
        <v>Tijuana</v>
      </c>
      <c r="D71" s="8">
        <f t="shared" si="7"/>
        <v>0</v>
      </c>
      <c r="F71" s="4" t="str">
        <f>IF(Jugadores!B71="","",Jugadores!B71)</f>
        <v>Simon Santiago</v>
      </c>
      <c r="G71" s="4" t="str">
        <f>IF(Jugadores!B71="","",Jugadores!A71)</f>
        <v>Toluca</v>
      </c>
      <c r="H71" s="4">
        <f>IF(F71="","",SUMIF('Estadísticas Jugadores'!$F$2:$F$7001,F71,'Estadísticas Jugadores'!$J$2:$J$7001))</f>
        <v>0</v>
      </c>
      <c r="I71" s="4">
        <f t="shared" si="8"/>
        <v>-7.0999999999999998E-6</v>
      </c>
      <c r="J71" s="4">
        <f t="shared" si="9"/>
        <v>84</v>
      </c>
    </row>
    <row r="72" spans="1:10" ht="15" customHeight="1" x14ac:dyDescent="0.25">
      <c r="A72" s="8">
        <f>IF(COUNT($J$2:$J$1501)&gt;=71,71,"")</f>
        <v>71</v>
      </c>
      <c r="B72" s="8" t="str">
        <f t="shared" si="5"/>
        <v>Magallon Alejandro</v>
      </c>
      <c r="C72" s="8" t="str">
        <f t="shared" si="6"/>
        <v>Tijuana</v>
      </c>
      <c r="D72" s="8">
        <f t="shared" si="7"/>
        <v>0</v>
      </c>
      <c r="F72" s="4" t="str">
        <f>IF(Jugadores!B72="","",Jugadores!B72)</f>
        <v>del Villar Everardo</v>
      </c>
      <c r="G72" s="4" t="str">
        <f>IF(Jugadores!B72="","",Jugadores!A72)</f>
        <v>Toluca</v>
      </c>
      <c r="H72" s="4">
        <f>IF(F72="","",SUMIF('Estadísticas Jugadores'!$F$2:$F$7001,F72,'Estadísticas Jugadores'!$J$2:$J$7001))</f>
        <v>0</v>
      </c>
      <c r="I72" s="4">
        <f t="shared" si="8"/>
        <v>-7.1999999999999997E-6</v>
      </c>
      <c r="J72" s="4">
        <f t="shared" si="9"/>
        <v>85</v>
      </c>
    </row>
    <row r="73" spans="1:10" ht="15" customHeight="1" x14ac:dyDescent="0.25">
      <c r="A73" s="8">
        <f>IF(COUNT($J$2:$J$1501)&gt;=72,72,"")</f>
        <v>72</v>
      </c>
      <c r="B73" s="8" t="str">
        <f t="shared" si="5"/>
        <v>Martinez Josef</v>
      </c>
      <c r="C73" s="8" t="str">
        <f t="shared" si="6"/>
        <v>Tijuana</v>
      </c>
      <c r="D73" s="8">
        <f t="shared" si="7"/>
        <v>0</v>
      </c>
      <c r="F73" s="4" t="str">
        <f>IF(Jugadores!B73="","",Jugadores!B73)</f>
        <v>Angulo Jesus</v>
      </c>
      <c r="G73" s="4" t="str">
        <f>IF(Jugadores!B73="","",Jugadores!A73)</f>
        <v>Toluca</v>
      </c>
      <c r="H73" s="4">
        <f>IF(F73="","",SUMIF('Estadísticas Jugadores'!$F$2:$F$7001,F73,'Estadísticas Jugadores'!$J$2:$J$7001))</f>
        <v>0</v>
      </c>
      <c r="I73" s="4">
        <f t="shared" si="8"/>
        <v>-7.2999999999999996E-6</v>
      </c>
      <c r="J73" s="4">
        <f t="shared" si="9"/>
        <v>86</v>
      </c>
    </row>
    <row r="74" spans="1:10" ht="15" customHeight="1" x14ac:dyDescent="0.25">
      <c r="A74" s="8">
        <f>IF(COUNT($J$2:$J$1501)&gt;=73,73,"")</f>
        <v>73</v>
      </c>
      <c r="B74" s="8" t="str">
        <f t="shared" si="5"/>
        <v>Garcia Palomera Luis Manuel</v>
      </c>
      <c r="C74" s="8" t="str">
        <f t="shared" si="6"/>
        <v>Toluca</v>
      </c>
      <c r="D74" s="8">
        <f t="shared" si="7"/>
        <v>0</v>
      </c>
      <c r="F74" s="4" t="str">
        <f>IF(Jugadores!B74="","",Jugadores!B74)</f>
        <v>Arce Juarez Fernando David</v>
      </c>
      <c r="G74" s="4" t="str">
        <f>IF(Jugadores!B74="","",Jugadores!A74)</f>
        <v>Toluca</v>
      </c>
      <c r="H74" s="4">
        <f>IF(F74="","",SUMIF('Estadísticas Jugadores'!$F$2:$F$7001,F74,'Estadísticas Jugadores'!$J$2:$J$7001))</f>
        <v>0</v>
      </c>
      <c r="I74" s="4">
        <f t="shared" si="8"/>
        <v>-7.3999999999999995E-6</v>
      </c>
      <c r="J74" s="4">
        <f t="shared" si="9"/>
        <v>87</v>
      </c>
    </row>
    <row r="75" spans="1:10" ht="15" customHeight="1" x14ac:dyDescent="0.25">
      <c r="A75" s="8">
        <f>IF(COUNT($J$2:$J$1501)&gt;=74,74,"")</f>
        <v>74</v>
      </c>
      <c r="B75" s="8" t="str">
        <f t="shared" si="5"/>
        <v>Gonzalez Duran Hugo Alfonso</v>
      </c>
      <c r="C75" s="8" t="str">
        <f t="shared" si="6"/>
        <v>Toluca</v>
      </c>
      <c r="D75" s="8">
        <f t="shared" si="7"/>
        <v>0</v>
      </c>
      <c r="F75" s="4" t="str">
        <f>IF(Jugadores!B75="","",Jugadores!B75)</f>
        <v>Castro Nicolas</v>
      </c>
      <c r="G75" s="4" t="str">
        <f>IF(Jugadores!B75="","",Jugadores!A75)</f>
        <v>Toluca</v>
      </c>
      <c r="H75" s="4">
        <f>IF(F75="","",SUMIF('Estadísticas Jugadores'!$F$2:$F$7001,F75,'Estadísticas Jugadores'!$J$2:$J$7001))</f>
        <v>0</v>
      </c>
      <c r="I75" s="4">
        <f t="shared" si="8"/>
        <v>-7.4999999999999993E-6</v>
      </c>
      <c r="J75" s="4">
        <f t="shared" si="9"/>
        <v>88</v>
      </c>
    </row>
    <row r="76" spans="1:10" ht="15" customHeight="1" x14ac:dyDescent="0.25">
      <c r="A76" s="8">
        <f>IF(COUNT($J$2:$J$1501)&gt;=75,75,"")</f>
        <v>75</v>
      </c>
      <c r="B76" s="8" t="str">
        <f t="shared" si="5"/>
        <v>Aceves Sebastian</v>
      </c>
      <c r="C76" s="8" t="str">
        <f t="shared" si="6"/>
        <v>Toluca</v>
      </c>
      <c r="D76" s="8">
        <f t="shared" si="7"/>
        <v>0</v>
      </c>
      <c r="F76" s="4" t="str">
        <f>IF(Jugadores!B76="","",Jugadores!B76)</f>
        <v>Gutiérrez Érick</v>
      </c>
      <c r="G76" s="4" t="str">
        <f>IF(Jugadores!B76="","",Jugadores!A76)</f>
        <v>Toluca</v>
      </c>
      <c r="H76" s="4">
        <f>IF(F76="","",SUMIF('Estadísticas Jugadores'!$F$2:$F$7001,F76,'Estadísticas Jugadores'!$J$2:$J$7001))</f>
        <v>0</v>
      </c>
      <c r="I76" s="4">
        <f t="shared" si="8"/>
        <v>-7.6000000000000001E-6</v>
      </c>
      <c r="J76" s="4">
        <f t="shared" si="9"/>
        <v>89</v>
      </c>
    </row>
    <row r="77" spans="1:10" ht="15" customHeight="1" x14ac:dyDescent="0.25">
      <c r="A77" s="8">
        <f>IF(COUNT($J$2:$J$1501)&gt;=76,76,"")</f>
        <v>76</v>
      </c>
      <c r="B77" s="8" t="str">
        <f t="shared" si="5"/>
        <v>Barbosa Diego</v>
      </c>
      <c r="C77" s="8" t="str">
        <f t="shared" si="6"/>
        <v>Toluca</v>
      </c>
      <c r="D77" s="8">
        <f t="shared" si="7"/>
        <v>0</v>
      </c>
      <c r="F77" s="4" t="str">
        <f>IF(Jugadores!B77="","",Jugadores!B77)</f>
        <v>Guzmán Víctor Alfonso</v>
      </c>
      <c r="G77" s="4" t="str">
        <f>IF(Jugadores!B77="","",Jugadores!A77)</f>
        <v>Toluca</v>
      </c>
      <c r="H77" s="4">
        <f>IF(F77="","",SUMIF('Estadísticas Jugadores'!$F$2:$F$7001,F77,'Estadísticas Jugadores'!$J$2:$J$7001))</f>
        <v>0</v>
      </c>
      <c r="I77" s="4">
        <f t="shared" si="8"/>
        <v>-7.6999999999999991E-6</v>
      </c>
      <c r="J77" s="4">
        <f t="shared" si="9"/>
        <v>90</v>
      </c>
    </row>
    <row r="78" spans="1:10" ht="15" customHeight="1" x14ac:dyDescent="0.25">
      <c r="A78" s="8">
        <f>IF(COUNT($J$2:$J$1501)&gt;=77,77,"")</f>
        <v>77</v>
      </c>
      <c r="B78" s="8" t="str">
        <f t="shared" si="5"/>
        <v>Briseno Antonio</v>
      </c>
      <c r="C78" s="8" t="str">
        <f t="shared" si="6"/>
        <v>Toluca</v>
      </c>
      <c r="D78" s="8">
        <f t="shared" si="7"/>
        <v>0</v>
      </c>
      <c r="F78" s="4" t="str">
        <f>IF(Jugadores!B78="","",Jugadores!B78)</f>
        <v>Navarrete Luis</v>
      </c>
      <c r="G78" s="4" t="str">
        <f>IF(Jugadores!B78="","",Jugadores!A78)</f>
        <v>Toluca</v>
      </c>
      <c r="H78" s="4">
        <f>IF(F78="","",SUMIF('Estadísticas Jugadores'!$F$2:$F$7001,F78,'Estadísticas Jugadores'!$J$2:$J$7001))</f>
        <v>0</v>
      </c>
      <c r="I78" s="4">
        <f t="shared" si="8"/>
        <v>-7.7999999999999999E-6</v>
      </c>
      <c r="J78" s="4">
        <f t="shared" si="9"/>
        <v>91</v>
      </c>
    </row>
    <row r="79" spans="1:10" ht="15" customHeight="1" x14ac:dyDescent="0.25">
      <c r="A79" s="8">
        <f>IF(COUNT($J$2:$J$1501)&gt;=78,78,"")</f>
        <v>78</v>
      </c>
      <c r="B79" s="8" t="str">
        <f t="shared" si="5"/>
        <v>Bruno Méndez</v>
      </c>
      <c r="C79" s="8" t="str">
        <f t="shared" si="6"/>
        <v>Toluca</v>
      </c>
      <c r="D79" s="8">
        <f t="shared" si="7"/>
        <v>0</v>
      </c>
      <c r="F79" s="4" t="str">
        <f>IF(Jugadores!B79="","",Jugadores!B79)</f>
        <v>Romero Franco</v>
      </c>
      <c r="G79" s="4" t="str">
        <f>IF(Jugadores!B79="","",Jugadores!A79)</f>
        <v>Toluca</v>
      </c>
      <c r="H79" s="4">
        <f>IF(F79="","",SUMIF('Estadísticas Jugadores'!$F$2:$F$7001,F79,'Estadísticas Jugadores'!$J$2:$J$7001))</f>
        <v>0</v>
      </c>
      <c r="I79" s="4">
        <f t="shared" si="8"/>
        <v>-7.8999999999999989E-6</v>
      </c>
      <c r="J79" s="4">
        <f t="shared" si="9"/>
        <v>92</v>
      </c>
    </row>
    <row r="80" spans="1:10" ht="15" customHeight="1" x14ac:dyDescent="0.25">
      <c r="A80" s="8">
        <f>IF(COUNT($J$2:$J$1501)&gt;=79,79,"")</f>
        <v>79</v>
      </c>
      <c r="B80" s="8" t="str">
        <f t="shared" si="5"/>
        <v>Gallardo Jesus</v>
      </c>
      <c r="C80" s="8" t="str">
        <f t="shared" si="6"/>
        <v>Toluca</v>
      </c>
      <c r="D80" s="8">
        <f t="shared" si="7"/>
        <v>0</v>
      </c>
      <c r="F80" s="4" t="str">
        <f>IF(Jugadores!B80="","",Jugadores!B80)</f>
        <v>Ruiz Marcel</v>
      </c>
      <c r="G80" s="4" t="str">
        <f>IF(Jugadores!B80="","",Jugadores!A80)</f>
        <v>Toluca</v>
      </c>
      <c r="H80" s="4">
        <f>IF(F80="","",SUMIF('Estadísticas Jugadores'!$F$2:$F$7001,F80,'Estadísticas Jugadores'!$J$2:$J$7001))</f>
        <v>0</v>
      </c>
      <c r="I80" s="4">
        <f t="shared" si="8"/>
        <v>-7.9999999999999996E-6</v>
      </c>
      <c r="J80" s="4">
        <f t="shared" si="9"/>
        <v>93</v>
      </c>
    </row>
    <row r="81" spans="1:10" ht="15" customHeight="1" x14ac:dyDescent="0.25">
      <c r="A81" s="8">
        <f>IF(COUNT($J$2:$J$1501)&gt;=80,80,"")</f>
        <v>80</v>
      </c>
      <c r="B81" s="8" t="str">
        <f t="shared" si="5"/>
        <v>Garcia Caprizo Brian Alberto</v>
      </c>
      <c r="C81" s="8" t="str">
        <f t="shared" si="6"/>
        <v>Toluca</v>
      </c>
      <c r="D81" s="8">
        <f t="shared" si="7"/>
        <v>0</v>
      </c>
      <c r="F81" s="4" t="str">
        <f>IF(Jugadores!B81="","",Jugadores!B81)</f>
        <v>Alvarez Alek</v>
      </c>
      <c r="G81" s="4" t="str">
        <f>IF(Jugadores!B81="","",Jugadores!A81)</f>
        <v>Toluca</v>
      </c>
      <c r="H81" s="4">
        <f>IF(F81="","",SUMIF('Estadísticas Jugadores'!$F$2:$F$7001,F81,'Estadísticas Jugadores'!$J$2:$J$7001))</f>
        <v>0</v>
      </c>
      <c r="I81" s="4">
        <f t="shared" si="8"/>
        <v>-8.1000000000000004E-6</v>
      </c>
      <c r="J81" s="4">
        <f t="shared" si="9"/>
        <v>94</v>
      </c>
    </row>
    <row r="82" spans="1:10" ht="15" customHeight="1" x14ac:dyDescent="0.25">
      <c r="A82" s="8">
        <f>IF(COUNT($J$2:$J$1501)&gt;=81,81,"")</f>
        <v>81</v>
      </c>
      <c r="B82" s="8" t="str">
        <f t="shared" si="5"/>
        <v>Luan</v>
      </c>
      <c r="C82" s="8" t="str">
        <f t="shared" si="6"/>
        <v>Toluca</v>
      </c>
      <c r="D82" s="8">
        <f t="shared" si="7"/>
        <v>0</v>
      </c>
      <c r="F82" s="4" t="str">
        <f>IF(Jugadores!B82="","",Jugadores!B82)</f>
        <v>Carrillo Carlos</v>
      </c>
      <c r="G82" s="4" t="str">
        <f>IF(Jugadores!B82="","",Jugadores!A82)</f>
        <v>Toluca</v>
      </c>
      <c r="H82" s="4">
        <f>IF(F82="","",SUMIF('Estadísticas Jugadores'!$F$2:$F$7001,F82,'Estadísticas Jugadores'!$J$2:$J$7001))</f>
        <v>0</v>
      </c>
      <c r="I82" s="4">
        <f t="shared" si="8"/>
        <v>-8.1999999999999994E-6</v>
      </c>
      <c r="J82" s="4">
        <f t="shared" si="9"/>
        <v>95</v>
      </c>
    </row>
    <row r="83" spans="1:10" ht="15" customHeight="1" x14ac:dyDescent="0.25">
      <c r="A83" s="8">
        <f>IF(COUNT($J$2:$J$1501)&gt;=82,82,"")</f>
        <v>82</v>
      </c>
      <c r="B83" s="8" t="str">
        <f t="shared" si="5"/>
        <v>Orta Erick</v>
      </c>
      <c r="C83" s="8" t="str">
        <f t="shared" si="6"/>
        <v>Toluca</v>
      </c>
      <c r="D83" s="8">
        <f t="shared" si="7"/>
        <v>0</v>
      </c>
      <c r="F83" s="4" t="str">
        <f>IF(Jugadores!B83="","",Jugadores!B83)</f>
        <v>Diaz Price Jorge</v>
      </c>
      <c r="G83" s="4" t="str">
        <f>IF(Jugadores!B83="","",Jugadores!A83)</f>
        <v>Toluca</v>
      </c>
      <c r="H83" s="4">
        <f>IF(F83="","",SUMIF('Estadísticas Jugadores'!$F$2:$F$7001,F83,'Estadísticas Jugadores'!$J$2:$J$7001))</f>
        <v>0</v>
      </c>
      <c r="I83" s="4">
        <f t="shared" si="8"/>
        <v>-8.3000000000000002E-6</v>
      </c>
      <c r="J83" s="4">
        <f t="shared" si="9"/>
        <v>96</v>
      </c>
    </row>
    <row r="84" spans="1:10" ht="15" customHeight="1" x14ac:dyDescent="0.25">
      <c r="A84" s="8">
        <f>IF(COUNT($J$2:$J$1501)&gt;=83,83,"")</f>
        <v>83</v>
      </c>
      <c r="B84" s="8" t="str">
        <f t="shared" si="5"/>
        <v>Pereira Federico</v>
      </c>
      <c r="C84" s="8" t="str">
        <f t="shared" si="6"/>
        <v>Toluca</v>
      </c>
      <c r="D84" s="8">
        <f t="shared" si="7"/>
        <v>0</v>
      </c>
      <c r="F84" s="4" t="str">
        <f>IF(Jugadores!B84="","",Jugadores!B84)</f>
        <v>Estrada Jose</v>
      </c>
      <c r="G84" s="4" t="str">
        <f>IF(Jugadores!B84="","",Jugadores!A84)</f>
        <v>Toluca</v>
      </c>
      <c r="H84" s="4">
        <f>IF(F84="","",SUMIF('Estadísticas Jugadores'!$F$2:$F$7001,F84,'Estadísticas Jugadores'!$J$2:$J$7001))</f>
        <v>0</v>
      </c>
      <c r="I84" s="4">
        <f t="shared" si="8"/>
        <v>-8.3999999999999992E-6</v>
      </c>
      <c r="J84" s="4">
        <f t="shared" si="9"/>
        <v>97</v>
      </c>
    </row>
    <row r="85" spans="1:10" ht="15" customHeight="1" x14ac:dyDescent="0.25">
      <c r="A85" s="8">
        <f>IF(COUNT($J$2:$J$1501)&gt;=84,84,"")</f>
        <v>84</v>
      </c>
      <c r="B85" s="8" t="str">
        <f t="shared" si="5"/>
        <v>Simon Santiago</v>
      </c>
      <c r="C85" s="8" t="str">
        <f t="shared" si="6"/>
        <v>Toluca</v>
      </c>
      <c r="D85" s="8">
        <f t="shared" si="7"/>
        <v>0</v>
      </c>
      <c r="F85" s="4" t="str">
        <f>IF(Jugadores!B85="","",Jugadores!B85)</f>
        <v>Helinho</v>
      </c>
      <c r="G85" s="4" t="str">
        <f>IF(Jugadores!B85="","",Jugadores!A85)</f>
        <v>Toluca</v>
      </c>
      <c r="H85" s="4">
        <f>IF(F85="","",SUMIF('Estadísticas Jugadores'!$F$2:$F$7001,F85,'Estadísticas Jugadores'!$J$2:$J$7001))</f>
        <v>1</v>
      </c>
      <c r="I85" s="4">
        <f t="shared" si="8"/>
        <v>999.99999149999996</v>
      </c>
      <c r="J85" s="4">
        <f t="shared" si="9"/>
        <v>4</v>
      </c>
    </row>
    <row r="86" spans="1:10" ht="15" customHeight="1" x14ac:dyDescent="0.25">
      <c r="A86" s="8">
        <f>IF(COUNT($J$2:$J$1501)&gt;=85,85,"")</f>
        <v>85</v>
      </c>
      <c r="B86" s="8" t="str">
        <f t="shared" si="5"/>
        <v>del Villar Everardo</v>
      </c>
      <c r="C86" s="8" t="str">
        <f t="shared" si="6"/>
        <v>Toluca</v>
      </c>
      <c r="D86" s="8">
        <f t="shared" si="7"/>
        <v>0</v>
      </c>
      <c r="F86" s="4" t="str">
        <f>IF(Jugadores!B86="","",Jugadores!B86)</f>
        <v>Paulinho</v>
      </c>
      <c r="G86" s="4" t="str">
        <f>IF(Jugadores!B86="","",Jugadores!A86)</f>
        <v>Toluca</v>
      </c>
      <c r="H86" s="4">
        <f>IF(F86="","",SUMIF('Estadísticas Jugadores'!$F$2:$F$7001,F86,'Estadísticas Jugadores'!$J$2:$J$7001))</f>
        <v>0</v>
      </c>
      <c r="I86" s="4">
        <f t="shared" si="8"/>
        <v>-8.599999999999999E-6</v>
      </c>
      <c r="J86" s="4">
        <f t="shared" si="9"/>
        <v>98</v>
      </c>
    </row>
    <row r="87" spans="1:10" ht="15" customHeight="1" x14ac:dyDescent="0.25">
      <c r="A87" s="8">
        <f>IF(COUNT($J$2:$J$1501)&gt;=86,86,"")</f>
        <v>86</v>
      </c>
      <c r="B87" s="8" t="str">
        <f t="shared" si="5"/>
        <v>Angulo Jesus</v>
      </c>
      <c r="C87" s="8" t="str">
        <f t="shared" si="6"/>
        <v>Toluca</v>
      </c>
      <c r="D87" s="8">
        <f t="shared" si="7"/>
        <v>0</v>
      </c>
      <c r="F87" s="4" t="str">
        <f>IF(Jugadores!B87="","",Jugadores!B87)</f>
        <v>Pérez Pavel</v>
      </c>
      <c r="G87" s="4" t="str">
        <f>IF(Jugadores!B87="","",Jugadores!A87)</f>
        <v>Toluca</v>
      </c>
      <c r="H87" s="4">
        <f>IF(F87="","",SUMIF('Estadísticas Jugadores'!$F$2:$F$7001,F87,'Estadísticas Jugadores'!$J$2:$J$7001))</f>
        <v>0</v>
      </c>
      <c r="I87" s="4">
        <f t="shared" si="8"/>
        <v>-8.6999999999999997E-6</v>
      </c>
      <c r="J87" s="4">
        <f t="shared" si="9"/>
        <v>99</v>
      </c>
    </row>
    <row r="88" spans="1:10" ht="15" customHeight="1" x14ac:dyDescent="0.25">
      <c r="A88" s="8">
        <f>IF(COUNT($J$2:$J$1501)&gt;=87,87,"")</f>
        <v>87</v>
      </c>
      <c r="B88" s="8" t="str">
        <f t="shared" si="5"/>
        <v>Arce Juarez Fernando David</v>
      </c>
      <c r="C88" s="8" t="str">
        <f t="shared" si="6"/>
        <v>Toluca</v>
      </c>
      <c r="D88" s="8">
        <f t="shared" si="7"/>
        <v>0</v>
      </c>
      <c r="F88" s="4" t="str">
        <f>IF(Jugadores!B88="","",Jugadores!B88)</f>
        <v>Rossi Franco</v>
      </c>
      <c r="G88" s="4" t="str">
        <f>IF(Jugadores!B88="","",Jugadores!A88)</f>
        <v>Toluca</v>
      </c>
      <c r="H88" s="4">
        <f>IF(F88="","",SUMIF('Estadísticas Jugadores'!$F$2:$F$7001,F88,'Estadísticas Jugadores'!$J$2:$J$7001))</f>
        <v>0</v>
      </c>
      <c r="I88" s="4">
        <f t="shared" si="8"/>
        <v>-8.8000000000000004E-6</v>
      </c>
      <c r="J88" s="4">
        <f t="shared" si="9"/>
        <v>100</v>
      </c>
    </row>
    <row r="89" spans="1:10" ht="15" customHeight="1" x14ac:dyDescent="0.25">
      <c r="A89" s="8">
        <f>IF(COUNT($J$2:$J$1501)&gt;=88,88,"")</f>
        <v>88</v>
      </c>
      <c r="B89" s="8" t="str">
        <f t="shared" si="5"/>
        <v>Castro Nicolas</v>
      </c>
      <c r="C89" s="8" t="str">
        <f t="shared" si="6"/>
        <v>Toluca</v>
      </c>
      <c r="D89" s="8">
        <f t="shared" si="7"/>
        <v>0</v>
      </c>
      <c r="F89" s="4" t="str">
        <f>IF(Jugadores!B89="","",Jugadores!B89)</f>
        <v>Vega Alexis</v>
      </c>
      <c r="G89" s="4" t="str">
        <f>IF(Jugadores!B89="","",Jugadores!A89)</f>
        <v>Toluca</v>
      </c>
      <c r="H89" s="4">
        <f>IF(F89="","",SUMIF('Estadísticas Jugadores'!$F$2:$F$7001,F89,'Estadísticas Jugadores'!$J$2:$J$7001))</f>
        <v>0</v>
      </c>
      <c r="I89" s="4">
        <f t="shared" si="8"/>
        <v>-8.8999999999999995E-6</v>
      </c>
      <c r="J89" s="4">
        <f t="shared" si="9"/>
        <v>101</v>
      </c>
    </row>
    <row r="90" spans="1:10" ht="15" customHeight="1" x14ac:dyDescent="0.25">
      <c r="A90" s="8">
        <f>IF(COUNT($J$2:$J$1501)&gt;=89,89,"")</f>
        <v>89</v>
      </c>
      <c r="B90" s="8" t="str">
        <f t="shared" si="5"/>
        <v>Gutiérrez Érick</v>
      </c>
      <c r="C90" s="8" t="str">
        <f t="shared" si="6"/>
        <v>Toluca</v>
      </c>
      <c r="D90" s="8">
        <f t="shared" si="7"/>
        <v>0</v>
      </c>
      <c r="F90" s="4" t="str">
        <f>IF(Jugadores!B90="","",Jugadores!B90)</f>
        <v>Virgen Oswaldo</v>
      </c>
      <c r="G90" s="4" t="str">
        <f>IF(Jugadores!B90="","",Jugadores!A90)</f>
        <v>Toluca</v>
      </c>
      <c r="H90" s="4">
        <f>IF(F90="","",SUMIF('Estadísticas Jugadores'!$F$2:$F$7001,F90,'Estadísticas Jugadores'!$J$2:$J$7001))</f>
        <v>0</v>
      </c>
      <c r="I90" s="4">
        <f t="shared" si="8"/>
        <v>-9.0000000000000002E-6</v>
      </c>
      <c r="J90" s="4">
        <f t="shared" si="9"/>
        <v>102</v>
      </c>
    </row>
    <row r="91" spans="1:10" ht="15" customHeight="1" x14ac:dyDescent="0.25">
      <c r="A91" s="8">
        <f>IF(COUNT($J$2:$J$1501)&gt;=90,90,"")</f>
        <v>90</v>
      </c>
      <c r="B91" s="8" t="str">
        <f t="shared" si="5"/>
        <v>Guzmán Víctor Alfonso</v>
      </c>
      <c r="C91" s="8" t="str">
        <f t="shared" si="6"/>
        <v>Toluca</v>
      </c>
      <c r="D91" s="8">
        <f t="shared" si="7"/>
        <v>0</v>
      </c>
      <c r="F91" s="4" t="str">
        <f>IF(Jugadores!B91="","",Jugadores!B91)</f>
        <v>Cardenas Luis</v>
      </c>
      <c r="G91" s="4" t="str">
        <f>IF(Jugadores!B91="","",Jugadores!A91)</f>
        <v>Monterrey</v>
      </c>
      <c r="H91" s="4">
        <f>IF(F91="","",SUMIF('Estadísticas Jugadores'!$F$2:$F$7001,F91,'Estadísticas Jugadores'!$J$2:$J$7001))</f>
        <v>0</v>
      </c>
      <c r="I91" s="4">
        <f t="shared" si="8"/>
        <v>-9.0999999999999993E-6</v>
      </c>
      <c r="J91" s="4">
        <f t="shared" si="9"/>
        <v>103</v>
      </c>
    </row>
    <row r="92" spans="1:10" ht="15" customHeight="1" x14ac:dyDescent="0.25">
      <c r="A92" s="8">
        <f>IF(COUNT($J$2:$J$1501)&gt;=91,91,"")</f>
        <v>91</v>
      </c>
      <c r="B92" s="8" t="str">
        <f t="shared" si="5"/>
        <v>Navarrete Luis</v>
      </c>
      <c r="C92" s="8" t="str">
        <f t="shared" si="6"/>
        <v>Toluca</v>
      </c>
      <c r="D92" s="8">
        <f t="shared" si="7"/>
        <v>0</v>
      </c>
      <c r="F92" s="4" t="str">
        <f>IF(Jugadores!B92="","",Jugadores!B92)</f>
        <v>Cuneo Kevin</v>
      </c>
      <c r="G92" s="4" t="str">
        <f>IF(Jugadores!B92="","",Jugadores!A92)</f>
        <v>Monterrey</v>
      </c>
      <c r="H92" s="4">
        <f>IF(F92="","",SUMIF('Estadísticas Jugadores'!$F$2:$F$7001,F92,'Estadísticas Jugadores'!$J$2:$J$7001))</f>
        <v>0</v>
      </c>
      <c r="I92" s="4">
        <f t="shared" si="8"/>
        <v>-9.2E-6</v>
      </c>
      <c r="J92" s="4">
        <f t="shared" si="9"/>
        <v>104</v>
      </c>
    </row>
    <row r="93" spans="1:10" ht="15" customHeight="1" x14ac:dyDescent="0.25">
      <c r="A93" s="8">
        <f>IF(COUNT($J$2:$J$1501)&gt;=92,92,"")</f>
        <v>92</v>
      </c>
      <c r="B93" s="8" t="str">
        <f t="shared" si="5"/>
        <v>Romero Franco</v>
      </c>
      <c r="C93" s="8" t="str">
        <f t="shared" si="6"/>
        <v>Toluca</v>
      </c>
      <c r="D93" s="8">
        <f t="shared" si="7"/>
        <v>0</v>
      </c>
      <c r="F93" s="4" t="str">
        <f>IF(Jugadores!B93="","",Jugadores!B93)</f>
        <v>Mele Santiago</v>
      </c>
      <c r="G93" s="4" t="str">
        <f>IF(Jugadores!B93="","",Jugadores!A93)</f>
        <v>Monterrey</v>
      </c>
      <c r="H93" s="4">
        <f>IF(F93="","",SUMIF('Estadísticas Jugadores'!$F$2:$F$7001,F93,'Estadísticas Jugadores'!$J$2:$J$7001))</f>
        <v>0</v>
      </c>
      <c r="I93" s="4">
        <f t="shared" si="8"/>
        <v>-9.299999999999999E-6</v>
      </c>
      <c r="J93" s="4">
        <f t="shared" si="9"/>
        <v>105</v>
      </c>
    </row>
    <row r="94" spans="1:10" ht="15" customHeight="1" x14ac:dyDescent="0.25">
      <c r="A94" s="8">
        <f>IF(COUNT($J$2:$J$1501)&gt;=93,93,"")</f>
        <v>93</v>
      </c>
      <c r="B94" s="8" t="str">
        <f t="shared" si="5"/>
        <v>Ruiz Marcel</v>
      </c>
      <c r="C94" s="8" t="str">
        <f t="shared" si="6"/>
        <v>Toluca</v>
      </c>
      <c r="D94" s="8">
        <f t="shared" si="7"/>
        <v>0</v>
      </c>
      <c r="F94" s="4" t="str">
        <f>IF(Jugadores!B94="","",Jugadores!B94)</f>
        <v>Perez Santiago</v>
      </c>
      <c r="G94" s="4" t="str">
        <f>IF(Jugadores!B94="","",Jugadores!A94)</f>
        <v>Monterrey</v>
      </c>
      <c r="H94" s="4">
        <f>IF(F94="","",SUMIF('Estadísticas Jugadores'!$F$2:$F$7001,F94,'Estadísticas Jugadores'!$J$2:$J$7001))</f>
        <v>0</v>
      </c>
      <c r="I94" s="4">
        <f t="shared" si="8"/>
        <v>-9.3999999999999998E-6</v>
      </c>
      <c r="J94" s="4">
        <f t="shared" si="9"/>
        <v>106</v>
      </c>
    </row>
    <row r="95" spans="1:10" ht="15" customHeight="1" x14ac:dyDescent="0.25">
      <c r="A95" s="8">
        <f>IF(COUNT($J$2:$J$1501)&gt;=94,94,"")</f>
        <v>94</v>
      </c>
      <c r="B95" s="8" t="str">
        <f t="shared" si="5"/>
        <v>Alvarez Alek</v>
      </c>
      <c r="C95" s="8" t="str">
        <f t="shared" si="6"/>
        <v>Toluca</v>
      </c>
      <c r="D95" s="8">
        <f t="shared" si="7"/>
        <v>0</v>
      </c>
      <c r="F95" s="4" t="str">
        <f>IF(Jugadores!B95="","",Jugadores!B95)</f>
        <v>Ramos Cesar</v>
      </c>
      <c r="G95" s="4" t="str">
        <f>IF(Jugadores!B95="","",Jugadores!A95)</f>
        <v>Monterrey</v>
      </c>
      <c r="H95" s="4">
        <f>IF(F95="","",SUMIF('Estadísticas Jugadores'!$F$2:$F$7001,F95,'Estadísticas Jugadores'!$J$2:$J$7001))</f>
        <v>0</v>
      </c>
      <c r="I95" s="4">
        <f t="shared" si="8"/>
        <v>-9.4999999999999988E-6</v>
      </c>
      <c r="J95" s="4">
        <f t="shared" si="9"/>
        <v>107</v>
      </c>
    </row>
    <row r="96" spans="1:10" ht="15" customHeight="1" x14ac:dyDescent="0.25">
      <c r="A96" s="8">
        <f>IF(COUNT($J$2:$J$1501)&gt;=95,95,"")</f>
        <v>95</v>
      </c>
      <c r="B96" s="8" t="str">
        <f t="shared" si="5"/>
        <v>Carrillo Carlos</v>
      </c>
      <c r="C96" s="8" t="str">
        <f t="shared" si="6"/>
        <v>Toluca</v>
      </c>
      <c r="D96" s="8">
        <f t="shared" si="7"/>
        <v>0</v>
      </c>
      <c r="F96" s="4" t="str">
        <f>IF(Jugadores!B96="","",Jugadores!B96)</f>
        <v>Aceves Alonso</v>
      </c>
      <c r="G96" s="4" t="str">
        <f>IF(Jugadores!B96="","",Jugadores!A96)</f>
        <v>Monterrey</v>
      </c>
      <c r="H96" s="4">
        <f>IF(F96="","",SUMIF('Estadísticas Jugadores'!$F$2:$F$7001,F96,'Estadísticas Jugadores'!$J$2:$J$7001))</f>
        <v>0</v>
      </c>
      <c r="I96" s="4">
        <f t="shared" si="8"/>
        <v>-9.5999999999999996E-6</v>
      </c>
      <c r="J96" s="4">
        <f t="shared" si="9"/>
        <v>108</v>
      </c>
    </row>
    <row r="97" spans="1:10" ht="15" customHeight="1" x14ac:dyDescent="0.25">
      <c r="A97" s="8">
        <f>IF(COUNT($J$2:$J$1501)&gt;=96,96,"")</f>
        <v>96</v>
      </c>
      <c r="B97" s="8" t="str">
        <f t="shared" si="5"/>
        <v>Diaz Price Jorge</v>
      </c>
      <c r="C97" s="8" t="str">
        <f t="shared" si="6"/>
        <v>Toluca</v>
      </c>
      <c r="D97" s="8">
        <f t="shared" si="7"/>
        <v>0</v>
      </c>
      <c r="F97" s="4" t="str">
        <f>IF(Jugadores!B97="","",Jugadores!B97)</f>
        <v>Aguirre Erick</v>
      </c>
      <c r="G97" s="4" t="str">
        <f>IF(Jugadores!B97="","",Jugadores!A97)</f>
        <v>Monterrey</v>
      </c>
      <c r="H97" s="4">
        <f>IF(F97="","",SUMIF('Estadísticas Jugadores'!$F$2:$F$7001,F97,'Estadísticas Jugadores'!$J$2:$J$7001))</f>
        <v>0</v>
      </c>
      <c r="I97" s="4">
        <f t="shared" si="8"/>
        <v>-9.7000000000000003E-6</v>
      </c>
      <c r="J97" s="4">
        <f t="shared" si="9"/>
        <v>109</v>
      </c>
    </row>
    <row r="98" spans="1:10" ht="15" customHeight="1" x14ac:dyDescent="0.25">
      <c r="A98" s="8">
        <f>IF(COUNT($J$2:$J$1501)&gt;=97,97,"")</f>
        <v>97</v>
      </c>
      <c r="B98" s="8" t="str">
        <f t="shared" si="5"/>
        <v>Estrada Jose</v>
      </c>
      <c r="C98" s="8" t="str">
        <f t="shared" si="6"/>
        <v>Toluca</v>
      </c>
      <c r="D98" s="8">
        <f t="shared" si="7"/>
        <v>0</v>
      </c>
      <c r="F98" s="4" t="str">
        <f>IF(Jugadores!B98="","",Jugadores!B98)</f>
        <v>Arteaga Gerardo</v>
      </c>
      <c r="G98" s="4" t="str">
        <f>IF(Jugadores!B98="","",Jugadores!A98)</f>
        <v>Monterrey</v>
      </c>
      <c r="H98" s="4">
        <f>IF(F98="","",SUMIF('Estadísticas Jugadores'!$F$2:$F$7001,F98,'Estadísticas Jugadores'!$J$2:$J$7001))</f>
        <v>0</v>
      </c>
      <c r="I98" s="4">
        <f t="shared" si="8"/>
        <v>-9.7999999999999993E-6</v>
      </c>
      <c r="J98" s="4">
        <f t="shared" si="9"/>
        <v>110</v>
      </c>
    </row>
    <row r="99" spans="1:10" ht="15" customHeight="1" x14ac:dyDescent="0.25">
      <c r="A99" s="8">
        <f>IF(COUNT($J$2:$J$1501)&gt;=98,98,"")</f>
        <v>98</v>
      </c>
      <c r="B99" s="8" t="str">
        <f t="shared" si="5"/>
        <v>Paulinho</v>
      </c>
      <c r="C99" s="8" t="str">
        <f t="shared" si="6"/>
        <v>Toluca</v>
      </c>
      <c r="D99" s="8">
        <f t="shared" si="7"/>
        <v>0</v>
      </c>
      <c r="F99" s="4" t="str">
        <f>IF(Jugadores!B99="","",Jugadores!B99)</f>
        <v>Bustos Cesar</v>
      </c>
      <c r="G99" s="4" t="str">
        <f>IF(Jugadores!B99="","",Jugadores!A99)</f>
        <v>Monterrey</v>
      </c>
      <c r="H99" s="4">
        <f>IF(F99="","",SUMIF('Estadísticas Jugadores'!$F$2:$F$7001,F99,'Estadísticas Jugadores'!$J$2:$J$7001))</f>
        <v>0</v>
      </c>
      <c r="I99" s="4">
        <f t="shared" si="8"/>
        <v>-9.9000000000000001E-6</v>
      </c>
      <c r="J99" s="4">
        <f t="shared" si="9"/>
        <v>111</v>
      </c>
    </row>
    <row r="100" spans="1:10" ht="15" customHeight="1" x14ac:dyDescent="0.25">
      <c r="A100" s="8">
        <f>IF(COUNT($J$2:$J$1501)&gt;=99,99,"")</f>
        <v>99</v>
      </c>
      <c r="B100" s="8" t="str">
        <f t="shared" si="5"/>
        <v>Pérez Pavel</v>
      </c>
      <c r="C100" s="8" t="str">
        <f t="shared" si="6"/>
        <v>Toluca</v>
      </c>
      <c r="D100" s="8">
        <f t="shared" si="7"/>
        <v>0</v>
      </c>
      <c r="F100" s="4" t="str">
        <f>IF(Jugadores!B100="","",Jugadores!B100)</f>
        <v>Casillas Javier</v>
      </c>
      <c r="G100" s="4" t="str">
        <f>IF(Jugadores!B100="","",Jugadores!A100)</f>
        <v>Monterrey</v>
      </c>
      <c r="H100" s="4">
        <f>IF(F100="","",SUMIF('Estadísticas Jugadores'!$F$2:$F$7001,F100,'Estadísticas Jugadores'!$J$2:$J$7001))</f>
        <v>0</v>
      </c>
      <c r="I100" s="4">
        <f t="shared" si="8"/>
        <v>-9.9999999999999991E-6</v>
      </c>
      <c r="J100" s="4">
        <f t="shared" si="9"/>
        <v>112</v>
      </c>
    </row>
    <row r="101" spans="1:10" ht="15" customHeight="1" x14ac:dyDescent="0.25">
      <c r="A101" s="8">
        <f>IF(COUNT($J$2:$J$1501)&gt;=100,100,"")</f>
        <v>100</v>
      </c>
      <c r="B101" s="8" t="str">
        <f t="shared" si="5"/>
        <v>Rossi Franco</v>
      </c>
      <c r="C101" s="8" t="str">
        <f t="shared" si="6"/>
        <v>Toluca</v>
      </c>
      <c r="D101" s="8">
        <f t="shared" si="7"/>
        <v>0</v>
      </c>
      <c r="F101" s="4" t="str">
        <f>IF(Jugadores!B101="","",Jugadores!B101)</f>
        <v>Chavez Ricardo</v>
      </c>
      <c r="G101" s="4" t="str">
        <f>IF(Jugadores!B101="","",Jugadores!A101)</f>
        <v>Monterrey</v>
      </c>
      <c r="H101" s="4">
        <f>IF(F101="","",SUMIF('Estadísticas Jugadores'!$F$2:$F$7001,F101,'Estadísticas Jugadores'!$J$2:$J$7001))</f>
        <v>0</v>
      </c>
      <c r="I101" s="4">
        <f t="shared" si="8"/>
        <v>-1.01E-5</v>
      </c>
      <c r="J101" s="4">
        <f t="shared" si="9"/>
        <v>113</v>
      </c>
    </row>
    <row r="102" spans="1:10" ht="15" customHeight="1" x14ac:dyDescent="0.25">
      <c r="A102" s="8">
        <f>IF(COUNT($J$2:$J$1501)&gt;=101,101,"")</f>
        <v>101</v>
      </c>
      <c r="B102" s="8" t="str">
        <f t="shared" si="5"/>
        <v>Vega Alexis</v>
      </c>
      <c r="C102" s="8" t="str">
        <f t="shared" si="6"/>
        <v>Toluca</v>
      </c>
      <c r="D102" s="8">
        <f t="shared" si="7"/>
        <v>0</v>
      </c>
      <c r="F102" s="4" t="str">
        <f>IF(Jugadores!B102="","",Jugadores!B102)</f>
        <v>Frayde Carlos</v>
      </c>
      <c r="G102" s="4" t="str">
        <f>IF(Jugadores!B102="","",Jugadores!A102)</f>
        <v>Monterrey</v>
      </c>
      <c r="H102" s="4">
        <f>IF(F102="","",SUMIF('Estadísticas Jugadores'!$F$2:$F$7001,F102,'Estadísticas Jugadores'!$J$2:$J$7001))</f>
        <v>0</v>
      </c>
      <c r="I102" s="4">
        <f t="shared" si="8"/>
        <v>-1.0199999999999999E-5</v>
      </c>
      <c r="J102" s="4">
        <f t="shared" si="9"/>
        <v>114</v>
      </c>
    </row>
    <row r="103" spans="1:10" ht="15" customHeight="1" x14ac:dyDescent="0.25">
      <c r="A103" s="8">
        <f>IF(COUNT($J$2:$J$1501)&gt;=102,102,"")</f>
        <v>102</v>
      </c>
      <c r="B103" s="8" t="str">
        <f t="shared" si="5"/>
        <v>Virgen Oswaldo</v>
      </c>
      <c r="C103" s="8" t="str">
        <f t="shared" si="6"/>
        <v>Toluca</v>
      </c>
      <c r="D103" s="8">
        <f t="shared" si="7"/>
        <v>0</v>
      </c>
      <c r="F103" s="4" t="str">
        <f>IF(Jugadores!B103="","",Jugadores!B103)</f>
        <v>Garcia Diego</v>
      </c>
      <c r="G103" s="4" t="str">
        <f>IF(Jugadores!B103="","",Jugadores!A103)</f>
        <v>Monterrey</v>
      </c>
      <c r="H103" s="4">
        <f>IF(F103="","",SUMIF('Estadísticas Jugadores'!$F$2:$F$7001,F103,'Estadísticas Jugadores'!$J$2:$J$7001))</f>
        <v>0</v>
      </c>
      <c r="I103" s="4">
        <f t="shared" si="8"/>
        <v>-1.03E-5</v>
      </c>
      <c r="J103" s="4">
        <f t="shared" si="9"/>
        <v>115</v>
      </c>
    </row>
    <row r="104" spans="1:10" ht="15" customHeight="1" x14ac:dyDescent="0.25">
      <c r="A104" s="8">
        <f>IF(COUNT($J$2:$J$1501)&gt;=103,103,"")</f>
        <v>103</v>
      </c>
      <c r="B104" s="8" t="str">
        <f t="shared" si="5"/>
        <v>Cardenas Luis</v>
      </c>
      <c r="C104" s="8" t="str">
        <f t="shared" si="6"/>
        <v>Monterrey</v>
      </c>
      <c r="D104" s="8">
        <f t="shared" si="7"/>
        <v>0</v>
      </c>
      <c r="F104" s="4" t="str">
        <f>IF(Jugadores!B104="","",Jugadores!B104)</f>
        <v>Guzman Victor</v>
      </c>
      <c r="G104" s="4" t="str">
        <f>IF(Jugadores!B104="","",Jugadores!A104)</f>
        <v>Monterrey</v>
      </c>
      <c r="H104" s="4">
        <f>IF(F104="","",SUMIF('Estadísticas Jugadores'!$F$2:$F$7001,F104,'Estadísticas Jugadores'!$J$2:$J$7001))</f>
        <v>0</v>
      </c>
      <c r="I104" s="4">
        <f t="shared" si="8"/>
        <v>-1.0399999999999999E-5</v>
      </c>
      <c r="J104" s="4">
        <f t="shared" si="9"/>
        <v>116</v>
      </c>
    </row>
    <row r="105" spans="1:10" ht="15" customHeight="1" x14ac:dyDescent="0.25">
      <c r="A105" s="8">
        <f>IF(COUNT($J$2:$J$1501)&gt;=104,104,"")</f>
        <v>104</v>
      </c>
      <c r="B105" s="8" t="str">
        <f t="shared" si="5"/>
        <v>Cuneo Kevin</v>
      </c>
      <c r="C105" s="8" t="str">
        <f t="shared" si="6"/>
        <v>Monterrey</v>
      </c>
      <c r="D105" s="8">
        <f t="shared" si="7"/>
        <v>0</v>
      </c>
      <c r="F105" s="4" t="str">
        <f>IF(Jugadores!B105="","",Jugadores!B105)</f>
        <v>Medina Stefan</v>
      </c>
      <c r="G105" s="4" t="str">
        <f>IF(Jugadores!B105="","",Jugadores!A105)</f>
        <v>Monterrey</v>
      </c>
      <c r="H105" s="4">
        <f>IF(F105="","",SUMIF('Estadísticas Jugadores'!$F$2:$F$7001,F105,'Estadísticas Jugadores'!$J$2:$J$7001))</f>
        <v>0</v>
      </c>
      <c r="I105" s="4">
        <f t="shared" si="8"/>
        <v>-1.0499999999999999E-5</v>
      </c>
      <c r="J105" s="4">
        <f t="shared" si="9"/>
        <v>117</v>
      </c>
    </row>
    <row r="106" spans="1:10" ht="15" customHeight="1" x14ac:dyDescent="0.25">
      <c r="A106" s="8">
        <f>IF(COUNT($J$2:$J$1501)&gt;=105,105,"")</f>
        <v>105</v>
      </c>
      <c r="B106" s="8" t="str">
        <f t="shared" si="5"/>
        <v>Mele Santiago</v>
      </c>
      <c r="C106" s="8" t="str">
        <f t="shared" si="6"/>
        <v>Monterrey</v>
      </c>
      <c r="D106" s="8">
        <f t="shared" si="7"/>
        <v>0</v>
      </c>
      <c r="F106" s="4" t="str">
        <f>IF(Jugadores!B106="","",Jugadores!B106)</f>
        <v>Reyes Luis</v>
      </c>
      <c r="G106" s="4" t="str">
        <f>IF(Jugadores!B106="","",Jugadores!A106)</f>
        <v>Monterrey</v>
      </c>
      <c r="H106" s="4">
        <f>IF(F106="","",SUMIF('Estadísticas Jugadores'!$F$2:$F$7001,F106,'Estadísticas Jugadores'!$J$2:$J$7001))</f>
        <v>0</v>
      </c>
      <c r="I106" s="4">
        <f t="shared" si="8"/>
        <v>-1.06E-5</v>
      </c>
      <c r="J106" s="4">
        <f t="shared" si="9"/>
        <v>118</v>
      </c>
    </row>
    <row r="107" spans="1:10" ht="15" customHeight="1" x14ac:dyDescent="0.25">
      <c r="A107" s="8">
        <f>IF(COUNT($J$2:$J$1501)&gt;=106,106,"")</f>
        <v>106</v>
      </c>
      <c r="B107" s="8" t="str">
        <f t="shared" si="5"/>
        <v>Perez Santiago</v>
      </c>
      <c r="C107" s="8" t="str">
        <f t="shared" si="6"/>
        <v>Monterrey</v>
      </c>
      <c r="D107" s="8">
        <f t="shared" si="7"/>
        <v>0</v>
      </c>
      <c r="F107" s="4" t="str">
        <f>IF(Jugadores!B107="","",Jugadores!B107)</f>
        <v>Salcedo Carlos</v>
      </c>
      <c r="G107" s="4" t="str">
        <f>IF(Jugadores!B107="","",Jugadores!A107)</f>
        <v>Monterrey</v>
      </c>
      <c r="H107" s="4">
        <f>IF(F107="","",SUMIF('Estadísticas Jugadores'!$F$2:$F$7001,F107,'Estadísticas Jugadores'!$J$2:$J$7001))</f>
        <v>0</v>
      </c>
      <c r="I107" s="4">
        <f t="shared" si="8"/>
        <v>-1.0699999999999999E-5</v>
      </c>
      <c r="J107" s="4">
        <f t="shared" si="9"/>
        <v>119</v>
      </c>
    </row>
    <row r="108" spans="1:10" ht="15" customHeight="1" x14ac:dyDescent="0.25">
      <c r="A108" s="8">
        <f>IF(COUNT($J$2:$J$1501)&gt;=107,107,"")</f>
        <v>107</v>
      </c>
      <c r="B108" s="8" t="str">
        <f t="shared" si="5"/>
        <v>Ramos Cesar</v>
      </c>
      <c r="C108" s="8" t="str">
        <f t="shared" si="6"/>
        <v>Monterrey</v>
      </c>
      <c r="D108" s="8">
        <f t="shared" si="7"/>
        <v>0</v>
      </c>
      <c r="F108" s="4" t="str">
        <f>IF(Jugadores!B108="","",Jugadores!B108)</f>
        <v>Ambriz Fidel</v>
      </c>
      <c r="G108" s="4" t="str">
        <f>IF(Jugadores!B108="","",Jugadores!A108)</f>
        <v>Monterrey</v>
      </c>
      <c r="H108" s="4">
        <f>IF(F108="","",SUMIF('Estadísticas Jugadores'!$F$2:$F$7001,F108,'Estadísticas Jugadores'!$J$2:$J$7001))</f>
        <v>0</v>
      </c>
      <c r="I108" s="4">
        <f t="shared" si="8"/>
        <v>-1.08E-5</v>
      </c>
      <c r="J108" s="4">
        <f t="shared" si="9"/>
        <v>120</v>
      </c>
    </row>
    <row r="109" spans="1:10" ht="15" customHeight="1" x14ac:dyDescent="0.25">
      <c r="A109" s="8">
        <f>IF(COUNT($J$2:$J$1501)&gt;=108,108,"")</f>
        <v>108</v>
      </c>
      <c r="B109" s="8" t="str">
        <f t="shared" si="5"/>
        <v>Aceves Alonso</v>
      </c>
      <c r="C109" s="8" t="str">
        <f t="shared" si="6"/>
        <v>Monterrey</v>
      </c>
      <c r="D109" s="8">
        <f t="shared" si="7"/>
        <v>0</v>
      </c>
      <c r="F109" s="4" t="str">
        <f>IF(Jugadores!B109="","",Jugadores!B109)</f>
        <v>Dominguez Joel</v>
      </c>
      <c r="G109" s="4" t="str">
        <f>IF(Jugadores!B109="","",Jugadores!A109)</f>
        <v>Monterrey</v>
      </c>
      <c r="H109" s="4">
        <f>IF(F109="","",SUMIF('Estadísticas Jugadores'!$F$2:$F$7001,F109,'Estadísticas Jugadores'!$J$2:$J$7001))</f>
        <v>0</v>
      </c>
      <c r="I109" s="4">
        <f t="shared" si="8"/>
        <v>-1.0899999999999999E-5</v>
      </c>
      <c r="J109" s="4">
        <f t="shared" si="9"/>
        <v>121</v>
      </c>
    </row>
    <row r="110" spans="1:10" ht="15" customHeight="1" x14ac:dyDescent="0.25">
      <c r="A110" s="8">
        <f>IF(COUNT($J$2:$J$1501)&gt;=109,109,"")</f>
        <v>109</v>
      </c>
      <c r="B110" s="8" t="str">
        <f t="shared" si="5"/>
        <v>Aguirre Erick</v>
      </c>
      <c r="C110" s="8" t="str">
        <f t="shared" si="6"/>
        <v>Monterrey</v>
      </c>
      <c r="D110" s="8">
        <f t="shared" si="7"/>
        <v>0</v>
      </c>
      <c r="F110" s="4" t="str">
        <f>IF(Jugadores!B110="","",Jugadores!B110)</f>
        <v>Fimbres Iker</v>
      </c>
      <c r="G110" s="4" t="str">
        <f>IF(Jugadores!B110="","",Jugadores!A110)</f>
        <v>Monterrey</v>
      </c>
      <c r="H110" s="4">
        <f>IF(F110="","",SUMIF('Estadísticas Jugadores'!$F$2:$F$7001,F110,'Estadísticas Jugadores'!$J$2:$J$7001))</f>
        <v>0</v>
      </c>
      <c r="I110" s="4">
        <f t="shared" si="8"/>
        <v>-1.1E-5</v>
      </c>
      <c r="J110" s="4">
        <f t="shared" si="9"/>
        <v>122</v>
      </c>
    </row>
    <row r="111" spans="1:10" ht="15" customHeight="1" x14ac:dyDescent="0.25">
      <c r="A111" s="8">
        <f>IF(COUNT($J$2:$J$1501)&gt;=110,110,"")</f>
        <v>110</v>
      </c>
      <c r="B111" s="8" t="str">
        <f t="shared" si="5"/>
        <v>Arteaga Gerardo</v>
      </c>
      <c r="C111" s="8" t="str">
        <f t="shared" si="6"/>
        <v>Monterrey</v>
      </c>
      <c r="D111" s="8">
        <f t="shared" si="7"/>
        <v>0</v>
      </c>
      <c r="F111" s="4" t="str">
        <f>IF(Jugadores!B111="","",Jugadores!B111)</f>
        <v>Galvez Omar</v>
      </c>
      <c r="G111" s="4" t="str">
        <f>IF(Jugadores!B111="","",Jugadores!A111)</f>
        <v>Monterrey</v>
      </c>
      <c r="H111" s="4">
        <f>IF(F111="","",SUMIF('Estadísticas Jugadores'!$F$2:$F$7001,F111,'Estadísticas Jugadores'!$J$2:$J$7001))</f>
        <v>0</v>
      </c>
      <c r="I111" s="4">
        <f t="shared" si="8"/>
        <v>-1.1099999999999999E-5</v>
      </c>
      <c r="J111" s="4">
        <f t="shared" si="9"/>
        <v>123</v>
      </c>
    </row>
    <row r="112" spans="1:10" ht="15" customHeight="1" x14ac:dyDescent="0.25">
      <c r="A112" s="8">
        <f>IF(COUNT($J$2:$J$1501)&gt;=111,111,"")</f>
        <v>111</v>
      </c>
      <c r="B112" s="8" t="str">
        <f t="shared" si="5"/>
        <v>Bustos Cesar</v>
      </c>
      <c r="C112" s="8" t="str">
        <f t="shared" si="6"/>
        <v>Monterrey</v>
      </c>
      <c r="D112" s="8">
        <f t="shared" si="7"/>
        <v>0</v>
      </c>
      <c r="F112" s="4" t="str">
        <f>IF(Jugadores!B112="","",Jugadores!B112)</f>
        <v>Garza Cesar</v>
      </c>
      <c r="G112" s="4" t="str">
        <f>IF(Jugadores!B112="","",Jugadores!A112)</f>
        <v>Monterrey</v>
      </c>
      <c r="H112" s="4">
        <f>IF(F112="","",SUMIF('Estadísticas Jugadores'!$F$2:$F$7001,F112,'Estadísticas Jugadores'!$J$2:$J$7001))</f>
        <v>0</v>
      </c>
      <c r="I112" s="4">
        <f t="shared" si="8"/>
        <v>-1.1199999999999999E-5</v>
      </c>
      <c r="J112" s="4">
        <f t="shared" si="9"/>
        <v>124</v>
      </c>
    </row>
    <row r="113" spans="1:10" ht="15" customHeight="1" x14ac:dyDescent="0.25">
      <c r="A113" s="8">
        <f>IF(COUNT($J$2:$J$1501)&gt;=112,112,"")</f>
        <v>112</v>
      </c>
      <c r="B113" s="8" t="str">
        <f t="shared" si="5"/>
        <v>Casillas Javier</v>
      </c>
      <c r="C113" s="8" t="str">
        <f t="shared" si="6"/>
        <v>Monterrey</v>
      </c>
      <c r="D113" s="8">
        <f t="shared" si="7"/>
        <v>0</v>
      </c>
      <c r="F113" s="4" t="str">
        <f>IF(Jugadores!B113="","",Jugadores!B113)</f>
        <v>Pineda Orbelín</v>
      </c>
      <c r="G113" s="4" t="str">
        <f>IF(Jugadores!B113="","",Jugadores!A113)</f>
        <v>Monterrey</v>
      </c>
      <c r="H113" s="4">
        <f>IF(F113="","",SUMIF('Estadísticas Jugadores'!$F$2:$F$7001,F113,'Estadísticas Jugadores'!$J$2:$J$7001))</f>
        <v>0</v>
      </c>
      <c r="I113" s="4">
        <f t="shared" si="8"/>
        <v>-1.13E-5</v>
      </c>
      <c r="J113" s="4">
        <f t="shared" si="9"/>
        <v>125</v>
      </c>
    </row>
    <row r="114" spans="1:10" ht="15" customHeight="1" x14ac:dyDescent="0.25">
      <c r="A114" s="8">
        <f>IF(COUNT($J$2:$J$1501)&gt;=113,113,"")</f>
        <v>113</v>
      </c>
      <c r="B114" s="8" t="str">
        <f t="shared" si="5"/>
        <v>Chavez Ricardo</v>
      </c>
      <c r="C114" s="8" t="str">
        <f t="shared" si="6"/>
        <v>Monterrey</v>
      </c>
      <c r="D114" s="8">
        <f t="shared" si="7"/>
        <v>0</v>
      </c>
      <c r="F114" s="4" t="str">
        <f>IF(Jugadores!B114="","",Jugadores!B114)</f>
        <v>Reyes Bermudez Cristian Isaac</v>
      </c>
      <c r="G114" s="4" t="str">
        <f>IF(Jugadores!B114="","",Jugadores!A114)</f>
        <v>Monterrey</v>
      </c>
      <c r="H114" s="4">
        <f>IF(F114="","",SUMIF('Estadísticas Jugadores'!$F$2:$F$7001,F114,'Estadísticas Jugadores'!$J$2:$J$7001))</f>
        <v>0</v>
      </c>
      <c r="I114" s="4">
        <f t="shared" si="8"/>
        <v>-1.1399999999999999E-5</v>
      </c>
      <c r="J114" s="4">
        <f t="shared" si="9"/>
        <v>126</v>
      </c>
    </row>
    <row r="115" spans="1:10" ht="15" customHeight="1" x14ac:dyDescent="0.25">
      <c r="A115" s="8">
        <f>IF(COUNT($J$2:$J$1501)&gt;=114,114,"")</f>
        <v>114</v>
      </c>
      <c r="B115" s="8" t="str">
        <f t="shared" si="5"/>
        <v>Frayde Carlos</v>
      </c>
      <c r="C115" s="8" t="str">
        <f t="shared" si="6"/>
        <v>Monterrey</v>
      </c>
      <c r="D115" s="8">
        <f t="shared" si="7"/>
        <v>0</v>
      </c>
      <c r="F115" s="4" t="str">
        <f>IF(Jugadores!B115="","",Jugadores!B115)</f>
        <v>Rodriguez Jorge</v>
      </c>
      <c r="G115" s="4" t="str">
        <f>IF(Jugadores!B115="","",Jugadores!A115)</f>
        <v>Monterrey</v>
      </c>
      <c r="H115" s="4">
        <f>IF(F115="","",SUMIF('Estadísticas Jugadores'!$F$2:$F$7001,F115,'Estadísticas Jugadores'!$J$2:$J$7001))</f>
        <v>0</v>
      </c>
      <c r="I115" s="4">
        <f t="shared" si="8"/>
        <v>-1.15E-5</v>
      </c>
      <c r="J115" s="4">
        <f t="shared" si="9"/>
        <v>127</v>
      </c>
    </row>
    <row r="116" spans="1:10" ht="15" customHeight="1" x14ac:dyDescent="0.25">
      <c r="A116" s="8">
        <f>IF(COUNT($J$2:$J$1501)&gt;=115,115,"")</f>
        <v>115</v>
      </c>
      <c r="B116" s="8" t="str">
        <f t="shared" si="5"/>
        <v>Garcia Diego</v>
      </c>
      <c r="C116" s="8" t="str">
        <f t="shared" si="6"/>
        <v>Monterrey</v>
      </c>
      <c r="D116" s="8">
        <f t="shared" si="7"/>
        <v>0</v>
      </c>
      <c r="F116" s="4" t="str">
        <f>IF(Jugadores!B116="","",Jugadores!B116)</f>
        <v>Rodriguez Sebastian</v>
      </c>
      <c r="G116" s="4" t="str">
        <f>IF(Jugadores!B116="","",Jugadores!A116)</f>
        <v>Monterrey</v>
      </c>
      <c r="H116" s="4">
        <f>IF(F116="","",SUMIF('Estadísticas Jugadores'!$F$2:$F$7001,F116,'Estadísticas Jugadores'!$J$2:$J$7001))</f>
        <v>0</v>
      </c>
      <c r="I116" s="4">
        <f t="shared" si="8"/>
        <v>-1.1599999999999999E-5</v>
      </c>
      <c r="J116" s="4">
        <f t="shared" si="9"/>
        <v>128</v>
      </c>
    </row>
    <row r="117" spans="1:10" ht="15" customHeight="1" x14ac:dyDescent="0.25">
      <c r="A117" s="8">
        <f>IF(COUNT($J$2:$J$1501)&gt;=116,116,"")</f>
        <v>116</v>
      </c>
      <c r="B117" s="8" t="str">
        <f t="shared" si="5"/>
        <v>Guzman Victor</v>
      </c>
      <c r="C117" s="8" t="str">
        <f t="shared" si="6"/>
        <v>Monterrey</v>
      </c>
      <c r="D117" s="8">
        <f t="shared" si="7"/>
        <v>0</v>
      </c>
      <c r="F117" s="4" t="str">
        <f>IF(Jugadores!B117="","",Jugadores!B117)</f>
        <v>Rojas Allen</v>
      </c>
      <c r="G117" s="4" t="str">
        <f>IF(Jugadores!B117="","",Jugadores!A117)</f>
        <v>Monterrey</v>
      </c>
      <c r="H117" s="4">
        <f>IF(F117="","",SUMIF('Estadísticas Jugadores'!$F$2:$F$7001,F117,'Estadísticas Jugadores'!$J$2:$J$7001))</f>
        <v>0</v>
      </c>
      <c r="I117" s="4">
        <f t="shared" si="8"/>
        <v>-1.17E-5</v>
      </c>
      <c r="J117" s="4">
        <f t="shared" si="9"/>
        <v>129</v>
      </c>
    </row>
    <row r="118" spans="1:10" ht="15" customHeight="1" x14ac:dyDescent="0.25">
      <c r="A118" s="8">
        <f>IF(COUNT($J$2:$J$1501)&gt;=117,117,"")</f>
        <v>117</v>
      </c>
      <c r="B118" s="8" t="str">
        <f t="shared" si="5"/>
        <v>Medina Stefan</v>
      </c>
      <c r="C118" s="8" t="str">
        <f t="shared" si="6"/>
        <v>Monterrey</v>
      </c>
      <c r="D118" s="8">
        <f t="shared" si="7"/>
        <v>0</v>
      </c>
      <c r="F118" s="4" t="str">
        <f>IF(Jugadores!B118="","",Jugadores!B118)</f>
        <v>Torres Óliver</v>
      </c>
      <c r="G118" s="4" t="str">
        <f>IF(Jugadores!B118="","",Jugadores!A118)</f>
        <v>Monterrey</v>
      </c>
      <c r="H118" s="4">
        <f>IF(F118="","",SUMIF('Estadísticas Jugadores'!$F$2:$F$7001,F118,'Estadísticas Jugadores'!$J$2:$J$7001))</f>
        <v>1</v>
      </c>
      <c r="I118" s="4">
        <f t="shared" si="8"/>
        <v>999.99998819999996</v>
      </c>
      <c r="J118" s="4">
        <f t="shared" si="9"/>
        <v>5</v>
      </c>
    </row>
    <row r="119" spans="1:10" ht="15" customHeight="1" x14ac:dyDescent="0.25">
      <c r="A119" s="8">
        <f>IF(COUNT($J$2:$J$1501)&gt;=118,118,"")</f>
        <v>118</v>
      </c>
      <c r="B119" s="8" t="str">
        <f t="shared" si="5"/>
        <v>Reyes Luis</v>
      </c>
      <c r="C119" s="8" t="str">
        <f t="shared" si="6"/>
        <v>Monterrey</v>
      </c>
      <c r="D119" s="8">
        <f t="shared" si="7"/>
        <v>0</v>
      </c>
      <c r="F119" s="4" t="str">
        <f>IF(Jugadores!B119="","",Jugadores!B119)</f>
        <v>Urias Alejandro</v>
      </c>
      <c r="G119" s="4" t="str">
        <f>IF(Jugadores!B119="","",Jugadores!A119)</f>
        <v>Monterrey</v>
      </c>
      <c r="H119" s="4">
        <f>IF(F119="","",SUMIF('Estadísticas Jugadores'!$F$2:$F$7001,F119,'Estadísticas Jugadores'!$J$2:$J$7001))</f>
        <v>0</v>
      </c>
      <c r="I119" s="4">
        <f t="shared" si="8"/>
        <v>-1.19E-5</v>
      </c>
      <c r="J119" s="4">
        <f t="shared" si="9"/>
        <v>130</v>
      </c>
    </row>
    <row r="120" spans="1:10" ht="15" customHeight="1" x14ac:dyDescent="0.25">
      <c r="A120" s="8">
        <f>IF(COUNT($J$2:$J$1501)&gt;=119,119,"")</f>
        <v>119</v>
      </c>
      <c r="B120" s="8" t="str">
        <f t="shared" si="5"/>
        <v>Salcedo Carlos</v>
      </c>
      <c r="C120" s="8" t="str">
        <f t="shared" si="6"/>
        <v>Monterrey</v>
      </c>
      <c r="D120" s="8">
        <f t="shared" si="7"/>
        <v>0</v>
      </c>
      <c r="F120" s="4" t="str">
        <f>IF(Jugadores!B120="","",Jugadores!B120)</f>
        <v>Corona Jesús Manuel</v>
      </c>
      <c r="G120" s="4" t="str">
        <f>IF(Jugadores!B120="","",Jugadores!A120)</f>
        <v>Monterrey</v>
      </c>
      <c r="H120" s="4">
        <f>IF(F120="","",SUMIF('Estadísticas Jugadores'!$F$2:$F$7001,F120,'Estadísticas Jugadores'!$J$2:$J$7001))</f>
        <v>0</v>
      </c>
      <c r="I120" s="4">
        <f t="shared" si="8"/>
        <v>-1.2E-5</v>
      </c>
      <c r="J120" s="4">
        <f t="shared" si="9"/>
        <v>131</v>
      </c>
    </row>
    <row r="121" spans="1:10" ht="15" customHeight="1" x14ac:dyDescent="0.25">
      <c r="A121" s="8">
        <f>IF(COUNT($J$2:$J$1501)&gt;=120,120,"")</f>
        <v>120</v>
      </c>
      <c r="B121" s="8" t="str">
        <f t="shared" si="5"/>
        <v>Ambriz Fidel</v>
      </c>
      <c r="C121" s="8" t="str">
        <f t="shared" si="6"/>
        <v>Monterrey</v>
      </c>
      <c r="D121" s="8">
        <f t="shared" si="7"/>
        <v>0</v>
      </c>
      <c r="F121" s="4" t="str">
        <f>IF(Jugadores!B121="","",Jugadores!B121)</f>
        <v>Djurdjevic Uros</v>
      </c>
      <c r="G121" s="4" t="str">
        <f>IF(Jugadores!B121="","",Jugadores!A121)</f>
        <v>Monterrey</v>
      </c>
      <c r="H121" s="4">
        <f>IF(F121="","",SUMIF('Estadísticas Jugadores'!$F$2:$F$7001,F121,'Estadísticas Jugadores'!$J$2:$J$7001))</f>
        <v>0</v>
      </c>
      <c r="I121" s="4">
        <f t="shared" si="8"/>
        <v>-1.2099999999999999E-5</v>
      </c>
      <c r="J121" s="4">
        <f t="shared" si="9"/>
        <v>132</v>
      </c>
    </row>
    <row r="122" spans="1:10" ht="15" customHeight="1" x14ac:dyDescent="0.25">
      <c r="A122" s="8">
        <f>IF(COUNT($J$2:$J$1501)&gt;=121,121,"")</f>
        <v>121</v>
      </c>
      <c r="B122" s="8" t="str">
        <f t="shared" si="5"/>
        <v>Dominguez Joel</v>
      </c>
      <c r="C122" s="8" t="str">
        <f t="shared" si="6"/>
        <v>Monterrey</v>
      </c>
      <c r="D122" s="8">
        <f t="shared" si="7"/>
        <v>0</v>
      </c>
      <c r="F122" s="4" t="str">
        <f>IF(Jugadores!B122="","",Jugadores!B122)</f>
        <v>Ocampos Lucas</v>
      </c>
      <c r="G122" s="4" t="str">
        <f>IF(Jugadores!B122="","",Jugadores!A122)</f>
        <v>Monterrey</v>
      </c>
      <c r="H122" s="4">
        <f>IF(F122="","",SUMIF('Estadísticas Jugadores'!$F$2:$F$7001,F122,'Estadísticas Jugadores'!$J$2:$J$7001))</f>
        <v>1</v>
      </c>
      <c r="I122" s="4">
        <f t="shared" si="8"/>
        <v>999.99998779999999</v>
      </c>
      <c r="J122" s="4">
        <f t="shared" si="9"/>
        <v>6</v>
      </c>
    </row>
    <row r="123" spans="1:10" ht="15" customHeight="1" x14ac:dyDescent="0.25">
      <c r="A123" s="8">
        <f>IF(COUNT($J$2:$J$1501)&gt;=122,122,"")</f>
        <v>122</v>
      </c>
      <c r="B123" s="8" t="str">
        <f t="shared" si="5"/>
        <v>Fimbres Iker</v>
      </c>
      <c r="C123" s="8" t="str">
        <f t="shared" si="6"/>
        <v>Monterrey</v>
      </c>
      <c r="D123" s="8">
        <f t="shared" si="7"/>
        <v>0</v>
      </c>
      <c r="F123" s="4" t="str">
        <f>IF(Jugadores!B123="","",Jugadores!B123)</f>
        <v>Orellano Luca</v>
      </c>
      <c r="G123" s="4" t="str">
        <f>IF(Jugadores!B123="","",Jugadores!A123)</f>
        <v>Monterrey</v>
      </c>
      <c r="H123" s="4">
        <f>IF(F123="","",SUMIF('Estadísticas Jugadores'!$F$2:$F$7001,F123,'Estadísticas Jugadores'!$J$2:$J$7001))</f>
        <v>0</v>
      </c>
      <c r="I123" s="4">
        <f t="shared" si="8"/>
        <v>-1.2299999999999999E-5</v>
      </c>
      <c r="J123" s="4">
        <f t="shared" si="9"/>
        <v>133</v>
      </c>
    </row>
    <row r="124" spans="1:10" ht="15" customHeight="1" x14ac:dyDescent="0.25">
      <c r="A124" s="8">
        <f>IF(COUNT($J$2:$J$1501)&gt;=123,123,"")</f>
        <v>123</v>
      </c>
      <c r="B124" s="8" t="str">
        <f t="shared" si="5"/>
        <v>Galvez Omar</v>
      </c>
      <c r="C124" s="8" t="str">
        <f t="shared" si="6"/>
        <v>Monterrey</v>
      </c>
      <c r="D124" s="8">
        <f t="shared" si="7"/>
        <v>0</v>
      </c>
      <c r="F124" s="4" t="str">
        <f>IF(Jugadores!B124="","",Jugadores!B124)</f>
        <v>Rossi Diego</v>
      </c>
      <c r="G124" s="4" t="str">
        <f>IF(Jugadores!B124="","",Jugadores!A124)</f>
        <v>Monterrey</v>
      </c>
      <c r="H124" s="4">
        <f>IF(F124="","",SUMIF('Estadísticas Jugadores'!$F$2:$F$7001,F124,'Estadísticas Jugadores'!$J$2:$J$7001))</f>
        <v>1</v>
      </c>
      <c r="I124" s="4">
        <f t="shared" si="8"/>
        <v>999.99998760000005</v>
      </c>
      <c r="J124" s="4">
        <f t="shared" si="9"/>
        <v>7</v>
      </c>
    </row>
    <row r="125" spans="1:10" ht="15" customHeight="1" x14ac:dyDescent="0.25">
      <c r="A125" s="8">
        <f>IF(COUNT($J$2:$J$1501)&gt;=124,124,"")</f>
        <v>124</v>
      </c>
      <c r="B125" s="8" t="str">
        <f t="shared" si="5"/>
        <v>Garza Cesar</v>
      </c>
      <c r="C125" s="8" t="str">
        <f t="shared" si="6"/>
        <v>Monterrey</v>
      </c>
      <c r="D125" s="8">
        <f t="shared" si="7"/>
        <v>0</v>
      </c>
      <c r="F125" s="4" t="str">
        <f>IF(Jugadores!B125="","",Jugadores!B125)</f>
        <v>de la Rosa Roberto</v>
      </c>
      <c r="G125" s="4" t="str">
        <f>IF(Jugadores!B125="","",Jugadores!A125)</f>
        <v>Monterrey</v>
      </c>
      <c r="H125" s="4">
        <f>IF(F125="","",SUMIF('Estadísticas Jugadores'!$F$2:$F$7001,F125,'Estadísticas Jugadores'!$J$2:$J$7001))</f>
        <v>0</v>
      </c>
      <c r="I125" s="4">
        <f t="shared" si="8"/>
        <v>-1.2499999999999999E-5</v>
      </c>
      <c r="J125" s="4">
        <f t="shared" si="9"/>
        <v>134</v>
      </c>
    </row>
    <row r="126" spans="1:10" ht="15" customHeight="1" x14ac:dyDescent="0.25">
      <c r="A126" s="8">
        <f>IF(COUNT($J$2:$J$1501)&gt;=125,125,"")</f>
        <v>125</v>
      </c>
      <c r="B126" s="8" t="str">
        <f t="shared" si="5"/>
        <v>Pineda Orbelín</v>
      </c>
      <c r="C126" s="8" t="str">
        <f t="shared" si="6"/>
        <v>Monterrey</v>
      </c>
      <c r="D126" s="8">
        <f t="shared" si="7"/>
        <v>0</v>
      </c>
      <c r="F126" s="4" t="str">
        <f>IF(Jugadores!B126="","",Jugadores!B126)</f>
        <v>Gudino Portillo Andres Guillermo</v>
      </c>
      <c r="G126" s="4" t="str">
        <f>IF(Jugadores!B126="","",Jugadores!A126)</f>
        <v>Cruz Azul</v>
      </c>
      <c r="H126" s="4">
        <f>IF(F126="","",SUMIF('Estadísticas Jugadores'!$F$2:$F$7001,F126,'Estadísticas Jugadores'!$J$2:$J$7001))</f>
        <v>0</v>
      </c>
      <c r="I126" s="4">
        <f t="shared" si="8"/>
        <v>-1.26E-5</v>
      </c>
      <c r="J126" s="4">
        <f t="shared" si="9"/>
        <v>135</v>
      </c>
    </row>
    <row r="127" spans="1:10" ht="15" customHeight="1" x14ac:dyDescent="0.25">
      <c r="A127" s="8">
        <f>IF(COUNT($J$2:$J$1501)&gt;=126,126,"")</f>
        <v>126</v>
      </c>
      <c r="B127" s="8" t="str">
        <f t="shared" si="5"/>
        <v>Reyes Bermudez Cristian Isaac</v>
      </c>
      <c r="C127" s="8" t="str">
        <f t="shared" si="6"/>
        <v>Monterrey</v>
      </c>
      <c r="D127" s="8">
        <f t="shared" si="7"/>
        <v>0</v>
      </c>
      <c r="F127" s="4" t="str">
        <f>IF(Jugadores!B127="","",Jugadores!B127)</f>
        <v>Mier Kevin</v>
      </c>
      <c r="G127" s="4" t="str">
        <f>IF(Jugadores!B127="","",Jugadores!A127)</f>
        <v>Cruz Azul</v>
      </c>
      <c r="H127" s="4">
        <f>IF(F127="","",SUMIF('Estadísticas Jugadores'!$F$2:$F$7001,F127,'Estadísticas Jugadores'!$J$2:$J$7001))</f>
        <v>0</v>
      </c>
      <c r="I127" s="4">
        <f t="shared" si="8"/>
        <v>-1.2699999999999999E-5</v>
      </c>
      <c r="J127" s="4">
        <f t="shared" si="9"/>
        <v>136</v>
      </c>
    </row>
    <row r="128" spans="1:10" ht="15" customHeight="1" x14ac:dyDescent="0.25">
      <c r="A128" s="8">
        <f>IF(COUNT($J$2:$J$1501)&gt;=127,127,"")</f>
        <v>127</v>
      </c>
      <c r="B128" s="8" t="str">
        <f t="shared" si="5"/>
        <v>Rodriguez Jorge</v>
      </c>
      <c r="C128" s="8" t="str">
        <f t="shared" si="6"/>
        <v>Monterrey</v>
      </c>
      <c r="D128" s="8">
        <f t="shared" si="7"/>
        <v>0</v>
      </c>
      <c r="F128" s="4" t="str">
        <f>IF(Jugadores!B128="","",Jugadores!B128)</f>
        <v>Ochoa Emmanuel</v>
      </c>
      <c r="G128" s="4" t="str">
        <f>IF(Jugadores!B128="","",Jugadores!A128)</f>
        <v>Cruz Azul</v>
      </c>
      <c r="H128" s="4">
        <f>IF(F128="","",SUMIF('Estadísticas Jugadores'!$F$2:$F$7001,F128,'Estadísticas Jugadores'!$J$2:$J$7001))</f>
        <v>0</v>
      </c>
      <c r="I128" s="4">
        <f t="shared" si="8"/>
        <v>-1.2799999999999999E-5</v>
      </c>
      <c r="J128" s="4">
        <f t="shared" si="9"/>
        <v>137</v>
      </c>
    </row>
    <row r="129" spans="1:10" ht="15" customHeight="1" x14ac:dyDescent="0.25">
      <c r="A129" s="8">
        <f>IF(COUNT($J$2:$J$1501)&gt;=128,128,"")</f>
        <v>128</v>
      </c>
      <c r="B129" s="8" t="str">
        <f t="shared" si="5"/>
        <v>Rodriguez Sebastian</v>
      </c>
      <c r="C129" s="8" t="str">
        <f t="shared" si="6"/>
        <v>Monterrey</v>
      </c>
      <c r="D129" s="8">
        <f t="shared" si="7"/>
        <v>0</v>
      </c>
      <c r="F129" s="4" t="str">
        <f>IF(Jugadores!B129="","",Jugadores!B129)</f>
        <v>Salgado Bruno</v>
      </c>
      <c r="G129" s="4" t="str">
        <f>IF(Jugadores!B129="","",Jugadores!A129)</f>
        <v>Cruz Azul</v>
      </c>
      <c r="H129" s="4">
        <f>IF(F129="","",SUMIF('Estadísticas Jugadores'!$F$2:$F$7001,F129,'Estadísticas Jugadores'!$J$2:$J$7001))</f>
        <v>0</v>
      </c>
      <c r="I129" s="4">
        <f t="shared" si="8"/>
        <v>-1.29E-5</v>
      </c>
      <c r="J129" s="4">
        <f t="shared" si="9"/>
        <v>138</v>
      </c>
    </row>
    <row r="130" spans="1:10" ht="15" customHeight="1" x14ac:dyDescent="0.25">
      <c r="A130" s="8">
        <f>IF(COUNT($J$2:$J$1501)&gt;=129,129,"")</f>
        <v>129</v>
      </c>
      <c r="B130" s="8" t="str">
        <f t="shared" ref="B130:B193" si="10">IF($A130="","",INDEX($F$2:$F$1501,MATCH($A130,$J$2:$J$1501,0)))</f>
        <v>Rojas Allen</v>
      </c>
      <c r="C130" s="8" t="str">
        <f t="shared" ref="C130:C193" si="11">IF($A130="","",INDEX($G$2:$G$1501,MATCH($A130,$J$2:$J$1501,0)))</f>
        <v>Monterrey</v>
      </c>
      <c r="D130" s="8">
        <f t="shared" ref="D130:D193" si="12">IF($A130="","",INDEX($H$2:$H$1501,MATCH($A130,$J$2:$J$1501,0)))</f>
        <v>0</v>
      </c>
      <c r="F130" s="4" t="str">
        <f>IF(Jugadores!B130="","",Jugadores!B130)</f>
        <v>Campos Omar</v>
      </c>
      <c r="G130" s="4" t="str">
        <f>IF(Jugadores!B130="","",Jugadores!A130)</f>
        <v>Cruz Azul</v>
      </c>
      <c r="H130" s="4">
        <f>IF(F130="","",SUMIF('Estadísticas Jugadores'!$F$2:$F$7001,F130,'Estadísticas Jugadores'!$J$2:$J$7001))</f>
        <v>0</v>
      </c>
      <c r="I130" s="4">
        <f t="shared" ref="I130:I193" si="13">IF(F130="","",H130*1000-ROW()*0.0000001)</f>
        <v>-1.2999999999999999E-5</v>
      </c>
      <c r="J130" s="4">
        <f t="shared" ref="J130:J193" si="14">IF(F130="","",RANK(I130,$I$2:$I$1501))</f>
        <v>139</v>
      </c>
    </row>
    <row r="131" spans="1:10" ht="15" customHeight="1" x14ac:dyDescent="0.25">
      <c r="A131" s="8">
        <f>IF(COUNT($J$2:$J$1501)&gt;=130,130,"")</f>
        <v>130</v>
      </c>
      <c r="B131" s="8" t="str">
        <f t="shared" si="10"/>
        <v>Urias Alejandro</v>
      </c>
      <c r="C131" s="8" t="str">
        <f t="shared" si="11"/>
        <v>Monterrey</v>
      </c>
      <c r="D131" s="8">
        <f t="shared" si="12"/>
        <v>0</v>
      </c>
      <c r="F131" s="4" t="str">
        <f>IF(Jugadores!B131="","",Jugadores!B131)</f>
        <v>Diaz Josue</v>
      </c>
      <c r="G131" s="4" t="str">
        <f>IF(Jugadores!B131="","",Jugadores!A131)</f>
        <v>Cruz Azul</v>
      </c>
      <c r="H131" s="4">
        <f>IF(F131="","",SUMIF('Estadísticas Jugadores'!$F$2:$F$7001,F131,'Estadísticas Jugadores'!$J$2:$J$7001))</f>
        <v>0</v>
      </c>
      <c r="I131" s="4">
        <f t="shared" si="13"/>
        <v>-1.31E-5</v>
      </c>
      <c r="J131" s="4">
        <f t="shared" si="14"/>
        <v>140</v>
      </c>
    </row>
    <row r="132" spans="1:10" ht="15" customHeight="1" x14ac:dyDescent="0.25">
      <c r="A132" s="8">
        <f>IF(COUNT($J$2:$J$1501)&gt;=131,131,"")</f>
        <v>131</v>
      </c>
      <c r="B132" s="8" t="str">
        <f t="shared" si="10"/>
        <v>Corona Jesús Manuel</v>
      </c>
      <c r="C132" s="8" t="str">
        <f t="shared" si="11"/>
        <v>Monterrey</v>
      </c>
      <c r="D132" s="8">
        <f t="shared" si="12"/>
        <v>0</v>
      </c>
      <c r="F132" s="4" t="str">
        <f>IF(Jugadores!B132="","",Jugadores!B132)</f>
        <v>Ditta Willer</v>
      </c>
      <c r="G132" s="4" t="str">
        <f>IF(Jugadores!B132="","",Jugadores!A132)</f>
        <v>Cruz Azul</v>
      </c>
      <c r="H132" s="4">
        <f>IF(F132="","",SUMIF('Estadísticas Jugadores'!$F$2:$F$7001,F132,'Estadísticas Jugadores'!$J$2:$J$7001))</f>
        <v>0</v>
      </c>
      <c r="I132" s="4">
        <f t="shared" si="13"/>
        <v>-1.3199999999999999E-5</v>
      </c>
      <c r="J132" s="4">
        <f t="shared" si="14"/>
        <v>141</v>
      </c>
    </row>
    <row r="133" spans="1:10" ht="15" customHeight="1" x14ac:dyDescent="0.25">
      <c r="A133" s="8">
        <f>IF(COUNT($J$2:$J$1501)&gt;=132,132,"")</f>
        <v>132</v>
      </c>
      <c r="B133" s="8" t="str">
        <f t="shared" si="10"/>
        <v>Djurdjevic Uros</v>
      </c>
      <c r="C133" s="8" t="str">
        <f t="shared" si="11"/>
        <v>Monterrey</v>
      </c>
      <c r="D133" s="8">
        <f t="shared" si="12"/>
        <v>0</v>
      </c>
      <c r="F133" s="4" t="str">
        <f>IF(Jugadores!B133="","",Jugadores!B133)</f>
        <v>Jimenez Cristian</v>
      </c>
      <c r="G133" s="4" t="str">
        <f>IF(Jugadores!B133="","",Jugadores!A133)</f>
        <v>Cruz Azul</v>
      </c>
      <c r="H133" s="4">
        <f>IF(F133="","",SUMIF('Estadísticas Jugadores'!$F$2:$F$7001,F133,'Estadísticas Jugadores'!$J$2:$J$7001))</f>
        <v>0</v>
      </c>
      <c r="I133" s="4">
        <f t="shared" si="13"/>
        <v>-1.33E-5</v>
      </c>
      <c r="J133" s="4">
        <f t="shared" si="14"/>
        <v>142</v>
      </c>
    </row>
    <row r="134" spans="1:10" ht="15" customHeight="1" x14ac:dyDescent="0.25">
      <c r="A134" s="8">
        <f>IF(COUNT($J$2:$J$1501)&gt;=133,133,"")</f>
        <v>133</v>
      </c>
      <c r="B134" s="8" t="str">
        <f t="shared" si="10"/>
        <v>Orellano Luca</v>
      </c>
      <c r="C134" s="8" t="str">
        <f t="shared" si="11"/>
        <v>Monterrey</v>
      </c>
      <c r="D134" s="8">
        <f t="shared" si="12"/>
        <v>0</v>
      </c>
      <c r="F134" s="4" t="str">
        <f>IF(Jugadores!B134="","",Jugadores!B134)</f>
        <v>Montes Alan</v>
      </c>
      <c r="G134" s="4" t="str">
        <f>IF(Jugadores!B134="","",Jugadores!A134)</f>
        <v>Cruz Azul</v>
      </c>
      <c r="H134" s="4">
        <f>IF(F134="","",SUMIF('Estadísticas Jugadores'!$F$2:$F$7001,F134,'Estadísticas Jugadores'!$J$2:$J$7001))</f>
        <v>0</v>
      </c>
      <c r="I134" s="4">
        <f t="shared" si="13"/>
        <v>-1.3399999999999999E-5</v>
      </c>
      <c r="J134" s="4">
        <f t="shared" si="14"/>
        <v>143</v>
      </c>
    </row>
    <row r="135" spans="1:10" ht="15" customHeight="1" x14ac:dyDescent="0.25">
      <c r="A135" s="8">
        <f>IF(COUNT($J$2:$J$1501)&gt;=134,134,"")</f>
        <v>134</v>
      </c>
      <c r="B135" s="8" t="str">
        <f t="shared" si="10"/>
        <v>de la Rosa Roberto</v>
      </c>
      <c r="C135" s="8" t="str">
        <f t="shared" si="11"/>
        <v>Monterrey</v>
      </c>
      <c r="D135" s="8">
        <f t="shared" si="12"/>
        <v>0</v>
      </c>
      <c r="F135" s="4" t="str">
        <f>IF(Jugadores!B135="","",Jugadores!B135)</f>
        <v>Orozco Jesus</v>
      </c>
      <c r="G135" s="4" t="str">
        <f>IF(Jugadores!B135="","",Jugadores!A135)</f>
        <v>Cruz Azul</v>
      </c>
      <c r="H135" s="4">
        <f>IF(F135="","",SUMIF('Estadísticas Jugadores'!$F$2:$F$7001,F135,'Estadísticas Jugadores'!$J$2:$J$7001))</f>
        <v>0</v>
      </c>
      <c r="I135" s="4">
        <f t="shared" si="13"/>
        <v>-1.3499999999999999E-5</v>
      </c>
      <c r="J135" s="4">
        <f t="shared" si="14"/>
        <v>144</v>
      </c>
    </row>
    <row r="136" spans="1:10" ht="15" customHeight="1" x14ac:dyDescent="0.25">
      <c r="A136" s="8">
        <f>IF(COUNT($J$2:$J$1501)&gt;=135,135,"")</f>
        <v>135</v>
      </c>
      <c r="B136" s="8" t="str">
        <f t="shared" si="10"/>
        <v>Gudino Portillo Andres Guillermo</v>
      </c>
      <c r="C136" s="8" t="str">
        <f t="shared" si="11"/>
        <v>Cruz Azul</v>
      </c>
      <c r="D136" s="8">
        <f t="shared" si="12"/>
        <v>0</v>
      </c>
      <c r="F136" s="4" t="str">
        <f>IF(Jugadores!B136="","",Jugadores!B136)</f>
        <v>Piovi Gonzalo</v>
      </c>
      <c r="G136" s="4" t="str">
        <f>IF(Jugadores!B136="","",Jugadores!A136)</f>
        <v>Cruz Azul</v>
      </c>
      <c r="H136" s="4">
        <f>IF(F136="","",SUMIF('Estadísticas Jugadores'!$F$2:$F$7001,F136,'Estadísticas Jugadores'!$J$2:$J$7001))</f>
        <v>0</v>
      </c>
      <c r="I136" s="4">
        <f t="shared" si="13"/>
        <v>-1.3599999999999999E-5</v>
      </c>
      <c r="J136" s="4">
        <f t="shared" si="14"/>
        <v>145</v>
      </c>
    </row>
    <row r="137" spans="1:10" ht="15" customHeight="1" x14ac:dyDescent="0.25">
      <c r="A137" s="8">
        <f>IF(COUNT($J$2:$J$1501)&gt;=136,136,"")</f>
        <v>136</v>
      </c>
      <c r="B137" s="8" t="str">
        <f t="shared" si="10"/>
        <v>Mier Kevin</v>
      </c>
      <c r="C137" s="8" t="str">
        <f t="shared" si="11"/>
        <v>Cruz Azul</v>
      </c>
      <c r="D137" s="8">
        <f t="shared" si="12"/>
        <v>0</v>
      </c>
      <c r="F137" s="4" t="str">
        <f>IF(Jugadores!B137="","",Jugadores!B137)</f>
        <v>Ramirez Diego</v>
      </c>
      <c r="G137" s="4" t="str">
        <f>IF(Jugadores!B137="","",Jugadores!A137)</f>
        <v>Cruz Azul</v>
      </c>
      <c r="H137" s="4">
        <f>IF(F137="","",SUMIF('Estadísticas Jugadores'!$F$2:$F$7001,F137,'Estadísticas Jugadores'!$J$2:$J$7001))</f>
        <v>0</v>
      </c>
      <c r="I137" s="4">
        <f t="shared" si="13"/>
        <v>-1.3699999999999999E-5</v>
      </c>
      <c r="J137" s="4">
        <f t="shared" si="14"/>
        <v>146</v>
      </c>
    </row>
    <row r="138" spans="1:10" ht="15" customHeight="1" x14ac:dyDescent="0.25">
      <c r="A138" s="8">
        <f>IF(COUNT($J$2:$J$1501)&gt;=137,137,"")</f>
        <v>137</v>
      </c>
      <c r="B138" s="8" t="str">
        <f t="shared" si="10"/>
        <v>Ochoa Emmanuel</v>
      </c>
      <c r="C138" s="8" t="str">
        <f t="shared" si="11"/>
        <v>Cruz Azul</v>
      </c>
      <c r="D138" s="8">
        <f t="shared" si="12"/>
        <v>0</v>
      </c>
      <c r="F138" s="4" t="str">
        <f>IF(Jugadores!B138="","",Jugadores!B138)</f>
        <v>Rodarte Jorge</v>
      </c>
      <c r="G138" s="4" t="str">
        <f>IF(Jugadores!B138="","",Jugadores!A138)</f>
        <v>Cruz Azul</v>
      </c>
      <c r="H138" s="4">
        <f>IF(F138="","",SUMIF('Estadísticas Jugadores'!$F$2:$F$7001,F138,'Estadísticas Jugadores'!$J$2:$J$7001))</f>
        <v>0</v>
      </c>
      <c r="I138" s="4">
        <f t="shared" si="13"/>
        <v>-1.38E-5</v>
      </c>
      <c r="J138" s="4">
        <f t="shared" si="14"/>
        <v>147</v>
      </c>
    </row>
    <row r="139" spans="1:10" ht="15" customHeight="1" x14ac:dyDescent="0.25">
      <c r="A139" s="8">
        <f>IF(COUNT($J$2:$J$1501)&gt;=138,138,"")</f>
        <v>138</v>
      </c>
      <c r="B139" s="8" t="str">
        <f t="shared" si="10"/>
        <v>Salgado Bruno</v>
      </c>
      <c r="C139" s="8" t="str">
        <f t="shared" si="11"/>
        <v>Cruz Azul</v>
      </c>
      <c r="D139" s="8">
        <f t="shared" si="12"/>
        <v>0</v>
      </c>
      <c r="F139" s="4" t="str">
        <f>IF(Jugadores!B139="","",Jugadores!B139)</f>
        <v>Rubio Raymundo</v>
      </c>
      <c r="G139" s="4" t="str">
        <f>IF(Jugadores!B139="","",Jugadores!A139)</f>
        <v>Cruz Azul</v>
      </c>
      <c r="H139" s="4">
        <f>IF(F139="","",SUMIF('Estadísticas Jugadores'!$F$2:$F$7001,F139,'Estadísticas Jugadores'!$J$2:$J$7001))</f>
        <v>0</v>
      </c>
      <c r="I139" s="4">
        <f t="shared" si="13"/>
        <v>-1.3899999999999999E-5</v>
      </c>
      <c r="J139" s="4">
        <f t="shared" si="14"/>
        <v>148</v>
      </c>
    </row>
    <row r="140" spans="1:10" ht="15" customHeight="1" x14ac:dyDescent="0.25">
      <c r="A140" s="8">
        <f>IF(COUNT($J$2:$J$1501)&gt;=139,139,"")</f>
        <v>139</v>
      </c>
      <c r="B140" s="8" t="str">
        <f t="shared" si="10"/>
        <v>Campos Omar</v>
      </c>
      <c r="C140" s="8" t="str">
        <f t="shared" si="11"/>
        <v>Cruz Azul</v>
      </c>
      <c r="D140" s="8">
        <f t="shared" si="12"/>
        <v>0</v>
      </c>
      <c r="F140" s="4" t="str">
        <f>IF(Jugadores!B140="","",Jugadores!B140)</f>
        <v>Garcia Amaury</v>
      </c>
      <c r="G140" s="4" t="str">
        <f>IF(Jugadores!B140="","",Jugadores!A140)</f>
        <v>Cruz Azul</v>
      </c>
      <c r="H140" s="4">
        <f>IF(F140="","",SUMIF('Estadísticas Jugadores'!$F$2:$F$7001,F140,'Estadísticas Jugadores'!$J$2:$J$7001))</f>
        <v>0</v>
      </c>
      <c r="I140" s="4">
        <f t="shared" si="13"/>
        <v>-1.4E-5</v>
      </c>
      <c r="J140" s="4">
        <f t="shared" si="14"/>
        <v>149</v>
      </c>
    </row>
    <row r="141" spans="1:10" ht="15" customHeight="1" x14ac:dyDescent="0.25">
      <c r="A141" s="8">
        <f>IF(COUNT($J$2:$J$1501)&gt;=140,140,"")</f>
        <v>140</v>
      </c>
      <c r="B141" s="8" t="str">
        <f t="shared" si="10"/>
        <v>Diaz Josue</v>
      </c>
      <c r="C141" s="8" t="str">
        <f t="shared" si="11"/>
        <v>Cruz Azul</v>
      </c>
      <c r="D141" s="8">
        <f t="shared" si="12"/>
        <v>0</v>
      </c>
      <c r="F141" s="4" t="str">
        <f>IF(Jugadores!B141="","",Jugadores!B141)</f>
        <v>Gonzalez Rogelio</v>
      </c>
      <c r="G141" s="4" t="str">
        <f>IF(Jugadores!B141="","",Jugadores!A141)</f>
        <v>Cruz Azul</v>
      </c>
      <c r="H141" s="4">
        <f>IF(F141="","",SUMIF('Estadísticas Jugadores'!$F$2:$F$7001,F141,'Estadísticas Jugadores'!$J$2:$J$7001))</f>
        <v>0</v>
      </c>
      <c r="I141" s="4">
        <f t="shared" si="13"/>
        <v>-1.4099999999999999E-5</v>
      </c>
      <c r="J141" s="4">
        <f t="shared" si="14"/>
        <v>150</v>
      </c>
    </row>
    <row r="142" spans="1:10" ht="15" customHeight="1" x14ac:dyDescent="0.25">
      <c r="A142" s="8">
        <f>IF(COUNT($J$2:$J$1501)&gt;=141,141,"")</f>
        <v>141</v>
      </c>
      <c r="B142" s="8" t="str">
        <f t="shared" si="10"/>
        <v>Ditta Willer</v>
      </c>
      <c r="C142" s="8" t="str">
        <f t="shared" si="11"/>
        <v>Cruz Azul</v>
      </c>
      <c r="D142" s="8">
        <f t="shared" si="12"/>
        <v>0</v>
      </c>
      <c r="F142" s="4" t="str">
        <f>IF(Jugadores!B142="","",Jugadores!B142)</f>
        <v>León Cristhian</v>
      </c>
      <c r="G142" s="4" t="str">
        <f>IF(Jugadores!B142="","",Jugadores!A142)</f>
        <v>Cruz Azul</v>
      </c>
      <c r="H142" s="4">
        <f>IF(F142="","",SUMIF('Estadísticas Jugadores'!$F$2:$F$7001,F142,'Estadísticas Jugadores'!$J$2:$J$7001))</f>
        <v>0</v>
      </c>
      <c r="I142" s="4">
        <f t="shared" si="13"/>
        <v>-1.42E-5</v>
      </c>
      <c r="J142" s="4">
        <f t="shared" si="14"/>
        <v>151</v>
      </c>
    </row>
    <row r="143" spans="1:10" ht="15" customHeight="1" x14ac:dyDescent="0.25">
      <c r="A143" s="8">
        <f>IF(COUNT($J$2:$J$1501)&gt;=142,142,"")</f>
        <v>142</v>
      </c>
      <c r="B143" s="8" t="str">
        <f t="shared" si="10"/>
        <v>Jimenez Cristian</v>
      </c>
      <c r="C143" s="8" t="str">
        <f t="shared" si="11"/>
        <v>Cruz Azul</v>
      </c>
      <c r="D143" s="8">
        <f t="shared" si="12"/>
        <v>0</v>
      </c>
      <c r="F143" s="4" t="str">
        <f>IF(Jugadores!B143="","",Jugadores!B143)</f>
        <v>Lira Erik</v>
      </c>
      <c r="G143" s="4" t="str">
        <f>IF(Jugadores!B143="","",Jugadores!A143)</f>
        <v>Cruz Azul</v>
      </c>
      <c r="H143" s="4">
        <f>IF(F143="","",SUMIF('Estadísticas Jugadores'!$F$2:$F$7001,F143,'Estadísticas Jugadores'!$J$2:$J$7001))</f>
        <v>0</v>
      </c>
      <c r="I143" s="4">
        <f t="shared" si="13"/>
        <v>-1.4299999999999999E-5</v>
      </c>
      <c r="J143" s="4">
        <f t="shared" si="14"/>
        <v>152</v>
      </c>
    </row>
    <row r="144" spans="1:10" ht="15" customHeight="1" x14ac:dyDescent="0.25">
      <c r="A144" s="8">
        <f>IF(COUNT($J$2:$J$1501)&gt;=143,143,"")</f>
        <v>143</v>
      </c>
      <c r="B144" s="8" t="str">
        <f t="shared" si="10"/>
        <v>Montes Alan</v>
      </c>
      <c r="C144" s="8" t="str">
        <f t="shared" si="11"/>
        <v>Cruz Azul</v>
      </c>
      <c r="D144" s="8">
        <f t="shared" si="12"/>
        <v>0</v>
      </c>
      <c r="F144" s="4" t="str">
        <f>IF(Jugadores!B144="","",Jugadores!B144)</f>
        <v>Martínez Ariel</v>
      </c>
      <c r="G144" s="4" t="str">
        <f>IF(Jugadores!B144="","",Jugadores!A144)</f>
        <v>Cruz Azul</v>
      </c>
      <c r="H144" s="4">
        <f>IF(F144="","",SUMIF('Estadísticas Jugadores'!$F$2:$F$7001,F144,'Estadísticas Jugadores'!$J$2:$J$7001))</f>
        <v>0</v>
      </c>
      <c r="I144" s="4">
        <f t="shared" si="13"/>
        <v>-1.4399999999999999E-5</v>
      </c>
      <c r="J144" s="4">
        <f t="shared" si="14"/>
        <v>153</v>
      </c>
    </row>
    <row r="145" spans="1:10" ht="15" customHeight="1" x14ac:dyDescent="0.25">
      <c r="A145" s="8">
        <f>IF(COUNT($J$2:$J$1501)&gt;=144,144,"")</f>
        <v>144</v>
      </c>
      <c r="B145" s="8" t="str">
        <f t="shared" si="10"/>
        <v>Orozco Jesus</v>
      </c>
      <c r="C145" s="8" t="str">
        <f t="shared" si="11"/>
        <v>Cruz Azul</v>
      </c>
      <c r="D145" s="8">
        <f t="shared" si="12"/>
        <v>0</v>
      </c>
      <c r="F145" s="4" t="str">
        <f>IF(Jugadores!B145="","",Jugadores!B145)</f>
        <v>Montano Andres</v>
      </c>
      <c r="G145" s="4" t="str">
        <f>IF(Jugadores!B145="","",Jugadores!A145)</f>
        <v>Cruz Azul</v>
      </c>
      <c r="H145" s="4">
        <f>IF(F145="","",SUMIF('Estadísticas Jugadores'!$F$2:$F$7001,F145,'Estadísticas Jugadores'!$J$2:$J$7001))</f>
        <v>0</v>
      </c>
      <c r="I145" s="4">
        <f t="shared" si="13"/>
        <v>-1.45E-5</v>
      </c>
      <c r="J145" s="4">
        <f t="shared" si="14"/>
        <v>154</v>
      </c>
    </row>
    <row r="146" spans="1:10" ht="15" customHeight="1" x14ac:dyDescent="0.25">
      <c r="A146" s="8">
        <f>IF(COUNT($J$2:$J$1501)&gt;=145,145,"")</f>
        <v>145</v>
      </c>
      <c r="B146" s="8" t="str">
        <f t="shared" si="10"/>
        <v>Piovi Gonzalo</v>
      </c>
      <c r="C146" s="8" t="str">
        <f t="shared" si="11"/>
        <v>Cruz Azul</v>
      </c>
      <c r="D146" s="8">
        <f t="shared" si="12"/>
        <v>0</v>
      </c>
      <c r="F146" s="4" t="str">
        <f>IF(Jugadores!B146="","",Jugadores!B146)</f>
        <v>Márquez Jeremy</v>
      </c>
      <c r="G146" s="4" t="str">
        <f>IF(Jugadores!B146="","",Jugadores!A146)</f>
        <v>Cruz Azul</v>
      </c>
      <c r="H146" s="4">
        <f>IF(F146="","",SUMIF('Estadísticas Jugadores'!$F$2:$F$7001,F146,'Estadísticas Jugadores'!$J$2:$J$7001))</f>
        <v>0</v>
      </c>
      <c r="I146" s="4">
        <f t="shared" si="13"/>
        <v>-1.4599999999999999E-5</v>
      </c>
      <c r="J146" s="4">
        <f t="shared" si="14"/>
        <v>155</v>
      </c>
    </row>
    <row r="147" spans="1:10" ht="15" customHeight="1" x14ac:dyDescent="0.25">
      <c r="A147" s="8">
        <f>IF(COUNT($J$2:$J$1501)&gt;=146,146,"")</f>
        <v>146</v>
      </c>
      <c r="B147" s="8" t="str">
        <f t="shared" si="10"/>
        <v>Ramirez Diego</v>
      </c>
      <c r="C147" s="8" t="str">
        <f t="shared" si="11"/>
        <v>Cruz Azul</v>
      </c>
      <c r="D147" s="8">
        <f t="shared" si="12"/>
        <v>0</v>
      </c>
      <c r="F147" s="4" t="str">
        <f>IF(Jugadores!B147="","",Jugadores!B147)</f>
        <v>Palavecino Agustin</v>
      </c>
      <c r="G147" s="4" t="str">
        <f>IF(Jugadores!B147="","",Jugadores!A147)</f>
        <v>Cruz Azul</v>
      </c>
      <c r="H147" s="4">
        <f>IF(F147="","",SUMIF('Estadísticas Jugadores'!$F$2:$F$7001,F147,'Estadísticas Jugadores'!$J$2:$J$7001))</f>
        <v>0</v>
      </c>
      <c r="I147" s="4">
        <f t="shared" si="13"/>
        <v>-1.47E-5</v>
      </c>
      <c r="J147" s="4">
        <f t="shared" si="14"/>
        <v>156</v>
      </c>
    </row>
    <row r="148" spans="1:10" ht="15" customHeight="1" x14ac:dyDescent="0.25">
      <c r="A148" s="8">
        <f>IF(COUNT($J$2:$J$1501)&gt;=147,147,"")</f>
        <v>147</v>
      </c>
      <c r="B148" s="8" t="str">
        <f t="shared" si="10"/>
        <v>Rodarte Jorge</v>
      </c>
      <c r="C148" s="8" t="str">
        <f t="shared" si="11"/>
        <v>Cruz Azul</v>
      </c>
      <c r="D148" s="8">
        <f t="shared" si="12"/>
        <v>0</v>
      </c>
      <c r="F148" s="4" t="str">
        <f>IF(Jugadores!B148="","",Jugadores!B148)</f>
        <v>Paradela Jose</v>
      </c>
      <c r="G148" s="4" t="str">
        <f>IF(Jugadores!B148="","",Jugadores!A148)</f>
        <v>Cruz Azul</v>
      </c>
      <c r="H148" s="4">
        <f>IF(F148="","",SUMIF('Estadísticas Jugadores'!$F$2:$F$7001,F148,'Estadísticas Jugadores'!$J$2:$J$7001))</f>
        <v>0</v>
      </c>
      <c r="I148" s="4">
        <f t="shared" si="13"/>
        <v>-1.4799999999999999E-5</v>
      </c>
      <c r="J148" s="4">
        <f t="shared" si="14"/>
        <v>157</v>
      </c>
    </row>
    <row r="149" spans="1:10" ht="15" customHeight="1" x14ac:dyDescent="0.25">
      <c r="A149" s="8">
        <f>IF(COUNT($J$2:$J$1501)&gt;=148,148,"")</f>
        <v>148</v>
      </c>
      <c r="B149" s="8" t="str">
        <f t="shared" si="10"/>
        <v>Rubio Raymundo</v>
      </c>
      <c r="C149" s="8" t="str">
        <f t="shared" si="11"/>
        <v>Cruz Azul</v>
      </c>
      <c r="D149" s="8">
        <f t="shared" si="12"/>
        <v>0</v>
      </c>
      <c r="F149" s="4" t="str">
        <f>IF(Jugadores!B149="","",Jugadores!B149)</f>
        <v>Ramirez Jacobo</v>
      </c>
      <c r="G149" s="4" t="str">
        <f>IF(Jugadores!B149="","",Jugadores!A149)</f>
        <v>Cruz Azul</v>
      </c>
      <c r="H149" s="4">
        <f>IF(F149="","",SUMIF('Estadísticas Jugadores'!$F$2:$F$7001,F149,'Estadísticas Jugadores'!$J$2:$J$7001))</f>
        <v>0</v>
      </c>
      <c r="I149" s="4">
        <f t="shared" si="13"/>
        <v>-1.49E-5</v>
      </c>
      <c r="J149" s="4">
        <f t="shared" si="14"/>
        <v>158</v>
      </c>
    </row>
    <row r="150" spans="1:10" ht="15" customHeight="1" x14ac:dyDescent="0.25">
      <c r="A150" s="8">
        <f>IF(COUNT($J$2:$J$1501)&gt;=149,149,"")</f>
        <v>149</v>
      </c>
      <c r="B150" s="8" t="str">
        <f t="shared" si="10"/>
        <v>Garcia Amaury</v>
      </c>
      <c r="C150" s="8" t="str">
        <f t="shared" si="11"/>
        <v>Cruz Azul</v>
      </c>
      <c r="D150" s="8">
        <f t="shared" si="12"/>
        <v>0</v>
      </c>
      <c r="F150" s="4" t="str">
        <f>IF(Jugadores!B150="","",Jugadores!B150)</f>
        <v>Rodriguez Carlos</v>
      </c>
      <c r="G150" s="4" t="str">
        <f>IF(Jugadores!B150="","",Jugadores!A150)</f>
        <v>Cruz Azul</v>
      </c>
      <c r="H150" s="4">
        <f>IF(F150="","",SUMIF('Estadísticas Jugadores'!$F$2:$F$7001,F150,'Estadísticas Jugadores'!$J$2:$J$7001))</f>
        <v>1</v>
      </c>
      <c r="I150" s="4">
        <f t="shared" si="13"/>
        <v>999.99998500000004</v>
      </c>
      <c r="J150" s="4">
        <f t="shared" si="14"/>
        <v>8</v>
      </c>
    </row>
    <row r="151" spans="1:10" ht="15" customHeight="1" x14ac:dyDescent="0.25">
      <c r="A151" s="8">
        <f>IF(COUNT($J$2:$J$1501)&gt;=150,150,"")</f>
        <v>150</v>
      </c>
      <c r="B151" s="8" t="str">
        <f t="shared" si="10"/>
        <v>Gonzalez Rogelio</v>
      </c>
      <c r="C151" s="8" t="str">
        <f t="shared" si="11"/>
        <v>Cruz Azul</v>
      </c>
      <c r="D151" s="8">
        <f t="shared" si="12"/>
        <v>0</v>
      </c>
      <c r="F151" s="4" t="str">
        <f>IF(Jugadores!B151="","",Jugadores!B151)</f>
        <v>Sanchez Emmanuel</v>
      </c>
      <c r="G151" s="4" t="str">
        <f>IF(Jugadores!B151="","",Jugadores!A151)</f>
        <v>Cruz Azul</v>
      </c>
      <c r="H151" s="4">
        <f>IF(F151="","",SUMIF('Estadísticas Jugadores'!$F$2:$F$7001,F151,'Estadísticas Jugadores'!$J$2:$J$7001))</f>
        <v>0</v>
      </c>
      <c r="I151" s="4">
        <f t="shared" si="13"/>
        <v>-1.5099999999999999E-5</v>
      </c>
      <c r="J151" s="4">
        <f t="shared" si="14"/>
        <v>159</v>
      </c>
    </row>
    <row r="152" spans="1:10" ht="15" customHeight="1" x14ac:dyDescent="0.25">
      <c r="A152" s="8">
        <f>IF(COUNT($J$2:$J$1501)&gt;=151,151,"")</f>
        <v>151</v>
      </c>
      <c r="B152" s="8" t="str">
        <f t="shared" si="10"/>
        <v>León Cristhian</v>
      </c>
      <c r="C152" s="8" t="str">
        <f t="shared" si="11"/>
        <v>Cruz Azul</v>
      </c>
      <c r="D152" s="8">
        <f t="shared" si="12"/>
        <v>0</v>
      </c>
      <c r="F152" s="4" t="str">
        <f>IF(Jugadores!B152="","",Jugadores!B152)</f>
        <v>Silva Ivan</v>
      </c>
      <c r="G152" s="4" t="str">
        <f>IF(Jugadores!B152="","",Jugadores!A152)</f>
        <v>Cruz Azul</v>
      </c>
      <c r="H152" s="4">
        <f>IF(F152="","",SUMIF('Estadísticas Jugadores'!$F$2:$F$7001,F152,'Estadísticas Jugadores'!$J$2:$J$7001))</f>
        <v>0</v>
      </c>
      <c r="I152" s="4">
        <f t="shared" si="13"/>
        <v>-1.52E-5</v>
      </c>
      <c r="J152" s="4">
        <f t="shared" si="14"/>
        <v>160</v>
      </c>
    </row>
    <row r="153" spans="1:10" ht="15" customHeight="1" x14ac:dyDescent="0.25">
      <c r="A153" s="8">
        <f>IF(COUNT($J$2:$J$1501)&gt;=152,152,"")</f>
        <v>152</v>
      </c>
      <c r="B153" s="8" t="str">
        <f t="shared" si="10"/>
        <v>Lira Erik</v>
      </c>
      <c r="C153" s="8" t="str">
        <f t="shared" si="11"/>
        <v>Cruz Azul</v>
      </c>
      <c r="D153" s="8">
        <f t="shared" si="12"/>
        <v>0</v>
      </c>
      <c r="F153" s="4" t="str">
        <f>IF(Jugadores!B153="","",Jugadores!B153)</f>
        <v>Valdez Diego</v>
      </c>
      <c r="G153" s="4" t="str">
        <f>IF(Jugadores!B153="","",Jugadores!A153)</f>
        <v>Cruz Azul</v>
      </c>
      <c r="H153" s="4">
        <f>IF(F153="","",SUMIF('Estadísticas Jugadores'!$F$2:$F$7001,F153,'Estadísticas Jugadores'!$J$2:$J$7001))</f>
        <v>0</v>
      </c>
      <c r="I153" s="4">
        <f t="shared" si="13"/>
        <v>-1.5299999999999999E-5</v>
      </c>
      <c r="J153" s="4">
        <f t="shared" si="14"/>
        <v>161</v>
      </c>
    </row>
    <row r="154" spans="1:10" ht="15" customHeight="1" x14ac:dyDescent="0.25">
      <c r="A154" s="8">
        <f>IF(COUNT($J$2:$J$1501)&gt;=153,153,"")</f>
        <v>153</v>
      </c>
      <c r="B154" s="8" t="str">
        <f t="shared" si="10"/>
        <v>Martínez Ariel</v>
      </c>
      <c r="C154" s="8" t="str">
        <f t="shared" si="11"/>
        <v>Cruz Azul</v>
      </c>
      <c r="D154" s="8">
        <f t="shared" si="12"/>
        <v>0</v>
      </c>
      <c r="F154" s="4" t="str">
        <f>IF(Jugadores!B154="","",Jugadores!B154)</f>
        <v>Velázquez Karol</v>
      </c>
      <c r="G154" s="4" t="str">
        <f>IF(Jugadores!B154="","",Jugadores!A154)</f>
        <v>Cruz Azul</v>
      </c>
      <c r="H154" s="4">
        <f>IF(F154="","",SUMIF('Estadísticas Jugadores'!$F$2:$F$7001,F154,'Estadísticas Jugadores'!$J$2:$J$7001))</f>
        <v>0</v>
      </c>
      <c r="I154" s="4">
        <f t="shared" si="13"/>
        <v>-1.5399999999999998E-5</v>
      </c>
      <c r="J154" s="4">
        <f t="shared" si="14"/>
        <v>162</v>
      </c>
    </row>
    <row r="155" spans="1:10" ht="15" customHeight="1" x14ac:dyDescent="0.25">
      <c r="A155" s="8">
        <f>IF(COUNT($J$2:$J$1501)&gt;=154,154,"")</f>
        <v>154</v>
      </c>
      <c r="B155" s="8" t="str">
        <f t="shared" si="10"/>
        <v>Montano Andres</v>
      </c>
      <c r="C155" s="8" t="str">
        <f t="shared" si="11"/>
        <v>Cruz Azul</v>
      </c>
      <c r="D155" s="8">
        <f t="shared" si="12"/>
        <v>0</v>
      </c>
      <c r="F155" s="4" t="str">
        <f>IF(Jugadores!B155="","",Jugadores!B155)</f>
        <v>Calero Juan</v>
      </c>
      <c r="G155" s="4" t="str">
        <f>IF(Jugadores!B155="","",Jugadores!A155)</f>
        <v>Cruz Azul</v>
      </c>
      <c r="H155" s="4">
        <f>IF(F155="","",SUMIF('Estadísticas Jugadores'!$F$2:$F$7001,F155,'Estadísticas Jugadores'!$J$2:$J$7001))</f>
        <v>0</v>
      </c>
      <c r="I155" s="4">
        <f t="shared" si="13"/>
        <v>-1.5500000000000001E-5</v>
      </c>
      <c r="J155" s="4">
        <f t="shared" si="14"/>
        <v>163</v>
      </c>
    </row>
    <row r="156" spans="1:10" ht="15" customHeight="1" x14ac:dyDescent="0.25">
      <c r="A156" s="8">
        <f>IF(COUNT($J$2:$J$1501)&gt;=155,155,"")</f>
        <v>155</v>
      </c>
      <c r="B156" s="8" t="str">
        <f t="shared" si="10"/>
        <v>Márquez Jeremy</v>
      </c>
      <c r="C156" s="8" t="str">
        <f t="shared" si="11"/>
        <v>Cruz Azul</v>
      </c>
      <c r="D156" s="8">
        <f t="shared" si="12"/>
        <v>0</v>
      </c>
      <c r="F156" s="4" t="str">
        <f>IF(Jugadores!B156="","",Jugadores!B156)</f>
        <v>Ebere Christian</v>
      </c>
      <c r="G156" s="4" t="str">
        <f>IF(Jugadores!B156="","",Jugadores!A156)</f>
        <v>Cruz Azul</v>
      </c>
      <c r="H156" s="4">
        <f>IF(F156="","",SUMIF('Estadísticas Jugadores'!$F$2:$F$7001,F156,'Estadísticas Jugadores'!$J$2:$J$7001))</f>
        <v>0</v>
      </c>
      <c r="I156" s="4">
        <f t="shared" si="13"/>
        <v>-1.56E-5</v>
      </c>
      <c r="J156" s="4">
        <f t="shared" si="14"/>
        <v>164</v>
      </c>
    </row>
    <row r="157" spans="1:10" ht="15" customHeight="1" x14ac:dyDescent="0.25">
      <c r="A157" s="8">
        <f>IF(COUNT($J$2:$J$1501)&gt;=156,156,"")</f>
        <v>156</v>
      </c>
      <c r="B157" s="8" t="str">
        <f t="shared" si="10"/>
        <v>Palavecino Agustin</v>
      </c>
      <c r="C157" s="8" t="str">
        <f t="shared" si="11"/>
        <v>Cruz Azul</v>
      </c>
      <c r="D157" s="8">
        <f t="shared" si="12"/>
        <v>0</v>
      </c>
      <c r="F157" s="4" t="str">
        <f>IF(Jugadores!B157="","",Jugadores!B157)</f>
        <v>Fernández Gabriel</v>
      </c>
      <c r="G157" s="4" t="str">
        <f>IF(Jugadores!B157="","",Jugadores!A157)</f>
        <v>Cruz Azul</v>
      </c>
      <c r="H157" s="4">
        <f>IF(F157="","",SUMIF('Estadísticas Jugadores'!$F$2:$F$7001,F157,'Estadísticas Jugadores'!$J$2:$J$7001))</f>
        <v>0</v>
      </c>
      <c r="I157" s="4">
        <f t="shared" si="13"/>
        <v>-1.5699999999999999E-5</v>
      </c>
      <c r="J157" s="4">
        <f t="shared" si="14"/>
        <v>165</v>
      </c>
    </row>
    <row r="158" spans="1:10" ht="15" customHeight="1" x14ac:dyDescent="0.25">
      <c r="A158" s="8">
        <f>IF(COUNT($J$2:$J$1501)&gt;=157,157,"")</f>
        <v>157</v>
      </c>
      <c r="B158" s="8" t="str">
        <f t="shared" si="10"/>
        <v>Paradela Jose</v>
      </c>
      <c r="C158" s="8" t="str">
        <f t="shared" si="11"/>
        <v>Cruz Azul</v>
      </c>
      <c r="D158" s="8">
        <f t="shared" si="12"/>
        <v>0</v>
      </c>
      <c r="F158" s="4" t="str">
        <f>IF(Jugadores!B158="","",Jugadores!B158)</f>
        <v>Gamboa Bryan</v>
      </c>
      <c r="G158" s="4" t="str">
        <f>IF(Jugadores!B158="","",Jugadores!A158)</f>
        <v>Cruz Azul</v>
      </c>
      <c r="H158" s="4">
        <f>IF(F158="","",SUMIF('Estadísticas Jugadores'!$F$2:$F$7001,F158,'Estadísticas Jugadores'!$J$2:$J$7001))</f>
        <v>0</v>
      </c>
      <c r="I158" s="4">
        <f t="shared" si="13"/>
        <v>-1.5799999999999998E-5</v>
      </c>
      <c r="J158" s="4">
        <f t="shared" si="14"/>
        <v>166</v>
      </c>
    </row>
    <row r="159" spans="1:10" ht="15" customHeight="1" x14ac:dyDescent="0.25">
      <c r="A159" s="8">
        <f>IF(COUNT($J$2:$J$1501)&gt;=158,158,"")</f>
        <v>158</v>
      </c>
      <c r="B159" s="8" t="str">
        <f t="shared" si="10"/>
        <v>Ramirez Jacobo</v>
      </c>
      <c r="C159" s="8" t="str">
        <f t="shared" si="11"/>
        <v>Cruz Azul</v>
      </c>
      <c r="D159" s="8">
        <f t="shared" si="12"/>
        <v>0</v>
      </c>
      <c r="F159" s="4" t="str">
        <f>IF(Jugadores!B159="","",Jugadores!B159)</f>
        <v>Ibáñez Nicolás</v>
      </c>
      <c r="G159" s="4" t="str">
        <f>IF(Jugadores!B159="","",Jugadores!A159)</f>
        <v>Cruz Azul</v>
      </c>
      <c r="H159" s="4">
        <f>IF(F159="","",SUMIF('Estadísticas Jugadores'!$F$2:$F$7001,F159,'Estadísticas Jugadores'!$J$2:$J$7001))</f>
        <v>0</v>
      </c>
      <c r="I159" s="4">
        <f t="shared" si="13"/>
        <v>-1.59E-5</v>
      </c>
      <c r="J159" s="4">
        <f t="shared" si="14"/>
        <v>167</v>
      </c>
    </row>
    <row r="160" spans="1:10" ht="15" customHeight="1" x14ac:dyDescent="0.25">
      <c r="A160" s="8">
        <f>IF(COUNT($J$2:$J$1501)&gt;=159,159,"")</f>
        <v>159</v>
      </c>
      <c r="B160" s="8" t="str">
        <f t="shared" si="10"/>
        <v>Sanchez Emmanuel</v>
      </c>
      <c r="C160" s="8" t="str">
        <f t="shared" si="11"/>
        <v>Cruz Azul</v>
      </c>
      <c r="D160" s="8">
        <f t="shared" si="12"/>
        <v>0</v>
      </c>
      <c r="F160" s="4" t="str">
        <f>IF(Jugadores!B160="","",Jugadores!B160)</f>
        <v>Levy Mateo</v>
      </c>
      <c r="G160" s="4" t="str">
        <f>IF(Jugadores!B160="","",Jugadores!A160)</f>
        <v>Cruz Azul</v>
      </c>
      <c r="H160" s="4">
        <f>IF(F160="","",SUMIF('Estadísticas Jugadores'!$F$2:$F$7001,F160,'Estadísticas Jugadores'!$J$2:$J$7001))</f>
        <v>0</v>
      </c>
      <c r="I160" s="4">
        <f t="shared" si="13"/>
        <v>-1.5999999999999999E-5</v>
      </c>
      <c r="J160" s="4">
        <f t="shared" si="14"/>
        <v>168</v>
      </c>
    </row>
    <row r="161" spans="1:10" ht="15" customHeight="1" x14ac:dyDescent="0.25">
      <c r="A161" s="8">
        <f>IF(COUNT($J$2:$J$1501)&gt;=160,160,"")</f>
        <v>160</v>
      </c>
      <c r="B161" s="8" t="str">
        <f t="shared" si="10"/>
        <v>Silva Ivan</v>
      </c>
      <c r="C161" s="8" t="str">
        <f t="shared" si="11"/>
        <v>Cruz Azul</v>
      </c>
      <c r="D161" s="8">
        <f t="shared" si="12"/>
        <v>0</v>
      </c>
      <c r="F161" s="4" t="str">
        <f>IF(Jugadores!B161="","",Jugadores!B161)</f>
        <v>Morales Amaury</v>
      </c>
      <c r="G161" s="4" t="str">
        <f>IF(Jugadores!B161="","",Jugadores!A161)</f>
        <v>Cruz Azul</v>
      </c>
      <c r="H161" s="4">
        <f>IF(F161="","",SUMIF('Estadísticas Jugadores'!$F$2:$F$7001,F161,'Estadísticas Jugadores'!$J$2:$J$7001))</f>
        <v>0</v>
      </c>
      <c r="I161" s="4">
        <f t="shared" si="13"/>
        <v>-1.6099999999999998E-5</v>
      </c>
      <c r="J161" s="4">
        <f t="shared" si="14"/>
        <v>169</v>
      </c>
    </row>
    <row r="162" spans="1:10" ht="15" customHeight="1" x14ac:dyDescent="0.25">
      <c r="A162" s="8">
        <f>IF(COUNT($J$2:$J$1501)&gt;=161,161,"")</f>
        <v>161</v>
      </c>
      <c r="B162" s="8" t="str">
        <f t="shared" si="10"/>
        <v>Valdez Diego</v>
      </c>
      <c r="C162" s="8" t="str">
        <f t="shared" si="11"/>
        <v>Cruz Azul</v>
      </c>
      <c r="D162" s="8">
        <f t="shared" si="12"/>
        <v>0</v>
      </c>
      <c r="F162" s="4" t="str">
        <f>IF(Jugadores!B162="","",Jugadores!B162)</f>
        <v>Romero Luka</v>
      </c>
      <c r="G162" s="4" t="str">
        <f>IF(Jugadores!B162="","",Jugadores!A162)</f>
        <v>Cruz Azul</v>
      </c>
      <c r="H162" s="4">
        <f>IF(F162="","",SUMIF('Estadísticas Jugadores'!$F$2:$F$7001,F162,'Estadísticas Jugadores'!$J$2:$J$7001))</f>
        <v>1</v>
      </c>
      <c r="I162" s="4">
        <f t="shared" si="13"/>
        <v>999.9999838</v>
      </c>
      <c r="J162" s="4">
        <f t="shared" si="14"/>
        <v>9</v>
      </c>
    </row>
    <row r="163" spans="1:10" ht="15" customHeight="1" x14ac:dyDescent="0.25">
      <c r="A163" s="8">
        <f>IF(COUNT($J$2:$J$1501)&gt;=162,162,"")</f>
        <v>162</v>
      </c>
      <c r="B163" s="8" t="str">
        <f t="shared" si="10"/>
        <v>Velázquez Karol</v>
      </c>
      <c r="C163" s="8" t="str">
        <f t="shared" si="11"/>
        <v>Cruz Azul</v>
      </c>
      <c r="D163" s="8">
        <f t="shared" si="12"/>
        <v>0</v>
      </c>
      <c r="F163" s="4" t="str">
        <f>IF(Jugadores!B163="","",Jugadores!B163)</f>
        <v>Rotondi Carlos</v>
      </c>
      <c r="G163" s="4" t="str">
        <f>IF(Jugadores!B163="","",Jugadores!A163)</f>
        <v>Cruz Azul</v>
      </c>
      <c r="H163" s="4">
        <f>IF(F163="","",SUMIF('Estadísticas Jugadores'!$F$2:$F$7001,F163,'Estadísticas Jugadores'!$J$2:$J$7001))</f>
        <v>0</v>
      </c>
      <c r="I163" s="4">
        <f t="shared" si="13"/>
        <v>-1.63E-5</v>
      </c>
      <c r="J163" s="4">
        <f t="shared" si="14"/>
        <v>170</v>
      </c>
    </row>
    <row r="164" spans="1:10" ht="15" customHeight="1" x14ac:dyDescent="0.25">
      <c r="A164" s="8">
        <f>IF(COUNT($J$2:$J$1501)&gt;=163,163,"")</f>
        <v>163</v>
      </c>
      <c r="B164" s="8" t="str">
        <f t="shared" si="10"/>
        <v>Calero Juan</v>
      </c>
      <c r="C164" s="8" t="str">
        <f t="shared" si="11"/>
        <v>Cruz Azul</v>
      </c>
      <c r="D164" s="8">
        <f t="shared" si="12"/>
        <v>0</v>
      </c>
      <c r="F164" s="4" t="str">
        <f>IF(Jugadores!B164="","",Jugadores!B164)</f>
        <v>Hernandez Luis</v>
      </c>
      <c r="G164" s="4" t="str">
        <f>IF(Jugadores!B164="","",Jugadores!A164)</f>
        <v>Atlas</v>
      </c>
      <c r="H164" s="4">
        <f>IF(F164="","",SUMIF('Estadísticas Jugadores'!$F$2:$F$7001,F164,'Estadísticas Jugadores'!$J$2:$J$7001))</f>
        <v>0</v>
      </c>
      <c r="I164" s="4">
        <f t="shared" si="13"/>
        <v>-1.6399999999999999E-5</v>
      </c>
      <c r="J164" s="4">
        <f t="shared" si="14"/>
        <v>171</v>
      </c>
    </row>
    <row r="165" spans="1:10" ht="15" customHeight="1" x14ac:dyDescent="0.25">
      <c r="A165" s="8">
        <f>IF(COUNT($J$2:$J$1501)&gt;=164,164,"")</f>
        <v>164</v>
      </c>
      <c r="B165" s="8" t="str">
        <f t="shared" si="10"/>
        <v>Ebere Christian</v>
      </c>
      <c r="C165" s="8" t="str">
        <f t="shared" si="11"/>
        <v>Cruz Azul</v>
      </c>
      <c r="D165" s="8">
        <f t="shared" si="12"/>
        <v>0</v>
      </c>
      <c r="F165" s="4" t="str">
        <f>IF(Jugadores!B165="","",Jugadores!B165)</f>
        <v>Sanchez Antonio</v>
      </c>
      <c r="G165" s="4" t="str">
        <f>IF(Jugadores!B165="","",Jugadores!A165)</f>
        <v>Atlas</v>
      </c>
      <c r="H165" s="4">
        <f>IF(F165="","",SUMIF('Estadísticas Jugadores'!$F$2:$F$7001,F165,'Estadísticas Jugadores'!$J$2:$J$7001))</f>
        <v>0</v>
      </c>
      <c r="I165" s="4">
        <f t="shared" si="13"/>
        <v>-1.6499999999999998E-5</v>
      </c>
      <c r="J165" s="4">
        <f t="shared" si="14"/>
        <v>172</v>
      </c>
    </row>
    <row r="166" spans="1:10" ht="15" customHeight="1" x14ac:dyDescent="0.25">
      <c r="A166" s="8">
        <f>IF(COUNT($J$2:$J$1501)&gt;=165,165,"")</f>
        <v>165</v>
      </c>
      <c r="B166" s="8" t="str">
        <f t="shared" si="10"/>
        <v>Fernández Gabriel</v>
      </c>
      <c r="C166" s="8" t="str">
        <f t="shared" si="11"/>
        <v>Cruz Azul</v>
      </c>
      <c r="D166" s="8">
        <f t="shared" si="12"/>
        <v>0</v>
      </c>
      <c r="F166" s="4" t="str">
        <f>IF(Jugadores!B166="","",Jugadores!B166)</f>
        <v>Vargas Camilo</v>
      </c>
      <c r="G166" s="4" t="str">
        <f>IF(Jugadores!B166="","",Jugadores!A166)</f>
        <v>Atlas</v>
      </c>
      <c r="H166" s="4">
        <f>IF(F166="","",SUMIF('Estadísticas Jugadores'!$F$2:$F$7001,F166,'Estadísticas Jugadores'!$J$2:$J$7001))</f>
        <v>0</v>
      </c>
      <c r="I166" s="4">
        <f t="shared" si="13"/>
        <v>-1.66E-5</v>
      </c>
      <c r="J166" s="4">
        <f t="shared" si="14"/>
        <v>173</v>
      </c>
    </row>
    <row r="167" spans="1:10" ht="15" customHeight="1" x14ac:dyDescent="0.25">
      <c r="A167" s="8">
        <f>IF(COUNT($J$2:$J$1501)&gt;=166,166,"")</f>
        <v>166</v>
      </c>
      <c r="B167" s="8" t="str">
        <f t="shared" si="10"/>
        <v>Gamboa Bryan</v>
      </c>
      <c r="C167" s="8" t="str">
        <f t="shared" si="11"/>
        <v>Cruz Azul</v>
      </c>
      <c r="D167" s="8">
        <f t="shared" si="12"/>
        <v>0</v>
      </c>
      <c r="F167" s="4" t="str">
        <f>IF(Jugadores!B167="","",Jugadores!B167)</f>
        <v>Aguirre Ledesma Gaddi</v>
      </c>
      <c r="G167" s="4" t="str">
        <f>IF(Jugadores!B167="","",Jugadores!A167)</f>
        <v>Atlas</v>
      </c>
      <c r="H167" s="4">
        <f>IF(F167="","",SUMIF('Estadísticas Jugadores'!$F$2:$F$7001,F167,'Estadísticas Jugadores'!$J$2:$J$7001))</f>
        <v>0</v>
      </c>
      <c r="I167" s="4">
        <f t="shared" si="13"/>
        <v>-1.6699999999999999E-5</v>
      </c>
      <c r="J167" s="4">
        <f t="shared" si="14"/>
        <v>174</v>
      </c>
    </row>
    <row r="168" spans="1:10" ht="15" customHeight="1" x14ac:dyDescent="0.25">
      <c r="A168" s="8">
        <f>IF(COUNT($J$2:$J$1501)&gt;=167,167,"")</f>
        <v>167</v>
      </c>
      <c r="B168" s="8" t="str">
        <f t="shared" si="10"/>
        <v>Ibáñez Nicolás</v>
      </c>
      <c r="C168" s="8" t="str">
        <f t="shared" si="11"/>
        <v>Cruz Azul</v>
      </c>
      <c r="D168" s="8">
        <f t="shared" si="12"/>
        <v>0</v>
      </c>
      <c r="F168" s="4" t="str">
        <f>IF(Jugadores!B168="","",Jugadores!B168)</f>
        <v>Capasso Manuel</v>
      </c>
      <c r="G168" s="4" t="str">
        <f>IF(Jugadores!B168="","",Jugadores!A168)</f>
        <v>Atlas</v>
      </c>
      <c r="H168" s="4">
        <f>IF(F168="","",SUMIF('Estadísticas Jugadores'!$F$2:$F$7001,F168,'Estadísticas Jugadores'!$J$2:$J$7001))</f>
        <v>0</v>
      </c>
      <c r="I168" s="4">
        <f t="shared" si="13"/>
        <v>-1.6799999999999998E-5</v>
      </c>
      <c r="J168" s="4">
        <f t="shared" si="14"/>
        <v>175</v>
      </c>
    </row>
    <row r="169" spans="1:10" ht="15" customHeight="1" x14ac:dyDescent="0.25">
      <c r="A169" s="8">
        <f>IF(COUNT($J$2:$J$1501)&gt;=168,168,"")</f>
        <v>168</v>
      </c>
      <c r="B169" s="8" t="str">
        <f t="shared" si="10"/>
        <v>Levy Mateo</v>
      </c>
      <c r="C169" s="8" t="str">
        <f t="shared" si="11"/>
        <v>Cruz Azul</v>
      </c>
      <c r="D169" s="8">
        <f t="shared" si="12"/>
        <v>0</v>
      </c>
      <c r="F169" s="4" t="str">
        <f>IF(Jugadores!B169="","",Jugadores!B169)</f>
        <v>Gustavo Ferrareis</v>
      </c>
      <c r="G169" s="4" t="str">
        <f>IF(Jugadores!B169="","",Jugadores!A169)</f>
        <v>Atlas</v>
      </c>
      <c r="H169" s="4">
        <f>IF(F169="","",SUMIF('Estadísticas Jugadores'!$F$2:$F$7001,F169,'Estadísticas Jugadores'!$J$2:$J$7001))</f>
        <v>1</v>
      </c>
      <c r="I169" s="4">
        <f t="shared" si="13"/>
        <v>999.99998310000001</v>
      </c>
      <c r="J169" s="4">
        <f t="shared" si="14"/>
        <v>10</v>
      </c>
    </row>
    <row r="170" spans="1:10" ht="15" customHeight="1" x14ac:dyDescent="0.25">
      <c r="A170" s="8">
        <f>IF(COUNT($J$2:$J$1501)&gt;=169,169,"")</f>
        <v>169</v>
      </c>
      <c r="B170" s="8" t="str">
        <f t="shared" si="10"/>
        <v>Morales Amaury</v>
      </c>
      <c r="C170" s="8" t="str">
        <f t="shared" si="11"/>
        <v>Cruz Azul</v>
      </c>
      <c r="D170" s="8">
        <f t="shared" si="12"/>
        <v>0</v>
      </c>
      <c r="F170" s="4" t="str">
        <f>IF(Jugadores!B170="","",Jugadores!B170)</f>
        <v>Lozano Jose</v>
      </c>
      <c r="G170" s="4" t="str">
        <f>IF(Jugadores!B170="","",Jugadores!A170)</f>
        <v>Atlas</v>
      </c>
      <c r="H170" s="4">
        <f>IF(F170="","",SUMIF('Estadísticas Jugadores'!$F$2:$F$7001,F170,'Estadísticas Jugadores'!$J$2:$J$7001))</f>
        <v>0</v>
      </c>
      <c r="I170" s="4">
        <f t="shared" si="13"/>
        <v>-1.7E-5</v>
      </c>
      <c r="J170" s="4">
        <f t="shared" si="14"/>
        <v>176</v>
      </c>
    </row>
    <row r="171" spans="1:10" ht="15" customHeight="1" x14ac:dyDescent="0.25">
      <c r="A171" s="8">
        <f>IF(COUNT($J$2:$J$1501)&gt;=170,170,"")</f>
        <v>170</v>
      </c>
      <c r="B171" s="8" t="str">
        <f t="shared" si="10"/>
        <v>Rotondi Carlos</v>
      </c>
      <c r="C171" s="8" t="str">
        <f t="shared" si="11"/>
        <v>Cruz Azul</v>
      </c>
      <c r="D171" s="8">
        <f t="shared" si="12"/>
        <v>0</v>
      </c>
      <c r="F171" s="4" t="str">
        <f>IF(Jugadores!B171="","",Jugadores!B171)</f>
        <v>Mora Adrián</v>
      </c>
      <c r="G171" s="4" t="str">
        <f>IF(Jugadores!B171="","",Jugadores!A171)</f>
        <v>Atlas</v>
      </c>
      <c r="H171" s="4">
        <f>IF(F171="","",SUMIF('Estadísticas Jugadores'!$F$2:$F$7001,F171,'Estadísticas Jugadores'!$J$2:$J$7001))</f>
        <v>0</v>
      </c>
      <c r="I171" s="4">
        <f t="shared" si="13"/>
        <v>-1.7099999999999999E-5</v>
      </c>
      <c r="J171" s="4">
        <f t="shared" si="14"/>
        <v>177</v>
      </c>
    </row>
    <row r="172" spans="1:10" ht="15" customHeight="1" x14ac:dyDescent="0.25">
      <c r="A172" s="8">
        <f>IF(COUNT($J$2:$J$1501)&gt;=171,171,"")</f>
        <v>171</v>
      </c>
      <c r="B172" s="8" t="str">
        <f t="shared" si="10"/>
        <v>Hernandez Luis</v>
      </c>
      <c r="C172" s="8" t="str">
        <f t="shared" si="11"/>
        <v>Atlas</v>
      </c>
      <c r="D172" s="8">
        <f t="shared" si="12"/>
        <v>0</v>
      </c>
      <c r="F172" s="4" t="str">
        <f>IF(Jugadores!B172="","",Jugadores!B172)</f>
        <v>Pier Roberto</v>
      </c>
      <c r="G172" s="4" t="str">
        <f>IF(Jugadores!B172="","",Jugadores!A172)</f>
        <v>Atlas</v>
      </c>
      <c r="H172" s="4">
        <f>IF(F172="","",SUMIF('Estadísticas Jugadores'!$F$2:$F$7001,F172,'Estadísticas Jugadores'!$J$2:$J$7001))</f>
        <v>0</v>
      </c>
      <c r="I172" s="4">
        <f t="shared" si="13"/>
        <v>-1.7199999999999998E-5</v>
      </c>
      <c r="J172" s="4">
        <f t="shared" si="14"/>
        <v>178</v>
      </c>
    </row>
    <row r="173" spans="1:10" ht="15" customHeight="1" x14ac:dyDescent="0.25">
      <c r="A173" s="8">
        <f>IF(COUNT($J$2:$J$1501)&gt;=172,172,"")</f>
        <v>172</v>
      </c>
      <c r="B173" s="8" t="str">
        <f t="shared" si="10"/>
        <v>Sanchez Antonio</v>
      </c>
      <c r="C173" s="8" t="str">
        <f t="shared" si="11"/>
        <v>Atlas</v>
      </c>
      <c r="D173" s="8">
        <f t="shared" si="12"/>
        <v>0</v>
      </c>
      <c r="F173" s="4" t="str">
        <f>IF(Jugadores!B173="","",Jugadores!B173)</f>
        <v>Rodriguez Jorge</v>
      </c>
      <c r="G173" s="4" t="str">
        <f>IF(Jugadores!B173="","",Jugadores!A173)</f>
        <v>Atlas</v>
      </c>
      <c r="H173" s="4">
        <f>IF(F173="","",SUMIF('Estadísticas Jugadores'!$F$2:$F$7001,F173,'Estadísticas Jugadores'!$J$2:$J$7001))</f>
        <v>0</v>
      </c>
      <c r="I173" s="4">
        <f t="shared" si="13"/>
        <v>-1.73E-5</v>
      </c>
      <c r="J173" s="4">
        <f t="shared" si="14"/>
        <v>179</v>
      </c>
    </row>
    <row r="174" spans="1:10" ht="15" customHeight="1" x14ac:dyDescent="0.25">
      <c r="A174" s="8">
        <f>IF(COUNT($J$2:$J$1501)&gt;=173,173,"")</f>
        <v>173</v>
      </c>
      <c r="B174" s="8" t="str">
        <f t="shared" si="10"/>
        <v>Vargas Camilo</v>
      </c>
      <c r="C174" s="8" t="str">
        <f t="shared" si="11"/>
        <v>Atlas</v>
      </c>
      <c r="D174" s="8">
        <f t="shared" si="12"/>
        <v>0</v>
      </c>
      <c r="F174" s="4" t="str">
        <f>IF(Jugadores!B174="","",Jugadores!B174)</f>
        <v>San Martin Jorge</v>
      </c>
      <c r="G174" s="4" t="str">
        <f>IF(Jugadores!B174="","",Jugadores!A174)</f>
        <v>Atlas</v>
      </c>
      <c r="H174" s="4">
        <f>IF(F174="","",SUMIF('Estadísticas Jugadores'!$F$2:$F$7001,F174,'Estadísticas Jugadores'!$J$2:$J$7001))</f>
        <v>0</v>
      </c>
      <c r="I174" s="4">
        <f t="shared" si="13"/>
        <v>-1.7399999999999999E-5</v>
      </c>
      <c r="J174" s="4">
        <f t="shared" si="14"/>
        <v>180</v>
      </c>
    </row>
    <row r="175" spans="1:10" ht="15" customHeight="1" x14ac:dyDescent="0.25">
      <c r="A175" s="8">
        <f>IF(COUNT($J$2:$J$1501)&gt;=174,174,"")</f>
        <v>174</v>
      </c>
      <c r="B175" s="8" t="str">
        <f t="shared" si="10"/>
        <v>Aguirre Ledesma Gaddi</v>
      </c>
      <c r="C175" s="8" t="str">
        <f t="shared" si="11"/>
        <v>Atlas</v>
      </c>
      <c r="D175" s="8">
        <f t="shared" si="12"/>
        <v>0</v>
      </c>
      <c r="F175" s="4" t="str">
        <f>IF(Jugadores!B175="","",Jugadores!B175)</f>
        <v>Schlegel Rodrigo</v>
      </c>
      <c r="G175" s="4" t="str">
        <f>IF(Jugadores!B175="","",Jugadores!A175)</f>
        <v>Atlas</v>
      </c>
      <c r="H175" s="4">
        <f>IF(F175="","",SUMIF('Estadísticas Jugadores'!$F$2:$F$7001,F175,'Estadísticas Jugadores'!$J$2:$J$7001))</f>
        <v>0</v>
      </c>
      <c r="I175" s="4">
        <f t="shared" si="13"/>
        <v>-1.7499999999999998E-5</v>
      </c>
      <c r="J175" s="4">
        <f t="shared" si="14"/>
        <v>181</v>
      </c>
    </row>
    <row r="176" spans="1:10" ht="15" customHeight="1" x14ac:dyDescent="0.25">
      <c r="A176" s="8">
        <f>IF(COUNT($J$2:$J$1501)&gt;=175,175,"")</f>
        <v>175</v>
      </c>
      <c r="B176" s="8" t="str">
        <f t="shared" si="10"/>
        <v>Capasso Manuel</v>
      </c>
      <c r="C176" s="8" t="str">
        <f t="shared" si="11"/>
        <v>Atlas</v>
      </c>
      <c r="D176" s="8">
        <f t="shared" si="12"/>
        <v>0</v>
      </c>
      <c r="F176" s="4" t="str">
        <f>IF(Jugadores!B176="","",Jugadores!B176)</f>
        <v>Sánchez Jorge</v>
      </c>
      <c r="G176" s="4" t="str">
        <f>IF(Jugadores!B176="","",Jugadores!A176)</f>
        <v>Atlas</v>
      </c>
      <c r="H176" s="4">
        <f>IF(F176="","",SUMIF('Estadísticas Jugadores'!$F$2:$F$7001,F176,'Estadísticas Jugadores'!$J$2:$J$7001))</f>
        <v>0</v>
      </c>
      <c r="I176" s="4">
        <f t="shared" si="13"/>
        <v>-1.7600000000000001E-5</v>
      </c>
      <c r="J176" s="4">
        <f t="shared" si="14"/>
        <v>182</v>
      </c>
    </row>
    <row r="177" spans="1:10" ht="15" customHeight="1" x14ac:dyDescent="0.25">
      <c r="A177" s="8">
        <f>IF(COUNT($J$2:$J$1501)&gt;=176,176,"")</f>
        <v>176</v>
      </c>
      <c r="B177" s="8" t="str">
        <f t="shared" si="10"/>
        <v>Lozano Jose</v>
      </c>
      <c r="C177" s="8" t="str">
        <f t="shared" si="11"/>
        <v>Atlas</v>
      </c>
      <c r="D177" s="8">
        <f t="shared" si="12"/>
        <v>0</v>
      </c>
      <c r="F177" s="4" t="str">
        <f>IF(Jugadores!B177="","",Jugadores!B177)</f>
        <v>Valenzuela Milton</v>
      </c>
      <c r="G177" s="4" t="str">
        <f>IF(Jugadores!B177="","",Jugadores!A177)</f>
        <v>Atlas</v>
      </c>
      <c r="H177" s="4">
        <f>IF(F177="","",SUMIF('Estadísticas Jugadores'!$F$2:$F$7001,F177,'Estadísticas Jugadores'!$J$2:$J$7001))</f>
        <v>0</v>
      </c>
      <c r="I177" s="4">
        <f t="shared" si="13"/>
        <v>-1.77E-5</v>
      </c>
      <c r="J177" s="4">
        <f t="shared" si="14"/>
        <v>183</v>
      </c>
    </row>
    <row r="178" spans="1:10" ht="15" customHeight="1" x14ac:dyDescent="0.25">
      <c r="A178" s="8">
        <f>IF(COUNT($J$2:$J$1501)&gt;=177,177,"")</f>
        <v>177</v>
      </c>
      <c r="B178" s="8" t="str">
        <f t="shared" si="10"/>
        <v>Mora Adrián</v>
      </c>
      <c r="C178" s="8" t="str">
        <f t="shared" si="11"/>
        <v>Atlas</v>
      </c>
      <c r="D178" s="8">
        <f t="shared" si="12"/>
        <v>0</v>
      </c>
      <c r="F178" s="4" t="str">
        <f>IF(Jugadores!B178="","",Jugadores!B178)</f>
        <v>Blanco Luis</v>
      </c>
      <c r="G178" s="4" t="str">
        <f>IF(Jugadores!B178="","",Jugadores!A178)</f>
        <v>Atlas</v>
      </c>
      <c r="H178" s="4">
        <f>IF(F178="","",SUMIF('Estadísticas Jugadores'!$F$2:$F$7001,F178,'Estadísticas Jugadores'!$J$2:$J$7001))</f>
        <v>0</v>
      </c>
      <c r="I178" s="4">
        <f t="shared" si="13"/>
        <v>-1.7799999999999999E-5</v>
      </c>
      <c r="J178" s="4">
        <f t="shared" si="14"/>
        <v>184</v>
      </c>
    </row>
    <row r="179" spans="1:10" ht="15" customHeight="1" x14ac:dyDescent="0.25">
      <c r="A179" s="8">
        <f>IF(COUNT($J$2:$J$1501)&gt;=178,178,"")</f>
        <v>178</v>
      </c>
      <c r="B179" s="8" t="str">
        <f t="shared" si="10"/>
        <v>Pier Roberto</v>
      </c>
      <c r="C179" s="8" t="str">
        <f t="shared" si="11"/>
        <v>Atlas</v>
      </c>
      <c r="D179" s="8">
        <f t="shared" si="12"/>
        <v>0</v>
      </c>
      <c r="F179" s="4" t="str">
        <f>IF(Jugadores!B179="","",Jugadores!B179)</f>
        <v>Esteves Luis</v>
      </c>
      <c r="G179" s="4" t="str">
        <f>IF(Jugadores!B179="","",Jugadores!A179)</f>
        <v>Atlas</v>
      </c>
      <c r="H179" s="4">
        <f>IF(F179="","",SUMIF('Estadísticas Jugadores'!$F$2:$F$7001,F179,'Estadísticas Jugadores'!$J$2:$J$7001))</f>
        <v>0</v>
      </c>
      <c r="I179" s="4">
        <f t="shared" si="13"/>
        <v>-1.7899999999999998E-5</v>
      </c>
      <c r="J179" s="4">
        <f t="shared" si="14"/>
        <v>185</v>
      </c>
    </row>
    <row r="180" spans="1:10" ht="15" customHeight="1" x14ac:dyDescent="0.25">
      <c r="A180" s="8">
        <f>IF(COUNT($J$2:$J$1501)&gt;=179,179,"")</f>
        <v>179</v>
      </c>
      <c r="B180" s="8" t="str">
        <f t="shared" si="10"/>
        <v>Rodriguez Jorge</v>
      </c>
      <c r="C180" s="8" t="str">
        <f t="shared" si="11"/>
        <v>Atlas</v>
      </c>
      <c r="D180" s="8">
        <f t="shared" si="12"/>
        <v>0</v>
      </c>
      <c r="F180" s="4" t="str">
        <f>IF(Jugadores!B180="","",Jugadores!B180)</f>
        <v>Guillen Jesús</v>
      </c>
      <c r="G180" s="4" t="str">
        <f>IF(Jugadores!B180="","",Jugadores!A180)</f>
        <v>Atlas</v>
      </c>
      <c r="H180" s="4">
        <f>IF(F180="","",SUMIF('Estadísticas Jugadores'!$F$2:$F$7001,F180,'Estadísticas Jugadores'!$J$2:$J$7001))</f>
        <v>0</v>
      </c>
      <c r="I180" s="4">
        <f t="shared" si="13"/>
        <v>-1.8E-5</v>
      </c>
      <c r="J180" s="4">
        <f t="shared" si="14"/>
        <v>186</v>
      </c>
    </row>
    <row r="181" spans="1:10" ht="15" customHeight="1" x14ac:dyDescent="0.25">
      <c r="A181" s="8">
        <f>IF(COUNT($J$2:$J$1501)&gt;=180,180,"")</f>
        <v>180</v>
      </c>
      <c r="B181" s="8" t="str">
        <f t="shared" si="10"/>
        <v>San Martin Jorge</v>
      </c>
      <c r="C181" s="8" t="str">
        <f t="shared" si="11"/>
        <v>Atlas</v>
      </c>
      <c r="D181" s="8">
        <f t="shared" si="12"/>
        <v>0</v>
      </c>
      <c r="F181" s="4" t="str">
        <f>IF(Jugadores!B181="","",Jugadores!B181)</f>
        <v>Hernandez Sergio</v>
      </c>
      <c r="G181" s="4" t="str">
        <f>IF(Jugadores!B181="","",Jugadores!A181)</f>
        <v>Atlas</v>
      </c>
      <c r="H181" s="4">
        <f>IF(F181="","",SUMIF('Estadísticas Jugadores'!$F$2:$F$7001,F181,'Estadísticas Jugadores'!$J$2:$J$7001))</f>
        <v>0</v>
      </c>
      <c r="I181" s="4">
        <f t="shared" si="13"/>
        <v>-1.8099999999999999E-5</v>
      </c>
      <c r="J181" s="4">
        <f t="shared" si="14"/>
        <v>187</v>
      </c>
    </row>
    <row r="182" spans="1:10" ht="15" customHeight="1" x14ac:dyDescent="0.25">
      <c r="A182" s="8">
        <f>IF(COUNT($J$2:$J$1501)&gt;=181,181,"")</f>
        <v>181</v>
      </c>
      <c r="B182" s="8" t="str">
        <f t="shared" si="10"/>
        <v>Schlegel Rodrigo</v>
      </c>
      <c r="C182" s="8" t="str">
        <f t="shared" si="11"/>
        <v>Atlas</v>
      </c>
      <c r="D182" s="8">
        <f t="shared" si="12"/>
        <v>0</v>
      </c>
      <c r="F182" s="4" t="str">
        <f>IF(Jugadores!B182="","",Jugadores!B182)</f>
        <v>Ramirez Paulo</v>
      </c>
      <c r="G182" s="4" t="str">
        <f>IF(Jugadores!B182="","",Jugadores!A182)</f>
        <v>Atlas</v>
      </c>
      <c r="H182" s="4">
        <f>IF(F182="","",SUMIF('Estadísticas Jugadores'!$F$2:$F$7001,F182,'Estadísticas Jugadores'!$J$2:$J$7001))</f>
        <v>0</v>
      </c>
      <c r="I182" s="4">
        <f t="shared" si="13"/>
        <v>-1.8199999999999999E-5</v>
      </c>
      <c r="J182" s="4">
        <f t="shared" si="14"/>
        <v>188</v>
      </c>
    </row>
    <row r="183" spans="1:10" ht="15" customHeight="1" x14ac:dyDescent="0.25">
      <c r="A183" s="8">
        <f>IF(COUNT($J$2:$J$1501)&gt;=182,182,"")</f>
        <v>182</v>
      </c>
      <c r="B183" s="8" t="str">
        <f t="shared" si="10"/>
        <v>Sánchez Jorge</v>
      </c>
      <c r="C183" s="8" t="str">
        <f t="shared" si="11"/>
        <v>Atlas</v>
      </c>
      <c r="D183" s="8">
        <f t="shared" si="12"/>
        <v>0</v>
      </c>
      <c r="F183" s="4" t="str">
        <f>IF(Jugadores!B183="","",Jugadores!B183)</f>
        <v>Rios De Alba Victor Hugo</v>
      </c>
      <c r="G183" s="4" t="str">
        <f>IF(Jugadores!B183="","",Jugadores!A183)</f>
        <v>Atlas</v>
      </c>
      <c r="H183" s="4">
        <f>IF(F183="","",SUMIF('Estadísticas Jugadores'!$F$2:$F$7001,F183,'Estadísticas Jugadores'!$J$2:$J$7001))</f>
        <v>0</v>
      </c>
      <c r="I183" s="4">
        <f t="shared" si="13"/>
        <v>-1.8299999999999998E-5</v>
      </c>
      <c r="J183" s="4">
        <f t="shared" si="14"/>
        <v>189</v>
      </c>
    </row>
    <row r="184" spans="1:10" ht="15" customHeight="1" x14ac:dyDescent="0.25">
      <c r="A184" s="8">
        <f>IF(COUNT($J$2:$J$1501)&gt;=183,183,"")</f>
        <v>183</v>
      </c>
      <c r="B184" s="8" t="str">
        <f t="shared" si="10"/>
        <v>Valenzuela Milton</v>
      </c>
      <c r="C184" s="8" t="str">
        <f t="shared" si="11"/>
        <v>Atlas</v>
      </c>
      <c r="D184" s="8">
        <f t="shared" si="12"/>
        <v>0</v>
      </c>
      <c r="F184" s="4" t="str">
        <f>IF(Jugadores!B184="","",Jugadores!B184)</f>
        <v>Rocha Aldo</v>
      </c>
      <c r="G184" s="4" t="str">
        <f>IF(Jugadores!B184="","",Jugadores!A184)</f>
        <v>Atlas</v>
      </c>
      <c r="H184" s="4">
        <f>IF(F184="","",SUMIF('Estadísticas Jugadores'!$F$2:$F$7001,F184,'Estadísticas Jugadores'!$J$2:$J$7001))</f>
        <v>0</v>
      </c>
      <c r="I184" s="4">
        <f t="shared" si="13"/>
        <v>-1.84E-5</v>
      </c>
      <c r="J184" s="4">
        <f t="shared" si="14"/>
        <v>190</v>
      </c>
    </row>
    <row r="185" spans="1:10" ht="15" customHeight="1" x14ac:dyDescent="0.25">
      <c r="A185" s="8">
        <f>IF(COUNT($J$2:$J$1501)&gt;=184,184,"")</f>
        <v>184</v>
      </c>
      <c r="B185" s="8" t="str">
        <f t="shared" si="10"/>
        <v>Blanco Luis</v>
      </c>
      <c r="C185" s="8" t="str">
        <f t="shared" si="11"/>
        <v>Atlas</v>
      </c>
      <c r="D185" s="8">
        <f t="shared" si="12"/>
        <v>0</v>
      </c>
      <c r="F185" s="4" t="str">
        <f>IF(Jugadores!B185="","",Jugadores!B185)</f>
        <v>Serrato Jesus</v>
      </c>
      <c r="G185" s="4" t="str">
        <f>IF(Jugadores!B185="","",Jugadores!A185)</f>
        <v>Atlas</v>
      </c>
      <c r="H185" s="4">
        <f>IF(F185="","",SUMIF('Estadísticas Jugadores'!$F$2:$F$7001,F185,'Estadísticas Jugadores'!$J$2:$J$7001))</f>
        <v>0</v>
      </c>
      <c r="I185" s="4">
        <f t="shared" si="13"/>
        <v>-1.8499999999999999E-5</v>
      </c>
      <c r="J185" s="4">
        <f t="shared" si="14"/>
        <v>191</v>
      </c>
    </row>
    <row r="186" spans="1:10" ht="15" customHeight="1" x14ac:dyDescent="0.25">
      <c r="A186" s="8">
        <f>IF(COUNT($J$2:$J$1501)&gt;=185,185,"")</f>
        <v>185</v>
      </c>
      <c r="B186" s="8" t="str">
        <f t="shared" si="10"/>
        <v>Esteves Luis</v>
      </c>
      <c r="C186" s="8" t="str">
        <f t="shared" si="11"/>
        <v>Atlas</v>
      </c>
      <c r="D186" s="8">
        <f t="shared" si="12"/>
        <v>0</v>
      </c>
      <c r="F186" s="4" t="str">
        <f>IF(Jugadores!B186="","",Jugadores!B186)</f>
        <v>Zaldivar Valverde Edgar</v>
      </c>
      <c r="G186" s="4" t="str">
        <f>IF(Jugadores!B186="","",Jugadores!A186)</f>
        <v>Atlas</v>
      </c>
      <c r="H186" s="4">
        <f>IF(F186="","",SUMIF('Estadísticas Jugadores'!$F$2:$F$7001,F186,'Estadísticas Jugadores'!$J$2:$J$7001))</f>
        <v>0</v>
      </c>
      <c r="I186" s="4">
        <f t="shared" si="13"/>
        <v>-1.8599999999999998E-5</v>
      </c>
      <c r="J186" s="4">
        <f t="shared" si="14"/>
        <v>192</v>
      </c>
    </row>
    <row r="187" spans="1:10" ht="15" customHeight="1" x14ac:dyDescent="0.25">
      <c r="A187" s="8">
        <f>IF(COUNT($J$2:$J$1501)&gt;=186,186,"")</f>
        <v>186</v>
      </c>
      <c r="B187" s="8" t="str">
        <f t="shared" si="10"/>
        <v>Guillen Jesús</v>
      </c>
      <c r="C187" s="8" t="str">
        <f t="shared" si="11"/>
        <v>Atlas</v>
      </c>
      <c r="D187" s="8">
        <f t="shared" si="12"/>
        <v>0</v>
      </c>
      <c r="F187" s="4" t="str">
        <f>IF(Jugadores!B187="","",Jugadores!B187)</f>
        <v>Duk</v>
      </c>
      <c r="G187" s="4" t="str">
        <f>IF(Jugadores!B187="","",Jugadores!A187)</f>
        <v>Atlas</v>
      </c>
      <c r="H187" s="4">
        <f>IF(F187="","",SUMIF('Estadísticas Jugadores'!$F$2:$F$7001,F187,'Estadísticas Jugadores'!$J$2:$J$7001))</f>
        <v>0</v>
      </c>
      <c r="I187" s="4">
        <f t="shared" si="13"/>
        <v>-1.8700000000000001E-5</v>
      </c>
      <c r="J187" s="4">
        <f t="shared" si="14"/>
        <v>193</v>
      </c>
    </row>
    <row r="188" spans="1:10" ht="15" customHeight="1" x14ac:dyDescent="0.25">
      <c r="A188" s="8">
        <f>IF(COUNT($J$2:$J$1501)&gt;=187,187,"")</f>
        <v>187</v>
      </c>
      <c r="B188" s="8" t="str">
        <f t="shared" si="10"/>
        <v>Hernandez Sergio</v>
      </c>
      <c r="C188" s="8" t="str">
        <f t="shared" si="11"/>
        <v>Atlas</v>
      </c>
      <c r="D188" s="8">
        <f t="shared" si="12"/>
        <v>0</v>
      </c>
      <c r="F188" s="4" t="str">
        <f>IF(Jugadores!B188="","",Jugadores!B188)</f>
        <v>Gamboa Luis</v>
      </c>
      <c r="G188" s="4" t="str">
        <f>IF(Jugadores!B188="","",Jugadores!A188)</f>
        <v>Atlas</v>
      </c>
      <c r="H188" s="4">
        <f>IF(F188="","",SUMIF('Estadísticas Jugadores'!$F$2:$F$7001,F188,'Estadísticas Jugadores'!$J$2:$J$7001))</f>
        <v>0</v>
      </c>
      <c r="I188" s="4">
        <f t="shared" si="13"/>
        <v>-1.88E-5</v>
      </c>
      <c r="J188" s="4">
        <f t="shared" si="14"/>
        <v>194</v>
      </c>
    </row>
    <row r="189" spans="1:10" ht="15" customHeight="1" x14ac:dyDescent="0.25">
      <c r="A189" s="8">
        <f>IF(COUNT($J$2:$J$1501)&gt;=188,188,"")</f>
        <v>188</v>
      </c>
      <c r="B189" s="8" t="str">
        <f t="shared" si="10"/>
        <v>Ramirez Paulo</v>
      </c>
      <c r="C189" s="8" t="str">
        <f t="shared" si="11"/>
        <v>Atlas</v>
      </c>
      <c r="D189" s="8">
        <f t="shared" si="12"/>
        <v>0</v>
      </c>
      <c r="F189" s="4" t="str">
        <f>IF(Jugadores!B189="","",Jugadores!B189)</f>
        <v>García Mateo Ezequiel</v>
      </c>
      <c r="G189" s="4" t="str">
        <f>IF(Jugadores!B189="","",Jugadores!A189)</f>
        <v>Atlas</v>
      </c>
      <c r="H189" s="4">
        <f>IF(F189="","",SUMIF('Estadísticas Jugadores'!$F$2:$F$7001,F189,'Estadísticas Jugadores'!$J$2:$J$7001))</f>
        <v>0</v>
      </c>
      <c r="I189" s="4">
        <f t="shared" si="13"/>
        <v>-1.8899999999999999E-5</v>
      </c>
      <c r="J189" s="4">
        <f t="shared" si="14"/>
        <v>195</v>
      </c>
    </row>
    <row r="190" spans="1:10" ht="15" customHeight="1" x14ac:dyDescent="0.25">
      <c r="A190" s="8">
        <f>IF(COUNT($J$2:$J$1501)&gt;=189,189,"")</f>
        <v>189</v>
      </c>
      <c r="B190" s="8" t="str">
        <f t="shared" si="10"/>
        <v>Rios De Alba Victor Hugo</v>
      </c>
      <c r="C190" s="8" t="str">
        <f t="shared" si="11"/>
        <v>Atlas</v>
      </c>
      <c r="D190" s="8">
        <f t="shared" si="12"/>
        <v>0</v>
      </c>
      <c r="F190" s="4" t="str">
        <f>IF(Jugadores!B190="","",Jugadores!B190)</f>
        <v>Gonzalez Arturo</v>
      </c>
      <c r="G190" s="4" t="str">
        <f>IF(Jugadores!B190="","",Jugadores!A190)</f>
        <v>Atlas</v>
      </c>
      <c r="H190" s="4">
        <f>IF(F190="","",SUMIF('Estadísticas Jugadores'!$F$2:$F$7001,F190,'Estadísticas Jugadores'!$J$2:$J$7001))</f>
        <v>0</v>
      </c>
      <c r="I190" s="4">
        <f t="shared" si="13"/>
        <v>-1.8999999999999998E-5</v>
      </c>
      <c r="J190" s="4">
        <f t="shared" si="14"/>
        <v>196</v>
      </c>
    </row>
    <row r="191" spans="1:10" ht="15" customHeight="1" x14ac:dyDescent="0.25">
      <c r="A191" s="8">
        <f>IF(COUNT($J$2:$J$1501)&gt;=190,190,"")</f>
        <v>190</v>
      </c>
      <c r="B191" s="8" t="str">
        <f t="shared" si="10"/>
        <v>Rocha Aldo</v>
      </c>
      <c r="C191" s="8" t="str">
        <f t="shared" si="11"/>
        <v>Atlas</v>
      </c>
      <c r="D191" s="8">
        <f t="shared" si="12"/>
        <v>0</v>
      </c>
      <c r="F191" s="4" t="str">
        <f>IF(Jugadores!B191="","",Jugadores!B191)</f>
        <v>Martin Jose</v>
      </c>
      <c r="G191" s="4" t="str">
        <f>IF(Jugadores!B191="","",Jugadores!A191)</f>
        <v>Atlas</v>
      </c>
      <c r="H191" s="4">
        <f>IF(F191="","",SUMIF('Estadísticas Jugadores'!$F$2:$F$7001,F191,'Estadísticas Jugadores'!$J$2:$J$7001))</f>
        <v>0</v>
      </c>
      <c r="I191" s="4">
        <f t="shared" si="13"/>
        <v>-1.91E-5</v>
      </c>
      <c r="J191" s="4">
        <f t="shared" si="14"/>
        <v>197</v>
      </c>
    </row>
    <row r="192" spans="1:10" ht="15" customHeight="1" x14ac:dyDescent="0.25">
      <c r="A192" s="8">
        <f>IF(COUNT($J$2:$J$1501)&gt;=191,191,"")</f>
        <v>191</v>
      </c>
      <c r="B192" s="8" t="str">
        <f t="shared" si="10"/>
        <v>Serrato Jesus</v>
      </c>
      <c r="C192" s="8" t="str">
        <f t="shared" si="11"/>
        <v>Atlas</v>
      </c>
      <c r="D192" s="8">
        <f t="shared" si="12"/>
        <v>0</v>
      </c>
      <c r="F192" s="4" t="str">
        <f>IF(Jugadores!B192="","",Jugadores!B192)</f>
        <v>Mmaee Ryan</v>
      </c>
      <c r="G192" s="4" t="str">
        <f>IF(Jugadores!B192="","",Jugadores!A192)</f>
        <v>Atlas</v>
      </c>
      <c r="H192" s="4">
        <f>IF(F192="","",SUMIF('Estadísticas Jugadores'!$F$2:$F$7001,F192,'Estadísticas Jugadores'!$J$2:$J$7001))</f>
        <v>0</v>
      </c>
      <c r="I192" s="4">
        <f t="shared" si="13"/>
        <v>-1.9199999999999999E-5</v>
      </c>
      <c r="J192" s="4">
        <f t="shared" si="14"/>
        <v>198</v>
      </c>
    </row>
    <row r="193" spans="1:10" ht="15" customHeight="1" x14ac:dyDescent="0.25">
      <c r="A193" s="8">
        <f>IF(COUNT($J$2:$J$1501)&gt;=192,192,"")</f>
        <v>192</v>
      </c>
      <c r="B193" s="8" t="str">
        <f t="shared" si="10"/>
        <v>Zaldivar Valverde Edgar</v>
      </c>
      <c r="C193" s="8" t="str">
        <f t="shared" si="11"/>
        <v>Atlas</v>
      </c>
      <c r="D193" s="8">
        <f t="shared" si="12"/>
        <v>0</v>
      </c>
      <c r="F193" s="4" t="str">
        <f>IF(Jugadores!B193="","",Jugadores!B193)</f>
        <v>Rodriguez Agustin</v>
      </c>
      <c r="G193" s="4" t="str">
        <f>IF(Jugadores!B193="","",Jugadores!A193)</f>
        <v>Atlas</v>
      </c>
      <c r="H193" s="4">
        <f>IF(F193="","",SUMIF('Estadísticas Jugadores'!$F$2:$F$7001,F193,'Estadísticas Jugadores'!$J$2:$J$7001))</f>
        <v>0</v>
      </c>
      <c r="I193" s="4">
        <f t="shared" si="13"/>
        <v>-1.9299999999999998E-5</v>
      </c>
      <c r="J193" s="4">
        <f t="shared" si="14"/>
        <v>199</v>
      </c>
    </row>
    <row r="194" spans="1:10" ht="15" customHeight="1" x14ac:dyDescent="0.25">
      <c r="A194" s="8">
        <f>IF(COUNT($J$2:$J$1501)&gt;=193,193,"")</f>
        <v>193</v>
      </c>
      <c r="B194" s="8" t="str">
        <f t="shared" ref="B194:B257" si="15">IF($A194="","",INDEX($F$2:$F$1501,MATCH($A194,$J$2:$J$1501,0)))</f>
        <v>Duk</v>
      </c>
      <c r="C194" s="8" t="str">
        <f t="shared" ref="C194:C257" si="16">IF($A194="","",INDEX($G$2:$G$1501,MATCH($A194,$J$2:$J$1501,0)))</f>
        <v>Atlas</v>
      </c>
      <c r="D194" s="8">
        <f t="shared" ref="D194:D257" si="17">IF($A194="","",INDEX($H$2:$H$1501,MATCH($A194,$J$2:$J$1501,0)))</f>
        <v>0</v>
      </c>
      <c r="F194" s="4" t="str">
        <f>IF(Jugadores!B194="","",Jugadores!B194)</f>
        <v>del Prete Gustavo</v>
      </c>
      <c r="G194" s="4" t="str">
        <f>IF(Jugadores!B194="","",Jugadores!A194)</f>
        <v>Atlas</v>
      </c>
      <c r="H194" s="4">
        <f>IF(F194="","",SUMIF('Estadísticas Jugadores'!$F$2:$F$7001,F194,'Estadísticas Jugadores'!$J$2:$J$7001))</f>
        <v>0</v>
      </c>
      <c r="I194" s="4">
        <f t="shared" ref="I194:I257" si="18">IF(F194="","",H194*1000-ROW()*0.0000001)</f>
        <v>-1.9400000000000001E-5</v>
      </c>
      <c r="J194" s="4">
        <f t="shared" ref="J194:J257" si="19">IF(F194="","",RANK(I194,$I$2:$I$1501))</f>
        <v>200</v>
      </c>
    </row>
    <row r="195" spans="1:10" ht="15" customHeight="1" x14ac:dyDescent="0.25">
      <c r="A195" s="8">
        <f>IF(COUNT($J$2:$J$1501)&gt;=194,194,"")</f>
        <v>194</v>
      </c>
      <c r="B195" s="8" t="str">
        <f t="shared" si="15"/>
        <v>Gamboa Luis</v>
      </c>
      <c r="C195" s="8" t="str">
        <f t="shared" si="16"/>
        <v>Atlas</v>
      </c>
      <c r="D195" s="8">
        <f t="shared" si="17"/>
        <v>0</v>
      </c>
      <c r="F195" s="4" t="str">
        <f>IF(Jugadores!B195="","",Jugadores!B195)</f>
        <v>Andrade Christopher</v>
      </c>
      <c r="G195" s="4" t="str">
        <f>IF(Jugadores!B195="","",Jugadores!A195)</f>
        <v>Necaxa</v>
      </c>
      <c r="H195" s="4">
        <f>IF(F195="","",SUMIF('Estadísticas Jugadores'!$F$2:$F$7001,F195,'Estadísticas Jugadores'!$J$2:$J$7001))</f>
        <v>0</v>
      </c>
      <c r="I195" s="4">
        <f t="shared" si="18"/>
        <v>-1.95E-5</v>
      </c>
      <c r="J195" s="4">
        <f t="shared" si="19"/>
        <v>201</v>
      </c>
    </row>
    <row r="196" spans="1:10" ht="15" customHeight="1" x14ac:dyDescent="0.25">
      <c r="A196" s="8">
        <f>IF(COUNT($J$2:$J$1501)&gt;=195,195,"")</f>
        <v>195</v>
      </c>
      <c r="B196" s="8" t="str">
        <f t="shared" si="15"/>
        <v>García Mateo Ezequiel</v>
      </c>
      <c r="C196" s="8" t="str">
        <f t="shared" si="16"/>
        <v>Atlas</v>
      </c>
      <c r="D196" s="8">
        <f t="shared" si="17"/>
        <v>0</v>
      </c>
      <c r="F196" s="4" t="str">
        <f>IF(Jugadores!B196="","",Jugadores!B196)</f>
        <v>Jimenez Luis</v>
      </c>
      <c r="G196" s="4" t="str">
        <f>IF(Jugadores!B196="","",Jugadores!A196)</f>
        <v>Necaxa</v>
      </c>
      <c r="H196" s="4">
        <f>IF(F196="","",SUMIF('Estadísticas Jugadores'!$F$2:$F$7001,F196,'Estadísticas Jugadores'!$J$2:$J$7001))</f>
        <v>0</v>
      </c>
      <c r="I196" s="4">
        <f t="shared" si="18"/>
        <v>-1.9599999999999999E-5</v>
      </c>
      <c r="J196" s="4">
        <f t="shared" si="19"/>
        <v>202</v>
      </c>
    </row>
    <row r="197" spans="1:10" ht="15" customHeight="1" x14ac:dyDescent="0.25">
      <c r="A197" s="8">
        <f>IF(COUNT($J$2:$J$1501)&gt;=196,196,"")</f>
        <v>196</v>
      </c>
      <c r="B197" s="8" t="str">
        <f t="shared" si="15"/>
        <v>Gonzalez Arturo</v>
      </c>
      <c r="C197" s="8" t="str">
        <f t="shared" si="16"/>
        <v>Atlas</v>
      </c>
      <c r="D197" s="8">
        <f t="shared" si="17"/>
        <v>0</v>
      </c>
      <c r="F197" s="4" t="str">
        <f>IF(Jugadores!B197="","",Jugadores!B197)</f>
        <v>Alonso Ricardo</v>
      </c>
      <c r="G197" s="4" t="str">
        <f>IF(Jugadores!B197="","",Jugadores!A197)</f>
        <v>Necaxa</v>
      </c>
      <c r="H197" s="4">
        <f>IF(F197="","",SUMIF('Estadísticas Jugadores'!$F$2:$F$7001,F197,'Estadísticas Jugadores'!$J$2:$J$7001))</f>
        <v>0</v>
      </c>
      <c r="I197" s="4">
        <f t="shared" si="18"/>
        <v>-1.9699999999999998E-5</v>
      </c>
      <c r="J197" s="4">
        <f t="shared" si="19"/>
        <v>203</v>
      </c>
    </row>
    <row r="198" spans="1:10" ht="15" customHeight="1" x14ac:dyDescent="0.25">
      <c r="A198" s="8">
        <f>IF(COUNT($J$2:$J$1501)&gt;=197,197,"")</f>
        <v>197</v>
      </c>
      <c r="B198" s="8" t="str">
        <f t="shared" si="15"/>
        <v>Martin Jose</v>
      </c>
      <c r="C198" s="8" t="str">
        <f t="shared" si="16"/>
        <v>Atlas</v>
      </c>
      <c r="D198" s="8">
        <f t="shared" si="17"/>
        <v>0</v>
      </c>
      <c r="F198" s="4" t="str">
        <f>IF(Jugadores!B198="","",Jugadores!B198)</f>
        <v>Martinez Emilio</v>
      </c>
      <c r="G198" s="4" t="str">
        <f>IF(Jugadores!B198="","",Jugadores!A198)</f>
        <v>Necaxa</v>
      </c>
      <c r="H198" s="4">
        <f>IF(F198="","",SUMIF('Estadísticas Jugadores'!$F$2:$F$7001,F198,'Estadísticas Jugadores'!$J$2:$J$7001))</f>
        <v>0</v>
      </c>
      <c r="I198" s="4">
        <f t="shared" si="18"/>
        <v>-1.98E-5</v>
      </c>
      <c r="J198" s="4">
        <f t="shared" si="19"/>
        <v>204</v>
      </c>
    </row>
    <row r="199" spans="1:10" ht="15" customHeight="1" x14ac:dyDescent="0.25">
      <c r="A199" s="8">
        <f>IF(COUNT($J$2:$J$1501)&gt;=198,198,"")</f>
        <v>198</v>
      </c>
      <c r="B199" s="8" t="str">
        <f t="shared" si="15"/>
        <v>Mmaee Ryan</v>
      </c>
      <c r="C199" s="8" t="str">
        <f t="shared" si="16"/>
        <v>Atlas</v>
      </c>
      <c r="D199" s="8">
        <f t="shared" si="17"/>
        <v>0</v>
      </c>
      <c r="F199" s="4" t="str">
        <f>IF(Jugadores!B199="","",Jugadores!B199)</f>
        <v>Martinez Raul</v>
      </c>
      <c r="G199" s="4" t="str">
        <f>IF(Jugadores!B199="","",Jugadores!A199)</f>
        <v>Necaxa</v>
      </c>
      <c r="H199" s="4">
        <f>IF(F199="","",SUMIF('Estadísticas Jugadores'!$F$2:$F$7001,F199,'Estadísticas Jugadores'!$J$2:$J$7001))</f>
        <v>0</v>
      </c>
      <c r="I199" s="4">
        <f t="shared" si="18"/>
        <v>-1.9899999999999999E-5</v>
      </c>
      <c r="J199" s="4">
        <f t="shared" si="19"/>
        <v>205</v>
      </c>
    </row>
    <row r="200" spans="1:10" ht="15" customHeight="1" x14ac:dyDescent="0.25">
      <c r="A200" s="8">
        <f>IF(COUNT($J$2:$J$1501)&gt;=199,199,"")</f>
        <v>199</v>
      </c>
      <c r="B200" s="8" t="str">
        <f t="shared" si="15"/>
        <v>Rodriguez Agustin</v>
      </c>
      <c r="C200" s="8" t="str">
        <f t="shared" si="16"/>
        <v>Atlas</v>
      </c>
      <c r="D200" s="8">
        <f t="shared" si="17"/>
        <v>0</v>
      </c>
      <c r="F200" s="4" t="str">
        <f>IF(Jugadores!B200="","",Jugadores!B200)</f>
        <v>Mendez Francisco</v>
      </c>
      <c r="G200" s="4" t="str">
        <f>IF(Jugadores!B200="","",Jugadores!A200)</f>
        <v>Necaxa</v>
      </c>
      <c r="H200" s="4">
        <f>IF(F200="","",SUMIF('Estadísticas Jugadores'!$F$2:$F$7001,F200,'Estadísticas Jugadores'!$J$2:$J$7001))</f>
        <v>0</v>
      </c>
      <c r="I200" s="4">
        <f t="shared" si="18"/>
        <v>-1.9999999999999998E-5</v>
      </c>
      <c r="J200" s="4">
        <f t="shared" si="19"/>
        <v>206</v>
      </c>
    </row>
    <row r="201" spans="1:10" ht="15" customHeight="1" x14ac:dyDescent="0.25">
      <c r="A201" s="8">
        <f>IF(COUNT($J$2:$J$1501)&gt;=200,200,"")</f>
        <v>200</v>
      </c>
      <c r="B201" s="8" t="str">
        <f t="shared" si="15"/>
        <v>del Prete Gustavo</v>
      </c>
      <c r="C201" s="8" t="str">
        <f t="shared" si="16"/>
        <v>Atlas</v>
      </c>
      <c r="D201" s="8">
        <f t="shared" si="17"/>
        <v>0</v>
      </c>
      <c r="F201" s="4" t="str">
        <f>IF(Jugadores!B201="","",Jugadores!B201)</f>
        <v>Ochoa Diego</v>
      </c>
      <c r="G201" s="4" t="str">
        <f>IF(Jugadores!B201="","",Jugadores!A201)</f>
        <v>Necaxa</v>
      </c>
      <c r="H201" s="4">
        <f>IF(F201="","",SUMIF('Estadísticas Jugadores'!$F$2:$F$7001,F201,'Estadísticas Jugadores'!$J$2:$J$7001))</f>
        <v>0</v>
      </c>
      <c r="I201" s="4">
        <f t="shared" si="18"/>
        <v>-2.0100000000000001E-5</v>
      </c>
      <c r="J201" s="4">
        <f t="shared" si="19"/>
        <v>207</v>
      </c>
    </row>
    <row r="202" spans="1:10" ht="15" customHeight="1" x14ac:dyDescent="0.25">
      <c r="A202" s="8">
        <f>IF(COUNT($J$2:$J$1501)&gt;=201,201,"")</f>
        <v>201</v>
      </c>
      <c r="B202" s="8" t="str">
        <f t="shared" si="15"/>
        <v>Andrade Christopher</v>
      </c>
      <c r="C202" s="8" t="str">
        <f t="shared" si="16"/>
        <v>Necaxa</v>
      </c>
      <c r="D202" s="8">
        <f t="shared" si="17"/>
        <v>0</v>
      </c>
      <c r="F202" s="4" t="str">
        <f>IF(Jugadores!B202="","",Jugadores!B202)</f>
        <v>Oliveros Agustin</v>
      </c>
      <c r="G202" s="4" t="str">
        <f>IF(Jugadores!B202="","",Jugadores!A202)</f>
        <v>Necaxa</v>
      </c>
      <c r="H202" s="4">
        <f>IF(F202="","",SUMIF('Estadísticas Jugadores'!$F$2:$F$7001,F202,'Estadísticas Jugadores'!$J$2:$J$7001))</f>
        <v>0</v>
      </c>
      <c r="I202" s="4">
        <f t="shared" si="18"/>
        <v>-2.02E-5</v>
      </c>
      <c r="J202" s="4">
        <f t="shared" si="19"/>
        <v>208</v>
      </c>
    </row>
    <row r="203" spans="1:10" ht="15" customHeight="1" x14ac:dyDescent="0.25">
      <c r="A203" s="8">
        <f>IF(COUNT($J$2:$J$1501)&gt;=202,202,"")</f>
        <v>202</v>
      </c>
      <c r="B203" s="8" t="str">
        <f t="shared" si="15"/>
        <v>Jimenez Luis</v>
      </c>
      <c r="C203" s="8" t="str">
        <f t="shared" si="16"/>
        <v>Necaxa</v>
      </c>
      <c r="D203" s="8">
        <f t="shared" si="17"/>
        <v>0</v>
      </c>
      <c r="F203" s="4" t="str">
        <f>IF(Jugadores!B203="","",Jugadores!B203)</f>
        <v>Pena Alexis</v>
      </c>
      <c r="G203" s="4" t="str">
        <f>IF(Jugadores!B203="","",Jugadores!A203)</f>
        <v>Necaxa</v>
      </c>
      <c r="H203" s="4">
        <f>IF(F203="","",SUMIF('Estadísticas Jugadores'!$F$2:$F$7001,F203,'Estadísticas Jugadores'!$J$2:$J$7001))</f>
        <v>0</v>
      </c>
      <c r="I203" s="4">
        <f t="shared" si="18"/>
        <v>-2.0299999999999999E-5</v>
      </c>
      <c r="J203" s="4">
        <f t="shared" si="19"/>
        <v>209</v>
      </c>
    </row>
    <row r="204" spans="1:10" ht="15" customHeight="1" x14ac:dyDescent="0.25">
      <c r="A204" s="8">
        <f>IF(COUNT($J$2:$J$1501)&gt;=203,203,"")</f>
        <v>203</v>
      </c>
      <c r="B204" s="8" t="str">
        <f t="shared" si="15"/>
        <v>Alonso Ricardo</v>
      </c>
      <c r="C204" s="8" t="str">
        <f t="shared" si="16"/>
        <v>Necaxa</v>
      </c>
      <c r="D204" s="8">
        <f t="shared" si="17"/>
        <v>0</v>
      </c>
      <c r="F204" s="4" t="str">
        <f>IF(Jugadores!B204="","",Jugadores!B204)</f>
        <v>Vargas Carlos</v>
      </c>
      <c r="G204" s="4" t="str">
        <f>IF(Jugadores!B204="","",Jugadores!A204)</f>
        <v>Necaxa</v>
      </c>
      <c r="H204" s="4">
        <f>IF(F204="","",SUMIF('Estadísticas Jugadores'!$F$2:$F$7001,F204,'Estadísticas Jugadores'!$J$2:$J$7001))</f>
        <v>0</v>
      </c>
      <c r="I204" s="4">
        <f t="shared" si="18"/>
        <v>-2.0399999999999998E-5</v>
      </c>
      <c r="J204" s="4">
        <f t="shared" si="19"/>
        <v>210</v>
      </c>
    </row>
    <row r="205" spans="1:10" ht="15" customHeight="1" x14ac:dyDescent="0.25">
      <c r="A205" s="8">
        <f>IF(COUNT($J$2:$J$1501)&gt;=204,204,"")</f>
        <v>204</v>
      </c>
      <c r="B205" s="8" t="str">
        <f t="shared" si="15"/>
        <v>Martinez Emilio</v>
      </c>
      <c r="C205" s="8" t="str">
        <f t="shared" si="16"/>
        <v>Necaxa</v>
      </c>
      <c r="D205" s="8">
        <f t="shared" si="17"/>
        <v>0</v>
      </c>
      <c r="F205" s="4" t="str">
        <f>IF(Jugadores!B205="","",Jugadores!B205)</f>
        <v>Zaleta Oropeza Mauro Aldair</v>
      </c>
      <c r="G205" s="4" t="str">
        <f>IF(Jugadores!B205="","",Jugadores!A205)</f>
        <v>Necaxa</v>
      </c>
      <c r="H205" s="4">
        <f>IF(F205="","",SUMIF('Estadísticas Jugadores'!$F$2:$F$7001,F205,'Estadísticas Jugadores'!$J$2:$J$7001))</f>
        <v>0</v>
      </c>
      <c r="I205" s="4">
        <f t="shared" si="18"/>
        <v>-2.05E-5</v>
      </c>
      <c r="J205" s="4">
        <f t="shared" si="19"/>
        <v>211</v>
      </c>
    </row>
    <row r="206" spans="1:10" ht="15" customHeight="1" x14ac:dyDescent="0.25">
      <c r="A206" s="8">
        <f>IF(COUNT($J$2:$J$1501)&gt;=205,205,"")</f>
        <v>205</v>
      </c>
      <c r="B206" s="8" t="str">
        <f t="shared" si="15"/>
        <v>Martinez Raul</v>
      </c>
      <c r="C206" s="8" t="str">
        <f t="shared" si="16"/>
        <v>Necaxa</v>
      </c>
      <c r="D206" s="8">
        <f t="shared" si="17"/>
        <v>0</v>
      </c>
      <c r="F206" s="4" t="str">
        <f>IF(Jugadores!B206="","",Jugadores!B206)</f>
        <v>Cortez Rogelio</v>
      </c>
      <c r="G206" s="4" t="str">
        <f>IF(Jugadores!B206="","",Jugadores!A206)</f>
        <v>Necaxa</v>
      </c>
      <c r="H206" s="4">
        <f>IF(F206="","",SUMIF('Estadísticas Jugadores'!$F$2:$F$7001,F206,'Estadísticas Jugadores'!$J$2:$J$7001))</f>
        <v>0</v>
      </c>
      <c r="I206" s="4">
        <f t="shared" si="18"/>
        <v>-2.0599999999999999E-5</v>
      </c>
      <c r="J206" s="4">
        <f t="shared" si="19"/>
        <v>212</v>
      </c>
    </row>
    <row r="207" spans="1:10" ht="15" customHeight="1" x14ac:dyDescent="0.25">
      <c r="A207" s="8">
        <f>IF(COUNT($J$2:$J$1501)&gt;=206,206,"")</f>
        <v>206</v>
      </c>
      <c r="B207" s="8" t="str">
        <f t="shared" si="15"/>
        <v>Mendez Francisco</v>
      </c>
      <c r="C207" s="8" t="str">
        <f t="shared" si="16"/>
        <v>Necaxa</v>
      </c>
      <c r="D207" s="8">
        <f t="shared" si="17"/>
        <v>0</v>
      </c>
      <c r="F207" s="4" t="str">
        <f>IF(Jugadores!B207="","",Jugadores!B207)</f>
        <v>Espindola Matias</v>
      </c>
      <c r="G207" s="4" t="str">
        <f>IF(Jugadores!B207="","",Jugadores!A207)</f>
        <v>Necaxa</v>
      </c>
      <c r="H207" s="4">
        <f>IF(F207="","",SUMIF('Estadísticas Jugadores'!$F$2:$F$7001,F207,'Estadísticas Jugadores'!$J$2:$J$7001))</f>
        <v>0</v>
      </c>
      <c r="I207" s="4">
        <f t="shared" si="18"/>
        <v>-2.0699999999999998E-5</v>
      </c>
      <c r="J207" s="4">
        <f t="shared" si="19"/>
        <v>213</v>
      </c>
    </row>
    <row r="208" spans="1:10" ht="15" customHeight="1" x14ac:dyDescent="0.25">
      <c r="A208" s="8">
        <f>IF(COUNT($J$2:$J$1501)&gt;=207,207,"")</f>
        <v>207</v>
      </c>
      <c r="B208" s="8" t="str">
        <f t="shared" si="15"/>
        <v>Ochoa Diego</v>
      </c>
      <c r="C208" s="8" t="str">
        <f t="shared" si="16"/>
        <v>Necaxa</v>
      </c>
      <c r="D208" s="8">
        <f t="shared" si="17"/>
        <v>0</v>
      </c>
      <c r="F208" s="4" t="str">
        <f>IF(Jugadores!B208="","",Jugadores!B208)</f>
        <v>Faravelli Lorenzo</v>
      </c>
      <c r="G208" s="4" t="str">
        <f>IF(Jugadores!B208="","",Jugadores!A208)</f>
        <v>Necaxa</v>
      </c>
      <c r="H208" s="4">
        <f>IF(F208="","",SUMIF('Estadísticas Jugadores'!$F$2:$F$7001,F208,'Estadísticas Jugadores'!$J$2:$J$7001))</f>
        <v>0</v>
      </c>
      <c r="I208" s="4">
        <f t="shared" si="18"/>
        <v>-2.0799999999999997E-5</v>
      </c>
      <c r="J208" s="4">
        <f t="shared" si="19"/>
        <v>214</v>
      </c>
    </row>
    <row r="209" spans="1:10" ht="15" customHeight="1" x14ac:dyDescent="0.25">
      <c r="A209" s="8">
        <f>IF(COUNT($J$2:$J$1501)&gt;=208,208,"")</f>
        <v>208</v>
      </c>
      <c r="B209" s="8" t="str">
        <f t="shared" si="15"/>
        <v>Oliveros Agustin</v>
      </c>
      <c r="C209" s="8" t="str">
        <f t="shared" si="16"/>
        <v>Necaxa</v>
      </c>
      <c r="D209" s="8">
        <f t="shared" si="17"/>
        <v>0</v>
      </c>
      <c r="F209" s="4" t="str">
        <f>IF(Jugadores!B209="","",Jugadores!B209)</f>
        <v>Ibarra Luis</v>
      </c>
      <c r="G209" s="4" t="str">
        <f>IF(Jugadores!B209="","",Jugadores!A209)</f>
        <v>Necaxa</v>
      </c>
      <c r="H209" s="4">
        <f>IF(F209="","",SUMIF('Estadísticas Jugadores'!$F$2:$F$7001,F209,'Estadísticas Jugadores'!$J$2:$J$7001))</f>
        <v>0</v>
      </c>
      <c r="I209" s="4">
        <f t="shared" si="18"/>
        <v>-2.09E-5</v>
      </c>
      <c r="J209" s="4">
        <f t="shared" si="19"/>
        <v>215</v>
      </c>
    </row>
    <row r="210" spans="1:10" ht="15" customHeight="1" x14ac:dyDescent="0.25">
      <c r="A210" s="8">
        <f>IF(COUNT($J$2:$J$1501)&gt;=209,209,"")</f>
        <v>209</v>
      </c>
      <c r="B210" s="8" t="str">
        <f t="shared" si="15"/>
        <v>Pena Alexis</v>
      </c>
      <c r="C210" s="8" t="str">
        <f t="shared" si="16"/>
        <v>Necaxa</v>
      </c>
      <c r="D210" s="8">
        <f t="shared" si="17"/>
        <v>0</v>
      </c>
      <c r="F210" s="4" t="str">
        <f>IF(Jugadores!B210="","",Jugadores!B210)</f>
        <v>Leyva Danny</v>
      </c>
      <c r="G210" s="4" t="str">
        <f>IF(Jugadores!B210="","",Jugadores!A210)</f>
        <v>Necaxa</v>
      </c>
      <c r="H210" s="4">
        <f>IF(F210="","",SUMIF('Estadísticas Jugadores'!$F$2:$F$7001,F210,'Estadísticas Jugadores'!$J$2:$J$7001))</f>
        <v>0</v>
      </c>
      <c r="I210" s="4">
        <f t="shared" si="18"/>
        <v>-2.0999999999999999E-5</v>
      </c>
      <c r="J210" s="4">
        <f t="shared" si="19"/>
        <v>216</v>
      </c>
    </row>
    <row r="211" spans="1:10" ht="15" customHeight="1" x14ac:dyDescent="0.25">
      <c r="A211" s="8">
        <f>IF(COUNT($J$2:$J$1501)&gt;=210,210,"")</f>
        <v>210</v>
      </c>
      <c r="B211" s="8" t="str">
        <f t="shared" si="15"/>
        <v>Vargas Carlos</v>
      </c>
      <c r="C211" s="8" t="str">
        <f t="shared" si="16"/>
        <v>Necaxa</v>
      </c>
      <c r="D211" s="8">
        <f t="shared" si="17"/>
        <v>0</v>
      </c>
      <c r="F211" s="4" t="str">
        <f>IF(Jugadores!B211="","",Jugadores!B211)</f>
        <v>Moreno Arath</v>
      </c>
      <c r="G211" s="4" t="str">
        <f>IF(Jugadores!B211="","",Jugadores!A211)</f>
        <v>Necaxa</v>
      </c>
      <c r="H211" s="4">
        <f>IF(F211="","",SUMIF('Estadísticas Jugadores'!$F$2:$F$7001,F211,'Estadísticas Jugadores'!$J$2:$J$7001))</f>
        <v>0</v>
      </c>
      <c r="I211" s="4">
        <f t="shared" si="18"/>
        <v>-2.1099999999999998E-5</v>
      </c>
      <c r="J211" s="4">
        <f t="shared" si="19"/>
        <v>217</v>
      </c>
    </row>
    <row r="212" spans="1:10" ht="15" customHeight="1" x14ac:dyDescent="0.25">
      <c r="A212" s="8">
        <f>IF(COUNT($J$2:$J$1501)&gt;=211,211,"")</f>
        <v>211</v>
      </c>
      <c r="B212" s="8" t="str">
        <f t="shared" si="15"/>
        <v>Zaleta Oropeza Mauro Aldair</v>
      </c>
      <c r="C212" s="8" t="str">
        <f t="shared" si="16"/>
        <v>Necaxa</v>
      </c>
      <c r="D212" s="8">
        <f t="shared" si="17"/>
        <v>0</v>
      </c>
      <c r="F212" s="4" t="str">
        <f>IF(Jugadores!B212="","",Jugadores!B212)</f>
        <v>Palacios Joshua</v>
      </c>
      <c r="G212" s="4" t="str">
        <f>IF(Jugadores!B212="","",Jugadores!A212)</f>
        <v>Necaxa</v>
      </c>
      <c r="H212" s="4">
        <f>IF(F212="","",SUMIF('Estadísticas Jugadores'!$F$2:$F$7001,F212,'Estadísticas Jugadores'!$J$2:$J$7001))</f>
        <v>0</v>
      </c>
      <c r="I212" s="4">
        <f t="shared" si="18"/>
        <v>-2.12E-5</v>
      </c>
      <c r="J212" s="4">
        <f t="shared" si="19"/>
        <v>218</v>
      </c>
    </row>
    <row r="213" spans="1:10" ht="15" customHeight="1" x14ac:dyDescent="0.25">
      <c r="A213" s="8">
        <f>IF(COUNT($J$2:$J$1501)&gt;=212,212,"")</f>
        <v>212</v>
      </c>
      <c r="B213" s="8" t="str">
        <f t="shared" si="15"/>
        <v>Cortez Rogelio</v>
      </c>
      <c r="C213" s="8" t="str">
        <f t="shared" si="16"/>
        <v>Necaxa</v>
      </c>
      <c r="D213" s="8">
        <f t="shared" si="17"/>
        <v>0</v>
      </c>
      <c r="F213" s="4" t="str">
        <f>IF(Jugadores!B213="","",Jugadores!B213)</f>
        <v>Pedraza Pedro</v>
      </c>
      <c r="G213" s="4" t="str">
        <f>IF(Jugadores!B213="","",Jugadores!A213)</f>
        <v>Necaxa</v>
      </c>
      <c r="H213" s="4">
        <f>IF(F213="","",SUMIF('Estadísticas Jugadores'!$F$2:$F$7001,F213,'Estadísticas Jugadores'!$J$2:$J$7001))</f>
        <v>0</v>
      </c>
      <c r="I213" s="4">
        <f t="shared" si="18"/>
        <v>-2.1299999999999999E-5</v>
      </c>
      <c r="J213" s="4">
        <f t="shared" si="19"/>
        <v>219</v>
      </c>
    </row>
    <row r="214" spans="1:10" ht="15" customHeight="1" x14ac:dyDescent="0.25">
      <c r="A214" s="8">
        <f>IF(COUNT($J$2:$J$1501)&gt;=213,213,"")</f>
        <v>213</v>
      </c>
      <c r="B214" s="8" t="str">
        <f t="shared" si="15"/>
        <v>Espindola Matias</v>
      </c>
      <c r="C214" s="8" t="str">
        <f t="shared" si="16"/>
        <v>Necaxa</v>
      </c>
      <c r="D214" s="8">
        <f t="shared" si="17"/>
        <v>0</v>
      </c>
      <c r="F214" s="4" t="str">
        <f>IF(Jugadores!B214="","",Jugadores!B214)</f>
        <v>Ruiz Javier</v>
      </c>
      <c r="G214" s="4" t="str">
        <f>IF(Jugadores!B214="","",Jugadores!A214)</f>
        <v>Necaxa</v>
      </c>
      <c r="H214" s="4">
        <f>IF(F214="","",SUMIF('Estadísticas Jugadores'!$F$2:$F$7001,F214,'Estadísticas Jugadores'!$J$2:$J$7001))</f>
        <v>0</v>
      </c>
      <c r="I214" s="4">
        <f t="shared" si="18"/>
        <v>-2.1399999999999998E-5</v>
      </c>
      <c r="J214" s="4">
        <f t="shared" si="19"/>
        <v>220</v>
      </c>
    </row>
    <row r="215" spans="1:10" ht="15" customHeight="1" x14ac:dyDescent="0.25">
      <c r="A215" s="8">
        <f>IF(COUNT($J$2:$J$1501)&gt;=214,214,"")</f>
        <v>214</v>
      </c>
      <c r="B215" s="8" t="str">
        <f t="shared" si="15"/>
        <v>Faravelli Lorenzo</v>
      </c>
      <c r="C215" s="8" t="str">
        <f t="shared" si="16"/>
        <v>Necaxa</v>
      </c>
      <c r="D215" s="8">
        <f t="shared" si="17"/>
        <v>0</v>
      </c>
      <c r="F215" s="4" t="str">
        <f>IF(Jugadores!B215="","",Jugadores!B215)</f>
        <v>Tello Israel</v>
      </c>
      <c r="G215" s="4" t="str">
        <f>IF(Jugadores!B215="","",Jugadores!A215)</f>
        <v>Necaxa</v>
      </c>
      <c r="H215" s="4">
        <f>IF(F215="","",SUMIF('Estadísticas Jugadores'!$F$2:$F$7001,F215,'Estadísticas Jugadores'!$J$2:$J$7001))</f>
        <v>0</v>
      </c>
      <c r="I215" s="4">
        <f t="shared" si="18"/>
        <v>-2.1499999999999997E-5</v>
      </c>
      <c r="J215" s="4">
        <f t="shared" si="19"/>
        <v>221</v>
      </c>
    </row>
    <row r="216" spans="1:10" ht="15" customHeight="1" x14ac:dyDescent="0.25">
      <c r="A216" s="8">
        <f>IF(COUNT($J$2:$J$1501)&gt;=215,215,"")</f>
        <v>215</v>
      </c>
      <c r="B216" s="8" t="str">
        <f t="shared" si="15"/>
        <v>Ibarra Luis</v>
      </c>
      <c r="C216" s="8" t="str">
        <f t="shared" si="16"/>
        <v>Necaxa</v>
      </c>
      <c r="D216" s="8">
        <f t="shared" si="17"/>
        <v>0</v>
      </c>
      <c r="F216" s="4" t="str">
        <f>IF(Jugadores!B216="","",Jugadores!B216)</f>
        <v>Torres Patino Juan Pablo</v>
      </c>
      <c r="G216" s="4" t="str">
        <f>IF(Jugadores!B216="","",Jugadores!A216)</f>
        <v>Necaxa</v>
      </c>
      <c r="H216" s="4">
        <f>IF(F216="","",SUMIF('Estadísticas Jugadores'!$F$2:$F$7001,F216,'Estadísticas Jugadores'!$J$2:$J$7001))</f>
        <v>0</v>
      </c>
      <c r="I216" s="4">
        <f t="shared" si="18"/>
        <v>-2.16E-5</v>
      </c>
      <c r="J216" s="4">
        <f t="shared" si="19"/>
        <v>222</v>
      </c>
    </row>
    <row r="217" spans="1:10" ht="15" customHeight="1" x14ac:dyDescent="0.25">
      <c r="A217" s="8">
        <f>IF(COUNT($J$2:$J$1501)&gt;=216,216,"")</f>
        <v>216</v>
      </c>
      <c r="B217" s="8" t="str">
        <f t="shared" si="15"/>
        <v>Leyva Danny</v>
      </c>
      <c r="C217" s="8" t="str">
        <f t="shared" si="16"/>
        <v>Necaxa</v>
      </c>
      <c r="D217" s="8">
        <f t="shared" si="17"/>
        <v>0</v>
      </c>
      <c r="F217" s="4" t="str">
        <f>IF(Jugadores!B217="","",Jugadores!B217)</f>
        <v>Carranza Julian</v>
      </c>
      <c r="G217" s="4" t="str">
        <f>IF(Jugadores!B217="","",Jugadores!A217)</f>
        <v>Necaxa</v>
      </c>
      <c r="H217" s="4">
        <f>IF(F217="","",SUMIF('Estadísticas Jugadores'!$F$2:$F$7001,F217,'Estadísticas Jugadores'!$J$2:$J$7001))</f>
        <v>1</v>
      </c>
      <c r="I217" s="4">
        <f t="shared" si="18"/>
        <v>999.99997829999995</v>
      </c>
      <c r="J217" s="4">
        <f t="shared" si="19"/>
        <v>11</v>
      </c>
    </row>
    <row r="218" spans="1:10" ht="15" customHeight="1" x14ac:dyDescent="0.25">
      <c r="A218" s="8">
        <f>IF(COUNT($J$2:$J$1501)&gt;=217,217,"")</f>
        <v>217</v>
      </c>
      <c r="B218" s="8" t="str">
        <f t="shared" si="15"/>
        <v>Moreno Arath</v>
      </c>
      <c r="C218" s="8" t="str">
        <f t="shared" si="16"/>
        <v>Necaxa</v>
      </c>
      <c r="D218" s="8">
        <f t="shared" si="17"/>
        <v>0</v>
      </c>
      <c r="F218" s="4" t="str">
        <f>IF(Jugadores!B218="","",Jugadores!B218)</f>
        <v>Marquez Gomez Daniel</v>
      </c>
      <c r="G218" s="4" t="str">
        <f>IF(Jugadores!B218="","",Jugadores!A218)</f>
        <v>Necaxa</v>
      </c>
      <c r="H218" s="4">
        <f>IF(F218="","",SUMIF('Estadísticas Jugadores'!$F$2:$F$7001,F218,'Estadísticas Jugadores'!$J$2:$J$7001))</f>
        <v>0</v>
      </c>
      <c r="I218" s="4">
        <f t="shared" si="18"/>
        <v>-2.1799999999999998E-5</v>
      </c>
      <c r="J218" s="4">
        <f t="shared" si="19"/>
        <v>223</v>
      </c>
    </row>
    <row r="219" spans="1:10" ht="15" customHeight="1" x14ac:dyDescent="0.25">
      <c r="A219" s="8">
        <f>IF(COUNT($J$2:$J$1501)&gt;=218,218,"")</f>
        <v>218</v>
      </c>
      <c r="B219" s="8" t="str">
        <f t="shared" si="15"/>
        <v>Palacios Joshua</v>
      </c>
      <c r="C219" s="8" t="str">
        <f t="shared" si="16"/>
        <v>Necaxa</v>
      </c>
      <c r="D219" s="8">
        <f t="shared" si="17"/>
        <v>0</v>
      </c>
      <c r="F219" s="4" t="str">
        <f>IF(Jugadores!B219="","",Jugadores!B219)</f>
        <v>Monreal Ricardo</v>
      </c>
      <c r="G219" s="4" t="str">
        <f>IF(Jugadores!B219="","",Jugadores!A219)</f>
        <v>Necaxa</v>
      </c>
      <c r="H219" s="4">
        <f>IF(F219="","",SUMIF('Estadísticas Jugadores'!$F$2:$F$7001,F219,'Estadísticas Jugadores'!$J$2:$J$7001))</f>
        <v>0</v>
      </c>
      <c r="I219" s="4">
        <f t="shared" si="18"/>
        <v>-2.19E-5</v>
      </c>
      <c r="J219" s="4">
        <f t="shared" si="19"/>
        <v>224</v>
      </c>
    </row>
    <row r="220" spans="1:10" ht="15" customHeight="1" x14ac:dyDescent="0.25">
      <c r="A220" s="8">
        <f>IF(COUNT($J$2:$J$1501)&gt;=219,219,"")</f>
        <v>219</v>
      </c>
      <c r="B220" s="8" t="str">
        <f t="shared" si="15"/>
        <v>Pedraza Pedro</v>
      </c>
      <c r="C220" s="8" t="str">
        <f t="shared" si="16"/>
        <v>Necaxa</v>
      </c>
      <c r="D220" s="8">
        <f t="shared" si="17"/>
        <v>0</v>
      </c>
      <c r="F220" s="4" t="str">
        <f>IF(Jugadores!B220="","",Jugadores!B220)</f>
        <v>Pedroza Misael</v>
      </c>
      <c r="G220" s="4" t="str">
        <f>IF(Jugadores!B220="","",Jugadores!A220)</f>
        <v>Necaxa</v>
      </c>
      <c r="H220" s="4">
        <f>IF(F220="","",SUMIF('Estadísticas Jugadores'!$F$2:$F$7001,F220,'Estadísticas Jugadores'!$J$2:$J$7001))</f>
        <v>0</v>
      </c>
      <c r="I220" s="4">
        <f t="shared" si="18"/>
        <v>-2.1999999999999999E-5</v>
      </c>
      <c r="J220" s="4">
        <f t="shared" si="19"/>
        <v>225</v>
      </c>
    </row>
    <row r="221" spans="1:10" ht="15" customHeight="1" x14ac:dyDescent="0.25">
      <c r="A221" s="8">
        <f>IF(COUNT($J$2:$J$1501)&gt;=220,220,"")</f>
        <v>220</v>
      </c>
      <c r="B221" s="8" t="str">
        <f t="shared" si="15"/>
        <v>Ruiz Javier</v>
      </c>
      <c r="C221" s="8" t="str">
        <f t="shared" si="16"/>
        <v>Necaxa</v>
      </c>
      <c r="D221" s="8">
        <f t="shared" si="17"/>
        <v>0</v>
      </c>
      <c r="F221" s="4" t="str">
        <f>IF(Jugadores!B221="","",Jugadores!B221)</f>
        <v>Rodriguez Emilio</v>
      </c>
      <c r="G221" s="4" t="str">
        <f>IF(Jugadores!B221="","",Jugadores!A221)</f>
        <v>Necaxa</v>
      </c>
      <c r="H221" s="4">
        <f>IF(F221="","",SUMIF('Estadísticas Jugadores'!$F$2:$F$7001,F221,'Estadísticas Jugadores'!$J$2:$J$7001))</f>
        <v>0</v>
      </c>
      <c r="I221" s="4">
        <f t="shared" si="18"/>
        <v>-2.2099999999999998E-5</v>
      </c>
      <c r="J221" s="4">
        <f t="shared" si="19"/>
        <v>226</v>
      </c>
    </row>
    <row r="222" spans="1:10" ht="15" customHeight="1" x14ac:dyDescent="0.25">
      <c r="A222" s="8">
        <f>IF(COUNT($J$2:$J$1501)&gt;=221,221,"")</f>
        <v>221</v>
      </c>
      <c r="B222" s="8" t="str">
        <f t="shared" si="15"/>
        <v>Tello Israel</v>
      </c>
      <c r="C222" s="8" t="str">
        <f t="shared" si="16"/>
        <v>Necaxa</v>
      </c>
      <c r="D222" s="8">
        <f t="shared" si="17"/>
        <v>0</v>
      </c>
      <c r="F222" s="4" t="str">
        <f>IF(Jugadores!B222="","",Jugadores!B222)</f>
        <v>Rosero Kevin</v>
      </c>
      <c r="G222" s="4" t="str">
        <f>IF(Jugadores!B222="","",Jugadores!A222)</f>
        <v>Necaxa</v>
      </c>
      <c r="H222" s="4">
        <f>IF(F222="","",SUMIF('Estadísticas Jugadores'!$F$2:$F$7001,F222,'Estadísticas Jugadores'!$J$2:$J$7001))</f>
        <v>0</v>
      </c>
      <c r="I222" s="4">
        <f t="shared" si="18"/>
        <v>-2.2199999999999998E-5</v>
      </c>
      <c r="J222" s="4">
        <f t="shared" si="19"/>
        <v>227</v>
      </c>
    </row>
    <row r="223" spans="1:10" ht="15" customHeight="1" x14ac:dyDescent="0.25">
      <c r="A223" s="8">
        <f>IF(COUNT($J$2:$J$1501)&gt;=222,222,"")</f>
        <v>222</v>
      </c>
      <c r="B223" s="8" t="str">
        <f t="shared" si="15"/>
        <v>Torres Patino Juan Pablo</v>
      </c>
      <c r="C223" s="8" t="str">
        <f t="shared" si="16"/>
        <v>Necaxa</v>
      </c>
      <c r="D223" s="8">
        <f t="shared" si="17"/>
        <v>0</v>
      </c>
      <c r="F223" s="4" t="str">
        <f>IF(Jugadores!B223="","",Jugadores!B223)</f>
        <v>Valencia Juan</v>
      </c>
      <c r="G223" s="4" t="str">
        <f>IF(Jugadores!B223="","",Jugadores!A223)</f>
        <v>Necaxa</v>
      </c>
      <c r="H223" s="4">
        <f>IF(F223="","",SUMIF('Estadísticas Jugadores'!$F$2:$F$7001,F223,'Estadísticas Jugadores'!$J$2:$J$7001))</f>
        <v>0</v>
      </c>
      <c r="I223" s="4">
        <f t="shared" si="18"/>
        <v>-2.23E-5</v>
      </c>
      <c r="J223" s="4">
        <f t="shared" si="19"/>
        <v>228</v>
      </c>
    </row>
    <row r="224" spans="1:10" ht="15" customHeight="1" x14ac:dyDescent="0.25">
      <c r="A224" s="8">
        <f>IF(COUNT($J$2:$J$1501)&gt;=223,223,"")</f>
        <v>223</v>
      </c>
      <c r="B224" s="8" t="str">
        <f t="shared" si="15"/>
        <v>Marquez Gomez Daniel</v>
      </c>
      <c r="C224" s="8" t="str">
        <f t="shared" si="16"/>
        <v>Necaxa</v>
      </c>
      <c r="D224" s="8">
        <f t="shared" si="17"/>
        <v>0</v>
      </c>
      <c r="F224" s="4" t="str">
        <f>IF(Jugadores!B224="","",Jugadores!B224)</f>
        <v>Cota Rodolfo</v>
      </c>
      <c r="G224" s="4" t="str">
        <f>IF(Jugadores!B224="","",Jugadores!A224)</f>
        <v>Club América</v>
      </c>
      <c r="H224" s="4">
        <f>IF(F224="","",SUMIF('Estadísticas Jugadores'!$F$2:$F$7001,F224,'Estadísticas Jugadores'!$J$2:$J$7001))</f>
        <v>0</v>
      </c>
      <c r="I224" s="4">
        <f t="shared" si="18"/>
        <v>-2.2399999999999999E-5</v>
      </c>
      <c r="J224" s="4">
        <f t="shared" si="19"/>
        <v>229</v>
      </c>
    </row>
    <row r="225" spans="1:10" ht="15" customHeight="1" x14ac:dyDescent="0.25">
      <c r="A225" s="8">
        <f>IF(COUNT($J$2:$J$1501)&gt;=224,224,"")</f>
        <v>224</v>
      </c>
      <c r="B225" s="8" t="str">
        <f t="shared" si="15"/>
        <v>Monreal Ricardo</v>
      </c>
      <c r="C225" s="8" t="str">
        <f t="shared" si="16"/>
        <v>Necaxa</v>
      </c>
      <c r="D225" s="8">
        <f t="shared" si="17"/>
        <v>0</v>
      </c>
      <c r="F225" s="4" t="str">
        <f>IF(Jugadores!B225="","",Jugadores!B225)</f>
        <v>Lugo Cesar</v>
      </c>
      <c r="G225" s="4" t="str">
        <f>IF(Jugadores!B225="","",Jugadores!A225)</f>
        <v>Club América</v>
      </c>
      <c r="H225" s="4">
        <f>IF(F225="","",SUMIF('Estadísticas Jugadores'!$F$2:$F$7001,F225,'Estadísticas Jugadores'!$J$2:$J$7001))</f>
        <v>0</v>
      </c>
      <c r="I225" s="4">
        <f t="shared" si="18"/>
        <v>-2.2499999999999998E-5</v>
      </c>
      <c r="J225" s="4">
        <f t="shared" si="19"/>
        <v>230</v>
      </c>
    </row>
    <row r="226" spans="1:10" ht="15" customHeight="1" x14ac:dyDescent="0.25">
      <c r="A226" s="8">
        <f>IF(COUNT($J$2:$J$1501)&gt;=225,225,"")</f>
        <v>225</v>
      </c>
      <c r="B226" s="8" t="str">
        <f t="shared" si="15"/>
        <v>Pedroza Misael</v>
      </c>
      <c r="C226" s="8" t="str">
        <f t="shared" si="16"/>
        <v>Necaxa</v>
      </c>
      <c r="D226" s="8">
        <f t="shared" si="17"/>
        <v>0</v>
      </c>
      <c r="F226" s="4" t="str">
        <f>IF(Jugadores!B226="","",Jugadores!B226)</f>
        <v>Malagon Luis</v>
      </c>
      <c r="G226" s="4" t="str">
        <f>IF(Jugadores!B226="","",Jugadores!A226)</f>
        <v>Club América</v>
      </c>
      <c r="H226" s="4">
        <f>IF(F226="","",SUMIF('Estadísticas Jugadores'!$F$2:$F$7001,F226,'Estadísticas Jugadores'!$J$2:$J$7001))</f>
        <v>0</v>
      </c>
      <c r="I226" s="4">
        <f t="shared" si="18"/>
        <v>-2.26E-5</v>
      </c>
      <c r="J226" s="4">
        <f t="shared" si="19"/>
        <v>231</v>
      </c>
    </row>
    <row r="227" spans="1:10" ht="15" customHeight="1" x14ac:dyDescent="0.25">
      <c r="A227" s="8">
        <f>IF(COUNT($J$2:$J$1501)&gt;=226,226,"")</f>
        <v>226</v>
      </c>
      <c r="B227" s="8" t="str">
        <f t="shared" si="15"/>
        <v>Rodriguez Emilio</v>
      </c>
      <c r="C227" s="8" t="str">
        <f t="shared" si="16"/>
        <v>Necaxa</v>
      </c>
      <c r="D227" s="8">
        <f t="shared" si="17"/>
        <v>0</v>
      </c>
      <c r="F227" s="4" t="str">
        <f>IF(Jugadores!B227="","",Jugadores!B227)</f>
        <v>Tapia Fernando</v>
      </c>
      <c r="G227" s="4" t="str">
        <f>IF(Jugadores!B227="","",Jugadores!A227)</f>
        <v>Club América</v>
      </c>
      <c r="H227" s="4">
        <f>IF(F227="","",SUMIF('Estadísticas Jugadores'!$F$2:$F$7001,F227,'Estadísticas Jugadores'!$J$2:$J$7001))</f>
        <v>0</v>
      </c>
      <c r="I227" s="4">
        <f t="shared" si="18"/>
        <v>-2.27E-5</v>
      </c>
      <c r="J227" s="4">
        <f t="shared" si="19"/>
        <v>232</v>
      </c>
    </row>
    <row r="228" spans="1:10" ht="15" customHeight="1" x14ac:dyDescent="0.25">
      <c r="A228" s="8">
        <f>IF(COUNT($J$2:$J$1501)&gt;=227,227,"")</f>
        <v>227</v>
      </c>
      <c r="B228" s="8" t="str">
        <f t="shared" si="15"/>
        <v>Rosero Kevin</v>
      </c>
      <c r="C228" s="8" t="str">
        <f t="shared" si="16"/>
        <v>Necaxa</v>
      </c>
      <c r="D228" s="8">
        <f t="shared" si="17"/>
        <v>0</v>
      </c>
      <c r="F228" s="4" t="str">
        <f>IF(Jugadores!B228="","",Jugadores!B228)</f>
        <v>Alvarez Kevin</v>
      </c>
      <c r="G228" s="4" t="str">
        <f>IF(Jugadores!B228="","",Jugadores!A228)</f>
        <v>Club América</v>
      </c>
      <c r="H228" s="4">
        <f>IF(F228="","",SUMIF('Estadísticas Jugadores'!$F$2:$F$7001,F228,'Estadísticas Jugadores'!$J$2:$J$7001))</f>
        <v>0</v>
      </c>
      <c r="I228" s="4">
        <f t="shared" si="18"/>
        <v>-2.2799999999999999E-5</v>
      </c>
      <c r="J228" s="4">
        <f t="shared" si="19"/>
        <v>233</v>
      </c>
    </row>
    <row r="229" spans="1:10" ht="15" customHeight="1" x14ac:dyDescent="0.25">
      <c r="A229" s="8">
        <f>IF(COUNT($J$2:$J$1501)&gt;=228,228,"")</f>
        <v>228</v>
      </c>
      <c r="B229" s="8" t="str">
        <f t="shared" si="15"/>
        <v>Valencia Juan</v>
      </c>
      <c r="C229" s="8" t="str">
        <f t="shared" si="16"/>
        <v>Necaxa</v>
      </c>
      <c r="D229" s="8">
        <f t="shared" si="17"/>
        <v>0</v>
      </c>
      <c r="F229" s="4" t="str">
        <f>IF(Jugadores!B229="","",Jugadores!B229)</f>
        <v>Araujo Munoz Andres Marioni</v>
      </c>
      <c r="G229" s="4" t="str">
        <f>IF(Jugadores!B229="","",Jugadores!A229)</f>
        <v>Club América</v>
      </c>
      <c r="H229" s="4">
        <f>IF(F229="","",SUMIF('Estadísticas Jugadores'!$F$2:$F$7001,F229,'Estadísticas Jugadores'!$J$2:$J$7001))</f>
        <v>0</v>
      </c>
      <c r="I229" s="4">
        <f t="shared" si="18"/>
        <v>-2.2899999999999998E-5</v>
      </c>
      <c r="J229" s="4">
        <f t="shared" si="19"/>
        <v>234</v>
      </c>
    </row>
    <row r="230" spans="1:10" ht="15" customHeight="1" x14ac:dyDescent="0.25">
      <c r="A230" s="8">
        <f>IF(COUNT($J$2:$J$1501)&gt;=229,229,"")</f>
        <v>229</v>
      </c>
      <c r="B230" s="8" t="str">
        <f t="shared" si="15"/>
        <v>Cota Rodolfo</v>
      </c>
      <c r="C230" s="8" t="str">
        <f t="shared" si="16"/>
        <v>Club América</v>
      </c>
      <c r="D230" s="8">
        <f t="shared" si="17"/>
        <v>0</v>
      </c>
      <c r="F230" s="4" t="str">
        <f>IF(Jugadores!B230="","",Jugadores!B230)</f>
        <v>Borja Cristian</v>
      </c>
      <c r="G230" s="4" t="str">
        <f>IF(Jugadores!B230="","",Jugadores!A230)</f>
        <v>Club América</v>
      </c>
      <c r="H230" s="4">
        <f>IF(F230="","",SUMIF('Estadísticas Jugadores'!$F$2:$F$7001,F230,'Estadísticas Jugadores'!$J$2:$J$7001))</f>
        <v>0</v>
      </c>
      <c r="I230" s="4">
        <f t="shared" si="18"/>
        <v>-2.3E-5</v>
      </c>
      <c r="J230" s="4">
        <f t="shared" si="19"/>
        <v>235</v>
      </c>
    </row>
    <row r="231" spans="1:10" ht="15" customHeight="1" x14ac:dyDescent="0.25">
      <c r="A231" s="8">
        <f>IF(COUNT($J$2:$J$1501)&gt;=230,230,"")</f>
        <v>230</v>
      </c>
      <c r="B231" s="8" t="str">
        <f t="shared" si="15"/>
        <v>Lugo Cesar</v>
      </c>
      <c r="C231" s="8" t="str">
        <f t="shared" si="16"/>
        <v>Club América</v>
      </c>
      <c r="D231" s="8">
        <f t="shared" si="17"/>
        <v>0</v>
      </c>
      <c r="F231" s="4" t="str">
        <f>IF(Jugadores!B231="","",Jugadores!B231)</f>
        <v>Caceres Sebastian</v>
      </c>
      <c r="G231" s="4" t="str">
        <f>IF(Jugadores!B231="","",Jugadores!A231)</f>
        <v>Club América</v>
      </c>
      <c r="H231" s="4">
        <f>IF(F231="","",SUMIF('Estadísticas Jugadores'!$F$2:$F$7001,F231,'Estadísticas Jugadores'!$J$2:$J$7001))</f>
        <v>0</v>
      </c>
      <c r="I231" s="4">
        <f t="shared" si="18"/>
        <v>-2.3099999999999999E-5</v>
      </c>
      <c r="J231" s="4">
        <f t="shared" si="19"/>
        <v>236</v>
      </c>
    </row>
    <row r="232" spans="1:10" ht="15" customHeight="1" x14ac:dyDescent="0.25">
      <c r="A232" s="8">
        <f>IF(COUNT($J$2:$J$1501)&gt;=231,231,"")</f>
        <v>231</v>
      </c>
      <c r="B232" s="8" t="str">
        <f t="shared" si="15"/>
        <v>Malagon Luis</v>
      </c>
      <c r="C232" s="8" t="str">
        <f t="shared" si="16"/>
        <v>Club América</v>
      </c>
      <c r="D232" s="8">
        <f t="shared" si="17"/>
        <v>0</v>
      </c>
      <c r="F232" s="4" t="str">
        <f>IF(Jugadores!B232="","",Jugadores!B232)</f>
        <v>Espinosa Dovat Thiago Nahuel</v>
      </c>
      <c r="G232" s="4" t="str">
        <f>IF(Jugadores!B232="","",Jugadores!A232)</f>
        <v>Club América</v>
      </c>
      <c r="H232" s="4">
        <f>IF(F232="","",SUMIF('Estadísticas Jugadores'!$F$2:$F$7001,F232,'Estadísticas Jugadores'!$J$2:$J$7001))</f>
        <v>0</v>
      </c>
      <c r="I232" s="4">
        <f t="shared" si="18"/>
        <v>-2.3199999999999998E-5</v>
      </c>
      <c r="J232" s="4">
        <f t="shared" si="19"/>
        <v>237</v>
      </c>
    </row>
    <row r="233" spans="1:10" ht="15" customHeight="1" x14ac:dyDescent="0.25">
      <c r="A233" s="8">
        <f>IF(COUNT($J$2:$J$1501)&gt;=232,232,"")</f>
        <v>232</v>
      </c>
      <c r="B233" s="8" t="str">
        <f t="shared" si="15"/>
        <v>Tapia Fernando</v>
      </c>
      <c r="C233" s="8" t="str">
        <f t="shared" si="16"/>
        <v>Club América</v>
      </c>
      <c r="D233" s="8">
        <f t="shared" si="17"/>
        <v>0</v>
      </c>
      <c r="F233" s="4" t="str">
        <f>IF(Jugadores!B233="","",Jugadores!B233)</f>
        <v>Espinoza Dagoberto</v>
      </c>
      <c r="G233" s="4" t="str">
        <f>IF(Jugadores!B233="","",Jugadores!A233)</f>
        <v>Club América</v>
      </c>
      <c r="H233" s="4">
        <f>IF(F233="","",SUMIF('Estadísticas Jugadores'!$F$2:$F$7001,F233,'Estadísticas Jugadores'!$J$2:$J$7001))</f>
        <v>0</v>
      </c>
      <c r="I233" s="4">
        <f t="shared" si="18"/>
        <v>-2.3300000000000001E-5</v>
      </c>
      <c r="J233" s="4">
        <f t="shared" si="19"/>
        <v>238</v>
      </c>
    </row>
    <row r="234" spans="1:10" ht="15" customHeight="1" x14ac:dyDescent="0.25">
      <c r="A234" s="8">
        <f>IF(COUNT($J$2:$J$1501)&gt;=233,233,"")</f>
        <v>233</v>
      </c>
      <c r="B234" s="8" t="str">
        <f t="shared" si="15"/>
        <v>Alvarez Kevin</v>
      </c>
      <c r="C234" s="8" t="str">
        <f t="shared" si="16"/>
        <v>Club América</v>
      </c>
      <c r="D234" s="8">
        <f t="shared" si="17"/>
        <v>0</v>
      </c>
      <c r="F234" s="4" t="str">
        <f>IF(Jugadores!B234="","",Jugadores!B234)</f>
        <v>Juarez Ramon</v>
      </c>
      <c r="G234" s="4" t="str">
        <f>IF(Jugadores!B234="","",Jugadores!A234)</f>
        <v>Club América</v>
      </c>
      <c r="H234" s="4">
        <f>IF(F234="","",SUMIF('Estadísticas Jugadores'!$F$2:$F$7001,F234,'Estadísticas Jugadores'!$J$2:$J$7001))</f>
        <v>0</v>
      </c>
      <c r="I234" s="4">
        <f t="shared" si="18"/>
        <v>-2.34E-5</v>
      </c>
      <c r="J234" s="4">
        <f t="shared" si="19"/>
        <v>239</v>
      </c>
    </row>
    <row r="235" spans="1:10" ht="15" customHeight="1" x14ac:dyDescent="0.25">
      <c r="A235" s="8">
        <f>IF(COUNT($J$2:$J$1501)&gt;=234,234,"")</f>
        <v>234</v>
      </c>
      <c r="B235" s="8" t="str">
        <f t="shared" si="15"/>
        <v>Araujo Munoz Andres Marioni</v>
      </c>
      <c r="C235" s="8" t="str">
        <f t="shared" si="16"/>
        <v>Club América</v>
      </c>
      <c r="D235" s="8">
        <f t="shared" si="17"/>
        <v>0</v>
      </c>
      <c r="F235" s="4" t="str">
        <f>IF(Jugadores!B235="","",Jugadores!B235)</f>
        <v>Mejáa Aaron</v>
      </c>
      <c r="G235" s="4" t="str">
        <f>IF(Jugadores!B235="","",Jugadores!A235)</f>
        <v>Club América</v>
      </c>
      <c r="H235" s="4">
        <f>IF(F235="","",SUMIF('Estadísticas Jugadores'!$F$2:$F$7001,F235,'Estadísticas Jugadores'!$J$2:$J$7001))</f>
        <v>0</v>
      </c>
      <c r="I235" s="4">
        <f t="shared" si="18"/>
        <v>-2.3499999999999999E-5</v>
      </c>
      <c r="J235" s="4">
        <f t="shared" si="19"/>
        <v>240</v>
      </c>
    </row>
    <row r="236" spans="1:10" ht="15" customHeight="1" x14ac:dyDescent="0.25">
      <c r="A236" s="8">
        <f>IF(COUNT($J$2:$J$1501)&gt;=235,235,"")</f>
        <v>235</v>
      </c>
      <c r="B236" s="8" t="str">
        <f t="shared" si="15"/>
        <v>Borja Cristian</v>
      </c>
      <c r="C236" s="8" t="str">
        <f t="shared" si="16"/>
        <v>Club América</v>
      </c>
      <c r="D236" s="8">
        <f t="shared" si="17"/>
        <v>0</v>
      </c>
      <c r="F236" s="4" t="str">
        <f>IF(Jugadores!B236="","",Jugadores!B236)</f>
        <v>Reyes Israel</v>
      </c>
      <c r="G236" s="4" t="str">
        <f>IF(Jugadores!B236="","",Jugadores!A236)</f>
        <v>Club América</v>
      </c>
      <c r="H236" s="4">
        <f>IF(F236="","",SUMIF('Estadísticas Jugadores'!$F$2:$F$7001,F236,'Estadísticas Jugadores'!$J$2:$J$7001))</f>
        <v>0</v>
      </c>
      <c r="I236" s="4">
        <f t="shared" si="18"/>
        <v>-2.3599999999999998E-5</v>
      </c>
      <c r="J236" s="4">
        <f t="shared" si="19"/>
        <v>241</v>
      </c>
    </row>
    <row r="237" spans="1:10" ht="15" customHeight="1" x14ac:dyDescent="0.25">
      <c r="A237" s="8">
        <f>IF(COUNT($J$2:$J$1501)&gt;=236,236,"")</f>
        <v>236</v>
      </c>
      <c r="B237" s="8" t="str">
        <f t="shared" si="15"/>
        <v>Caceres Sebastian</v>
      </c>
      <c r="C237" s="8" t="str">
        <f t="shared" si="16"/>
        <v>Club América</v>
      </c>
      <c r="D237" s="8">
        <f t="shared" si="17"/>
        <v>0</v>
      </c>
      <c r="F237" s="4" t="str">
        <f>IF(Jugadores!B237="","",Jugadores!B237)</f>
        <v>Rossano Franco</v>
      </c>
      <c r="G237" s="4" t="str">
        <f>IF(Jugadores!B237="","",Jugadores!A237)</f>
        <v>Club América</v>
      </c>
      <c r="H237" s="4">
        <f>IF(F237="","",SUMIF('Estadísticas Jugadores'!$F$2:$F$7001,F237,'Estadísticas Jugadores'!$J$2:$J$7001))</f>
        <v>0</v>
      </c>
      <c r="I237" s="4">
        <f t="shared" si="18"/>
        <v>-2.37E-5</v>
      </c>
      <c r="J237" s="4">
        <f t="shared" si="19"/>
        <v>242</v>
      </c>
    </row>
    <row r="238" spans="1:10" ht="15" customHeight="1" x14ac:dyDescent="0.25">
      <c r="A238" s="8">
        <f>IF(COUNT($J$2:$J$1501)&gt;=237,237,"")</f>
        <v>237</v>
      </c>
      <c r="B238" s="8" t="str">
        <f t="shared" si="15"/>
        <v>Espinosa Dovat Thiago Nahuel</v>
      </c>
      <c r="C238" s="8" t="str">
        <f t="shared" si="16"/>
        <v>Club América</v>
      </c>
      <c r="D238" s="8">
        <f t="shared" si="17"/>
        <v>0</v>
      </c>
      <c r="F238" s="4" t="str">
        <f>IF(Jugadores!B238="","",Jugadores!B238)</f>
        <v>Vazquez Miguel</v>
      </c>
      <c r="G238" s="4" t="str">
        <f>IF(Jugadores!B238="","",Jugadores!A238)</f>
        <v>Club América</v>
      </c>
      <c r="H238" s="4">
        <f>IF(F238="","",SUMIF('Estadísticas Jugadores'!$F$2:$F$7001,F238,'Estadísticas Jugadores'!$J$2:$J$7001))</f>
        <v>0</v>
      </c>
      <c r="I238" s="4">
        <f t="shared" si="18"/>
        <v>-2.3799999999999999E-5</v>
      </c>
      <c r="J238" s="4">
        <f t="shared" si="19"/>
        <v>243</v>
      </c>
    </row>
    <row r="239" spans="1:10" ht="15" customHeight="1" x14ac:dyDescent="0.25">
      <c r="A239" s="8">
        <f>IF(COUNT($J$2:$J$1501)&gt;=238,238,"")</f>
        <v>238</v>
      </c>
      <c r="B239" s="8" t="str">
        <f t="shared" si="15"/>
        <v>Espinoza Dagoberto</v>
      </c>
      <c r="C239" s="8" t="str">
        <f t="shared" si="16"/>
        <v>Club América</v>
      </c>
      <c r="D239" s="8">
        <f t="shared" si="17"/>
        <v>0</v>
      </c>
      <c r="F239" s="4" t="str">
        <f>IF(Jugadores!B239="","",Jugadores!B239)</f>
        <v>Arriaga Diego</v>
      </c>
      <c r="G239" s="4" t="str">
        <f>IF(Jugadores!B239="","",Jugadores!A239)</f>
        <v>Club América</v>
      </c>
      <c r="H239" s="4">
        <f>IF(F239="","",SUMIF('Estadísticas Jugadores'!$F$2:$F$7001,F239,'Estadísticas Jugadores'!$J$2:$J$7001))</f>
        <v>0</v>
      </c>
      <c r="I239" s="4">
        <f t="shared" si="18"/>
        <v>-2.3899999999999998E-5</v>
      </c>
      <c r="J239" s="4">
        <f t="shared" si="19"/>
        <v>244</v>
      </c>
    </row>
    <row r="240" spans="1:10" ht="15" customHeight="1" x14ac:dyDescent="0.25">
      <c r="A240" s="8">
        <f>IF(COUNT($J$2:$J$1501)&gt;=239,239,"")</f>
        <v>239</v>
      </c>
      <c r="B240" s="8" t="str">
        <f t="shared" si="15"/>
        <v>Juarez Ramon</v>
      </c>
      <c r="C240" s="8" t="str">
        <f t="shared" si="16"/>
        <v>Club América</v>
      </c>
      <c r="D240" s="8">
        <f t="shared" si="17"/>
        <v>0</v>
      </c>
      <c r="F240" s="4" t="str">
        <f>IF(Jugadores!B240="","",Jugadores!B240)</f>
        <v>Cervantes Martin del Campo Alan Jhosue</v>
      </c>
      <c r="G240" s="4" t="str">
        <f>IF(Jugadores!B240="","",Jugadores!A240)</f>
        <v>Club América</v>
      </c>
      <c r="H240" s="4">
        <f>IF(F240="","",SUMIF('Estadísticas Jugadores'!$F$2:$F$7001,F240,'Estadísticas Jugadores'!$J$2:$J$7001))</f>
        <v>0</v>
      </c>
      <c r="I240" s="4">
        <f t="shared" si="18"/>
        <v>-2.4000000000000001E-5</v>
      </c>
      <c r="J240" s="4">
        <f t="shared" si="19"/>
        <v>245</v>
      </c>
    </row>
    <row r="241" spans="1:10" ht="15" customHeight="1" x14ac:dyDescent="0.25">
      <c r="A241" s="8">
        <f>IF(COUNT($J$2:$J$1501)&gt;=240,240,"")</f>
        <v>240</v>
      </c>
      <c r="B241" s="8" t="str">
        <f t="shared" si="15"/>
        <v>Mejáa Aaron</v>
      </c>
      <c r="C241" s="8" t="str">
        <f t="shared" si="16"/>
        <v>Club América</v>
      </c>
      <c r="D241" s="8">
        <f t="shared" si="17"/>
        <v>0</v>
      </c>
      <c r="F241" s="4" t="str">
        <f>IF(Jugadores!B241="","",Jugadores!B241)</f>
        <v>Gutierrez Torres Alexis Hazael</v>
      </c>
      <c r="G241" s="4" t="str">
        <f>IF(Jugadores!B241="","",Jugadores!A241)</f>
        <v>Club América</v>
      </c>
      <c r="H241" s="4">
        <f>IF(F241="","",SUMIF('Estadísticas Jugadores'!$F$2:$F$7001,F241,'Estadísticas Jugadores'!$J$2:$J$7001))</f>
        <v>0</v>
      </c>
      <c r="I241" s="4">
        <f t="shared" si="18"/>
        <v>-2.41E-5</v>
      </c>
      <c r="J241" s="4">
        <f t="shared" si="19"/>
        <v>246</v>
      </c>
    </row>
    <row r="242" spans="1:10" ht="15" customHeight="1" x14ac:dyDescent="0.25">
      <c r="A242" s="8">
        <f>IF(COUNT($J$2:$J$1501)&gt;=241,241,"")</f>
        <v>241</v>
      </c>
      <c r="B242" s="8" t="str">
        <f t="shared" si="15"/>
        <v>Reyes Israel</v>
      </c>
      <c r="C242" s="8" t="str">
        <f t="shared" si="16"/>
        <v>Club América</v>
      </c>
      <c r="D242" s="8">
        <f t="shared" si="17"/>
        <v>0</v>
      </c>
      <c r="F242" s="4" t="str">
        <f>IF(Jugadores!B242="","",Jugadores!B242)</f>
        <v>Icaro</v>
      </c>
      <c r="G242" s="4" t="str">
        <f>IF(Jugadores!B242="","",Jugadores!A242)</f>
        <v>Club América</v>
      </c>
      <c r="H242" s="4">
        <f>IF(F242="","",SUMIF('Estadísticas Jugadores'!$F$2:$F$7001,F242,'Estadísticas Jugadores'!$J$2:$J$7001))</f>
        <v>0</v>
      </c>
      <c r="I242" s="4">
        <f t="shared" si="18"/>
        <v>-2.4199999999999999E-5</v>
      </c>
      <c r="J242" s="4">
        <f t="shared" si="19"/>
        <v>247</v>
      </c>
    </row>
    <row r="243" spans="1:10" ht="15" customHeight="1" x14ac:dyDescent="0.25">
      <c r="A243" s="8">
        <f>IF(COUNT($J$2:$J$1501)&gt;=242,242,"")</f>
        <v>242</v>
      </c>
      <c r="B243" s="8" t="str">
        <f t="shared" si="15"/>
        <v>Rossano Franco</v>
      </c>
      <c r="C243" s="8" t="str">
        <f t="shared" si="16"/>
        <v>Club América</v>
      </c>
      <c r="D243" s="8">
        <f t="shared" si="17"/>
        <v>0</v>
      </c>
      <c r="F243" s="4" t="str">
        <f>IF(Jugadores!B243="","",Jugadores!B243)</f>
        <v>Lima</v>
      </c>
      <c r="G243" s="4" t="str">
        <f>IF(Jugadores!B243="","",Jugadores!A243)</f>
        <v>Club América</v>
      </c>
      <c r="H243" s="4">
        <f>IF(F243="","",SUMIF('Estadísticas Jugadores'!$F$2:$F$7001,F243,'Estadísticas Jugadores'!$J$2:$J$7001))</f>
        <v>0</v>
      </c>
      <c r="I243" s="4">
        <f t="shared" si="18"/>
        <v>-2.4299999999999998E-5</v>
      </c>
      <c r="J243" s="4">
        <f t="shared" si="19"/>
        <v>248</v>
      </c>
    </row>
    <row r="244" spans="1:10" ht="15" customHeight="1" x14ac:dyDescent="0.25">
      <c r="A244" s="8">
        <f>IF(COUNT($J$2:$J$1501)&gt;=243,243,"")</f>
        <v>243</v>
      </c>
      <c r="B244" s="8" t="str">
        <f t="shared" si="15"/>
        <v>Vazquez Miguel</v>
      </c>
      <c r="C244" s="8" t="str">
        <f t="shared" si="16"/>
        <v>Club América</v>
      </c>
      <c r="D244" s="8">
        <f t="shared" si="17"/>
        <v>0</v>
      </c>
      <c r="F244" s="4" t="str">
        <f>IF(Jugadores!B244="","",Jugadores!B244)</f>
        <v>Naveda Santiago</v>
      </c>
      <c r="G244" s="4" t="str">
        <f>IF(Jugadores!B244="","",Jugadores!A244)</f>
        <v>Club América</v>
      </c>
      <c r="H244" s="4">
        <f>IF(F244="","",SUMIF('Estadísticas Jugadores'!$F$2:$F$7001,F244,'Estadísticas Jugadores'!$J$2:$J$7001))</f>
        <v>0</v>
      </c>
      <c r="I244" s="4">
        <f t="shared" si="18"/>
        <v>-2.44E-5</v>
      </c>
      <c r="J244" s="4">
        <f t="shared" si="19"/>
        <v>249</v>
      </c>
    </row>
    <row r="245" spans="1:10" ht="15" customHeight="1" x14ac:dyDescent="0.25">
      <c r="A245" s="8">
        <f>IF(COUNT($J$2:$J$1501)&gt;=244,244,"")</f>
        <v>244</v>
      </c>
      <c r="B245" s="8" t="str">
        <f t="shared" si="15"/>
        <v>Arriaga Diego</v>
      </c>
      <c r="C245" s="8" t="str">
        <f t="shared" si="16"/>
        <v>Club América</v>
      </c>
      <c r="D245" s="8">
        <f t="shared" si="17"/>
        <v>0</v>
      </c>
      <c r="F245" s="4" t="str">
        <f>IF(Jugadores!B245="","",Jugadores!B245)</f>
        <v>Raphael Veiga</v>
      </c>
      <c r="G245" s="4" t="str">
        <f>IF(Jugadores!B245="","",Jugadores!A245)</f>
        <v>Club América</v>
      </c>
      <c r="H245" s="4">
        <f>IF(F245="","",SUMIF('Estadísticas Jugadores'!$F$2:$F$7001,F245,'Estadísticas Jugadores'!$J$2:$J$7001))</f>
        <v>0</v>
      </c>
      <c r="I245" s="4">
        <f t="shared" si="18"/>
        <v>-2.4499999999999999E-5</v>
      </c>
      <c r="J245" s="4">
        <f t="shared" si="19"/>
        <v>250</v>
      </c>
    </row>
    <row r="246" spans="1:10" ht="15" customHeight="1" x14ac:dyDescent="0.25">
      <c r="A246" s="8">
        <f>IF(COUNT($J$2:$J$1501)&gt;=245,245,"")</f>
        <v>245</v>
      </c>
      <c r="B246" s="8" t="str">
        <f t="shared" si="15"/>
        <v>Cervantes Martin del Campo Alan Jhosue</v>
      </c>
      <c r="C246" s="8" t="str">
        <f t="shared" si="16"/>
        <v>Club América</v>
      </c>
      <c r="D246" s="8">
        <f t="shared" si="17"/>
        <v>0</v>
      </c>
      <c r="F246" s="4" t="str">
        <f>IF(Jugadores!B246="","",Jugadores!B246)</f>
        <v>Rodrigo Dourado</v>
      </c>
      <c r="G246" s="4" t="str">
        <f>IF(Jugadores!B246="","",Jugadores!A246)</f>
        <v>Club América</v>
      </c>
      <c r="H246" s="4">
        <f>IF(F246="","",SUMIF('Estadísticas Jugadores'!$F$2:$F$7001,F246,'Estadísticas Jugadores'!$J$2:$J$7001))</f>
        <v>0</v>
      </c>
      <c r="I246" s="4">
        <f t="shared" si="18"/>
        <v>-2.4599999999999998E-5</v>
      </c>
      <c r="J246" s="4">
        <f t="shared" si="19"/>
        <v>251</v>
      </c>
    </row>
    <row r="247" spans="1:10" ht="15" customHeight="1" x14ac:dyDescent="0.25">
      <c r="A247" s="8">
        <f>IF(COUNT($J$2:$J$1501)&gt;=246,246,"")</f>
        <v>246</v>
      </c>
      <c r="B247" s="8" t="str">
        <f t="shared" si="15"/>
        <v>Gutierrez Torres Alexis Hazael</v>
      </c>
      <c r="C247" s="8" t="str">
        <f t="shared" si="16"/>
        <v>Club América</v>
      </c>
      <c r="D247" s="8">
        <f t="shared" si="17"/>
        <v>0</v>
      </c>
      <c r="F247" s="4" t="str">
        <f>IF(Jugadores!B247="","",Jugadores!B247)</f>
        <v>Sánchez Erick</v>
      </c>
      <c r="G247" s="4" t="str">
        <f>IF(Jugadores!B247="","",Jugadores!A247)</f>
        <v>Club América</v>
      </c>
      <c r="H247" s="4">
        <f>IF(F247="","",SUMIF('Estadísticas Jugadores'!$F$2:$F$7001,F247,'Estadísticas Jugadores'!$J$2:$J$7001))</f>
        <v>0</v>
      </c>
      <c r="I247" s="4">
        <f t="shared" si="18"/>
        <v>-2.4699999999999997E-5</v>
      </c>
      <c r="J247" s="4">
        <f t="shared" si="19"/>
        <v>252</v>
      </c>
    </row>
    <row r="248" spans="1:10" ht="15" customHeight="1" x14ac:dyDescent="0.25">
      <c r="A248" s="8">
        <f>IF(COUNT($J$2:$J$1501)&gt;=247,247,"")</f>
        <v>247</v>
      </c>
      <c r="B248" s="8" t="str">
        <f t="shared" si="15"/>
        <v>Icaro</v>
      </c>
      <c r="C248" s="8" t="str">
        <f t="shared" si="16"/>
        <v>Club América</v>
      </c>
      <c r="D248" s="8">
        <f t="shared" si="17"/>
        <v>0</v>
      </c>
      <c r="F248" s="4" t="str">
        <f>IF(Jugadores!B248="","",Jugadores!B248)</f>
        <v>dos Santos Jonathan</v>
      </c>
      <c r="G248" s="4" t="str">
        <f>IF(Jugadores!B248="","",Jugadores!A248)</f>
        <v>Club América</v>
      </c>
      <c r="H248" s="4">
        <f>IF(F248="","",SUMIF('Estadísticas Jugadores'!$F$2:$F$7001,F248,'Estadísticas Jugadores'!$J$2:$J$7001))</f>
        <v>0</v>
      </c>
      <c r="I248" s="4">
        <f t="shared" si="18"/>
        <v>-2.48E-5</v>
      </c>
      <c r="J248" s="4">
        <f t="shared" si="19"/>
        <v>253</v>
      </c>
    </row>
    <row r="249" spans="1:10" ht="15" customHeight="1" x14ac:dyDescent="0.25">
      <c r="A249" s="8">
        <f>IF(COUNT($J$2:$J$1501)&gt;=248,248,"")</f>
        <v>248</v>
      </c>
      <c r="B249" s="8" t="str">
        <f t="shared" si="15"/>
        <v>Lima</v>
      </c>
      <c r="C249" s="8" t="str">
        <f t="shared" si="16"/>
        <v>Club América</v>
      </c>
      <c r="D249" s="8">
        <f t="shared" si="17"/>
        <v>0</v>
      </c>
      <c r="F249" s="4" t="str">
        <f>IF(Jugadores!B249="","",Jugadores!B249)</f>
        <v>Cárdenas Alejandro</v>
      </c>
      <c r="G249" s="4" t="str">
        <f>IF(Jugadores!B249="","",Jugadores!A249)</f>
        <v>Club América</v>
      </c>
      <c r="H249" s="4">
        <f>IF(F249="","",SUMIF('Estadísticas Jugadores'!$F$2:$F$7001,F249,'Estadísticas Jugadores'!$J$2:$J$7001))</f>
        <v>0</v>
      </c>
      <c r="I249" s="4">
        <f t="shared" si="18"/>
        <v>-2.4899999999999999E-5</v>
      </c>
      <c r="J249" s="4">
        <f t="shared" si="19"/>
        <v>254</v>
      </c>
    </row>
    <row r="250" spans="1:10" ht="15" customHeight="1" x14ac:dyDescent="0.25">
      <c r="A250" s="8">
        <f>IF(COUNT($J$2:$J$1501)&gt;=249,249,"")</f>
        <v>249</v>
      </c>
      <c r="B250" s="8" t="str">
        <f t="shared" si="15"/>
        <v>Naveda Santiago</v>
      </c>
      <c r="C250" s="8" t="str">
        <f t="shared" si="16"/>
        <v>Club América</v>
      </c>
      <c r="D250" s="8">
        <f t="shared" si="17"/>
        <v>0</v>
      </c>
      <c r="F250" s="4" t="str">
        <f>IF(Jugadores!B250="","",Jugadores!B250)</f>
        <v>Davila Victor</v>
      </c>
      <c r="G250" s="4" t="str">
        <f>IF(Jugadores!B250="","",Jugadores!A250)</f>
        <v>Club América</v>
      </c>
      <c r="H250" s="4">
        <f>IF(F250="","",SUMIF('Estadísticas Jugadores'!$F$2:$F$7001,F250,'Estadísticas Jugadores'!$J$2:$J$7001))</f>
        <v>0</v>
      </c>
      <c r="I250" s="4">
        <f t="shared" si="18"/>
        <v>-2.4999999999999998E-5</v>
      </c>
      <c r="J250" s="4">
        <f t="shared" si="19"/>
        <v>255</v>
      </c>
    </row>
    <row r="251" spans="1:10" ht="15" customHeight="1" x14ac:dyDescent="0.25">
      <c r="A251" s="8">
        <f>IF(COUNT($J$2:$J$1501)&gt;=250,250,"")</f>
        <v>250</v>
      </c>
      <c r="B251" s="8" t="str">
        <f t="shared" si="15"/>
        <v>Raphael Veiga</v>
      </c>
      <c r="C251" s="8" t="str">
        <f t="shared" si="16"/>
        <v>Club América</v>
      </c>
      <c r="D251" s="8">
        <f t="shared" si="17"/>
        <v>0</v>
      </c>
      <c r="F251" s="4" t="str">
        <f>IF(Jugadores!B251="","",Jugadores!B251)</f>
        <v>Lozano Esteban</v>
      </c>
      <c r="G251" s="4" t="str">
        <f>IF(Jugadores!B251="","",Jugadores!A251)</f>
        <v>Club América</v>
      </c>
      <c r="H251" s="4">
        <f>IF(F251="","",SUMIF('Estadísticas Jugadores'!$F$2:$F$7001,F251,'Estadísticas Jugadores'!$J$2:$J$7001))</f>
        <v>0</v>
      </c>
      <c r="I251" s="4">
        <f t="shared" si="18"/>
        <v>-2.51E-5</v>
      </c>
      <c r="J251" s="4">
        <f t="shared" si="19"/>
        <v>256</v>
      </c>
    </row>
    <row r="252" spans="1:10" ht="15" customHeight="1" x14ac:dyDescent="0.25">
      <c r="A252" s="8">
        <f>IF(COUNT($J$2:$J$1501)&gt;=251,251,"")</f>
        <v>251</v>
      </c>
      <c r="B252" s="8" t="str">
        <f t="shared" si="15"/>
        <v>Rodrigo Dourado</v>
      </c>
      <c r="C252" s="8" t="str">
        <f t="shared" si="16"/>
        <v>Club América</v>
      </c>
      <c r="D252" s="8">
        <f t="shared" si="17"/>
        <v>0</v>
      </c>
      <c r="F252" s="4" t="str">
        <f>IF(Jugadores!B252="","",Jugadores!B252)</f>
        <v>Martin Henry</v>
      </c>
      <c r="G252" s="4" t="str">
        <f>IF(Jugadores!B252="","",Jugadores!A252)</f>
        <v>Club América</v>
      </c>
      <c r="H252" s="4">
        <f>IF(F252="","",SUMIF('Estadísticas Jugadores'!$F$2:$F$7001,F252,'Estadísticas Jugadores'!$J$2:$J$7001))</f>
        <v>1</v>
      </c>
      <c r="I252" s="4">
        <f t="shared" si="18"/>
        <v>999.99997480000002</v>
      </c>
      <c r="J252" s="4">
        <f t="shared" si="19"/>
        <v>12</v>
      </c>
    </row>
    <row r="253" spans="1:10" ht="15" customHeight="1" x14ac:dyDescent="0.25">
      <c r="A253" s="8">
        <f>IF(COUNT($J$2:$J$1501)&gt;=252,252,"")</f>
        <v>252</v>
      </c>
      <c r="B253" s="8" t="str">
        <f t="shared" si="15"/>
        <v>Sánchez Erick</v>
      </c>
      <c r="C253" s="8" t="str">
        <f t="shared" si="16"/>
        <v>Club América</v>
      </c>
      <c r="D253" s="8">
        <f t="shared" si="17"/>
        <v>0</v>
      </c>
      <c r="F253" s="4" t="str">
        <f>IF(Jugadores!B253="","",Jugadores!B253)</f>
        <v>Rodriguez Brian</v>
      </c>
      <c r="G253" s="4" t="str">
        <f>IF(Jugadores!B253="","",Jugadores!A253)</f>
        <v>Club América</v>
      </c>
      <c r="H253" s="4">
        <f>IF(F253="","",SUMIF('Estadísticas Jugadores'!$F$2:$F$7001,F253,'Estadísticas Jugadores'!$J$2:$J$7001))</f>
        <v>0</v>
      </c>
      <c r="I253" s="4">
        <f t="shared" si="18"/>
        <v>-2.5299999999999998E-5</v>
      </c>
      <c r="J253" s="4">
        <f t="shared" si="19"/>
        <v>257</v>
      </c>
    </row>
    <row r="254" spans="1:10" ht="15" customHeight="1" x14ac:dyDescent="0.25">
      <c r="A254" s="8">
        <f>IF(COUNT($J$2:$J$1501)&gt;=253,253,"")</f>
        <v>253</v>
      </c>
      <c r="B254" s="8" t="str">
        <f t="shared" si="15"/>
        <v>dos Santos Jonathan</v>
      </c>
      <c r="C254" s="8" t="str">
        <f t="shared" si="16"/>
        <v>Club América</v>
      </c>
      <c r="D254" s="8">
        <f t="shared" si="17"/>
        <v>0</v>
      </c>
      <c r="F254" s="4" t="str">
        <f>IF(Jugadores!B254="","",Jugadores!B254)</f>
        <v>Salas Patricio</v>
      </c>
      <c r="G254" s="4" t="str">
        <f>IF(Jugadores!B254="","",Jugadores!A254)</f>
        <v>Club América</v>
      </c>
      <c r="H254" s="4">
        <f>IF(F254="","",SUMIF('Estadísticas Jugadores'!$F$2:$F$7001,F254,'Estadísticas Jugadores'!$J$2:$J$7001))</f>
        <v>0</v>
      </c>
      <c r="I254" s="4">
        <f t="shared" si="18"/>
        <v>-2.5399999999999997E-5</v>
      </c>
      <c r="J254" s="4">
        <f t="shared" si="19"/>
        <v>258</v>
      </c>
    </row>
    <row r="255" spans="1:10" ht="15" customHeight="1" x14ac:dyDescent="0.25">
      <c r="A255" s="8">
        <f>IF(COUNT($J$2:$J$1501)&gt;=254,254,"")</f>
        <v>254</v>
      </c>
      <c r="B255" s="8" t="str">
        <f t="shared" si="15"/>
        <v>Cárdenas Alejandro</v>
      </c>
      <c r="C255" s="8" t="str">
        <f t="shared" si="16"/>
        <v>Club América</v>
      </c>
      <c r="D255" s="8">
        <f t="shared" si="17"/>
        <v>0</v>
      </c>
      <c r="F255" s="4" t="str">
        <f>IF(Jugadores!B255="","",Jugadores!B255)</f>
        <v>Violante Isaias</v>
      </c>
      <c r="G255" s="4" t="str">
        <f>IF(Jugadores!B255="","",Jugadores!A255)</f>
        <v>Club América</v>
      </c>
      <c r="H255" s="4">
        <f>IF(F255="","",SUMIF('Estadísticas Jugadores'!$F$2:$F$7001,F255,'Estadísticas Jugadores'!$J$2:$J$7001))</f>
        <v>0</v>
      </c>
      <c r="I255" s="4">
        <f t="shared" si="18"/>
        <v>-2.55E-5</v>
      </c>
      <c r="J255" s="4">
        <f t="shared" si="19"/>
        <v>259</v>
      </c>
    </row>
    <row r="256" spans="1:10" ht="15" customHeight="1" x14ac:dyDescent="0.25">
      <c r="A256" s="8">
        <f>IF(COUNT($J$2:$J$1501)&gt;=255,255,"")</f>
        <v>255</v>
      </c>
      <c r="B256" s="8" t="str">
        <f t="shared" si="15"/>
        <v>Davila Victor</v>
      </c>
      <c r="C256" s="8" t="str">
        <f t="shared" si="16"/>
        <v>Club América</v>
      </c>
      <c r="D256" s="8">
        <f t="shared" si="17"/>
        <v>0</v>
      </c>
      <c r="F256" s="4" t="str">
        <f>IF(Jugadores!B256="","",Jugadores!B256)</f>
        <v>Zendejas Alex</v>
      </c>
      <c r="G256" s="4" t="str">
        <f>IF(Jugadores!B256="","",Jugadores!A256)</f>
        <v>Club América</v>
      </c>
      <c r="H256" s="4">
        <f>IF(F256="","",SUMIF('Estadísticas Jugadores'!$F$2:$F$7001,F256,'Estadísticas Jugadores'!$J$2:$J$7001))</f>
        <v>0</v>
      </c>
      <c r="I256" s="4">
        <f t="shared" si="18"/>
        <v>-2.5599999999999999E-5</v>
      </c>
      <c r="J256" s="4">
        <f t="shared" si="19"/>
        <v>260</v>
      </c>
    </row>
    <row r="257" spans="1:10" ht="15" customHeight="1" x14ac:dyDescent="0.25">
      <c r="A257" s="8">
        <f>IF(COUNT($J$2:$J$1501)&gt;=256,256,"")</f>
        <v>256</v>
      </c>
      <c r="B257" s="8" t="str">
        <f t="shared" si="15"/>
        <v>Lozano Esteban</v>
      </c>
      <c r="C257" s="8" t="str">
        <f t="shared" si="16"/>
        <v>Club América</v>
      </c>
      <c r="D257" s="8">
        <f t="shared" si="17"/>
        <v>0</v>
      </c>
      <c r="F257" s="4" t="str">
        <f>IF(Jugadores!B257="","",Jugadores!B257)</f>
        <v>Zúñiga Jose</v>
      </c>
      <c r="G257" s="4" t="str">
        <f>IF(Jugadores!B257="","",Jugadores!A257)</f>
        <v>Club América</v>
      </c>
      <c r="H257" s="4">
        <f>IF(F257="","",SUMIF('Estadísticas Jugadores'!$F$2:$F$7001,F257,'Estadísticas Jugadores'!$J$2:$J$7001))</f>
        <v>0</v>
      </c>
      <c r="I257" s="4">
        <f t="shared" si="18"/>
        <v>-2.5699999999999998E-5</v>
      </c>
      <c r="J257" s="4">
        <f t="shared" si="19"/>
        <v>261</v>
      </c>
    </row>
    <row r="258" spans="1:10" ht="15" customHeight="1" x14ac:dyDescent="0.25">
      <c r="A258" s="8">
        <f>IF(COUNT($J$2:$J$1501)&gt;=257,257,"")</f>
        <v>257</v>
      </c>
      <c r="B258" s="8" t="str">
        <f t="shared" ref="B258:B321" si="20">IF($A258="","",INDEX($F$2:$F$1501,MATCH($A258,$J$2:$J$1501,0)))</f>
        <v>Rodriguez Brian</v>
      </c>
      <c r="C258" s="8" t="str">
        <f t="shared" ref="C258:C321" si="21">IF($A258="","",INDEX($G$2:$G$1501,MATCH($A258,$J$2:$J$1501,0)))</f>
        <v>Club América</v>
      </c>
      <c r="D258" s="8">
        <f t="shared" ref="D258:D321" si="22">IF($A258="","",INDEX($H$2:$H$1501,MATCH($A258,$J$2:$J$1501,0)))</f>
        <v>0</v>
      </c>
      <c r="F258" s="4" t="str">
        <f>IF(Jugadores!B258="","",Jugadores!B258)</f>
        <v>Gutierrez Daniel</v>
      </c>
      <c r="G258" s="4" t="str">
        <f>IF(Jugadores!B258="","",Jugadores!A258)</f>
        <v>Puebla</v>
      </c>
      <c r="H258" s="4">
        <f>IF(F258="","",SUMIF('Estadísticas Jugadores'!$F$2:$F$7001,F258,'Estadísticas Jugadores'!$J$2:$J$7001))</f>
        <v>0</v>
      </c>
      <c r="I258" s="4">
        <f t="shared" ref="I258:I321" si="23">IF(F258="","",H258*1000-ROW()*0.0000001)</f>
        <v>-2.58E-5</v>
      </c>
      <c r="J258" s="4">
        <f t="shared" ref="J258:J321" si="24">IF(F258="","",RANK(I258,$I$2:$I$1501))</f>
        <v>262</v>
      </c>
    </row>
    <row r="259" spans="1:10" ht="15" customHeight="1" x14ac:dyDescent="0.25">
      <c r="A259" s="8">
        <f>IF(COUNT($J$2:$J$1501)&gt;=258,258,"")</f>
        <v>258</v>
      </c>
      <c r="B259" s="8" t="str">
        <f t="shared" si="20"/>
        <v>Salas Patricio</v>
      </c>
      <c r="C259" s="8" t="str">
        <f t="shared" si="21"/>
        <v>Club América</v>
      </c>
      <c r="D259" s="8">
        <f t="shared" si="22"/>
        <v>0</v>
      </c>
      <c r="F259" s="4" t="str">
        <f>IF(Jugadores!B259="","",Jugadores!B259)</f>
        <v>Rodríguez Jesus Ivan</v>
      </c>
      <c r="G259" s="4" t="str">
        <f>IF(Jugadores!B259="","",Jugadores!A259)</f>
        <v>Puebla</v>
      </c>
      <c r="H259" s="4">
        <f>IF(F259="","",SUMIF('Estadísticas Jugadores'!$F$2:$F$7001,F259,'Estadísticas Jugadores'!$J$2:$J$7001))</f>
        <v>0</v>
      </c>
      <c r="I259" s="4">
        <f t="shared" si="23"/>
        <v>-2.5899999999999999E-5</v>
      </c>
      <c r="J259" s="4">
        <f t="shared" si="24"/>
        <v>263</v>
      </c>
    </row>
    <row r="260" spans="1:10" ht="15" customHeight="1" x14ac:dyDescent="0.25">
      <c r="A260" s="8">
        <f>IF(COUNT($J$2:$J$1501)&gt;=259,259,"")</f>
        <v>259</v>
      </c>
      <c r="B260" s="8" t="str">
        <f t="shared" si="20"/>
        <v>Violante Isaias</v>
      </c>
      <c r="C260" s="8" t="str">
        <f t="shared" si="21"/>
        <v>Club América</v>
      </c>
      <c r="D260" s="8">
        <f t="shared" si="22"/>
        <v>0</v>
      </c>
      <c r="F260" s="4" t="str">
        <f>IF(Jugadores!B260="","",Jugadores!B260)</f>
        <v>Almada Facundo Ezequiel</v>
      </c>
      <c r="G260" s="4" t="str">
        <f>IF(Jugadores!B260="","",Jugadores!A260)</f>
        <v>Puebla</v>
      </c>
      <c r="H260" s="4">
        <f>IF(F260="","",SUMIF('Estadísticas Jugadores'!$F$2:$F$7001,F260,'Estadísticas Jugadores'!$J$2:$J$7001))</f>
        <v>0</v>
      </c>
      <c r="I260" s="4">
        <f t="shared" si="23"/>
        <v>-2.5999999999999998E-5</v>
      </c>
      <c r="J260" s="4">
        <f t="shared" si="24"/>
        <v>264</v>
      </c>
    </row>
    <row r="261" spans="1:10" ht="15" customHeight="1" x14ac:dyDescent="0.25">
      <c r="A261" s="8">
        <f>IF(COUNT($J$2:$J$1501)&gt;=260,260,"")</f>
        <v>260</v>
      </c>
      <c r="B261" s="8" t="str">
        <f t="shared" si="20"/>
        <v>Zendejas Alex</v>
      </c>
      <c r="C261" s="8" t="str">
        <f t="shared" si="21"/>
        <v>Club América</v>
      </c>
      <c r="D261" s="8">
        <f t="shared" si="22"/>
        <v>0</v>
      </c>
      <c r="F261" s="4" t="str">
        <f>IF(Jugadores!B261="","",Jugadores!B261)</f>
        <v>Leyva Angel</v>
      </c>
      <c r="G261" s="4" t="str">
        <f>IF(Jugadores!B261="","",Jugadores!A261)</f>
        <v>Puebla</v>
      </c>
      <c r="H261" s="4">
        <f>IF(F261="","",SUMIF('Estadísticas Jugadores'!$F$2:$F$7001,F261,'Estadísticas Jugadores'!$J$2:$J$7001))</f>
        <v>0</v>
      </c>
      <c r="I261" s="4">
        <f t="shared" si="23"/>
        <v>-2.6099999999999997E-5</v>
      </c>
      <c r="J261" s="4">
        <f t="shared" si="24"/>
        <v>265</v>
      </c>
    </row>
    <row r="262" spans="1:10" ht="15" customHeight="1" x14ac:dyDescent="0.25">
      <c r="A262" s="8">
        <f>IF(COUNT($J$2:$J$1501)&gt;=261,261,"")</f>
        <v>261</v>
      </c>
      <c r="B262" s="8" t="str">
        <f t="shared" si="20"/>
        <v>Zúñiga Jose</v>
      </c>
      <c r="C262" s="8" t="str">
        <f t="shared" si="21"/>
        <v>Club América</v>
      </c>
      <c r="D262" s="8">
        <f t="shared" si="22"/>
        <v>0</v>
      </c>
      <c r="F262" s="4" t="str">
        <f>IF(Jugadores!B262="","",Jugadores!B262)</f>
        <v>Moreno Iker</v>
      </c>
      <c r="G262" s="4" t="str">
        <f>IF(Jugadores!B262="","",Jugadores!A262)</f>
        <v>Puebla</v>
      </c>
      <c r="H262" s="4">
        <f>IF(F262="","",SUMIF('Estadísticas Jugadores'!$F$2:$F$7001,F262,'Estadísticas Jugadores'!$J$2:$J$7001))</f>
        <v>0</v>
      </c>
      <c r="I262" s="4">
        <f t="shared" si="23"/>
        <v>-2.62E-5</v>
      </c>
      <c r="J262" s="4">
        <f t="shared" si="24"/>
        <v>266</v>
      </c>
    </row>
    <row r="263" spans="1:10" ht="15" customHeight="1" x14ac:dyDescent="0.25">
      <c r="A263" s="8">
        <f>IF(COUNT($J$2:$J$1501)&gt;=262,262,"")</f>
        <v>262</v>
      </c>
      <c r="B263" s="8" t="str">
        <f t="shared" si="20"/>
        <v>Gutierrez Daniel</v>
      </c>
      <c r="C263" s="8" t="str">
        <f t="shared" si="21"/>
        <v>Puebla</v>
      </c>
      <c r="D263" s="8">
        <f t="shared" si="22"/>
        <v>0</v>
      </c>
      <c r="F263" s="4" t="str">
        <f>IF(Jugadores!B263="","",Jugadores!B263)</f>
        <v>Navarro Eduardo</v>
      </c>
      <c r="G263" s="4" t="str">
        <f>IF(Jugadores!B263="","",Jugadores!A263)</f>
        <v>Puebla</v>
      </c>
      <c r="H263" s="4">
        <f>IF(F263="","",SUMIF('Estadísticas Jugadores'!$F$2:$F$7001,F263,'Estadísticas Jugadores'!$J$2:$J$7001))</f>
        <v>0</v>
      </c>
      <c r="I263" s="4">
        <f t="shared" si="23"/>
        <v>-2.6299999999999999E-5</v>
      </c>
      <c r="J263" s="4">
        <f t="shared" si="24"/>
        <v>267</v>
      </c>
    </row>
    <row r="264" spans="1:10" ht="15" customHeight="1" x14ac:dyDescent="0.25">
      <c r="A264" s="8">
        <f>IF(COUNT($J$2:$J$1501)&gt;=263,263,"")</f>
        <v>263</v>
      </c>
      <c r="B264" s="8" t="str">
        <f t="shared" si="20"/>
        <v>Rodríguez Jesus Ivan</v>
      </c>
      <c r="C264" s="8" t="str">
        <f t="shared" si="21"/>
        <v>Puebla</v>
      </c>
      <c r="D264" s="8">
        <f t="shared" si="22"/>
        <v>0</v>
      </c>
      <c r="F264" s="4" t="str">
        <f>IF(Jugadores!B264="","",Jugadores!B264)</f>
        <v>Pachuca Martinez Jose Rodrigo</v>
      </c>
      <c r="G264" s="4" t="str">
        <f>IF(Jugadores!B264="","",Jugadores!A264)</f>
        <v>Puebla</v>
      </c>
      <c r="H264" s="4">
        <f>IF(F264="","",SUMIF('Estadísticas Jugadores'!$F$2:$F$7001,F264,'Estadísticas Jugadores'!$J$2:$J$7001))</f>
        <v>0</v>
      </c>
      <c r="I264" s="4">
        <f t="shared" si="23"/>
        <v>-2.6399999999999998E-5</v>
      </c>
      <c r="J264" s="4">
        <f t="shared" si="24"/>
        <v>268</v>
      </c>
    </row>
    <row r="265" spans="1:10" ht="15" customHeight="1" x14ac:dyDescent="0.25">
      <c r="A265" s="8">
        <f>IF(COUNT($J$2:$J$1501)&gt;=264,264,"")</f>
        <v>264</v>
      </c>
      <c r="B265" s="8" t="str">
        <f t="shared" si="20"/>
        <v>Almada Facundo Ezequiel</v>
      </c>
      <c r="C265" s="8" t="str">
        <f t="shared" si="21"/>
        <v>Puebla</v>
      </c>
      <c r="D265" s="8">
        <f t="shared" si="22"/>
        <v>0</v>
      </c>
      <c r="F265" s="4" t="str">
        <f>IF(Jugadores!B265="","",Jugadores!B265)</f>
        <v>Vargas Juan</v>
      </c>
      <c r="G265" s="4" t="str">
        <f>IF(Jugadores!B265="","",Jugadores!A265)</f>
        <v>Puebla</v>
      </c>
      <c r="H265" s="4">
        <f>IF(F265="","",SUMIF('Estadísticas Jugadores'!$F$2:$F$7001,F265,'Estadísticas Jugadores'!$J$2:$J$7001))</f>
        <v>0</v>
      </c>
      <c r="I265" s="4">
        <f t="shared" si="23"/>
        <v>-2.65E-5</v>
      </c>
      <c r="J265" s="4">
        <f t="shared" si="24"/>
        <v>269</v>
      </c>
    </row>
    <row r="266" spans="1:10" ht="15" customHeight="1" x14ac:dyDescent="0.25">
      <c r="A266" s="8">
        <f>IF(COUNT($J$2:$J$1501)&gt;=265,265,"")</f>
        <v>265</v>
      </c>
      <c r="B266" s="8" t="str">
        <f t="shared" si="20"/>
        <v>Leyva Angel</v>
      </c>
      <c r="C266" s="8" t="str">
        <f t="shared" si="21"/>
        <v>Puebla</v>
      </c>
      <c r="D266" s="8">
        <f t="shared" si="22"/>
        <v>0</v>
      </c>
      <c r="F266" s="4" t="str">
        <f>IF(Jugadores!B266="","",Jugadores!B266)</f>
        <v>Villa Oscar</v>
      </c>
      <c r="G266" s="4" t="str">
        <f>IF(Jugadores!B266="","",Jugadores!A266)</f>
        <v>Puebla</v>
      </c>
      <c r="H266" s="4">
        <f>IF(F266="","",SUMIF('Estadísticas Jugadores'!$F$2:$F$7001,F266,'Estadísticas Jugadores'!$J$2:$J$7001))</f>
        <v>0</v>
      </c>
      <c r="I266" s="4">
        <f t="shared" si="23"/>
        <v>-2.6599999999999999E-5</v>
      </c>
      <c r="J266" s="4">
        <f t="shared" si="24"/>
        <v>270</v>
      </c>
    </row>
    <row r="267" spans="1:10" ht="15" customHeight="1" x14ac:dyDescent="0.25">
      <c r="A267" s="8">
        <f>IF(COUNT($J$2:$J$1501)&gt;=266,266,"")</f>
        <v>266</v>
      </c>
      <c r="B267" s="8" t="str">
        <f t="shared" si="20"/>
        <v>Moreno Iker</v>
      </c>
      <c r="C267" s="8" t="str">
        <f t="shared" si="21"/>
        <v>Puebla</v>
      </c>
      <c r="D267" s="8">
        <f t="shared" si="22"/>
        <v>0</v>
      </c>
      <c r="F267" s="4" t="str">
        <f>IF(Jugadores!B267="","",Jugadores!B267)</f>
        <v>Baltazar Carlos</v>
      </c>
      <c r="G267" s="4" t="str">
        <f>IF(Jugadores!B267="","",Jugadores!A267)</f>
        <v>Puebla</v>
      </c>
      <c r="H267" s="4">
        <f>IF(F267="","",SUMIF('Estadísticas Jugadores'!$F$2:$F$7001,F267,'Estadísticas Jugadores'!$J$2:$J$7001))</f>
        <v>0</v>
      </c>
      <c r="I267" s="4">
        <f t="shared" si="23"/>
        <v>-2.6699999999999998E-5</v>
      </c>
      <c r="J267" s="4">
        <f t="shared" si="24"/>
        <v>271</v>
      </c>
    </row>
    <row r="268" spans="1:10" ht="15" customHeight="1" x14ac:dyDescent="0.25">
      <c r="A268" s="8">
        <f>IF(COUNT($J$2:$J$1501)&gt;=267,267,"")</f>
        <v>267</v>
      </c>
      <c r="B268" s="8" t="str">
        <f t="shared" si="20"/>
        <v>Navarro Eduardo</v>
      </c>
      <c r="C268" s="8" t="str">
        <f t="shared" si="21"/>
        <v>Puebla</v>
      </c>
      <c r="D268" s="8">
        <f t="shared" si="22"/>
        <v>0</v>
      </c>
      <c r="F268" s="4" t="str">
        <f>IF(Jugadores!B268="","",Jugadores!B268)</f>
        <v>Castillo Raul</v>
      </c>
      <c r="G268" s="4" t="str">
        <f>IF(Jugadores!B268="","",Jugadores!A268)</f>
        <v>Puebla</v>
      </c>
      <c r="H268" s="4">
        <f>IF(F268="","",SUMIF('Estadísticas Jugadores'!$F$2:$F$7001,F268,'Estadísticas Jugadores'!$J$2:$J$7001))</f>
        <v>0</v>
      </c>
      <c r="I268" s="4">
        <f t="shared" si="23"/>
        <v>-2.6799999999999998E-5</v>
      </c>
      <c r="J268" s="4">
        <f t="shared" si="24"/>
        <v>272</v>
      </c>
    </row>
    <row r="269" spans="1:10" ht="15" customHeight="1" x14ac:dyDescent="0.25">
      <c r="A269" s="8">
        <f>IF(COUNT($J$2:$J$1501)&gt;=268,268,"")</f>
        <v>268</v>
      </c>
      <c r="B269" s="8" t="str">
        <f t="shared" si="20"/>
        <v>Pachuca Martinez Jose Rodrigo</v>
      </c>
      <c r="C269" s="8" t="str">
        <f t="shared" si="21"/>
        <v>Puebla</v>
      </c>
      <c r="D269" s="8">
        <f t="shared" si="22"/>
        <v>0</v>
      </c>
      <c r="F269" s="4" t="str">
        <f>IF(Jugadores!B269="","",Jugadores!B269)</f>
        <v>Gonzalez Owen</v>
      </c>
      <c r="G269" s="4" t="str">
        <f>IF(Jugadores!B269="","",Jugadores!A269)</f>
        <v>Puebla</v>
      </c>
      <c r="H269" s="4">
        <f>IF(F269="","",SUMIF('Estadísticas Jugadores'!$F$2:$F$7001,F269,'Estadísticas Jugadores'!$J$2:$J$7001))</f>
        <v>0</v>
      </c>
      <c r="I269" s="4">
        <f t="shared" si="23"/>
        <v>-2.69E-5</v>
      </c>
      <c r="J269" s="4">
        <f t="shared" si="24"/>
        <v>273</v>
      </c>
    </row>
    <row r="270" spans="1:10" ht="15" customHeight="1" x14ac:dyDescent="0.25">
      <c r="A270" s="8">
        <f>IF(COUNT($J$2:$J$1501)&gt;=269,269,"")</f>
        <v>269</v>
      </c>
      <c r="B270" s="8" t="str">
        <f t="shared" si="20"/>
        <v>Vargas Juan</v>
      </c>
      <c r="C270" s="8" t="str">
        <f t="shared" si="21"/>
        <v>Puebla</v>
      </c>
      <c r="D270" s="8">
        <f t="shared" si="22"/>
        <v>0</v>
      </c>
      <c r="F270" s="4" t="str">
        <f>IF(Jugadores!B270="","",Jugadores!B270)</f>
        <v>Herrera Alberto</v>
      </c>
      <c r="G270" s="4" t="str">
        <f>IF(Jugadores!B270="","",Jugadores!A270)</f>
        <v>Puebla</v>
      </c>
      <c r="H270" s="4">
        <f>IF(F270="","",SUMIF('Estadísticas Jugadores'!$F$2:$F$7001,F270,'Estadísticas Jugadores'!$J$2:$J$7001))</f>
        <v>1</v>
      </c>
      <c r="I270" s="4">
        <f t="shared" si="23"/>
        <v>999.99997299999995</v>
      </c>
      <c r="J270" s="4">
        <f t="shared" si="24"/>
        <v>13</v>
      </c>
    </row>
    <row r="271" spans="1:10" ht="15" customHeight="1" x14ac:dyDescent="0.25">
      <c r="A271" s="8">
        <f>IF(COUNT($J$2:$J$1501)&gt;=270,270,"")</f>
        <v>270</v>
      </c>
      <c r="B271" s="8" t="str">
        <f t="shared" si="20"/>
        <v>Villa Oscar</v>
      </c>
      <c r="C271" s="8" t="str">
        <f t="shared" si="21"/>
        <v>Puebla</v>
      </c>
      <c r="D271" s="8">
        <f t="shared" si="22"/>
        <v>0</v>
      </c>
      <c r="F271" s="4" t="str">
        <f>IF(Jugadores!B271="","",Jugadores!B271)</f>
        <v>Lucas Camilo</v>
      </c>
      <c r="G271" s="4" t="str">
        <f>IF(Jugadores!B271="","",Jugadores!A271)</f>
        <v>Puebla</v>
      </c>
      <c r="H271" s="4">
        <f>IF(F271="","",SUMIF('Estadísticas Jugadores'!$F$2:$F$7001,F271,'Estadísticas Jugadores'!$J$2:$J$7001))</f>
        <v>0</v>
      </c>
      <c r="I271" s="4">
        <f t="shared" si="23"/>
        <v>-2.7099999999999998E-5</v>
      </c>
      <c r="J271" s="4">
        <f t="shared" si="24"/>
        <v>274</v>
      </c>
    </row>
    <row r="272" spans="1:10" ht="15" customHeight="1" x14ac:dyDescent="0.25">
      <c r="A272" s="8">
        <f>IF(COUNT($J$2:$J$1501)&gt;=271,271,"")</f>
        <v>271</v>
      </c>
      <c r="B272" s="8" t="str">
        <f t="shared" si="20"/>
        <v>Baltazar Carlos</v>
      </c>
      <c r="C272" s="8" t="str">
        <f t="shared" si="21"/>
        <v>Puebla</v>
      </c>
      <c r="D272" s="8">
        <f t="shared" si="22"/>
        <v>0</v>
      </c>
      <c r="F272" s="4" t="str">
        <f>IF(Jugadores!B272="","",Jugadores!B272)</f>
        <v>Organista Orozco Alejandro</v>
      </c>
      <c r="G272" s="4" t="str">
        <f>IF(Jugadores!B272="","",Jugadores!A272)</f>
        <v>Puebla</v>
      </c>
      <c r="H272" s="4">
        <f>IF(F272="","",SUMIF('Estadísticas Jugadores'!$F$2:$F$7001,F272,'Estadísticas Jugadores'!$J$2:$J$7001))</f>
        <v>0</v>
      </c>
      <c r="I272" s="4">
        <f t="shared" si="23"/>
        <v>-2.7199999999999997E-5</v>
      </c>
      <c r="J272" s="4">
        <f t="shared" si="24"/>
        <v>275</v>
      </c>
    </row>
    <row r="273" spans="1:10" ht="15" customHeight="1" x14ac:dyDescent="0.25">
      <c r="A273" s="8">
        <f>IF(COUNT($J$2:$J$1501)&gt;=272,272,"")</f>
        <v>272</v>
      </c>
      <c r="B273" s="8" t="str">
        <f t="shared" si="20"/>
        <v>Castillo Raul</v>
      </c>
      <c r="C273" s="8" t="str">
        <f t="shared" si="21"/>
        <v>Puebla</v>
      </c>
      <c r="D273" s="8">
        <f t="shared" si="22"/>
        <v>0</v>
      </c>
      <c r="F273" s="4" t="str">
        <f>IF(Jugadores!B273="","",Jugadores!B273)</f>
        <v>Ramirez Alonso</v>
      </c>
      <c r="G273" s="4" t="str">
        <f>IF(Jugadores!B273="","",Jugadores!A273)</f>
        <v>Puebla</v>
      </c>
      <c r="H273" s="4">
        <f>IF(F273="","",SUMIF('Estadísticas Jugadores'!$F$2:$F$7001,F273,'Estadísticas Jugadores'!$J$2:$J$7001))</f>
        <v>0</v>
      </c>
      <c r="I273" s="4">
        <f t="shared" si="23"/>
        <v>-2.73E-5</v>
      </c>
      <c r="J273" s="4">
        <f t="shared" si="24"/>
        <v>276</v>
      </c>
    </row>
    <row r="274" spans="1:10" ht="15" customHeight="1" x14ac:dyDescent="0.25">
      <c r="A274" s="8">
        <f>IF(COUNT($J$2:$J$1501)&gt;=273,273,"")</f>
        <v>273</v>
      </c>
      <c r="B274" s="8" t="str">
        <f t="shared" si="20"/>
        <v>Gonzalez Owen</v>
      </c>
      <c r="C274" s="8" t="str">
        <f t="shared" si="21"/>
        <v>Puebla</v>
      </c>
      <c r="D274" s="8">
        <f t="shared" si="22"/>
        <v>0</v>
      </c>
      <c r="F274" s="4" t="str">
        <f>IF(Jugadores!B274="","",Jugadores!B274)</f>
        <v>Sanabria Sergio</v>
      </c>
      <c r="G274" s="4" t="str">
        <f>IF(Jugadores!B274="","",Jugadores!A274)</f>
        <v>Puebla</v>
      </c>
      <c r="H274" s="4">
        <f>IF(F274="","",SUMIF('Estadísticas Jugadores'!$F$2:$F$7001,F274,'Estadísticas Jugadores'!$J$2:$J$7001))</f>
        <v>0</v>
      </c>
      <c r="I274" s="4">
        <f t="shared" si="23"/>
        <v>-2.7399999999999999E-5</v>
      </c>
      <c r="J274" s="4">
        <f t="shared" si="24"/>
        <v>277</v>
      </c>
    </row>
    <row r="275" spans="1:10" ht="15" customHeight="1" x14ac:dyDescent="0.25">
      <c r="A275" s="8">
        <f>IF(COUNT($J$2:$J$1501)&gt;=274,274,"")</f>
        <v>274</v>
      </c>
      <c r="B275" s="8" t="str">
        <f t="shared" si="20"/>
        <v>Lucas Camilo</v>
      </c>
      <c r="C275" s="8" t="str">
        <f t="shared" si="21"/>
        <v>Puebla</v>
      </c>
      <c r="D275" s="8">
        <f t="shared" si="22"/>
        <v>0</v>
      </c>
      <c r="F275" s="4" t="str">
        <f>IF(Jugadores!B275="","",Jugadores!B275)</f>
        <v>Tomas Mathias</v>
      </c>
      <c r="G275" s="4" t="str">
        <f>IF(Jugadores!B275="","",Jugadores!A275)</f>
        <v>Puebla</v>
      </c>
      <c r="H275" s="4">
        <f>IF(F275="","",SUMIF('Estadísticas Jugadores'!$F$2:$F$7001,F275,'Estadísticas Jugadores'!$J$2:$J$7001))</f>
        <v>0</v>
      </c>
      <c r="I275" s="4">
        <f t="shared" si="23"/>
        <v>-2.7499999999999998E-5</v>
      </c>
      <c r="J275" s="4">
        <f t="shared" si="24"/>
        <v>278</v>
      </c>
    </row>
    <row r="276" spans="1:10" ht="15" customHeight="1" x14ac:dyDescent="0.25">
      <c r="A276" s="8">
        <f>IF(COUNT($J$2:$J$1501)&gt;=275,275,"")</f>
        <v>275</v>
      </c>
      <c r="B276" s="8" t="str">
        <f t="shared" si="20"/>
        <v>Organista Orozco Alejandro</v>
      </c>
      <c r="C276" s="8" t="str">
        <f t="shared" si="21"/>
        <v>Puebla</v>
      </c>
      <c r="D276" s="8">
        <f t="shared" si="22"/>
        <v>0</v>
      </c>
      <c r="F276" s="4" t="str">
        <f>IF(Jugadores!B276="","",Jugadores!B276)</f>
        <v>de la Rosa Alvaro</v>
      </c>
      <c r="G276" s="4" t="str">
        <f>IF(Jugadores!B276="","",Jugadores!A276)</f>
        <v>Puebla</v>
      </c>
      <c r="H276" s="4">
        <f>IF(F276="","",SUMIF('Estadísticas Jugadores'!$F$2:$F$7001,F276,'Estadísticas Jugadores'!$J$2:$J$7001))</f>
        <v>0</v>
      </c>
      <c r="I276" s="4">
        <f t="shared" si="23"/>
        <v>-2.76E-5</v>
      </c>
      <c r="J276" s="4">
        <f t="shared" si="24"/>
        <v>279</v>
      </c>
    </row>
    <row r="277" spans="1:10" ht="15" customHeight="1" x14ac:dyDescent="0.25">
      <c r="A277" s="8">
        <f>IF(COUNT($J$2:$J$1501)&gt;=276,276,"")</f>
        <v>276</v>
      </c>
      <c r="B277" s="8" t="str">
        <f t="shared" si="20"/>
        <v>Ramirez Alonso</v>
      </c>
      <c r="C277" s="8" t="str">
        <f t="shared" si="21"/>
        <v>Puebla</v>
      </c>
      <c r="D277" s="8">
        <f t="shared" si="22"/>
        <v>0</v>
      </c>
      <c r="F277" s="4" t="str">
        <f>IF(Jugadores!B277="","",Jugadores!B277)</f>
        <v>Garnica Brayan</v>
      </c>
      <c r="G277" s="4" t="str">
        <f>IF(Jugadores!B277="","",Jugadores!A277)</f>
        <v>Puebla</v>
      </c>
      <c r="H277" s="4">
        <f>IF(F277="","",SUMIF('Estadísticas Jugadores'!$F$2:$F$7001,F277,'Estadísticas Jugadores'!$J$2:$J$7001))</f>
        <v>0</v>
      </c>
      <c r="I277" s="4">
        <f t="shared" si="23"/>
        <v>-2.7699999999999999E-5</v>
      </c>
      <c r="J277" s="4">
        <f t="shared" si="24"/>
        <v>280</v>
      </c>
    </row>
    <row r="278" spans="1:10" ht="15" customHeight="1" x14ac:dyDescent="0.25">
      <c r="A278" s="8">
        <f>IF(COUNT($J$2:$J$1501)&gt;=277,277,"")</f>
        <v>277</v>
      </c>
      <c r="B278" s="8" t="str">
        <f t="shared" si="20"/>
        <v>Sanabria Sergio</v>
      </c>
      <c r="C278" s="8" t="str">
        <f t="shared" si="21"/>
        <v>Puebla</v>
      </c>
      <c r="D278" s="8">
        <f t="shared" si="22"/>
        <v>0</v>
      </c>
      <c r="F278" s="4" t="str">
        <f>IF(Jugadores!B278="","",Jugadores!B278)</f>
        <v>Gomez Emiliano</v>
      </c>
      <c r="G278" s="4" t="str">
        <f>IF(Jugadores!B278="","",Jugadores!A278)</f>
        <v>Puebla</v>
      </c>
      <c r="H278" s="4">
        <f>IF(F278="","",SUMIF('Estadísticas Jugadores'!$F$2:$F$7001,F278,'Estadísticas Jugadores'!$J$2:$J$7001))</f>
        <v>0</v>
      </c>
      <c r="I278" s="4">
        <f t="shared" si="23"/>
        <v>-2.7799999999999998E-5</v>
      </c>
      <c r="J278" s="4">
        <f t="shared" si="24"/>
        <v>281</v>
      </c>
    </row>
    <row r="279" spans="1:10" ht="15" customHeight="1" x14ac:dyDescent="0.25">
      <c r="A279" s="8">
        <f>IF(COUNT($J$2:$J$1501)&gt;=278,278,"")</f>
        <v>278</v>
      </c>
      <c r="B279" s="8" t="str">
        <f t="shared" si="20"/>
        <v>Tomas Mathias</v>
      </c>
      <c r="C279" s="8" t="str">
        <f t="shared" si="21"/>
        <v>Puebla</v>
      </c>
      <c r="D279" s="8">
        <f t="shared" si="22"/>
        <v>0</v>
      </c>
      <c r="F279" s="4" t="str">
        <f>IF(Jugadores!B279="","",Jugadores!B279)</f>
        <v>Hernández Luifer</v>
      </c>
      <c r="G279" s="4" t="str">
        <f>IF(Jugadores!B279="","",Jugadores!A279)</f>
        <v>Puebla</v>
      </c>
      <c r="H279" s="4">
        <f>IF(F279="","",SUMIF('Estadísticas Jugadores'!$F$2:$F$7001,F279,'Estadísticas Jugadores'!$J$2:$J$7001))</f>
        <v>0</v>
      </c>
      <c r="I279" s="4">
        <f t="shared" si="23"/>
        <v>-2.7899999999999997E-5</v>
      </c>
      <c r="J279" s="4">
        <f t="shared" si="24"/>
        <v>282</v>
      </c>
    </row>
    <row r="280" spans="1:10" ht="15" customHeight="1" x14ac:dyDescent="0.25">
      <c r="A280" s="8">
        <f>IF(COUNT($J$2:$J$1501)&gt;=279,279,"")</f>
        <v>279</v>
      </c>
      <c r="B280" s="8" t="str">
        <f t="shared" si="20"/>
        <v>de la Rosa Alvaro</v>
      </c>
      <c r="C280" s="8" t="str">
        <f t="shared" si="21"/>
        <v>Puebla</v>
      </c>
      <c r="D280" s="8">
        <f t="shared" si="22"/>
        <v>0</v>
      </c>
      <c r="F280" s="4" t="str">
        <f>IF(Jugadores!B280="","",Jugadores!B280)</f>
        <v>Maestro Ignacio</v>
      </c>
      <c r="G280" s="4" t="str">
        <f>IF(Jugadores!B280="","",Jugadores!A280)</f>
        <v>Puebla</v>
      </c>
      <c r="H280" s="4">
        <f>IF(F280="","",SUMIF('Estadísticas Jugadores'!$F$2:$F$7001,F280,'Estadísticas Jugadores'!$J$2:$J$7001))</f>
        <v>0</v>
      </c>
      <c r="I280" s="4">
        <f t="shared" si="23"/>
        <v>-2.8E-5</v>
      </c>
      <c r="J280" s="4">
        <f t="shared" si="24"/>
        <v>283</v>
      </c>
    </row>
    <row r="281" spans="1:10" ht="15" customHeight="1" x14ac:dyDescent="0.25">
      <c r="A281" s="8">
        <f>IF(COUNT($J$2:$J$1501)&gt;=280,280,"")</f>
        <v>280</v>
      </c>
      <c r="B281" s="8" t="str">
        <f t="shared" si="20"/>
        <v>Garnica Brayan</v>
      </c>
      <c r="C281" s="8" t="str">
        <f t="shared" si="21"/>
        <v>Puebla</v>
      </c>
      <c r="D281" s="8">
        <f t="shared" si="22"/>
        <v>0</v>
      </c>
      <c r="F281" s="4" t="str">
        <f>IF(Jugadores!B281="","",Jugadores!B281)</f>
        <v>Monarrez Ochoa Fernando</v>
      </c>
      <c r="G281" s="4" t="str">
        <f>IF(Jugadores!B281="","",Jugadores!A281)</f>
        <v>Puebla</v>
      </c>
      <c r="H281" s="4">
        <f>IF(F281="","",SUMIF('Estadísticas Jugadores'!$F$2:$F$7001,F281,'Estadísticas Jugadores'!$J$2:$J$7001))</f>
        <v>0</v>
      </c>
      <c r="I281" s="4">
        <f t="shared" si="23"/>
        <v>-2.8099999999999999E-5</v>
      </c>
      <c r="J281" s="4">
        <f t="shared" si="24"/>
        <v>284</v>
      </c>
    </row>
    <row r="282" spans="1:10" ht="15" customHeight="1" x14ac:dyDescent="0.25">
      <c r="A282" s="8">
        <f>IF(COUNT($J$2:$J$1501)&gt;=281,281,"")</f>
        <v>281</v>
      </c>
      <c r="B282" s="8" t="str">
        <f t="shared" si="20"/>
        <v>Gomez Emiliano</v>
      </c>
      <c r="C282" s="8" t="str">
        <f t="shared" si="21"/>
        <v>Puebla</v>
      </c>
      <c r="D282" s="8">
        <f t="shared" si="22"/>
        <v>0</v>
      </c>
      <c r="F282" s="4" t="str">
        <f>IF(Jugadores!B282="","",Jugadores!B282)</f>
        <v>Moreno Villegas Omar Fernando</v>
      </c>
      <c r="G282" s="4" t="str">
        <f>IF(Jugadores!B282="","",Jugadores!A282)</f>
        <v>Puebla</v>
      </c>
      <c r="H282" s="4">
        <f>IF(F282="","",SUMIF('Estadísticas Jugadores'!$F$2:$F$7001,F282,'Estadísticas Jugadores'!$J$2:$J$7001))</f>
        <v>0</v>
      </c>
      <c r="I282" s="4">
        <f t="shared" si="23"/>
        <v>-2.8199999999999998E-5</v>
      </c>
      <c r="J282" s="4">
        <f t="shared" si="24"/>
        <v>285</v>
      </c>
    </row>
    <row r="283" spans="1:10" ht="15" customHeight="1" x14ac:dyDescent="0.25">
      <c r="A283" s="8">
        <f>IF(COUNT($J$2:$J$1501)&gt;=282,282,"")</f>
        <v>282</v>
      </c>
      <c r="B283" s="8" t="str">
        <f t="shared" si="20"/>
        <v>Hernández Luifer</v>
      </c>
      <c r="C283" s="8" t="str">
        <f t="shared" si="21"/>
        <v>Puebla</v>
      </c>
      <c r="D283" s="8">
        <f t="shared" si="22"/>
        <v>0</v>
      </c>
      <c r="F283" s="4" t="str">
        <f>IF(Jugadores!B283="","",Jugadores!B283)</f>
        <v>Mustre Eduardo</v>
      </c>
      <c r="G283" s="4" t="str">
        <f>IF(Jugadores!B283="","",Jugadores!A283)</f>
        <v>Puebla</v>
      </c>
      <c r="H283" s="4">
        <f>IF(F283="","",SUMIF('Estadísticas Jugadores'!$F$2:$F$7001,F283,'Estadísticas Jugadores'!$J$2:$J$7001))</f>
        <v>0</v>
      </c>
      <c r="I283" s="4">
        <f t="shared" si="23"/>
        <v>-2.83E-5</v>
      </c>
      <c r="J283" s="4">
        <f t="shared" si="24"/>
        <v>286</v>
      </c>
    </row>
    <row r="284" spans="1:10" ht="15" customHeight="1" x14ac:dyDescent="0.25">
      <c r="A284" s="8">
        <f>IF(COUNT($J$2:$J$1501)&gt;=283,283,"")</f>
        <v>283</v>
      </c>
      <c r="B284" s="8" t="str">
        <f t="shared" si="20"/>
        <v>Maestro Ignacio</v>
      </c>
      <c r="C284" s="8" t="str">
        <f t="shared" si="21"/>
        <v>Puebla</v>
      </c>
      <c r="D284" s="8">
        <f t="shared" si="22"/>
        <v>0</v>
      </c>
      <c r="F284" s="4" t="str">
        <f>IF(Jugadores!B284="","",Jugadores!B284)</f>
        <v>Perez Arez</v>
      </c>
      <c r="G284" s="4" t="str">
        <f>IF(Jugadores!B284="","",Jugadores!A284)</f>
        <v>Puebla</v>
      </c>
      <c r="H284" s="4">
        <f>IF(F284="","",SUMIF('Estadísticas Jugadores'!$F$2:$F$7001,F284,'Estadísticas Jugadores'!$J$2:$J$7001))</f>
        <v>0</v>
      </c>
      <c r="I284" s="4">
        <f t="shared" si="23"/>
        <v>-2.8399999999999999E-5</v>
      </c>
      <c r="J284" s="4">
        <f t="shared" si="24"/>
        <v>287</v>
      </c>
    </row>
    <row r="285" spans="1:10" ht="15" customHeight="1" x14ac:dyDescent="0.25">
      <c r="A285" s="8">
        <f>IF(COUNT($J$2:$J$1501)&gt;=284,284,"")</f>
        <v>284</v>
      </c>
      <c r="B285" s="8" t="str">
        <f t="shared" si="20"/>
        <v>Monarrez Ochoa Fernando</v>
      </c>
      <c r="C285" s="8" t="str">
        <f t="shared" si="21"/>
        <v>Puebla</v>
      </c>
      <c r="D285" s="8">
        <f t="shared" si="22"/>
        <v>0</v>
      </c>
      <c r="F285" s="4" t="str">
        <f>IF(Jugadores!B285="","",Jugadores!B285)</f>
        <v>Velasco Kevin</v>
      </c>
      <c r="G285" s="4" t="str">
        <f>IF(Jugadores!B285="","",Jugadores!A285)</f>
        <v>Puebla</v>
      </c>
      <c r="H285" s="4">
        <f>IF(F285="","",SUMIF('Estadísticas Jugadores'!$F$2:$F$7001,F285,'Estadísticas Jugadores'!$J$2:$J$7001))</f>
        <v>0</v>
      </c>
      <c r="I285" s="4">
        <f t="shared" si="23"/>
        <v>-2.8499999999999998E-5</v>
      </c>
      <c r="J285" s="4">
        <f t="shared" si="24"/>
        <v>288</v>
      </c>
    </row>
    <row r="286" spans="1:10" ht="15" customHeight="1" x14ac:dyDescent="0.25">
      <c r="A286" s="8">
        <f>IF(COUNT($J$2:$J$1501)&gt;=285,285,"")</f>
        <v>285</v>
      </c>
      <c r="B286" s="8" t="str">
        <f t="shared" si="20"/>
        <v>Moreno Villegas Omar Fernando</v>
      </c>
      <c r="C286" s="8" t="str">
        <f t="shared" si="21"/>
        <v>Puebla</v>
      </c>
      <c r="D286" s="8">
        <f t="shared" si="22"/>
        <v>0</v>
      </c>
      <c r="F286" s="4" t="str">
        <f>IF(Jugadores!B286="","",Jugadores!B286)</f>
        <v>Acevedo Carlos</v>
      </c>
      <c r="G286" s="4" t="str">
        <f>IF(Jugadores!B286="","",Jugadores!A286)</f>
        <v>Santos Laguna</v>
      </c>
      <c r="H286" s="4">
        <f>IF(F286="","",SUMIF('Estadísticas Jugadores'!$F$2:$F$7001,F286,'Estadísticas Jugadores'!$J$2:$J$7001))</f>
        <v>0</v>
      </c>
      <c r="I286" s="4">
        <f t="shared" si="23"/>
        <v>-2.8599999999999997E-5</v>
      </c>
      <c r="J286" s="4">
        <f t="shared" si="24"/>
        <v>289</v>
      </c>
    </row>
    <row r="287" spans="1:10" ht="15" customHeight="1" x14ac:dyDescent="0.25">
      <c r="A287" s="8">
        <f>IF(COUNT($J$2:$J$1501)&gt;=286,286,"")</f>
        <v>286</v>
      </c>
      <c r="B287" s="8" t="str">
        <f t="shared" si="20"/>
        <v>Mustre Eduardo</v>
      </c>
      <c r="C287" s="8" t="str">
        <f t="shared" si="21"/>
        <v>Puebla</v>
      </c>
      <c r="D287" s="8">
        <f t="shared" si="22"/>
        <v>0</v>
      </c>
      <c r="F287" s="4" t="str">
        <f>IF(Jugadores!B287="","",Jugadores!B287)</f>
        <v>Holguin Hector</v>
      </c>
      <c r="G287" s="4" t="str">
        <f>IF(Jugadores!B287="","",Jugadores!A287)</f>
        <v>Santos Laguna</v>
      </c>
      <c r="H287" s="4">
        <f>IF(F287="","",SUMIF('Estadísticas Jugadores'!$F$2:$F$7001,F287,'Estadísticas Jugadores'!$J$2:$J$7001))</f>
        <v>0</v>
      </c>
      <c r="I287" s="4">
        <f t="shared" si="23"/>
        <v>-2.87E-5</v>
      </c>
      <c r="J287" s="4">
        <f t="shared" si="24"/>
        <v>290</v>
      </c>
    </row>
    <row r="288" spans="1:10" ht="15" customHeight="1" x14ac:dyDescent="0.25">
      <c r="A288" s="8">
        <f>IF(COUNT($J$2:$J$1501)&gt;=287,287,"")</f>
        <v>287</v>
      </c>
      <c r="B288" s="8" t="str">
        <f t="shared" si="20"/>
        <v>Perez Arez</v>
      </c>
      <c r="C288" s="8" t="str">
        <f t="shared" si="21"/>
        <v>Puebla</v>
      </c>
      <c r="D288" s="8">
        <f t="shared" si="22"/>
        <v>0</v>
      </c>
      <c r="F288" s="4" t="str">
        <f>IF(Jugadores!B288="","",Jugadores!B288)</f>
        <v>Abella Jose</v>
      </c>
      <c r="G288" s="4" t="str">
        <f>IF(Jugadores!B288="","",Jugadores!A288)</f>
        <v>Santos Laguna</v>
      </c>
      <c r="H288" s="4">
        <f>IF(F288="","",SUMIF('Estadísticas Jugadores'!$F$2:$F$7001,F288,'Estadísticas Jugadores'!$J$2:$J$7001))</f>
        <v>0</v>
      </c>
      <c r="I288" s="4">
        <f t="shared" si="23"/>
        <v>-2.8799999999999999E-5</v>
      </c>
      <c r="J288" s="4">
        <f t="shared" si="24"/>
        <v>291</v>
      </c>
    </row>
    <row r="289" spans="1:10" ht="15" customHeight="1" x14ac:dyDescent="0.25">
      <c r="A289" s="8">
        <f>IF(COUNT($J$2:$J$1501)&gt;=288,288,"")</f>
        <v>288</v>
      </c>
      <c r="B289" s="8" t="str">
        <f t="shared" si="20"/>
        <v>Velasco Kevin</v>
      </c>
      <c r="C289" s="8" t="str">
        <f t="shared" si="21"/>
        <v>Puebla</v>
      </c>
      <c r="D289" s="8">
        <f t="shared" si="22"/>
        <v>0</v>
      </c>
      <c r="F289" s="4" t="str">
        <f>IF(Jugadores!B289="","",Jugadores!B289)</f>
        <v>Amione Bruno</v>
      </c>
      <c r="G289" s="4" t="str">
        <f>IF(Jugadores!B289="","",Jugadores!A289)</f>
        <v>Santos Laguna</v>
      </c>
      <c r="H289" s="4">
        <f>IF(F289="","",SUMIF('Estadísticas Jugadores'!$F$2:$F$7001,F289,'Estadísticas Jugadores'!$J$2:$J$7001))</f>
        <v>0</v>
      </c>
      <c r="I289" s="4">
        <f t="shared" si="23"/>
        <v>-2.8899999999999998E-5</v>
      </c>
      <c r="J289" s="4">
        <f t="shared" si="24"/>
        <v>292</v>
      </c>
    </row>
    <row r="290" spans="1:10" ht="15" customHeight="1" x14ac:dyDescent="0.25">
      <c r="A290" s="8">
        <f>IF(COUNT($J$2:$J$1501)&gt;=289,289,"")</f>
        <v>289</v>
      </c>
      <c r="B290" s="8" t="str">
        <f t="shared" si="20"/>
        <v>Acevedo Carlos</v>
      </c>
      <c r="C290" s="8" t="str">
        <f t="shared" si="21"/>
        <v>Santos Laguna</v>
      </c>
      <c r="D290" s="8">
        <f t="shared" si="22"/>
        <v>0</v>
      </c>
      <c r="F290" s="4" t="str">
        <f>IF(Jugadores!B290="","",Jugadores!B290)</f>
        <v>Cuevas Mauricio</v>
      </c>
      <c r="G290" s="4" t="str">
        <f>IF(Jugadores!B290="","",Jugadores!A290)</f>
        <v>Santos Laguna</v>
      </c>
      <c r="H290" s="4">
        <f>IF(F290="","",SUMIF('Estadísticas Jugadores'!$F$2:$F$7001,F290,'Estadísticas Jugadores'!$J$2:$J$7001))</f>
        <v>0</v>
      </c>
      <c r="I290" s="4">
        <f t="shared" si="23"/>
        <v>-2.9E-5</v>
      </c>
      <c r="J290" s="4">
        <f t="shared" si="24"/>
        <v>293</v>
      </c>
    </row>
    <row r="291" spans="1:10" ht="15" customHeight="1" x14ac:dyDescent="0.25">
      <c r="A291" s="8">
        <f>IF(COUNT($J$2:$J$1501)&gt;=290,290,"")</f>
        <v>290</v>
      </c>
      <c r="B291" s="8" t="str">
        <f t="shared" si="20"/>
        <v>Holguin Hector</v>
      </c>
      <c r="C291" s="8" t="str">
        <f t="shared" si="21"/>
        <v>Santos Laguna</v>
      </c>
      <c r="D291" s="8">
        <f t="shared" si="22"/>
        <v>0</v>
      </c>
      <c r="F291" s="4" t="str">
        <f>IF(Jugadores!B291="","",Jugadores!B291)</f>
        <v>Echeverria Emmanuel</v>
      </c>
      <c r="G291" s="4" t="str">
        <f>IF(Jugadores!B291="","",Jugadores!A291)</f>
        <v>Santos Laguna</v>
      </c>
      <c r="H291" s="4">
        <f>IF(F291="","",SUMIF('Estadísticas Jugadores'!$F$2:$F$7001,F291,'Estadísticas Jugadores'!$J$2:$J$7001))</f>
        <v>0</v>
      </c>
      <c r="I291" s="4">
        <f t="shared" si="23"/>
        <v>-2.9099999999999999E-5</v>
      </c>
      <c r="J291" s="4">
        <f t="shared" si="24"/>
        <v>294</v>
      </c>
    </row>
    <row r="292" spans="1:10" ht="15" customHeight="1" x14ac:dyDescent="0.25">
      <c r="A292" s="8">
        <f>IF(COUNT($J$2:$J$1501)&gt;=291,291,"")</f>
        <v>291</v>
      </c>
      <c r="B292" s="8" t="str">
        <f t="shared" si="20"/>
        <v>Abella Jose</v>
      </c>
      <c r="C292" s="8" t="str">
        <f t="shared" si="21"/>
        <v>Santos Laguna</v>
      </c>
      <c r="D292" s="8">
        <f t="shared" si="22"/>
        <v>0</v>
      </c>
      <c r="F292" s="4" t="str">
        <f>IF(Jugadores!B292="","",Jugadores!B292)</f>
        <v>Echilvestre Juan</v>
      </c>
      <c r="G292" s="4" t="str">
        <f>IF(Jugadores!B292="","",Jugadores!A292)</f>
        <v>Santos Laguna</v>
      </c>
      <c r="H292" s="4">
        <f>IF(F292="","",SUMIF('Estadísticas Jugadores'!$F$2:$F$7001,F292,'Estadísticas Jugadores'!$J$2:$J$7001))</f>
        <v>0</v>
      </c>
      <c r="I292" s="4">
        <f t="shared" si="23"/>
        <v>-2.9199999999999998E-5</v>
      </c>
      <c r="J292" s="4">
        <f t="shared" si="24"/>
        <v>295</v>
      </c>
    </row>
    <row r="293" spans="1:10" ht="15" customHeight="1" x14ac:dyDescent="0.25">
      <c r="A293" s="8">
        <f>IF(COUNT($J$2:$J$1501)&gt;=292,292,"")</f>
        <v>292</v>
      </c>
      <c r="B293" s="8" t="str">
        <f t="shared" si="20"/>
        <v>Amione Bruno</v>
      </c>
      <c r="C293" s="8" t="str">
        <f t="shared" si="21"/>
        <v>Santos Laguna</v>
      </c>
      <c r="D293" s="8">
        <f t="shared" si="22"/>
        <v>0</v>
      </c>
      <c r="F293" s="4" t="str">
        <f>IF(Jugadores!B293="","",Jugadores!B293)</f>
        <v>Orona Zavala Efrain</v>
      </c>
      <c r="G293" s="4" t="str">
        <f>IF(Jugadores!B293="","",Jugadores!A293)</f>
        <v>Santos Laguna</v>
      </c>
      <c r="H293" s="4">
        <f>IF(F293="","",SUMIF('Estadísticas Jugadores'!$F$2:$F$7001,F293,'Estadísticas Jugadores'!$J$2:$J$7001))</f>
        <v>0</v>
      </c>
      <c r="I293" s="4">
        <f t="shared" si="23"/>
        <v>-2.9299999999999997E-5</v>
      </c>
      <c r="J293" s="4">
        <f t="shared" si="24"/>
        <v>296</v>
      </c>
    </row>
    <row r="294" spans="1:10" ht="15" customHeight="1" x14ac:dyDescent="0.25">
      <c r="A294" s="8">
        <f>IF(COUNT($J$2:$J$1501)&gt;=293,293,"")</f>
        <v>293</v>
      </c>
      <c r="B294" s="8" t="str">
        <f t="shared" si="20"/>
        <v>Cuevas Mauricio</v>
      </c>
      <c r="C294" s="8" t="str">
        <f t="shared" si="21"/>
        <v>Santos Laguna</v>
      </c>
      <c r="D294" s="8">
        <f t="shared" si="22"/>
        <v>0</v>
      </c>
      <c r="F294" s="4" t="str">
        <f>IF(Jugadores!B294="","",Jugadores!B294)</f>
        <v>Pardo Franco</v>
      </c>
      <c r="G294" s="4" t="str">
        <f>IF(Jugadores!B294="","",Jugadores!A294)</f>
        <v>Santos Laguna</v>
      </c>
      <c r="H294" s="4">
        <f>IF(F294="","",SUMIF('Estadísticas Jugadores'!$F$2:$F$7001,F294,'Estadísticas Jugadores'!$J$2:$J$7001))</f>
        <v>0</v>
      </c>
      <c r="I294" s="4">
        <f t="shared" si="23"/>
        <v>-2.94E-5</v>
      </c>
      <c r="J294" s="4">
        <f t="shared" si="24"/>
        <v>297</v>
      </c>
    </row>
    <row r="295" spans="1:10" ht="15" customHeight="1" x14ac:dyDescent="0.25">
      <c r="A295" s="8">
        <f>IF(COUNT($J$2:$J$1501)&gt;=294,294,"")</f>
        <v>294</v>
      </c>
      <c r="B295" s="8" t="str">
        <f t="shared" si="20"/>
        <v>Echeverria Emmanuel</v>
      </c>
      <c r="C295" s="8" t="str">
        <f t="shared" si="21"/>
        <v>Santos Laguna</v>
      </c>
      <c r="D295" s="8">
        <f t="shared" si="22"/>
        <v>0</v>
      </c>
      <c r="F295" s="4" t="str">
        <f>IF(Jugadores!B295="","",Jugadores!B295)</f>
        <v>Perez Jonathan</v>
      </c>
      <c r="G295" s="4" t="str">
        <f>IF(Jugadores!B295="","",Jugadores!A295)</f>
        <v>Santos Laguna</v>
      </c>
      <c r="H295" s="4">
        <f>IF(F295="","",SUMIF('Estadísticas Jugadores'!$F$2:$F$7001,F295,'Estadísticas Jugadores'!$J$2:$J$7001))</f>
        <v>0</v>
      </c>
      <c r="I295" s="4">
        <f t="shared" si="23"/>
        <v>-2.9499999999999999E-5</v>
      </c>
      <c r="J295" s="4">
        <f t="shared" si="24"/>
        <v>298</v>
      </c>
    </row>
    <row r="296" spans="1:10" ht="15" customHeight="1" x14ac:dyDescent="0.25">
      <c r="A296" s="8">
        <f>IF(COUNT($J$2:$J$1501)&gt;=295,295,"")</f>
        <v>295</v>
      </c>
      <c r="B296" s="8" t="str">
        <f t="shared" si="20"/>
        <v>Echilvestre Juan</v>
      </c>
      <c r="C296" s="8" t="str">
        <f t="shared" si="21"/>
        <v>Santos Laguna</v>
      </c>
      <c r="D296" s="8">
        <f t="shared" si="22"/>
        <v>0</v>
      </c>
      <c r="F296" s="4" t="str">
        <f>IF(Jugadores!B296="","",Jugadores!B296)</f>
        <v>Picon Kevin</v>
      </c>
      <c r="G296" s="4" t="str">
        <f>IF(Jugadores!B296="","",Jugadores!A296)</f>
        <v>Santos Laguna</v>
      </c>
      <c r="H296" s="4">
        <f>IF(F296="","",SUMIF('Estadísticas Jugadores'!$F$2:$F$7001,F296,'Estadísticas Jugadores'!$J$2:$J$7001))</f>
        <v>0</v>
      </c>
      <c r="I296" s="4">
        <f t="shared" si="23"/>
        <v>-2.9599999999999998E-5</v>
      </c>
      <c r="J296" s="4">
        <f t="shared" si="24"/>
        <v>299</v>
      </c>
    </row>
    <row r="297" spans="1:10" ht="15" customHeight="1" x14ac:dyDescent="0.25">
      <c r="A297" s="8">
        <f>IF(COUNT($J$2:$J$1501)&gt;=296,296,"")</f>
        <v>296</v>
      </c>
      <c r="B297" s="8" t="str">
        <f t="shared" si="20"/>
        <v>Orona Zavala Efrain</v>
      </c>
      <c r="C297" s="8" t="str">
        <f t="shared" si="21"/>
        <v>Santos Laguna</v>
      </c>
      <c r="D297" s="8">
        <f t="shared" si="22"/>
        <v>0</v>
      </c>
      <c r="F297" s="4" t="str">
        <f>IF(Jugadores!B297="","",Jugadores!B297)</f>
        <v>Sanchez Filipe</v>
      </c>
      <c r="G297" s="4" t="str">
        <f>IF(Jugadores!B297="","",Jugadores!A297)</f>
        <v>Santos Laguna</v>
      </c>
      <c r="H297" s="4">
        <f>IF(F297="","",SUMIF('Estadísticas Jugadores'!$F$2:$F$7001,F297,'Estadísticas Jugadores'!$J$2:$J$7001))</f>
        <v>1</v>
      </c>
      <c r="I297" s="4">
        <f t="shared" si="23"/>
        <v>999.99997029999997</v>
      </c>
      <c r="J297" s="4">
        <f t="shared" si="24"/>
        <v>14</v>
      </c>
    </row>
    <row r="298" spans="1:10" ht="15" customHeight="1" x14ac:dyDescent="0.25">
      <c r="A298" s="8">
        <f>IF(COUNT($J$2:$J$1501)&gt;=297,297,"")</f>
        <v>297</v>
      </c>
      <c r="B298" s="8" t="str">
        <f t="shared" si="20"/>
        <v>Pardo Franco</v>
      </c>
      <c r="C298" s="8" t="str">
        <f t="shared" si="21"/>
        <v>Santos Laguna</v>
      </c>
      <c r="D298" s="8">
        <f t="shared" si="22"/>
        <v>0</v>
      </c>
      <c r="F298" s="4" t="str">
        <f>IF(Jugadores!B298="","",Jugadores!B298)</f>
        <v>Bullaude Ezequiel</v>
      </c>
      <c r="G298" s="4" t="str">
        <f>IF(Jugadores!B298="","",Jugadores!A298)</f>
        <v>Santos Laguna</v>
      </c>
      <c r="H298" s="4">
        <f>IF(F298="","",SUMIF('Estadísticas Jugadores'!$F$2:$F$7001,F298,'Estadísticas Jugadores'!$J$2:$J$7001))</f>
        <v>0</v>
      </c>
      <c r="I298" s="4">
        <f t="shared" si="23"/>
        <v>-2.9799999999999999E-5</v>
      </c>
      <c r="J298" s="4">
        <f t="shared" si="24"/>
        <v>300</v>
      </c>
    </row>
    <row r="299" spans="1:10" ht="15" customHeight="1" x14ac:dyDescent="0.25">
      <c r="A299" s="8">
        <f>IF(COUNT($J$2:$J$1501)&gt;=298,298,"")</f>
        <v>298</v>
      </c>
      <c r="B299" s="8" t="str">
        <f t="shared" si="20"/>
        <v>Perez Jonathan</v>
      </c>
      <c r="C299" s="8" t="str">
        <f t="shared" si="21"/>
        <v>Santos Laguna</v>
      </c>
      <c r="D299" s="8">
        <f t="shared" si="22"/>
        <v>0</v>
      </c>
      <c r="F299" s="4" t="str">
        <f>IF(Jugadores!B299="","",Jugadores!B299)</f>
        <v>Cedillo Nelson</v>
      </c>
      <c r="G299" s="4" t="str">
        <f>IF(Jugadores!B299="","",Jugadores!A299)</f>
        <v>Santos Laguna</v>
      </c>
      <c r="H299" s="4">
        <f>IF(F299="","",SUMIF('Estadísticas Jugadores'!$F$2:$F$7001,F299,'Estadísticas Jugadores'!$J$2:$J$7001))</f>
        <v>0</v>
      </c>
      <c r="I299" s="4">
        <f t="shared" si="23"/>
        <v>-2.9899999999999998E-5</v>
      </c>
      <c r="J299" s="4">
        <f t="shared" si="24"/>
        <v>301</v>
      </c>
    </row>
    <row r="300" spans="1:10" ht="15" customHeight="1" x14ac:dyDescent="0.25">
      <c r="A300" s="8">
        <f>IF(COUNT($J$2:$J$1501)&gt;=299,299,"")</f>
        <v>299</v>
      </c>
      <c r="B300" s="8" t="str">
        <f t="shared" si="20"/>
        <v>Picon Kevin</v>
      </c>
      <c r="C300" s="8" t="str">
        <f t="shared" si="21"/>
        <v>Santos Laguna</v>
      </c>
      <c r="D300" s="8">
        <f t="shared" si="22"/>
        <v>0</v>
      </c>
      <c r="F300" s="4" t="str">
        <f>IF(Jugadores!B300="","",Jugadores!B300)</f>
        <v>Gomez Luis</v>
      </c>
      <c r="G300" s="4" t="str">
        <f>IF(Jugadores!B300="","",Jugadores!A300)</f>
        <v>Santos Laguna</v>
      </c>
      <c r="H300" s="4">
        <f>IF(F300="","",SUMIF('Estadísticas Jugadores'!$F$2:$F$7001,F300,'Estadísticas Jugadores'!$J$2:$J$7001))</f>
        <v>0</v>
      </c>
      <c r="I300" s="4">
        <f t="shared" si="23"/>
        <v>-2.9999999999999997E-5</v>
      </c>
      <c r="J300" s="4">
        <f t="shared" si="24"/>
        <v>302</v>
      </c>
    </row>
    <row r="301" spans="1:10" ht="15" customHeight="1" x14ac:dyDescent="0.25">
      <c r="A301" s="8">
        <f>IF(COUNT($J$2:$J$1501)&gt;=300,300,"")</f>
        <v>300</v>
      </c>
      <c r="B301" s="8" t="str">
        <f t="shared" si="20"/>
        <v>Bullaude Ezequiel</v>
      </c>
      <c r="C301" s="8" t="str">
        <f t="shared" si="21"/>
        <v>Santos Laguna</v>
      </c>
      <c r="D301" s="8">
        <f t="shared" si="22"/>
        <v>0</v>
      </c>
      <c r="F301" s="4" t="str">
        <f>IF(Jugadores!B301="","",Jugadores!B301)</f>
        <v>Gruezo Carlos</v>
      </c>
      <c r="G301" s="4" t="str">
        <f>IF(Jugadores!B301="","",Jugadores!A301)</f>
        <v>Santos Laguna</v>
      </c>
      <c r="H301" s="4">
        <f>IF(F301="","",SUMIF('Estadísticas Jugadores'!$F$2:$F$7001,F301,'Estadísticas Jugadores'!$J$2:$J$7001))</f>
        <v>0</v>
      </c>
      <c r="I301" s="4">
        <f t="shared" si="23"/>
        <v>-3.01E-5</v>
      </c>
      <c r="J301" s="4">
        <f t="shared" si="24"/>
        <v>303</v>
      </c>
    </row>
    <row r="302" spans="1:10" ht="15" customHeight="1" x14ac:dyDescent="0.25">
      <c r="A302" s="8">
        <f>IF(COUNT($J$2:$J$1501)&gt;=301,301,"")</f>
        <v>301</v>
      </c>
      <c r="B302" s="8" t="str">
        <f t="shared" si="20"/>
        <v>Cedillo Nelson</v>
      </c>
      <c r="C302" s="8" t="str">
        <f t="shared" si="21"/>
        <v>Santos Laguna</v>
      </c>
      <c r="D302" s="8">
        <f t="shared" si="22"/>
        <v>0</v>
      </c>
      <c r="F302" s="4" t="str">
        <f>IF(Jugadores!B302="","",Jugadores!B302)</f>
        <v>Guemez Javier</v>
      </c>
      <c r="G302" s="4" t="str">
        <f>IF(Jugadores!B302="","",Jugadores!A302)</f>
        <v>Santos Laguna</v>
      </c>
      <c r="H302" s="4">
        <f>IF(F302="","",SUMIF('Estadísticas Jugadores'!$F$2:$F$7001,F302,'Estadísticas Jugadores'!$J$2:$J$7001))</f>
        <v>0</v>
      </c>
      <c r="I302" s="4">
        <f t="shared" si="23"/>
        <v>-3.0199999999999999E-5</v>
      </c>
      <c r="J302" s="4">
        <f t="shared" si="24"/>
        <v>304</v>
      </c>
    </row>
    <row r="303" spans="1:10" ht="15" customHeight="1" x14ac:dyDescent="0.25">
      <c r="A303" s="8">
        <f>IF(COUNT($J$2:$J$1501)&gt;=302,302,"")</f>
        <v>302</v>
      </c>
      <c r="B303" s="8" t="str">
        <f t="shared" si="20"/>
        <v>Gomez Luis</v>
      </c>
      <c r="C303" s="8" t="str">
        <f t="shared" si="21"/>
        <v>Santos Laguna</v>
      </c>
      <c r="D303" s="8">
        <f t="shared" si="22"/>
        <v>0</v>
      </c>
      <c r="F303" s="4" t="str">
        <f>IF(Jugadores!B303="","",Jugadores!B303)</f>
        <v>López Aldo</v>
      </c>
      <c r="G303" s="4" t="str">
        <f>IF(Jugadores!B303="","",Jugadores!A303)</f>
        <v>Santos Laguna</v>
      </c>
      <c r="H303" s="4">
        <f>IF(F303="","",SUMIF('Estadísticas Jugadores'!$F$2:$F$7001,F303,'Estadísticas Jugadores'!$J$2:$J$7001))</f>
        <v>0</v>
      </c>
      <c r="I303" s="4">
        <f t="shared" si="23"/>
        <v>-3.0299999999999998E-5</v>
      </c>
      <c r="J303" s="4">
        <f t="shared" si="24"/>
        <v>305</v>
      </c>
    </row>
    <row r="304" spans="1:10" ht="15" customHeight="1" x14ac:dyDescent="0.25">
      <c r="A304" s="8">
        <f>IF(COUNT($J$2:$J$1501)&gt;=303,303,"")</f>
        <v>303</v>
      </c>
      <c r="B304" s="8" t="str">
        <f t="shared" si="20"/>
        <v>Gruezo Carlos</v>
      </c>
      <c r="C304" s="8" t="str">
        <f t="shared" si="21"/>
        <v>Santos Laguna</v>
      </c>
      <c r="D304" s="8">
        <f t="shared" si="22"/>
        <v>0</v>
      </c>
      <c r="F304" s="4" t="str">
        <f>IF(Jugadores!B304="","",Jugadores!B304)</f>
        <v>Mancha Joshua</v>
      </c>
      <c r="G304" s="4" t="str">
        <f>IF(Jugadores!B304="","",Jugadores!A304)</f>
        <v>Santos Laguna</v>
      </c>
      <c r="H304" s="4">
        <f>IF(F304="","",SUMIF('Estadísticas Jugadores'!$F$2:$F$7001,F304,'Estadísticas Jugadores'!$J$2:$J$7001))</f>
        <v>0</v>
      </c>
      <c r="I304" s="4">
        <f t="shared" si="23"/>
        <v>-3.04E-5</v>
      </c>
      <c r="J304" s="4">
        <f t="shared" si="24"/>
        <v>306</v>
      </c>
    </row>
    <row r="305" spans="1:10" ht="15" customHeight="1" x14ac:dyDescent="0.25">
      <c r="A305" s="8">
        <f>IF(COUNT($J$2:$J$1501)&gt;=304,304,"")</f>
        <v>304</v>
      </c>
      <c r="B305" s="8" t="str">
        <f t="shared" si="20"/>
        <v>Guemez Javier</v>
      </c>
      <c r="C305" s="8" t="str">
        <f t="shared" si="21"/>
        <v>Santos Laguna</v>
      </c>
      <c r="D305" s="8">
        <f t="shared" si="22"/>
        <v>0</v>
      </c>
      <c r="F305" s="4" t="str">
        <f>IF(Jugadores!B305="","",Jugadores!B305)</f>
        <v>Mariscal Murra Salvador</v>
      </c>
      <c r="G305" s="4" t="str">
        <f>IF(Jugadores!B305="","",Jugadores!A305)</f>
        <v>Santos Laguna</v>
      </c>
      <c r="H305" s="4">
        <f>IF(F305="","",SUMIF('Estadísticas Jugadores'!$F$2:$F$7001,F305,'Estadísticas Jugadores'!$J$2:$J$7001))</f>
        <v>0</v>
      </c>
      <c r="I305" s="4">
        <f t="shared" si="23"/>
        <v>-3.0499999999999999E-5</v>
      </c>
      <c r="J305" s="4">
        <f t="shared" si="24"/>
        <v>307</v>
      </c>
    </row>
    <row r="306" spans="1:10" ht="15" customHeight="1" x14ac:dyDescent="0.25">
      <c r="A306" s="8">
        <f>IF(COUNT($J$2:$J$1501)&gt;=305,305,"")</f>
        <v>305</v>
      </c>
      <c r="B306" s="8" t="str">
        <f t="shared" si="20"/>
        <v>López Aldo</v>
      </c>
      <c r="C306" s="8" t="str">
        <f t="shared" si="21"/>
        <v>Santos Laguna</v>
      </c>
      <c r="D306" s="8">
        <f t="shared" si="22"/>
        <v>0</v>
      </c>
      <c r="F306" s="4" t="str">
        <f>IF(Jugadores!B306="","",Jugadores!B306)</f>
        <v>Ulloa Jose</v>
      </c>
      <c r="G306" s="4" t="str">
        <f>IF(Jugadores!B306="","",Jugadores!A306)</f>
        <v>Santos Laguna</v>
      </c>
      <c r="H306" s="4">
        <f>IF(F306="","",SUMIF('Estadísticas Jugadores'!$F$2:$F$7001,F306,'Estadísticas Jugadores'!$J$2:$J$7001))</f>
        <v>0</v>
      </c>
      <c r="I306" s="4">
        <f t="shared" si="23"/>
        <v>-3.0599999999999998E-5</v>
      </c>
      <c r="J306" s="4">
        <f t="shared" si="24"/>
        <v>308</v>
      </c>
    </row>
    <row r="307" spans="1:10" ht="15" customHeight="1" x14ac:dyDescent="0.25">
      <c r="A307" s="8">
        <f>IF(COUNT($J$2:$J$1501)&gt;=306,306,"")</f>
        <v>306</v>
      </c>
      <c r="B307" s="8" t="str">
        <f t="shared" si="20"/>
        <v>Mancha Joshua</v>
      </c>
      <c r="C307" s="8" t="str">
        <f t="shared" si="21"/>
        <v>Santos Laguna</v>
      </c>
      <c r="D307" s="8">
        <f t="shared" si="22"/>
        <v>0</v>
      </c>
      <c r="F307" s="4" t="str">
        <f>IF(Jugadores!B307="","",Jugadores!B307)</f>
        <v>Villalba Francisco</v>
      </c>
      <c r="G307" s="4" t="str">
        <f>IF(Jugadores!B307="","",Jugadores!A307)</f>
        <v>Santos Laguna</v>
      </c>
      <c r="H307" s="4">
        <f>IF(F307="","",SUMIF('Estadísticas Jugadores'!$F$2:$F$7001,F307,'Estadísticas Jugadores'!$J$2:$J$7001))</f>
        <v>0</v>
      </c>
      <c r="I307" s="4">
        <f t="shared" si="23"/>
        <v>-3.0700000000000001E-5</v>
      </c>
      <c r="J307" s="4">
        <f t="shared" si="24"/>
        <v>309</v>
      </c>
    </row>
    <row r="308" spans="1:10" ht="15" customHeight="1" x14ac:dyDescent="0.25">
      <c r="A308" s="8">
        <f>IF(COUNT($J$2:$J$1501)&gt;=307,307,"")</f>
        <v>307</v>
      </c>
      <c r="B308" s="8" t="str">
        <f t="shared" si="20"/>
        <v>Mariscal Murra Salvador</v>
      </c>
      <c r="C308" s="8" t="str">
        <f t="shared" si="21"/>
        <v>Santos Laguna</v>
      </c>
      <c r="D308" s="8">
        <f t="shared" si="22"/>
        <v>0</v>
      </c>
      <c r="F308" s="4" t="str">
        <f>IF(Jugadores!B308="","",Jugadores!B308)</f>
        <v>Aguirre Eduardo</v>
      </c>
      <c r="G308" s="4" t="str">
        <f>IF(Jugadores!B308="","",Jugadores!A308)</f>
        <v>Santos Laguna</v>
      </c>
      <c r="H308" s="4">
        <f>IF(F308="","",SUMIF('Estadísticas Jugadores'!$F$2:$F$7001,F308,'Estadísticas Jugadores'!$J$2:$J$7001))</f>
        <v>0</v>
      </c>
      <c r="I308" s="4">
        <f t="shared" si="23"/>
        <v>-3.0799999999999996E-5</v>
      </c>
      <c r="J308" s="4">
        <f t="shared" si="24"/>
        <v>310</v>
      </c>
    </row>
    <row r="309" spans="1:10" ht="15" customHeight="1" x14ac:dyDescent="0.25">
      <c r="A309" s="8">
        <f>IF(COUNT($J$2:$J$1501)&gt;=308,308,"")</f>
        <v>308</v>
      </c>
      <c r="B309" s="8" t="str">
        <f t="shared" si="20"/>
        <v>Ulloa Jose</v>
      </c>
      <c r="C309" s="8" t="str">
        <f t="shared" si="21"/>
        <v>Santos Laguna</v>
      </c>
      <c r="D309" s="8">
        <f t="shared" si="22"/>
        <v>0</v>
      </c>
      <c r="F309" s="4" t="str">
        <f>IF(Jugadores!B309="","",Jugadores!B309)</f>
        <v>Di Yorio Lucas</v>
      </c>
      <c r="G309" s="4" t="str">
        <f>IF(Jugadores!B309="","",Jugadores!A309)</f>
        <v>Santos Laguna</v>
      </c>
      <c r="H309" s="4">
        <f>IF(F309="","",SUMIF('Estadísticas Jugadores'!$F$2:$F$7001,F309,'Estadísticas Jugadores'!$J$2:$J$7001))</f>
        <v>0</v>
      </c>
      <c r="I309" s="4">
        <f t="shared" si="23"/>
        <v>-3.0899999999999999E-5</v>
      </c>
      <c r="J309" s="4">
        <f t="shared" si="24"/>
        <v>311</v>
      </c>
    </row>
    <row r="310" spans="1:10" ht="15" customHeight="1" x14ac:dyDescent="0.25">
      <c r="A310" s="8">
        <f>IF(COUNT($J$2:$J$1501)&gt;=309,309,"")</f>
        <v>309</v>
      </c>
      <c r="B310" s="8" t="str">
        <f t="shared" si="20"/>
        <v>Villalba Francisco</v>
      </c>
      <c r="C310" s="8" t="str">
        <f t="shared" si="21"/>
        <v>Santos Laguna</v>
      </c>
      <c r="D310" s="8">
        <f t="shared" si="22"/>
        <v>0</v>
      </c>
      <c r="F310" s="4" t="str">
        <f>IF(Jugadores!B310="","",Jugadores!B310)</f>
        <v>Gonzalez Diego</v>
      </c>
      <c r="G310" s="4" t="str">
        <f>IF(Jugadores!B310="","",Jugadores!A310)</f>
        <v>Santos Laguna</v>
      </c>
      <c r="H310" s="4">
        <f>IF(F310="","",SUMIF('Estadísticas Jugadores'!$F$2:$F$7001,F310,'Estadísticas Jugadores'!$J$2:$J$7001))</f>
        <v>0</v>
      </c>
      <c r="I310" s="4">
        <f t="shared" si="23"/>
        <v>-3.1000000000000001E-5</v>
      </c>
      <c r="J310" s="4">
        <f t="shared" si="24"/>
        <v>312</v>
      </c>
    </row>
    <row r="311" spans="1:10" ht="15" customHeight="1" x14ac:dyDescent="0.25">
      <c r="A311" s="8">
        <f>IF(COUNT($J$2:$J$1501)&gt;=310,310,"")</f>
        <v>310</v>
      </c>
      <c r="B311" s="8" t="str">
        <f t="shared" si="20"/>
        <v>Aguirre Eduardo</v>
      </c>
      <c r="C311" s="8" t="str">
        <f t="shared" si="21"/>
        <v>Santos Laguna</v>
      </c>
      <c r="D311" s="8">
        <f t="shared" si="22"/>
        <v>0</v>
      </c>
      <c r="F311" s="4" t="str">
        <f>IF(Jugadores!B311="","",Jugadores!B311)</f>
        <v>Jimenez Tahiel</v>
      </c>
      <c r="G311" s="4" t="str">
        <f>IF(Jugadores!B311="","",Jugadores!A311)</f>
        <v>Santos Laguna</v>
      </c>
      <c r="H311" s="4">
        <f>IF(F311="","",SUMIF('Estadísticas Jugadores'!$F$2:$F$7001,F311,'Estadísticas Jugadores'!$J$2:$J$7001))</f>
        <v>0</v>
      </c>
      <c r="I311" s="4">
        <f t="shared" si="23"/>
        <v>-3.1099999999999997E-5</v>
      </c>
      <c r="J311" s="4">
        <f t="shared" si="24"/>
        <v>313</v>
      </c>
    </row>
    <row r="312" spans="1:10" ht="15" customHeight="1" x14ac:dyDescent="0.25">
      <c r="A312" s="8">
        <f>IF(COUNT($J$2:$J$1501)&gt;=311,311,"")</f>
        <v>311</v>
      </c>
      <c r="B312" s="8" t="str">
        <f t="shared" si="20"/>
        <v>Di Yorio Lucas</v>
      </c>
      <c r="C312" s="8" t="str">
        <f t="shared" si="21"/>
        <v>Santos Laguna</v>
      </c>
      <c r="D312" s="8">
        <f t="shared" si="22"/>
        <v>0</v>
      </c>
      <c r="F312" s="4" t="str">
        <f>IF(Jugadores!B312="","",Jugadores!B312)</f>
        <v>Medina Diego</v>
      </c>
      <c r="G312" s="4" t="str">
        <f>IF(Jugadores!B312="","",Jugadores!A312)</f>
        <v>Santos Laguna</v>
      </c>
      <c r="H312" s="4">
        <f>IF(F312="","",SUMIF('Estadísticas Jugadores'!$F$2:$F$7001,F312,'Estadísticas Jugadores'!$J$2:$J$7001))</f>
        <v>0</v>
      </c>
      <c r="I312" s="4">
        <f t="shared" si="23"/>
        <v>-3.1199999999999999E-5</v>
      </c>
      <c r="J312" s="4">
        <f t="shared" si="24"/>
        <v>314</v>
      </c>
    </row>
    <row r="313" spans="1:10" ht="15" customHeight="1" x14ac:dyDescent="0.25">
      <c r="A313" s="8">
        <f>IF(COUNT($J$2:$J$1501)&gt;=312,312,"")</f>
        <v>312</v>
      </c>
      <c r="B313" s="8" t="str">
        <f t="shared" si="20"/>
        <v>Gonzalez Diego</v>
      </c>
      <c r="C313" s="8" t="str">
        <f t="shared" si="21"/>
        <v>Santos Laguna</v>
      </c>
      <c r="D313" s="8">
        <f t="shared" si="22"/>
        <v>0</v>
      </c>
      <c r="F313" s="4" t="str">
        <f>IF(Jugadores!B313="","",Jugadores!B313)</f>
        <v>Palacios Kevin</v>
      </c>
      <c r="G313" s="4" t="str">
        <f>IF(Jugadores!B313="","",Jugadores!A313)</f>
        <v>Santos Laguna</v>
      </c>
      <c r="H313" s="4">
        <f>IF(F313="","",SUMIF('Estadísticas Jugadores'!$F$2:$F$7001,F313,'Estadísticas Jugadores'!$J$2:$J$7001))</f>
        <v>0</v>
      </c>
      <c r="I313" s="4">
        <f t="shared" si="23"/>
        <v>-3.1300000000000002E-5</v>
      </c>
      <c r="J313" s="4">
        <f t="shared" si="24"/>
        <v>315</v>
      </c>
    </row>
    <row r="314" spans="1:10" ht="15" customHeight="1" x14ac:dyDescent="0.25">
      <c r="A314" s="8">
        <f>IF(COUNT($J$2:$J$1501)&gt;=313,313,"")</f>
        <v>313</v>
      </c>
      <c r="B314" s="8" t="str">
        <f t="shared" si="20"/>
        <v>Jimenez Tahiel</v>
      </c>
      <c r="C314" s="8" t="str">
        <f t="shared" si="21"/>
        <v>Santos Laguna</v>
      </c>
      <c r="D314" s="8">
        <f t="shared" si="22"/>
        <v>0</v>
      </c>
      <c r="F314" s="4" t="str">
        <f>IF(Jugadores!B314="","",Jugadores!B314)</f>
        <v>Sordo Ramiro</v>
      </c>
      <c r="G314" s="4" t="str">
        <f>IF(Jugadores!B314="","",Jugadores!A314)</f>
        <v>Santos Laguna</v>
      </c>
      <c r="H314" s="4">
        <f>IF(F314="","",SUMIF('Estadísticas Jugadores'!$F$2:$F$7001,F314,'Estadísticas Jugadores'!$J$2:$J$7001))</f>
        <v>0</v>
      </c>
      <c r="I314" s="4">
        <f t="shared" si="23"/>
        <v>-3.1399999999999998E-5</v>
      </c>
      <c r="J314" s="4">
        <f t="shared" si="24"/>
        <v>316</v>
      </c>
    </row>
    <row r="315" spans="1:10" ht="15" customHeight="1" x14ac:dyDescent="0.25">
      <c r="A315" s="8">
        <f>IF(COUNT($J$2:$J$1501)&gt;=314,314,"")</f>
        <v>314</v>
      </c>
      <c r="B315" s="8" t="str">
        <f t="shared" si="20"/>
        <v>Medina Diego</v>
      </c>
      <c r="C315" s="8" t="str">
        <f t="shared" si="21"/>
        <v>Santos Laguna</v>
      </c>
      <c r="D315" s="8">
        <f t="shared" si="22"/>
        <v>0</v>
      </c>
      <c r="F315" s="4" t="str">
        <f>IF(Jugadores!B315="","",Jugadores!B315)</f>
        <v>Vuoso Lucca</v>
      </c>
      <c r="G315" s="4" t="str">
        <f>IF(Jugadores!B315="","",Jugadores!A315)</f>
        <v>Santos Laguna</v>
      </c>
      <c r="H315" s="4">
        <f>IF(F315="","",SUMIF('Estadísticas Jugadores'!$F$2:$F$7001,F315,'Estadísticas Jugadores'!$J$2:$J$7001))</f>
        <v>0</v>
      </c>
      <c r="I315" s="4">
        <f t="shared" si="23"/>
        <v>-3.15E-5</v>
      </c>
      <c r="J315" s="4">
        <f t="shared" si="24"/>
        <v>317</v>
      </c>
    </row>
    <row r="316" spans="1:10" ht="15" customHeight="1" x14ac:dyDescent="0.25">
      <c r="A316" s="8">
        <f>IF(COUNT($J$2:$J$1501)&gt;=315,315,"")</f>
        <v>315</v>
      </c>
      <c r="B316" s="8" t="str">
        <f t="shared" si="20"/>
        <v>Palacios Kevin</v>
      </c>
      <c r="C316" s="8" t="str">
        <f t="shared" si="21"/>
        <v>Santos Laguna</v>
      </c>
      <c r="D316" s="8">
        <f t="shared" si="22"/>
        <v>0</v>
      </c>
      <c r="F316" s="4" t="str">
        <f>IF(Jugadores!B316="","",Jugadores!B316)</f>
        <v>Lajud Manuel Gibran</v>
      </c>
      <c r="G316" s="4" t="str">
        <f>IF(Jugadores!B316="","",Jugadores!A316)</f>
        <v>Atlético de San Luis</v>
      </c>
      <c r="H316" s="4">
        <f>IF(F316="","",SUMIF('Estadísticas Jugadores'!$F$2:$F$7001,F316,'Estadísticas Jugadores'!$J$2:$J$7001))</f>
        <v>0</v>
      </c>
      <c r="I316" s="4">
        <f t="shared" si="23"/>
        <v>-3.1599999999999996E-5</v>
      </c>
      <c r="J316" s="4">
        <f t="shared" si="24"/>
        <v>318</v>
      </c>
    </row>
    <row r="317" spans="1:10" ht="15" customHeight="1" x14ac:dyDescent="0.25">
      <c r="A317" s="8">
        <f>IF(COUNT($J$2:$J$1501)&gt;=316,316,"")</f>
        <v>316</v>
      </c>
      <c r="B317" s="8" t="str">
        <f t="shared" si="20"/>
        <v>Sordo Ramiro</v>
      </c>
      <c r="C317" s="8" t="str">
        <f t="shared" si="21"/>
        <v>Santos Laguna</v>
      </c>
      <c r="D317" s="8">
        <f t="shared" si="22"/>
        <v>0</v>
      </c>
      <c r="F317" s="4" t="str">
        <f>IF(Jugadores!B317="","",Jugadores!B317)</f>
        <v>Sanchez Andres</v>
      </c>
      <c r="G317" s="4" t="str">
        <f>IF(Jugadores!B317="","",Jugadores!A317)</f>
        <v>Atlético de San Luis</v>
      </c>
      <c r="H317" s="4">
        <f>IF(F317="","",SUMIF('Estadísticas Jugadores'!$F$2:$F$7001,F317,'Estadísticas Jugadores'!$J$2:$J$7001))</f>
        <v>0</v>
      </c>
      <c r="I317" s="4">
        <f t="shared" si="23"/>
        <v>-3.1699999999999998E-5</v>
      </c>
      <c r="J317" s="4">
        <f t="shared" si="24"/>
        <v>319</v>
      </c>
    </row>
    <row r="318" spans="1:10" ht="15" customHeight="1" x14ac:dyDescent="0.25">
      <c r="A318" s="8">
        <f>IF(COUNT($J$2:$J$1501)&gt;=317,317,"")</f>
        <v>317</v>
      </c>
      <c r="B318" s="8" t="str">
        <f t="shared" si="20"/>
        <v>Vuoso Lucca</v>
      </c>
      <c r="C318" s="8" t="str">
        <f t="shared" si="21"/>
        <v>Santos Laguna</v>
      </c>
      <c r="D318" s="8">
        <f t="shared" si="22"/>
        <v>0</v>
      </c>
      <c r="F318" s="4" t="str">
        <f>IF(Jugadores!B318="","",Jugadores!B318)</f>
        <v>Aguila Eduardo</v>
      </c>
      <c r="G318" s="4" t="str">
        <f>IF(Jugadores!B318="","",Jugadores!A318)</f>
        <v>Atlético de San Luis</v>
      </c>
      <c r="H318" s="4">
        <f>IF(F318="","",SUMIF('Estadísticas Jugadores'!$F$2:$F$7001,F318,'Estadísticas Jugadores'!$J$2:$J$7001))</f>
        <v>0</v>
      </c>
      <c r="I318" s="4">
        <f t="shared" si="23"/>
        <v>-3.18E-5</v>
      </c>
      <c r="J318" s="4">
        <f t="shared" si="24"/>
        <v>320</v>
      </c>
    </row>
    <row r="319" spans="1:10" ht="15" customHeight="1" x14ac:dyDescent="0.25">
      <c r="A319" s="8">
        <f>IF(COUNT($J$2:$J$1501)&gt;=318,318,"")</f>
        <v>318</v>
      </c>
      <c r="B319" s="8" t="str">
        <f t="shared" si="20"/>
        <v>Lajud Manuel Gibran</v>
      </c>
      <c r="C319" s="8" t="str">
        <f t="shared" si="21"/>
        <v>Atlético de San Luis</v>
      </c>
      <c r="D319" s="8">
        <f t="shared" si="22"/>
        <v>0</v>
      </c>
      <c r="F319" s="4" t="str">
        <f>IF(Jugadores!B319="","",Jugadores!B319)</f>
        <v>Carrillo Luis</v>
      </c>
      <c r="G319" s="4" t="str">
        <f>IF(Jugadores!B319="","",Jugadores!A319)</f>
        <v>Atlético de San Luis</v>
      </c>
      <c r="H319" s="4">
        <f>IF(F319="","",SUMIF('Estadísticas Jugadores'!$F$2:$F$7001,F319,'Estadísticas Jugadores'!$J$2:$J$7001))</f>
        <v>0</v>
      </c>
      <c r="I319" s="4">
        <f t="shared" si="23"/>
        <v>-3.1899999999999996E-5</v>
      </c>
      <c r="J319" s="4">
        <f t="shared" si="24"/>
        <v>321</v>
      </c>
    </row>
    <row r="320" spans="1:10" ht="15" customHeight="1" x14ac:dyDescent="0.25">
      <c r="A320" s="8">
        <f>IF(COUNT($J$2:$J$1501)&gt;=319,319,"")</f>
        <v>319</v>
      </c>
      <c r="B320" s="8" t="str">
        <f t="shared" si="20"/>
        <v>Sanchez Andres</v>
      </c>
      <c r="C320" s="8" t="str">
        <f t="shared" si="21"/>
        <v>Atlético de San Luis</v>
      </c>
      <c r="D320" s="8">
        <f t="shared" si="22"/>
        <v>0</v>
      </c>
      <c r="F320" s="4" t="str">
        <f>IF(Jugadores!B320="","",Jugadores!B320)</f>
        <v>Cruz Aldo</v>
      </c>
      <c r="G320" s="4" t="str">
        <f>IF(Jugadores!B320="","",Jugadores!A320)</f>
        <v>Atlético de San Luis</v>
      </c>
      <c r="H320" s="4">
        <f>IF(F320="","",SUMIF('Estadísticas Jugadores'!$F$2:$F$7001,F320,'Estadísticas Jugadores'!$J$2:$J$7001))</f>
        <v>0</v>
      </c>
      <c r="I320" s="4">
        <f t="shared" si="23"/>
        <v>-3.1999999999999999E-5</v>
      </c>
      <c r="J320" s="4">
        <f t="shared" si="24"/>
        <v>322</v>
      </c>
    </row>
    <row r="321" spans="1:10" ht="15" customHeight="1" x14ac:dyDescent="0.25">
      <c r="A321" s="8">
        <f>IF(COUNT($J$2:$J$1501)&gt;=320,320,"")</f>
        <v>320</v>
      </c>
      <c r="B321" s="8" t="str">
        <f t="shared" si="20"/>
        <v>Aguila Eduardo</v>
      </c>
      <c r="C321" s="8" t="str">
        <f t="shared" si="21"/>
        <v>Atlético de San Luis</v>
      </c>
      <c r="D321" s="8">
        <f t="shared" si="22"/>
        <v>0</v>
      </c>
      <c r="F321" s="4" t="str">
        <f>IF(Jugadores!B321="","",Jugadores!B321)</f>
        <v>Domínguez Julio Cesar</v>
      </c>
      <c r="G321" s="4" t="str">
        <f>IF(Jugadores!B321="","",Jugadores!A321)</f>
        <v>Atlético de San Luis</v>
      </c>
      <c r="H321" s="4">
        <f>IF(F321="","",SUMIF('Estadísticas Jugadores'!$F$2:$F$7001,F321,'Estadísticas Jugadores'!$J$2:$J$7001))</f>
        <v>0</v>
      </c>
      <c r="I321" s="4">
        <f t="shared" si="23"/>
        <v>-3.2100000000000001E-5</v>
      </c>
      <c r="J321" s="4">
        <f t="shared" si="24"/>
        <v>323</v>
      </c>
    </row>
    <row r="322" spans="1:10" ht="15" customHeight="1" x14ac:dyDescent="0.25">
      <c r="A322" s="8">
        <f>IF(COUNT($J$2:$J$1501)&gt;=321,321,"")</f>
        <v>321</v>
      </c>
      <c r="B322" s="8" t="str">
        <f t="shared" ref="B322:B385" si="25">IF($A322="","",INDEX($F$2:$F$1501,MATCH($A322,$J$2:$J$1501,0)))</f>
        <v>Carrillo Luis</v>
      </c>
      <c r="C322" s="8" t="str">
        <f t="shared" ref="C322:C385" si="26">IF($A322="","",INDEX($G$2:$G$1501,MATCH($A322,$J$2:$J$1501,0)))</f>
        <v>Atlético de San Luis</v>
      </c>
      <c r="D322" s="8">
        <f t="shared" ref="D322:D385" si="27">IF($A322="","",INDEX($H$2:$H$1501,MATCH($A322,$J$2:$J$1501,0)))</f>
        <v>0</v>
      </c>
      <c r="F322" s="4" t="str">
        <f>IF(Jugadores!B322="","",Jugadores!B322)</f>
        <v>Galindo Cruz Benjamin</v>
      </c>
      <c r="G322" s="4" t="str">
        <f>IF(Jugadores!B322="","",Jugadores!A322)</f>
        <v>Atlético de San Luis</v>
      </c>
      <c r="H322" s="4">
        <f>IF(F322="","",SUMIF('Estadísticas Jugadores'!$F$2:$F$7001,F322,'Estadísticas Jugadores'!$J$2:$J$7001))</f>
        <v>0</v>
      </c>
      <c r="I322" s="4">
        <f t="shared" ref="I322:I385" si="28">IF(F322="","",H322*1000-ROW()*0.0000001)</f>
        <v>-3.2199999999999997E-5</v>
      </c>
      <c r="J322" s="4">
        <f t="shared" ref="J322:J385" si="29">IF(F322="","",RANK(I322,$I$2:$I$1501))</f>
        <v>324</v>
      </c>
    </row>
    <row r="323" spans="1:10" ht="15" customHeight="1" x14ac:dyDescent="0.25">
      <c r="A323" s="8">
        <f>IF(COUNT($J$2:$J$1501)&gt;=322,322,"")</f>
        <v>322</v>
      </c>
      <c r="B323" s="8" t="str">
        <f t="shared" si="25"/>
        <v>Cruz Aldo</v>
      </c>
      <c r="C323" s="8" t="str">
        <f t="shared" si="26"/>
        <v>Atlético de San Luis</v>
      </c>
      <c r="D323" s="8">
        <f t="shared" si="27"/>
        <v>0</v>
      </c>
      <c r="F323" s="4" t="str">
        <f>IF(Jugadores!B323="","",Jugadores!B323)</f>
        <v>Juanpe</v>
      </c>
      <c r="G323" s="4" t="str">
        <f>IF(Jugadores!B323="","",Jugadores!A323)</f>
        <v>Atlético de San Luis</v>
      </c>
      <c r="H323" s="4">
        <f>IF(F323="","",SUMIF('Estadísticas Jugadores'!$F$2:$F$7001,F323,'Estadísticas Jugadores'!$J$2:$J$7001))</f>
        <v>0</v>
      </c>
      <c r="I323" s="4">
        <f t="shared" si="28"/>
        <v>-3.2299999999999999E-5</v>
      </c>
      <c r="J323" s="4">
        <f t="shared" si="29"/>
        <v>325</v>
      </c>
    </row>
    <row r="324" spans="1:10" ht="15" customHeight="1" x14ac:dyDescent="0.25">
      <c r="A324" s="8">
        <f>IF(COUNT($J$2:$J$1501)&gt;=323,323,"")</f>
        <v>323</v>
      </c>
      <c r="B324" s="8" t="str">
        <f t="shared" si="25"/>
        <v>Domínguez Julio Cesar</v>
      </c>
      <c r="C324" s="8" t="str">
        <f t="shared" si="26"/>
        <v>Atlético de San Luis</v>
      </c>
      <c r="D324" s="8">
        <f t="shared" si="27"/>
        <v>0</v>
      </c>
      <c r="F324" s="4" t="str">
        <f>IF(Jugadores!B324="","",Jugadores!B324)</f>
        <v>Lucas Esteves</v>
      </c>
      <c r="G324" s="4" t="str">
        <f>IF(Jugadores!B324="","",Jugadores!A324)</f>
        <v>Atlético de San Luis</v>
      </c>
      <c r="H324" s="4">
        <f>IF(F324="","",SUMIF('Estadísticas Jugadores'!$F$2:$F$7001,F324,'Estadísticas Jugadores'!$J$2:$J$7001))</f>
        <v>0</v>
      </c>
      <c r="I324" s="4">
        <f t="shared" si="28"/>
        <v>-3.2400000000000001E-5</v>
      </c>
      <c r="J324" s="4">
        <f t="shared" si="29"/>
        <v>326</v>
      </c>
    </row>
    <row r="325" spans="1:10" ht="15" customHeight="1" x14ac:dyDescent="0.25">
      <c r="A325" s="8">
        <f>IF(COUNT($J$2:$J$1501)&gt;=324,324,"")</f>
        <v>324</v>
      </c>
      <c r="B325" s="8" t="str">
        <f t="shared" si="25"/>
        <v>Galindo Cruz Benjamin</v>
      </c>
      <c r="C325" s="8" t="str">
        <f t="shared" si="26"/>
        <v>Atlético de San Luis</v>
      </c>
      <c r="D325" s="8">
        <f t="shared" si="27"/>
        <v>0</v>
      </c>
      <c r="F325" s="4" t="str">
        <f>IF(Jugadores!B325="","",Jugadores!B325)</f>
        <v>Robson Bambu</v>
      </c>
      <c r="G325" s="4" t="str">
        <f>IF(Jugadores!B325="","",Jugadores!A325)</f>
        <v>Atlético de San Luis</v>
      </c>
      <c r="H325" s="4">
        <f>IF(F325="","",SUMIF('Estadísticas Jugadores'!$F$2:$F$7001,F325,'Estadísticas Jugadores'!$J$2:$J$7001))</f>
        <v>0</v>
      </c>
      <c r="I325" s="4">
        <f t="shared" si="28"/>
        <v>-3.2499999999999997E-5</v>
      </c>
      <c r="J325" s="4">
        <f t="shared" si="29"/>
        <v>327</v>
      </c>
    </row>
    <row r="326" spans="1:10" ht="15" customHeight="1" x14ac:dyDescent="0.25">
      <c r="A326" s="8">
        <f>IF(COUNT($J$2:$J$1501)&gt;=325,325,"")</f>
        <v>325</v>
      </c>
      <c r="B326" s="8" t="str">
        <f t="shared" si="25"/>
        <v>Juanpe</v>
      </c>
      <c r="C326" s="8" t="str">
        <f t="shared" si="26"/>
        <v>Atlético de San Luis</v>
      </c>
      <c r="D326" s="8">
        <f t="shared" si="27"/>
        <v>0</v>
      </c>
      <c r="F326" s="4" t="str">
        <f>IF(Jugadores!B326="","",Jugadores!B326)</f>
        <v>Suarez Javier</v>
      </c>
      <c r="G326" s="4" t="str">
        <f>IF(Jugadores!B326="","",Jugadores!A326)</f>
        <v>Atlético de San Luis</v>
      </c>
      <c r="H326" s="4">
        <f>IF(F326="","",SUMIF('Estadísticas Jugadores'!$F$2:$F$7001,F326,'Estadísticas Jugadores'!$J$2:$J$7001))</f>
        <v>0</v>
      </c>
      <c r="I326" s="4">
        <f t="shared" si="28"/>
        <v>-3.26E-5</v>
      </c>
      <c r="J326" s="4">
        <f t="shared" si="29"/>
        <v>328</v>
      </c>
    </row>
    <row r="327" spans="1:10" ht="15" customHeight="1" x14ac:dyDescent="0.25">
      <c r="A327" s="8">
        <f>IF(COUNT($J$2:$J$1501)&gt;=326,326,"")</f>
        <v>326</v>
      </c>
      <c r="B327" s="8" t="str">
        <f t="shared" si="25"/>
        <v>Lucas Esteves</v>
      </c>
      <c r="C327" s="8" t="str">
        <f t="shared" si="26"/>
        <v>Atlético de San Luis</v>
      </c>
      <c r="D327" s="8">
        <f t="shared" si="27"/>
        <v>0</v>
      </c>
      <c r="F327" s="4" t="str">
        <f>IF(Jugadores!B327="","",Jugadores!B327)</f>
        <v>Torres Acosta Roman</v>
      </c>
      <c r="G327" s="4" t="str">
        <f>IF(Jugadores!B327="","",Jugadores!A327)</f>
        <v>Atlético de San Luis</v>
      </c>
      <c r="H327" s="4">
        <f>IF(F327="","",SUMIF('Estadísticas Jugadores'!$F$2:$F$7001,F327,'Estadísticas Jugadores'!$J$2:$J$7001))</f>
        <v>0</v>
      </c>
      <c r="I327" s="4">
        <f t="shared" si="28"/>
        <v>-3.2699999999999995E-5</v>
      </c>
      <c r="J327" s="4">
        <f t="shared" si="29"/>
        <v>329</v>
      </c>
    </row>
    <row r="328" spans="1:10" ht="15" customHeight="1" x14ac:dyDescent="0.25">
      <c r="A328" s="8">
        <f>IF(COUNT($J$2:$J$1501)&gt;=327,327,"")</f>
        <v>327</v>
      </c>
      <c r="B328" s="8" t="str">
        <f t="shared" si="25"/>
        <v>Robson Bambu</v>
      </c>
      <c r="C328" s="8" t="str">
        <f t="shared" si="26"/>
        <v>Atlético de San Luis</v>
      </c>
      <c r="D328" s="8">
        <f t="shared" si="27"/>
        <v>0</v>
      </c>
      <c r="F328" s="4" t="str">
        <f>IF(Jugadores!B328="","",Jugadores!B328)</f>
        <v>Galdames Benjamin</v>
      </c>
      <c r="G328" s="4" t="str">
        <f>IF(Jugadores!B328="","",Jugadores!A328)</f>
        <v>Atlético de San Luis</v>
      </c>
      <c r="H328" s="4">
        <f>IF(F328="","",SUMIF('Estadísticas Jugadores'!$F$2:$F$7001,F328,'Estadísticas Jugadores'!$J$2:$J$7001))</f>
        <v>0</v>
      </c>
      <c r="I328" s="4">
        <f t="shared" si="28"/>
        <v>-3.2799999999999998E-5</v>
      </c>
      <c r="J328" s="4">
        <f t="shared" si="29"/>
        <v>330</v>
      </c>
    </row>
    <row r="329" spans="1:10" ht="15" customHeight="1" x14ac:dyDescent="0.25">
      <c r="A329" s="8">
        <f>IF(COUNT($J$2:$J$1501)&gt;=328,328,"")</f>
        <v>328</v>
      </c>
      <c r="B329" s="8" t="str">
        <f t="shared" si="25"/>
        <v>Suarez Javier</v>
      </c>
      <c r="C329" s="8" t="str">
        <f t="shared" si="26"/>
        <v>Atlético de San Luis</v>
      </c>
      <c r="D329" s="8">
        <f t="shared" si="27"/>
        <v>0</v>
      </c>
      <c r="F329" s="4" t="str">
        <f>IF(Jugadores!B329="","",Jugadores!B329)</f>
        <v>Garcia Miguel</v>
      </c>
      <c r="G329" s="4" t="str">
        <f>IF(Jugadores!B329="","",Jugadores!A329)</f>
        <v>Atlético de San Luis</v>
      </c>
      <c r="H329" s="4">
        <f>IF(F329="","",SUMIF('Estadísticas Jugadores'!$F$2:$F$7001,F329,'Estadísticas Jugadores'!$J$2:$J$7001))</f>
        <v>0</v>
      </c>
      <c r="I329" s="4">
        <f t="shared" si="28"/>
        <v>-3.29E-5</v>
      </c>
      <c r="J329" s="4">
        <f t="shared" si="29"/>
        <v>331</v>
      </c>
    </row>
    <row r="330" spans="1:10" ht="15" customHeight="1" x14ac:dyDescent="0.25">
      <c r="A330" s="8">
        <f>IF(COUNT($J$2:$J$1501)&gt;=329,329,"")</f>
        <v>329</v>
      </c>
      <c r="B330" s="8" t="str">
        <f t="shared" si="25"/>
        <v>Torres Acosta Roman</v>
      </c>
      <c r="C330" s="8" t="str">
        <f t="shared" si="26"/>
        <v>Atlético de San Luis</v>
      </c>
      <c r="D330" s="8">
        <f t="shared" si="27"/>
        <v>0</v>
      </c>
      <c r="F330" s="4" t="str">
        <f>IF(Jugadores!B330="","",Jugadores!B330)</f>
        <v>Macias Oscar</v>
      </c>
      <c r="G330" s="4" t="str">
        <f>IF(Jugadores!B330="","",Jugadores!A330)</f>
        <v>Atlético de San Luis</v>
      </c>
      <c r="H330" s="4">
        <f>IF(F330="","",SUMIF('Estadísticas Jugadores'!$F$2:$F$7001,F330,'Estadísticas Jugadores'!$J$2:$J$7001))</f>
        <v>0</v>
      </c>
      <c r="I330" s="4">
        <f t="shared" si="28"/>
        <v>-3.2999999999999996E-5</v>
      </c>
      <c r="J330" s="4">
        <f t="shared" si="29"/>
        <v>332</v>
      </c>
    </row>
    <row r="331" spans="1:10" ht="15" customHeight="1" x14ac:dyDescent="0.25">
      <c r="A331" s="8">
        <f>IF(COUNT($J$2:$J$1501)&gt;=330,330,"")</f>
        <v>330</v>
      </c>
      <c r="B331" s="8" t="str">
        <f t="shared" si="25"/>
        <v>Galdames Benjamin</v>
      </c>
      <c r="C331" s="8" t="str">
        <f t="shared" si="26"/>
        <v>Atlético de San Luis</v>
      </c>
      <c r="D331" s="8">
        <f t="shared" si="27"/>
        <v>0</v>
      </c>
      <c r="F331" s="4" t="str">
        <f>IF(Jugadores!B331="","",Jugadores!B331)</f>
        <v>Meraz Roberto</v>
      </c>
      <c r="G331" s="4" t="str">
        <f>IF(Jugadores!B331="","",Jugadores!A331)</f>
        <v>Atlético de San Luis</v>
      </c>
      <c r="H331" s="4">
        <f>IF(F331="","",SUMIF('Estadísticas Jugadores'!$F$2:$F$7001,F331,'Estadísticas Jugadores'!$J$2:$J$7001))</f>
        <v>0</v>
      </c>
      <c r="I331" s="4">
        <f t="shared" si="28"/>
        <v>-3.3099999999999998E-5</v>
      </c>
      <c r="J331" s="4">
        <f t="shared" si="29"/>
        <v>333</v>
      </c>
    </row>
    <row r="332" spans="1:10" ht="15" customHeight="1" x14ac:dyDescent="0.25">
      <c r="A332" s="8">
        <f>IF(COUNT($J$2:$J$1501)&gt;=331,331,"")</f>
        <v>331</v>
      </c>
      <c r="B332" s="8" t="str">
        <f t="shared" si="25"/>
        <v>Garcia Miguel</v>
      </c>
      <c r="C332" s="8" t="str">
        <f t="shared" si="26"/>
        <v>Atlético de San Luis</v>
      </c>
      <c r="D332" s="8">
        <f t="shared" si="27"/>
        <v>0</v>
      </c>
      <c r="F332" s="4" t="str">
        <f>IF(Jugadores!B332="","",Jugadores!B332)</f>
        <v>Ortega Kevin</v>
      </c>
      <c r="G332" s="4" t="str">
        <f>IF(Jugadores!B332="","",Jugadores!A332)</f>
        <v>Atlético de San Luis</v>
      </c>
      <c r="H332" s="4">
        <f>IF(F332="","",SUMIF('Estadísticas Jugadores'!$F$2:$F$7001,F332,'Estadísticas Jugadores'!$J$2:$J$7001))</f>
        <v>0</v>
      </c>
      <c r="I332" s="4">
        <f t="shared" si="28"/>
        <v>-3.3200000000000001E-5</v>
      </c>
      <c r="J332" s="4">
        <f t="shared" si="29"/>
        <v>334</v>
      </c>
    </row>
    <row r="333" spans="1:10" ht="15" customHeight="1" x14ac:dyDescent="0.25">
      <c r="A333" s="8">
        <f>IF(COUNT($J$2:$J$1501)&gt;=332,332,"")</f>
        <v>332</v>
      </c>
      <c r="B333" s="8" t="str">
        <f t="shared" si="25"/>
        <v>Macias Oscar</v>
      </c>
      <c r="C333" s="8" t="str">
        <f t="shared" si="26"/>
        <v>Atlético de San Luis</v>
      </c>
      <c r="D333" s="8">
        <f t="shared" si="27"/>
        <v>0</v>
      </c>
      <c r="F333" s="4" t="str">
        <f>IF(Jugadores!B333="","",Jugadores!B333)</f>
        <v>Perez Sebastian</v>
      </c>
      <c r="G333" s="4" t="str">
        <f>IF(Jugadores!B333="","",Jugadores!A333)</f>
        <v>Atlético de San Luis</v>
      </c>
      <c r="H333" s="4">
        <f>IF(F333="","",SUMIF('Estadísticas Jugadores'!$F$2:$F$7001,F333,'Estadísticas Jugadores'!$J$2:$J$7001))</f>
        <v>0</v>
      </c>
      <c r="I333" s="4">
        <f t="shared" si="28"/>
        <v>-3.3299999999999996E-5</v>
      </c>
      <c r="J333" s="4">
        <f t="shared" si="29"/>
        <v>335</v>
      </c>
    </row>
    <row r="334" spans="1:10" ht="15" customHeight="1" x14ac:dyDescent="0.25">
      <c r="A334" s="8">
        <f>IF(COUNT($J$2:$J$1501)&gt;=333,333,"")</f>
        <v>333</v>
      </c>
      <c r="B334" s="8" t="str">
        <f t="shared" si="25"/>
        <v>Meraz Roberto</v>
      </c>
      <c r="C334" s="8" t="str">
        <f t="shared" si="26"/>
        <v>Atlético de San Luis</v>
      </c>
      <c r="D334" s="8">
        <f t="shared" si="27"/>
        <v>0</v>
      </c>
      <c r="F334" s="4" t="str">
        <f>IF(Jugadores!B334="","",Jugadores!B334)</f>
        <v>Reyes Angel</v>
      </c>
      <c r="G334" s="4" t="str">
        <f>IF(Jugadores!B334="","",Jugadores!A334)</f>
        <v>Atlético de San Luis</v>
      </c>
      <c r="H334" s="4">
        <f>IF(F334="","",SUMIF('Estadísticas Jugadores'!$F$2:$F$7001,F334,'Estadísticas Jugadores'!$J$2:$J$7001))</f>
        <v>0</v>
      </c>
      <c r="I334" s="4">
        <f t="shared" si="28"/>
        <v>-3.3399999999999999E-5</v>
      </c>
      <c r="J334" s="4">
        <f t="shared" si="29"/>
        <v>336</v>
      </c>
    </row>
    <row r="335" spans="1:10" ht="15" customHeight="1" x14ac:dyDescent="0.25">
      <c r="A335" s="8">
        <f>IF(COUNT($J$2:$J$1501)&gt;=334,334,"")</f>
        <v>334</v>
      </c>
      <c r="B335" s="8" t="str">
        <f t="shared" si="25"/>
        <v>Ortega Kevin</v>
      </c>
      <c r="C335" s="8" t="str">
        <f t="shared" si="26"/>
        <v>Atlético de San Luis</v>
      </c>
      <c r="D335" s="8">
        <f t="shared" si="27"/>
        <v>0</v>
      </c>
      <c r="F335" s="4" t="str">
        <f>IF(Jugadores!B335="","",Jugadores!B335)</f>
        <v>Rodriguez David</v>
      </c>
      <c r="G335" s="4" t="str">
        <f>IF(Jugadores!B335="","",Jugadores!A335)</f>
        <v>Atlético de San Luis</v>
      </c>
      <c r="H335" s="4">
        <f>IF(F335="","",SUMIF('Estadísticas Jugadores'!$F$2:$F$7001,F335,'Estadísticas Jugadores'!$J$2:$J$7001))</f>
        <v>0</v>
      </c>
      <c r="I335" s="4">
        <f t="shared" si="28"/>
        <v>-3.3500000000000001E-5</v>
      </c>
      <c r="J335" s="4">
        <f t="shared" si="29"/>
        <v>337</v>
      </c>
    </row>
    <row r="336" spans="1:10" ht="15" customHeight="1" x14ac:dyDescent="0.25">
      <c r="A336" s="8">
        <f>IF(COUNT($J$2:$J$1501)&gt;=335,335,"")</f>
        <v>335</v>
      </c>
      <c r="B336" s="8" t="str">
        <f t="shared" si="25"/>
        <v>Perez Sebastian</v>
      </c>
      <c r="C336" s="8" t="str">
        <f t="shared" si="26"/>
        <v>Atlético de San Luis</v>
      </c>
      <c r="D336" s="8">
        <f t="shared" si="27"/>
        <v>0</v>
      </c>
      <c r="F336" s="4" t="str">
        <f>IF(Jugadores!B336="","",Jugadores!B336)</f>
        <v>Salles-Lamonge Sebastien</v>
      </c>
      <c r="G336" s="4" t="str">
        <f>IF(Jugadores!B336="","",Jugadores!A336)</f>
        <v>Atlético de San Luis</v>
      </c>
      <c r="H336" s="4">
        <f>IF(F336="","",SUMIF('Estadísticas Jugadores'!$F$2:$F$7001,F336,'Estadísticas Jugadores'!$J$2:$J$7001))</f>
        <v>0</v>
      </c>
      <c r="I336" s="4">
        <f t="shared" si="28"/>
        <v>-3.3599999999999997E-5</v>
      </c>
      <c r="J336" s="4">
        <f t="shared" si="29"/>
        <v>338</v>
      </c>
    </row>
    <row r="337" spans="1:10" ht="15" customHeight="1" x14ac:dyDescent="0.25">
      <c r="A337" s="8">
        <f>IF(COUNT($J$2:$J$1501)&gt;=336,336,"")</f>
        <v>336</v>
      </c>
      <c r="B337" s="8" t="str">
        <f t="shared" si="25"/>
        <v>Reyes Angel</v>
      </c>
      <c r="C337" s="8" t="str">
        <f t="shared" si="26"/>
        <v>Atlético de San Luis</v>
      </c>
      <c r="D337" s="8">
        <f t="shared" si="27"/>
        <v>0</v>
      </c>
      <c r="F337" s="4" t="str">
        <f>IF(Jugadores!B337="","",Jugadores!B337)</f>
        <v>Duarte Anderson</v>
      </c>
      <c r="G337" s="4" t="str">
        <f>IF(Jugadores!B337="","",Jugadores!A337)</f>
        <v>Atlético de San Luis</v>
      </c>
      <c r="H337" s="4">
        <f>IF(F337="","",SUMIF('Estadísticas Jugadores'!$F$2:$F$7001,F337,'Estadísticas Jugadores'!$J$2:$J$7001))</f>
        <v>0</v>
      </c>
      <c r="I337" s="4">
        <f t="shared" si="28"/>
        <v>-3.3699999999999999E-5</v>
      </c>
      <c r="J337" s="4">
        <f t="shared" si="29"/>
        <v>339</v>
      </c>
    </row>
    <row r="338" spans="1:10" ht="15" customHeight="1" x14ac:dyDescent="0.25">
      <c r="A338" s="8">
        <f>IF(COUNT($J$2:$J$1501)&gt;=337,337,"")</f>
        <v>337</v>
      </c>
      <c r="B338" s="8" t="str">
        <f t="shared" si="25"/>
        <v>Rodriguez David</v>
      </c>
      <c r="C338" s="8" t="str">
        <f t="shared" si="26"/>
        <v>Atlético de San Luis</v>
      </c>
      <c r="D338" s="8">
        <f t="shared" si="27"/>
        <v>0</v>
      </c>
      <c r="F338" s="4" t="str">
        <f>IF(Jugadores!B338="","",Jugadores!B338)</f>
        <v>Flores Leonardo</v>
      </c>
      <c r="G338" s="4" t="str">
        <f>IF(Jugadores!B338="","",Jugadores!A338)</f>
        <v>Atlético de San Luis</v>
      </c>
      <c r="H338" s="4">
        <f>IF(F338="","",SUMIF('Estadísticas Jugadores'!$F$2:$F$7001,F338,'Estadísticas Jugadores'!$J$2:$J$7001))</f>
        <v>1</v>
      </c>
      <c r="I338" s="4">
        <f t="shared" si="28"/>
        <v>999.99996620000002</v>
      </c>
      <c r="J338" s="4">
        <f t="shared" si="29"/>
        <v>15</v>
      </c>
    </row>
    <row r="339" spans="1:10" ht="15" customHeight="1" x14ac:dyDescent="0.25">
      <c r="A339" s="8">
        <f>IF(COUNT($J$2:$J$1501)&gt;=338,338,"")</f>
        <v>338</v>
      </c>
      <c r="B339" s="8" t="str">
        <f t="shared" si="25"/>
        <v>Salles-Lamonge Sebastien</v>
      </c>
      <c r="C339" s="8" t="str">
        <f t="shared" si="26"/>
        <v>Atlético de San Luis</v>
      </c>
      <c r="D339" s="8">
        <f t="shared" si="27"/>
        <v>0</v>
      </c>
      <c r="F339" s="4" t="str">
        <f>IF(Jugadores!B339="","",Jugadores!B339)</f>
        <v>Joao Pedro Galvao</v>
      </c>
      <c r="G339" s="4" t="str">
        <f>IF(Jugadores!B339="","",Jugadores!A339)</f>
        <v>Atlético de San Luis</v>
      </c>
      <c r="H339" s="4">
        <f>IF(F339="","",SUMIF('Estadísticas Jugadores'!$F$2:$F$7001,F339,'Estadísticas Jugadores'!$J$2:$J$7001))</f>
        <v>0</v>
      </c>
      <c r="I339" s="4">
        <f t="shared" si="28"/>
        <v>-3.3899999999999997E-5</v>
      </c>
      <c r="J339" s="4">
        <f t="shared" si="29"/>
        <v>340</v>
      </c>
    </row>
    <row r="340" spans="1:10" ht="15" customHeight="1" x14ac:dyDescent="0.25">
      <c r="A340" s="8">
        <f>IF(COUNT($J$2:$J$1501)&gt;=339,339,"")</f>
        <v>339</v>
      </c>
      <c r="B340" s="8" t="str">
        <f t="shared" si="25"/>
        <v>Duarte Anderson</v>
      </c>
      <c r="C340" s="8" t="str">
        <f t="shared" si="26"/>
        <v>Atlético de San Luis</v>
      </c>
      <c r="D340" s="8">
        <f t="shared" si="27"/>
        <v>0</v>
      </c>
      <c r="F340" s="4" t="str">
        <f>IF(Jugadores!B340="","",Jugadores!B340)</f>
        <v>Llorente Rafa</v>
      </c>
      <c r="G340" s="4" t="str">
        <f>IF(Jugadores!B340="","",Jugadores!A340)</f>
        <v>Atlético de San Luis</v>
      </c>
      <c r="H340" s="4">
        <f>IF(F340="","",SUMIF('Estadísticas Jugadores'!$F$2:$F$7001,F340,'Estadísticas Jugadores'!$J$2:$J$7001))</f>
        <v>0</v>
      </c>
      <c r="I340" s="4">
        <f t="shared" si="28"/>
        <v>-3.4E-5</v>
      </c>
      <c r="J340" s="4">
        <f t="shared" si="29"/>
        <v>341</v>
      </c>
    </row>
    <row r="341" spans="1:10" ht="15" customHeight="1" x14ac:dyDescent="0.25">
      <c r="A341" s="8">
        <f>IF(COUNT($J$2:$J$1501)&gt;=340,340,"")</f>
        <v>340</v>
      </c>
      <c r="B341" s="8" t="str">
        <f t="shared" si="25"/>
        <v>Joao Pedro Galvao</v>
      </c>
      <c r="C341" s="8" t="str">
        <f t="shared" si="26"/>
        <v>Atlético de San Luis</v>
      </c>
      <c r="D341" s="8">
        <f t="shared" si="27"/>
        <v>0</v>
      </c>
      <c r="F341" s="4" t="str">
        <f>IF(Jugadores!B341="","",Jugadores!B341)</f>
        <v>Medina Jesus</v>
      </c>
      <c r="G341" s="4" t="str">
        <f>IF(Jugadores!B341="","",Jugadores!A341)</f>
        <v>Atlético de San Luis</v>
      </c>
      <c r="H341" s="4">
        <f>IF(F341="","",SUMIF('Estadísticas Jugadores'!$F$2:$F$7001,F341,'Estadísticas Jugadores'!$J$2:$J$7001))</f>
        <v>0</v>
      </c>
      <c r="I341" s="4">
        <f t="shared" si="28"/>
        <v>-3.4099999999999995E-5</v>
      </c>
      <c r="J341" s="4">
        <f t="shared" si="29"/>
        <v>342</v>
      </c>
    </row>
    <row r="342" spans="1:10" ht="15" customHeight="1" x14ac:dyDescent="0.25">
      <c r="A342" s="8">
        <f>IF(COUNT($J$2:$J$1501)&gt;=341,341,"")</f>
        <v>341</v>
      </c>
      <c r="B342" s="8" t="str">
        <f t="shared" si="25"/>
        <v>Llorente Rafa</v>
      </c>
      <c r="C342" s="8" t="str">
        <f t="shared" si="26"/>
        <v>Atlético de San Luis</v>
      </c>
      <c r="D342" s="8">
        <f t="shared" si="27"/>
        <v>0</v>
      </c>
      <c r="F342" s="4" t="str">
        <f>IF(Jugadores!B342="","",Jugadores!B342)</f>
        <v>Muñoz Santiago</v>
      </c>
      <c r="G342" s="4" t="str">
        <f>IF(Jugadores!B342="","",Jugadores!A342)</f>
        <v>Atlético de San Luis</v>
      </c>
      <c r="H342" s="4">
        <f>IF(F342="","",SUMIF('Estadísticas Jugadores'!$F$2:$F$7001,F342,'Estadísticas Jugadores'!$J$2:$J$7001))</f>
        <v>0</v>
      </c>
      <c r="I342" s="4">
        <f t="shared" si="28"/>
        <v>-3.4199999999999998E-5</v>
      </c>
      <c r="J342" s="4">
        <f t="shared" si="29"/>
        <v>343</v>
      </c>
    </row>
    <row r="343" spans="1:10" ht="15" customHeight="1" x14ac:dyDescent="0.25">
      <c r="A343" s="8">
        <f>IF(COUNT($J$2:$J$1501)&gt;=342,342,"")</f>
        <v>342</v>
      </c>
      <c r="B343" s="8" t="str">
        <f t="shared" si="25"/>
        <v>Medina Jesus</v>
      </c>
      <c r="C343" s="8" t="str">
        <f t="shared" si="26"/>
        <v>Atlético de San Luis</v>
      </c>
      <c r="D343" s="8">
        <f t="shared" si="27"/>
        <v>0</v>
      </c>
      <c r="F343" s="4" t="str">
        <f>IF(Jugadores!B343="","",Jugadores!B343)</f>
        <v>Najera Ronaldo</v>
      </c>
      <c r="G343" s="4" t="str">
        <f>IF(Jugadores!B343="","",Jugadores!A343)</f>
        <v>Atlético de San Luis</v>
      </c>
      <c r="H343" s="4">
        <f>IF(F343="","",SUMIF('Estadísticas Jugadores'!$F$2:$F$7001,F343,'Estadísticas Jugadores'!$J$2:$J$7001))</f>
        <v>0</v>
      </c>
      <c r="I343" s="4">
        <f t="shared" si="28"/>
        <v>-3.43E-5</v>
      </c>
      <c r="J343" s="4">
        <f t="shared" si="29"/>
        <v>344</v>
      </c>
    </row>
    <row r="344" spans="1:10" ht="15" customHeight="1" x14ac:dyDescent="0.25">
      <c r="A344" s="8">
        <f>IF(COUNT($J$2:$J$1501)&gt;=343,343,"")</f>
        <v>343</v>
      </c>
      <c r="B344" s="8" t="str">
        <f t="shared" si="25"/>
        <v>Muñoz Santiago</v>
      </c>
      <c r="C344" s="8" t="str">
        <f t="shared" si="26"/>
        <v>Atlético de San Luis</v>
      </c>
      <c r="D344" s="8">
        <f t="shared" si="27"/>
        <v>0</v>
      </c>
      <c r="F344" s="4" t="str">
        <f>IF(Jugadores!B344="","",Jugadores!B344)</f>
        <v>Garcia Jordan</v>
      </c>
      <c r="G344" s="4" t="str">
        <f>IF(Jugadores!B344="","",Jugadores!A344)</f>
        <v>León</v>
      </c>
      <c r="H344" s="4">
        <f>IF(F344="","",SUMIF('Estadísticas Jugadores'!$F$2:$F$7001,F344,'Estadísticas Jugadores'!$J$2:$J$7001))</f>
        <v>0</v>
      </c>
      <c r="I344" s="4">
        <f t="shared" si="28"/>
        <v>-3.4399999999999996E-5</v>
      </c>
      <c r="J344" s="4">
        <f t="shared" si="29"/>
        <v>345</v>
      </c>
    </row>
    <row r="345" spans="1:10" ht="15" customHeight="1" x14ac:dyDescent="0.25">
      <c r="A345" s="8">
        <f>IF(COUNT($J$2:$J$1501)&gt;=344,344,"")</f>
        <v>344</v>
      </c>
      <c r="B345" s="8" t="str">
        <f t="shared" si="25"/>
        <v>Najera Ronaldo</v>
      </c>
      <c r="C345" s="8" t="str">
        <f t="shared" si="26"/>
        <v>Atlético de San Luis</v>
      </c>
      <c r="D345" s="8">
        <f t="shared" si="27"/>
        <v>0</v>
      </c>
      <c r="F345" s="4" t="str">
        <f>IF(Jugadores!B345="","",Jugadores!B345)</f>
        <v>Garcia Oscar</v>
      </c>
      <c r="G345" s="4" t="str">
        <f>IF(Jugadores!B345="","",Jugadores!A345)</f>
        <v>León</v>
      </c>
      <c r="H345" s="4">
        <f>IF(F345="","",SUMIF('Estadísticas Jugadores'!$F$2:$F$7001,F345,'Estadísticas Jugadores'!$J$2:$J$7001))</f>
        <v>0</v>
      </c>
      <c r="I345" s="4">
        <f t="shared" si="28"/>
        <v>-3.4499999999999998E-5</v>
      </c>
      <c r="J345" s="4">
        <f t="shared" si="29"/>
        <v>346</v>
      </c>
    </row>
    <row r="346" spans="1:10" ht="15" customHeight="1" x14ac:dyDescent="0.25">
      <c r="A346" s="8">
        <f>IF(COUNT($J$2:$J$1501)&gt;=345,345,"")</f>
        <v>345</v>
      </c>
      <c r="B346" s="8" t="str">
        <f t="shared" si="25"/>
        <v>Garcia Jordan</v>
      </c>
      <c r="C346" s="8" t="str">
        <f t="shared" si="26"/>
        <v>León</v>
      </c>
      <c r="D346" s="8">
        <f t="shared" si="27"/>
        <v>0</v>
      </c>
      <c r="F346" s="4" t="str">
        <f>IF(Jugadores!B346="","",Jugadores!B346)</f>
        <v>Barreiro Stiven</v>
      </c>
      <c r="G346" s="4" t="str">
        <f>IF(Jugadores!B346="","",Jugadores!A346)</f>
        <v>León</v>
      </c>
      <c r="H346" s="4">
        <f>IF(F346="","",SUMIF('Estadísticas Jugadores'!$F$2:$F$7001,F346,'Estadísticas Jugadores'!$J$2:$J$7001))</f>
        <v>0</v>
      </c>
      <c r="I346" s="4">
        <f t="shared" si="28"/>
        <v>-3.4600000000000001E-5</v>
      </c>
      <c r="J346" s="4">
        <f t="shared" si="29"/>
        <v>347</v>
      </c>
    </row>
    <row r="347" spans="1:10" ht="15" customHeight="1" x14ac:dyDescent="0.25">
      <c r="A347" s="8">
        <f>IF(COUNT($J$2:$J$1501)&gt;=346,346,"")</f>
        <v>346</v>
      </c>
      <c r="B347" s="8" t="str">
        <f t="shared" si="25"/>
        <v>Garcia Oscar</v>
      </c>
      <c r="C347" s="8" t="str">
        <f t="shared" si="26"/>
        <v>León</v>
      </c>
      <c r="D347" s="8">
        <f t="shared" si="27"/>
        <v>0</v>
      </c>
      <c r="F347" s="4" t="str">
        <f>IF(Jugadores!B347="","",Jugadores!B347)</f>
        <v>Bellon Paul</v>
      </c>
      <c r="G347" s="4" t="str">
        <f>IF(Jugadores!B347="","",Jugadores!A347)</f>
        <v>León</v>
      </c>
      <c r="H347" s="4">
        <f>IF(F347="","",SUMIF('Estadísticas Jugadores'!$F$2:$F$7001,F347,'Estadísticas Jugadores'!$J$2:$J$7001))</f>
        <v>0</v>
      </c>
      <c r="I347" s="4">
        <f t="shared" si="28"/>
        <v>-3.4699999999999996E-5</v>
      </c>
      <c r="J347" s="4">
        <f t="shared" si="29"/>
        <v>348</v>
      </c>
    </row>
    <row r="348" spans="1:10" ht="15" customHeight="1" x14ac:dyDescent="0.25">
      <c r="A348" s="8">
        <f>IF(COUNT($J$2:$J$1501)&gt;=347,347,"")</f>
        <v>347</v>
      </c>
      <c r="B348" s="8" t="str">
        <f t="shared" si="25"/>
        <v>Barreiro Stiven</v>
      </c>
      <c r="C348" s="8" t="str">
        <f t="shared" si="26"/>
        <v>León</v>
      </c>
      <c r="D348" s="8">
        <f t="shared" si="27"/>
        <v>0</v>
      </c>
      <c r="F348" s="4" t="str">
        <f>IF(Jugadores!B348="","",Jugadores!B348)</f>
        <v>Colula Bryan</v>
      </c>
      <c r="G348" s="4" t="str">
        <f>IF(Jugadores!B348="","",Jugadores!A348)</f>
        <v>León</v>
      </c>
      <c r="H348" s="4">
        <f>IF(F348="","",SUMIF('Estadísticas Jugadores'!$F$2:$F$7001,F348,'Estadísticas Jugadores'!$J$2:$J$7001))</f>
        <v>0</v>
      </c>
      <c r="I348" s="4">
        <f t="shared" si="28"/>
        <v>-3.4799999999999999E-5</v>
      </c>
      <c r="J348" s="4">
        <f t="shared" si="29"/>
        <v>349</v>
      </c>
    </row>
    <row r="349" spans="1:10" ht="15" customHeight="1" x14ac:dyDescent="0.25">
      <c r="A349" s="8">
        <f>IF(COUNT($J$2:$J$1501)&gt;=348,348,"")</f>
        <v>348</v>
      </c>
      <c r="B349" s="8" t="str">
        <f t="shared" si="25"/>
        <v>Bellon Paul</v>
      </c>
      <c r="C349" s="8" t="str">
        <f t="shared" si="26"/>
        <v>León</v>
      </c>
      <c r="D349" s="8">
        <f t="shared" si="27"/>
        <v>0</v>
      </c>
      <c r="F349" s="4" t="str">
        <f>IF(Jugadores!B349="","",Jugadores!B349)</f>
        <v>Gauthier Valentin</v>
      </c>
      <c r="G349" s="4" t="str">
        <f>IF(Jugadores!B349="","",Jugadores!A349)</f>
        <v>León</v>
      </c>
      <c r="H349" s="4">
        <f>IF(F349="","",SUMIF('Estadísticas Jugadores'!$F$2:$F$7001,F349,'Estadísticas Jugadores'!$J$2:$J$7001))</f>
        <v>0</v>
      </c>
      <c r="I349" s="4">
        <f t="shared" si="28"/>
        <v>-3.4900000000000001E-5</v>
      </c>
      <c r="J349" s="4">
        <f t="shared" si="29"/>
        <v>350</v>
      </c>
    </row>
    <row r="350" spans="1:10" ht="15" customHeight="1" x14ac:dyDescent="0.25">
      <c r="A350" s="8">
        <f>IF(COUNT($J$2:$J$1501)&gt;=349,349,"")</f>
        <v>349</v>
      </c>
      <c r="B350" s="8" t="str">
        <f t="shared" si="25"/>
        <v>Colula Bryan</v>
      </c>
      <c r="C350" s="8" t="str">
        <f t="shared" si="26"/>
        <v>León</v>
      </c>
      <c r="D350" s="8">
        <f t="shared" si="27"/>
        <v>0</v>
      </c>
      <c r="F350" s="4" t="str">
        <f>IF(Jugadores!B350="","",Jugadores!B350)</f>
        <v>Guevara Juan</v>
      </c>
      <c r="G350" s="4" t="str">
        <f>IF(Jugadores!B350="","",Jugadores!A350)</f>
        <v>León</v>
      </c>
      <c r="H350" s="4">
        <f>IF(F350="","",SUMIF('Estadísticas Jugadores'!$F$2:$F$7001,F350,'Estadísticas Jugadores'!$J$2:$J$7001))</f>
        <v>0</v>
      </c>
      <c r="I350" s="4">
        <f t="shared" si="28"/>
        <v>-3.4999999999999997E-5</v>
      </c>
      <c r="J350" s="4">
        <f t="shared" si="29"/>
        <v>351</v>
      </c>
    </row>
    <row r="351" spans="1:10" ht="15" customHeight="1" x14ac:dyDescent="0.25">
      <c r="A351" s="8">
        <f>IF(COUNT($J$2:$J$1501)&gt;=350,350,"")</f>
        <v>350</v>
      </c>
      <c r="B351" s="8" t="str">
        <f t="shared" si="25"/>
        <v>Gauthier Valentin</v>
      </c>
      <c r="C351" s="8" t="str">
        <f t="shared" si="26"/>
        <v>León</v>
      </c>
      <c r="D351" s="8">
        <f t="shared" si="27"/>
        <v>0</v>
      </c>
      <c r="F351" s="4" t="str">
        <f>IF(Jugadores!B351="","",Jugadores!B351)</f>
        <v>Mora Christopher</v>
      </c>
      <c r="G351" s="4" t="str">
        <f>IF(Jugadores!B351="","",Jugadores!A351)</f>
        <v>León</v>
      </c>
      <c r="H351" s="4">
        <f>IF(F351="","",SUMIF('Estadísticas Jugadores'!$F$2:$F$7001,F351,'Estadísticas Jugadores'!$J$2:$J$7001))</f>
        <v>0</v>
      </c>
      <c r="I351" s="4">
        <f t="shared" si="28"/>
        <v>-3.5099999999999999E-5</v>
      </c>
      <c r="J351" s="4">
        <f t="shared" si="29"/>
        <v>352</v>
      </c>
    </row>
    <row r="352" spans="1:10" ht="15" customHeight="1" x14ac:dyDescent="0.25">
      <c r="A352" s="8">
        <f>IF(COUNT($J$2:$J$1501)&gt;=351,351,"")</f>
        <v>351</v>
      </c>
      <c r="B352" s="8" t="str">
        <f t="shared" si="25"/>
        <v>Guevara Juan</v>
      </c>
      <c r="C352" s="8" t="str">
        <f t="shared" si="26"/>
        <v>León</v>
      </c>
      <c r="D352" s="8">
        <f t="shared" si="27"/>
        <v>0</v>
      </c>
      <c r="F352" s="4" t="str">
        <f>IF(Jugadores!B352="","",Jugadores!B352)</f>
        <v>Ramirez David</v>
      </c>
      <c r="G352" s="4" t="str">
        <f>IF(Jugadores!B352="","",Jugadores!A352)</f>
        <v>León</v>
      </c>
      <c r="H352" s="4">
        <f>IF(F352="","",SUMIF('Estadísticas Jugadores'!$F$2:$F$7001,F352,'Estadísticas Jugadores'!$J$2:$J$7001))</f>
        <v>0</v>
      </c>
      <c r="I352" s="4">
        <f t="shared" si="28"/>
        <v>-3.5200000000000002E-5</v>
      </c>
      <c r="J352" s="4">
        <f t="shared" si="29"/>
        <v>353</v>
      </c>
    </row>
    <row r="353" spans="1:10" ht="15" customHeight="1" x14ac:dyDescent="0.25">
      <c r="A353" s="8">
        <f>IF(COUNT($J$2:$J$1501)&gt;=352,352,"")</f>
        <v>352</v>
      </c>
      <c r="B353" s="8" t="str">
        <f t="shared" si="25"/>
        <v>Mora Christopher</v>
      </c>
      <c r="C353" s="8" t="str">
        <f t="shared" si="26"/>
        <v>León</v>
      </c>
      <c r="D353" s="8">
        <f t="shared" si="27"/>
        <v>0</v>
      </c>
      <c r="F353" s="4" t="str">
        <f>IF(Jugadores!B353="","",Jugadores!B353)</f>
        <v>Reyes Salvador</v>
      </c>
      <c r="G353" s="4" t="str">
        <f>IF(Jugadores!B353="","",Jugadores!A353)</f>
        <v>León</v>
      </c>
      <c r="H353" s="4">
        <f>IF(F353="","",SUMIF('Estadísticas Jugadores'!$F$2:$F$7001,F353,'Estadísticas Jugadores'!$J$2:$J$7001))</f>
        <v>0</v>
      </c>
      <c r="I353" s="4">
        <f t="shared" si="28"/>
        <v>-3.5299999999999997E-5</v>
      </c>
      <c r="J353" s="4">
        <f t="shared" si="29"/>
        <v>354</v>
      </c>
    </row>
    <row r="354" spans="1:10" ht="15" customHeight="1" x14ac:dyDescent="0.25">
      <c r="A354" s="8">
        <f>IF(COUNT($J$2:$J$1501)&gt;=353,353,"")</f>
        <v>353</v>
      </c>
      <c r="B354" s="8" t="str">
        <f t="shared" si="25"/>
        <v>Ramirez David</v>
      </c>
      <c r="C354" s="8" t="str">
        <f t="shared" si="26"/>
        <v>León</v>
      </c>
      <c r="D354" s="8">
        <f t="shared" si="27"/>
        <v>0</v>
      </c>
      <c r="F354" s="4" t="str">
        <f>IF(Jugadores!B354="","",Jugadores!B354)</f>
        <v>Romana Jhohan</v>
      </c>
      <c r="G354" s="4" t="str">
        <f>IF(Jugadores!B354="","",Jugadores!A354)</f>
        <v>León</v>
      </c>
      <c r="H354" s="4">
        <f>IF(F354="","",SUMIF('Estadísticas Jugadores'!$F$2:$F$7001,F354,'Estadísticas Jugadores'!$J$2:$J$7001))</f>
        <v>0</v>
      </c>
      <c r="I354" s="4">
        <f t="shared" si="28"/>
        <v>-3.54E-5</v>
      </c>
      <c r="J354" s="4">
        <f t="shared" si="29"/>
        <v>355</v>
      </c>
    </row>
    <row r="355" spans="1:10" ht="15" customHeight="1" x14ac:dyDescent="0.25">
      <c r="A355" s="8">
        <f>IF(COUNT($J$2:$J$1501)&gt;=354,354,"")</f>
        <v>354</v>
      </c>
      <c r="B355" s="8" t="str">
        <f t="shared" si="25"/>
        <v>Reyes Salvador</v>
      </c>
      <c r="C355" s="8" t="str">
        <f t="shared" si="26"/>
        <v>León</v>
      </c>
      <c r="D355" s="8">
        <f t="shared" si="27"/>
        <v>0</v>
      </c>
      <c r="F355" s="4" t="str">
        <f>IF(Jugadores!B355="","",Jugadores!B355)</f>
        <v>Vegas Sebastian</v>
      </c>
      <c r="G355" s="4" t="str">
        <f>IF(Jugadores!B355="","",Jugadores!A355)</f>
        <v>León</v>
      </c>
      <c r="H355" s="4">
        <f>IF(F355="","",SUMIF('Estadísticas Jugadores'!$F$2:$F$7001,F355,'Estadísticas Jugadores'!$J$2:$J$7001))</f>
        <v>0</v>
      </c>
      <c r="I355" s="4">
        <f t="shared" si="28"/>
        <v>-3.5499999999999996E-5</v>
      </c>
      <c r="J355" s="4">
        <f t="shared" si="29"/>
        <v>356</v>
      </c>
    </row>
    <row r="356" spans="1:10" ht="15" customHeight="1" x14ac:dyDescent="0.25">
      <c r="A356" s="8">
        <f>IF(COUNT($J$2:$J$1501)&gt;=355,355,"")</f>
        <v>355</v>
      </c>
      <c r="B356" s="8" t="str">
        <f t="shared" si="25"/>
        <v>Romana Jhohan</v>
      </c>
      <c r="C356" s="8" t="str">
        <f t="shared" si="26"/>
        <v>León</v>
      </c>
      <c r="D356" s="8">
        <f t="shared" si="27"/>
        <v>0</v>
      </c>
      <c r="F356" s="4" t="str">
        <f>IF(Jugadores!B356="","",Jugadores!B356)</f>
        <v>Villegas Abraham</v>
      </c>
      <c r="G356" s="4" t="str">
        <f>IF(Jugadores!B356="","",Jugadores!A356)</f>
        <v>León</v>
      </c>
      <c r="H356" s="4">
        <f>IF(F356="","",SUMIF('Estadísticas Jugadores'!$F$2:$F$7001,F356,'Estadísticas Jugadores'!$J$2:$J$7001))</f>
        <v>0</v>
      </c>
      <c r="I356" s="4">
        <f t="shared" si="28"/>
        <v>-3.5599999999999998E-5</v>
      </c>
      <c r="J356" s="4">
        <f t="shared" si="29"/>
        <v>357</v>
      </c>
    </row>
    <row r="357" spans="1:10" ht="15" customHeight="1" x14ac:dyDescent="0.25">
      <c r="A357" s="8">
        <f>IF(COUNT($J$2:$J$1501)&gt;=356,356,"")</f>
        <v>356</v>
      </c>
      <c r="B357" s="8" t="str">
        <f t="shared" si="25"/>
        <v>Vegas Sebastian</v>
      </c>
      <c r="C357" s="8" t="str">
        <f t="shared" si="26"/>
        <v>León</v>
      </c>
      <c r="D357" s="8">
        <f t="shared" si="27"/>
        <v>0</v>
      </c>
      <c r="F357" s="4" t="str">
        <f>IF(Jugadores!B357="","",Jugadores!B357)</f>
        <v>Arcila Daniel</v>
      </c>
      <c r="G357" s="4" t="str">
        <f>IF(Jugadores!B357="","",Jugadores!A357)</f>
        <v>León</v>
      </c>
      <c r="H357" s="4">
        <f>IF(F357="","",SUMIF('Estadísticas Jugadores'!$F$2:$F$7001,F357,'Estadísticas Jugadores'!$J$2:$J$7001))</f>
        <v>0</v>
      </c>
      <c r="I357" s="4">
        <f t="shared" si="28"/>
        <v>-3.57E-5</v>
      </c>
      <c r="J357" s="4">
        <f t="shared" si="29"/>
        <v>358</v>
      </c>
    </row>
    <row r="358" spans="1:10" ht="15" customHeight="1" x14ac:dyDescent="0.25">
      <c r="A358" s="8">
        <f>IF(COUNT($J$2:$J$1501)&gt;=357,357,"")</f>
        <v>357</v>
      </c>
      <c r="B358" s="8" t="str">
        <f t="shared" si="25"/>
        <v>Villegas Abraham</v>
      </c>
      <c r="C358" s="8" t="str">
        <f t="shared" si="26"/>
        <v>León</v>
      </c>
      <c r="D358" s="8">
        <f t="shared" si="27"/>
        <v>0</v>
      </c>
      <c r="F358" s="4" t="str">
        <f>IF(Jugadores!B358="","",Jugadores!B358)</f>
        <v>Beltran Cruz Fernando</v>
      </c>
      <c r="G358" s="4" t="str">
        <f>IF(Jugadores!B358="","",Jugadores!A358)</f>
        <v>León</v>
      </c>
      <c r="H358" s="4">
        <f>IF(F358="","",SUMIF('Estadísticas Jugadores'!$F$2:$F$7001,F358,'Estadísticas Jugadores'!$J$2:$J$7001))</f>
        <v>0</v>
      </c>
      <c r="I358" s="4">
        <f t="shared" si="28"/>
        <v>-3.5799999999999996E-5</v>
      </c>
      <c r="J358" s="4">
        <f t="shared" si="29"/>
        <v>359</v>
      </c>
    </row>
    <row r="359" spans="1:10" ht="15" customHeight="1" x14ac:dyDescent="0.25">
      <c r="A359" s="8">
        <f>IF(COUNT($J$2:$J$1501)&gt;=358,358,"")</f>
        <v>358</v>
      </c>
      <c r="B359" s="8" t="str">
        <f t="shared" si="25"/>
        <v>Arcila Daniel</v>
      </c>
      <c r="C359" s="8" t="str">
        <f t="shared" si="26"/>
        <v>León</v>
      </c>
      <c r="D359" s="8">
        <f t="shared" si="27"/>
        <v>0</v>
      </c>
      <c r="F359" s="4" t="str">
        <f>IF(Jugadores!B359="","",Jugadores!B359)</f>
        <v>Dominguez Chonteco Juan Pablo</v>
      </c>
      <c r="G359" s="4" t="str">
        <f>IF(Jugadores!B359="","",Jugadores!A359)</f>
        <v>León</v>
      </c>
      <c r="H359" s="4">
        <f>IF(F359="","",SUMIF('Estadísticas Jugadores'!$F$2:$F$7001,F359,'Estadísticas Jugadores'!$J$2:$J$7001))</f>
        <v>0</v>
      </c>
      <c r="I359" s="4">
        <f t="shared" si="28"/>
        <v>-3.5899999999999998E-5</v>
      </c>
      <c r="J359" s="4">
        <f t="shared" si="29"/>
        <v>360</v>
      </c>
    </row>
    <row r="360" spans="1:10" ht="15" customHeight="1" x14ac:dyDescent="0.25">
      <c r="A360" s="8">
        <f>IF(COUNT($J$2:$J$1501)&gt;=359,359,"")</f>
        <v>359</v>
      </c>
      <c r="B360" s="8" t="str">
        <f t="shared" si="25"/>
        <v>Beltran Cruz Fernando</v>
      </c>
      <c r="C360" s="8" t="str">
        <f t="shared" si="26"/>
        <v>León</v>
      </c>
      <c r="D360" s="8">
        <f t="shared" si="27"/>
        <v>0</v>
      </c>
      <c r="F360" s="4" t="str">
        <f>IF(Jugadores!B360="","",Jugadores!B360)</f>
        <v>Echeverria Rodrigo</v>
      </c>
      <c r="G360" s="4" t="str">
        <f>IF(Jugadores!B360="","",Jugadores!A360)</f>
        <v>León</v>
      </c>
      <c r="H360" s="4">
        <f>IF(F360="","",SUMIF('Estadísticas Jugadores'!$F$2:$F$7001,F360,'Estadísticas Jugadores'!$J$2:$J$7001))</f>
        <v>0</v>
      </c>
      <c r="I360" s="4">
        <f t="shared" si="28"/>
        <v>-3.6000000000000001E-5</v>
      </c>
      <c r="J360" s="4">
        <f t="shared" si="29"/>
        <v>361</v>
      </c>
    </row>
    <row r="361" spans="1:10" ht="15" customHeight="1" x14ac:dyDescent="0.25">
      <c r="A361" s="8">
        <f>IF(COUNT($J$2:$J$1501)&gt;=360,360,"")</f>
        <v>360</v>
      </c>
      <c r="B361" s="8" t="str">
        <f t="shared" si="25"/>
        <v>Dominguez Chonteco Juan Pablo</v>
      </c>
      <c r="C361" s="8" t="str">
        <f t="shared" si="26"/>
        <v>León</v>
      </c>
      <c r="D361" s="8">
        <f t="shared" si="27"/>
        <v>0</v>
      </c>
      <c r="F361" s="4" t="str">
        <f>IF(Jugadores!B361="","",Jugadores!B361)</f>
        <v>Estrada Angel</v>
      </c>
      <c r="G361" s="4" t="str">
        <f>IF(Jugadores!B361="","",Jugadores!A361)</f>
        <v>León</v>
      </c>
      <c r="H361" s="4">
        <f>IF(F361="","",SUMIF('Estadísticas Jugadores'!$F$2:$F$7001,F361,'Estadísticas Jugadores'!$J$2:$J$7001))</f>
        <v>0</v>
      </c>
      <c r="I361" s="4">
        <f t="shared" si="28"/>
        <v>-3.6099999999999997E-5</v>
      </c>
      <c r="J361" s="4">
        <f t="shared" si="29"/>
        <v>362</v>
      </c>
    </row>
    <row r="362" spans="1:10" ht="15" customHeight="1" x14ac:dyDescent="0.25">
      <c r="A362" s="8">
        <f>IF(COUNT($J$2:$J$1501)&gt;=361,361,"")</f>
        <v>361</v>
      </c>
      <c r="B362" s="8" t="str">
        <f t="shared" si="25"/>
        <v>Echeverria Rodrigo</v>
      </c>
      <c r="C362" s="8" t="str">
        <f t="shared" si="26"/>
        <v>León</v>
      </c>
      <c r="D362" s="8">
        <f t="shared" si="27"/>
        <v>0</v>
      </c>
      <c r="F362" s="4" t="str">
        <f>IF(Jugadores!B362="","",Jugadores!B362)</f>
        <v>Lara Jesús</v>
      </c>
      <c r="G362" s="4" t="str">
        <f>IF(Jugadores!B362="","",Jugadores!A362)</f>
        <v>León</v>
      </c>
      <c r="H362" s="4">
        <f>IF(F362="","",SUMIF('Estadísticas Jugadores'!$F$2:$F$7001,F362,'Estadísticas Jugadores'!$J$2:$J$7001))</f>
        <v>0</v>
      </c>
      <c r="I362" s="4">
        <f t="shared" si="28"/>
        <v>-3.6199999999999999E-5</v>
      </c>
      <c r="J362" s="4">
        <f t="shared" si="29"/>
        <v>363</v>
      </c>
    </row>
    <row r="363" spans="1:10" ht="15" customHeight="1" x14ac:dyDescent="0.25">
      <c r="A363" s="8">
        <f>IF(COUNT($J$2:$J$1501)&gt;=362,362,"")</f>
        <v>362</v>
      </c>
      <c r="B363" s="8" t="str">
        <f t="shared" si="25"/>
        <v>Estrada Angel</v>
      </c>
      <c r="C363" s="8" t="str">
        <f t="shared" si="26"/>
        <v>León</v>
      </c>
      <c r="D363" s="8">
        <f t="shared" si="27"/>
        <v>0</v>
      </c>
      <c r="F363" s="4" t="str">
        <f>IF(Jugadores!B363="","",Jugadores!B363)</f>
        <v>Rodriguez Ivan</v>
      </c>
      <c r="G363" s="4" t="str">
        <f>IF(Jugadores!B363="","",Jugadores!A363)</f>
        <v>León</v>
      </c>
      <c r="H363" s="4">
        <f>IF(F363="","",SUMIF('Estadísticas Jugadores'!$F$2:$F$7001,F363,'Estadísticas Jugadores'!$J$2:$J$7001))</f>
        <v>0</v>
      </c>
      <c r="I363" s="4">
        <f t="shared" si="28"/>
        <v>-3.6300000000000001E-5</v>
      </c>
      <c r="J363" s="4">
        <f t="shared" si="29"/>
        <v>364</v>
      </c>
    </row>
    <row r="364" spans="1:10" ht="15" customHeight="1" x14ac:dyDescent="0.25">
      <c r="A364" s="8">
        <f>IF(COUNT($J$2:$J$1501)&gt;=363,363,"")</f>
        <v>363</v>
      </c>
      <c r="B364" s="8" t="str">
        <f t="shared" si="25"/>
        <v>Lara Jesús</v>
      </c>
      <c r="C364" s="8" t="str">
        <f t="shared" si="26"/>
        <v>León</v>
      </c>
      <c r="D364" s="8">
        <f t="shared" si="27"/>
        <v>0</v>
      </c>
      <c r="F364" s="4" t="str">
        <f>IF(Jugadores!B364="","",Jugadores!B364)</f>
        <v>Santos Sebastian</v>
      </c>
      <c r="G364" s="4" t="str">
        <f>IF(Jugadores!B364="","",Jugadores!A364)</f>
        <v>León</v>
      </c>
      <c r="H364" s="4">
        <f>IF(F364="","",SUMIF('Estadísticas Jugadores'!$F$2:$F$7001,F364,'Estadísticas Jugadores'!$J$2:$J$7001))</f>
        <v>0</v>
      </c>
      <c r="I364" s="4">
        <f t="shared" si="28"/>
        <v>-3.6399999999999997E-5</v>
      </c>
      <c r="J364" s="4">
        <f t="shared" si="29"/>
        <v>365</v>
      </c>
    </row>
    <row r="365" spans="1:10" ht="15" customHeight="1" x14ac:dyDescent="0.25">
      <c r="A365" s="8">
        <f>IF(COUNT($J$2:$J$1501)&gt;=364,364,"")</f>
        <v>364</v>
      </c>
      <c r="B365" s="8" t="str">
        <f t="shared" si="25"/>
        <v>Rodriguez Ivan</v>
      </c>
      <c r="C365" s="8" t="str">
        <f t="shared" si="26"/>
        <v>León</v>
      </c>
      <c r="D365" s="8">
        <f t="shared" si="27"/>
        <v>0</v>
      </c>
      <c r="F365" s="4" t="str">
        <f>IF(Jugadores!B365="","",Jugadores!B365)</f>
        <v>Valadez Luis</v>
      </c>
      <c r="G365" s="4" t="str">
        <f>IF(Jugadores!B365="","",Jugadores!A365)</f>
        <v>León</v>
      </c>
      <c r="H365" s="4">
        <f>IF(F365="","",SUMIF('Estadísticas Jugadores'!$F$2:$F$7001,F365,'Estadísticas Jugadores'!$J$2:$J$7001))</f>
        <v>0</v>
      </c>
      <c r="I365" s="4">
        <f t="shared" si="28"/>
        <v>-3.65E-5</v>
      </c>
      <c r="J365" s="4">
        <f t="shared" si="29"/>
        <v>366</v>
      </c>
    </row>
    <row r="366" spans="1:10" ht="15" customHeight="1" x14ac:dyDescent="0.25">
      <c r="A366" s="8">
        <f>IF(COUNT($J$2:$J$1501)&gt;=365,365,"")</f>
        <v>365</v>
      </c>
      <c r="B366" s="8" t="str">
        <f t="shared" si="25"/>
        <v>Santos Sebastian</v>
      </c>
      <c r="C366" s="8" t="str">
        <f t="shared" si="26"/>
        <v>León</v>
      </c>
      <c r="D366" s="8">
        <f t="shared" si="27"/>
        <v>0</v>
      </c>
      <c r="F366" s="4" t="str">
        <f>IF(Jugadores!B366="","",Jugadores!B366)</f>
        <v>Alvarado Alfonso</v>
      </c>
      <c r="G366" s="4" t="str">
        <f>IF(Jugadores!B366="","",Jugadores!A366)</f>
        <v>León</v>
      </c>
      <c r="H366" s="4">
        <f>IF(F366="","",SUMIF('Estadísticas Jugadores'!$F$2:$F$7001,F366,'Estadísticas Jugadores'!$J$2:$J$7001))</f>
        <v>1</v>
      </c>
      <c r="I366" s="4">
        <f t="shared" si="28"/>
        <v>999.99996339999996</v>
      </c>
      <c r="J366" s="4">
        <f t="shared" si="29"/>
        <v>16</v>
      </c>
    </row>
    <row r="367" spans="1:10" ht="15" customHeight="1" x14ac:dyDescent="0.25">
      <c r="A367" s="8">
        <f>IF(COUNT($J$2:$J$1501)&gt;=366,366,"")</f>
        <v>366</v>
      </c>
      <c r="B367" s="8" t="str">
        <f t="shared" si="25"/>
        <v>Valadez Luis</v>
      </c>
      <c r="C367" s="8" t="str">
        <f t="shared" si="26"/>
        <v>León</v>
      </c>
      <c r="D367" s="8">
        <f t="shared" si="27"/>
        <v>0</v>
      </c>
      <c r="F367" s="4" t="str">
        <f>IF(Jugadores!B367="","",Jugadores!B367)</f>
        <v>Cambindo Abonia Diber Armando</v>
      </c>
      <c r="G367" s="4" t="str">
        <f>IF(Jugadores!B367="","",Jugadores!A367)</f>
        <v>León</v>
      </c>
      <c r="H367" s="4">
        <f>IF(F367="","",SUMIF('Estadísticas Jugadores'!$F$2:$F$7001,F367,'Estadísticas Jugadores'!$J$2:$J$7001))</f>
        <v>0</v>
      </c>
      <c r="I367" s="4">
        <f t="shared" si="28"/>
        <v>-3.6699999999999998E-5</v>
      </c>
      <c r="J367" s="4">
        <f t="shared" si="29"/>
        <v>367</v>
      </c>
    </row>
    <row r="368" spans="1:10" ht="15" customHeight="1" x14ac:dyDescent="0.25">
      <c r="A368" s="8">
        <f>IF(COUNT($J$2:$J$1501)&gt;=367,367,"")</f>
        <v>367</v>
      </c>
      <c r="B368" s="8" t="str">
        <f t="shared" si="25"/>
        <v>Cambindo Abonia Diber Armando</v>
      </c>
      <c r="C368" s="8" t="str">
        <f t="shared" si="26"/>
        <v>León</v>
      </c>
      <c r="D368" s="8">
        <f t="shared" si="27"/>
        <v>0</v>
      </c>
      <c r="F368" s="4" t="str">
        <f>IF(Jugadores!B368="","",Jugadores!B368)</f>
        <v>Cortizo Jordi</v>
      </c>
      <c r="G368" s="4" t="str">
        <f>IF(Jugadores!B368="","",Jugadores!A368)</f>
        <v>León</v>
      </c>
      <c r="H368" s="4">
        <f>IF(F368="","",SUMIF('Estadísticas Jugadores'!$F$2:$F$7001,F368,'Estadísticas Jugadores'!$J$2:$J$7001))</f>
        <v>0</v>
      </c>
      <c r="I368" s="4">
        <f t="shared" si="28"/>
        <v>-3.68E-5</v>
      </c>
      <c r="J368" s="4">
        <f t="shared" si="29"/>
        <v>368</v>
      </c>
    </row>
    <row r="369" spans="1:10" ht="15" customHeight="1" x14ac:dyDescent="0.25">
      <c r="A369" s="8">
        <f>IF(COUNT($J$2:$J$1501)&gt;=368,368,"")</f>
        <v>368</v>
      </c>
      <c r="B369" s="8" t="str">
        <f t="shared" si="25"/>
        <v>Cortizo Jordi</v>
      </c>
      <c r="C369" s="8" t="str">
        <f t="shared" si="26"/>
        <v>León</v>
      </c>
      <c r="D369" s="8">
        <f t="shared" si="27"/>
        <v>0</v>
      </c>
      <c r="F369" s="4" t="str">
        <f>IF(Jugadores!B369="","",Jugadores!B369)</f>
        <v>Diaz Ismael</v>
      </c>
      <c r="G369" s="4" t="str">
        <f>IF(Jugadores!B369="","",Jugadores!A369)</f>
        <v>León</v>
      </c>
      <c r="H369" s="4">
        <f>IF(F369="","",SUMIF('Estadísticas Jugadores'!$F$2:$F$7001,F369,'Estadísticas Jugadores'!$J$2:$J$7001))</f>
        <v>0</v>
      </c>
      <c r="I369" s="4">
        <f t="shared" si="28"/>
        <v>-3.6899999999999996E-5</v>
      </c>
      <c r="J369" s="4">
        <f t="shared" si="29"/>
        <v>369</v>
      </c>
    </row>
    <row r="370" spans="1:10" ht="15" customHeight="1" x14ac:dyDescent="0.25">
      <c r="A370" s="8">
        <f>IF(COUNT($J$2:$J$1501)&gt;=369,369,"")</f>
        <v>369</v>
      </c>
      <c r="B370" s="8" t="str">
        <f t="shared" si="25"/>
        <v>Diaz Ismael</v>
      </c>
      <c r="C370" s="8" t="str">
        <f t="shared" si="26"/>
        <v>León</v>
      </c>
      <c r="D370" s="8">
        <f t="shared" si="27"/>
        <v>0</v>
      </c>
      <c r="F370" s="4" t="str">
        <f>IF(Jugadores!B370="","",Jugadores!B370)</f>
        <v>Funes Mori Rogelio</v>
      </c>
      <c r="G370" s="4" t="str">
        <f>IF(Jugadores!B370="","",Jugadores!A370)</f>
        <v>León</v>
      </c>
      <c r="H370" s="4">
        <f>IF(F370="","",SUMIF('Estadísticas Jugadores'!$F$2:$F$7001,F370,'Estadísticas Jugadores'!$J$2:$J$7001))</f>
        <v>0</v>
      </c>
      <c r="I370" s="4">
        <f t="shared" si="28"/>
        <v>-3.6999999999999998E-5</v>
      </c>
      <c r="J370" s="4">
        <f t="shared" si="29"/>
        <v>370</v>
      </c>
    </row>
    <row r="371" spans="1:10" ht="15" customHeight="1" x14ac:dyDescent="0.25">
      <c r="A371" s="8">
        <f>IF(COUNT($J$2:$J$1501)&gt;=370,370,"")</f>
        <v>370</v>
      </c>
      <c r="B371" s="8" t="str">
        <f t="shared" si="25"/>
        <v>Funes Mori Rogelio</v>
      </c>
      <c r="C371" s="8" t="str">
        <f t="shared" si="26"/>
        <v>León</v>
      </c>
      <c r="D371" s="8">
        <f t="shared" si="27"/>
        <v>0</v>
      </c>
      <c r="F371" s="4" t="str">
        <f>IF(Jugadores!B371="","",Jugadores!B371)</f>
        <v>Guerra Edgar</v>
      </c>
      <c r="G371" s="4" t="str">
        <f>IF(Jugadores!B371="","",Jugadores!A371)</f>
        <v>León</v>
      </c>
      <c r="H371" s="4">
        <f>IF(F371="","",SUMIF('Estadísticas Jugadores'!$F$2:$F$7001,F371,'Estadísticas Jugadores'!$J$2:$J$7001))</f>
        <v>0</v>
      </c>
      <c r="I371" s="4">
        <f t="shared" si="28"/>
        <v>-3.7100000000000001E-5</v>
      </c>
      <c r="J371" s="4">
        <f t="shared" si="29"/>
        <v>371</v>
      </c>
    </row>
    <row r="372" spans="1:10" ht="15" customHeight="1" x14ac:dyDescent="0.25">
      <c r="A372" s="8">
        <f>IF(COUNT($J$2:$J$1501)&gt;=371,371,"")</f>
        <v>371</v>
      </c>
      <c r="B372" s="8" t="str">
        <f t="shared" si="25"/>
        <v>Guerra Edgar</v>
      </c>
      <c r="C372" s="8" t="str">
        <f t="shared" si="26"/>
        <v>León</v>
      </c>
      <c r="D372" s="8">
        <f t="shared" si="27"/>
        <v>0</v>
      </c>
      <c r="F372" s="4" t="str">
        <f>IF(Jugadores!B372="","",Jugadores!B372)</f>
        <v>Moreno Ivan</v>
      </c>
      <c r="G372" s="4" t="str">
        <f>IF(Jugadores!B372="","",Jugadores!A372)</f>
        <v>León</v>
      </c>
      <c r="H372" s="4">
        <f>IF(F372="","",SUMIF('Estadísticas Jugadores'!$F$2:$F$7001,F372,'Estadísticas Jugadores'!$J$2:$J$7001))</f>
        <v>0</v>
      </c>
      <c r="I372" s="4">
        <f t="shared" si="28"/>
        <v>-3.7199999999999996E-5</v>
      </c>
      <c r="J372" s="4">
        <f t="shared" si="29"/>
        <v>372</v>
      </c>
    </row>
    <row r="373" spans="1:10" ht="15" customHeight="1" x14ac:dyDescent="0.25">
      <c r="A373" s="8">
        <f>IF(COUNT($J$2:$J$1501)&gt;=372,372,"")</f>
        <v>372</v>
      </c>
      <c r="B373" s="8" t="str">
        <f t="shared" si="25"/>
        <v>Moreno Ivan</v>
      </c>
      <c r="C373" s="8" t="str">
        <f t="shared" si="26"/>
        <v>León</v>
      </c>
      <c r="D373" s="8">
        <f t="shared" si="27"/>
        <v>0</v>
      </c>
      <c r="F373" s="4" t="str">
        <f>IF(Jugadores!B373="","",Jugadores!B373)</f>
        <v>Barragán Roberto</v>
      </c>
      <c r="G373" s="4" t="str">
        <f>IF(Jugadores!B373="","",Jugadores!A373)</f>
        <v>Atlante</v>
      </c>
      <c r="H373" s="4">
        <f>IF(F373="","",SUMIF('Estadísticas Jugadores'!$F$2:$F$7001,F373,'Estadísticas Jugadores'!$J$2:$J$7001))</f>
        <v>0</v>
      </c>
      <c r="I373" s="4">
        <f t="shared" si="28"/>
        <v>-3.7299999999999999E-5</v>
      </c>
      <c r="J373" s="4">
        <f t="shared" si="29"/>
        <v>373</v>
      </c>
    </row>
    <row r="374" spans="1:10" ht="15" customHeight="1" x14ac:dyDescent="0.25">
      <c r="A374" s="8">
        <f>IF(COUNT($J$2:$J$1501)&gt;=373,373,"")</f>
        <v>373</v>
      </c>
      <c r="B374" s="8" t="str">
        <f t="shared" si="25"/>
        <v>Barragán Roberto</v>
      </c>
      <c r="C374" s="8" t="str">
        <f t="shared" si="26"/>
        <v>Atlante</v>
      </c>
      <c r="D374" s="8">
        <f t="shared" si="27"/>
        <v>0</v>
      </c>
      <c r="F374" s="4" t="str">
        <f>IF(Jugadores!B374="","",Jugadores!B374)</f>
        <v>Beltran Ronaldo</v>
      </c>
      <c r="G374" s="4" t="str">
        <f>IF(Jugadores!B374="","",Jugadores!A374)</f>
        <v>Atlante</v>
      </c>
      <c r="H374" s="4">
        <f>IF(F374="","",SUMIF('Estadísticas Jugadores'!$F$2:$F$7001,F374,'Estadísticas Jugadores'!$J$2:$J$7001))</f>
        <v>0</v>
      </c>
      <c r="I374" s="4">
        <f t="shared" si="28"/>
        <v>-3.7400000000000001E-5</v>
      </c>
      <c r="J374" s="4">
        <f t="shared" si="29"/>
        <v>374</v>
      </c>
    </row>
    <row r="375" spans="1:10" ht="15" customHeight="1" x14ac:dyDescent="0.25">
      <c r="A375" s="8">
        <f>IF(COUNT($J$2:$J$1501)&gt;=374,374,"")</f>
        <v>374</v>
      </c>
      <c r="B375" s="8" t="str">
        <f t="shared" si="25"/>
        <v>Beltran Ronaldo</v>
      </c>
      <c r="C375" s="8" t="str">
        <f t="shared" si="26"/>
        <v>Atlante</v>
      </c>
      <c r="D375" s="8">
        <f t="shared" si="27"/>
        <v>0</v>
      </c>
      <c r="F375" s="4" t="str">
        <f>IF(Jugadores!B375="","",Jugadores!B375)</f>
        <v>Jimenez Oscar</v>
      </c>
      <c r="G375" s="4" t="str">
        <f>IF(Jugadores!B375="","",Jugadores!A375)</f>
        <v>Atlante</v>
      </c>
      <c r="H375" s="4">
        <f>IF(F375="","",SUMIF('Estadísticas Jugadores'!$F$2:$F$7001,F375,'Estadísticas Jugadores'!$J$2:$J$7001))</f>
        <v>0</v>
      </c>
      <c r="I375" s="4">
        <f t="shared" si="28"/>
        <v>-3.7499999999999997E-5</v>
      </c>
      <c r="J375" s="4">
        <f t="shared" si="29"/>
        <v>375</v>
      </c>
    </row>
    <row r="376" spans="1:10" ht="15" customHeight="1" x14ac:dyDescent="0.25">
      <c r="A376" s="8">
        <f>IF(COUNT($J$2:$J$1501)&gt;=375,375,"")</f>
        <v>375</v>
      </c>
      <c r="B376" s="8" t="str">
        <f t="shared" si="25"/>
        <v>Jimenez Oscar</v>
      </c>
      <c r="C376" s="8" t="str">
        <f t="shared" si="26"/>
        <v>Atlante</v>
      </c>
      <c r="D376" s="8">
        <f t="shared" si="27"/>
        <v>0</v>
      </c>
      <c r="F376" s="4" t="str">
        <f>IF(Jugadores!B376="","",Jugadores!B376)</f>
        <v>Alfaro Cristobal</v>
      </c>
      <c r="G376" s="4" t="str">
        <f>IF(Jugadores!B376="","",Jugadores!A376)</f>
        <v>Atlante</v>
      </c>
      <c r="H376" s="4">
        <f>IF(F376="","",SUMIF('Estadísticas Jugadores'!$F$2:$F$7001,F376,'Estadísticas Jugadores'!$J$2:$J$7001))</f>
        <v>0</v>
      </c>
      <c r="I376" s="4">
        <f t="shared" si="28"/>
        <v>-3.7599999999999999E-5</v>
      </c>
      <c r="J376" s="4">
        <f t="shared" si="29"/>
        <v>376</v>
      </c>
    </row>
    <row r="377" spans="1:10" ht="15" customHeight="1" x14ac:dyDescent="0.25">
      <c r="A377" s="8">
        <f>IF(COUNT($J$2:$J$1501)&gt;=376,376,"")</f>
        <v>376</v>
      </c>
      <c r="B377" s="8" t="str">
        <f t="shared" si="25"/>
        <v>Alfaro Cristobal</v>
      </c>
      <c r="C377" s="8" t="str">
        <f t="shared" si="26"/>
        <v>Atlante</v>
      </c>
      <c r="D377" s="8">
        <f t="shared" si="27"/>
        <v>0</v>
      </c>
      <c r="F377" s="4" t="str">
        <f>IF(Jugadores!B377="","",Jugadores!B377)</f>
        <v>Bagui Tobar Diogo Osmar</v>
      </c>
      <c r="G377" s="4" t="str">
        <f>IF(Jugadores!B377="","",Jugadores!A377)</f>
        <v>Atlante</v>
      </c>
      <c r="H377" s="4">
        <f>IF(F377="","",SUMIF('Estadísticas Jugadores'!$F$2:$F$7001,F377,'Estadísticas Jugadores'!$J$2:$J$7001))</f>
        <v>0</v>
      </c>
      <c r="I377" s="4">
        <f t="shared" si="28"/>
        <v>-3.7700000000000002E-5</v>
      </c>
      <c r="J377" s="4">
        <f t="shared" si="29"/>
        <v>377</v>
      </c>
    </row>
    <row r="378" spans="1:10" ht="15" customHeight="1" x14ac:dyDescent="0.25">
      <c r="A378" s="8">
        <f>IF(COUNT($J$2:$J$1501)&gt;=377,377,"")</f>
        <v>377</v>
      </c>
      <c r="B378" s="8" t="str">
        <f t="shared" si="25"/>
        <v>Bagui Tobar Diogo Osmar</v>
      </c>
      <c r="C378" s="8" t="str">
        <f t="shared" si="26"/>
        <v>Atlante</v>
      </c>
      <c r="D378" s="8">
        <f t="shared" si="27"/>
        <v>0</v>
      </c>
      <c r="F378" s="4" t="str">
        <f>IF(Jugadores!B378="","",Jugadores!B378)</f>
        <v>Carrera Juan Nicolas</v>
      </c>
      <c r="G378" s="4" t="str">
        <f>IF(Jugadores!B378="","",Jugadores!A378)</f>
        <v>Atlante</v>
      </c>
      <c r="H378" s="4">
        <f>IF(F378="","",SUMIF('Estadísticas Jugadores'!$F$2:$F$7001,F378,'Estadísticas Jugadores'!$J$2:$J$7001))</f>
        <v>0</v>
      </c>
      <c r="I378" s="4">
        <f t="shared" si="28"/>
        <v>-3.7799999999999997E-5</v>
      </c>
      <c r="J378" s="4">
        <f t="shared" si="29"/>
        <v>378</v>
      </c>
    </row>
    <row r="379" spans="1:10" ht="15" customHeight="1" x14ac:dyDescent="0.25">
      <c r="A379" s="8">
        <f>IF(COUNT($J$2:$J$1501)&gt;=378,378,"")</f>
        <v>378</v>
      </c>
      <c r="B379" s="8" t="str">
        <f t="shared" si="25"/>
        <v>Carrera Juan Nicolas</v>
      </c>
      <c r="C379" s="8" t="str">
        <f t="shared" si="26"/>
        <v>Atlante</v>
      </c>
      <c r="D379" s="8">
        <f t="shared" si="27"/>
        <v>0</v>
      </c>
      <c r="F379" s="4" t="str">
        <f>IF(Jugadores!B379="","",Jugadores!B379)</f>
        <v>Espinoza Emiliano</v>
      </c>
      <c r="G379" s="4" t="str">
        <f>IF(Jugadores!B379="","",Jugadores!A379)</f>
        <v>Atlante</v>
      </c>
      <c r="H379" s="4">
        <f>IF(F379="","",SUMIF('Estadísticas Jugadores'!$F$2:$F$7001,F379,'Estadísticas Jugadores'!$J$2:$J$7001))</f>
        <v>0</v>
      </c>
      <c r="I379" s="4">
        <f t="shared" si="28"/>
        <v>-3.79E-5</v>
      </c>
      <c r="J379" s="4">
        <f t="shared" si="29"/>
        <v>379</v>
      </c>
    </row>
    <row r="380" spans="1:10" ht="15" customHeight="1" x14ac:dyDescent="0.25">
      <c r="A380" s="8">
        <f>IF(COUNT($J$2:$J$1501)&gt;=379,379,"")</f>
        <v>379</v>
      </c>
      <c r="B380" s="8" t="str">
        <f t="shared" si="25"/>
        <v>Espinoza Emiliano</v>
      </c>
      <c r="C380" s="8" t="str">
        <f t="shared" si="26"/>
        <v>Atlante</v>
      </c>
      <c r="D380" s="8">
        <f t="shared" si="27"/>
        <v>0</v>
      </c>
      <c r="F380" s="4" t="str">
        <f>IF(Jugadores!B380="","",Jugadores!B380)</f>
        <v>Padilla Axl</v>
      </c>
      <c r="G380" s="4" t="str">
        <f>IF(Jugadores!B380="","",Jugadores!A380)</f>
        <v>Atlante</v>
      </c>
      <c r="H380" s="4">
        <f>IF(F380="","",SUMIF('Estadísticas Jugadores'!$F$2:$F$7001,F380,'Estadísticas Jugadores'!$J$2:$J$7001))</f>
        <v>0</v>
      </c>
      <c r="I380" s="4">
        <f t="shared" si="28"/>
        <v>-3.7999999999999995E-5</v>
      </c>
      <c r="J380" s="4">
        <f t="shared" si="29"/>
        <v>380</v>
      </c>
    </row>
    <row r="381" spans="1:10" ht="15" customHeight="1" x14ac:dyDescent="0.25">
      <c r="A381" s="8">
        <f>IF(COUNT($J$2:$J$1501)&gt;=380,380,"")</f>
        <v>380</v>
      </c>
      <c r="B381" s="8" t="str">
        <f t="shared" si="25"/>
        <v>Padilla Axl</v>
      </c>
      <c r="C381" s="8" t="str">
        <f t="shared" si="26"/>
        <v>Atlante</v>
      </c>
      <c r="D381" s="8">
        <f t="shared" si="27"/>
        <v>0</v>
      </c>
      <c r="F381" s="4" t="str">
        <f>IF(Jugadores!B381="","",Jugadores!B381)</f>
        <v>Portales Walter</v>
      </c>
      <c r="G381" s="4" t="str">
        <f>IF(Jugadores!B381="","",Jugadores!A381)</f>
        <v>Atlante</v>
      </c>
      <c r="H381" s="4">
        <f>IF(F381="","",SUMIF('Estadísticas Jugadores'!$F$2:$F$7001,F381,'Estadísticas Jugadores'!$J$2:$J$7001))</f>
        <v>0</v>
      </c>
      <c r="I381" s="4">
        <f t="shared" si="28"/>
        <v>-3.8099999999999998E-5</v>
      </c>
      <c r="J381" s="4">
        <f t="shared" si="29"/>
        <v>381</v>
      </c>
    </row>
    <row r="382" spans="1:10" ht="15" customHeight="1" x14ac:dyDescent="0.25">
      <c r="A382" s="8">
        <f>IF(COUNT($J$2:$J$1501)&gt;=381,381,"")</f>
        <v>381</v>
      </c>
      <c r="B382" s="8" t="str">
        <f t="shared" si="25"/>
        <v>Portales Walter</v>
      </c>
      <c r="C382" s="8" t="str">
        <f t="shared" si="26"/>
        <v>Atlante</v>
      </c>
      <c r="D382" s="8">
        <f t="shared" si="27"/>
        <v>0</v>
      </c>
      <c r="F382" s="4" t="str">
        <f>IF(Jugadores!B382="","",Jugadores!B382)</f>
        <v>Sanchez Luis</v>
      </c>
      <c r="G382" s="4" t="str">
        <f>IF(Jugadores!B382="","",Jugadores!A382)</f>
        <v>Atlante</v>
      </c>
      <c r="H382" s="4">
        <f>IF(F382="","",SUMIF('Estadísticas Jugadores'!$F$2:$F$7001,F382,'Estadísticas Jugadores'!$J$2:$J$7001))</f>
        <v>0</v>
      </c>
      <c r="I382" s="4">
        <f t="shared" si="28"/>
        <v>-3.82E-5</v>
      </c>
      <c r="J382" s="4">
        <f t="shared" si="29"/>
        <v>382</v>
      </c>
    </row>
    <row r="383" spans="1:10" ht="15" customHeight="1" x14ac:dyDescent="0.25">
      <c r="A383" s="8">
        <f>IF(COUNT($J$2:$J$1501)&gt;=382,382,"")</f>
        <v>382</v>
      </c>
      <c r="B383" s="8" t="str">
        <f t="shared" si="25"/>
        <v>Sanchez Luis</v>
      </c>
      <c r="C383" s="8" t="str">
        <f t="shared" si="26"/>
        <v>Atlante</v>
      </c>
      <c r="D383" s="8">
        <f t="shared" si="27"/>
        <v>0</v>
      </c>
      <c r="F383" s="4" t="str">
        <f>IF(Jugadores!B383="","",Jugadores!B383)</f>
        <v>Tercero Mendez Eduardo Santiago</v>
      </c>
      <c r="G383" s="4" t="str">
        <f>IF(Jugadores!B383="","",Jugadores!A383)</f>
        <v>Atlante</v>
      </c>
      <c r="H383" s="4">
        <f>IF(F383="","",SUMIF('Estadísticas Jugadores'!$F$2:$F$7001,F383,'Estadísticas Jugadores'!$J$2:$J$7001))</f>
        <v>0</v>
      </c>
      <c r="I383" s="4">
        <f t="shared" si="28"/>
        <v>-3.8299999999999996E-5</v>
      </c>
      <c r="J383" s="4">
        <f t="shared" si="29"/>
        <v>383</v>
      </c>
    </row>
    <row r="384" spans="1:10" ht="15" customHeight="1" x14ac:dyDescent="0.25">
      <c r="A384" s="8">
        <f>IF(COUNT($J$2:$J$1501)&gt;=383,383,"")</f>
        <v>383</v>
      </c>
      <c r="B384" s="8" t="str">
        <f t="shared" si="25"/>
        <v>Tercero Mendez Eduardo Santiago</v>
      </c>
      <c r="C384" s="8" t="str">
        <f t="shared" si="26"/>
        <v>Atlante</v>
      </c>
      <c r="D384" s="8">
        <f t="shared" si="27"/>
        <v>0</v>
      </c>
      <c r="F384" s="4" t="str">
        <f>IF(Jugadores!B384="","",Jugadores!B384)</f>
        <v>Bermudez Christian</v>
      </c>
      <c r="G384" s="4" t="str">
        <f>IF(Jugadores!B384="","",Jugadores!A384)</f>
        <v>Atlante</v>
      </c>
      <c r="H384" s="4">
        <f>IF(F384="","",SUMIF('Estadísticas Jugadores'!$F$2:$F$7001,F384,'Estadísticas Jugadores'!$J$2:$J$7001))</f>
        <v>0</v>
      </c>
      <c r="I384" s="4">
        <f t="shared" si="28"/>
        <v>-3.8399999999999998E-5</v>
      </c>
      <c r="J384" s="4">
        <f t="shared" si="29"/>
        <v>384</v>
      </c>
    </row>
    <row r="385" spans="1:10" ht="15" customHeight="1" x14ac:dyDescent="0.25">
      <c r="A385" s="8">
        <f>IF(COUNT($J$2:$J$1501)&gt;=384,384,"")</f>
        <v>384</v>
      </c>
      <c r="B385" s="8" t="str">
        <f t="shared" si="25"/>
        <v>Bermudez Christian</v>
      </c>
      <c r="C385" s="8" t="str">
        <f t="shared" si="26"/>
        <v>Atlante</v>
      </c>
      <c r="D385" s="8">
        <f t="shared" si="27"/>
        <v>0</v>
      </c>
      <c r="F385" s="4" t="str">
        <f>IF(Jugadores!B385="","",Jugadores!B385)</f>
        <v>Clar Walter</v>
      </c>
      <c r="G385" s="4" t="str">
        <f>IF(Jugadores!B385="","",Jugadores!A385)</f>
        <v>Atlante</v>
      </c>
      <c r="H385" s="4">
        <f>IF(F385="","",SUMIF('Estadísticas Jugadores'!$F$2:$F$7001,F385,'Estadísticas Jugadores'!$J$2:$J$7001))</f>
        <v>0</v>
      </c>
      <c r="I385" s="4">
        <f t="shared" si="28"/>
        <v>-3.8500000000000001E-5</v>
      </c>
      <c r="J385" s="4">
        <f t="shared" si="29"/>
        <v>385</v>
      </c>
    </row>
    <row r="386" spans="1:10" ht="15" customHeight="1" x14ac:dyDescent="0.25">
      <c r="A386" s="8">
        <f>IF(COUNT($J$2:$J$1501)&gt;=385,385,"")</f>
        <v>385</v>
      </c>
      <c r="B386" s="8" t="str">
        <f t="shared" ref="B386:B449" si="30">IF($A386="","",INDEX($F$2:$F$1501,MATCH($A386,$J$2:$J$1501,0)))</f>
        <v>Clar Walter</v>
      </c>
      <c r="C386" s="8" t="str">
        <f t="shared" ref="C386:C449" si="31">IF($A386="","",INDEX($G$2:$G$1501,MATCH($A386,$J$2:$J$1501,0)))</f>
        <v>Atlante</v>
      </c>
      <c r="D386" s="8">
        <f t="shared" ref="D386:D449" si="32">IF($A386="","",INDEX($H$2:$H$1501,MATCH($A386,$J$2:$J$1501,0)))</f>
        <v>0</v>
      </c>
      <c r="F386" s="4" t="str">
        <f>IF(Jugadores!B386="","",Jugadores!B386)</f>
        <v>Escobar Armando</v>
      </c>
      <c r="G386" s="4" t="str">
        <f>IF(Jugadores!B386="","",Jugadores!A386)</f>
        <v>Atlante</v>
      </c>
      <c r="H386" s="4">
        <f>IF(F386="","",SUMIF('Estadísticas Jugadores'!$F$2:$F$7001,F386,'Estadísticas Jugadores'!$J$2:$J$7001))</f>
        <v>0</v>
      </c>
      <c r="I386" s="4">
        <f t="shared" ref="I386:I449" si="33">IF(F386="","",H386*1000-ROW()*0.0000001)</f>
        <v>-3.8599999999999996E-5</v>
      </c>
      <c r="J386" s="4">
        <f t="shared" ref="J386:J449" si="34">IF(F386="","",RANK(I386,$I$2:$I$1501))</f>
        <v>386</v>
      </c>
    </row>
    <row r="387" spans="1:10" ht="15" customHeight="1" x14ac:dyDescent="0.25">
      <c r="A387" s="8">
        <f>IF(COUNT($J$2:$J$1501)&gt;=386,386,"")</f>
        <v>386</v>
      </c>
      <c r="B387" s="8" t="str">
        <f t="shared" si="30"/>
        <v>Escobar Armando</v>
      </c>
      <c r="C387" s="8" t="str">
        <f t="shared" si="31"/>
        <v>Atlante</v>
      </c>
      <c r="D387" s="8">
        <f t="shared" si="32"/>
        <v>0</v>
      </c>
      <c r="F387" s="4" t="str">
        <f>IF(Jugadores!B387="","",Jugadores!B387)</f>
        <v>Fernández Martin</v>
      </c>
      <c r="G387" s="4" t="str">
        <f>IF(Jugadores!B387="","",Jugadores!A387)</f>
        <v>Atlante</v>
      </c>
      <c r="H387" s="4">
        <f>IF(F387="","",SUMIF('Estadísticas Jugadores'!$F$2:$F$7001,F387,'Estadísticas Jugadores'!$J$2:$J$7001))</f>
        <v>0</v>
      </c>
      <c r="I387" s="4">
        <f t="shared" si="33"/>
        <v>-3.8699999999999999E-5</v>
      </c>
      <c r="J387" s="4">
        <f t="shared" si="34"/>
        <v>387</v>
      </c>
    </row>
    <row r="388" spans="1:10" ht="15" customHeight="1" x14ac:dyDescent="0.25">
      <c r="A388" s="8">
        <f>IF(COUNT($J$2:$J$1501)&gt;=387,387,"")</f>
        <v>387</v>
      </c>
      <c r="B388" s="8" t="str">
        <f t="shared" si="30"/>
        <v>Fernández Martin</v>
      </c>
      <c r="C388" s="8" t="str">
        <f t="shared" si="31"/>
        <v>Atlante</v>
      </c>
      <c r="D388" s="8">
        <f t="shared" si="32"/>
        <v>0</v>
      </c>
      <c r="F388" s="4" t="str">
        <f>IF(Jugadores!B388="","",Jugadores!B388)</f>
        <v>Garcia Pardo Maximiliano</v>
      </c>
      <c r="G388" s="4" t="str">
        <f>IF(Jugadores!B388="","",Jugadores!A388)</f>
        <v>Atlante</v>
      </c>
      <c r="H388" s="4">
        <f>IF(F388="","",SUMIF('Estadísticas Jugadores'!$F$2:$F$7001,F388,'Estadísticas Jugadores'!$J$2:$J$7001))</f>
        <v>0</v>
      </c>
      <c r="I388" s="4">
        <f t="shared" si="33"/>
        <v>-3.8800000000000001E-5</v>
      </c>
      <c r="J388" s="4">
        <f t="shared" si="34"/>
        <v>388</v>
      </c>
    </row>
    <row r="389" spans="1:10" ht="15" customHeight="1" x14ac:dyDescent="0.25">
      <c r="A389" s="8">
        <f>IF(COUNT($J$2:$J$1501)&gt;=388,388,"")</f>
        <v>388</v>
      </c>
      <c r="B389" s="8" t="str">
        <f t="shared" si="30"/>
        <v>Garcia Pardo Maximiliano</v>
      </c>
      <c r="C389" s="8" t="str">
        <f t="shared" si="31"/>
        <v>Atlante</v>
      </c>
      <c r="D389" s="8">
        <f t="shared" si="32"/>
        <v>0</v>
      </c>
      <c r="F389" s="4" t="str">
        <f>IF(Jugadores!B389="","",Jugadores!B389)</f>
        <v>Ibarra de la Rosa Javier Eduardo</v>
      </c>
      <c r="G389" s="4" t="str">
        <f>IF(Jugadores!B389="","",Jugadores!A389)</f>
        <v>Atlante</v>
      </c>
      <c r="H389" s="4">
        <f>IF(F389="","",SUMIF('Estadísticas Jugadores'!$F$2:$F$7001,F389,'Estadísticas Jugadores'!$J$2:$J$7001))</f>
        <v>0</v>
      </c>
      <c r="I389" s="4">
        <f t="shared" si="33"/>
        <v>-3.8899999999999997E-5</v>
      </c>
      <c r="J389" s="4">
        <f t="shared" si="34"/>
        <v>389</v>
      </c>
    </row>
    <row r="390" spans="1:10" ht="15" customHeight="1" x14ac:dyDescent="0.25">
      <c r="A390" s="8">
        <f>IF(COUNT($J$2:$J$1501)&gt;=389,389,"")</f>
        <v>389</v>
      </c>
      <c r="B390" s="8" t="str">
        <f t="shared" si="30"/>
        <v>Ibarra de la Rosa Javier Eduardo</v>
      </c>
      <c r="C390" s="8" t="str">
        <f t="shared" si="31"/>
        <v>Atlante</v>
      </c>
      <c r="D390" s="8">
        <f t="shared" si="32"/>
        <v>0</v>
      </c>
      <c r="F390" s="4" t="str">
        <f>IF(Jugadores!B390="","",Jugadores!B390)</f>
        <v>Jhojan Julio</v>
      </c>
      <c r="G390" s="4" t="str">
        <f>IF(Jugadores!B390="","",Jugadores!A390)</f>
        <v>Atlante</v>
      </c>
      <c r="H390" s="4">
        <f>IF(F390="","",SUMIF('Estadísticas Jugadores'!$F$2:$F$7001,F390,'Estadísticas Jugadores'!$J$2:$J$7001))</f>
        <v>0</v>
      </c>
      <c r="I390" s="4">
        <f t="shared" si="33"/>
        <v>-3.8999999999999999E-5</v>
      </c>
      <c r="J390" s="4">
        <f t="shared" si="34"/>
        <v>390</v>
      </c>
    </row>
    <row r="391" spans="1:10" ht="15" customHeight="1" x14ac:dyDescent="0.25">
      <c r="A391" s="8">
        <f>IF(COUNT($J$2:$J$1501)&gt;=390,390,"")</f>
        <v>390</v>
      </c>
      <c r="B391" s="8" t="str">
        <f t="shared" si="30"/>
        <v>Jhojan Julio</v>
      </c>
      <c r="C391" s="8" t="str">
        <f t="shared" si="31"/>
        <v>Atlante</v>
      </c>
      <c r="D391" s="8">
        <f t="shared" si="32"/>
        <v>0</v>
      </c>
      <c r="F391" s="4" t="str">
        <f>IF(Jugadores!B391="","",Jugadores!B391)</f>
        <v>Mejia Leonardo</v>
      </c>
      <c r="G391" s="4" t="str">
        <f>IF(Jugadores!B391="","",Jugadores!A391)</f>
        <v>Atlante</v>
      </c>
      <c r="H391" s="4">
        <f>IF(F391="","",SUMIF('Estadísticas Jugadores'!$F$2:$F$7001,F391,'Estadísticas Jugadores'!$J$2:$J$7001))</f>
        <v>0</v>
      </c>
      <c r="I391" s="4">
        <f t="shared" si="33"/>
        <v>-3.9099999999999995E-5</v>
      </c>
      <c r="J391" s="4">
        <f t="shared" si="34"/>
        <v>391</v>
      </c>
    </row>
    <row r="392" spans="1:10" ht="15" customHeight="1" x14ac:dyDescent="0.25">
      <c r="A392" s="8">
        <f>IF(COUNT($J$2:$J$1501)&gt;=391,391,"")</f>
        <v>391</v>
      </c>
      <c r="B392" s="8" t="str">
        <f t="shared" si="30"/>
        <v>Mejia Leonardo</v>
      </c>
      <c r="C392" s="8" t="str">
        <f t="shared" si="31"/>
        <v>Atlante</v>
      </c>
      <c r="D392" s="8">
        <f t="shared" si="32"/>
        <v>0</v>
      </c>
      <c r="F392" s="4" t="str">
        <f>IF(Jugadores!B392="","",Jugadores!B392)</f>
        <v>Meza Hardy</v>
      </c>
      <c r="G392" s="4" t="str">
        <f>IF(Jugadores!B392="","",Jugadores!A392)</f>
        <v>Atlante</v>
      </c>
      <c r="H392" s="4">
        <f>IF(F392="","",SUMIF('Estadísticas Jugadores'!$F$2:$F$7001,F392,'Estadísticas Jugadores'!$J$2:$J$7001))</f>
        <v>0</v>
      </c>
      <c r="I392" s="4">
        <f t="shared" si="33"/>
        <v>-3.9199999999999997E-5</v>
      </c>
      <c r="J392" s="4">
        <f t="shared" si="34"/>
        <v>392</v>
      </c>
    </row>
    <row r="393" spans="1:10" ht="15" customHeight="1" x14ac:dyDescent="0.25">
      <c r="A393" s="8">
        <f>IF(COUNT($J$2:$J$1501)&gt;=392,392,"")</f>
        <v>392</v>
      </c>
      <c r="B393" s="8" t="str">
        <f t="shared" si="30"/>
        <v>Meza Hardy</v>
      </c>
      <c r="C393" s="8" t="str">
        <f t="shared" si="31"/>
        <v>Atlante</v>
      </c>
      <c r="D393" s="8">
        <f t="shared" si="32"/>
        <v>0</v>
      </c>
      <c r="F393" s="4" t="str">
        <f>IF(Jugadores!B393="","",Jugadores!B393)</f>
        <v>Pizzuto Eugenio</v>
      </c>
      <c r="G393" s="4" t="str">
        <f>IF(Jugadores!B393="","",Jugadores!A393)</f>
        <v>Atlante</v>
      </c>
      <c r="H393" s="4">
        <f>IF(F393="","",SUMIF('Estadísticas Jugadores'!$F$2:$F$7001,F393,'Estadísticas Jugadores'!$J$2:$J$7001))</f>
        <v>0</v>
      </c>
      <c r="I393" s="4">
        <f t="shared" si="33"/>
        <v>-3.93E-5</v>
      </c>
      <c r="J393" s="4">
        <f t="shared" si="34"/>
        <v>393</v>
      </c>
    </row>
    <row r="394" spans="1:10" ht="15" customHeight="1" x14ac:dyDescent="0.25">
      <c r="A394" s="8">
        <f>IF(COUNT($J$2:$J$1501)&gt;=393,393,"")</f>
        <v>393</v>
      </c>
      <c r="B394" s="8" t="str">
        <f t="shared" si="30"/>
        <v>Pizzuto Eugenio</v>
      </c>
      <c r="C394" s="8" t="str">
        <f t="shared" si="31"/>
        <v>Atlante</v>
      </c>
      <c r="D394" s="8">
        <f t="shared" si="32"/>
        <v>0</v>
      </c>
      <c r="F394" s="4" t="str">
        <f>IF(Jugadores!B394="","",Jugadores!B394)</f>
        <v>Urzua Alejandro</v>
      </c>
      <c r="G394" s="4" t="str">
        <f>IF(Jugadores!B394="","",Jugadores!A394)</f>
        <v>Atlante</v>
      </c>
      <c r="H394" s="4">
        <f>IF(F394="","",SUMIF('Estadísticas Jugadores'!$F$2:$F$7001,F394,'Estadísticas Jugadores'!$J$2:$J$7001))</f>
        <v>0</v>
      </c>
      <c r="I394" s="4">
        <f t="shared" si="33"/>
        <v>-3.9399999999999995E-5</v>
      </c>
      <c r="J394" s="4">
        <f t="shared" si="34"/>
        <v>394</v>
      </c>
    </row>
    <row r="395" spans="1:10" ht="15" customHeight="1" x14ac:dyDescent="0.25">
      <c r="A395" s="8">
        <f>IF(COUNT($J$2:$J$1501)&gt;=394,394,"")</f>
        <v>394</v>
      </c>
      <c r="B395" s="8" t="str">
        <f t="shared" si="30"/>
        <v>Urzua Alejandro</v>
      </c>
      <c r="C395" s="8" t="str">
        <f t="shared" si="31"/>
        <v>Atlante</v>
      </c>
      <c r="D395" s="8">
        <f t="shared" si="32"/>
        <v>0</v>
      </c>
      <c r="F395" s="4" t="str">
        <f>IF(Jugadores!B395="","",Jugadores!B395)</f>
        <v>Vazquez Octavio</v>
      </c>
      <c r="G395" s="4" t="str">
        <f>IF(Jugadores!B395="","",Jugadores!A395)</f>
        <v>Atlante</v>
      </c>
      <c r="H395" s="4">
        <f>IF(F395="","",SUMIF('Estadísticas Jugadores'!$F$2:$F$7001,F395,'Estadísticas Jugadores'!$J$2:$J$7001))</f>
        <v>0</v>
      </c>
      <c r="I395" s="4">
        <f t="shared" si="33"/>
        <v>-3.9499999999999998E-5</v>
      </c>
      <c r="J395" s="4">
        <f t="shared" si="34"/>
        <v>395</v>
      </c>
    </row>
    <row r="396" spans="1:10" ht="15" customHeight="1" x14ac:dyDescent="0.25">
      <c r="A396" s="8">
        <f>IF(COUNT($J$2:$J$1501)&gt;=395,395,"")</f>
        <v>395</v>
      </c>
      <c r="B396" s="8" t="str">
        <f t="shared" si="30"/>
        <v>Vazquez Octavio</v>
      </c>
      <c r="C396" s="8" t="str">
        <f t="shared" si="31"/>
        <v>Atlante</v>
      </c>
      <c r="D396" s="8">
        <f t="shared" si="32"/>
        <v>0</v>
      </c>
      <c r="F396" s="4" t="str">
        <f>IF(Jugadores!B396="","",Jugadores!B396)</f>
        <v>Adame Gilberto</v>
      </c>
      <c r="G396" s="4" t="str">
        <f>IF(Jugadores!B396="","",Jugadores!A396)</f>
        <v>Atlante</v>
      </c>
      <c r="H396" s="4">
        <f>IF(F396="","",SUMIF('Estadísticas Jugadores'!$F$2:$F$7001,F396,'Estadísticas Jugadores'!$J$2:$J$7001))</f>
        <v>0</v>
      </c>
      <c r="I396" s="4">
        <f t="shared" si="33"/>
        <v>-3.96E-5</v>
      </c>
      <c r="J396" s="4">
        <f t="shared" si="34"/>
        <v>396</v>
      </c>
    </row>
    <row r="397" spans="1:10" ht="15" customHeight="1" x14ac:dyDescent="0.25">
      <c r="A397" s="8">
        <f>IF(COUNT($J$2:$J$1501)&gt;=396,396,"")</f>
        <v>396</v>
      </c>
      <c r="B397" s="8" t="str">
        <f t="shared" si="30"/>
        <v>Adame Gilberto</v>
      </c>
      <c r="C397" s="8" t="str">
        <f t="shared" si="31"/>
        <v>Atlante</v>
      </c>
      <c r="D397" s="8">
        <f t="shared" si="32"/>
        <v>0</v>
      </c>
      <c r="F397" s="4" t="str">
        <f>IF(Jugadores!B397="","",Jugadores!B397)</f>
        <v>Calzadilla Luis</v>
      </c>
      <c r="G397" s="4" t="str">
        <f>IF(Jugadores!B397="","",Jugadores!A397)</f>
        <v>Atlante</v>
      </c>
      <c r="H397" s="4">
        <f>IF(F397="","",SUMIF('Estadísticas Jugadores'!$F$2:$F$7001,F397,'Estadísticas Jugadores'!$J$2:$J$7001))</f>
        <v>0</v>
      </c>
      <c r="I397" s="4">
        <f t="shared" si="33"/>
        <v>-3.9699999999999996E-5</v>
      </c>
      <c r="J397" s="4">
        <f t="shared" si="34"/>
        <v>397</v>
      </c>
    </row>
    <row r="398" spans="1:10" ht="15" customHeight="1" x14ac:dyDescent="0.25">
      <c r="A398" s="8">
        <f>IF(COUNT($J$2:$J$1501)&gt;=397,397,"")</f>
        <v>397</v>
      </c>
      <c r="B398" s="8" t="str">
        <f t="shared" si="30"/>
        <v>Calzadilla Luis</v>
      </c>
      <c r="C398" s="8" t="str">
        <f t="shared" si="31"/>
        <v>Atlante</v>
      </c>
      <c r="D398" s="8">
        <f t="shared" si="32"/>
        <v>0</v>
      </c>
      <c r="F398" s="4" t="str">
        <f>IF(Jugadores!B398="","",Jugadores!B398)</f>
        <v>Charcopa Jairon</v>
      </c>
      <c r="G398" s="4" t="str">
        <f>IF(Jugadores!B398="","",Jugadores!A398)</f>
        <v>Atlante</v>
      </c>
      <c r="H398" s="4">
        <f>IF(F398="","",SUMIF('Estadísticas Jugadores'!$F$2:$F$7001,F398,'Estadísticas Jugadores'!$J$2:$J$7001))</f>
        <v>0</v>
      </c>
      <c r="I398" s="4">
        <f t="shared" si="33"/>
        <v>-3.9799999999999998E-5</v>
      </c>
      <c r="J398" s="4">
        <f t="shared" si="34"/>
        <v>398</v>
      </c>
    </row>
    <row r="399" spans="1:10" ht="15" customHeight="1" x14ac:dyDescent="0.25">
      <c r="A399" s="8">
        <f>IF(COUNT($J$2:$J$1501)&gt;=398,398,"")</f>
        <v>398</v>
      </c>
      <c r="B399" s="8" t="str">
        <f t="shared" si="30"/>
        <v>Charcopa Jairon</v>
      </c>
      <c r="C399" s="8" t="str">
        <f t="shared" si="31"/>
        <v>Atlante</v>
      </c>
      <c r="D399" s="8">
        <f t="shared" si="32"/>
        <v>0</v>
      </c>
      <c r="F399" s="4" t="str">
        <f>IF(Jugadores!B399="","",Jugadores!B399)</f>
        <v>Coubert Ruben</v>
      </c>
      <c r="G399" s="4" t="str">
        <f>IF(Jugadores!B399="","",Jugadores!A399)</f>
        <v>Atlante</v>
      </c>
      <c r="H399" s="4">
        <f>IF(F399="","",SUMIF('Estadísticas Jugadores'!$F$2:$F$7001,F399,'Estadísticas Jugadores'!$J$2:$J$7001))</f>
        <v>0</v>
      </c>
      <c r="I399" s="4">
        <f t="shared" si="33"/>
        <v>-3.9900000000000001E-5</v>
      </c>
      <c r="J399" s="4">
        <f t="shared" si="34"/>
        <v>399</v>
      </c>
    </row>
    <row r="400" spans="1:10" ht="15" customHeight="1" x14ac:dyDescent="0.25">
      <c r="A400" s="8">
        <f>IF(COUNT($J$2:$J$1501)&gt;=399,399,"")</f>
        <v>399</v>
      </c>
      <c r="B400" s="8" t="str">
        <f t="shared" si="30"/>
        <v>Coubert Ruben</v>
      </c>
      <c r="C400" s="8" t="str">
        <f t="shared" si="31"/>
        <v>Atlante</v>
      </c>
      <c r="D400" s="8">
        <f t="shared" si="32"/>
        <v>0</v>
      </c>
      <c r="F400" s="4" t="str">
        <f>IF(Jugadores!B400="","",Jugadores!B400)</f>
        <v>Gonzalez Daniel</v>
      </c>
      <c r="G400" s="4" t="str">
        <f>IF(Jugadores!B400="","",Jugadores!A400)</f>
        <v>Atlante</v>
      </c>
      <c r="H400" s="4">
        <f>IF(F400="","",SUMIF('Estadísticas Jugadores'!$F$2:$F$7001,F400,'Estadísticas Jugadores'!$J$2:$J$7001))</f>
        <v>0</v>
      </c>
      <c r="I400" s="4">
        <f t="shared" si="33"/>
        <v>-3.9999999999999996E-5</v>
      </c>
      <c r="J400" s="4">
        <f t="shared" si="34"/>
        <v>400</v>
      </c>
    </row>
    <row r="401" spans="1:10" ht="15" customHeight="1" x14ac:dyDescent="0.25">
      <c r="A401" s="8">
        <f>IF(COUNT($J$2:$J$1501)&gt;=400,400,"")</f>
        <v>400</v>
      </c>
      <c r="B401" s="8" t="str">
        <f t="shared" si="30"/>
        <v>Gonzalez Daniel</v>
      </c>
      <c r="C401" s="8" t="str">
        <f t="shared" si="31"/>
        <v>Atlante</v>
      </c>
      <c r="D401" s="8">
        <f t="shared" si="32"/>
        <v>0</v>
      </c>
      <c r="F401" s="4" t="str">
        <f>IF(Jugadores!B401="","",Jugadores!B401)</f>
        <v>Jimenez Edgar</v>
      </c>
      <c r="G401" s="4" t="str">
        <f>IF(Jugadores!B401="","",Jugadores!A401)</f>
        <v>Atlante</v>
      </c>
      <c r="H401" s="4">
        <f>IF(F401="","",SUMIF('Estadísticas Jugadores'!$F$2:$F$7001,F401,'Estadísticas Jugadores'!$J$2:$J$7001))</f>
        <v>0</v>
      </c>
      <c r="I401" s="4">
        <f t="shared" si="33"/>
        <v>-4.0099999999999999E-5</v>
      </c>
      <c r="J401" s="4">
        <f t="shared" si="34"/>
        <v>401</v>
      </c>
    </row>
    <row r="402" spans="1:10" ht="15" customHeight="1" x14ac:dyDescent="0.25">
      <c r="A402" s="8">
        <f>IF(COUNT($J$2:$J$1501)&gt;=401,401,"")</f>
        <v>401</v>
      </c>
      <c r="B402" s="8" t="str">
        <f t="shared" si="30"/>
        <v>Jimenez Edgar</v>
      </c>
      <c r="C402" s="8" t="str">
        <f t="shared" si="31"/>
        <v>Atlante</v>
      </c>
      <c r="D402" s="8">
        <f t="shared" si="32"/>
        <v>0</v>
      </c>
      <c r="F402" s="4" t="str">
        <f>IF(Jugadores!B402="","",Jugadores!B402)</f>
        <v>Moxica Roberto</v>
      </c>
      <c r="G402" s="4" t="str">
        <f>IF(Jugadores!B402="","",Jugadores!A402)</f>
        <v>Atlante</v>
      </c>
      <c r="H402" s="4">
        <f>IF(F402="","",SUMIF('Estadísticas Jugadores'!$F$2:$F$7001,F402,'Estadísticas Jugadores'!$J$2:$J$7001))</f>
        <v>0</v>
      </c>
      <c r="I402" s="4">
        <f t="shared" si="33"/>
        <v>-4.0200000000000001E-5</v>
      </c>
      <c r="J402" s="4">
        <f t="shared" si="34"/>
        <v>402</v>
      </c>
    </row>
    <row r="403" spans="1:10" ht="15" customHeight="1" x14ac:dyDescent="0.25">
      <c r="A403" s="8">
        <f>IF(COUNT($J$2:$J$1501)&gt;=402,402,"")</f>
        <v>402</v>
      </c>
      <c r="B403" s="8" t="str">
        <f t="shared" si="30"/>
        <v>Moxica Roberto</v>
      </c>
      <c r="C403" s="8" t="str">
        <f t="shared" si="31"/>
        <v>Atlante</v>
      </c>
      <c r="D403" s="8">
        <f t="shared" si="32"/>
        <v>0</v>
      </c>
      <c r="F403" s="4" t="str">
        <f>IF(Jugadores!B403="","",Jugadores!B403)</f>
        <v>Puente Luis</v>
      </c>
      <c r="G403" s="4" t="str">
        <f>IF(Jugadores!B403="","",Jugadores!A403)</f>
        <v>Atlante</v>
      </c>
      <c r="H403" s="4">
        <f>IF(F403="","",SUMIF('Estadísticas Jugadores'!$F$2:$F$7001,F403,'Estadísticas Jugadores'!$J$2:$J$7001))</f>
        <v>0</v>
      </c>
      <c r="I403" s="4">
        <f t="shared" si="33"/>
        <v>-4.0299999999999997E-5</v>
      </c>
      <c r="J403" s="4">
        <f t="shared" si="34"/>
        <v>403</v>
      </c>
    </row>
    <row r="404" spans="1:10" ht="15" customHeight="1" x14ac:dyDescent="0.25">
      <c r="A404" s="8">
        <f>IF(COUNT($J$2:$J$1501)&gt;=403,403,"")</f>
        <v>403</v>
      </c>
      <c r="B404" s="8" t="str">
        <f t="shared" si="30"/>
        <v>Puente Luis</v>
      </c>
      <c r="C404" s="8" t="str">
        <f t="shared" si="31"/>
        <v>Atlante</v>
      </c>
      <c r="D404" s="8">
        <f t="shared" si="32"/>
        <v>0</v>
      </c>
      <c r="F404" s="4" t="str">
        <f>IF(Jugadores!B404="","",Jugadores!B404)</f>
        <v>Allison Revuelta Guillermo</v>
      </c>
      <c r="G404" s="4" t="str">
        <f>IF(Jugadores!B404="","",Jugadores!A404)</f>
        <v>Querétaro</v>
      </c>
      <c r="H404" s="4">
        <f>IF(F404="","",SUMIF('Estadísticas Jugadores'!$F$2:$F$7001,F404,'Estadísticas Jugadores'!$J$2:$J$7001))</f>
        <v>0</v>
      </c>
      <c r="I404" s="4">
        <f t="shared" si="33"/>
        <v>-4.0399999999999999E-5</v>
      </c>
      <c r="J404" s="4">
        <f t="shared" si="34"/>
        <v>404</v>
      </c>
    </row>
    <row r="405" spans="1:10" ht="15" customHeight="1" x14ac:dyDescent="0.25">
      <c r="A405" s="8">
        <f>IF(COUNT($J$2:$J$1501)&gt;=404,404,"")</f>
        <v>404</v>
      </c>
      <c r="B405" s="8" t="str">
        <f t="shared" si="30"/>
        <v>Allison Revuelta Guillermo</v>
      </c>
      <c r="C405" s="8" t="str">
        <f t="shared" si="31"/>
        <v>Querétaro</v>
      </c>
      <c r="D405" s="8">
        <f t="shared" si="32"/>
        <v>0</v>
      </c>
      <c r="F405" s="4" t="str">
        <f>IF(Jugadores!B405="","",Jugadores!B405)</f>
        <v>Hernandez Jose</v>
      </c>
      <c r="G405" s="4" t="str">
        <f>IF(Jugadores!B405="","",Jugadores!A405)</f>
        <v>Querétaro</v>
      </c>
      <c r="H405" s="4">
        <f>IF(F405="","",SUMIF('Estadísticas Jugadores'!$F$2:$F$7001,F405,'Estadísticas Jugadores'!$J$2:$J$7001))</f>
        <v>0</v>
      </c>
      <c r="I405" s="4">
        <f t="shared" si="33"/>
        <v>-4.0499999999999995E-5</v>
      </c>
      <c r="J405" s="4">
        <f t="shared" si="34"/>
        <v>405</v>
      </c>
    </row>
    <row r="406" spans="1:10" ht="15" customHeight="1" x14ac:dyDescent="0.25">
      <c r="A406" s="8">
        <f>IF(COUNT($J$2:$J$1501)&gt;=405,405,"")</f>
        <v>405</v>
      </c>
      <c r="B406" s="8" t="str">
        <f t="shared" si="30"/>
        <v>Hernandez Jose</v>
      </c>
      <c r="C406" s="8" t="str">
        <f t="shared" si="31"/>
        <v>Querétaro</v>
      </c>
      <c r="D406" s="8">
        <f t="shared" si="32"/>
        <v>0</v>
      </c>
      <c r="F406" s="4" t="str">
        <f>IF(Jugadores!B406="","",Jugadores!B406)</f>
        <v>Abascia Lucas</v>
      </c>
      <c r="G406" s="4" t="str">
        <f>IF(Jugadores!B406="","",Jugadores!A406)</f>
        <v>Querétaro</v>
      </c>
      <c r="H406" s="4">
        <f>IF(F406="","",SUMIF('Estadísticas Jugadores'!$F$2:$F$7001,F406,'Estadísticas Jugadores'!$J$2:$J$7001))</f>
        <v>0</v>
      </c>
      <c r="I406" s="4">
        <f t="shared" si="33"/>
        <v>-4.0599999999999998E-5</v>
      </c>
      <c r="J406" s="4">
        <f t="shared" si="34"/>
        <v>406</v>
      </c>
    </row>
    <row r="407" spans="1:10" ht="15" customHeight="1" x14ac:dyDescent="0.25">
      <c r="A407" s="8">
        <f>IF(COUNT($J$2:$J$1501)&gt;=406,406,"")</f>
        <v>406</v>
      </c>
      <c r="B407" s="8" t="str">
        <f t="shared" si="30"/>
        <v>Abascia Lucas</v>
      </c>
      <c r="C407" s="8" t="str">
        <f t="shared" si="31"/>
        <v>Querétaro</v>
      </c>
      <c r="D407" s="8">
        <f t="shared" si="32"/>
        <v>0</v>
      </c>
      <c r="F407" s="4" t="str">
        <f>IF(Jugadores!B407="","",Jugadores!B407)</f>
        <v>Duarte Bayron</v>
      </c>
      <c r="G407" s="4" t="str">
        <f>IF(Jugadores!B407="","",Jugadores!A407)</f>
        <v>Querétaro</v>
      </c>
      <c r="H407" s="4">
        <f>IF(F407="","",SUMIF('Estadísticas Jugadores'!$F$2:$F$7001,F407,'Estadísticas Jugadores'!$J$2:$J$7001))</f>
        <v>0</v>
      </c>
      <c r="I407" s="4">
        <f t="shared" si="33"/>
        <v>-4.07E-5</v>
      </c>
      <c r="J407" s="4">
        <f t="shared" si="34"/>
        <v>407</v>
      </c>
    </row>
    <row r="408" spans="1:10" ht="15" customHeight="1" x14ac:dyDescent="0.25">
      <c r="A408" s="8">
        <f>IF(COUNT($J$2:$J$1501)&gt;=407,407,"")</f>
        <v>407</v>
      </c>
      <c r="B408" s="8" t="str">
        <f t="shared" si="30"/>
        <v>Duarte Bayron</v>
      </c>
      <c r="C408" s="8" t="str">
        <f t="shared" si="31"/>
        <v>Querétaro</v>
      </c>
      <c r="D408" s="8">
        <f t="shared" si="32"/>
        <v>0</v>
      </c>
      <c r="F408" s="4" t="str">
        <f>IF(Jugadores!B408="","",Jugadores!B408)</f>
        <v>Parra Daniel</v>
      </c>
      <c r="G408" s="4" t="str">
        <f>IF(Jugadores!B408="","",Jugadores!A408)</f>
        <v>Querétaro</v>
      </c>
      <c r="H408" s="4">
        <f>IF(F408="","",SUMIF('Estadísticas Jugadores'!$F$2:$F$7001,F408,'Estadísticas Jugadores'!$J$2:$J$7001))</f>
        <v>0</v>
      </c>
      <c r="I408" s="4">
        <f t="shared" si="33"/>
        <v>-4.0799999999999996E-5</v>
      </c>
      <c r="J408" s="4">
        <f t="shared" si="34"/>
        <v>408</v>
      </c>
    </row>
    <row r="409" spans="1:10" ht="15" customHeight="1" x14ac:dyDescent="0.25">
      <c r="A409" s="8">
        <f>IF(COUNT($J$2:$J$1501)&gt;=408,408,"")</f>
        <v>408</v>
      </c>
      <c r="B409" s="8" t="str">
        <f t="shared" si="30"/>
        <v>Parra Daniel</v>
      </c>
      <c r="C409" s="8" t="str">
        <f t="shared" si="31"/>
        <v>Querétaro</v>
      </c>
      <c r="D409" s="8">
        <f t="shared" si="32"/>
        <v>0</v>
      </c>
      <c r="F409" s="4" t="str">
        <f>IF(Jugadores!B409="","",Jugadores!B409)</f>
        <v>Paulo Victor</v>
      </c>
      <c r="G409" s="4" t="str">
        <f>IF(Jugadores!B409="","",Jugadores!A409)</f>
        <v>Querétaro</v>
      </c>
      <c r="H409" s="4">
        <f>IF(F409="","",SUMIF('Estadísticas Jugadores'!$F$2:$F$7001,F409,'Estadísticas Jugadores'!$J$2:$J$7001))</f>
        <v>0</v>
      </c>
      <c r="I409" s="4">
        <f t="shared" si="33"/>
        <v>-4.0899999999999998E-5</v>
      </c>
      <c r="J409" s="4">
        <f t="shared" si="34"/>
        <v>409</v>
      </c>
    </row>
    <row r="410" spans="1:10" ht="15" customHeight="1" x14ac:dyDescent="0.25">
      <c r="A410" s="8">
        <f>IF(COUNT($J$2:$J$1501)&gt;=409,409,"")</f>
        <v>409</v>
      </c>
      <c r="B410" s="8" t="str">
        <f t="shared" si="30"/>
        <v>Paulo Victor</v>
      </c>
      <c r="C410" s="8" t="str">
        <f t="shared" si="31"/>
        <v>Querétaro</v>
      </c>
      <c r="D410" s="8">
        <f t="shared" si="32"/>
        <v>0</v>
      </c>
      <c r="F410" s="4" t="str">
        <f>IF(Jugadores!B410="","",Jugadores!B410)</f>
        <v>Reyes Diego</v>
      </c>
      <c r="G410" s="4" t="str">
        <f>IF(Jugadores!B410="","",Jugadores!A410)</f>
        <v>Querétaro</v>
      </c>
      <c r="H410" s="4">
        <f>IF(F410="","",SUMIF('Estadísticas Jugadores'!$F$2:$F$7001,F410,'Estadísticas Jugadores'!$J$2:$J$7001))</f>
        <v>0</v>
      </c>
      <c r="I410" s="4">
        <f t="shared" si="33"/>
        <v>-4.1E-5</v>
      </c>
      <c r="J410" s="4">
        <f t="shared" si="34"/>
        <v>410</v>
      </c>
    </row>
    <row r="411" spans="1:10" ht="15" customHeight="1" x14ac:dyDescent="0.25">
      <c r="A411" s="8">
        <f>IF(COUNT($J$2:$J$1501)&gt;=410,410,"")</f>
        <v>410</v>
      </c>
      <c r="B411" s="8" t="str">
        <f t="shared" si="30"/>
        <v>Reyes Diego</v>
      </c>
      <c r="C411" s="8" t="str">
        <f t="shared" si="31"/>
        <v>Querétaro</v>
      </c>
      <c r="D411" s="8">
        <f t="shared" si="32"/>
        <v>0</v>
      </c>
      <c r="F411" s="4" t="str">
        <f>IF(Jugadores!B411="","",Jugadores!B411)</f>
        <v>Villanueva Lopez Carlos Octavio</v>
      </c>
      <c r="G411" s="4" t="str">
        <f>IF(Jugadores!B411="","",Jugadores!A411)</f>
        <v>Querétaro</v>
      </c>
      <c r="H411" s="4">
        <f>IF(F411="","",SUMIF('Estadísticas Jugadores'!$F$2:$F$7001,F411,'Estadísticas Jugadores'!$J$2:$J$7001))</f>
        <v>0</v>
      </c>
      <c r="I411" s="4">
        <f t="shared" si="33"/>
        <v>-4.1099999999999996E-5</v>
      </c>
      <c r="J411" s="4">
        <f t="shared" si="34"/>
        <v>411</v>
      </c>
    </row>
    <row r="412" spans="1:10" ht="15" customHeight="1" x14ac:dyDescent="0.25">
      <c r="A412" s="8">
        <f>IF(COUNT($J$2:$J$1501)&gt;=411,411,"")</f>
        <v>411</v>
      </c>
      <c r="B412" s="8" t="str">
        <f t="shared" si="30"/>
        <v>Villanueva Lopez Carlos Octavio</v>
      </c>
      <c r="C412" s="8" t="str">
        <f t="shared" si="31"/>
        <v>Querétaro</v>
      </c>
      <c r="D412" s="8">
        <f t="shared" si="32"/>
        <v>0</v>
      </c>
      <c r="F412" s="4" t="str">
        <f>IF(Jugadores!B412="","",Jugadores!B412)</f>
        <v>Alcalá Alex</v>
      </c>
      <c r="G412" s="4" t="str">
        <f>IF(Jugadores!B412="","",Jugadores!A412)</f>
        <v>Querétaro</v>
      </c>
      <c r="H412" s="4">
        <f>IF(F412="","",SUMIF('Estadísticas Jugadores'!$F$2:$F$7001,F412,'Estadísticas Jugadores'!$J$2:$J$7001))</f>
        <v>0</v>
      </c>
      <c r="I412" s="4">
        <f t="shared" si="33"/>
        <v>-4.1199999999999999E-5</v>
      </c>
      <c r="J412" s="4">
        <f t="shared" si="34"/>
        <v>412</v>
      </c>
    </row>
    <row r="413" spans="1:10" ht="15" customHeight="1" x14ac:dyDescent="0.25">
      <c r="A413" s="8">
        <f>IF(COUNT($J$2:$J$1501)&gt;=412,412,"")</f>
        <v>412</v>
      </c>
      <c r="B413" s="8" t="str">
        <f t="shared" si="30"/>
        <v>Alcalá Alex</v>
      </c>
      <c r="C413" s="8" t="str">
        <f t="shared" si="31"/>
        <v>Querétaro</v>
      </c>
      <c r="D413" s="8">
        <f t="shared" si="32"/>
        <v>0</v>
      </c>
      <c r="F413" s="4" t="str">
        <f>IF(Jugadores!B413="","",Jugadores!B413)</f>
        <v>Arellano Jesús</v>
      </c>
      <c r="G413" s="4" t="str">
        <f>IF(Jugadores!B413="","",Jugadores!A413)</f>
        <v>Querétaro</v>
      </c>
      <c r="H413" s="4">
        <f>IF(F413="","",SUMIF('Estadísticas Jugadores'!$F$2:$F$7001,F413,'Estadísticas Jugadores'!$J$2:$J$7001))</f>
        <v>0</v>
      </c>
      <c r="I413" s="4">
        <f t="shared" si="33"/>
        <v>-4.1300000000000001E-5</v>
      </c>
      <c r="J413" s="4">
        <f t="shared" si="34"/>
        <v>413</v>
      </c>
    </row>
    <row r="414" spans="1:10" ht="15" customHeight="1" x14ac:dyDescent="0.25">
      <c r="A414" s="8">
        <f>IF(COUNT($J$2:$J$1501)&gt;=413,413,"")</f>
        <v>413</v>
      </c>
      <c r="B414" s="8" t="str">
        <f t="shared" si="30"/>
        <v>Arellano Jesús</v>
      </c>
      <c r="C414" s="8" t="str">
        <f t="shared" si="31"/>
        <v>Querétaro</v>
      </c>
      <c r="D414" s="8">
        <f t="shared" si="32"/>
        <v>0</v>
      </c>
      <c r="F414" s="4" t="str">
        <f>IF(Jugadores!B414="","",Jugadores!B414)</f>
        <v>Cazares Juan</v>
      </c>
      <c r="G414" s="4" t="str">
        <f>IF(Jugadores!B414="","",Jugadores!A414)</f>
        <v>Querétaro</v>
      </c>
      <c r="H414" s="4">
        <f>IF(F414="","",SUMIF('Estadísticas Jugadores'!$F$2:$F$7001,F414,'Estadísticas Jugadores'!$J$2:$J$7001))</f>
        <v>0</v>
      </c>
      <c r="I414" s="4">
        <f t="shared" si="33"/>
        <v>-4.1399999999999997E-5</v>
      </c>
      <c r="J414" s="4">
        <f t="shared" si="34"/>
        <v>414</v>
      </c>
    </row>
    <row r="415" spans="1:10" ht="15" customHeight="1" x14ac:dyDescent="0.25">
      <c r="A415" s="8">
        <f>IF(COUNT($J$2:$J$1501)&gt;=414,414,"")</f>
        <v>414</v>
      </c>
      <c r="B415" s="8" t="str">
        <f t="shared" si="30"/>
        <v>Cazares Juan</v>
      </c>
      <c r="C415" s="8" t="str">
        <f t="shared" si="31"/>
        <v>Querétaro</v>
      </c>
      <c r="D415" s="8">
        <f t="shared" si="32"/>
        <v>0</v>
      </c>
      <c r="F415" s="4" t="str">
        <f>IF(Jugadores!B415="","",Jugadores!B415)</f>
        <v>Dueñas Erik</v>
      </c>
      <c r="G415" s="4" t="str">
        <f>IF(Jugadores!B415="","",Jugadores!A415)</f>
        <v>Querétaro</v>
      </c>
      <c r="H415" s="4">
        <f>IF(F415="","",SUMIF('Estadísticas Jugadores'!$F$2:$F$7001,F415,'Estadísticas Jugadores'!$J$2:$J$7001))</f>
        <v>0</v>
      </c>
      <c r="I415" s="4">
        <f t="shared" si="33"/>
        <v>-4.1499999999999999E-5</v>
      </c>
      <c r="J415" s="4">
        <f t="shared" si="34"/>
        <v>415</v>
      </c>
    </row>
    <row r="416" spans="1:10" ht="15" customHeight="1" x14ac:dyDescent="0.25">
      <c r="A416" s="8">
        <f>IF(COUNT($J$2:$J$1501)&gt;=415,415,"")</f>
        <v>415</v>
      </c>
      <c r="B416" s="8" t="str">
        <f t="shared" si="30"/>
        <v>Dueñas Erik</v>
      </c>
      <c r="C416" s="8" t="str">
        <f t="shared" si="31"/>
        <v>Querétaro</v>
      </c>
      <c r="D416" s="8">
        <f t="shared" si="32"/>
        <v>0</v>
      </c>
      <c r="F416" s="4" t="str">
        <f>IF(Jugadores!B416="","",Jugadores!B416)</f>
        <v>Garcia Sergio</v>
      </c>
      <c r="G416" s="4" t="str">
        <f>IF(Jugadores!B416="","",Jugadores!A416)</f>
        <v>Querétaro</v>
      </c>
      <c r="H416" s="4">
        <f>IF(F416="","",SUMIF('Estadísticas Jugadores'!$F$2:$F$7001,F416,'Estadísticas Jugadores'!$J$2:$J$7001))</f>
        <v>0</v>
      </c>
      <c r="I416" s="4">
        <f t="shared" si="33"/>
        <v>-4.1599999999999995E-5</v>
      </c>
      <c r="J416" s="4">
        <f t="shared" si="34"/>
        <v>416</v>
      </c>
    </row>
    <row r="417" spans="1:10" ht="15" customHeight="1" x14ac:dyDescent="0.25">
      <c r="A417" s="8">
        <f>IF(COUNT($J$2:$J$1501)&gt;=416,416,"")</f>
        <v>416</v>
      </c>
      <c r="B417" s="8" t="str">
        <f t="shared" si="30"/>
        <v>Garcia Sergio</v>
      </c>
      <c r="C417" s="8" t="str">
        <f t="shared" si="31"/>
        <v>Querétaro</v>
      </c>
      <c r="D417" s="8">
        <f t="shared" si="32"/>
        <v>0</v>
      </c>
      <c r="F417" s="4" t="str">
        <f>IF(Jugadores!B417="","",Jugadores!B417)</f>
        <v>García Carlo</v>
      </c>
      <c r="G417" s="4" t="str">
        <f>IF(Jugadores!B417="","",Jugadores!A417)</f>
        <v>Querétaro</v>
      </c>
      <c r="H417" s="4">
        <f>IF(F417="","",SUMIF('Estadísticas Jugadores'!$F$2:$F$7001,F417,'Estadísticas Jugadores'!$J$2:$J$7001))</f>
        <v>0</v>
      </c>
      <c r="I417" s="4">
        <f t="shared" si="33"/>
        <v>-4.1699999999999997E-5</v>
      </c>
      <c r="J417" s="4">
        <f t="shared" si="34"/>
        <v>417</v>
      </c>
    </row>
    <row r="418" spans="1:10" ht="15" customHeight="1" x14ac:dyDescent="0.25">
      <c r="A418" s="8">
        <f>IF(COUNT($J$2:$J$1501)&gt;=417,417,"")</f>
        <v>417</v>
      </c>
      <c r="B418" s="8" t="str">
        <f t="shared" si="30"/>
        <v>García Carlo</v>
      </c>
      <c r="C418" s="8" t="str">
        <f t="shared" si="31"/>
        <v>Querétaro</v>
      </c>
      <c r="D418" s="8">
        <f t="shared" si="32"/>
        <v>0</v>
      </c>
      <c r="F418" s="4" t="str">
        <f>IF(Jugadores!B418="","",Jugadores!B418)</f>
        <v>Gimenez Enzo Daniel</v>
      </c>
      <c r="G418" s="4" t="str">
        <f>IF(Jugadores!B418="","",Jugadores!A418)</f>
        <v>Querétaro</v>
      </c>
      <c r="H418" s="4">
        <f>IF(F418="","",SUMIF('Estadísticas Jugadores'!$F$2:$F$7001,F418,'Estadísticas Jugadores'!$J$2:$J$7001))</f>
        <v>0</v>
      </c>
      <c r="I418" s="4">
        <f t="shared" si="33"/>
        <v>-4.18E-5</v>
      </c>
      <c r="J418" s="4">
        <f t="shared" si="34"/>
        <v>418</v>
      </c>
    </row>
    <row r="419" spans="1:10" ht="15" customHeight="1" x14ac:dyDescent="0.25">
      <c r="A419" s="8">
        <f>IF(COUNT($J$2:$J$1501)&gt;=418,418,"")</f>
        <v>418</v>
      </c>
      <c r="B419" s="8" t="str">
        <f t="shared" si="30"/>
        <v>Gimenez Enzo Daniel</v>
      </c>
      <c r="C419" s="8" t="str">
        <f t="shared" si="31"/>
        <v>Querétaro</v>
      </c>
      <c r="D419" s="8">
        <f t="shared" si="32"/>
        <v>0</v>
      </c>
      <c r="F419" s="4" t="str">
        <f>IF(Jugadores!B419="","",Jugadores!B419)</f>
        <v>Homenchenko Santiago</v>
      </c>
      <c r="G419" s="4" t="str">
        <f>IF(Jugadores!B419="","",Jugadores!A419)</f>
        <v>Querétaro</v>
      </c>
      <c r="H419" s="4">
        <f>IF(F419="","",SUMIF('Estadísticas Jugadores'!$F$2:$F$7001,F419,'Estadísticas Jugadores'!$J$2:$J$7001))</f>
        <v>0</v>
      </c>
      <c r="I419" s="4">
        <f t="shared" si="33"/>
        <v>-4.1899999999999995E-5</v>
      </c>
      <c r="J419" s="4">
        <f t="shared" si="34"/>
        <v>419</v>
      </c>
    </row>
    <row r="420" spans="1:10" ht="15" customHeight="1" x14ac:dyDescent="0.25">
      <c r="A420" s="8">
        <f>IF(COUNT($J$2:$J$1501)&gt;=419,419,"")</f>
        <v>419</v>
      </c>
      <c r="B420" s="8" t="str">
        <f t="shared" si="30"/>
        <v>Homenchenko Santiago</v>
      </c>
      <c r="C420" s="8" t="str">
        <f t="shared" si="31"/>
        <v>Querétaro</v>
      </c>
      <c r="D420" s="8">
        <f t="shared" si="32"/>
        <v>0</v>
      </c>
      <c r="F420" s="4" t="str">
        <f>IF(Jugadores!B420="","",Jugadores!B420)</f>
        <v>Madrid Waldo</v>
      </c>
      <c r="G420" s="4" t="str">
        <f>IF(Jugadores!B420="","",Jugadores!A420)</f>
        <v>Querétaro</v>
      </c>
      <c r="H420" s="4">
        <f>IF(F420="","",SUMIF('Estadísticas Jugadores'!$F$2:$F$7001,F420,'Estadísticas Jugadores'!$J$2:$J$7001))</f>
        <v>0</v>
      </c>
      <c r="I420" s="4">
        <f t="shared" si="33"/>
        <v>-4.1999999999999998E-5</v>
      </c>
      <c r="J420" s="4">
        <f t="shared" si="34"/>
        <v>420</v>
      </c>
    </row>
    <row r="421" spans="1:10" ht="15" customHeight="1" x14ac:dyDescent="0.25">
      <c r="A421" s="8">
        <f>IF(COUNT($J$2:$J$1501)&gt;=420,420,"")</f>
        <v>420</v>
      </c>
      <c r="B421" s="8" t="str">
        <f t="shared" si="30"/>
        <v>Madrid Waldo</v>
      </c>
      <c r="C421" s="8" t="str">
        <f t="shared" si="31"/>
        <v>Querétaro</v>
      </c>
      <c r="D421" s="8">
        <f t="shared" si="32"/>
        <v>0</v>
      </c>
      <c r="F421" s="4" t="str">
        <f>IF(Jugadores!B421="","",Jugadores!B421)</f>
        <v>Martinez Juan</v>
      </c>
      <c r="G421" s="4" t="str">
        <f>IF(Jugadores!B421="","",Jugadores!A421)</f>
        <v>Querétaro</v>
      </c>
      <c r="H421" s="4">
        <f>IF(F421="","",SUMIF('Estadísticas Jugadores'!$F$2:$F$7001,F421,'Estadísticas Jugadores'!$J$2:$J$7001))</f>
        <v>0</v>
      </c>
      <c r="I421" s="4">
        <f t="shared" si="33"/>
        <v>-4.21E-5</v>
      </c>
      <c r="J421" s="4">
        <f t="shared" si="34"/>
        <v>421</v>
      </c>
    </row>
    <row r="422" spans="1:10" ht="15" customHeight="1" x14ac:dyDescent="0.25">
      <c r="A422" s="8">
        <f>IF(COUNT($J$2:$J$1501)&gt;=421,421,"")</f>
        <v>421</v>
      </c>
      <c r="B422" s="8" t="str">
        <f t="shared" si="30"/>
        <v>Martinez Juan</v>
      </c>
      <c r="C422" s="8" t="str">
        <f t="shared" si="31"/>
        <v>Querétaro</v>
      </c>
      <c r="D422" s="8">
        <f t="shared" si="32"/>
        <v>0</v>
      </c>
      <c r="F422" s="4" t="str">
        <f>IF(Jugadores!B422="","",Jugadores!B422)</f>
        <v>Parra Bernardo</v>
      </c>
      <c r="G422" s="4" t="str">
        <f>IF(Jugadores!B422="","",Jugadores!A422)</f>
        <v>Querétaro</v>
      </c>
      <c r="H422" s="4">
        <f>IF(F422="","",SUMIF('Estadísticas Jugadores'!$F$2:$F$7001,F422,'Estadísticas Jugadores'!$J$2:$J$7001))</f>
        <v>0</v>
      </c>
      <c r="I422" s="4">
        <f t="shared" si="33"/>
        <v>-4.2199999999999996E-5</v>
      </c>
      <c r="J422" s="4">
        <f t="shared" si="34"/>
        <v>422</v>
      </c>
    </row>
    <row r="423" spans="1:10" ht="15" customHeight="1" x14ac:dyDescent="0.25">
      <c r="A423" s="8">
        <f>IF(COUNT($J$2:$J$1501)&gt;=422,422,"")</f>
        <v>422</v>
      </c>
      <c r="B423" s="8" t="str">
        <f t="shared" si="30"/>
        <v>Parra Bernardo</v>
      </c>
      <c r="C423" s="8" t="str">
        <f t="shared" si="31"/>
        <v>Querétaro</v>
      </c>
      <c r="D423" s="8">
        <f t="shared" si="32"/>
        <v>0</v>
      </c>
      <c r="F423" s="4" t="str">
        <f>IF(Jugadores!B423="","",Jugadores!B423)</f>
        <v>Unjanque Jean</v>
      </c>
      <c r="G423" s="4" t="str">
        <f>IF(Jugadores!B423="","",Jugadores!A423)</f>
        <v>Querétaro</v>
      </c>
      <c r="H423" s="4">
        <f>IF(F423="","",SUMIF('Estadísticas Jugadores'!$F$2:$F$7001,F423,'Estadísticas Jugadores'!$J$2:$J$7001))</f>
        <v>0</v>
      </c>
      <c r="I423" s="4">
        <f t="shared" si="33"/>
        <v>-4.2299999999999998E-5</v>
      </c>
      <c r="J423" s="4">
        <f t="shared" si="34"/>
        <v>423</v>
      </c>
    </row>
    <row r="424" spans="1:10" ht="15" customHeight="1" x14ac:dyDescent="0.25">
      <c r="A424" s="8">
        <f>IF(COUNT($J$2:$J$1501)&gt;=423,423,"")</f>
        <v>423</v>
      </c>
      <c r="B424" s="8" t="str">
        <f t="shared" si="30"/>
        <v>Unjanque Jean</v>
      </c>
      <c r="C424" s="8" t="str">
        <f t="shared" si="31"/>
        <v>Querétaro</v>
      </c>
      <c r="D424" s="8">
        <f t="shared" si="32"/>
        <v>0</v>
      </c>
      <c r="F424" s="4" t="str">
        <f>IF(Jugadores!B424="","",Jugadores!B424)</f>
        <v>Avila Ali</v>
      </c>
      <c r="G424" s="4" t="str">
        <f>IF(Jugadores!B424="","",Jugadores!A424)</f>
        <v>Querétaro</v>
      </c>
      <c r="H424" s="4">
        <f>IF(F424="","",SUMIF('Estadísticas Jugadores'!$F$2:$F$7001,F424,'Estadísticas Jugadores'!$J$2:$J$7001))</f>
        <v>0</v>
      </c>
      <c r="I424" s="4">
        <f t="shared" si="33"/>
        <v>-4.2400000000000001E-5</v>
      </c>
      <c r="J424" s="4">
        <f t="shared" si="34"/>
        <v>424</v>
      </c>
    </row>
    <row r="425" spans="1:10" ht="15" customHeight="1" x14ac:dyDescent="0.25">
      <c r="A425" s="8">
        <f>IF(COUNT($J$2:$J$1501)&gt;=424,424,"")</f>
        <v>424</v>
      </c>
      <c r="B425" s="8" t="str">
        <f t="shared" si="30"/>
        <v>Avila Ali</v>
      </c>
      <c r="C425" s="8" t="str">
        <f t="shared" si="31"/>
        <v>Querétaro</v>
      </c>
      <c r="D425" s="8">
        <f t="shared" si="32"/>
        <v>0</v>
      </c>
      <c r="F425" s="4" t="str">
        <f>IF(Jugadores!B425="","",Jugadores!B425)</f>
        <v>Coronel Mateo</v>
      </c>
      <c r="G425" s="4" t="str">
        <f>IF(Jugadores!B425="","",Jugadores!A425)</f>
        <v>Querétaro</v>
      </c>
      <c r="H425" s="4">
        <f>IF(F425="","",SUMIF('Estadísticas Jugadores'!$F$2:$F$7001,F425,'Estadísticas Jugadores'!$J$2:$J$7001))</f>
        <v>0</v>
      </c>
      <c r="I425" s="4">
        <f t="shared" si="33"/>
        <v>-4.2499999999999996E-5</v>
      </c>
      <c r="J425" s="4">
        <f t="shared" si="34"/>
        <v>425</v>
      </c>
    </row>
    <row r="426" spans="1:10" ht="15" customHeight="1" x14ac:dyDescent="0.25">
      <c r="A426" s="8">
        <f>IF(COUNT($J$2:$J$1501)&gt;=425,425,"")</f>
        <v>425</v>
      </c>
      <c r="B426" s="8" t="str">
        <f t="shared" si="30"/>
        <v>Coronel Mateo</v>
      </c>
      <c r="C426" s="8" t="str">
        <f t="shared" si="31"/>
        <v>Querétaro</v>
      </c>
      <c r="D426" s="8">
        <f t="shared" si="32"/>
        <v>0</v>
      </c>
      <c r="F426" s="4" t="str">
        <f>IF(Jugadores!B426="","",Jugadores!B426)</f>
        <v>Perez Eduardo</v>
      </c>
      <c r="G426" s="4" t="str">
        <f>IF(Jugadores!B426="","",Jugadores!A426)</f>
        <v>Querétaro</v>
      </c>
      <c r="H426" s="4">
        <f>IF(F426="","",SUMIF('Estadísticas Jugadores'!$F$2:$F$7001,F426,'Estadísticas Jugadores'!$J$2:$J$7001))</f>
        <v>0</v>
      </c>
      <c r="I426" s="4">
        <f t="shared" si="33"/>
        <v>-4.2599999999999999E-5</v>
      </c>
      <c r="J426" s="4">
        <f t="shared" si="34"/>
        <v>426</v>
      </c>
    </row>
    <row r="427" spans="1:10" ht="15" customHeight="1" x14ac:dyDescent="0.25">
      <c r="A427" s="8">
        <f>IF(COUNT($J$2:$J$1501)&gt;=426,426,"")</f>
        <v>426</v>
      </c>
      <c r="B427" s="8" t="str">
        <f t="shared" si="30"/>
        <v>Perez Eduardo</v>
      </c>
      <c r="C427" s="8" t="str">
        <f t="shared" si="31"/>
        <v>Querétaro</v>
      </c>
      <c r="D427" s="8">
        <f t="shared" si="32"/>
        <v>0</v>
      </c>
      <c r="F427" s="4" t="str">
        <f>IF(Jugadores!B427="","",Jugadores!B427)</f>
        <v>Robles Carlos</v>
      </c>
      <c r="G427" s="4" t="str">
        <f>IF(Jugadores!B427="","",Jugadores!A427)</f>
        <v>Querétaro</v>
      </c>
      <c r="H427" s="4">
        <f>IF(F427="","",SUMIF('Estadísticas Jugadores'!$F$2:$F$7001,F427,'Estadísticas Jugadores'!$J$2:$J$7001))</f>
        <v>0</v>
      </c>
      <c r="I427" s="4">
        <f t="shared" si="33"/>
        <v>-4.2700000000000001E-5</v>
      </c>
      <c r="J427" s="4">
        <f t="shared" si="34"/>
        <v>427</v>
      </c>
    </row>
    <row r="428" spans="1:10" ht="15" customHeight="1" x14ac:dyDescent="0.25">
      <c r="A428" s="8">
        <f>IF(COUNT($J$2:$J$1501)&gt;=427,427,"")</f>
        <v>427</v>
      </c>
      <c r="B428" s="8" t="str">
        <f t="shared" si="30"/>
        <v>Robles Carlos</v>
      </c>
      <c r="C428" s="8" t="str">
        <f t="shared" si="31"/>
        <v>Querétaro</v>
      </c>
      <c r="D428" s="8">
        <f t="shared" si="32"/>
        <v>0</v>
      </c>
      <c r="F428" s="4" t="str">
        <f>IF(Jugadores!B428="","",Jugadores!B428)</f>
        <v>Robles Juan</v>
      </c>
      <c r="G428" s="4" t="str">
        <f>IF(Jugadores!B428="","",Jugadores!A428)</f>
        <v>Querétaro</v>
      </c>
      <c r="H428" s="4">
        <f>IF(F428="","",SUMIF('Estadísticas Jugadores'!$F$2:$F$7001,F428,'Estadísticas Jugadores'!$J$2:$J$7001))</f>
        <v>0</v>
      </c>
      <c r="I428" s="4">
        <f t="shared" si="33"/>
        <v>-4.2799999999999997E-5</v>
      </c>
      <c r="J428" s="4">
        <f t="shared" si="34"/>
        <v>428</v>
      </c>
    </row>
    <row r="429" spans="1:10" ht="15" customHeight="1" x14ac:dyDescent="0.25">
      <c r="A429" s="8">
        <f>IF(COUNT($J$2:$J$1501)&gt;=428,428,"")</f>
        <v>428</v>
      </c>
      <c r="B429" s="8" t="str">
        <f t="shared" si="30"/>
        <v>Robles Juan</v>
      </c>
      <c r="C429" s="8" t="str">
        <f t="shared" si="31"/>
        <v>Querétaro</v>
      </c>
      <c r="D429" s="8">
        <f t="shared" si="32"/>
        <v>0</v>
      </c>
      <c r="F429" s="4" t="str">
        <f>IF(Jugadores!B429="","",Jugadores!B429)</f>
        <v>Diaz Benny</v>
      </c>
      <c r="G429" s="4" t="str">
        <f>IF(Jugadores!B429="","",Jugadores!A429)</f>
        <v>Juárez</v>
      </c>
      <c r="H429" s="4">
        <f>IF(F429="","",SUMIF('Estadísticas Jugadores'!$F$2:$F$7001,F429,'Estadísticas Jugadores'!$J$2:$J$7001))</f>
        <v>0</v>
      </c>
      <c r="I429" s="4">
        <f t="shared" si="33"/>
        <v>-4.2899999999999999E-5</v>
      </c>
      <c r="J429" s="4">
        <f t="shared" si="34"/>
        <v>429</v>
      </c>
    </row>
    <row r="430" spans="1:10" ht="15" customHeight="1" x14ac:dyDescent="0.25">
      <c r="A430" s="8">
        <f>IF(COUNT($J$2:$J$1501)&gt;=429,429,"")</f>
        <v>429</v>
      </c>
      <c r="B430" s="8" t="str">
        <f t="shared" si="30"/>
        <v>Diaz Benny</v>
      </c>
      <c r="C430" s="8" t="str">
        <f t="shared" si="31"/>
        <v>Juárez</v>
      </c>
      <c r="D430" s="8">
        <f t="shared" si="32"/>
        <v>0</v>
      </c>
      <c r="F430" s="4" t="str">
        <f>IF(Jugadores!B430="","",Jugadores!B430)</f>
        <v>Jurado Sebastian</v>
      </c>
      <c r="G430" s="4" t="str">
        <f>IF(Jugadores!B430="","",Jugadores!A430)</f>
        <v>Juárez</v>
      </c>
      <c r="H430" s="4">
        <f>IF(F430="","",SUMIF('Estadísticas Jugadores'!$F$2:$F$7001,F430,'Estadísticas Jugadores'!$J$2:$J$7001))</f>
        <v>0</v>
      </c>
      <c r="I430" s="4">
        <f t="shared" si="33"/>
        <v>-4.2999999999999995E-5</v>
      </c>
      <c r="J430" s="4">
        <f t="shared" si="34"/>
        <v>430</v>
      </c>
    </row>
    <row r="431" spans="1:10" ht="15" customHeight="1" x14ac:dyDescent="0.25">
      <c r="A431" s="8">
        <f>IF(COUNT($J$2:$J$1501)&gt;=430,430,"")</f>
        <v>430</v>
      </c>
      <c r="B431" s="8" t="str">
        <f t="shared" si="30"/>
        <v>Jurado Sebastian</v>
      </c>
      <c r="C431" s="8" t="str">
        <f t="shared" si="31"/>
        <v>Juárez</v>
      </c>
      <c r="D431" s="8">
        <f t="shared" si="32"/>
        <v>0</v>
      </c>
      <c r="F431" s="4" t="str">
        <f>IF(Jugadores!B431="","",Jugadores!B431)</f>
        <v>Ruiz Guillermo</v>
      </c>
      <c r="G431" s="4" t="str">
        <f>IF(Jugadores!B431="","",Jugadores!A431)</f>
        <v>Juárez</v>
      </c>
      <c r="H431" s="4">
        <f>IF(F431="","",SUMIF('Estadísticas Jugadores'!$F$2:$F$7001,F431,'Estadísticas Jugadores'!$J$2:$J$7001))</f>
        <v>0</v>
      </c>
      <c r="I431" s="4">
        <f t="shared" si="33"/>
        <v>-4.3099999999999997E-5</v>
      </c>
      <c r="J431" s="4">
        <f t="shared" si="34"/>
        <v>431</v>
      </c>
    </row>
    <row r="432" spans="1:10" ht="15" customHeight="1" x14ac:dyDescent="0.25">
      <c r="A432" s="8">
        <f>IF(COUNT($J$2:$J$1501)&gt;=431,431,"")</f>
        <v>431</v>
      </c>
      <c r="B432" s="8" t="str">
        <f t="shared" si="30"/>
        <v>Ruiz Guillermo</v>
      </c>
      <c r="C432" s="8" t="str">
        <f t="shared" si="31"/>
        <v>Juárez</v>
      </c>
      <c r="D432" s="8">
        <f t="shared" si="32"/>
        <v>0</v>
      </c>
      <c r="F432" s="4" t="str">
        <f>IF(Jugadores!B432="","",Jugadores!B432)</f>
        <v>Carmona Luis</v>
      </c>
      <c r="G432" s="4" t="str">
        <f>IF(Jugadores!B432="","",Jugadores!A432)</f>
        <v>Juárez</v>
      </c>
      <c r="H432" s="4">
        <f>IF(F432="","",SUMIF('Estadísticas Jugadores'!$F$2:$F$7001,F432,'Estadísticas Jugadores'!$J$2:$J$7001))</f>
        <v>0</v>
      </c>
      <c r="I432" s="4">
        <f t="shared" si="33"/>
        <v>-4.32E-5</v>
      </c>
      <c r="J432" s="4">
        <f t="shared" si="34"/>
        <v>432</v>
      </c>
    </row>
    <row r="433" spans="1:10" ht="15" customHeight="1" x14ac:dyDescent="0.25">
      <c r="A433" s="8">
        <f>IF(COUNT($J$2:$J$1501)&gt;=432,432,"")</f>
        <v>432</v>
      </c>
      <c r="B433" s="8" t="str">
        <f t="shared" si="30"/>
        <v>Carmona Luis</v>
      </c>
      <c r="C433" s="8" t="str">
        <f t="shared" si="31"/>
        <v>Juárez</v>
      </c>
      <c r="D433" s="8">
        <f t="shared" si="32"/>
        <v>0</v>
      </c>
      <c r="F433" s="4" t="str">
        <f>IF(Jugadores!B433="","",Jugadores!B433)</f>
        <v>López Eder</v>
      </c>
      <c r="G433" s="4" t="str">
        <f>IF(Jugadores!B433="","",Jugadores!A433)</f>
        <v>Juárez</v>
      </c>
      <c r="H433" s="4">
        <f>IF(F433="","",SUMIF('Estadísticas Jugadores'!$F$2:$F$7001,F433,'Estadísticas Jugadores'!$J$2:$J$7001))</f>
        <v>0</v>
      </c>
      <c r="I433" s="4">
        <f t="shared" si="33"/>
        <v>-4.3299999999999995E-5</v>
      </c>
      <c r="J433" s="4">
        <f t="shared" si="34"/>
        <v>433</v>
      </c>
    </row>
    <row r="434" spans="1:10" ht="15" customHeight="1" x14ac:dyDescent="0.25">
      <c r="A434" s="8">
        <f>IF(COUNT($J$2:$J$1501)&gt;=433,433,"")</f>
        <v>433</v>
      </c>
      <c r="B434" s="8" t="str">
        <f t="shared" si="30"/>
        <v>López Eder</v>
      </c>
      <c r="C434" s="8" t="str">
        <f t="shared" si="31"/>
        <v>Juárez</v>
      </c>
      <c r="D434" s="8">
        <f t="shared" si="32"/>
        <v>0</v>
      </c>
      <c r="F434" s="4" t="str">
        <f>IF(Jugadores!B434="","",Jugadores!B434)</f>
        <v>Manriquez Jose</v>
      </c>
      <c r="G434" s="4" t="str">
        <f>IF(Jugadores!B434="","",Jugadores!A434)</f>
        <v>Juárez</v>
      </c>
      <c r="H434" s="4">
        <f>IF(F434="","",SUMIF('Estadísticas Jugadores'!$F$2:$F$7001,F434,'Estadísticas Jugadores'!$J$2:$J$7001))</f>
        <v>0</v>
      </c>
      <c r="I434" s="4">
        <f t="shared" si="33"/>
        <v>-4.3399999999999998E-5</v>
      </c>
      <c r="J434" s="4">
        <f t="shared" si="34"/>
        <v>434</v>
      </c>
    </row>
    <row r="435" spans="1:10" ht="15" customHeight="1" x14ac:dyDescent="0.25">
      <c r="A435" s="8">
        <f>IF(COUNT($J$2:$J$1501)&gt;=434,434,"")</f>
        <v>434</v>
      </c>
      <c r="B435" s="8" t="str">
        <f t="shared" si="30"/>
        <v>Manriquez Jose</v>
      </c>
      <c r="C435" s="8" t="str">
        <f t="shared" si="31"/>
        <v>Juárez</v>
      </c>
      <c r="D435" s="8">
        <f t="shared" si="32"/>
        <v>0</v>
      </c>
      <c r="F435" s="4" t="str">
        <f>IF(Jugadores!B435="","",Jugadores!B435)</f>
        <v>Mayorga Alejandro</v>
      </c>
      <c r="G435" s="4" t="str">
        <f>IF(Jugadores!B435="","",Jugadores!A435)</f>
        <v>Juárez</v>
      </c>
      <c r="H435" s="4">
        <f>IF(F435="","",SUMIF('Estadísticas Jugadores'!$F$2:$F$7001,F435,'Estadísticas Jugadores'!$J$2:$J$7001))</f>
        <v>0</v>
      </c>
      <c r="I435" s="4">
        <f t="shared" si="33"/>
        <v>-4.35E-5</v>
      </c>
      <c r="J435" s="4">
        <f t="shared" si="34"/>
        <v>435</v>
      </c>
    </row>
    <row r="436" spans="1:10" ht="15" customHeight="1" x14ac:dyDescent="0.25">
      <c r="A436" s="8">
        <f>IF(COUNT($J$2:$J$1501)&gt;=435,435,"")</f>
        <v>435</v>
      </c>
      <c r="B436" s="8" t="str">
        <f t="shared" si="30"/>
        <v>Mayorga Alejandro</v>
      </c>
      <c r="C436" s="8" t="str">
        <f t="shared" si="31"/>
        <v>Juárez</v>
      </c>
      <c r="D436" s="8">
        <f t="shared" si="32"/>
        <v>0</v>
      </c>
      <c r="F436" s="4" t="str">
        <f>IF(Jugadores!B436="","",Jugadores!B436)</f>
        <v>Murillo Jesus</v>
      </c>
      <c r="G436" s="4" t="str">
        <f>IF(Jugadores!B436="","",Jugadores!A436)</f>
        <v>Juárez</v>
      </c>
      <c r="H436" s="4">
        <f>IF(F436="","",SUMIF('Estadísticas Jugadores'!$F$2:$F$7001,F436,'Estadísticas Jugadores'!$J$2:$J$7001))</f>
        <v>0</v>
      </c>
      <c r="I436" s="4">
        <f t="shared" si="33"/>
        <v>-4.3599999999999996E-5</v>
      </c>
      <c r="J436" s="4">
        <f t="shared" si="34"/>
        <v>436</v>
      </c>
    </row>
    <row r="437" spans="1:10" ht="15" customHeight="1" x14ac:dyDescent="0.25">
      <c r="A437" s="8">
        <f>IF(COUNT($J$2:$J$1501)&gt;=436,436,"")</f>
        <v>436</v>
      </c>
      <c r="B437" s="8" t="str">
        <f t="shared" si="30"/>
        <v>Murillo Jesus</v>
      </c>
      <c r="C437" s="8" t="str">
        <f t="shared" si="31"/>
        <v>Juárez</v>
      </c>
      <c r="D437" s="8">
        <f t="shared" si="32"/>
        <v>0</v>
      </c>
      <c r="F437" s="4" t="str">
        <f>IF(Jugadores!B437="","",Jugadores!B437)</f>
        <v>Nevarez Pulgarin Francisco Javier</v>
      </c>
      <c r="G437" s="4" t="str">
        <f>IF(Jugadores!B437="","",Jugadores!A437)</f>
        <v>Juárez</v>
      </c>
      <c r="H437" s="4">
        <f>IF(F437="","",SUMIF('Estadísticas Jugadores'!$F$2:$F$7001,F437,'Estadísticas Jugadores'!$J$2:$J$7001))</f>
        <v>0</v>
      </c>
      <c r="I437" s="4">
        <f t="shared" si="33"/>
        <v>-4.3699999999999998E-5</v>
      </c>
      <c r="J437" s="4">
        <f t="shared" si="34"/>
        <v>437</v>
      </c>
    </row>
    <row r="438" spans="1:10" ht="15" customHeight="1" x14ac:dyDescent="0.25">
      <c r="A438" s="8">
        <f>IF(COUNT($J$2:$J$1501)&gt;=437,437,"")</f>
        <v>437</v>
      </c>
      <c r="B438" s="8" t="str">
        <f t="shared" si="30"/>
        <v>Nevarez Pulgarin Francisco Javier</v>
      </c>
      <c r="C438" s="8" t="str">
        <f t="shared" si="31"/>
        <v>Juárez</v>
      </c>
      <c r="D438" s="8">
        <f t="shared" si="32"/>
        <v>0</v>
      </c>
      <c r="F438" s="4" t="str">
        <f>IF(Jugadores!B438="","",Jugadores!B438)</f>
        <v>Ortega Haret</v>
      </c>
      <c r="G438" s="4" t="str">
        <f>IF(Jugadores!B438="","",Jugadores!A438)</f>
        <v>Juárez</v>
      </c>
      <c r="H438" s="4">
        <f>IF(F438="","",SUMIF('Estadísticas Jugadores'!$F$2:$F$7001,F438,'Estadísticas Jugadores'!$J$2:$J$7001))</f>
        <v>0</v>
      </c>
      <c r="I438" s="4">
        <f t="shared" si="33"/>
        <v>-4.3800000000000001E-5</v>
      </c>
      <c r="J438" s="4">
        <f t="shared" si="34"/>
        <v>438</v>
      </c>
    </row>
    <row r="439" spans="1:10" ht="15" customHeight="1" x14ac:dyDescent="0.25">
      <c r="A439" s="8">
        <f>IF(COUNT($J$2:$J$1501)&gt;=438,438,"")</f>
        <v>438</v>
      </c>
      <c r="B439" s="8" t="str">
        <f t="shared" si="30"/>
        <v>Ortega Haret</v>
      </c>
      <c r="C439" s="8" t="str">
        <f t="shared" si="31"/>
        <v>Juárez</v>
      </c>
      <c r="D439" s="8">
        <f t="shared" si="32"/>
        <v>0</v>
      </c>
      <c r="F439" s="4" t="str">
        <f>IF(Jugadores!B439="","",Jugadores!B439)</f>
        <v>Sepulveda Gilberto</v>
      </c>
      <c r="G439" s="4" t="str">
        <f>IF(Jugadores!B439="","",Jugadores!A439)</f>
        <v>Juárez</v>
      </c>
      <c r="H439" s="4">
        <f>IF(F439="","",SUMIF('Estadísticas Jugadores'!$F$2:$F$7001,F439,'Estadísticas Jugadores'!$J$2:$J$7001))</f>
        <v>0</v>
      </c>
      <c r="I439" s="4">
        <f t="shared" si="33"/>
        <v>-4.3899999999999996E-5</v>
      </c>
      <c r="J439" s="4">
        <f t="shared" si="34"/>
        <v>439</v>
      </c>
    </row>
    <row r="440" spans="1:10" ht="15" customHeight="1" x14ac:dyDescent="0.25">
      <c r="A440" s="8">
        <f>IF(COUNT($J$2:$J$1501)&gt;=439,439,"")</f>
        <v>439</v>
      </c>
      <c r="B440" s="8" t="str">
        <f t="shared" si="30"/>
        <v>Sepulveda Gilberto</v>
      </c>
      <c r="C440" s="8" t="str">
        <f t="shared" si="31"/>
        <v>Juárez</v>
      </c>
      <c r="D440" s="8">
        <f t="shared" si="32"/>
        <v>0</v>
      </c>
      <c r="F440" s="4" t="str">
        <f>IF(Jugadores!B440="","",Jugadores!B440)</f>
        <v>Aquino Javier</v>
      </c>
      <c r="G440" s="4" t="str">
        <f>IF(Jugadores!B440="","",Jugadores!A440)</f>
        <v>Juárez</v>
      </c>
      <c r="H440" s="4">
        <f>IF(F440="","",SUMIF('Estadísticas Jugadores'!$F$2:$F$7001,F440,'Estadísticas Jugadores'!$J$2:$J$7001))</f>
        <v>0</v>
      </c>
      <c r="I440" s="4">
        <f t="shared" si="33"/>
        <v>-4.3999999999999999E-5</v>
      </c>
      <c r="J440" s="4">
        <f t="shared" si="34"/>
        <v>440</v>
      </c>
    </row>
    <row r="441" spans="1:10" ht="15" customHeight="1" x14ac:dyDescent="0.25">
      <c r="A441" s="8">
        <f>IF(COUNT($J$2:$J$1501)&gt;=440,440,"")</f>
        <v>440</v>
      </c>
      <c r="B441" s="8" t="str">
        <f t="shared" si="30"/>
        <v>Aquino Javier</v>
      </c>
      <c r="C441" s="8" t="str">
        <f t="shared" si="31"/>
        <v>Juárez</v>
      </c>
      <c r="D441" s="8">
        <f t="shared" si="32"/>
        <v>0</v>
      </c>
      <c r="F441" s="4" t="str">
        <f>IF(Jugadores!B441="","",Jugadores!B441)</f>
        <v>Carmona Jan</v>
      </c>
      <c r="G441" s="4" t="str">
        <f>IF(Jugadores!B441="","",Jugadores!A441)</f>
        <v>Juárez</v>
      </c>
      <c r="H441" s="4">
        <f>IF(F441="","",SUMIF('Estadísticas Jugadores'!$F$2:$F$7001,F441,'Estadísticas Jugadores'!$J$2:$J$7001))</f>
        <v>0</v>
      </c>
      <c r="I441" s="4">
        <f t="shared" si="33"/>
        <v>-4.4100000000000001E-5</v>
      </c>
      <c r="J441" s="4">
        <f t="shared" si="34"/>
        <v>441</v>
      </c>
    </row>
    <row r="442" spans="1:10" ht="15" customHeight="1" x14ac:dyDescent="0.25">
      <c r="A442" s="8">
        <f>IF(COUNT($J$2:$J$1501)&gt;=441,441,"")</f>
        <v>441</v>
      </c>
      <c r="B442" s="8" t="str">
        <f t="shared" si="30"/>
        <v>Carmona Jan</v>
      </c>
      <c r="C442" s="8" t="str">
        <f t="shared" si="31"/>
        <v>Juárez</v>
      </c>
      <c r="D442" s="8">
        <f t="shared" si="32"/>
        <v>0</v>
      </c>
      <c r="F442" s="4" t="str">
        <f>IF(Jugadores!B442="","",Jugadores!B442)</f>
        <v>Fulgencio Raymundo</v>
      </c>
      <c r="G442" s="4" t="str">
        <f>IF(Jugadores!B442="","",Jugadores!A442)</f>
        <v>Juárez</v>
      </c>
      <c r="H442" s="4">
        <f>IF(F442="","",SUMIF('Estadísticas Jugadores'!$F$2:$F$7001,F442,'Estadísticas Jugadores'!$J$2:$J$7001))</f>
        <v>0</v>
      </c>
      <c r="I442" s="4">
        <f t="shared" si="33"/>
        <v>-4.4199999999999997E-5</v>
      </c>
      <c r="J442" s="4">
        <f t="shared" si="34"/>
        <v>442</v>
      </c>
    </row>
    <row r="443" spans="1:10" ht="15" customHeight="1" x14ac:dyDescent="0.25">
      <c r="A443" s="8">
        <f>IF(COUNT($J$2:$J$1501)&gt;=442,442,"")</f>
        <v>442</v>
      </c>
      <c r="B443" s="8" t="str">
        <f t="shared" si="30"/>
        <v>Fulgencio Raymundo</v>
      </c>
      <c r="C443" s="8" t="str">
        <f t="shared" si="31"/>
        <v>Juárez</v>
      </c>
      <c r="D443" s="8">
        <f t="shared" si="32"/>
        <v>0</v>
      </c>
      <c r="F443" s="4" t="str">
        <f>IF(Jugadores!B443="","",Jugadores!B443)</f>
        <v>Garcia Denzell</v>
      </c>
      <c r="G443" s="4" t="str">
        <f>IF(Jugadores!B443="","",Jugadores!A443)</f>
        <v>Juárez</v>
      </c>
      <c r="H443" s="4">
        <f>IF(F443="","",SUMIF('Estadísticas Jugadores'!$F$2:$F$7001,F443,'Estadísticas Jugadores'!$J$2:$J$7001))</f>
        <v>0</v>
      </c>
      <c r="I443" s="4">
        <f t="shared" si="33"/>
        <v>-4.4299999999999999E-5</v>
      </c>
      <c r="J443" s="4">
        <f t="shared" si="34"/>
        <v>443</v>
      </c>
    </row>
    <row r="444" spans="1:10" ht="15" customHeight="1" x14ac:dyDescent="0.25">
      <c r="A444" s="8">
        <f>IF(COUNT($J$2:$J$1501)&gt;=443,443,"")</f>
        <v>443</v>
      </c>
      <c r="B444" s="8" t="str">
        <f t="shared" si="30"/>
        <v>Garcia Denzell</v>
      </c>
      <c r="C444" s="8" t="str">
        <f t="shared" si="31"/>
        <v>Juárez</v>
      </c>
      <c r="D444" s="8">
        <f t="shared" si="32"/>
        <v>0</v>
      </c>
      <c r="F444" s="4" t="str">
        <f>IF(Jugadores!B444="","",Jugadores!B444)</f>
        <v>Godinez Said</v>
      </c>
      <c r="G444" s="4" t="str">
        <f>IF(Jugadores!B444="","",Jugadores!A444)</f>
        <v>Juárez</v>
      </c>
      <c r="H444" s="4">
        <f>IF(F444="","",SUMIF('Estadísticas Jugadores'!$F$2:$F$7001,F444,'Estadísticas Jugadores'!$J$2:$J$7001))</f>
        <v>0</v>
      </c>
      <c r="I444" s="4">
        <f t="shared" si="33"/>
        <v>-4.4399999999999995E-5</v>
      </c>
      <c r="J444" s="4">
        <f t="shared" si="34"/>
        <v>444</v>
      </c>
    </row>
    <row r="445" spans="1:10" ht="15" customHeight="1" x14ac:dyDescent="0.25">
      <c r="A445" s="8">
        <f>IF(COUNT($J$2:$J$1501)&gt;=444,444,"")</f>
        <v>444</v>
      </c>
      <c r="B445" s="8" t="str">
        <f t="shared" si="30"/>
        <v>Godinez Said</v>
      </c>
      <c r="C445" s="8" t="str">
        <f t="shared" si="31"/>
        <v>Juárez</v>
      </c>
      <c r="D445" s="8">
        <f t="shared" si="32"/>
        <v>0</v>
      </c>
      <c r="F445" s="4" t="str">
        <f>IF(Jugadores!B445="","",Jugadores!B445)</f>
        <v>Guilherme Castilho</v>
      </c>
      <c r="G445" s="4" t="str">
        <f>IF(Jugadores!B445="","",Jugadores!A445)</f>
        <v>Juárez</v>
      </c>
      <c r="H445" s="4">
        <f>IF(F445="","",SUMIF('Estadísticas Jugadores'!$F$2:$F$7001,F445,'Estadísticas Jugadores'!$J$2:$J$7001))</f>
        <v>0</v>
      </c>
      <c r="I445" s="4">
        <f t="shared" si="33"/>
        <v>-4.4499999999999997E-5</v>
      </c>
      <c r="J445" s="4">
        <f t="shared" si="34"/>
        <v>445</v>
      </c>
    </row>
    <row r="446" spans="1:10" ht="15" customHeight="1" x14ac:dyDescent="0.25">
      <c r="A446" s="8">
        <f>IF(COUNT($J$2:$J$1501)&gt;=445,445,"")</f>
        <v>445</v>
      </c>
      <c r="B446" s="8" t="str">
        <f t="shared" si="30"/>
        <v>Guilherme Castilho</v>
      </c>
      <c r="C446" s="8" t="str">
        <f t="shared" si="31"/>
        <v>Juárez</v>
      </c>
      <c r="D446" s="8">
        <f t="shared" si="32"/>
        <v>0</v>
      </c>
      <c r="F446" s="4" t="str">
        <f>IF(Jugadores!B446="","",Jugadores!B446)</f>
        <v>Martinez Kenneth</v>
      </c>
      <c r="G446" s="4" t="str">
        <f>IF(Jugadores!B446="","",Jugadores!A446)</f>
        <v>Juárez</v>
      </c>
      <c r="H446" s="4">
        <f>IF(F446="","",SUMIF('Estadísticas Jugadores'!$F$2:$F$7001,F446,'Estadísticas Jugadores'!$J$2:$J$7001))</f>
        <v>0</v>
      </c>
      <c r="I446" s="4">
        <f t="shared" si="33"/>
        <v>-4.46E-5</v>
      </c>
      <c r="J446" s="4">
        <f t="shared" si="34"/>
        <v>446</v>
      </c>
    </row>
    <row r="447" spans="1:10" ht="15" customHeight="1" x14ac:dyDescent="0.25">
      <c r="A447" s="8">
        <f>IF(COUNT($J$2:$J$1501)&gt;=446,446,"")</f>
        <v>446</v>
      </c>
      <c r="B447" s="8" t="str">
        <f t="shared" si="30"/>
        <v>Martinez Kenneth</v>
      </c>
      <c r="C447" s="8" t="str">
        <f t="shared" si="31"/>
        <v>Juárez</v>
      </c>
      <c r="D447" s="8">
        <f t="shared" si="32"/>
        <v>0</v>
      </c>
      <c r="F447" s="4" t="str">
        <f>IF(Jugadores!B447="","",Jugadores!B447)</f>
        <v>Martinez Yepez Homer Enrique</v>
      </c>
      <c r="G447" s="4" t="str">
        <f>IF(Jugadores!B447="","",Jugadores!A447)</f>
        <v>Juárez</v>
      </c>
      <c r="H447" s="4">
        <f>IF(F447="","",SUMIF('Estadísticas Jugadores'!$F$2:$F$7001,F447,'Estadísticas Jugadores'!$J$2:$J$7001))</f>
        <v>0</v>
      </c>
      <c r="I447" s="4">
        <f t="shared" si="33"/>
        <v>-4.4699999999999996E-5</v>
      </c>
      <c r="J447" s="4">
        <f t="shared" si="34"/>
        <v>447</v>
      </c>
    </row>
    <row r="448" spans="1:10" ht="15" customHeight="1" x14ac:dyDescent="0.25">
      <c r="A448" s="8">
        <f>IF(COUNT($J$2:$J$1501)&gt;=447,447,"")</f>
        <v>447</v>
      </c>
      <c r="B448" s="8" t="str">
        <f t="shared" si="30"/>
        <v>Martinez Yepez Homer Enrique</v>
      </c>
      <c r="C448" s="8" t="str">
        <f t="shared" si="31"/>
        <v>Juárez</v>
      </c>
      <c r="D448" s="8">
        <f t="shared" si="32"/>
        <v>0</v>
      </c>
      <c r="F448" s="4" t="str">
        <f>IF(Jugadores!B448="","",Jugadores!B448)</f>
        <v>Monchu</v>
      </c>
      <c r="G448" s="4" t="str">
        <f>IF(Jugadores!B448="","",Jugadores!A448)</f>
        <v>Juárez</v>
      </c>
      <c r="H448" s="4">
        <f>IF(F448="","",SUMIF('Estadísticas Jugadores'!$F$2:$F$7001,F448,'Estadísticas Jugadores'!$J$2:$J$7001))</f>
        <v>0</v>
      </c>
      <c r="I448" s="4">
        <f t="shared" si="33"/>
        <v>-4.4799999999999998E-5</v>
      </c>
      <c r="J448" s="4">
        <f t="shared" si="34"/>
        <v>448</v>
      </c>
    </row>
    <row r="449" spans="1:10" ht="15" customHeight="1" x14ac:dyDescent="0.25">
      <c r="A449" s="8">
        <f>IF(COUNT($J$2:$J$1501)&gt;=448,448,"")</f>
        <v>448</v>
      </c>
      <c r="B449" s="8" t="str">
        <f t="shared" si="30"/>
        <v>Monchu</v>
      </c>
      <c r="C449" s="8" t="str">
        <f t="shared" si="31"/>
        <v>Juárez</v>
      </c>
      <c r="D449" s="8">
        <f t="shared" si="32"/>
        <v>0</v>
      </c>
      <c r="F449" s="4" t="str">
        <f>IF(Jugadores!B449="","",Jugadores!B449)</f>
        <v>Rodriguez Jose</v>
      </c>
      <c r="G449" s="4" t="str">
        <f>IF(Jugadores!B449="","",Jugadores!A449)</f>
        <v>Juárez</v>
      </c>
      <c r="H449" s="4">
        <f>IF(F449="","",SUMIF('Estadísticas Jugadores'!$F$2:$F$7001,F449,'Estadísticas Jugadores'!$J$2:$J$7001))</f>
        <v>0</v>
      </c>
      <c r="I449" s="4">
        <f t="shared" si="33"/>
        <v>-4.49E-5</v>
      </c>
      <c r="J449" s="4">
        <f t="shared" si="34"/>
        <v>449</v>
      </c>
    </row>
    <row r="450" spans="1:10" ht="15" customHeight="1" x14ac:dyDescent="0.25">
      <c r="A450" s="8">
        <f>IF(COUNT($J$2:$J$1501)&gt;=449,449,"")</f>
        <v>449</v>
      </c>
      <c r="B450" s="8" t="str">
        <f t="shared" ref="B450:B513" si="35">IF($A450="","",INDEX($F$2:$F$1501,MATCH($A450,$J$2:$J$1501,0)))</f>
        <v>Rodriguez Jose</v>
      </c>
      <c r="C450" s="8" t="str">
        <f t="shared" ref="C450:C513" si="36">IF($A450="","",INDEX($G$2:$G$1501,MATCH($A450,$J$2:$J$1501,0)))</f>
        <v>Juárez</v>
      </c>
      <c r="D450" s="8">
        <f t="shared" ref="D450:D513" si="37">IF($A450="","",INDEX($H$2:$H$1501,MATCH($A450,$J$2:$J$1501,0)))</f>
        <v>0</v>
      </c>
      <c r="F450" s="4" t="str">
        <f>IF(Jugadores!B450="","",Jugadores!B450)</f>
        <v>Rodriguez Leonardo</v>
      </c>
      <c r="G450" s="4" t="str">
        <f>IF(Jugadores!B450="","",Jugadores!A450)</f>
        <v>Juárez</v>
      </c>
      <c r="H450" s="4">
        <f>IF(F450="","",SUMIF('Estadísticas Jugadores'!$F$2:$F$7001,F450,'Estadísticas Jugadores'!$J$2:$J$7001))</f>
        <v>0</v>
      </c>
      <c r="I450" s="4">
        <f t="shared" ref="I450:I513" si="38">IF(F450="","",H450*1000-ROW()*0.0000001)</f>
        <v>-4.4999999999999996E-5</v>
      </c>
      <c r="J450" s="4">
        <f t="shared" ref="J450:J513" si="39">IF(F450="","",RANK(I450,$I$2:$I$1501))</f>
        <v>450</v>
      </c>
    </row>
    <row r="451" spans="1:10" ht="15" customHeight="1" x14ac:dyDescent="0.25">
      <c r="A451" s="8">
        <f>IF(COUNT($J$2:$J$1501)&gt;=450,450,"")</f>
        <v>450</v>
      </c>
      <c r="B451" s="8" t="str">
        <f t="shared" si="35"/>
        <v>Rodriguez Leonardo</v>
      </c>
      <c r="C451" s="8" t="str">
        <f t="shared" si="36"/>
        <v>Juárez</v>
      </c>
      <c r="D451" s="8">
        <f t="shared" si="37"/>
        <v>0</v>
      </c>
      <c r="F451" s="4" t="str">
        <f>IF(Jugadores!B451="","",Jugadores!B451)</f>
        <v>Romero Lucas</v>
      </c>
      <c r="G451" s="4" t="str">
        <f>IF(Jugadores!B451="","",Jugadores!A451)</f>
        <v>Juárez</v>
      </c>
      <c r="H451" s="4">
        <f>IF(F451="","",SUMIF('Estadísticas Jugadores'!$F$2:$F$7001,F451,'Estadísticas Jugadores'!$J$2:$J$7001))</f>
        <v>0</v>
      </c>
      <c r="I451" s="4">
        <f t="shared" si="38"/>
        <v>-4.5099999999999998E-5</v>
      </c>
      <c r="J451" s="4">
        <f t="shared" si="39"/>
        <v>451</v>
      </c>
    </row>
    <row r="452" spans="1:10" ht="15" customHeight="1" x14ac:dyDescent="0.25">
      <c r="A452" s="8">
        <f>IF(COUNT($J$2:$J$1501)&gt;=451,451,"")</f>
        <v>451</v>
      </c>
      <c r="B452" s="8" t="str">
        <f t="shared" si="35"/>
        <v>Romero Lucas</v>
      </c>
      <c r="C452" s="8" t="str">
        <f t="shared" si="36"/>
        <v>Juárez</v>
      </c>
      <c r="D452" s="8">
        <f t="shared" si="37"/>
        <v>0</v>
      </c>
      <c r="F452" s="4" t="str">
        <f>IF(Jugadores!B452="","",Jugadores!B452)</f>
        <v>Sigala Juan</v>
      </c>
      <c r="G452" s="4" t="str">
        <f>IF(Jugadores!B452="","",Jugadores!A452)</f>
        <v>Juárez</v>
      </c>
      <c r="H452" s="4">
        <f>IF(F452="","",SUMIF('Estadísticas Jugadores'!$F$2:$F$7001,F452,'Estadísticas Jugadores'!$J$2:$J$7001))</f>
        <v>0</v>
      </c>
      <c r="I452" s="4">
        <f t="shared" si="38"/>
        <v>-4.5200000000000001E-5</v>
      </c>
      <c r="J452" s="4">
        <f t="shared" si="39"/>
        <v>452</v>
      </c>
    </row>
    <row r="453" spans="1:10" ht="15" customHeight="1" x14ac:dyDescent="0.25">
      <c r="A453" s="8">
        <f>IF(COUNT($J$2:$J$1501)&gt;=452,452,"")</f>
        <v>452</v>
      </c>
      <c r="B453" s="8" t="str">
        <f t="shared" si="35"/>
        <v>Sigala Juan</v>
      </c>
      <c r="C453" s="8" t="str">
        <f t="shared" si="36"/>
        <v>Juárez</v>
      </c>
      <c r="D453" s="8">
        <f t="shared" si="37"/>
        <v>0</v>
      </c>
      <c r="F453" s="4" t="str">
        <f>IF(Jugadores!B453="","",Jugadores!B453)</f>
        <v>Ayon Ettson</v>
      </c>
      <c r="G453" s="4" t="str">
        <f>IF(Jugadores!B453="","",Jugadores!A453)</f>
        <v>Juárez</v>
      </c>
      <c r="H453" s="4">
        <f>IF(F453="","",SUMIF('Estadísticas Jugadores'!$F$2:$F$7001,F453,'Estadísticas Jugadores'!$J$2:$J$7001))</f>
        <v>0</v>
      </c>
      <c r="I453" s="4">
        <f t="shared" si="38"/>
        <v>-4.5299999999999997E-5</v>
      </c>
      <c r="J453" s="4">
        <f t="shared" si="39"/>
        <v>453</v>
      </c>
    </row>
    <row r="454" spans="1:10" ht="15" customHeight="1" x14ac:dyDescent="0.25">
      <c r="A454" s="8">
        <f>IF(COUNT($J$2:$J$1501)&gt;=453,453,"")</f>
        <v>453</v>
      </c>
      <c r="B454" s="8" t="str">
        <f t="shared" si="35"/>
        <v>Ayon Ettson</v>
      </c>
      <c r="C454" s="8" t="str">
        <f t="shared" si="36"/>
        <v>Juárez</v>
      </c>
      <c r="D454" s="8">
        <f t="shared" si="37"/>
        <v>0</v>
      </c>
      <c r="F454" s="4" t="str">
        <f>IF(Jugadores!B454="","",Jugadores!B454)</f>
        <v>Dupuy Luca</v>
      </c>
      <c r="G454" s="4" t="str">
        <f>IF(Jugadores!B454="","",Jugadores!A454)</f>
        <v>Juárez</v>
      </c>
      <c r="H454" s="4">
        <f>IF(F454="","",SUMIF('Estadísticas Jugadores'!$F$2:$F$7001,F454,'Estadísticas Jugadores'!$J$2:$J$7001))</f>
        <v>0</v>
      </c>
      <c r="I454" s="4">
        <f t="shared" si="38"/>
        <v>-4.5399999999999999E-5</v>
      </c>
      <c r="J454" s="4">
        <f t="shared" si="39"/>
        <v>454</v>
      </c>
    </row>
    <row r="455" spans="1:10" ht="15" customHeight="1" x14ac:dyDescent="0.25">
      <c r="A455" s="8">
        <f>IF(COUNT($J$2:$J$1501)&gt;=454,454,"")</f>
        <v>454</v>
      </c>
      <c r="B455" s="8" t="str">
        <f t="shared" si="35"/>
        <v>Dupuy Luca</v>
      </c>
      <c r="C455" s="8" t="str">
        <f t="shared" si="36"/>
        <v>Juárez</v>
      </c>
      <c r="D455" s="8">
        <f t="shared" si="37"/>
        <v>0</v>
      </c>
      <c r="F455" s="4" t="str">
        <f>IF(Jugadores!B455="","",Jugadores!B455)</f>
        <v>Estupinan Oscar</v>
      </c>
      <c r="G455" s="4" t="str">
        <f>IF(Jugadores!B455="","",Jugadores!A455)</f>
        <v>Juárez</v>
      </c>
      <c r="H455" s="4">
        <f>IF(F455="","",SUMIF('Estadísticas Jugadores'!$F$2:$F$7001,F455,'Estadísticas Jugadores'!$J$2:$J$7001))</f>
        <v>0</v>
      </c>
      <c r="I455" s="4">
        <f t="shared" si="38"/>
        <v>-4.5499999999999995E-5</v>
      </c>
      <c r="J455" s="4">
        <f t="shared" si="39"/>
        <v>455</v>
      </c>
    </row>
    <row r="456" spans="1:10" ht="15" customHeight="1" x14ac:dyDescent="0.25">
      <c r="A456" s="8">
        <f>IF(COUNT($J$2:$J$1501)&gt;=455,455,"")</f>
        <v>455</v>
      </c>
      <c r="B456" s="8" t="str">
        <f t="shared" si="35"/>
        <v>Estupinan Oscar</v>
      </c>
      <c r="C456" s="8" t="str">
        <f t="shared" si="36"/>
        <v>Juárez</v>
      </c>
      <c r="D456" s="8">
        <f t="shared" si="37"/>
        <v>0</v>
      </c>
      <c r="F456" s="4" t="str">
        <f>IF(Jugadores!B456="","",Jugadores!B456)</f>
        <v>Madson</v>
      </c>
      <c r="G456" s="4" t="str">
        <f>IF(Jugadores!B456="","",Jugadores!A456)</f>
        <v>Juárez</v>
      </c>
      <c r="H456" s="4">
        <f>IF(F456="","",SUMIF('Estadísticas Jugadores'!$F$2:$F$7001,F456,'Estadísticas Jugadores'!$J$2:$J$7001))</f>
        <v>0</v>
      </c>
      <c r="I456" s="4">
        <f t="shared" si="38"/>
        <v>-4.5599999999999997E-5</v>
      </c>
      <c r="J456" s="4">
        <f t="shared" si="39"/>
        <v>456</v>
      </c>
    </row>
    <row r="457" spans="1:10" ht="15" customHeight="1" x14ac:dyDescent="0.25">
      <c r="A457" s="8">
        <f>IF(COUNT($J$2:$J$1501)&gt;=456,456,"")</f>
        <v>456</v>
      </c>
      <c r="B457" s="8" t="str">
        <f t="shared" si="35"/>
        <v>Madson</v>
      </c>
      <c r="C457" s="8" t="str">
        <f t="shared" si="36"/>
        <v>Juárez</v>
      </c>
      <c r="D457" s="8">
        <f t="shared" si="37"/>
        <v>0</v>
      </c>
      <c r="F457" s="4" t="str">
        <f>IF(Jugadores!B457="","",Jugadores!B457)</f>
        <v>Ricardinho</v>
      </c>
      <c r="G457" s="4" t="str">
        <f>IF(Jugadores!B457="","",Jugadores!A457)</f>
        <v>Juárez</v>
      </c>
      <c r="H457" s="4">
        <f>IF(F457="","",SUMIF('Estadísticas Jugadores'!$F$2:$F$7001,F457,'Estadísticas Jugadores'!$J$2:$J$7001))</f>
        <v>0</v>
      </c>
      <c r="I457" s="4">
        <f t="shared" si="38"/>
        <v>-4.57E-5</v>
      </c>
      <c r="J457" s="4">
        <f t="shared" si="39"/>
        <v>457</v>
      </c>
    </row>
    <row r="458" spans="1:10" ht="15" customHeight="1" x14ac:dyDescent="0.25">
      <c r="A458" s="8">
        <f>IF(COUNT($J$2:$J$1501)&gt;=457,457,"")</f>
        <v>457</v>
      </c>
      <c r="B458" s="8" t="str">
        <f t="shared" si="35"/>
        <v>Ricardinho</v>
      </c>
      <c r="C458" s="8" t="str">
        <f t="shared" si="36"/>
        <v>Juárez</v>
      </c>
      <c r="D458" s="8">
        <f t="shared" si="37"/>
        <v>0</v>
      </c>
      <c r="F458" s="4" t="str">
        <f>IF(Jugadores!B458="","",Jugadores!B458)</f>
        <v>Torres Ramirez Ian Jairo Misael</v>
      </c>
      <c r="G458" s="4" t="str">
        <f>IF(Jugadores!B458="","",Jugadores!A458)</f>
        <v>Juárez</v>
      </c>
      <c r="H458" s="4">
        <f>IF(F458="","",SUMIF('Estadísticas Jugadores'!$F$2:$F$7001,F458,'Estadísticas Jugadores'!$J$2:$J$7001))</f>
        <v>0</v>
      </c>
      <c r="I458" s="4">
        <f t="shared" si="38"/>
        <v>-4.5799999999999995E-5</v>
      </c>
      <c r="J458" s="4">
        <f t="shared" si="39"/>
        <v>458</v>
      </c>
    </row>
    <row r="459" spans="1:10" ht="15" customHeight="1" x14ac:dyDescent="0.25">
      <c r="A459" s="8">
        <f>IF(COUNT($J$2:$J$1501)&gt;=458,458,"")</f>
        <v>458</v>
      </c>
      <c r="B459" s="8" t="str">
        <f t="shared" si="35"/>
        <v>Torres Ramirez Ian Jairo Misael</v>
      </c>
      <c r="C459" s="8" t="str">
        <f t="shared" si="36"/>
        <v>Juárez</v>
      </c>
      <c r="D459" s="8">
        <f t="shared" si="37"/>
        <v>0</v>
      </c>
      <c r="F459" s="4" t="str">
        <f>IF(Jugadores!B459="","",Jugadores!B459)</f>
        <v>Carrera Antonio</v>
      </c>
      <c r="G459" s="4" t="str">
        <f>IF(Jugadores!B459="","",Jugadores!A459)</f>
        <v>Tigres UANL</v>
      </c>
      <c r="H459" s="4">
        <f>IF(F459="","",SUMIF('Estadísticas Jugadores'!$F$2:$F$7001,F459,'Estadísticas Jugadores'!$J$2:$J$7001))</f>
        <v>0</v>
      </c>
      <c r="I459" s="4">
        <f t="shared" si="38"/>
        <v>-4.5899999999999998E-5</v>
      </c>
      <c r="J459" s="4">
        <f t="shared" si="39"/>
        <v>459</v>
      </c>
    </row>
    <row r="460" spans="1:10" ht="15" customHeight="1" x14ac:dyDescent="0.25">
      <c r="A460" s="8">
        <f>IF(COUNT($J$2:$J$1501)&gt;=459,459,"")</f>
        <v>459</v>
      </c>
      <c r="B460" s="8" t="str">
        <f t="shared" si="35"/>
        <v>Carrera Antonio</v>
      </c>
      <c r="C460" s="8" t="str">
        <f t="shared" si="36"/>
        <v>Tigres UANL</v>
      </c>
      <c r="D460" s="8">
        <f t="shared" si="37"/>
        <v>0</v>
      </c>
      <c r="F460" s="4" t="str">
        <f>IF(Jugadores!B460="","",Jugadores!B460)</f>
        <v>Guzman Nahuel</v>
      </c>
      <c r="G460" s="4" t="str">
        <f>IF(Jugadores!B460="","",Jugadores!A460)</f>
        <v>Tigres UANL</v>
      </c>
      <c r="H460" s="4">
        <f>IF(F460="","",SUMIF('Estadísticas Jugadores'!$F$2:$F$7001,F460,'Estadísticas Jugadores'!$J$2:$J$7001))</f>
        <v>0</v>
      </c>
      <c r="I460" s="4">
        <f t="shared" si="38"/>
        <v>-4.6E-5</v>
      </c>
      <c r="J460" s="4">
        <f t="shared" si="39"/>
        <v>460</v>
      </c>
    </row>
    <row r="461" spans="1:10" ht="15" customHeight="1" x14ac:dyDescent="0.25">
      <c r="A461" s="8">
        <f>IF(COUNT($J$2:$J$1501)&gt;=460,460,"")</f>
        <v>460</v>
      </c>
      <c r="B461" s="8" t="str">
        <f t="shared" si="35"/>
        <v>Guzman Nahuel</v>
      </c>
      <c r="C461" s="8" t="str">
        <f t="shared" si="36"/>
        <v>Tigres UANL</v>
      </c>
      <c r="D461" s="8">
        <f t="shared" si="37"/>
        <v>0</v>
      </c>
      <c r="F461" s="4" t="str">
        <f>IF(Jugadores!B461="","",Jugadores!B461)</f>
        <v>Rodriguez Felipe</v>
      </c>
      <c r="G461" s="4" t="str">
        <f>IF(Jugadores!B461="","",Jugadores!A461)</f>
        <v>Tigres UANL</v>
      </c>
      <c r="H461" s="4">
        <f>IF(F461="","",SUMIF('Estadísticas Jugadores'!$F$2:$F$7001,F461,'Estadísticas Jugadores'!$J$2:$J$7001))</f>
        <v>0</v>
      </c>
      <c r="I461" s="4">
        <f t="shared" si="38"/>
        <v>-4.6099999999999996E-5</v>
      </c>
      <c r="J461" s="4">
        <f t="shared" si="39"/>
        <v>461</v>
      </c>
    </row>
    <row r="462" spans="1:10" ht="15" customHeight="1" x14ac:dyDescent="0.25">
      <c r="A462" s="8">
        <f>IF(COUNT($J$2:$J$1501)&gt;=461,461,"")</f>
        <v>461</v>
      </c>
      <c r="B462" s="8" t="str">
        <f t="shared" si="35"/>
        <v>Rodriguez Felipe</v>
      </c>
      <c r="C462" s="8" t="str">
        <f t="shared" si="36"/>
        <v>Tigres UANL</v>
      </c>
      <c r="D462" s="8">
        <f t="shared" si="37"/>
        <v>0</v>
      </c>
      <c r="F462" s="4" t="str">
        <f>IF(Jugadores!B462="","",Jugadores!B462)</f>
        <v>Angulo Jesus</v>
      </c>
      <c r="G462" s="4" t="str">
        <f>IF(Jugadores!B462="","",Jugadores!A462)</f>
        <v>Tigres UANL</v>
      </c>
      <c r="H462" s="4">
        <f>IF(F462="","",SUMIF('Estadísticas Jugadores'!$F$2:$F$7001,F462,'Estadísticas Jugadores'!$J$2:$J$7001))</f>
        <v>0</v>
      </c>
      <c r="I462" s="4">
        <f t="shared" si="38"/>
        <v>-4.6199999999999998E-5</v>
      </c>
      <c r="J462" s="4">
        <f t="shared" si="39"/>
        <v>462</v>
      </c>
    </row>
    <row r="463" spans="1:10" ht="15" customHeight="1" x14ac:dyDescent="0.25">
      <c r="A463" s="8">
        <f>IF(COUNT($J$2:$J$1501)&gt;=462,462,"")</f>
        <v>462</v>
      </c>
      <c r="B463" s="8" t="str">
        <f t="shared" si="35"/>
        <v>Angulo Jesus</v>
      </c>
      <c r="C463" s="8" t="str">
        <f t="shared" si="36"/>
        <v>Tigres UANL</v>
      </c>
      <c r="D463" s="8">
        <f t="shared" si="37"/>
        <v>0</v>
      </c>
      <c r="F463" s="4" t="str">
        <f>IF(Jugadores!B463="","",Jugadores!B463)</f>
        <v>Farfán Marco</v>
      </c>
      <c r="G463" s="4" t="str">
        <f>IF(Jugadores!B463="","",Jugadores!A463)</f>
        <v>Tigres UANL</v>
      </c>
      <c r="H463" s="4">
        <f>IF(F463="","",SUMIF('Estadísticas Jugadores'!$F$2:$F$7001,F463,'Estadísticas Jugadores'!$J$2:$J$7001))</f>
        <v>0</v>
      </c>
      <c r="I463" s="4">
        <f t="shared" si="38"/>
        <v>-4.6300000000000001E-5</v>
      </c>
      <c r="J463" s="4">
        <f t="shared" si="39"/>
        <v>463</v>
      </c>
    </row>
    <row r="464" spans="1:10" ht="15" customHeight="1" x14ac:dyDescent="0.25">
      <c r="A464" s="8">
        <f>IF(COUNT($J$2:$J$1501)&gt;=463,463,"")</f>
        <v>463</v>
      </c>
      <c r="B464" s="8" t="str">
        <f t="shared" si="35"/>
        <v>Farfán Marco</v>
      </c>
      <c r="C464" s="8" t="str">
        <f t="shared" si="36"/>
        <v>Tigres UANL</v>
      </c>
      <c r="D464" s="8">
        <f t="shared" si="37"/>
        <v>0</v>
      </c>
      <c r="F464" s="4" t="str">
        <f>IF(Jugadores!B464="","",Jugadores!B464)</f>
        <v>Fernández Francisco</v>
      </c>
      <c r="G464" s="4" t="str">
        <f>IF(Jugadores!B464="","",Jugadores!A464)</f>
        <v>Tigres UANL</v>
      </c>
      <c r="H464" s="4">
        <f>IF(F464="","",SUMIF('Estadísticas Jugadores'!$F$2:$F$7001,F464,'Estadísticas Jugadores'!$J$2:$J$7001))</f>
        <v>0</v>
      </c>
      <c r="I464" s="4">
        <f t="shared" si="38"/>
        <v>-4.6399999999999996E-5</v>
      </c>
      <c r="J464" s="4">
        <f t="shared" si="39"/>
        <v>464</v>
      </c>
    </row>
    <row r="465" spans="1:10" ht="15" customHeight="1" x14ac:dyDescent="0.25">
      <c r="A465" s="8">
        <f>IF(COUNT($J$2:$J$1501)&gt;=464,464,"")</f>
        <v>464</v>
      </c>
      <c r="B465" s="8" t="str">
        <f t="shared" si="35"/>
        <v>Fernández Francisco</v>
      </c>
      <c r="C465" s="8" t="str">
        <f t="shared" si="36"/>
        <v>Tigres UANL</v>
      </c>
      <c r="D465" s="8">
        <f t="shared" si="37"/>
        <v>0</v>
      </c>
      <c r="F465" s="4" t="str">
        <f>IF(Jugadores!B465="","",Jugadores!B465)</f>
        <v>Franco Alan</v>
      </c>
      <c r="G465" s="4" t="str">
        <f>IF(Jugadores!B465="","",Jugadores!A465)</f>
        <v>Tigres UANL</v>
      </c>
      <c r="H465" s="4">
        <f>IF(F465="","",SUMIF('Estadísticas Jugadores'!$F$2:$F$7001,F465,'Estadísticas Jugadores'!$J$2:$J$7001))</f>
        <v>0</v>
      </c>
      <c r="I465" s="4">
        <f t="shared" si="38"/>
        <v>-4.6499999999999999E-5</v>
      </c>
      <c r="J465" s="4">
        <f t="shared" si="39"/>
        <v>465</v>
      </c>
    </row>
    <row r="466" spans="1:10" ht="15" customHeight="1" x14ac:dyDescent="0.25">
      <c r="A466" s="8">
        <f>IF(COUNT($J$2:$J$1501)&gt;=465,465,"")</f>
        <v>465</v>
      </c>
      <c r="B466" s="8" t="str">
        <f t="shared" si="35"/>
        <v>Franco Alan</v>
      </c>
      <c r="C466" s="8" t="str">
        <f t="shared" si="36"/>
        <v>Tigres UANL</v>
      </c>
      <c r="D466" s="8">
        <f t="shared" si="37"/>
        <v>0</v>
      </c>
      <c r="F466" s="4" t="str">
        <f>IF(Jugadores!B466="","",Jugadores!B466)</f>
        <v>Garza Jesus</v>
      </c>
      <c r="G466" s="4" t="str">
        <f>IF(Jugadores!B466="","",Jugadores!A466)</f>
        <v>Tigres UANL</v>
      </c>
      <c r="H466" s="4">
        <f>IF(F466="","",SUMIF('Estadísticas Jugadores'!$F$2:$F$7001,F466,'Estadísticas Jugadores'!$J$2:$J$7001))</f>
        <v>0</v>
      </c>
      <c r="I466" s="4">
        <f t="shared" si="38"/>
        <v>-4.6600000000000001E-5</v>
      </c>
      <c r="J466" s="4">
        <f t="shared" si="39"/>
        <v>466</v>
      </c>
    </row>
    <row r="467" spans="1:10" ht="15" customHeight="1" x14ac:dyDescent="0.25">
      <c r="A467" s="8">
        <f>IF(COUNT($J$2:$J$1501)&gt;=466,466,"")</f>
        <v>466</v>
      </c>
      <c r="B467" s="8" t="str">
        <f t="shared" si="35"/>
        <v>Garza Jesus</v>
      </c>
      <c r="C467" s="8" t="str">
        <f t="shared" si="36"/>
        <v>Tigres UANL</v>
      </c>
      <c r="D467" s="8">
        <f t="shared" si="37"/>
        <v>0</v>
      </c>
      <c r="F467" s="4" t="str">
        <f>IF(Jugadores!B467="","",Jugadores!B467)</f>
        <v>Guerrero Rafael</v>
      </c>
      <c r="G467" s="4" t="str">
        <f>IF(Jugadores!B467="","",Jugadores!A467)</f>
        <v>Tigres UANL</v>
      </c>
      <c r="H467" s="4">
        <f>IF(F467="","",SUMIF('Estadísticas Jugadores'!$F$2:$F$7001,F467,'Estadísticas Jugadores'!$J$2:$J$7001))</f>
        <v>0</v>
      </c>
      <c r="I467" s="4">
        <f t="shared" si="38"/>
        <v>-4.6699999999999997E-5</v>
      </c>
      <c r="J467" s="4">
        <f t="shared" si="39"/>
        <v>467</v>
      </c>
    </row>
    <row r="468" spans="1:10" ht="15" customHeight="1" x14ac:dyDescent="0.25">
      <c r="A468" s="8">
        <f>IF(COUNT($J$2:$J$1501)&gt;=467,467,"")</f>
        <v>467</v>
      </c>
      <c r="B468" s="8" t="str">
        <f t="shared" si="35"/>
        <v>Guerrero Rafael</v>
      </c>
      <c r="C468" s="8" t="str">
        <f t="shared" si="36"/>
        <v>Tigres UANL</v>
      </c>
      <c r="D468" s="8">
        <f t="shared" si="37"/>
        <v>0</v>
      </c>
      <c r="F468" s="4" t="str">
        <f>IF(Jugadores!B468="","",Jugadores!B468)</f>
        <v>Joaquim</v>
      </c>
      <c r="G468" s="4" t="str">
        <f>IF(Jugadores!B468="","",Jugadores!A468)</f>
        <v>Tigres UANL</v>
      </c>
      <c r="H468" s="4">
        <f>IF(F468="","",SUMIF('Estadísticas Jugadores'!$F$2:$F$7001,F468,'Estadísticas Jugadores'!$J$2:$J$7001))</f>
        <v>1</v>
      </c>
      <c r="I468" s="4">
        <f t="shared" si="38"/>
        <v>999.99995320000005</v>
      </c>
      <c r="J468" s="4">
        <f t="shared" si="39"/>
        <v>17</v>
      </c>
    </row>
    <row r="469" spans="1:10" ht="15" customHeight="1" x14ac:dyDescent="0.25">
      <c r="A469" s="8">
        <f>IF(COUNT($J$2:$J$1501)&gt;=468,468,"")</f>
        <v>468</v>
      </c>
      <c r="B469" s="8" t="str">
        <f t="shared" si="35"/>
        <v>Lorona Vladimir</v>
      </c>
      <c r="C469" s="8" t="str">
        <f t="shared" si="36"/>
        <v>Tigres UANL</v>
      </c>
      <c r="D469" s="8">
        <f t="shared" si="37"/>
        <v>0</v>
      </c>
      <c r="F469" s="4" t="str">
        <f>IF(Jugadores!B469="","",Jugadores!B469)</f>
        <v>Lorona Vladimir</v>
      </c>
      <c r="G469" s="4" t="str">
        <f>IF(Jugadores!B469="","",Jugadores!A469)</f>
        <v>Tigres UANL</v>
      </c>
      <c r="H469" s="4">
        <f>IF(F469="","",SUMIF('Estadísticas Jugadores'!$F$2:$F$7001,F469,'Estadísticas Jugadores'!$J$2:$J$7001))</f>
        <v>0</v>
      </c>
      <c r="I469" s="4">
        <f t="shared" si="38"/>
        <v>-4.6899999999999995E-5</v>
      </c>
      <c r="J469" s="4">
        <f t="shared" si="39"/>
        <v>468</v>
      </c>
    </row>
    <row r="470" spans="1:10" ht="15" customHeight="1" x14ac:dyDescent="0.25">
      <c r="A470" s="8">
        <f>IF(COUNT($J$2:$J$1501)&gt;=469,469,"")</f>
        <v>469</v>
      </c>
      <c r="B470" s="8" t="str">
        <f t="shared" si="35"/>
        <v>Ordonez Delgado Fernando Imanol</v>
      </c>
      <c r="C470" s="8" t="str">
        <f t="shared" si="36"/>
        <v>Tigres UANL</v>
      </c>
      <c r="D470" s="8">
        <f t="shared" si="37"/>
        <v>0</v>
      </c>
      <c r="F470" s="4" t="str">
        <f>IF(Jugadores!B470="","",Jugadores!B470)</f>
        <v>Ordonez Delgado Fernando Imanol</v>
      </c>
      <c r="G470" s="4" t="str">
        <f>IF(Jugadores!B470="","",Jugadores!A470)</f>
        <v>Tigres UANL</v>
      </c>
      <c r="H470" s="4">
        <f>IF(F470="","",SUMIF('Estadísticas Jugadores'!$F$2:$F$7001,F470,'Estadísticas Jugadores'!$J$2:$J$7001))</f>
        <v>0</v>
      </c>
      <c r="I470" s="4">
        <f t="shared" si="38"/>
        <v>-4.6999999999999997E-5</v>
      </c>
      <c r="J470" s="4">
        <f t="shared" si="39"/>
        <v>469</v>
      </c>
    </row>
    <row r="471" spans="1:10" ht="15" customHeight="1" x14ac:dyDescent="0.25">
      <c r="A471" s="8">
        <f>IF(COUNT($J$2:$J$1501)&gt;=470,470,"")</f>
        <v>470</v>
      </c>
      <c r="B471" s="8" t="str">
        <f t="shared" si="35"/>
        <v>Rodríguez Osvaldo</v>
      </c>
      <c r="C471" s="8" t="str">
        <f t="shared" si="36"/>
        <v>Tigres UANL</v>
      </c>
      <c r="D471" s="8">
        <f t="shared" si="37"/>
        <v>0</v>
      </c>
      <c r="F471" s="4" t="str">
        <f>IF(Jugadores!B471="","",Jugadores!B471)</f>
        <v>Rodríguez Osvaldo</v>
      </c>
      <c r="G471" s="4" t="str">
        <f>IF(Jugadores!B471="","",Jugadores!A471)</f>
        <v>Tigres UANL</v>
      </c>
      <c r="H471" s="4">
        <f>IF(F471="","",SUMIF('Estadísticas Jugadores'!$F$2:$F$7001,F471,'Estadísticas Jugadores'!$J$2:$J$7001))</f>
        <v>0</v>
      </c>
      <c r="I471" s="4">
        <f t="shared" si="38"/>
        <v>-4.71E-5</v>
      </c>
      <c r="J471" s="4">
        <f t="shared" si="39"/>
        <v>470</v>
      </c>
    </row>
    <row r="472" spans="1:10" ht="15" customHeight="1" x14ac:dyDescent="0.25">
      <c r="A472" s="8">
        <f>IF(COUNT($J$2:$J$1501)&gt;=471,471,"")</f>
        <v>471</v>
      </c>
      <c r="B472" s="8" t="str">
        <f t="shared" si="35"/>
        <v>Salazar Bryan</v>
      </c>
      <c r="C472" s="8" t="str">
        <f t="shared" si="36"/>
        <v>Tigres UANL</v>
      </c>
      <c r="D472" s="8">
        <f t="shared" si="37"/>
        <v>0</v>
      </c>
      <c r="F472" s="4" t="str">
        <f>IF(Jugadores!B472="","",Jugadores!B472)</f>
        <v>Salazar Bryan</v>
      </c>
      <c r="G472" s="4" t="str">
        <f>IF(Jugadores!B472="","",Jugadores!A472)</f>
        <v>Tigres UANL</v>
      </c>
      <c r="H472" s="4">
        <f>IF(F472="","",SUMIF('Estadísticas Jugadores'!$F$2:$F$7001,F472,'Estadísticas Jugadores'!$J$2:$J$7001))</f>
        <v>0</v>
      </c>
      <c r="I472" s="4">
        <f t="shared" si="38"/>
        <v>-4.7199999999999995E-5</v>
      </c>
      <c r="J472" s="4">
        <f t="shared" si="39"/>
        <v>471</v>
      </c>
    </row>
    <row r="473" spans="1:10" ht="15" customHeight="1" x14ac:dyDescent="0.25">
      <c r="A473" s="8">
        <f>IF(COUNT($J$2:$J$1501)&gt;=472,472,"")</f>
        <v>472</v>
      </c>
      <c r="B473" s="8" t="str">
        <f t="shared" si="35"/>
        <v>Sanchez Purata Juan José</v>
      </c>
      <c r="C473" s="8" t="str">
        <f t="shared" si="36"/>
        <v>Tigres UANL</v>
      </c>
      <c r="D473" s="8">
        <f t="shared" si="37"/>
        <v>0</v>
      </c>
      <c r="F473" s="4" t="str">
        <f>IF(Jugadores!B473="","",Jugadores!B473)</f>
        <v>Sanchez Purata Juan José</v>
      </c>
      <c r="G473" s="4" t="str">
        <f>IF(Jugadores!B473="","",Jugadores!A473)</f>
        <v>Tigres UANL</v>
      </c>
      <c r="H473" s="4">
        <f>IF(F473="","",SUMIF('Estadísticas Jugadores'!$F$2:$F$7001,F473,'Estadísticas Jugadores'!$J$2:$J$7001))</f>
        <v>0</v>
      </c>
      <c r="I473" s="4">
        <f t="shared" si="38"/>
        <v>-4.7299999999999998E-5</v>
      </c>
      <c r="J473" s="4">
        <f t="shared" si="39"/>
        <v>472</v>
      </c>
    </row>
    <row r="474" spans="1:10" ht="15" customHeight="1" x14ac:dyDescent="0.25">
      <c r="A474" s="8">
        <f>IF(COUNT($J$2:$J$1501)&gt;=473,473,"")</f>
        <v>473</v>
      </c>
      <c r="B474" s="8" t="str">
        <f t="shared" si="35"/>
        <v>Araujo Cesar</v>
      </c>
      <c r="C474" s="8" t="str">
        <f t="shared" si="36"/>
        <v>Tigres UANL</v>
      </c>
      <c r="D474" s="8">
        <f t="shared" si="37"/>
        <v>0</v>
      </c>
      <c r="F474" s="4" t="str">
        <f>IF(Jugadores!B474="","",Jugadores!B474)</f>
        <v>Araujo Cesar</v>
      </c>
      <c r="G474" s="4" t="str">
        <f>IF(Jugadores!B474="","",Jugadores!A474)</f>
        <v>Tigres UANL</v>
      </c>
      <c r="H474" s="4">
        <f>IF(F474="","",SUMIF('Estadísticas Jugadores'!$F$2:$F$7001,F474,'Estadísticas Jugadores'!$J$2:$J$7001))</f>
        <v>0</v>
      </c>
      <c r="I474" s="4">
        <f t="shared" si="38"/>
        <v>-4.74E-5</v>
      </c>
      <c r="J474" s="4">
        <f t="shared" si="39"/>
        <v>473</v>
      </c>
    </row>
    <row r="475" spans="1:10" ht="15" customHeight="1" x14ac:dyDescent="0.25">
      <c r="A475" s="8">
        <f>IF(COUNT($J$2:$J$1501)&gt;=474,474,"")</f>
        <v>474</v>
      </c>
      <c r="B475" s="8" t="str">
        <f t="shared" si="35"/>
        <v>Correa Ángel</v>
      </c>
      <c r="C475" s="8" t="str">
        <f t="shared" si="36"/>
        <v>Tigres UANL</v>
      </c>
      <c r="D475" s="8">
        <f t="shared" si="37"/>
        <v>0</v>
      </c>
      <c r="F475" s="4" t="str">
        <f>IF(Jugadores!B475="","",Jugadores!B475)</f>
        <v>Correa Ángel</v>
      </c>
      <c r="G475" s="4" t="str">
        <f>IF(Jugadores!B475="","",Jugadores!A475)</f>
        <v>Tigres UANL</v>
      </c>
      <c r="H475" s="4">
        <f>IF(F475="","",SUMIF('Estadísticas Jugadores'!$F$2:$F$7001,F475,'Estadísticas Jugadores'!$J$2:$J$7001))</f>
        <v>0</v>
      </c>
      <c r="I475" s="4">
        <f t="shared" si="38"/>
        <v>-4.7499999999999996E-5</v>
      </c>
      <c r="J475" s="4">
        <f t="shared" si="39"/>
        <v>474</v>
      </c>
    </row>
    <row r="476" spans="1:10" ht="15" customHeight="1" x14ac:dyDescent="0.25">
      <c r="A476" s="8">
        <f>IF(COUNT($J$2:$J$1501)&gt;=475,475,"")</f>
        <v>475</v>
      </c>
      <c r="B476" s="8" t="str">
        <f t="shared" si="35"/>
        <v>Flores Marcelo</v>
      </c>
      <c r="C476" s="8" t="str">
        <f t="shared" si="36"/>
        <v>Tigres UANL</v>
      </c>
      <c r="D476" s="8">
        <f t="shared" si="37"/>
        <v>0</v>
      </c>
      <c r="F476" s="4" t="str">
        <f>IF(Jugadores!B476="","",Jugadores!B476)</f>
        <v>Flores Marcelo</v>
      </c>
      <c r="G476" s="4" t="str">
        <f>IF(Jugadores!B476="","",Jugadores!A476)</f>
        <v>Tigres UANL</v>
      </c>
      <c r="H476" s="4">
        <f>IF(F476="","",SUMIF('Estadísticas Jugadores'!$F$2:$F$7001,F476,'Estadísticas Jugadores'!$J$2:$J$7001))</f>
        <v>0</v>
      </c>
      <c r="I476" s="4">
        <f t="shared" si="38"/>
        <v>-4.7599999999999998E-5</v>
      </c>
      <c r="J476" s="4">
        <f t="shared" si="39"/>
        <v>475</v>
      </c>
    </row>
    <row r="477" spans="1:10" ht="15" customHeight="1" x14ac:dyDescent="0.25">
      <c r="A477" s="8">
        <f>IF(COUNT($J$2:$J$1501)&gt;=476,476,"")</f>
        <v>476</v>
      </c>
      <c r="B477" s="8" t="str">
        <f t="shared" si="35"/>
        <v>Galvan Isac</v>
      </c>
      <c r="C477" s="8" t="str">
        <f t="shared" si="36"/>
        <v>Tigres UANL</v>
      </c>
      <c r="D477" s="8">
        <f t="shared" si="37"/>
        <v>0</v>
      </c>
      <c r="F477" s="4" t="str">
        <f>IF(Jugadores!B477="","",Jugadores!B477)</f>
        <v>Galvan Isac</v>
      </c>
      <c r="G477" s="4" t="str">
        <f>IF(Jugadores!B477="","",Jugadores!A477)</f>
        <v>Tigres UANL</v>
      </c>
      <c r="H477" s="4">
        <f>IF(F477="","",SUMIF('Estadísticas Jugadores'!$F$2:$F$7001,F477,'Estadísticas Jugadores'!$J$2:$J$7001))</f>
        <v>0</v>
      </c>
      <c r="I477" s="4">
        <f t="shared" si="38"/>
        <v>-4.7700000000000001E-5</v>
      </c>
      <c r="J477" s="4">
        <f t="shared" si="39"/>
        <v>476</v>
      </c>
    </row>
    <row r="478" spans="1:10" ht="15" customHeight="1" x14ac:dyDescent="0.25">
      <c r="A478" s="8">
        <f>IF(COUNT($J$2:$J$1501)&gt;=477,477,"")</f>
        <v>477</v>
      </c>
      <c r="B478" s="8" t="str">
        <f t="shared" si="35"/>
        <v>Gorriaran Fontes Fernando</v>
      </c>
      <c r="C478" s="8" t="str">
        <f t="shared" si="36"/>
        <v>Tigres UANL</v>
      </c>
      <c r="D478" s="8">
        <f t="shared" si="37"/>
        <v>0</v>
      </c>
      <c r="F478" s="4" t="str">
        <f>IF(Jugadores!B478="","",Jugadores!B478)</f>
        <v>Gorriaran Fontes Fernando</v>
      </c>
      <c r="G478" s="4" t="str">
        <f>IF(Jugadores!B478="","",Jugadores!A478)</f>
        <v>Tigres UANL</v>
      </c>
      <c r="H478" s="4">
        <f>IF(F478="","",SUMIF('Estadísticas Jugadores'!$F$2:$F$7001,F478,'Estadísticas Jugadores'!$J$2:$J$7001))</f>
        <v>0</v>
      </c>
      <c r="I478" s="4">
        <f t="shared" si="38"/>
        <v>-4.7799999999999996E-5</v>
      </c>
      <c r="J478" s="4">
        <f t="shared" si="39"/>
        <v>477</v>
      </c>
    </row>
    <row r="479" spans="1:10" ht="15" customHeight="1" x14ac:dyDescent="0.25">
      <c r="A479" s="8">
        <f>IF(COUNT($J$2:$J$1501)&gt;=478,478,"")</f>
        <v>478</v>
      </c>
      <c r="B479" s="8" t="str">
        <f t="shared" si="35"/>
        <v>Ramirez Diego</v>
      </c>
      <c r="C479" s="8" t="str">
        <f t="shared" si="36"/>
        <v>Tigres UANL</v>
      </c>
      <c r="D479" s="8">
        <f t="shared" si="37"/>
        <v>0</v>
      </c>
      <c r="F479" s="4" t="str">
        <f>IF(Jugadores!B479="","",Jugadores!B479)</f>
        <v>Ramirez Diego</v>
      </c>
      <c r="G479" s="4" t="str">
        <f>IF(Jugadores!B479="","",Jugadores!A479)</f>
        <v>Tigres UANL</v>
      </c>
      <c r="H479" s="4">
        <f>IF(F479="","",SUMIF('Estadísticas Jugadores'!$F$2:$F$7001,F479,'Estadísticas Jugadores'!$J$2:$J$7001))</f>
        <v>0</v>
      </c>
      <c r="I479" s="4">
        <f t="shared" si="38"/>
        <v>-4.7899999999999999E-5</v>
      </c>
      <c r="J479" s="4">
        <f t="shared" si="39"/>
        <v>478</v>
      </c>
    </row>
    <row r="480" spans="1:10" ht="15" customHeight="1" x14ac:dyDescent="0.25">
      <c r="A480" s="8">
        <f>IF(COUNT($J$2:$J$1501)&gt;=479,479,"")</f>
        <v>479</v>
      </c>
      <c r="B480" s="8" t="str">
        <f t="shared" si="35"/>
        <v>Romulo</v>
      </c>
      <c r="C480" s="8" t="str">
        <f t="shared" si="36"/>
        <v>Tigres UANL</v>
      </c>
      <c r="D480" s="8">
        <f t="shared" si="37"/>
        <v>0</v>
      </c>
      <c r="F480" s="4" t="str">
        <f>IF(Jugadores!B480="","",Jugadores!B480)</f>
        <v>Romulo</v>
      </c>
      <c r="G480" s="4" t="str">
        <f>IF(Jugadores!B480="","",Jugadores!A480)</f>
        <v>Tigres UANL</v>
      </c>
      <c r="H480" s="4">
        <f>IF(F480="","",SUMIF('Estadísticas Jugadores'!$F$2:$F$7001,F480,'Estadísticas Jugadores'!$J$2:$J$7001))</f>
        <v>0</v>
      </c>
      <c r="I480" s="4">
        <f t="shared" si="38"/>
        <v>-4.8000000000000001E-5</v>
      </c>
      <c r="J480" s="4">
        <f t="shared" si="39"/>
        <v>479</v>
      </c>
    </row>
    <row r="481" spans="1:10" ht="15" customHeight="1" x14ac:dyDescent="0.25">
      <c r="A481" s="8">
        <f>IF(COUNT($J$2:$J$1501)&gt;=480,480,"")</f>
        <v>480</v>
      </c>
      <c r="B481" s="8" t="str">
        <f t="shared" si="35"/>
        <v>Salinas Villarreal Marcelo</v>
      </c>
      <c r="C481" s="8" t="str">
        <f t="shared" si="36"/>
        <v>Tigres UANL</v>
      </c>
      <c r="D481" s="8">
        <f t="shared" si="37"/>
        <v>0</v>
      </c>
      <c r="F481" s="4" t="str">
        <f>IF(Jugadores!B481="","",Jugadores!B481)</f>
        <v>Salinas Villarreal Marcelo</v>
      </c>
      <c r="G481" s="4" t="str">
        <f>IF(Jugadores!B481="","",Jugadores!A481)</f>
        <v>Tigres UANL</v>
      </c>
      <c r="H481" s="4">
        <f>IF(F481="","",SUMIF('Estadísticas Jugadores'!$F$2:$F$7001,F481,'Estadísticas Jugadores'!$J$2:$J$7001))</f>
        <v>0</v>
      </c>
      <c r="I481" s="4">
        <f t="shared" si="38"/>
        <v>-4.8099999999999997E-5</v>
      </c>
      <c r="J481" s="4">
        <f t="shared" si="39"/>
        <v>480</v>
      </c>
    </row>
    <row r="482" spans="1:10" ht="15" customHeight="1" x14ac:dyDescent="0.25">
      <c r="A482" s="8">
        <f>IF(COUNT($J$2:$J$1501)&gt;=481,481,"")</f>
        <v>481</v>
      </c>
      <c r="B482" s="8" t="str">
        <f t="shared" si="35"/>
        <v>Sanchez Guevara Diego Alexander</v>
      </c>
      <c r="C482" s="8" t="str">
        <f t="shared" si="36"/>
        <v>Tigres UANL</v>
      </c>
      <c r="D482" s="8">
        <f t="shared" si="37"/>
        <v>0</v>
      </c>
      <c r="F482" s="4" t="str">
        <f>IF(Jugadores!B482="","",Jugadores!B482)</f>
        <v>Sanchez Guevara Diego Alexander</v>
      </c>
      <c r="G482" s="4" t="str">
        <f>IF(Jugadores!B482="","",Jugadores!A482)</f>
        <v>Tigres UANL</v>
      </c>
      <c r="H482" s="4">
        <f>IF(F482="","",SUMIF('Estadísticas Jugadores'!$F$2:$F$7001,F482,'Estadísticas Jugadores'!$J$2:$J$7001))</f>
        <v>0</v>
      </c>
      <c r="I482" s="4">
        <f t="shared" si="38"/>
        <v>-4.8199999999999999E-5</v>
      </c>
      <c r="J482" s="4">
        <f t="shared" si="39"/>
        <v>481</v>
      </c>
    </row>
    <row r="483" spans="1:10" ht="15" customHeight="1" x14ac:dyDescent="0.25">
      <c r="A483" s="8">
        <f>IF(COUNT($J$2:$J$1501)&gt;=482,482,"")</f>
        <v>482</v>
      </c>
      <c r="B483" s="8" t="str">
        <f t="shared" si="35"/>
        <v>Simeone</v>
      </c>
      <c r="C483" s="8" t="str">
        <f t="shared" si="36"/>
        <v>Tigres UANL</v>
      </c>
      <c r="D483" s="8">
        <f t="shared" si="37"/>
        <v>0</v>
      </c>
      <c r="F483" s="4" t="str">
        <f>IF(Jugadores!B483="","",Jugadores!B483)</f>
        <v>Simeone</v>
      </c>
      <c r="G483" s="4" t="str">
        <f>IF(Jugadores!B483="","",Jugadores!A483)</f>
        <v>Tigres UANL</v>
      </c>
      <c r="H483" s="4">
        <f>IF(F483="","",SUMIF('Estadísticas Jugadores'!$F$2:$F$7001,F483,'Estadísticas Jugadores'!$J$2:$J$7001))</f>
        <v>0</v>
      </c>
      <c r="I483" s="4">
        <f t="shared" si="38"/>
        <v>-4.8299999999999995E-5</v>
      </c>
      <c r="J483" s="4">
        <f t="shared" si="39"/>
        <v>482</v>
      </c>
    </row>
    <row r="484" spans="1:10" ht="15" customHeight="1" x14ac:dyDescent="0.25">
      <c r="A484" s="8">
        <f>IF(COUNT($J$2:$J$1501)&gt;=483,483,"")</f>
        <v>483</v>
      </c>
      <c r="B484" s="8" t="str">
        <f t="shared" si="35"/>
        <v>Vigon Cham Juan Pablo</v>
      </c>
      <c r="C484" s="8" t="str">
        <f t="shared" si="36"/>
        <v>Tigres UANL</v>
      </c>
      <c r="D484" s="8">
        <f t="shared" si="37"/>
        <v>0</v>
      </c>
      <c r="F484" s="4" t="str">
        <f>IF(Jugadores!B484="","",Jugadores!B484)</f>
        <v>Vigon Cham Juan Pablo</v>
      </c>
      <c r="G484" s="4" t="str">
        <f>IF(Jugadores!B484="","",Jugadores!A484)</f>
        <v>Tigres UANL</v>
      </c>
      <c r="H484" s="4">
        <f>IF(F484="","",SUMIF('Estadísticas Jugadores'!$F$2:$F$7001,F484,'Estadísticas Jugadores'!$J$2:$J$7001))</f>
        <v>0</v>
      </c>
      <c r="I484" s="4">
        <f t="shared" si="38"/>
        <v>-4.8399999999999997E-5</v>
      </c>
      <c r="J484" s="4">
        <f t="shared" si="39"/>
        <v>483</v>
      </c>
    </row>
    <row r="485" spans="1:10" ht="15" customHeight="1" x14ac:dyDescent="0.25">
      <c r="A485" s="8">
        <f>IF(COUNT($J$2:$J$1501)&gt;=484,484,"")</f>
        <v>484</v>
      </c>
      <c r="B485" s="8" t="str">
        <f t="shared" si="35"/>
        <v>Aguirre Rodrigo</v>
      </c>
      <c r="C485" s="8" t="str">
        <f t="shared" si="36"/>
        <v>Tigres UANL</v>
      </c>
      <c r="D485" s="8">
        <f t="shared" si="37"/>
        <v>0</v>
      </c>
      <c r="F485" s="4" t="str">
        <f>IF(Jugadores!B485="","",Jugadores!B485)</f>
        <v>Aguirre Rodrigo</v>
      </c>
      <c r="G485" s="4" t="str">
        <f>IF(Jugadores!B485="","",Jugadores!A485)</f>
        <v>Tigres UANL</v>
      </c>
      <c r="H485" s="4">
        <f>IF(F485="","",SUMIF('Estadísticas Jugadores'!$F$2:$F$7001,F485,'Estadísticas Jugadores'!$J$2:$J$7001))</f>
        <v>0</v>
      </c>
      <c r="I485" s="4">
        <f t="shared" si="38"/>
        <v>-4.85E-5</v>
      </c>
      <c r="J485" s="4">
        <f t="shared" si="39"/>
        <v>484</v>
      </c>
    </row>
    <row r="486" spans="1:10" ht="15" customHeight="1" x14ac:dyDescent="0.25">
      <c r="A486" s="8">
        <f>IF(COUNT($J$2:$J$1501)&gt;=485,485,"")</f>
        <v>485</v>
      </c>
      <c r="B486" s="8" t="str">
        <f t="shared" si="35"/>
        <v>Brunetta Juan Francisco</v>
      </c>
      <c r="C486" s="8" t="str">
        <f t="shared" si="36"/>
        <v>Tigres UANL</v>
      </c>
      <c r="D486" s="8">
        <f t="shared" si="37"/>
        <v>0</v>
      </c>
      <c r="F486" s="4" t="str">
        <f>IF(Jugadores!B486="","",Jugadores!B486)</f>
        <v>Brunetta Juan Francisco</v>
      </c>
      <c r="G486" s="4" t="str">
        <f>IF(Jugadores!B486="","",Jugadores!A486)</f>
        <v>Tigres UANL</v>
      </c>
      <c r="H486" s="4">
        <f>IF(F486="","",SUMIF('Estadísticas Jugadores'!$F$2:$F$7001,F486,'Estadísticas Jugadores'!$J$2:$J$7001))</f>
        <v>0</v>
      </c>
      <c r="I486" s="4">
        <f t="shared" si="38"/>
        <v>-4.8599999999999995E-5</v>
      </c>
      <c r="J486" s="4">
        <f t="shared" si="39"/>
        <v>485</v>
      </c>
    </row>
    <row r="487" spans="1:10" ht="15" customHeight="1" x14ac:dyDescent="0.25">
      <c r="A487" s="8">
        <f>IF(COUNT($J$2:$J$1501)&gt;=486,486,"")</f>
        <v>486</v>
      </c>
      <c r="B487" s="8" t="str">
        <f t="shared" si="35"/>
        <v>Galvan Isaias</v>
      </c>
      <c r="C487" s="8" t="str">
        <f t="shared" si="36"/>
        <v>Tigres UANL</v>
      </c>
      <c r="D487" s="8">
        <f t="shared" si="37"/>
        <v>0</v>
      </c>
      <c r="F487" s="4" t="str">
        <f>IF(Jugadores!B487="","",Jugadores!B487)</f>
        <v>Galvan Isaias</v>
      </c>
      <c r="G487" s="4" t="str">
        <f>IF(Jugadores!B487="","",Jugadores!A487)</f>
        <v>Tigres UANL</v>
      </c>
      <c r="H487" s="4">
        <f>IF(F487="","",SUMIF('Estadísticas Jugadores'!$F$2:$F$7001,F487,'Estadísticas Jugadores'!$J$2:$J$7001))</f>
        <v>0</v>
      </c>
      <c r="I487" s="4">
        <f t="shared" si="38"/>
        <v>-4.8699999999999998E-5</v>
      </c>
      <c r="J487" s="4">
        <f t="shared" si="39"/>
        <v>486</v>
      </c>
    </row>
    <row r="488" spans="1:10" ht="15" customHeight="1" x14ac:dyDescent="0.25">
      <c r="A488" s="8">
        <f>IF(COUNT($J$2:$J$1501)&gt;=487,487,"")</f>
        <v>487</v>
      </c>
      <c r="B488" s="8" t="str">
        <f t="shared" si="35"/>
        <v>Gignac Andre-Pierre</v>
      </c>
      <c r="C488" s="8" t="str">
        <f t="shared" si="36"/>
        <v>Tigres UANL</v>
      </c>
      <c r="D488" s="8">
        <f t="shared" si="37"/>
        <v>0</v>
      </c>
      <c r="F488" s="4" t="str">
        <f>IF(Jugadores!B488="","",Jugadores!B488)</f>
        <v>Gignac Andre-Pierre</v>
      </c>
      <c r="G488" s="4" t="str">
        <f>IF(Jugadores!B488="","",Jugadores!A488)</f>
        <v>Tigres UANL</v>
      </c>
      <c r="H488" s="4">
        <f>IF(F488="","",SUMIF('Estadísticas Jugadores'!$F$2:$F$7001,F488,'Estadísticas Jugadores'!$J$2:$J$7001))</f>
        <v>0</v>
      </c>
      <c r="I488" s="4">
        <f t="shared" si="38"/>
        <v>-4.88E-5</v>
      </c>
      <c r="J488" s="4">
        <f t="shared" si="39"/>
        <v>487</v>
      </c>
    </row>
    <row r="489" spans="1:10" ht="15" customHeight="1" x14ac:dyDescent="0.25">
      <c r="A489" s="8">
        <f>IF(COUNT($J$2:$J$1501)&gt;=488,488,"")</f>
        <v>488</v>
      </c>
      <c r="B489" s="8" t="str">
        <f t="shared" si="35"/>
        <v>Herrera Ozziel</v>
      </c>
      <c r="C489" s="8" t="str">
        <f t="shared" si="36"/>
        <v>Tigres UANL</v>
      </c>
      <c r="D489" s="8">
        <f t="shared" si="37"/>
        <v>0</v>
      </c>
      <c r="F489" s="4" t="str">
        <f>IF(Jugadores!B489="","",Jugadores!B489)</f>
        <v>Herrera Ozziel</v>
      </c>
      <c r="G489" s="4" t="str">
        <f>IF(Jugadores!B489="","",Jugadores!A489)</f>
        <v>Tigres UANL</v>
      </c>
      <c r="H489" s="4">
        <f>IF(F489="","",SUMIF('Estadísticas Jugadores'!$F$2:$F$7001,F489,'Estadísticas Jugadores'!$J$2:$J$7001))</f>
        <v>0</v>
      </c>
      <c r="I489" s="4">
        <f t="shared" si="38"/>
        <v>-4.8899999999999996E-5</v>
      </c>
      <c r="J489" s="4">
        <f t="shared" si="39"/>
        <v>488</v>
      </c>
    </row>
    <row r="490" spans="1:10" ht="15" customHeight="1" x14ac:dyDescent="0.25">
      <c r="A490" s="8">
        <f>IF(COUNT($J$2:$J$1501)&gt;=489,489,"")</f>
        <v>489</v>
      </c>
      <c r="B490" s="8" t="str">
        <f t="shared" si="35"/>
        <v>Lainez Diego</v>
      </c>
      <c r="C490" s="8" t="str">
        <f t="shared" si="36"/>
        <v>Tigres UANL</v>
      </c>
      <c r="D490" s="8">
        <f t="shared" si="37"/>
        <v>0</v>
      </c>
      <c r="F490" s="4" t="str">
        <f>IF(Jugadores!B490="","",Jugadores!B490)</f>
        <v>Lainez Diego</v>
      </c>
      <c r="G490" s="4" t="str">
        <f>IF(Jugadores!B490="","",Jugadores!A490)</f>
        <v>Tigres UANL</v>
      </c>
      <c r="H490" s="4">
        <f>IF(F490="","",SUMIF('Estadísticas Jugadores'!$F$2:$F$7001,F490,'Estadísticas Jugadores'!$J$2:$J$7001))</f>
        <v>0</v>
      </c>
      <c r="I490" s="4">
        <f t="shared" si="38"/>
        <v>-4.8999999999999998E-5</v>
      </c>
      <c r="J490" s="4">
        <f t="shared" si="39"/>
        <v>489</v>
      </c>
    </row>
    <row r="491" spans="1:10" ht="15" customHeight="1" x14ac:dyDescent="0.25">
      <c r="A491" s="8">
        <f>IF(COUNT($J$2:$J$1501)&gt;=490,490,"")</f>
        <v>490</v>
      </c>
      <c r="B491" s="8" t="str">
        <f t="shared" si="35"/>
        <v>de Maria Campos Antoino</v>
      </c>
      <c r="C491" s="8" t="str">
        <f t="shared" si="36"/>
        <v>Tigres UANL</v>
      </c>
      <c r="D491" s="8">
        <f t="shared" si="37"/>
        <v>0</v>
      </c>
      <c r="F491" s="4" t="str">
        <f>IF(Jugadores!B491="","",Jugadores!B491)</f>
        <v>de Maria Campos Antoino</v>
      </c>
      <c r="G491" s="4" t="str">
        <f>IF(Jugadores!B491="","",Jugadores!A491)</f>
        <v>Tigres UANL</v>
      </c>
      <c r="H491" s="4">
        <f>IF(F491="","",SUMIF('Estadísticas Jugadores'!$F$2:$F$7001,F491,'Estadísticas Jugadores'!$J$2:$J$7001))</f>
        <v>0</v>
      </c>
      <c r="I491" s="4">
        <f t="shared" si="38"/>
        <v>-4.9100000000000001E-5</v>
      </c>
      <c r="J491" s="4">
        <f t="shared" si="39"/>
        <v>490</v>
      </c>
    </row>
    <row r="492" spans="1:10" ht="15" customHeight="1" x14ac:dyDescent="0.25">
      <c r="A492" s="8">
        <f>IF(COUNT($J$2:$J$1501)&gt;=491,491,"")</f>
        <v>491</v>
      </c>
      <c r="B492" s="8" t="str">
        <f t="shared" si="35"/>
        <v>Liceaga Juan</v>
      </c>
      <c r="C492" s="8" t="str">
        <f t="shared" si="36"/>
        <v>Guadalajara</v>
      </c>
      <c r="D492" s="8">
        <f t="shared" si="37"/>
        <v>0</v>
      </c>
      <c r="F492" s="4" t="str">
        <f>IF(Jugadores!B492="","",Jugadores!B492)</f>
        <v>Liceaga Juan</v>
      </c>
      <c r="G492" s="4" t="str">
        <f>IF(Jugadores!B492="","",Jugadores!A492)</f>
        <v>Guadalajara</v>
      </c>
      <c r="H492" s="4">
        <f>IF(F492="","",SUMIF('Estadísticas Jugadores'!$F$2:$F$7001,F492,'Estadísticas Jugadores'!$J$2:$J$7001))</f>
        <v>0</v>
      </c>
      <c r="I492" s="4">
        <f t="shared" si="38"/>
        <v>-4.9199999999999997E-5</v>
      </c>
      <c r="J492" s="4">
        <f t="shared" si="39"/>
        <v>491</v>
      </c>
    </row>
    <row r="493" spans="1:10" ht="15" customHeight="1" x14ac:dyDescent="0.25">
      <c r="A493" s="8">
        <f>IF(COUNT($J$2:$J$1501)&gt;=492,492,"")</f>
        <v>492</v>
      </c>
      <c r="B493" s="8" t="str">
        <f t="shared" si="35"/>
        <v>Rangel Raul</v>
      </c>
      <c r="C493" s="8" t="str">
        <f t="shared" si="36"/>
        <v>Guadalajara</v>
      </c>
      <c r="D493" s="8">
        <f t="shared" si="37"/>
        <v>0</v>
      </c>
      <c r="F493" s="4" t="str">
        <f>IF(Jugadores!B493="","",Jugadores!B493)</f>
        <v>Rangel Raul</v>
      </c>
      <c r="G493" s="4" t="str">
        <f>IF(Jugadores!B493="","",Jugadores!A493)</f>
        <v>Guadalajara</v>
      </c>
      <c r="H493" s="4">
        <f>IF(F493="","",SUMIF('Estadísticas Jugadores'!$F$2:$F$7001,F493,'Estadísticas Jugadores'!$J$2:$J$7001))</f>
        <v>0</v>
      </c>
      <c r="I493" s="4">
        <f t="shared" si="38"/>
        <v>-4.9299999999999999E-5</v>
      </c>
      <c r="J493" s="4">
        <f t="shared" si="39"/>
        <v>492</v>
      </c>
    </row>
    <row r="494" spans="1:10" ht="15" customHeight="1" x14ac:dyDescent="0.25">
      <c r="A494" s="8">
        <f>IF(COUNT($J$2:$J$1501)&gt;=493,493,"")</f>
        <v>493</v>
      </c>
      <c r="B494" s="8" t="str">
        <f t="shared" si="35"/>
        <v>Whalley Oscar</v>
      </c>
      <c r="C494" s="8" t="str">
        <f t="shared" si="36"/>
        <v>Guadalajara</v>
      </c>
      <c r="D494" s="8">
        <f t="shared" si="37"/>
        <v>0</v>
      </c>
      <c r="F494" s="4" t="str">
        <f>IF(Jugadores!B494="","",Jugadores!B494)</f>
        <v>Whalley Oscar</v>
      </c>
      <c r="G494" s="4" t="str">
        <f>IF(Jugadores!B494="","",Jugadores!A494)</f>
        <v>Guadalajara</v>
      </c>
      <c r="H494" s="4">
        <f>IF(F494="","",SUMIF('Estadísticas Jugadores'!$F$2:$F$7001,F494,'Estadísticas Jugadores'!$J$2:$J$7001))</f>
        <v>0</v>
      </c>
      <c r="I494" s="4">
        <f t="shared" si="38"/>
        <v>-4.9399999999999995E-5</v>
      </c>
      <c r="J494" s="4">
        <f t="shared" si="39"/>
        <v>493</v>
      </c>
    </row>
    <row r="495" spans="1:10" ht="15" customHeight="1" x14ac:dyDescent="0.25">
      <c r="A495" s="8">
        <f>IF(COUNT($J$2:$J$1501)&gt;=494,494,"")</f>
        <v>494</v>
      </c>
      <c r="B495" s="8" t="str">
        <f t="shared" si="35"/>
        <v>Aguirre Daniel</v>
      </c>
      <c r="C495" s="8" t="str">
        <f t="shared" si="36"/>
        <v>Guadalajara</v>
      </c>
      <c r="D495" s="8">
        <f t="shared" si="37"/>
        <v>0</v>
      </c>
      <c r="F495" s="4" t="str">
        <f>IF(Jugadores!B495="","",Jugadores!B495)</f>
        <v>Aguirre Daniel</v>
      </c>
      <c r="G495" s="4" t="str">
        <f>IF(Jugadores!B495="","",Jugadores!A495)</f>
        <v>Guadalajara</v>
      </c>
      <c r="H495" s="4">
        <f>IF(F495="","",SUMIF('Estadísticas Jugadores'!$F$2:$F$7001,F495,'Estadísticas Jugadores'!$J$2:$J$7001))</f>
        <v>0</v>
      </c>
      <c r="I495" s="4">
        <f t="shared" si="38"/>
        <v>-4.9499999999999997E-5</v>
      </c>
      <c r="J495" s="4">
        <f t="shared" si="39"/>
        <v>494</v>
      </c>
    </row>
    <row r="496" spans="1:10" ht="15" customHeight="1" x14ac:dyDescent="0.25">
      <c r="A496" s="8">
        <f>IF(COUNT($J$2:$J$1501)&gt;=495,495,"")</f>
        <v>495</v>
      </c>
      <c r="B496" s="8" t="str">
        <f t="shared" si="35"/>
        <v>Campillo Del Campo Diego</v>
      </c>
      <c r="C496" s="8" t="str">
        <f t="shared" si="36"/>
        <v>Guadalajara</v>
      </c>
      <c r="D496" s="8">
        <f t="shared" si="37"/>
        <v>0</v>
      </c>
      <c r="F496" s="4" t="str">
        <f>IF(Jugadores!B496="","",Jugadores!B496)</f>
        <v>Campillo Del Campo Diego</v>
      </c>
      <c r="G496" s="4" t="str">
        <f>IF(Jugadores!B496="","",Jugadores!A496)</f>
        <v>Guadalajara</v>
      </c>
      <c r="H496" s="4">
        <f>IF(F496="","",SUMIF('Estadísticas Jugadores'!$F$2:$F$7001,F496,'Estadísticas Jugadores'!$J$2:$J$7001))</f>
        <v>0</v>
      </c>
      <c r="I496" s="4">
        <f t="shared" si="38"/>
        <v>-4.9599999999999999E-5</v>
      </c>
      <c r="J496" s="4">
        <f t="shared" si="39"/>
        <v>495</v>
      </c>
    </row>
    <row r="497" spans="1:10" ht="15" customHeight="1" x14ac:dyDescent="0.25">
      <c r="A497" s="8">
        <f>IF(COUNT($J$2:$J$1501)&gt;=496,496,"")</f>
        <v>496</v>
      </c>
      <c r="B497" s="8" t="str">
        <f t="shared" si="35"/>
        <v>Castillo Perez Jose</v>
      </c>
      <c r="C497" s="8" t="str">
        <f t="shared" si="36"/>
        <v>Guadalajara</v>
      </c>
      <c r="D497" s="8">
        <f t="shared" si="37"/>
        <v>0</v>
      </c>
      <c r="F497" s="4" t="str">
        <f>IF(Jugadores!B497="","",Jugadores!B497)</f>
        <v>Castillo Perez Jose</v>
      </c>
      <c r="G497" s="4" t="str">
        <f>IF(Jugadores!B497="","",Jugadores!A497)</f>
        <v>Guadalajara</v>
      </c>
      <c r="H497" s="4">
        <f>IF(F497="","",SUMIF('Estadísticas Jugadores'!$F$2:$F$7001,F497,'Estadísticas Jugadores'!$J$2:$J$7001))</f>
        <v>0</v>
      </c>
      <c r="I497" s="4">
        <f t="shared" si="38"/>
        <v>-4.9699999999999995E-5</v>
      </c>
      <c r="J497" s="4">
        <f t="shared" si="39"/>
        <v>496</v>
      </c>
    </row>
    <row r="498" spans="1:10" ht="15" customHeight="1" x14ac:dyDescent="0.25">
      <c r="A498" s="8">
        <f>IF(COUNT($J$2:$J$1501)&gt;=497,497,"")</f>
        <v>497</v>
      </c>
      <c r="B498" s="8" t="str">
        <f t="shared" si="35"/>
        <v>Chavez Angel</v>
      </c>
      <c r="C498" s="8" t="str">
        <f t="shared" si="36"/>
        <v>Guadalajara</v>
      </c>
      <c r="D498" s="8">
        <f t="shared" si="37"/>
        <v>0</v>
      </c>
      <c r="F498" s="4" t="str">
        <f>IF(Jugadores!B498="","",Jugadores!B498)</f>
        <v>Chavez Angel</v>
      </c>
      <c r="G498" s="4" t="str">
        <f>IF(Jugadores!B498="","",Jugadores!A498)</f>
        <v>Guadalajara</v>
      </c>
      <c r="H498" s="4">
        <f>IF(F498="","",SUMIF('Estadísticas Jugadores'!$F$2:$F$7001,F498,'Estadísticas Jugadores'!$J$2:$J$7001))</f>
        <v>0</v>
      </c>
      <c r="I498" s="4">
        <f t="shared" si="38"/>
        <v>-4.9799999999999998E-5</v>
      </c>
      <c r="J498" s="4">
        <f t="shared" si="39"/>
        <v>497</v>
      </c>
    </row>
    <row r="499" spans="1:10" ht="15" customHeight="1" x14ac:dyDescent="0.25">
      <c r="A499" s="8">
        <f>IF(COUNT($J$2:$J$1501)&gt;=498,498,"")</f>
        <v>498</v>
      </c>
      <c r="B499" s="8" t="str">
        <f t="shared" si="35"/>
        <v>Gomez Miguel</v>
      </c>
      <c r="C499" s="8" t="str">
        <f t="shared" si="36"/>
        <v>Guadalajara</v>
      </c>
      <c r="D499" s="8">
        <f t="shared" si="37"/>
        <v>0</v>
      </c>
      <c r="F499" s="4" t="str">
        <f>IF(Jugadores!B499="","",Jugadores!B499)</f>
        <v>Gomez Miguel</v>
      </c>
      <c r="G499" s="4" t="str">
        <f>IF(Jugadores!B499="","",Jugadores!A499)</f>
        <v>Guadalajara</v>
      </c>
      <c r="H499" s="4">
        <f>IF(F499="","",SUMIF('Estadísticas Jugadores'!$F$2:$F$7001,F499,'Estadísticas Jugadores'!$J$2:$J$7001))</f>
        <v>0</v>
      </c>
      <c r="I499" s="4">
        <f t="shared" si="38"/>
        <v>-4.99E-5</v>
      </c>
      <c r="J499" s="4">
        <f t="shared" si="39"/>
        <v>498</v>
      </c>
    </row>
    <row r="500" spans="1:10" ht="15" customHeight="1" x14ac:dyDescent="0.25">
      <c r="A500" s="8">
        <f>IF(COUNT($J$2:$J$1501)&gt;=499,499,"")</f>
        <v>499</v>
      </c>
      <c r="B500" s="8" t="str">
        <f t="shared" si="35"/>
        <v>Gonzalez Bryan</v>
      </c>
      <c r="C500" s="8" t="str">
        <f t="shared" si="36"/>
        <v>Guadalajara</v>
      </c>
      <c r="D500" s="8">
        <f t="shared" si="37"/>
        <v>0</v>
      </c>
      <c r="F500" s="4" t="str">
        <f>IF(Jugadores!B500="","",Jugadores!B500)</f>
        <v>Gonzalez Bryan</v>
      </c>
      <c r="G500" s="4" t="str">
        <f>IF(Jugadores!B500="","",Jugadores!A500)</f>
        <v>Guadalajara</v>
      </c>
      <c r="H500" s="4">
        <f>IF(F500="","",SUMIF('Estadísticas Jugadores'!$F$2:$F$7001,F500,'Estadísticas Jugadores'!$J$2:$J$7001))</f>
        <v>0</v>
      </c>
      <c r="I500" s="4">
        <f t="shared" si="38"/>
        <v>-4.9999999999999996E-5</v>
      </c>
      <c r="J500" s="4">
        <f t="shared" si="39"/>
        <v>499</v>
      </c>
    </row>
    <row r="501" spans="1:10" ht="15" customHeight="1" x14ac:dyDescent="0.25">
      <c r="A501" s="8">
        <f>IF(COUNT($J$2:$J$1501)&gt;=500,500,"")</f>
        <v>500</v>
      </c>
      <c r="B501" s="8" t="str">
        <f t="shared" si="35"/>
        <v>Ledezma Richard</v>
      </c>
      <c r="C501" s="8" t="str">
        <f t="shared" si="36"/>
        <v>Guadalajara</v>
      </c>
      <c r="D501" s="8">
        <f t="shared" si="37"/>
        <v>0</v>
      </c>
      <c r="F501" s="4" t="str">
        <f>IF(Jugadores!B501="","",Jugadores!B501)</f>
        <v>Ledezma Richard</v>
      </c>
      <c r="G501" s="4" t="str">
        <f>IF(Jugadores!B501="","",Jugadores!A501)</f>
        <v>Guadalajara</v>
      </c>
      <c r="H501" s="4">
        <f>IF(F501="","",SUMIF('Estadísticas Jugadores'!$F$2:$F$7001,F501,'Estadísticas Jugadores'!$J$2:$J$7001))</f>
        <v>0</v>
      </c>
      <c r="I501" s="4">
        <f t="shared" si="38"/>
        <v>-5.0099999999999998E-5</v>
      </c>
      <c r="J501" s="4">
        <f t="shared" si="39"/>
        <v>500</v>
      </c>
    </row>
    <row r="502" spans="1:10" ht="15" customHeight="1" x14ac:dyDescent="0.25">
      <c r="A502" s="8">
        <f>IF(COUNT($J$2:$J$1501)&gt;=501,501,"")</f>
        <v>501</v>
      </c>
      <c r="B502" s="8" t="str">
        <f t="shared" si="35"/>
        <v>Tapias Miguel</v>
      </c>
      <c r="C502" s="8" t="str">
        <f t="shared" si="36"/>
        <v>Guadalajara</v>
      </c>
      <c r="D502" s="8">
        <f t="shared" si="37"/>
        <v>0</v>
      </c>
      <c r="F502" s="4" t="str">
        <f>IF(Jugadores!B502="","",Jugadores!B502)</f>
        <v>Tapias Miguel</v>
      </c>
      <c r="G502" s="4" t="str">
        <f>IF(Jugadores!B502="","",Jugadores!A502)</f>
        <v>Guadalajara</v>
      </c>
      <c r="H502" s="4">
        <f>IF(F502="","",SUMIF('Estadísticas Jugadores'!$F$2:$F$7001,F502,'Estadísticas Jugadores'!$J$2:$J$7001))</f>
        <v>0</v>
      </c>
      <c r="I502" s="4">
        <f t="shared" si="38"/>
        <v>-5.02E-5</v>
      </c>
      <c r="J502" s="4">
        <f t="shared" si="39"/>
        <v>501</v>
      </c>
    </row>
    <row r="503" spans="1:10" ht="15" customHeight="1" x14ac:dyDescent="0.25">
      <c r="A503" s="8">
        <f>IF(COUNT($J$2:$J$1501)&gt;=502,502,"")</f>
        <v>502</v>
      </c>
      <c r="B503" s="8" t="str">
        <f t="shared" si="35"/>
        <v>Alvarado Roberto</v>
      </c>
      <c r="C503" s="8" t="str">
        <f t="shared" si="36"/>
        <v>Guadalajara</v>
      </c>
      <c r="D503" s="8">
        <f t="shared" si="37"/>
        <v>0</v>
      </c>
      <c r="F503" s="4" t="str">
        <f>IF(Jugadores!B503="","",Jugadores!B503)</f>
        <v>Alvarado Roberto</v>
      </c>
      <c r="G503" s="4" t="str">
        <f>IF(Jugadores!B503="","",Jugadores!A503)</f>
        <v>Guadalajara</v>
      </c>
      <c r="H503" s="4">
        <f>IF(F503="","",SUMIF('Estadísticas Jugadores'!$F$2:$F$7001,F503,'Estadísticas Jugadores'!$J$2:$J$7001))</f>
        <v>0</v>
      </c>
      <c r="I503" s="4">
        <f t="shared" si="38"/>
        <v>-5.0299999999999996E-5</v>
      </c>
      <c r="J503" s="4">
        <f t="shared" si="39"/>
        <v>502</v>
      </c>
    </row>
    <row r="504" spans="1:10" ht="15" customHeight="1" x14ac:dyDescent="0.25">
      <c r="A504" s="8">
        <f>IF(COUNT($J$2:$J$1501)&gt;=503,503,"")</f>
        <v>503</v>
      </c>
      <c r="B504" s="8" t="str">
        <f t="shared" si="35"/>
        <v>Alvarez Efrain</v>
      </c>
      <c r="C504" s="8" t="str">
        <f t="shared" si="36"/>
        <v>Guadalajara</v>
      </c>
      <c r="D504" s="8">
        <f t="shared" si="37"/>
        <v>0</v>
      </c>
      <c r="F504" s="4" t="str">
        <f>IF(Jugadores!B504="","",Jugadores!B504)</f>
        <v>Alvarez Efrain</v>
      </c>
      <c r="G504" s="4" t="str">
        <f>IF(Jugadores!B504="","",Jugadores!A504)</f>
        <v>Guadalajara</v>
      </c>
      <c r="H504" s="4">
        <f>IF(F504="","",SUMIF('Estadísticas Jugadores'!$F$2:$F$7001,F504,'Estadísticas Jugadores'!$J$2:$J$7001))</f>
        <v>0</v>
      </c>
      <c r="I504" s="4">
        <f t="shared" si="38"/>
        <v>-5.0399999999999999E-5</v>
      </c>
      <c r="J504" s="4">
        <f t="shared" si="39"/>
        <v>503</v>
      </c>
    </row>
    <row r="505" spans="1:10" ht="15" customHeight="1" x14ac:dyDescent="0.25">
      <c r="A505" s="8">
        <f>IF(COUNT($J$2:$J$1501)&gt;=504,504,"")</f>
        <v>504</v>
      </c>
      <c r="B505" s="8" t="str">
        <f t="shared" si="35"/>
        <v>Castaneda Kevin</v>
      </c>
      <c r="C505" s="8" t="str">
        <f t="shared" si="36"/>
        <v>Guadalajara</v>
      </c>
      <c r="D505" s="8">
        <f t="shared" si="37"/>
        <v>0</v>
      </c>
      <c r="F505" s="4" t="str">
        <f>IF(Jugadores!B505="","",Jugadores!B505)</f>
        <v>Castaneda Kevin</v>
      </c>
      <c r="G505" s="4" t="str">
        <f>IF(Jugadores!B505="","",Jugadores!A505)</f>
        <v>Guadalajara</v>
      </c>
      <c r="H505" s="4">
        <f>IF(F505="","",SUMIF('Estadísticas Jugadores'!$F$2:$F$7001,F505,'Estadísticas Jugadores'!$J$2:$J$7001))</f>
        <v>0</v>
      </c>
      <c r="I505" s="4">
        <f t="shared" si="38"/>
        <v>-5.0500000000000001E-5</v>
      </c>
      <c r="J505" s="4">
        <f t="shared" si="39"/>
        <v>504</v>
      </c>
    </row>
    <row r="506" spans="1:10" ht="15" customHeight="1" x14ac:dyDescent="0.25">
      <c r="A506" s="8">
        <f>IF(COUNT($J$2:$J$1501)&gt;=505,505,"")</f>
        <v>505</v>
      </c>
      <c r="B506" s="8" t="str">
        <f t="shared" si="35"/>
        <v>Gonzalez Fernando</v>
      </c>
      <c r="C506" s="8" t="str">
        <f t="shared" si="36"/>
        <v>Guadalajara</v>
      </c>
      <c r="D506" s="8">
        <f t="shared" si="37"/>
        <v>0</v>
      </c>
      <c r="F506" s="4" t="str">
        <f>IF(Jugadores!B506="","",Jugadores!B506)</f>
        <v>Gonzalez Fernando</v>
      </c>
      <c r="G506" s="4" t="str">
        <f>IF(Jugadores!B506="","",Jugadores!A506)</f>
        <v>Guadalajara</v>
      </c>
      <c r="H506" s="4">
        <f>IF(F506="","",SUMIF('Estadísticas Jugadores'!$F$2:$F$7001,F506,'Estadísticas Jugadores'!$J$2:$J$7001))</f>
        <v>0</v>
      </c>
      <c r="I506" s="4">
        <f t="shared" si="38"/>
        <v>-5.0599999999999997E-5</v>
      </c>
      <c r="J506" s="4">
        <f t="shared" si="39"/>
        <v>505</v>
      </c>
    </row>
    <row r="507" spans="1:10" ht="15" customHeight="1" x14ac:dyDescent="0.25">
      <c r="A507" s="8">
        <f>IF(COUNT($J$2:$J$1501)&gt;=506,506,"")</f>
        <v>506</v>
      </c>
      <c r="B507" s="8" t="str">
        <f t="shared" si="35"/>
        <v>Govea Omar</v>
      </c>
      <c r="C507" s="8" t="str">
        <f t="shared" si="36"/>
        <v>Guadalajara</v>
      </c>
      <c r="D507" s="8">
        <f t="shared" si="37"/>
        <v>0</v>
      </c>
      <c r="F507" s="4" t="str">
        <f>IF(Jugadores!B507="","",Jugadores!B507)</f>
        <v>Govea Omar</v>
      </c>
      <c r="G507" s="4" t="str">
        <f>IF(Jugadores!B507="","",Jugadores!A507)</f>
        <v>Guadalajara</v>
      </c>
      <c r="H507" s="4">
        <f>IF(F507="","",SUMIF('Estadísticas Jugadores'!$F$2:$F$7001,F507,'Estadísticas Jugadores'!$J$2:$J$7001))</f>
        <v>0</v>
      </c>
      <c r="I507" s="4">
        <f t="shared" si="38"/>
        <v>-5.0699999999999999E-5</v>
      </c>
      <c r="J507" s="4">
        <f t="shared" si="39"/>
        <v>506</v>
      </c>
    </row>
    <row r="508" spans="1:10" ht="15" customHeight="1" x14ac:dyDescent="0.25">
      <c r="A508" s="8">
        <f>IF(COUNT($J$2:$J$1501)&gt;=507,507,"")</f>
        <v>507</v>
      </c>
      <c r="B508" s="8" t="str">
        <f t="shared" si="35"/>
        <v>Gutiérrez Brian</v>
      </c>
      <c r="C508" s="8" t="str">
        <f t="shared" si="36"/>
        <v>Guadalajara</v>
      </c>
      <c r="D508" s="8">
        <f t="shared" si="37"/>
        <v>0</v>
      </c>
      <c r="F508" s="4" t="str">
        <f>IF(Jugadores!B508="","",Jugadores!B508)</f>
        <v>Gutiérrez Brian</v>
      </c>
      <c r="G508" s="4" t="str">
        <f>IF(Jugadores!B508="","",Jugadores!A508)</f>
        <v>Guadalajara</v>
      </c>
      <c r="H508" s="4">
        <f>IF(F508="","",SUMIF('Estadísticas Jugadores'!$F$2:$F$7001,F508,'Estadísticas Jugadores'!$J$2:$J$7001))</f>
        <v>0</v>
      </c>
      <c r="I508" s="4">
        <f t="shared" si="38"/>
        <v>-5.0799999999999995E-5</v>
      </c>
      <c r="J508" s="4">
        <f t="shared" si="39"/>
        <v>507</v>
      </c>
    </row>
    <row r="509" spans="1:10" ht="15" customHeight="1" x14ac:dyDescent="0.25">
      <c r="A509" s="8">
        <f>IF(COUNT($J$2:$J$1501)&gt;=508,508,"")</f>
        <v>508</v>
      </c>
      <c r="B509" s="8" t="str">
        <f t="shared" si="35"/>
        <v>Inda Samir</v>
      </c>
      <c r="C509" s="8" t="str">
        <f t="shared" si="36"/>
        <v>Guadalajara</v>
      </c>
      <c r="D509" s="8">
        <f t="shared" si="37"/>
        <v>0</v>
      </c>
      <c r="F509" s="4" t="str">
        <f>IF(Jugadores!B509="","",Jugadores!B509)</f>
        <v>Inda Samir</v>
      </c>
      <c r="G509" s="4" t="str">
        <f>IF(Jugadores!B509="","",Jugadores!A509)</f>
        <v>Guadalajara</v>
      </c>
      <c r="H509" s="4">
        <f>IF(F509="","",SUMIF('Estadísticas Jugadores'!$F$2:$F$7001,F509,'Estadísticas Jugadores'!$J$2:$J$7001))</f>
        <v>0</v>
      </c>
      <c r="I509" s="4">
        <f t="shared" si="38"/>
        <v>-5.0899999999999997E-5</v>
      </c>
      <c r="J509" s="4">
        <f t="shared" si="39"/>
        <v>508</v>
      </c>
    </row>
    <row r="510" spans="1:10" ht="15" customHeight="1" x14ac:dyDescent="0.25">
      <c r="A510" s="8">
        <f>IF(COUNT($J$2:$J$1501)&gt;=509,509,"")</f>
        <v>509</v>
      </c>
      <c r="B510" s="8" t="str">
        <f t="shared" si="35"/>
        <v>Mata Hugo</v>
      </c>
      <c r="C510" s="8" t="str">
        <f t="shared" si="36"/>
        <v>Guadalajara</v>
      </c>
      <c r="D510" s="8">
        <f t="shared" si="37"/>
        <v>0</v>
      </c>
      <c r="F510" s="4" t="str">
        <f>IF(Jugadores!B510="","",Jugadores!B510)</f>
        <v>Mata Hugo</v>
      </c>
      <c r="G510" s="4" t="str">
        <f>IF(Jugadores!B510="","",Jugadores!A510)</f>
        <v>Guadalajara</v>
      </c>
      <c r="H510" s="4">
        <f>IF(F510="","",SUMIF('Estadísticas Jugadores'!$F$2:$F$7001,F510,'Estadísticas Jugadores'!$J$2:$J$7001))</f>
        <v>0</v>
      </c>
      <c r="I510" s="4">
        <f t="shared" si="38"/>
        <v>-5.1E-5</v>
      </c>
      <c r="J510" s="4">
        <f t="shared" si="39"/>
        <v>509</v>
      </c>
    </row>
    <row r="511" spans="1:10" ht="15" customHeight="1" x14ac:dyDescent="0.25">
      <c r="A511" s="8">
        <f>IF(COUNT($J$2:$J$1501)&gt;=510,510,"")</f>
        <v>510</v>
      </c>
      <c r="B511" s="8" t="str">
        <f t="shared" si="35"/>
        <v>Rey Luis</v>
      </c>
      <c r="C511" s="8" t="str">
        <f t="shared" si="36"/>
        <v>Guadalajara</v>
      </c>
      <c r="D511" s="8">
        <f t="shared" si="37"/>
        <v>0</v>
      </c>
      <c r="F511" s="4" t="str">
        <f>IF(Jugadores!B511="","",Jugadores!B511)</f>
        <v>Rey Luis</v>
      </c>
      <c r="G511" s="4" t="str">
        <f>IF(Jugadores!B511="","",Jugadores!A511)</f>
        <v>Guadalajara</v>
      </c>
      <c r="H511" s="4">
        <f>IF(F511="","",SUMIF('Estadísticas Jugadores'!$F$2:$F$7001,F511,'Estadísticas Jugadores'!$J$2:$J$7001))</f>
        <v>0</v>
      </c>
      <c r="I511" s="4">
        <f t="shared" si="38"/>
        <v>-5.1099999999999995E-5</v>
      </c>
      <c r="J511" s="4">
        <f t="shared" si="39"/>
        <v>510</v>
      </c>
    </row>
    <row r="512" spans="1:10" ht="15" customHeight="1" x14ac:dyDescent="0.25">
      <c r="A512" s="8">
        <f>IF(COUNT($J$2:$J$1501)&gt;=511,511,"")</f>
        <v>511</v>
      </c>
      <c r="B512" s="8" t="str">
        <f t="shared" si="35"/>
        <v>Romo Luis</v>
      </c>
      <c r="C512" s="8" t="str">
        <f t="shared" si="36"/>
        <v>Guadalajara</v>
      </c>
      <c r="D512" s="8">
        <f t="shared" si="37"/>
        <v>0</v>
      </c>
      <c r="F512" s="4" t="str">
        <f>IF(Jugadores!B512="","",Jugadores!B512)</f>
        <v>Romo Luis</v>
      </c>
      <c r="G512" s="4" t="str">
        <f>IF(Jugadores!B512="","",Jugadores!A512)</f>
        <v>Guadalajara</v>
      </c>
      <c r="H512" s="4">
        <f>IF(F512="","",SUMIF('Estadísticas Jugadores'!$F$2:$F$7001,F512,'Estadísticas Jugadores'!$J$2:$J$7001))</f>
        <v>0</v>
      </c>
      <c r="I512" s="4">
        <f t="shared" si="38"/>
        <v>-5.1199999999999998E-5</v>
      </c>
      <c r="J512" s="4">
        <f t="shared" si="39"/>
        <v>511</v>
      </c>
    </row>
    <row r="513" spans="1:10" ht="15" customHeight="1" x14ac:dyDescent="0.25">
      <c r="A513" s="8">
        <f>IF(COUNT($J$2:$J$1501)&gt;=512,512,"")</f>
        <v>512</v>
      </c>
      <c r="B513" s="8" t="str">
        <f t="shared" si="35"/>
        <v>Sandoval Santiago</v>
      </c>
      <c r="C513" s="8" t="str">
        <f t="shared" si="36"/>
        <v>Guadalajara</v>
      </c>
      <c r="D513" s="8">
        <f t="shared" si="37"/>
        <v>0</v>
      </c>
      <c r="F513" s="4" t="str">
        <f>IF(Jugadores!B513="","",Jugadores!B513)</f>
        <v>Sandoval Santiago</v>
      </c>
      <c r="G513" s="4" t="str">
        <f>IF(Jugadores!B513="","",Jugadores!A513)</f>
        <v>Guadalajara</v>
      </c>
      <c r="H513" s="4">
        <f>IF(F513="","",SUMIF('Estadísticas Jugadores'!$F$2:$F$7001,F513,'Estadísticas Jugadores'!$J$2:$J$7001))</f>
        <v>0</v>
      </c>
      <c r="I513" s="4">
        <f t="shared" si="38"/>
        <v>-5.13E-5</v>
      </c>
      <c r="J513" s="4">
        <f t="shared" si="39"/>
        <v>512</v>
      </c>
    </row>
    <row r="514" spans="1:10" ht="15" customHeight="1" x14ac:dyDescent="0.25">
      <c r="A514" s="8">
        <f>IF(COUNT($J$2:$J$1501)&gt;=513,513,"")</f>
        <v>513</v>
      </c>
      <c r="B514" s="8" t="str">
        <f t="shared" ref="B514:B577" si="40">IF($A514="","",INDEX($F$2:$F$1501,MATCH($A514,$J$2:$J$1501,0)))</f>
        <v>Aguayo Sergio</v>
      </c>
      <c r="C514" s="8" t="str">
        <f t="shared" ref="C514:C577" si="41">IF($A514="","",INDEX($G$2:$G$1501,MATCH($A514,$J$2:$J$1501,0)))</f>
        <v>Guadalajara</v>
      </c>
      <c r="D514" s="8">
        <f t="shared" ref="D514:D577" si="42">IF($A514="","",INDEX($H$2:$H$1501,MATCH($A514,$J$2:$J$1501,0)))</f>
        <v>0</v>
      </c>
      <c r="F514" s="4" t="str">
        <f>IF(Jugadores!B514="","",Jugadores!B514)</f>
        <v>Aguayo Sergio</v>
      </c>
      <c r="G514" s="4" t="str">
        <f>IF(Jugadores!B514="","",Jugadores!A514)</f>
        <v>Guadalajara</v>
      </c>
      <c r="H514" s="4">
        <f>IF(F514="","",SUMIF('Estadísticas Jugadores'!$F$2:$F$7001,F514,'Estadísticas Jugadores'!$J$2:$J$7001))</f>
        <v>0</v>
      </c>
      <c r="I514" s="4">
        <f t="shared" ref="I514:I577" si="43">IF(F514="","",H514*1000-ROW()*0.0000001)</f>
        <v>-5.1399999999999996E-5</v>
      </c>
      <c r="J514" s="4">
        <f t="shared" ref="J514:J577" si="44">IF(F514="","",RANK(I514,$I$2:$I$1501))</f>
        <v>513</v>
      </c>
    </row>
    <row r="515" spans="1:10" ht="15" customHeight="1" x14ac:dyDescent="0.25">
      <c r="A515" s="8">
        <f>IF(COUNT($J$2:$J$1501)&gt;=514,514,"")</f>
        <v>514</v>
      </c>
      <c r="B515" s="8" t="str">
        <f t="shared" si="40"/>
        <v>Camberos Hugo</v>
      </c>
      <c r="C515" s="8" t="str">
        <f t="shared" si="41"/>
        <v>Guadalajara</v>
      </c>
      <c r="D515" s="8">
        <f t="shared" si="42"/>
        <v>0</v>
      </c>
      <c r="F515" s="4" t="str">
        <f>IF(Jugadores!B515="","",Jugadores!B515)</f>
        <v>Camberos Hugo</v>
      </c>
      <c r="G515" s="4" t="str">
        <f>IF(Jugadores!B515="","",Jugadores!A515)</f>
        <v>Guadalajara</v>
      </c>
      <c r="H515" s="4">
        <f>IF(F515="","",SUMIF('Estadísticas Jugadores'!$F$2:$F$7001,F515,'Estadísticas Jugadores'!$J$2:$J$7001))</f>
        <v>0</v>
      </c>
      <c r="I515" s="4">
        <f t="shared" si="43"/>
        <v>-5.1499999999999998E-5</v>
      </c>
      <c r="J515" s="4">
        <f t="shared" si="44"/>
        <v>514</v>
      </c>
    </row>
    <row r="516" spans="1:10" ht="15" customHeight="1" x14ac:dyDescent="0.25">
      <c r="A516" s="8">
        <f>IF(COUNT($J$2:$J$1501)&gt;=515,515,"")</f>
        <v>515</v>
      </c>
      <c r="B516" s="8" t="str">
        <f t="shared" si="40"/>
        <v>Carrillo Jordan</v>
      </c>
      <c r="C516" s="8" t="str">
        <f t="shared" si="41"/>
        <v>Guadalajara</v>
      </c>
      <c r="D516" s="8">
        <f t="shared" si="42"/>
        <v>0</v>
      </c>
      <c r="F516" s="4" t="str">
        <f>IF(Jugadores!B516="","",Jugadores!B516)</f>
        <v>Carrillo Jordan</v>
      </c>
      <c r="G516" s="4" t="str">
        <f>IF(Jugadores!B516="","",Jugadores!A516)</f>
        <v>Guadalajara</v>
      </c>
      <c r="H516" s="4">
        <f>IF(F516="","",SUMIF('Estadísticas Jugadores'!$F$2:$F$7001,F516,'Estadísticas Jugadores'!$J$2:$J$7001))</f>
        <v>0</v>
      </c>
      <c r="I516" s="4">
        <f t="shared" si="43"/>
        <v>-5.1600000000000001E-5</v>
      </c>
      <c r="J516" s="4">
        <f t="shared" si="44"/>
        <v>515</v>
      </c>
    </row>
    <row r="517" spans="1:10" ht="15" customHeight="1" x14ac:dyDescent="0.25">
      <c r="A517" s="8">
        <f>IF(COUNT($J$2:$J$1501)&gt;=516,516,"")</f>
        <v>516</v>
      </c>
      <c r="B517" s="8" t="str">
        <f t="shared" si="40"/>
        <v>Gonzalez Armando</v>
      </c>
      <c r="C517" s="8" t="str">
        <f t="shared" si="41"/>
        <v>Guadalajara</v>
      </c>
      <c r="D517" s="8">
        <f t="shared" si="42"/>
        <v>0</v>
      </c>
      <c r="F517" s="4" t="str">
        <f>IF(Jugadores!B517="","",Jugadores!B517)</f>
        <v>Gonzalez Armando</v>
      </c>
      <c r="G517" s="4" t="str">
        <f>IF(Jugadores!B517="","",Jugadores!A517)</f>
        <v>Guadalajara</v>
      </c>
      <c r="H517" s="4">
        <f>IF(F517="","",SUMIF('Estadísticas Jugadores'!$F$2:$F$7001,F517,'Estadísticas Jugadores'!$J$2:$J$7001))</f>
        <v>0</v>
      </c>
      <c r="I517" s="4">
        <f t="shared" si="43"/>
        <v>-5.1699999999999996E-5</v>
      </c>
      <c r="J517" s="4">
        <f t="shared" si="44"/>
        <v>516</v>
      </c>
    </row>
    <row r="518" spans="1:10" ht="15" customHeight="1" x14ac:dyDescent="0.25">
      <c r="A518" s="8">
        <f>IF(COUNT($J$2:$J$1501)&gt;=517,517,"")</f>
        <v>517</v>
      </c>
      <c r="B518" s="8" t="str">
        <f t="shared" si="40"/>
        <v>Latorre Diego</v>
      </c>
      <c r="C518" s="8" t="str">
        <f t="shared" si="41"/>
        <v>Guadalajara</v>
      </c>
      <c r="D518" s="8">
        <f t="shared" si="42"/>
        <v>0</v>
      </c>
      <c r="F518" s="4" t="str">
        <f>IF(Jugadores!B518="","",Jugadores!B518)</f>
        <v>Latorre Diego</v>
      </c>
      <c r="G518" s="4" t="str">
        <f>IF(Jugadores!B518="","",Jugadores!A518)</f>
        <v>Guadalajara</v>
      </c>
      <c r="H518" s="4">
        <f>IF(F518="","",SUMIF('Estadísticas Jugadores'!$F$2:$F$7001,F518,'Estadísticas Jugadores'!$J$2:$J$7001))</f>
        <v>0</v>
      </c>
      <c r="I518" s="4">
        <f t="shared" si="43"/>
        <v>-5.1799999999999999E-5</v>
      </c>
      <c r="J518" s="4">
        <f t="shared" si="44"/>
        <v>517</v>
      </c>
    </row>
    <row r="519" spans="1:10" ht="15" customHeight="1" x14ac:dyDescent="0.25">
      <c r="A519" s="8">
        <f>IF(COUNT($J$2:$J$1501)&gt;=518,518,"")</f>
        <v>518</v>
      </c>
      <c r="B519" s="8" t="str">
        <f t="shared" si="40"/>
        <v>Marin Ricardo</v>
      </c>
      <c r="C519" s="8" t="str">
        <f t="shared" si="41"/>
        <v>Guadalajara</v>
      </c>
      <c r="D519" s="8">
        <f t="shared" si="42"/>
        <v>0</v>
      </c>
      <c r="F519" s="4" t="str">
        <f>IF(Jugadores!B519="","",Jugadores!B519)</f>
        <v>Marin Ricardo</v>
      </c>
      <c r="G519" s="4" t="str">
        <f>IF(Jugadores!B519="","",Jugadores!A519)</f>
        <v>Guadalajara</v>
      </c>
      <c r="H519" s="4">
        <f>IF(F519="","",SUMIF('Estadísticas Jugadores'!$F$2:$F$7001,F519,'Estadísticas Jugadores'!$J$2:$J$7001))</f>
        <v>0</v>
      </c>
      <c r="I519" s="4">
        <f t="shared" si="43"/>
        <v>-5.1899999999999994E-5</v>
      </c>
      <c r="J519" s="4">
        <f t="shared" si="44"/>
        <v>518</v>
      </c>
    </row>
    <row r="520" spans="1:10" ht="15" customHeight="1" x14ac:dyDescent="0.25">
      <c r="A520" s="8">
        <f>IF(COUNT($J$2:$J$1501)&gt;=519,519,"")</f>
        <v>519</v>
      </c>
      <c r="B520" s="8" t="str">
        <f t="shared" si="40"/>
        <v>Pérez Jonathan</v>
      </c>
      <c r="C520" s="8" t="str">
        <f t="shared" si="41"/>
        <v>Guadalajara</v>
      </c>
      <c r="D520" s="8">
        <f t="shared" si="42"/>
        <v>0</v>
      </c>
      <c r="F520" s="4" t="str">
        <f>IF(Jugadores!B520="","",Jugadores!B520)</f>
        <v>Pérez Jonathan</v>
      </c>
      <c r="G520" s="4" t="str">
        <f>IF(Jugadores!B520="","",Jugadores!A520)</f>
        <v>Guadalajara</v>
      </c>
      <c r="H520" s="4">
        <f>IF(F520="","",SUMIF('Estadísticas Jugadores'!$F$2:$F$7001,F520,'Estadísticas Jugadores'!$J$2:$J$7001))</f>
        <v>0</v>
      </c>
      <c r="I520" s="4">
        <f t="shared" si="43"/>
        <v>-5.1999999999999997E-5</v>
      </c>
      <c r="J520" s="4">
        <f t="shared" si="44"/>
        <v>519</v>
      </c>
    </row>
    <row r="521" spans="1:10" ht="15" customHeight="1" x14ac:dyDescent="0.25">
      <c r="A521" s="8">
        <f>IF(COUNT($J$2:$J$1501)&gt;=520,520,"")</f>
        <v>520</v>
      </c>
      <c r="B521" s="8" t="str">
        <f t="shared" si="40"/>
        <v>Sepúlveda Ángel Baltazar</v>
      </c>
      <c r="C521" s="8" t="str">
        <f t="shared" si="41"/>
        <v>Guadalajara</v>
      </c>
      <c r="D521" s="8">
        <f t="shared" si="42"/>
        <v>0</v>
      </c>
      <c r="F521" s="4" t="str">
        <f>IF(Jugadores!B521="","",Jugadores!B521)</f>
        <v>Sepúlveda Ángel Baltazar</v>
      </c>
      <c r="G521" s="4" t="str">
        <f>IF(Jugadores!B521="","",Jugadores!A521)</f>
        <v>Guadalajara</v>
      </c>
      <c r="H521" s="4">
        <f>IF(F521="","",SUMIF('Estadísticas Jugadores'!$F$2:$F$7001,F521,'Estadísticas Jugadores'!$J$2:$J$7001))</f>
        <v>0</v>
      </c>
      <c r="I521" s="4">
        <f t="shared" si="43"/>
        <v>-5.2099999999999999E-5</v>
      </c>
      <c r="J521" s="4">
        <f t="shared" si="44"/>
        <v>520</v>
      </c>
    </row>
    <row r="522" spans="1:10" ht="15" customHeight="1" x14ac:dyDescent="0.25">
      <c r="A522" s="8">
        <f>IF(COUNT($J$2:$J$1501)&gt;=521,521,"")</f>
        <v>521</v>
      </c>
      <c r="B522" s="8" t="str">
        <f t="shared" si="40"/>
        <v>Lara Pablo</v>
      </c>
      <c r="C522" s="8" t="str">
        <f t="shared" si="41"/>
        <v>Pumas UNAM</v>
      </c>
      <c r="D522" s="8">
        <f t="shared" si="42"/>
        <v>0</v>
      </c>
      <c r="F522" s="4" t="str">
        <f>IF(Jugadores!B522="","",Jugadores!B522)</f>
        <v>Lara Pablo</v>
      </c>
      <c r="G522" s="4" t="str">
        <f>IF(Jugadores!B522="","",Jugadores!A522)</f>
        <v>Pumas UNAM</v>
      </c>
      <c r="H522" s="4">
        <f>IF(F522="","",SUMIF('Estadísticas Jugadores'!$F$2:$F$7001,F522,'Estadísticas Jugadores'!$J$2:$J$7001))</f>
        <v>0</v>
      </c>
      <c r="I522" s="4">
        <f t="shared" si="43"/>
        <v>-5.2199999999999995E-5</v>
      </c>
      <c r="J522" s="4">
        <f t="shared" si="44"/>
        <v>521</v>
      </c>
    </row>
    <row r="523" spans="1:10" ht="15" customHeight="1" x14ac:dyDescent="0.25">
      <c r="A523" s="8">
        <f>IF(COUNT($J$2:$J$1501)&gt;=522,522,"")</f>
        <v>522</v>
      </c>
      <c r="B523" s="8" t="str">
        <f t="shared" si="40"/>
        <v>Navas Keylor</v>
      </c>
      <c r="C523" s="8" t="str">
        <f t="shared" si="41"/>
        <v>Pumas UNAM</v>
      </c>
      <c r="D523" s="8">
        <f t="shared" si="42"/>
        <v>0</v>
      </c>
      <c r="F523" s="4" t="str">
        <f>IF(Jugadores!B523="","",Jugadores!B523)</f>
        <v>Navas Keylor</v>
      </c>
      <c r="G523" s="4" t="str">
        <f>IF(Jugadores!B523="","",Jugadores!A523)</f>
        <v>Pumas UNAM</v>
      </c>
      <c r="H523" s="4">
        <f>IF(F523="","",SUMIF('Estadísticas Jugadores'!$F$2:$F$7001,F523,'Estadísticas Jugadores'!$J$2:$J$7001))</f>
        <v>0</v>
      </c>
      <c r="I523" s="4">
        <f t="shared" si="43"/>
        <v>-5.2299999999999997E-5</v>
      </c>
      <c r="J523" s="4">
        <f t="shared" si="44"/>
        <v>522</v>
      </c>
    </row>
    <row r="524" spans="1:10" ht="15" customHeight="1" x14ac:dyDescent="0.25">
      <c r="A524" s="8">
        <f>IF(COUNT($J$2:$J$1501)&gt;=523,523,"")</f>
        <v>523</v>
      </c>
      <c r="B524" s="8" t="str">
        <f t="shared" si="40"/>
        <v>Paul Miguel</v>
      </c>
      <c r="C524" s="8" t="str">
        <f t="shared" si="41"/>
        <v>Pumas UNAM</v>
      </c>
      <c r="D524" s="8">
        <f t="shared" si="42"/>
        <v>0</v>
      </c>
      <c r="F524" s="4" t="str">
        <f>IF(Jugadores!B524="","",Jugadores!B524)</f>
        <v>Paul Miguel</v>
      </c>
      <c r="G524" s="4" t="str">
        <f>IF(Jugadores!B524="","",Jugadores!A524)</f>
        <v>Pumas UNAM</v>
      </c>
      <c r="H524" s="4">
        <f>IF(F524="","",SUMIF('Estadísticas Jugadores'!$F$2:$F$7001,F524,'Estadísticas Jugadores'!$J$2:$J$7001))</f>
        <v>0</v>
      </c>
      <c r="I524" s="4">
        <f t="shared" si="43"/>
        <v>-5.24E-5</v>
      </c>
      <c r="J524" s="4">
        <f t="shared" si="44"/>
        <v>523</v>
      </c>
    </row>
    <row r="525" spans="1:10" ht="15" customHeight="1" x14ac:dyDescent="0.25">
      <c r="A525" s="8">
        <f>IF(COUNT($J$2:$J$1501)&gt;=524,524,"")</f>
        <v>524</v>
      </c>
      <c r="B525" s="8" t="str">
        <f t="shared" si="40"/>
        <v>Angulo Mosquera Alvaro Anyiver</v>
      </c>
      <c r="C525" s="8" t="str">
        <f t="shared" si="41"/>
        <v>Pumas UNAM</v>
      </c>
      <c r="D525" s="8">
        <f t="shared" si="42"/>
        <v>0</v>
      </c>
      <c r="F525" s="4" t="str">
        <f>IF(Jugadores!B525="","",Jugadores!B525)</f>
        <v>Angulo Mosquera Alvaro Anyiver</v>
      </c>
      <c r="G525" s="4" t="str">
        <f>IF(Jugadores!B525="","",Jugadores!A525)</f>
        <v>Pumas UNAM</v>
      </c>
      <c r="H525" s="4">
        <f>IF(F525="","",SUMIF('Estadísticas Jugadores'!$F$2:$F$7001,F525,'Estadísticas Jugadores'!$J$2:$J$7001))</f>
        <v>0</v>
      </c>
      <c r="I525" s="4">
        <f t="shared" si="43"/>
        <v>-5.2499999999999995E-5</v>
      </c>
      <c r="J525" s="4">
        <f t="shared" si="44"/>
        <v>524</v>
      </c>
    </row>
    <row r="526" spans="1:10" ht="15" customHeight="1" x14ac:dyDescent="0.25">
      <c r="A526" s="8">
        <f>IF(COUNT($J$2:$J$1501)&gt;=525,525,"")</f>
        <v>525</v>
      </c>
      <c r="B526" s="8" t="str">
        <f t="shared" si="40"/>
        <v>Azuaje Angel</v>
      </c>
      <c r="C526" s="8" t="str">
        <f t="shared" si="41"/>
        <v>Pumas UNAM</v>
      </c>
      <c r="D526" s="8">
        <f t="shared" si="42"/>
        <v>0</v>
      </c>
      <c r="F526" s="4" t="str">
        <f>IF(Jugadores!B526="","",Jugadores!B526)</f>
        <v>Azuaje Angel</v>
      </c>
      <c r="G526" s="4" t="str">
        <f>IF(Jugadores!B526="","",Jugadores!A526)</f>
        <v>Pumas UNAM</v>
      </c>
      <c r="H526" s="4">
        <f>IF(F526="","",SUMIF('Estadísticas Jugadores'!$F$2:$F$7001,F526,'Estadísticas Jugadores'!$J$2:$J$7001))</f>
        <v>0</v>
      </c>
      <c r="I526" s="4">
        <f t="shared" si="43"/>
        <v>-5.2599999999999998E-5</v>
      </c>
      <c r="J526" s="4">
        <f t="shared" si="44"/>
        <v>525</v>
      </c>
    </row>
    <row r="527" spans="1:10" ht="15" customHeight="1" x14ac:dyDescent="0.25">
      <c r="A527" s="8">
        <f>IF(COUNT($J$2:$J$1501)&gt;=526,526,"")</f>
        <v>526</v>
      </c>
      <c r="B527" s="8" t="str">
        <f t="shared" si="40"/>
        <v>Bennevendo Pablo</v>
      </c>
      <c r="C527" s="8" t="str">
        <f t="shared" si="41"/>
        <v>Pumas UNAM</v>
      </c>
      <c r="D527" s="8">
        <f t="shared" si="42"/>
        <v>0</v>
      </c>
      <c r="F527" s="4" t="str">
        <f>IF(Jugadores!B527="","",Jugadores!B527)</f>
        <v>Bennevendo Pablo</v>
      </c>
      <c r="G527" s="4" t="str">
        <f>IF(Jugadores!B527="","",Jugadores!A527)</f>
        <v>Pumas UNAM</v>
      </c>
      <c r="H527" s="4">
        <f>IF(F527="","",SUMIF('Estadísticas Jugadores'!$F$2:$F$7001,F527,'Estadísticas Jugadores'!$J$2:$J$7001))</f>
        <v>0</v>
      </c>
      <c r="I527" s="4">
        <f t="shared" si="43"/>
        <v>-5.27E-5</v>
      </c>
      <c r="J527" s="4">
        <f t="shared" si="44"/>
        <v>526</v>
      </c>
    </row>
    <row r="528" spans="1:10" ht="15" customHeight="1" x14ac:dyDescent="0.25">
      <c r="A528" s="8">
        <f>IF(COUNT($J$2:$J$1501)&gt;=527,527,"")</f>
        <v>527</v>
      </c>
      <c r="B528" s="8" t="str">
        <f t="shared" si="40"/>
        <v>Calderon De Real Cristian Yonathan</v>
      </c>
      <c r="C528" s="8" t="str">
        <f t="shared" si="41"/>
        <v>Pumas UNAM</v>
      </c>
      <c r="D528" s="8">
        <f t="shared" si="42"/>
        <v>0</v>
      </c>
      <c r="F528" s="4" t="str">
        <f>IF(Jugadores!B528="","",Jugadores!B528)</f>
        <v>Calderon De Real Cristian Yonathan</v>
      </c>
      <c r="G528" s="4" t="str">
        <f>IF(Jugadores!B528="","",Jugadores!A528)</f>
        <v>Pumas UNAM</v>
      </c>
      <c r="H528" s="4">
        <f>IF(F528="","",SUMIF('Estadísticas Jugadores'!$F$2:$F$7001,F528,'Estadísticas Jugadores'!$J$2:$J$7001))</f>
        <v>0</v>
      </c>
      <c r="I528" s="4">
        <f t="shared" si="43"/>
        <v>-5.2799999999999996E-5</v>
      </c>
      <c r="J528" s="4">
        <f t="shared" si="44"/>
        <v>527</v>
      </c>
    </row>
    <row r="529" spans="1:10" ht="15" customHeight="1" x14ac:dyDescent="0.25">
      <c r="A529" s="8">
        <f>IF(COUNT($J$2:$J$1501)&gt;=528,528,"")</f>
        <v>528</v>
      </c>
      <c r="B529" s="8" t="str">
        <f t="shared" si="40"/>
        <v>Duarte Rubén</v>
      </c>
      <c r="C529" s="8" t="str">
        <f t="shared" si="41"/>
        <v>Pumas UNAM</v>
      </c>
      <c r="D529" s="8">
        <f t="shared" si="42"/>
        <v>0</v>
      </c>
      <c r="F529" s="4" t="str">
        <f>IF(Jugadores!B529="","",Jugadores!B529)</f>
        <v>Duarte Rubén</v>
      </c>
      <c r="G529" s="4" t="str">
        <f>IF(Jugadores!B529="","",Jugadores!A529)</f>
        <v>Pumas UNAM</v>
      </c>
      <c r="H529" s="4">
        <f>IF(F529="","",SUMIF('Estadísticas Jugadores'!$F$2:$F$7001,F529,'Estadísticas Jugadores'!$J$2:$J$7001))</f>
        <v>0</v>
      </c>
      <c r="I529" s="4">
        <f t="shared" si="43"/>
        <v>-5.2899999999999998E-5</v>
      </c>
      <c r="J529" s="4">
        <f t="shared" si="44"/>
        <v>528</v>
      </c>
    </row>
    <row r="530" spans="1:10" ht="15" customHeight="1" x14ac:dyDescent="0.25">
      <c r="A530" s="8">
        <f>IF(COUNT($J$2:$J$1501)&gt;=529,529,"")</f>
        <v>529</v>
      </c>
      <c r="B530" s="8" t="str">
        <f t="shared" si="40"/>
        <v>Leone Tony</v>
      </c>
      <c r="C530" s="8" t="str">
        <f t="shared" si="41"/>
        <v>Pumas UNAM</v>
      </c>
      <c r="D530" s="8">
        <f t="shared" si="42"/>
        <v>0</v>
      </c>
      <c r="F530" s="4" t="str">
        <f>IF(Jugadores!B530="","",Jugadores!B530)</f>
        <v>Leone Tony</v>
      </c>
      <c r="G530" s="4" t="str">
        <f>IF(Jugadores!B530="","",Jugadores!A530)</f>
        <v>Pumas UNAM</v>
      </c>
      <c r="H530" s="4">
        <f>IF(F530="","",SUMIF('Estadísticas Jugadores'!$F$2:$F$7001,F530,'Estadísticas Jugadores'!$J$2:$J$7001))</f>
        <v>0</v>
      </c>
      <c r="I530" s="4">
        <f t="shared" si="43"/>
        <v>-5.3000000000000001E-5</v>
      </c>
      <c r="J530" s="4">
        <f t="shared" si="44"/>
        <v>529</v>
      </c>
    </row>
    <row r="531" spans="1:10" ht="15" customHeight="1" x14ac:dyDescent="0.25">
      <c r="A531" s="8">
        <f>IF(COUNT($J$2:$J$1501)&gt;=530,530,"")</f>
        <v>530</v>
      </c>
      <c r="B531" s="8" t="str">
        <f t="shared" si="40"/>
        <v>Nathan Silva</v>
      </c>
      <c r="C531" s="8" t="str">
        <f t="shared" si="41"/>
        <v>Pumas UNAM</v>
      </c>
      <c r="D531" s="8">
        <f t="shared" si="42"/>
        <v>0</v>
      </c>
      <c r="F531" s="4" t="str">
        <f>IF(Jugadores!B531="","",Jugadores!B531)</f>
        <v>Nathan Silva</v>
      </c>
      <c r="G531" s="4" t="str">
        <f>IF(Jugadores!B531="","",Jugadores!A531)</f>
        <v>Pumas UNAM</v>
      </c>
      <c r="H531" s="4">
        <f>IF(F531="","",SUMIF('Estadísticas Jugadores'!$F$2:$F$7001,F531,'Estadísticas Jugadores'!$J$2:$J$7001))</f>
        <v>0</v>
      </c>
      <c r="I531" s="4">
        <f t="shared" si="43"/>
        <v>-5.3099999999999996E-5</v>
      </c>
      <c r="J531" s="4">
        <f t="shared" si="44"/>
        <v>530</v>
      </c>
    </row>
    <row r="532" spans="1:10" ht="15" customHeight="1" x14ac:dyDescent="0.25">
      <c r="A532" s="8">
        <f>IF(COUNT($J$2:$J$1501)&gt;=531,531,"")</f>
        <v>531</v>
      </c>
      <c r="B532" s="8" t="str">
        <f t="shared" si="40"/>
        <v>Ramirez Denis</v>
      </c>
      <c r="C532" s="8" t="str">
        <f t="shared" si="41"/>
        <v>Pumas UNAM</v>
      </c>
      <c r="D532" s="8">
        <f t="shared" si="42"/>
        <v>0</v>
      </c>
      <c r="F532" s="4" t="str">
        <f>IF(Jugadores!B532="","",Jugadores!B532)</f>
        <v>Ramirez Denis</v>
      </c>
      <c r="G532" s="4" t="str">
        <f>IF(Jugadores!B532="","",Jugadores!A532)</f>
        <v>Pumas UNAM</v>
      </c>
      <c r="H532" s="4">
        <f>IF(F532="","",SUMIF('Estadísticas Jugadores'!$F$2:$F$7001,F532,'Estadísticas Jugadores'!$J$2:$J$7001))</f>
        <v>0</v>
      </c>
      <c r="I532" s="4">
        <f t="shared" si="43"/>
        <v>-5.3199999999999999E-5</v>
      </c>
      <c r="J532" s="4">
        <f t="shared" si="44"/>
        <v>531</v>
      </c>
    </row>
    <row r="533" spans="1:10" ht="15" customHeight="1" x14ac:dyDescent="0.25">
      <c r="A533" s="8">
        <f>IF(COUNT($J$2:$J$1501)&gt;=532,532,"")</f>
        <v>532</v>
      </c>
      <c r="B533" s="8" t="str">
        <f t="shared" si="40"/>
        <v>Rivas Jesus</v>
      </c>
      <c r="C533" s="8" t="str">
        <f t="shared" si="41"/>
        <v>Pumas UNAM</v>
      </c>
      <c r="D533" s="8">
        <f t="shared" si="42"/>
        <v>0</v>
      </c>
      <c r="F533" s="4" t="str">
        <f>IF(Jugadores!B533="","",Jugadores!B533)</f>
        <v>Rivas Jesus</v>
      </c>
      <c r="G533" s="4" t="str">
        <f>IF(Jugadores!B533="","",Jugadores!A533)</f>
        <v>Pumas UNAM</v>
      </c>
      <c r="H533" s="4">
        <f>IF(F533="","",SUMIF('Estadísticas Jugadores'!$F$2:$F$7001,F533,'Estadísticas Jugadores'!$J$2:$J$7001))</f>
        <v>0</v>
      </c>
      <c r="I533" s="4">
        <f t="shared" si="43"/>
        <v>-5.3299999999999995E-5</v>
      </c>
      <c r="J533" s="4">
        <f t="shared" si="44"/>
        <v>532</v>
      </c>
    </row>
    <row r="534" spans="1:10" ht="15" customHeight="1" x14ac:dyDescent="0.25">
      <c r="A534" s="8">
        <f>IF(COUNT($J$2:$J$1501)&gt;=533,533,"")</f>
        <v>533</v>
      </c>
      <c r="B534" s="8" t="str">
        <f t="shared" si="40"/>
        <v>Antuna Uriel</v>
      </c>
      <c r="C534" s="8" t="str">
        <f t="shared" si="41"/>
        <v>Pumas UNAM</v>
      </c>
      <c r="D534" s="8">
        <f t="shared" si="42"/>
        <v>0</v>
      </c>
      <c r="F534" s="4" t="str">
        <f>IF(Jugadores!B534="","",Jugadores!B534)</f>
        <v>Antuna Uriel</v>
      </c>
      <c r="G534" s="4" t="str">
        <f>IF(Jugadores!B534="","",Jugadores!A534)</f>
        <v>Pumas UNAM</v>
      </c>
      <c r="H534" s="4">
        <f>IF(F534="","",SUMIF('Estadísticas Jugadores'!$F$2:$F$7001,F534,'Estadísticas Jugadores'!$J$2:$J$7001))</f>
        <v>0</v>
      </c>
      <c r="I534" s="4">
        <f t="shared" si="43"/>
        <v>-5.3399999999999997E-5</v>
      </c>
      <c r="J534" s="4">
        <f t="shared" si="44"/>
        <v>533</v>
      </c>
    </row>
    <row r="535" spans="1:10" ht="15" customHeight="1" x14ac:dyDescent="0.25">
      <c r="A535" s="8">
        <f>IF(COUNT($J$2:$J$1501)&gt;=534,534,"")</f>
        <v>534</v>
      </c>
      <c r="B535" s="8" t="str">
        <f t="shared" si="40"/>
        <v>Arteaga Victor</v>
      </c>
      <c r="C535" s="8" t="str">
        <f t="shared" si="41"/>
        <v>Pumas UNAM</v>
      </c>
      <c r="D535" s="8">
        <f t="shared" si="42"/>
        <v>0</v>
      </c>
      <c r="F535" s="4" t="str">
        <f>IF(Jugadores!B535="","",Jugadores!B535)</f>
        <v>Arteaga Victor</v>
      </c>
      <c r="G535" s="4" t="str">
        <f>IF(Jugadores!B535="","",Jugadores!A535)</f>
        <v>Pumas UNAM</v>
      </c>
      <c r="H535" s="4">
        <f>IF(F535="","",SUMIF('Estadísticas Jugadores'!$F$2:$F$7001,F535,'Estadísticas Jugadores'!$J$2:$J$7001))</f>
        <v>0</v>
      </c>
      <c r="I535" s="4">
        <f t="shared" si="43"/>
        <v>-5.3499999999999999E-5</v>
      </c>
      <c r="J535" s="4">
        <f t="shared" si="44"/>
        <v>534</v>
      </c>
    </row>
    <row r="536" spans="1:10" ht="15" customHeight="1" x14ac:dyDescent="0.25">
      <c r="A536" s="8">
        <f>IF(COUNT($J$2:$J$1501)&gt;=535,535,"")</f>
        <v>535</v>
      </c>
      <c r="B536" s="8" t="str">
        <f t="shared" si="40"/>
        <v>Carranza Kleber</v>
      </c>
      <c r="C536" s="8" t="str">
        <f t="shared" si="41"/>
        <v>Pumas UNAM</v>
      </c>
      <c r="D536" s="8">
        <f t="shared" si="42"/>
        <v>0</v>
      </c>
      <c r="F536" s="4" t="str">
        <f>IF(Jugadores!B536="","",Jugadores!B536)</f>
        <v>Carranza Kleber</v>
      </c>
      <c r="G536" s="4" t="str">
        <f>IF(Jugadores!B536="","",Jugadores!A536)</f>
        <v>Pumas UNAM</v>
      </c>
      <c r="H536" s="4">
        <f>IF(F536="","",SUMIF('Estadísticas Jugadores'!$F$2:$F$7001,F536,'Estadísticas Jugadores'!$J$2:$J$7001))</f>
        <v>0</v>
      </c>
      <c r="I536" s="4">
        <f t="shared" si="43"/>
        <v>-5.3599999999999995E-5</v>
      </c>
      <c r="J536" s="4">
        <f t="shared" si="44"/>
        <v>535</v>
      </c>
    </row>
    <row r="537" spans="1:10" ht="15" customHeight="1" x14ac:dyDescent="0.25">
      <c r="A537" s="8">
        <f>IF(COUNT($J$2:$J$1501)&gt;=536,536,"")</f>
        <v>536</v>
      </c>
      <c r="B537" s="8" t="str">
        <f t="shared" si="40"/>
        <v>Carrasquilla Adalberto</v>
      </c>
      <c r="C537" s="8" t="str">
        <f t="shared" si="41"/>
        <v>Pumas UNAM</v>
      </c>
      <c r="D537" s="8">
        <f t="shared" si="42"/>
        <v>0</v>
      </c>
      <c r="F537" s="4" t="str">
        <f>IF(Jugadores!B537="","",Jugadores!B537)</f>
        <v>Carrasquilla Adalberto</v>
      </c>
      <c r="G537" s="4" t="str">
        <f>IF(Jugadores!B537="","",Jugadores!A537)</f>
        <v>Pumas UNAM</v>
      </c>
      <c r="H537" s="4">
        <f>IF(F537="","",SUMIF('Estadísticas Jugadores'!$F$2:$F$7001,F537,'Estadísticas Jugadores'!$J$2:$J$7001))</f>
        <v>0</v>
      </c>
      <c r="I537" s="4">
        <f t="shared" si="43"/>
        <v>-5.3699999999999997E-5</v>
      </c>
      <c r="J537" s="4">
        <f t="shared" si="44"/>
        <v>536</v>
      </c>
    </row>
    <row r="538" spans="1:10" ht="15" customHeight="1" x14ac:dyDescent="0.25">
      <c r="A538" s="8">
        <f>IF(COUNT($J$2:$J$1501)&gt;=537,537,"")</f>
        <v>537</v>
      </c>
      <c r="B538" s="8" t="str">
        <f t="shared" si="40"/>
        <v>Cordova Sebastian</v>
      </c>
      <c r="C538" s="8" t="str">
        <f t="shared" si="41"/>
        <v>Pumas UNAM</v>
      </c>
      <c r="D538" s="8">
        <f t="shared" si="42"/>
        <v>0</v>
      </c>
      <c r="F538" s="4" t="str">
        <f>IF(Jugadores!B538="","",Jugadores!B538)</f>
        <v>Cordova Sebastian</v>
      </c>
      <c r="G538" s="4" t="str">
        <f>IF(Jugadores!B538="","",Jugadores!A538)</f>
        <v>Pumas UNAM</v>
      </c>
      <c r="H538" s="4">
        <f>IF(F538="","",SUMIF('Estadísticas Jugadores'!$F$2:$F$7001,F538,'Estadísticas Jugadores'!$J$2:$J$7001))</f>
        <v>0</v>
      </c>
      <c r="I538" s="4">
        <f t="shared" si="43"/>
        <v>-5.38E-5</v>
      </c>
      <c r="J538" s="4">
        <f t="shared" si="44"/>
        <v>537</v>
      </c>
    </row>
    <row r="539" spans="1:10" ht="15" customHeight="1" x14ac:dyDescent="0.25">
      <c r="A539" s="8">
        <f>IF(COUNT($J$2:$J$1501)&gt;=538,538,"")</f>
        <v>538</v>
      </c>
      <c r="B539" s="8" t="str">
        <f t="shared" si="40"/>
        <v>Garcia Stanley</v>
      </c>
      <c r="C539" s="8" t="str">
        <f t="shared" si="41"/>
        <v>Pumas UNAM</v>
      </c>
      <c r="D539" s="8">
        <f t="shared" si="42"/>
        <v>0</v>
      </c>
      <c r="F539" s="4" t="str">
        <f>IF(Jugadores!B539="","",Jugadores!B539)</f>
        <v>Garcia Stanley</v>
      </c>
      <c r="G539" s="4" t="str">
        <f>IF(Jugadores!B539="","",Jugadores!A539)</f>
        <v>Pumas UNAM</v>
      </c>
      <c r="H539" s="4">
        <f>IF(F539="","",SUMIF('Estadísticas Jugadores'!$F$2:$F$7001,F539,'Estadísticas Jugadores'!$J$2:$J$7001))</f>
        <v>0</v>
      </c>
      <c r="I539" s="4">
        <f t="shared" si="43"/>
        <v>-5.3899999999999996E-5</v>
      </c>
      <c r="J539" s="4">
        <f t="shared" si="44"/>
        <v>538</v>
      </c>
    </row>
    <row r="540" spans="1:10" ht="15" customHeight="1" x14ac:dyDescent="0.25">
      <c r="A540" s="8">
        <f>IF(COUNT($J$2:$J$1501)&gt;=539,539,"")</f>
        <v>539</v>
      </c>
      <c r="B540" s="8" t="str">
        <f t="shared" si="40"/>
        <v>Lopez Rodrigo</v>
      </c>
      <c r="C540" s="8" t="str">
        <f t="shared" si="41"/>
        <v>Pumas UNAM</v>
      </c>
      <c r="D540" s="8">
        <f t="shared" si="42"/>
        <v>0</v>
      </c>
      <c r="F540" s="4" t="str">
        <f>IF(Jugadores!B540="","",Jugadores!B540)</f>
        <v>Lopez Rodrigo</v>
      </c>
      <c r="G540" s="4" t="str">
        <f>IF(Jugadores!B540="","",Jugadores!A540)</f>
        <v>Pumas UNAM</v>
      </c>
      <c r="H540" s="4">
        <f>IF(F540="","",SUMIF('Estadísticas Jugadores'!$F$2:$F$7001,F540,'Estadísticas Jugadores'!$J$2:$J$7001))</f>
        <v>0</v>
      </c>
      <c r="I540" s="4">
        <f t="shared" si="43"/>
        <v>-5.3999999999999998E-5</v>
      </c>
      <c r="J540" s="4">
        <f t="shared" si="44"/>
        <v>539</v>
      </c>
    </row>
    <row r="541" spans="1:10" ht="15" customHeight="1" x14ac:dyDescent="0.25">
      <c r="A541" s="8">
        <f>IF(COUNT($J$2:$J$1501)&gt;=540,540,"")</f>
        <v>540</v>
      </c>
      <c r="B541" s="8" t="str">
        <f t="shared" si="40"/>
        <v>Rico Angel</v>
      </c>
      <c r="C541" s="8" t="str">
        <f t="shared" si="41"/>
        <v>Pumas UNAM</v>
      </c>
      <c r="D541" s="8">
        <f t="shared" si="42"/>
        <v>0</v>
      </c>
      <c r="F541" s="4" t="str">
        <f>IF(Jugadores!B541="","",Jugadores!B541)</f>
        <v>Rico Angel</v>
      </c>
      <c r="G541" s="4" t="str">
        <f>IF(Jugadores!B541="","",Jugadores!A541)</f>
        <v>Pumas UNAM</v>
      </c>
      <c r="H541" s="4">
        <f>IF(F541="","",SUMIF('Estadísticas Jugadores'!$F$2:$F$7001,F541,'Estadísticas Jugadores'!$J$2:$J$7001))</f>
        <v>0</v>
      </c>
      <c r="I541" s="4">
        <f t="shared" si="43"/>
        <v>-5.41E-5</v>
      </c>
      <c r="J541" s="4">
        <f t="shared" si="44"/>
        <v>540</v>
      </c>
    </row>
    <row r="542" spans="1:10" ht="15" customHeight="1" x14ac:dyDescent="0.25">
      <c r="A542" s="8">
        <f>IF(COUNT($J$2:$J$1501)&gt;=541,541,"")</f>
        <v>541</v>
      </c>
      <c r="B542" s="8" t="str">
        <f t="shared" si="40"/>
        <v>Rivas Ulises</v>
      </c>
      <c r="C542" s="8" t="str">
        <f t="shared" si="41"/>
        <v>Pumas UNAM</v>
      </c>
      <c r="D542" s="8">
        <f t="shared" si="42"/>
        <v>0</v>
      </c>
      <c r="F542" s="4" t="str">
        <f>IF(Jugadores!B542="","",Jugadores!B542)</f>
        <v>Rivas Ulises</v>
      </c>
      <c r="G542" s="4" t="str">
        <f>IF(Jugadores!B542="","",Jugadores!A542)</f>
        <v>Pumas UNAM</v>
      </c>
      <c r="H542" s="4">
        <f>IF(F542="","",SUMIF('Estadísticas Jugadores'!$F$2:$F$7001,F542,'Estadísticas Jugadores'!$J$2:$J$7001))</f>
        <v>0</v>
      </c>
      <c r="I542" s="4">
        <f t="shared" si="43"/>
        <v>-5.4199999999999996E-5</v>
      </c>
      <c r="J542" s="4">
        <f t="shared" si="44"/>
        <v>541</v>
      </c>
    </row>
    <row r="543" spans="1:10" ht="15" customHeight="1" x14ac:dyDescent="0.25">
      <c r="A543" s="8">
        <f>IF(COUNT($J$2:$J$1501)&gt;=542,542,"")</f>
        <v>542</v>
      </c>
      <c r="B543" s="8" t="str">
        <f t="shared" si="40"/>
        <v>Trigos Santiago</v>
      </c>
      <c r="C543" s="8" t="str">
        <f t="shared" si="41"/>
        <v>Pumas UNAM</v>
      </c>
      <c r="D543" s="8">
        <f t="shared" si="42"/>
        <v>0</v>
      </c>
      <c r="F543" s="4" t="str">
        <f>IF(Jugadores!B543="","",Jugadores!B543)</f>
        <v>Trigos Santiago</v>
      </c>
      <c r="G543" s="4" t="str">
        <f>IF(Jugadores!B543="","",Jugadores!A543)</f>
        <v>Pumas UNAM</v>
      </c>
      <c r="H543" s="4">
        <f>IF(F543="","",SUMIF('Estadísticas Jugadores'!$F$2:$F$7001,F543,'Estadísticas Jugadores'!$J$2:$J$7001))</f>
        <v>0</v>
      </c>
      <c r="I543" s="4">
        <f t="shared" si="43"/>
        <v>-5.4299999999999998E-5</v>
      </c>
      <c r="J543" s="4">
        <f t="shared" si="44"/>
        <v>542</v>
      </c>
    </row>
    <row r="544" spans="1:10" ht="15" customHeight="1" x14ac:dyDescent="0.25">
      <c r="A544" s="8">
        <f>IF(COUNT($J$2:$J$1501)&gt;=543,543,"")</f>
        <v>543</v>
      </c>
      <c r="B544" s="8" t="str">
        <f t="shared" si="40"/>
        <v>Vite Pedro</v>
      </c>
      <c r="C544" s="8" t="str">
        <f t="shared" si="41"/>
        <v>Pumas UNAM</v>
      </c>
      <c r="D544" s="8">
        <f t="shared" si="42"/>
        <v>0</v>
      </c>
      <c r="F544" s="4" t="str">
        <f>IF(Jugadores!B544="","",Jugadores!B544)</f>
        <v>Vite Pedro</v>
      </c>
      <c r="G544" s="4" t="str">
        <f>IF(Jugadores!B544="","",Jugadores!A544)</f>
        <v>Pumas UNAM</v>
      </c>
      <c r="H544" s="4">
        <f>IF(F544="","",SUMIF('Estadísticas Jugadores'!$F$2:$F$7001,F544,'Estadísticas Jugadores'!$J$2:$J$7001))</f>
        <v>0</v>
      </c>
      <c r="I544" s="4">
        <f t="shared" si="43"/>
        <v>-5.4399999999999994E-5</v>
      </c>
      <c r="J544" s="4">
        <f t="shared" si="44"/>
        <v>543</v>
      </c>
    </row>
    <row r="545" spans="1:10" ht="15" customHeight="1" x14ac:dyDescent="0.25">
      <c r="A545" s="8">
        <f>IF(COUNT($J$2:$J$1501)&gt;=544,544,"")</f>
        <v>544</v>
      </c>
      <c r="B545" s="8" t="str">
        <f t="shared" si="40"/>
        <v>Juninho</v>
      </c>
      <c r="C545" s="8" t="str">
        <f t="shared" si="41"/>
        <v>Pumas UNAM</v>
      </c>
      <c r="D545" s="8">
        <f t="shared" si="42"/>
        <v>0</v>
      </c>
      <c r="F545" s="4" t="str">
        <f>IF(Jugadores!B545="","",Jugadores!B545)</f>
        <v>Juninho</v>
      </c>
      <c r="G545" s="4" t="str">
        <f>IF(Jugadores!B545="","",Jugadores!A545)</f>
        <v>Pumas UNAM</v>
      </c>
      <c r="H545" s="4">
        <f>IF(F545="","",SUMIF('Estadísticas Jugadores'!$F$2:$F$7001,F545,'Estadísticas Jugadores'!$J$2:$J$7001))</f>
        <v>0</v>
      </c>
      <c r="I545" s="4">
        <f t="shared" si="43"/>
        <v>-5.4499999999999997E-5</v>
      </c>
      <c r="J545" s="4">
        <f t="shared" si="44"/>
        <v>544</v>
      </c>
    </row>
    <row r="546" spans="1:10" ht="15" customHeight="1" x14ac:dyDescent="0.25">
      <c r="A546" s="8">
        <f>IF(COUNT($J$2:$J$1501)&gt;=545,545,"")</f>
        <v>545</v>
      </c>
      <c r="B546" s="8" t="str">
        <f t="shared" si="40"/>
        <v>Lopez Santiago</v>
      </c>
      <c r="C546" s="8" t="str">
        <f t="shared" si="41"/>
        <v>Pumas UNAM</v>
      </c>
      <c r="D546" s="8">
        <f t="shared" si="42"/>
        <v>0</v>
      </c>
      <c r="F546" s="4" t="str">
        <f>IF(Jugadores!B546="","",Jugadores!B546)</f>
        <v>Lopez Santiago</v>
      </c>
      <c r="G546" s="4" t="str">
        <f>IF(Jugadores!B546="","",Jugadores!A546)</f>
        <v>Pumas UNAM</v>
      </c>
      <c r="H546" s="4">
        <f>IF(F546="","",SUMIF('Estadísticas Jugadores'!$F$2:$F$7001,F546,'Estadísticas Jugadores'!$J$2:$J$7001))</f>
        <v>0</v>
      </c>
      <c r="I546" s="4">
        <f t="shared" si="43"/>
        <v>-5.4599999999999999E-5</v>
      </c>
      <c r="J546" s="4">
        <f t="shared" si="44"/>
        <v>545</v>
      </c>
    </row>
    <row r="547" spans="1:10" ht="15" customHeight="1" x14ac:dyDescent="0.25">
      <c r="A547" s="8">
        <f>IF(COUNT($J$2:$J$1501)&gt;=546,546,"")</f>
        <v>546</v>
      </c>
      <c r="B547" s="8" t="str">
        <f t="shared" si="40"/>
        <v>Martínez Guillermo</v>
      </c>
      <c r="C547" s="8" t="str">
        <f t="shared" si="41"/>
        <v>Pumas UNAM</v>
      </c>
      <c r="D547" s="8">
        <f t="shared" si="42"/>
        <v>0</v>
      </c>
      <c r="F547" s="4" t="str">
        <f>IF(Jugadores!B547="","",Jugadores!B547)</f>
        <v>Martínez Guillermo</v>
      </c>
      <c r="G547" s="4" t="str">
        <f>IF(Jugadores!B547="","",Jugadores!A547)</f>
        <v>Pumas UNAM</v>
      </c>
      <c r="H547" s="4">
        <f>IF(F547="","",SUMIF('Estadísticas Jugadores'!$F$2:$F$7001,F547,'Estadísticas Jugadores'!$J$2:$J$7001))</f>
        <v>0</v>
      </c>
      <c r="I547" s="4">
        <f t="shared" si="43"/>
        <v>-5.4699999999999995E-5</v>
      </c>
      <c r="J547" s="4">
        <f t="shared" si="44"/>
        <v>546</v>
      </c>
    </row>
    <row r="548" spans="1:10" ht="15" customHeight="1" x14ac:dyDescent="0.25">
      <c r="A548" s="8">
        <f>IF(COUNT($J$2:$J$1501)&gt;=547,547,"")</f>
        <v>547</v>
      </c>
      <c r="B548" s="8" t="str">
        <f t="shared" si="40"/>
        <v>Medina Alan</v>
      </c>
      <c r="C548" s="8" t="str">
        <f t="shared" si="41"/>
        <v>Pumas UNAM</v>
      </c>
      <c r="D548" s="8">
        <f t="shared" si="42"/>
        <v>0</v>
      </c>
      <c r="F548" s="4" t="str">
        <f>IF(Jugadores!B548="","",Jugadores!B548)</f>
        <v>Medina Alan</v>
      </c>
      <c r="G548" s="4" t="str">
        <f>IF(Jugadores!B548="","",Jugadores!A548)</f>
        <v>Pumas UNAM</v>
      </c>
      <c r="H548" s="4">
        <f>IF(F548="","",SUMIF('Estadísticas Jugadores'!$F$2:$F$7001,F548,'Estadísticas Jugadores'!$J$2:$J$7001))</f>
        <v>0</v>
      </c>
      <c r="I548" s="4">
        <f t="shared" si="43"/>
        <v>-5.4799999999999997E-5</v>
      </c>
      <c r="J548" s="4">
        <f t="shared" si="44"/>
        <v>547</v>
      </c>
    </row>
    <row r="549" spans="1:10" ht="15" customHeight="1" x14ac:dyDescent="0.25">
      <c r="A549" s="8">
        <f>IF(COUNT($J$2:$J$1501)&gt;=548,548,"")</f>
        <v>548</v>
      </c>
      <c r="B549" s="8" t="str">
        <f t="shared" si="40"/>
        <v>Morales Robert</v>
      </c>
      <c r="C549" s="8" t="str">
        <f t="shared" si="41"/>
        <v>Pumas UNAM</v>
      </c>
      <c r="D549" s="8">
        <f t="shared" si="42"/>
        <v>0</v>
      </c>
      <c r="F549" s="4" t="str">
        <f>IF(Jugadores!B549="","",Jugadores!B549)</f>
        <v>Morales Robert</v>
      </c>
      <c r="G549" s="4" t="str">
        <f>IF(Jugadores!B549="","",Jugadores!A549)</f>
        <v>Pumas UNAM</v>
      </c>
      <c r="H549" s="4">
        <f>IF(F549="","",SUMIF('Estadísticas Jugadores'!$F$2:$F$7001,F549,'Estadísticas Jugadores'!$J$2:$J$7001))</f>
        <v>0</v>
      </c>
      <c r="I549" s="4">
        <f t="shared" si="43"/>
        <v>-5.49E-5</v>
      </c>
      <c r="J549" s="4">
        <f t="shared" si="44"/>
        <v>548</v>
      </c>
    </row>
    <row r="550" spans="1:10" ht="15" customHeight="1" x14ac:dyDescent="0.25">
      <c r="A550" s="8">
        <f>IF(COUNT($J$2:$J$1501)&gt;=549,549,"")</f>
        <v>549</v>
      </c>
      <c r="B550" s="8" t="str">
        <f t="shared" si="40"/>
        <v>del Valle Yonathan</v>
      </c>
      <c r="C550" s="8" t="str">
        <f t="shared" si="41"/>
        <v>Pumas UNAM</v>
      </c>
      <c r="D550" s="8">
        <f t="shared" si="42"/>
        <v>0</v>
      </c>
      <c r="F550" s="4" t="str">
        <f>IF(Jugadores!B550="","",Jugadores!B550)</f>
        <v>del Valle Yonathan</v>
      </c>
      <c r="G550" s="4" t="str">
        <f>IF(Jugadores!B550="","",Jugadores!A550)</f>
        <v>Pumas UNAM</v>
      </c>
      <c r="H550" s="4">
        <f>IF(F550="","",SUMIF('Estadísticas Jugadores'!$F$2:$F$7001,F550,'Estadísticas Jugadores'!$J$2:$J$7001))</f>
        <v>0</v>
      </c>
      <c r="I550" s="4">
        <f t="shared" si="43"/>
        <v>-5.4999999999999995E-5</v>
      </c>
      <c r="J550" s="4">
        <f t="shared" si="44"/>
        <v>549</v>
      </c>
    </row>
    <row r="551" spans="1:10" ht="15" customHeight="1" x14ac:dyDescent="0.25">
      <c r="A551" s="8" t="str">
        <f>IF(COUNT($J$2:$J$1501)&gt;=550,550,"")</f>
        <v/>
      </c>
      <c r="B551" s="8" t="str">
        <f t="shared" si="40"/>
        <v/>
      </c>
      <c r="C551" s="8" t="str">
        <f t="shared" si="41"/>
        <v/>
      </c>
      <c r="D551" s="8" t="str">
        <f t="shared" si="42"/>
        <v/>
      </c>
      <c r="F551" s="4" t="str">
        <f>IF(Jugadores!B551="","",Jugadores!B551)</f>
        <v/>
      </c>
      <c r="G551" s="4" t="str">
        <f>IF(Jugadores!B551="","",Jugadores!A551)</f>
        <v/>
      </c>
      <c r="H551" s="4" t="str">
        <f>IF(F551="","",SUMIF('Estadísticas Jugadores'!$F$2:$F$7001,F551,'Estadísticas Jugadores'!$J$2:$J$7001))</f>
        <v/>
      </c>
      <c r="I551" s="4" t="str">
        <f t="shared" si="43"/>
        <v/>
      </c>
      <c r="J551" s="4" t="str">
        <f t="shared" si="44"/>
        <v/>
      </c>
    </row>
    <row r="552" spans="1:10" ht="15" customHeight="1" x14ac:dyDescent="0.25">
      <c r="A552" s="8" t="str">
        <f>IF(COUNT($J$2:$J$1501)&gt;=551,551,"")</f>
        <v/>
      </c>
      <c r="B552" s="8" t="str">
        <f t="shared" si="40"/>
        <v/>
      </c>
      <c r="C552" s="8" t="str">
        <f t="shared" si="41"/>
        <v/>
      </c>
      <c r="D552" s="8" t="str">
        <f t="shared" si="42"/>
        <v/>
      </c>
      <c r="F552" s="4" t="str">
        <f>IF(Jugadores!B552="","",Jugadores!B552)</f>
        <v/>
      </c>
      <c r="G552" s="4" t="str">
        <f>IF(Jugadores!B552="","",Jugadores!A552)</f>
        <v/>
      </c>
      <c r="H552" s="4" t="str">
        <f>IF(F552="","",SUMIF('Estadísticas Jugadores'!$F$2:$F$7001,F552,'Estadísticas Jugadores'!$J$2:$J$7001))</f>
        <v/>
      </c>
      <c r="I552" s="4" t="str">
        <f t="shared" si="43"/>
        <v/>
      </c>
      <c r="J552" s="4" t="str">
        <f t="shared" si="44"/>
        <v/>
      </c>
    </row>
    <row r="553" spans="1:10" ht="15" customHeight="1" x14ac:dyDescent="0.25">
      <c r="A553" s="8" t="str">
        <f>IF(COUNT($J$2:$J$1501)&gt;=552,552,"")</f>
        <v/>
      </c>
      <c r="B553" s="8" t="str">
        <f t="shared" si="40"/>
        <v/>
      </c>
      <c r="C553" s="8" t="str">
        <f t="shared" si="41"/>
        <v/>
      </c>
      <c r="D553" s="8" t="str">
        <f t="shared" si="42"/>
        <v/>
      </c>
      <c r="F553" s="4" t="str">
        <f>IF(Jugadores!B553="","",Jugadores!B553)</f>
        <v/>
      </c>
      <c r="G553" s="4" t="str">
        <f>IF(Jugadores!B553="","",Jugadores!A553)</f>
        <v/>
      </c>
      <c r="H553" s="4" t="str">
        <f>IF(F553="","",SUMIF('Estadísticas Jugadores'!$F$2:$F$7001,F553,'Estadísticas Jugadores'!$J$2:$J$7001))</f>
        <v/>
      </c>
      <c r="I553" s="4" t="str">
        <f t="shared" si="43"/>
        <v/>
      </c>
      <c r="J553" s="4" t="str">
        <f t="shared" si="44"/>
        <v/>
      </c>
    </row>
    <row r="554" spans="1:10" ht="15" customHeight="1" x14ac:dyDescent="0.25">
      <c r="A554" s="8" t="str">
        <f>IF(COUNT($J$2:$J$1501)&gt;=553,553,"")</f>
        <v/>
      </c>
      <c r="B554" s="8" t="str">
        <f t="shared" si="40"/>
        <v/>
      </c>
      <c r="C554" s="8" t="str">
        <f t="shared" si="41"/>
        <v/>
      </c>
      <c r="D554" s="8" t="str">
        <f t="shared" si="42"/>
        <v/>
      </c>
      <c r="F554" s="4" t="str">
        <f>IF(Jugadores!B554="","",Jugadores!B554)</f>
        <v/>
      </c>
      <c r="G554" s="4" t="str">
        <f>IF(Jugadores!B554="","",Jugadores!A554)</f>
        <v/>
      </c>
      <c r="H554" s="4" t="str">
        <f>IF(F554="","",SUMIF('Estadísticas Jugadores'!$F$2:$F$7001,F554,'Estadísticas Jugadores'!$J$2:$J$7001))</f>
        <v/>
      </c>
      <c r="I554" s="4" t="str">
        <f t="shared" si="43"/>
        <v/>
      </c>
      <c r="J554" s="4" t="str">
        <f t="shared" si="44"/>
        <v/>
      </c>
    </row>
    <row r="555" spans="1:10" ht="15" customHeight="1" x14ac:dyDescent="0.25">
      <c r="A555" s="8" t="str">
        <f>IF(COUNT($J$2:$J$1501)&gt;=554,554,"")</f>
        <v/>
      </c>
      <c r="B555" s="8" t="str">
        <f t="shared" si="40"/>
        <v/>
      </c>
      <c r="C555" s="8" t="str">
        <f t="shared" si="41"/>
        <v/>
      </c>
      <c r="D555" s="8" t="str">
        <f t="shared" si="42"/>
        <v/>
      </c>
      <c r="F555" s="4" t="str">
        <f>IF(Jugadores!B555="","",Jugadores!B555)</f>
        <v/>
      </c>
      <c r="G555" s="4" t="str">
        <f>IF(Jugadores!B555="","",Jugadores!A555)</f>
        <v/>
      </c>
      <c r="H555" s="4" t="str">
        <f>IF(F555="","",SUMIF('Estadísticas Jugadores'!$F$2:$F$7001,F555,'Estadísticas Jugadores'!$J$2:$J$7001))</f>
        <v/>
      </c>
      <c r="I555" s="4" t="str">
        <f t="shared" si="43"/>
        <v/>
      </c>
      <c r="J555" s="4" t="str">
        <f t="shared" si="44"/>
        <v/>
      </c>
    </row>
    <row r="556" spans="1:10" ht="15" customHeight="1" x14ac:dyDescent="0.25">
      <c r="A556" s="8" t="str">
        <f>IF(COUNT($J$2:$J$1501)&gt;=555,555,"")</f>
        <v/>
      </c>
      <c r="B556" s="8" t="str">
        <f t="shared" si="40"/>
        <v/>
      </c>
      <c r="C556" s="8" t="str">
        <f t="shared" si="41"/>
        <v/>
      </c>
      <c r="D556" s="8" t="str">
        <f t="shared" si="42"/>
        <v/>
      </c>
      <c r="F556" s="4" t="str">
        <f>IF(Jugadores!B556="","",Jugadores!B556)</f>
        <v/>
      </c>
      <c r="G556" s="4" t="str">
        <f>IF(Jugadores!B556="","",Jugadores!A556)</f>
        <v/>
      </c>
      <c r="H556" s="4" t="str">
        <f>IF(F556="","",SUMIF('Estadísticas Jugadores'!$F$2:$F$7001,F556,'Estadísticas Jugadores'!$J$2:$J$7001))</f>
        <v/>
      </c>
      <c r="I556" s="4" t="str">
        <f t="shared" si="43"/>
        <v/>
      </c>
      <c r="J556" s="4" t="str">
        <f t="shared" si="44"/>
        <v/>
      </c>
    </row>
    <row r="557" spans="1:10" ht="15" customHeight="1" x14ac:dyDescent="0.25">
      <c r="A557" s="8" t="str">
        <f>IF(COUNT($J$2:$J$1501)&gt;=556,556,"")</f>
        <v/>
      </c>
      <c r="B557" s="8" t="str">
        <f t="shared" si="40"/>
        <v/>
      </c>
      <c r="C557" s="8" t="str">
        <f t="shared" si="41"/>
        <v/>
      </c>
      <c r="D557" s="8" t="str">
        <f t="shared" si="42"/>
        <v/>
      </c>
      <c r="F557" s="4" t="str">
        <f>IF(Jugadores!B557="","",Jugadores!B557)</f>
        <v/>
      </c>
      <c r="G557" s="4" t="str">
        <f>IF(Jugadores!B557="","",Jugadores!A557)</f>
        <v/>
      </c>
      <c r="H557" s="4" t="str">
        <f>IF(F557="","",SUMIF('Estadísticas Jugadores'!$F$2:$F$7001,F557,'Estadísticas Jugadores'!$J$2:$J$7001))</f>
        <v/>
      </c>
      <c r="I557" s="4" t="str">
        <f t="shared" si="43"/>
        <v/>
      </c>
      <c r="J557" s="4" t="str">
        <f t="shared" si="44"/>
        <v/>
      </c>
    </row>
    <row r="558" spans="1:10" ht="15" customHeight="1" x14ac:dyDescent="0.25">
      <c r="A558" s="8" t="str">
        <f>IF(COUNT($J$2:$J$1501)&gt;=557,557,"")</f>
        <v/>
      </c>
      <c r="B558" s="8" t="str">
        <f t="shared" si="40"/>
        <v/>
      </c>
      <c r="C558" s="8" t="str">
        <f t="shared" si="41"/>
        <v/>
      </c>
      <c r="D558" s="8" t="str">
        <f t="shared" si="42"/>
        <v/>
      </c>
      <c r="F558" s="4" t="str">
        <f>IF(Jugadores!B558="","",Jugadores!B558)</f>
        <v/>
      </c>
      <c r="G558" s="4" t="str">
        <f>IF(Jugadores!B558="","",Jugadores!A558)</f>
        <v/>
      </c>
      <c r="H558" s="4" t="str">
        <f>IF(F558="","",SUMIF('Estadísticas Jugadores'!$F$2:$F$7001,F558,'Estadísticas Jugadores'!$J$2:$J$7001))</f>
        <v/>
      </c>
      <c r="I558" s="4" t="str">
        <f t="shared" si="43"/>
        <v/>
      </c>
      <c r="J558" s="4" t="str">
        <f t="shared" si="44"/>
        <v/>
      </c>
    </row>
    <row r="559" spans="1:10" ht="15" customHeight="1" x14ac:dyDescent="0.25">
      <c r="A559" s="8" t="str">
        <f>IF(COUNT($J$2:$J$1501)&gt;=558,558,"")</f>
        <v/>
      </c>
      <c r="B559" s="8" t="str">
        <f t="shared" si="40"/>
        <v/>
      </c>
      <c r="C559" s="8" t="str">
        <f t="shared" si="41"/>
        <v/>
      </c>
      <c r="D559" s="8" t="str">
        <f t="shared" si="42"/>
        <v/>
      </c>
      <c r="F559" s="4" t="str">
        <f>IF(Jugadores!B559="","",Jugadores!B559)</f>
        <v/>
      </c>
      <c r="G559" s="4" t="str">
        <f>IF(Jugadores!B559="","",Jugadores!A559)</f>
        <v/>
      </c>
      <c r="H559" s="4" t="str">
        <f>IF(F559="","",SUMIF('Estadísticas Jugadores'!$F$2:$F$7001,F559,'Estadísticas Jugadores'!$J$2:$J$7001))</f>
        <v/>
      </c>
      <c r="I559" s="4" t="str">
        <f t="shared" si="43"/>
        <v/>
      </c>
      <c r="J559" s="4" t="str">
        <f t="shared" si="44"/>
        <v/>
      </c>
    </row>
    <row r="560" spans="1:10" ht="15" customHeight="1" x14ac:dyDescent="0.25">
      <c r="A560" s="8" t="str">
        <f>IF(COUNT($J$2:$J$1501)&gt;=559,559,"")</f>
        <v/>
      </c>
      <c r="B560" s="8" t="str">
        <f t="shared" si="40"/>
        <v/>
      </c>
      <c r="C560" s="8" t="str">
        <f t="shared" si="41"/>
        <v/>
      </c>
      <c r="D560" s="8" t="str">
        <f t="shared" si="42"/>
        <v/>
      </c>
      <c r="F560" s="4" t="str">
        <f>IF(Jugadores!B560="","",Jugadores!B560)</f>
        <v/>
      </c>
      <c r="G560" s="4" t="str">
        <f>IF(Jugadores!B560="","",Jugadores!A560)</f>
        <v/>
      </c>
      <c r="H560" s="4" t="str">
        <f>IF(F560="","",SUMIF('Estadísticas Jugadores'!$F$2:$F$7001,F560,'Estadísticas Jugadores'!$J$2:$J$7001))</f>
        <v/>
      </c>
      <c r="I560" s="4" t="str">
        <f t="shared" si="43"/>
        <v/>
      </c>
      <c r="J560" s="4" t="str">
        <f t="shared" si="44"/>
        <v/>
      </c>
    </row>
    <row r="561" spans="1:10" ht="15" customHeight="1" x14ac:dyDescent="0.25">
      <c r="A561" s="8" t="str">
        <f>IF(COUNT($J$2:$J$1501)&gt;=560,560,"")</f>
        <v/>
      </c>
      <c r="B561" s="8" t="str">
        <f t="shared" si="40"/>
        <v/>
      </c>
      <c r="C561" s="8" t="str">
        <f t="shared" si="41"/>
        <v/>
      </c>
      <c r="D561" s="8" t="str">
        <f t="shared" si="42"/>
        <v/>
      </c>
      <c r="F561" s="4" t="str">
        <f>IF(Jugadores!B561="","",Jugadores!B561)</f>
        <v/>
      </c>
      <c r="G561" s="4" t="str">
        <f>IF(Jugadores!B561="","",Jugadores!A561)</f>
        <v/>
      </c>
      <c r="H561" s="4" t="str">
        <f>IF(F561="","",SUMIF('Estadísticas Jugadores'!$F$2:$F$7001,F561,'Estadísticas Jugadores'!$J$2:$J$7001))</f>
        <v/>
      </c>
      <c r="I561" s="4" t="str">
        <f t="shared" si="43"/>
        <v/>
      </c>
      <c r="J561" s="4" t="str">
        <f t="shared" si="44"/>
        <v/>
      </c>
    </row>
    <row r="562" spans="1:10" ht="15" customHeight="1" x14ac:dyDescent="0.25">
      <c r="A562" s="8" t="str">
        <f>IF(COUNT($J$2:$J$1501)&gt;=561,561,"")</f>
        <v/>
      </c>
      <c r="B562" s="8" t="str">
        <f t="shared" si="40"/>
        <v/>
      </c>
      <c r="C562" s="8" t="str">
        <f t="shared" si="41"/>
        <v/>
      </c>
      <c r="D562" s="8" t="str">
        <f t="shared" si="42"/>
        <v/>
      </c>
      <c r="F562" s="4" t="str">
        <f>IF(Jugadores!B562="","",Jugadores!B562)</f>
        <v/>
      </c>
      <c r="G562" s="4" t="str">
        <f>IF(Jugadores!B562="","",Jugadores!A562)</f>
        <v/>
      </c>
      <c r="H562" s="4" t="str">
        <f>IF(F562="","",SUMIF('Estadísticas Jugadores'!$F$2:$F$7001,F562,'Estadísticas Jugadores'!$J$2:$J$7001))</f>
        <v/>
      </c>
      <c r="I562" s="4" t="str">
        <f t="shared" si="43"/>
        <v/>
      </c>
      <c r="J562" s="4" t="str">
        <f t="shared" si="44"/>
        <v/>
      </c>
    </row>
    <row r="563" spans="1:10" ht="15" customHeight="1" x14ac:dyDescent="0.25">
      <c r="A563" s="8" t="str">
        <f>IF(COUNT($J$2:$J$1501)&gt;=562,562,"")</f>
        <v/>
      </c>
      <c r="B563" s="8" t="str">
        <f t="shared" si="40"/>
        <v/>
      </c>
      <c r="C563" s="8" t="str">
        <f t="shared" si="41"/>
        <v/>
      </c>
      <c r="D563" s="8" t="str">
        <f t="shared" si="42"/>
        <v/>
      </c>
      <c r="F563" s="4" t="str">
        <f>IF(Jugadores!B563="","",Jugadores!B563)</f>
        <v/>
      </c>
      <c r="G563" s="4" t="str">
        <f>IF(Jugadores!B563="","",Jugadores!A563)</f>
        <v/>
      </c>
      <c r="H563" s="4" t="str">
        <f>IF(F563="","",SUMIF('Estadísticas Jugadores'!$F$2:$F$7001,F563,'Estadísticas Jugadores'!$J$2:$J$7001))</f>
        <v/>
      </c>
      <c r="I563" s="4" t="str">
        <f t="shared" si="43"/>
        <v/>
      </c>
      <c r="J563" s="4" t="str">
        <f t="shared" si="44"/>
        <v/>
      </c>
    </row>
    <row r="564" spans="1:10" ht="15" customHeight="1" x14ac:dyDescent="0.25">
      <c r="A564" s="8" t="str">
        <f>IF(COUNT($J$2:$J$1501)&gt;=563,563,"")</f>
        <v/>
      </c>
      <c r="B564" s="8" t="str">
        <f t="shared" si="40"/>
        <v/>
      </c>
      <c r="C564" s="8" t="str">
        <f t="shared" si="41"/>
        <v/>
      </c>
      <c r="D564" s="8" t="str">
        <f t="shared" si="42"/>
        <v/>
      </c>
      <c r="F564" s="4" t="str">
        <f>IF(Jugadores!B564="","",Jugadores!B564)</f>
        <v/>
      </c>
      <c r="G564" s="4" t="str">
        <f>IF(Jugadores!B564="","",Jugadores!A564)</f>
        <v/>
      </c>
      <c r="H564" s="4" t="str">
        <f>IF(F564="","",SUMIF('Estadísticas Jugadores'!$F$2:$F$7001,F564,'Estadísticas Jugadores'!$J$2:$J$7001))</f>
        <v/>
      </c>
      <c r="I564" s="4" t="str">
        <f t="shared" si="43"/>
        <v/>
      </c>
      <c r="J564" s="4" t="str">
        <f t="shared" si="44"/>
        <v/>
      </c>
    </row>
    <row r="565" spans="1:10" ht="15" customHeight="1" x14ac:dyDescent="0.25">
      <c r="A565" s="8" t="str">
        <f>IF(COUNT($J$2:$J$1501)&gt;=564,564,"")</f>
        <v/>
      </c>
      <c r="B565" s="8" t="str">
        <f t="shared" si="40"/>
        <v/>
      </c>
      <c r="C565" s="8" t="str">
        <f t="shared" si="41"/>
        <v/>
      </c>
      <c r="D565" s="8" t="str">
        <f t="shared" si="42"/>
        <v/>
      </c>
      <c r="F565" s="4" t="str">
        <f>IF(Jugadores!B565="","",Jugadores!B565)</f>
        <v/>
      </c>
      <c r="G565" s="4" t="str">
        <f>IF(Jugadores!B565="","",Jugadores!A565)</f>
        <v/>
      </c>
      <c r="H565" s="4" t="str">
        <f>IF(F565="","",SUMIF('Estadísticas Jugadores'!$F$2:$F$7001,F565,'Estadísticas Jugadores'!$J$2:$J$7001))</f>
        <v/>
      </c>
      <c r="I565" s="4" t="str">
        <f t="shared" si="43"/>
        <v/>
      </c>
      <c r="J565" s="4" t="str">
        <f t="shared" si="44"/>
        <v/>
      </c>
    </row>
    <row r="566" spans="1:10" ht="15" customHeight="1" x14ac:dyDescent="0.25">
      <c r="A566" s="8" t="str">
        <f>IF(COUNT($J$2:$J$1501)&gt;=565,565,"")</f>
        <v/>
      </c>
      <c r="B566" s="8" t="str">
        <f t="shared" si="40"/>
        <v/>
      </c>
      <c r="C566" s="8" t="str">
        <f t="shared" si="41"/>
        <v/>
      </c>
      <c r="D566" s="8" t="str">
        <f t="shared" si="42"/>
        <v/>
      </c>
      <c r="F566" s="4" t="str">
        <f>IF(Jugadores!B566="","",Jugadores!B566)</f>
        <v/>
      </c>
      <c r="G566" s="4" t="str">
        <f>IF(Jugadores!B566="","",Jugadores!A566)</f>
        <v/>
      </c>
      <c r="H566" s="4" t="str">
        <f>IF(F566="","",SUMIF('Estadísticas Jugadores'!$F$2:$F$7001,F566,'Estadísticas Jugadores'!$J$2:$J$7001))</f>
        <v/>
      </c>
      <c r="I566" s="4" t="str">
        <f t="shared" si="43"/>
        <v/>
      </c>
      <c r="J566" s="4" t="str">
        <f t="shared" si="44"/>
        <v/>
      </c>
    </row>
    <row r="567" spans="1:10" ht="15" customHeight="1" x14ac:dyDescent="0.25">
      <c r="A567" s="8" t="str">
        <f>IF(COUNT($J$2:$J$1501)&gt;=566,566,"")</f>
        <v/>
      </c>
      <c r="B567" s="8" t="str">
        <f t="shared" si="40"/>
        <v/>
      </c>
      <c r="C567" s="8" t="str">
        <f t="shared" si="41"/>
        <v/>
      </c>
      <c r="D567" s="8" t="str">
        <f t="shared" si="42"/>
        <v/>
      </c>
      <c r="F567" s="4" t="str">
        <f>IF(Jugadores!B567="","",Jugadores!B567)</f>
        <v/>
      </c>
      <c r="G567" s="4" t="str">
        <f>IF(Jugadores!B567="","",Jugadores!A567)</f>
        <v/>
      </c>
      <c r="H567" s="4" t="str">
        <f>IF(F567="","",SUMIF('Estadísticas Jugadores'!$F$2:$F$7001,F567,'Estadísticas Jugadores'!$J$2:$J$7001))</f>
        <v/>
      </c>
      <c r="I567" s="4" t="str">
        <f t="shared" si="43"/>
        <v/>
      </c>
      <c r="J567" s="4" t="str">
        <f t="shared" si="44"/>
        <v/>
      </c>
    </row>
    <row r="568" spans="1:10" ht="15" customHeight="1" x14ac:dyDescent="0.25">
      <c r="A568" s="8" t="str">
        <f>IF(COUNT($J$2:$J$1501)&gt;=567,567,"")</f>
        <v/>
      </c>
      <c r="B568" s="8" t="str">
        <f t="shared" si="40"/>
        <v/>
      </c>
      <c r="C568" s="8" t="str">
        <f t="shared" si="41"/>
        <v/>
      </c>
      <c r="D568" s="8" t="str">
        <f t="shared" si="42"/>
        <v/>
      </c>
      <c r="F568" s="4" t="str">
        <f>IF(Jugadores!B568="","",Jugadores!B568)</f>
        <v/>
      </c>
      <c r="G568" s="4" t="str">
        <f>IF(Jugadores!B568="","",Jugadores!A568)</f>
        <v/>
      </c>
      <c r="H568" s="4" t="str">
        <f>IF(F568="","",SUMIF('Estadísticas Jugadores'!$F$2:$F$7001,F568,'Estadísticas Jugadores'!$J$2:$J$7001))</f>
        <v/>
      </c>
      <c r="I568" s="4" t="str">
        <f t="shared" si="43"/>
        <v/>
      </c>
      <c r="J568" s="4" t="str">
        <f t="shared" si="44"/>
        <v/>
      </c>
    </row>
    <row r="569" spans="1:10" ht="15" customHeight="1" x14ac:dyDescent="0.25">
      <c r="A569" s="8" t="str">
        <f>IF(COUNT($J$2:$J$1501)&gt;=568,568,"")</f>
        <v/>
      </c>
      <c r="B569" s="8" t="str">
        <f t="shared" si="40"/>
        <v/>
      </c>
      <c r="C569" s="8" t="str">
        <f t="shared" si="41"/>
        <v/>
      </c>
      <c r="D569" s="8" t="str">
        <f t="shared" si="42"/>
        <v/>
      </c>
      <c r="F569" s="4" t="str">
        <f>IF(Jugadores!B569="","",Jugadores!B569)</f>
        <v/>
      </c>
      <c r="G569" s="4" t="str">
        <f>IF(Jugadores!B569="","",Jugadores!A569)</f>
        <v/>
      </c>
      <c r="H569" s="4" t="str">
        <f>IF(F569="","",SUMIF('Estadísticas Jugadores'!$F$2:$F$7001,F569,'Estadísticas Jugadores'!$J$2:$J$7001))</f>
        <v/>
      </c>
      <c r="I569" s="4" t="str">
        <f t="shared" si="43"/>
        <v/>
      </c>
      <c r="J569" s="4" t="str">
        <f t="shared" si="44"/>
        <v/>
      </c>
    </row>
    <row r="570" spans="1:10" ht="15" customHeight="1" x14ac:dyDescent="0.25">
      <c r="A570" s="8" t="str">
        <f>IF(COUNT($J$2:$J$1501)&gt;=569,569,"")</f>
        <v/>
      </c>
      <c r="B570" s="8" t="str">
        <f t="shared" si="40"/>
        <v/>
      </c>
      <c r="C570" s="8" t="str">
        <f t="shared" si="41"/>
        <v/>
      </c>
      <c r="D570" s="8" t="str">
        <f t="shared" si="42"/>
        <v/>
      </c>
      <c r="F570" s="4" t="str">
        <f>IF(Jugadores!B570="","",Jugadores!B570)</f>
        <v/>
      </c>
      <c r="G570" s="4" t="str">
        <f>IF(Jugadores!B570="","",Jugadores!A570)</f>
        <v/>
      </c>
      <c r="H570" s="4" t="str">
        <f>IF(F570="","",SUMIF('Estadísticas Jugadores'!$F$2:$F$7001,F570,'Estadísticas Jugadores'!$J$2:$J$7001))</f>
        <v/>
      </c>
      <c r="I570" s="4" t="str">
        <f t="shared" si="43"/>
        <v/>
      </c>
      <c r="J570" s="4" t="str">
        <f t="shared" si="44"/>
        <v/>
      </c>
    </row>
    <row r="571" spans="1:10" ht="15" customHeight="1" x14ac:dyDescent="0.25">
      <c r="A571" s="8" t="str">
        <f>IF(COUNT($J$2:$J$1501)&gt;=570,570,"")</f>
        <v/>
      </c>
      <c r="B571" s="8" t="str">
        <f t="shared" si="40"/>
        <v/>
      </c>
      <c r="C571" s="8" t="str">
        <f t="shared" si="41"/>
        <v/>
      </c>
      <c r="D571" s="8" t="str">
        <f t="shared" si="42"/>
        <v/>
      </c>
      <c r="F571" s="4" t="str">
        <f>IF(Jugadores!B571="","",Jugadores!B571)</f>
        <v/>
      </c>
      <c r="G571" s="4" t="str">
        <f>IF(Jugadores!B571="","",Jugadores!A571)</f>
        <v/>
      </c>
      <c r="H571" s="4" t="str">
        <f>IF(F571="","",SUMIF('Estadísticas Jugadores'!$F$2:$F$7001,F571,'Estadísticas Jugadores'!$J$2:$J$7001))</f>
        <v/>
      </c>
      <c r="I571" s="4" t="str">
        <f t="shared" si="43"/>
        <v/>
      </c>
      <c r="J571" s="4" t="str">
        <f t="shared" si="44"/>
        <v/>
      </c>
    </row>
    <row r="572" spans="1:10" ht="15" customHeight="1" x14ac:dyDescent="0.25">
      <c r="A572" s="8" t="str">
        <f>IF(COUNT($J$2:$J$1501)&gt;=571,571,"")</f>
        <v/>
      </c>
      <c r="B572" s="8" t="str">
        <f t="shared" si="40"/>
        <v/>
      </c>
      <c r="C572" s="8" t="str">
        <f t="shared" si="41"/>
        <v/>
      </c>
      <c r="D572" s="8" t="str">
        <f t="shared" si="42"/>
        <v/>
      </c>
      <c r="F572" s="4" t="str">
        <f>IF(Jugadores!B572="","",Jugadores!B572)</f>
        <v/>
      </c>
      <c r="G572" s="4" t="str">
        <f>IF(Jugadores!B572="","",Jugadores!A572)</f>
        <v/>
      </c>
      <c r="H572" s="4" t="str">
        <f>IF(F572="","",SUMIF('Estadísticas Jugadores'!$F$2:$F$7001,F572,'Estadísticas Jugadores'!$J$2:$J$7001))</f>
        <v/>
      </c>
      <c r="I572" s="4" t="str">
        <f t="shared" si="43"/>
        <v/>
      </c>
      <c r="J572" s="4" t="str">
        <f t="shared" si="44"/>
        <v/>
      </c>
    </row>
    <row r="573" spans="1:10" ht="15" customHeight="1" x14ac:dyDescent="0.25">
      <c r="A573" s="8" t="str">
        <f>IF(COUNT($J$2:$J$1501)&gt;=572,572,"")</f>
        <v/>
      </c>
      <c r="B573" s="8" t="str">
        <f t="shared" si="40"/>
        <v/>
      </c>
      <c r="C573" s="8" t="str">
        <f t="shared" si="41"/>
        <v/>
      </c>
      <c r="D573" s="8" t="str">
        <f t="shared" si="42"/>
        <v/>
      </c>
      <c r="F573" s="4" t="str">
        <f>IF(Jugadores!B573="","",Jugadores!B573)</f>
        <v/>
      </c>
      <c r="G573" s="4" t="str">
        <f>IF(Jugadores!B573="","",Jugadores!A573)</f>
        <v/>
      </c>
      <c r="H573" s="4" t="str">
        <f>IF(F573="","",SUMIF('Estadísticas Jugadores'!$F$2:$F$7001,F573,'Estadísticas Jugadores'!$J$2:$J$7001))</f>
        <v/>
      </c>
      <c r="I573" s="4" t="str">
        <f t="shared" si="43"/>
        <v/>
      </c>
      <c r="J573" s="4" t="str">
        <f t="shared" si="44"/>
        <v/>
      </c>
    </row>
    <row r="574" spans="1:10" ht="15" customHeight="1" x14ac:dyDescent="0.25">
      <c r="A574" s="8" t="str">
        <f>IF(COUNT($J$2:$J$1501)&gt;=573,573,"")</f>
        <v/>
      </c>
      <c r="B574" s="8" t="str">
        <f t="shared" si="40"/>
        <v/>
      </c>
      <c r="C574" s="8" t="str">
        <f t="shared" si="41"/>
        <v/>
      </c>
      <c r="D574" s="8" t="str">
        <f t="shared" si="42"/>
        <v/>
      </c>
      <c r="F574" s="4" t="str">
        <f>IF(Jugadores!B574="","",Jugadores!B574)</f>
        <v/>
      </c>
      <c r="G574" s="4" t="str">
        <f>IF(Jugadores!B574="","",Jugadores!A574)</f>
        <v/>
      </c>
      <c r="H574" s="4" t="str">
        <f>IF(F574="","",SUMIF('Estadísticas Jugadores'!$F$2:$F$7001,F574,'Estadísticas Jugadores'!$J$2:$J$7001))</f>
        <v/>
      </c>
      <c r="I574" s="4" t="str">
        <f t="shared" si="43"/>
        <v/>
      </c>
      <c r="J574" s="4" t="str">
        <f t="shared" si="44"/>
        <v/>
      </c>
    </row>
    <row r="575" spans="1:10" ht="15" customHeight="1" x14ac:dyDescent="0.25">
      <c r="A575" s="8" t="str">
        <f>IF(COUNT($J$2:$J$1501)&gt;=574,574,"")</f>
        <v/>
      </c>
      <c r="B575" s="8" t="str">
        <f t="shared" si="40"/>
        <v/>
      </c>
      <c r="C575" s="8" t="str">
        <f t="shared" si="41"/>
        <v/>
      </c>
      <c r="D575" s="8" t="str">
        <f t="shared" si="42"/>
        <v/>
      </c>
      <c r="F575" s="4" t="str">
        <f>IF(Jugadores!B575="","",Jugadores!B575)</f>
        <v/>
      </c>
      <c r="G575" s="4" t="str">
        <f>IF(Jugadores!B575="","",Jugadores!A575)</f>
        <v/>
      </c>
      <c r="H575" s="4" t="str">
        <f>IF(F575="","",SUMIF('Estadísticas Jugadores'!$F$2:$F$7001,F575,'Estadísticas Jugadores'!$J$2:$J$7001))</f>
        <v/>
      </c>
      <c r="I575" s="4" t="str">
        <f t="shared" si="43"/>
        <v/>
      </c>
      <c r="J575" s="4" t="str">
        <f t="shared" si="44"/>
        <v/>
      </c>
    </row>
    <row r="576" spans="1:10" ht="15" customHeight="1" x14ac:dyDescent="0.25">
      <c r="A576" s="8" t="str">
        <f>IF(COUNT($J$2:$J$1501)&gt;=575,575,"")</f>
        <v/>
      </c>
      <c r="B576" s="8" t="str">
        <f t="shared" si="40"/>
        <v/>
      </c>
      <c r="C576" s="8" t="str">
        <f t="shared" si="41"/>
        <v/>
      </c>
      <c r="D576" s="8" t="str">
        <f t="shared" si="42"/>
        <v/>
      </c>
      <c r="F576" s="4" t="str">
        <f>IF(Jugadores!B576="","",Jugadores!B576)</f>
        <v/>
      </c>
      <c r="G576" s="4" t="str">
        <f>IF(Jugadores!B576="","",Jugadores!A576)</f>
        <v/>
      </c>
      <c r="H576" s="4" t="str">
        <f>IF(F576="","",SUMIF('Estadísticas Jugadores'!$F$2:$F$7001,F576,'Estadísticas Jugadores'!$J$2:$J$7001))</f>
        <v/>
      </c>
      <c r="I576" s="4" t="str">
        <f t="shared" si="43"/>
        <v/>
      </c>
      <c r="J576" s="4" t="str">
        <f t="shared" si="44"/>
        <v/>
      </c>
    </row>
    <row r="577" spans="1:10" ht="15" customHeight="1" x14ac:dyDescent="0.25">
      <c r="A577" s="8" t="str">
        <f>IF(COUNT($J$2:$J$1501)&gt;=576,576,"")</f>
        <v/>
      </c>
      <c r="B577" s="8" t="str">
        <f t="shared" si="40"/>
        <v/>
      </c>
      <c r="C577" s="8" t="str">
        <f t="shared" si="41"/>
        <v/>
      </c>
      <c r="D577" s="8" t="str">
        <f t="shared" si="42"/>
        <v/>
      </c>
      <c r="F577" s="4" t="str">
        <f>IF(Jugadores!B577="","",Jugadores!B577)</f>
        <v/>
      </c>
      <c r="G577" s="4" t="str">
        <f>IF(Jugadores!B577="","",Jugadores!A577)</f>
        <v/>
      </c>
      <c r="H577" s="4" t="str">
        <f>IF(F577="","",SUMIF('Estadísticas Jugadores'!$F$2:$F$7001,F577,'Estadísticas Jugadores'!$J$2:$J$7001))</f>
        <v/>
      </c>
      <c r="I577" s="4" t="str">
        <f t="shared" si="43"/>
        <v/>
      </c>
      <c r="J577" s="4" t="str">
        <f t="shared" si="44"/>
        <v/>
      </c>
    </row>
    <row r="578" spans="1:10" ht="15" customHeight="1" x14ac:dyDescent="0.25">
      <c r="A578" s="8" t="str">
        <f>IF(COUNT($J$2:$J$1501)&gt;=577,577,"")</f>
        <v/>
      </c>
      <c r="B578" s="8" t="str">
        <f t="shared" ref="B578:B641" si="45">IF($A578="","",INDEX($F$2:$F$1501,MATCH($A578,$J$2:$J$1501,0)))</f>
        <v/>
      </c>
      <c r="C578" s="8" t="str">
        <f t="shared" ref="C578:C641" si="46">IF($A578="","",INDEX($G$2:$G$1501,MATCH($A578,$J$2:$J$1501,0)))</f>
        <v/>
      </c>
      <c r="D578" s="8" t="str">
        <f t="shared" ref="D578:D641" si="47">IF($A578="","",INDEX($H$2:$H$1501,MATCH($A578,$J$2:$J$1501,0)))</f>
        <v/>
      </c>
      <c r="F578" s="4" t="str">
        <f>IF(Jugadores!B578="","",Jugadores!B578)</f>
        <v/>
      </c>
      <c r="G578" s="4" t="str">
        <f>IF(Jugadores!B578="","",Jugadores!A578)</f>
        <v/>
      </c>
      <c r="H578" s="4" t="str">
        <f>IF(F578="","",SUMIF('Estadísticas Jugadores'!$F$2:$F$7001,F578,'Estadísticas Jugadores'!$J$2:$J$7001))</f>
        <v/>
      </c>
      <c r="I578" s="4" t="str">
        <f t="shared" ref="I578:I641" si="48">IF(F578="","",H578*1000-ROW()*0.0000001)</f>
        <v/>
      </c>
      <c r="J578" s="4" t="str">
        <f t="shared" ref="J578:J641" si="49">IF(F578="","",RANK(I578,$I$2:$I$1501))</f>
        <v/>
      </c>
    </row>
    <row r="579" spans="1:10" ht="15" customHeight="1" x14ac:dyDescent="0.25">
      <c r="A579" s="8" t="str">
        <f>IF(COUNT($J$2:$J$1501)&gt;=578,578,"")</f>
        <v/>
      </c>
      <c r="B579" s="8" t="str">
        <f t="shared" si="45"/>
        <v/>
      </c>
      <c r="C579" s="8" t="str">
        <f t="shared" si="46"/>
        <v/>
      </c>
      <c r="D579" s="8" t="str">
        <f t="shared" si="47"/>
        <v/>
      </c>
      <c r="F579" s="4" t="str">
        <f>IF(Jugadores!B579="","",Jugadores!B579)</f>
        <v/>
      </c>
      <c r="G579" s="4" t="str">
        <f>IF(Jugadores!B579="","",Jugadores!A579)</f>
        <v/>
      </c>
      <c r="H579" s="4" t="str">
        <f>IF(F579="","",SUMIF('Estadísticas Jugadores'!$F$2:$F$7001,F579,'Estadísticas Jugadores'!$J$2:$J$7001))</f>
        <v/>
      </c>
      <c r="I579" s="4" t="str">
        <f t="shared" si="48"/>
        <v/>
      </c>
      <c r="J579" s="4" t="str">
        <f t="shared" si="49"/>
        <v/>
      </c>
    </row>
    <row r="580" spans="1:10" ht="15" customHeight="1" x14ac:dyDescent="0.25">
      <c r="A580" s="8" t="str">
        <f>IF(COUNT($J$2:$J$1501)&gt;=579,579,"")</f>
        <v/>
      </c>
      <c r="B580" s="8" t="str">
        <f t="shared" si="45"/>
        <v/>
      </c>
      <c r="C580" s="8" t="str">
        <f t="shared" si="46"/>
        <v/>
      </c>
      <c r="D580" s="8" t="str">
        <f t="shared" si="47"/>
        <v/>
      </c>
      <c r="F580" s="4" t="str">
        <f>IF(Jugadores!B580="","",Jugadores!B580)</f>
        <v/>
      </c>
      <c r="G580" s="4" t="str">
        <f>IF(Jugadores!B580="","",Jugadores!A580)</f>
        <v/>
      </c>
      <c r="H580" s="4" t="str">
        <f>IF(F580="","",SUMIF('Estadísticas Jugadores'!$F$2:$F$7001,F580,'Estadísticas Jugadores'!$J$2:$J$7001))</f>
        <v/>
      </c>
      <c r="I580" s="4" t="str">
        <f t="shared" si="48"/>
        <v/>
      </c>
      <c r="J580" s="4" t="str">
        <f t="shared" si="49"/>
        <v/>
      </c>
    </row>
    <row r="581" spans="1:10" ht="15" customHeight="1" x14ac:dyDescent="0.25">
      <c r="A581" s="8" t="str">
        <f>IF(COUNT($J$2:$J$1501)&gt;=580,580,"")</f>
        <v/>
      </c>
      <c r="B581" s="8" t="str">
        <f t="shared" si="45"/>
        <v/>
      </c>
      <c r="C581" s="8" t="str">
        <f t="shared" si="46"/>
        <v/>
      </c>
      <c r="D581" s="8" t="str">
        <f t="shared" si="47"/>
        <v/>
      </c>
      <c r="F581" s="4" t="str">
        <f>IF(Jugadores!B581="","",Jugadores!B581)</f>
        <v/>
      </c>
      <c r="G581" s="4" t="str">
        <f>IF(Jugadores!B581="","",Jugadores!A581)</f>
        <v/>
      </c>
      <c r="H581" s="4" t="str">
        <f>IF(F581="","",SUMIF('Estadísticas Jugadores'!$F$2:$F$7001,F581,'Estadísticas Jugadores'!$J$2:$J$7001))</f>
        <v/>
      </c>
      <c r="I581" s="4" t="str">
        <f t="shared" si="48"/>
        <v/>
      </c>
      <c r="J581" s="4" t="str">
        <f t="shared" si="49"/>
        <v/>
      </c>
    </row>
    <row r="582" spans="1:10" ht="15" customHeight="1" x14ac:dyDescent="0.25">
      <c r="A582" s="8" t="str">
        <f>IF(COUNT($J$2:$J$1501)&gt;=581,581,"")</f>
        <v/>
      </c>
      <c r="B582" s="8" t="str">
        <f t="shared" si="45"/>
        <v/>
      </c>
      <c r="C582" s="8" t="str">
        <f t="shared" si="46"/>
        <v/>
      </c>
      <c r="D582" s="8" t="str">
        <f t="shared" si="47"/>
        <v/>
      </c>
      <c r="F582" s="4" t="str">
        <f>IF(Jugadores!B582="","",Jugadores!B582)</f>
        <v/>
      </c>
      <c r="G582" s="4" t="str">
        <f>IF(Jugadores!B582="","",Jugadores!A582)</f>
        <v/>
      </c>
      <c r="H582" s="4" t="str">
        <f>IF(F582="","",SUMIF('Estadísticas Jugadores'!$F$2:$F$7001,F582,'Estadísticas Jugadores'!$J$2:$J$7001))</f>
        <v/>
      </c>
      <c r="I582" s="4" t="str">
        <f t="shared" si="48"/>
        <v/>
      </c>
      <c r="J582" s="4" t="str">
        <f t="shared" si="49"/>
        <v/>
      </c>
    </row>
    <row r="583" spans="1:10" ht="15" customHeight="1" x14ac:dyDescent="0.25">
      <c r="A583" s="8" t="str">
        <f>IF(COUNT($J$2:$J$1501)&gt;=582,582,"")</f>
        <v/>
      </c>
      <c r="B583" s="8" t="str">
        <f t="shared" si="45"/>
        <v/>
      </c>
      <c r="C583" s="8" t="str">
        <f t="shared" si="46"/>
        <v/>
      </c>
      <c r="D583" s="8" t="str">
        <f t="shared" si="47"/>
        <v/>
      </c>
      <c r="F583" s="4" t="str">
        <f>IF(Jugadores!B583="","",Jugadores!B583)</f>
        <v/>
      </c>
      <c r="G583" s="4" t="str">
        <f>IF(Jugadores!B583="","",Jugadores!A583)</f>
        <v/>
      </c>
      <c r="H583" s="4" t="str">
        <f>IF(F583="","",SUMIF('Estadísticas Jugadores'!$F$2:$F$7001,F583,'Estadísticas Jugadores'!$J$2:$J$7001))</f>
        <v/>
      </c>
      <c r="I583" s="4" t="str">
        <f t="shared" si="48"/>
        <v/>
      </c>
      <c r="J583" s="4" t="str">
        <f t="shared" si="49"/>
        <v/>
      </c>
    </row>
    <row r="584" spans="1:10" ht="15" customHeight="1" x14ac:dyDescent="0.25">
      <c r="A584" s="8" t="str">
        <f>IF(COUNT($J$2:$J$1501)&gt;=583,583,"")</f>
        <v/>
      </c>
      <c r="B584" s="8" t="str">
        <f t="shared" si="45"/>
        <v/>
      </c>
      <c r="C584" s="8" t="str">
        <f t="shared" si="46"/>
        <v/>
      </c>
      <c r="D584" s="8" t="str">
        <f t="shared" si="47"/>
        <v/>
      </c>
      <c r="F584" s="4" t="str">
        <f>IF(Jugadores!B584="","",Jugadores!B584)</f>
        <v/>
      </c>
      <c r="G584" s="4" t="str">
        <f>IF(Jugadores!B584="","",Jugadores!A584)</f>
        <v/>
      </c>
      <c r="H584" s="4" t="str">
        <f>IF(F584="","",SUMIF('Estadísticas Jugadores'!$F$2:$F$7001,F584,'Estadísticas Jugadores'!$J$2:$J$7001))</f>
        <v/>
      </c>
      <c r="I584" s="4" t="str">
        <f t="shared" si="48"/>
        <v/>
      </c>
      <c r="J584" s="4" t="str">
        <f t="shared" si="49"/>
        <v/>
      </c>
    </row>
    <row r="585" spans="1:10" ht="15" customHeight="1" x14ac:dyDescent="0.25">
      <c r="A585" s="8" t="str">
        <f>IF(COUNT($J$2:$J$1501)&gt;=584,584,"")</f>
        <v/>
      </c>
      <c r="B585" s="8" t="str">
        <f t="shared" si="45"/>
        <v/>
      </c>
      <c r="C585" s="8" t="str">
        <f t="shared" si="46"/>
        <v/>
      </c>
      <c r="D585" s="8" t="str">
        <f t="shared" si="47"/>
        <v/>
      </c>
      <c r="F585" s="4" t="str">
        <f>IF(Jugadores!B585="","",Jugadores!B585)</f>
        <v/>
      </c>
      <c r="G585" s="4" t="str">
        <f>IF(Jugadores!B585="","",Jugadores!A585)</f>
        <v/>
      </c>
      <c r="H585" s="4" t="str">
        <f>IF(F585="","",SUMIF('Estadísticas Jugadores'!$F$2:$F$7001,F585,'Estadísticas Jugadores'!$J$2:$J$7001))</f>
        <v/>
      </c>
      <c r="I585" s="4" t="str">
        <f t="shared" si="48"/>
        <v/>
      </c>
      <c r="J585" s="4" t="str">
        <f t="shared" si="49"/>
        <v/>
      </c>
    </row>
    <row r="586" spans="1:10" ht="15" customHeight="1" x14ac:dyDescent="0.25">
      <c r="A586" s="8" t="str">
        <f>IF(COUNT($J$2:$J$1501)&gt;=585,585,"")</f>
        <v/>
      </c>
      <c r="B586" s="8" t="str">
        <f t="shared" si="45"/>
        <v/>
      </c>
      <c r="C586" s="8" t="str">
        <f t="shared" si="46"/>
        <v/>
      </c>
      <c r="D586" s="8" t="str">
        <f t="shared" si="47"/>
        <v/>
      </c>
      <c r="F586" s="4" t="str">
        <f>IF(Jugadores!B586="","",Jugadores!B586)</f>
        <v/>
      </c>
      <c r="G586" s="4" t="str">
        <f>IF(Jugadores!B586="","",Jugadores!A586)</f>
        <v/>
      </c>
      <c r="H586" s="4" t="str">
        <f>IF(F586="","",SUMIF('Estadísticas Jugadores'!$F$2:$F$7001,F586,'Estadísticas Jugadores'!$J$2:$J$7001))</f>
        <v/>
      </c>
      <c r="I586" s="4" t="str">
        <f t="shared" si="48"/>
        <v/>
      </c>
      <c r="J586" s="4" t="str">
        <f t="shared" si="49"/>
        <v/>
      </c>
    </row>
    <row r="587" spans="1:10" ht="15" customHeight="1" x14ac:dyDescent="0.25">
      <c r="A587" s="8" t="str">
        <f>IF(COUNT($J$2:$J$1501)&gt;=586,586,"")</f>
        <v/>
      </c>
      <c r="B587" s="8" t="str">
        <f t="shared" si="45"/>
        <v/>
      </c>
      <c r="C587" s="8" t="str">
        <f t="shared" si="46"/>
        <v/>
      </c>
      <c r="D587" s="8" t="str">
        <f t="shared" si="47"/>
        <v/>
      </c>
      <c r="F587" s="4" t="str">
        <f>IF(Jugadores!B587="","",Jugadores!B587)</f>
        <v/>
      </c>
      <c r="G587" s="4" t="str">
        <f>IF(Jugadores!B587="","",Jugadores!A587)</f>
        <v/>
      </c>
      <c r="H587" s="4" t="str">
        <f>IF(F587="","",SUMIF('Estadísticas Jugadores'!$F$2:$F$7001,F587,'Estadísticas Jugadores'!$J$2:$J$7001))</f>
        <v/>
      </c>
      <c r="I587" s="4" t="str">
        <f t="shared" si="48"/>
        <v/>
      </c>
      <c r="J587" s="4" t="str">
        <f t="shared" si="49"/>
        <v/>
      </c>
    </row>
    <row r="588" spans="1:10" ht="15" customHeight="1" x14ac:dyDescent="0.25">
      <c r="A588" s="8" t="str">
        <f>IF(COUNT($J$2:$J$1501)&gt;=587,587,"")</f>
        <v/>
      </c>
      <c r="B588" s="8" t="str">
        <f t="shared" si="45"/>
        <v/>
      </c>
      <c r="C588" s="8" t="str">
        <f t="shared" si="46"/>
        <v/>
      </c>
      <c r="D588" s="8" t="str">
        <f t="shared" si="47"/>
        <v/>
      </c>
      <c r="F588" s="4" t="str">
        <f>IF(Jugadores!B588="","",Jugadores!B588)</f>
        <v/>
      </c>
      <c r="G588" s="4" t="str">
        <f>IF(Jugadores!B588="","",Jugadores!A588)</f>
        <v/>
      </c>
      <c r="H588" s="4" t="str">
        <f>IF(F588="","",SUMIF('Estadísticas Jugadores'!$F$2:$F$7001,F588,'Estadísticas Jugadores'!$J$2:$J$7001))</f>
        <v/>
      </c>
      <c r="I588" s="4" t="str">
        <f t="shared" si="48"/>
        <v/>
      </c>
      <c r="J588" s="4" t="str">
        <f t="shared" si="49"/>
        <v/>
      </c>
    </row>
    <row r="589" spans="1:10" ht="15" customHeight="1" x14ac:dyDescent="0.25">
      <c r="A589" s="8" t="str">
        <f>IF(COUNT($J$2:$J$1501)&gt;=588,588,"")</f>
        <v/>
      </c>
      <c r="B589" s="8" t="str">
        <f t="shared" si="45"/>
        <v/>
      </c>
      <c r="C589" s="8" t="str">
        <f t="shared" si="46"/>
        <v/>
      </c>
      <c r="D589" s="8" t="str">
        <f t="shared" si="47"/>
        <v/>
      </c>
      <c r="F589" s="4" t="str">
        <f>IF(Jugadores!B589="","",Jugadores!B589)</f>
        <v/>
      </c>
      <c r="G589" s="4" t="str">
        <f>IF(Jugadores!B589="","",Jugadores!A589)</f>
        <v/>
      </c>
      <c r="H589" s="4" t="str">
        <f>IF(F589="","",SUMIF('Estadísticas Jugadores'!$F$2:$F$7001,F589,'Estadísticas Jugadores'!$J$2:$J$7001))</f>
        <v/>
      </c>
      <c r="I589" s="4" t="str">
        <f t="shared" si="48"/>
        <v/>
      </c>
      <c r="J589" s="4" t="str">
        <f t="shared" si="49"/>
        <v/>
      </c>
    </row>
    <row r="590" spans="1:10" ht="15" customHeight="1" x14ac:dyDescent="0.25">
      <c r="A590" s="8" t="str">
        <f>IF(COUNT($J$2:$J$1501)&gt;=589,589,"")</f>
        <v/>
      </c>
      <c r="B590" s="8" t="str">
        <f t="shared" si="45"/>
        <v/>
      </c>
      <c r="C590" s="8" t="str">
        <f t="shared" si="46"/>
        <v/>
      </c>
      <c r="D590" s="8" t="str">
        <f t="shared" si="47"/>
        <v/>
      </c>
      <c r="F590" s="4" t="str">
        <f>IF(Jugadores!B590="","",Jugadores!B590)</f>
        <v/>
      </c>
      <c r="G590" s="4" t="str">
        <f>IF(Jugadores!B590="","",Jugadores!A590)</f>
        <v/>
      </c>
      <c r="H590" s="4" t="str">
        <f>IF(F590="","",SUMIF('Estadísticas Jugadores'!$F$2:$F$7001,F590,'Estadísticas Jugadores'!$J$2:$J$7001))</f>
        <v/>
      </c>
      <c r="I590" s="4" t="str">
        <f t="shared" si="48"/>
        <v/>
      </c>
      <c r="J590" s="4" t="str">
        <f t="shared" si="49"/>
        <v/>
      </c>
    </row>
    <row r="591" spans="1:10" ht="15" customHeight="1" x14ac:dyDescent="0.25">
      <c r="A591" s="8" t="str">
        <f>IF(COUNT($J$2:$J$1501)&gt;=590,590,"")</f>
        <v/>
      </c>
      <c r="B591" s="8" t="str">
        <f t="shared" si="45"/>
        <v/>
      </c>
      <c r="C591" s="8" t="str">
        <f t="shared" si="46"/>
        <v/>
      </c>
      <c r="D591" s="8" t="str">
        <f t="shared" si="47"/>
        <v/>
      </c>
      <c r="F591" s="4" t="str">
        <f>IF(Jugadores!B591="","",Jugadores!B591)</f>
        <v/>
      </c>
      <c r="G591" s="4" t="str">
        <f>IF(Jugadores!B591="","",Jugadores!A591)</f>
        <v/>
      </c>
      <c r="H591" s="4" t="str">
        <f>IF(F591="","",SUMIF('Estadísticas Jugadores'!$F$2:$F$7001,F591,'Estadísticas Jugadores'!$J$2:$J$7001))</f>
        <v/>
      </c>
      <c r="I591" s="4" t="str">
        <f t="shared" si="48"/>
        <v/>
      </c>
      <c r="J591" s="4" t="str">
        <f t="shared" si="49"/>
        <v/>
      </c>
    </row>
    <row r="592" spans="1:10" ht="15" customHeight="1" x14ac:dyDescent="0.25">
      <c r="A592" s="8" t="str">
        <f>IF(COUNT($J$2:$J$1501)&gt;=591,591,"")</f>
        <v/>
      </c>
      <c r="B592" s="8" t="str">
        <f t="shared" si="45"/>
        <v/>
      </c>
      <c r="C592" s="8" t="str">
        <f t="shared" si="46"/>
        <v/>
      </c>
      <c r="D592" s="8" t="str">
        <f t="shared" si="47"/>
        <v/>
      </c>
      <c r="F592" s="4" t="str">
        <f>IF(Jugadores!B592="","",Jugadores!B592)</f>
        <v/>
      </c>
      <c r="G592" s="4" t="str">
        <f>IF(Jugadores!B592="","",Jugadores!A592)</f>
        <v/>
      </c>
      <c r="H592" s="4" t="str">
        <f>IF(F592="","",SUMIF('Estadísticas Jugadores'!$F$2:$F$7001,F592,'Estadísticas Jugadores'!$J$2:$J$7001))</f>
        <v/>
      </c>
      <c r="I592" s="4" t="str">
        <f t="shared" si="48"/>
        <v/>
      </c>
      <c r="J592" s="4" t="str">
        <f t="shared" si="49"/>
        <v/>
      </c>
    </row>
    <row r="593" spans="1:10" ht="15" customHeight="1" x14ac:dyDescent="0.25">
      <c r="A593" s="8" t="str">
        <f>IF(COUNT($J$2:$J$1501)&gt;=592,592,"")</f>
        <v/>
      </c>
      <c r="B593" s="8" t="str">
        <f t="shared" si="45"/>
        <v/>
      </c>
      <c r="C593" s="8" t="str">
        <f t="shared" si="46"/>
        <v/>
      </c>
      <c r="D593" s="8" t="str">
        <f t="shared" si="47"/>
        <v/>
      </c>
      <c r="F593" s="4" t="str">
        <f>IF(Jugadores!B593="","",Jugadores!B593)</f>
        <v/>
      </c>
      <c r="G593" s="4" t="str">
        <f>IF(Jugadores!B593="","",Jugadores!A593)</f>
        <v/>
      </c>
      <c r="H593" s="4" t="str">
        <f>IF(F593="","",SUMIF('Estadísticas Jugadores'!$F$2:$F$7001,F593,'Estadísticas Jugadores'!$J$2:$J$7001))</f>
        <v/>
      </c>
      <c r="I593" s="4" t="str">
        <f t="shared" si="48"/>
        <v/>
      </c>
      <c r="J593" s="4" t="str">
        <f t="shared" si="49"/>
        <v/>
      </c>
    </row>
    <row r="594" spans="1:10" ht="15" customHeight="1" x14ac:dyDescent="0.25">
      <c r="A594" s="8" t="str">
        <f>IF(COUNT($J$2:$J$1501)&gt;=593,593,"")</f>
        <v/>
      </c>
      <c r="B594" s="8" t="str">
        <f t="shared" si="45"/>
        <v/>
      </c>
      <c r="C594" s="8" t="str">
        <f t="shared" si="46"/>
        <v/>
      </c>
      <c r="D594" s="8" t="str">
        <f t="shared" si="47"/>
        <v/>
      </c>
      <c r="F594" s="4" t="str">
        <f>IF(Jugadores!B594="","",Jugadores!B594)</f>
        <v/>
      </c>
      <c r="G594" s="4" t="str">
        <f>IF(Jugadores!B594="","",Jugadores!A594)</f>
        <v/>
      </c>
      <c r="H594" s="4" t="str">
        <f>IF(F594="","",SUMIF('Estadísticas Jugadores'!$F$2:$F$7001,F594,'Estadísticas Jugadores'!$J$2:$J$7001))</f>
        <v/>
      </c>
      <c r="I594" s="4" t="str">
        <f t="shared" si="48"/>
        <v/>
      </c>
      <c r="J594" s="4" t="str">
        <f t="shared" si="49"/>
        <v/>
      </c>
    </row>
    <row r="595" spans="1:10" ht="15" customHeight="1" x14ac:dyDescent="0.25">
      <c r="A595" s="8" t="str">
        <f>IF(COUNT($J$2:$J$1501)&gt;=594,594,"")</f>
        <v/>
      </c>
      <c r="B595" s="8" t="str">
        <f t="shared" si="45"/>
        <v/>
      </c>
      <c r="C595" s="8" t="str">
        <f t="shared" si="46"/>
        <v/>
      </c>
      <c r="D595" s="8" t="str">
        <f t="shared" si="47"/>
        <v/>
      </c>
      <c r="F595" s="4" t="str">
        <f>IF(Jugadores!B595="","",Jugadores!B595)</f>
        <v/>
      </c>
      <c r="G595" s="4" t="str">
        <f>IF(Jugadores!B595="","",Jugadores!A595)</f>
        <v/>
      </c>
      <c r="H595" s="4" t="str">
        <f>IF(F595="","",SUMIF('Estadísticas Jugadores'!$F$2:$F$7001,F595,'Estadísticas Jugadores'!$J$2:$J$7001))</f>
        <v/>
      </c>
      <c r="I595" s="4" t="str">
        <f t="shared" si="48"/>
        <v/>
      </c>
      <c r="J595" s="4" t="str">
        <f t="shared" si="49"/>
        <v/>
      </c>
    </row>
    <row r="596" spans="1:10" ht="15" customHeight="1" x14ac:dyDescent="0.25">
      <c r="A596" s="8" t="str">
        <f>IF(COUNT($J$2:$J$1501)&gt;=595,595,"")</f>
        <v/>
      </c>
      <c r="B596" s="8" t="str">
        <f t="shared" si="45"/>
        <v/>
      </c>
      <c r="C596" s="8" t="str">
        <f t="shared" si="46"/>
        <v/>
      </c>
      <c r="D596" s="8" t="str">
        <f t="shared" si="47"/>
        <v/>
      </c>
      <c r="F596" s="4" t="str">
        <f>IF(Jugadores!B596="","",Jugadores!B596)</f>
        <v/>
      </c>
      <c r="G596" s="4" t="str">
        <f>IF(Jugadores!B596="","",Jugadores!A596)</f>
        <v/>
      </c>
      <c r="H596" s="4" t="str">
        <f>IF(F596="","",SUMIF('Estadísticas Jugadores'!$F$2:$F$7001,F596,'Estadísticas Jugadores'!$J$2:$J$7001))</f>
        <v/>
      </c>
      <c r="I596" s="4" t="str">
        <f t="shared" si="48"/>
        <v/>
      </c>
      <c r="J596" s="4" t="str">
        <f t="shared" si="49"/>
        <v/>
      </c>
    </row>
    <row r="597" spans="1:10" ht="15" customHeight="1" x14ac:dyDescent="0.25">
      <c r="A597" s="8" t="str">
        <f>IF(COUNT($J$2:$J$1501)&gt;=596,596,"")</f>
        <v/>
      </c>
      <c r="B597" s="8" t="str">
        <f t="shared" si="45"/>
        <v/>
      </c>
      <c r="C597" s="8" t="str">
        <f t="shared" si="46"/>
        <v/>
      </c>
      <c r="D597" s="8" t="str">
        <f t="shared" si="47"/>
        <v/>
      </c>
      <c r="F597" s="4" t="str">
        <f>IF(Jugadores!B597="","",Jugadores!B597)</f>
        <v/>
      </c>
      <c r="G597" s="4" t="str">
        <f>IF(Jugadores!B597="","",Jugadores!A597)</f>
        <v/>
      </c>
      <c r="H597" s="4" t="str">
        <f>IF(F597="","",SUMIF('Estadísticas Jugadores'!$F$2:$F$7001,F597,'Estadísticas Jugadores'!$J$2:$J$7001))</f>
        <v/>
      </c>
      <c r="I597" s="4" t="str">
        <f t="shared" si="48"/>
        <v/>
      </c>
      <c r="J597" s="4" t="str">
        <f t="shared" si="49"/>
        <v/>
      </c>
    </row>
    <row r="598" spans="1:10" ht="15" customHeight="1" x14ac:dyDescent="0.25">
      <c r="A598" s="8" t="str">
        <f>IF(COUNT($J$2:$J$1501)&gt;=597,597,"")</f>
        <v/>
      </c>
      <c r="B598" s="8" t="str">
        <f t="shared" si="45"/>
        <v/>
      </c>
      <c r="C598" s="8" t="str">
        <f t="shared" si="46"/>
        <v/>
      </c>
      <c r="D598" s="8" t="str">
        <f t="shared" si="47"/>
        <v/>
      </c>
      <c r="F598" s="4" t="str">
        <f>IF(Jugadores!B598="","",Jugadores!B598)</f>
        <v/>
      </c>
      <c r="G598" s="4" t="str">
        <f>IF(Jugadores!B598="","",Jugadores!A598)</f>
        <v/>
      </c>
      <c r="H598" s="4" t="str">
        <f>IF(F598="","",SUMIF('Estadísticas Jugadores'!$F$2:$F$7001,F598,'Estadísticas Jugadores'!$J$2:$J$7001))</f>
        <v/>
      </c>
      <c r="I598" s="4" t="str">
        <f t="shared" si="48"/>
        <v/>
      </c>
      <c r="J598" s="4" t="str">
        <f t="shared" si="49"/>
        <v/>
      </c>
    </row>
    <row r="599" spans="1:10" ht="15" customHeight="1" x14ac:dyDescent="0.25">
      <c r="A599" s="8" t="str">
        <f>IF(COUNT($J$2:$J$1501)&gt;=598,598,"")</f>
        <v/>
      </c>
      <c r="B599" s="8" t="str">
        <f t="shared" si="45"/>
        <v/>
      </c>
      <c r="C599" s="8" t="str">
        <f t="shared" si="46"/>
        <v/>
      </c>
      <c r="D599" s="8" t="str">
        <f t="shared" si="47"/>
        <v/>
      </c>
      <c r="F599" s="4" t="str">
        <f>IF(Jugadores!B599="","",Jugadores!B599)</f>
        <v/>
      </c>
      <c r="G599" s="4" t="str">
        <f>IF(Jugadores!B599="","",Jugadores!A599)</f>
        <v/>
      </c>
      <c r="H599" s="4" t="str">
        <f>IF(F599="","",SUMIF('Estadísticas Jugadores'!$F$2:$F$7001,F599,'Estadísticas Jugadores'!$J$2:$J$7001))</f>
        <v/>
      </c>
      <c r="I599" s="4" t="str">
        <f t="shared" si="48"/>
        <v/>
      </c>
      <c r="J599" s="4" t="str">
        <f t="shared" si="49"/>
        <v/>
      </c>
    </row>
    <row r="600" spans="1:10" ht="15" customHeight="1" x14ac:dyDescent="0.25">
      <c r="A600" s="8" t="str">
        <f>IF(COUNT($J$2:$J$1501)&gt;=599,599,"")</f>
        <v/>
      </c>
      <c r="B600" s="8" t="str">
        <f t="shared" si="45"/>
        <v/>
      </c>
      <c r="C600" s="8" t="str">
        <f t="shared" si="46"/>
        <v/>
      </c>
      <c r="D600" s="8" t="str">
        <f t="shared" si="47"/>
        <v/>
      </c>
      <c r="F600" s="4" t="str">
        <f>IF(Jugadores!B600="","",Jugadores!B600)</f>
        <v/>
      </c>
      <c r="G600" s="4" t="str">
        <f>IF(Jugadores!B600="","",Jugadores!A600)</f>
        <v/>
      </c>
      <c r="H600" s="4" t="str">
        <f>IF(F600="","",SUMIF('Estadísticas Jugadores'!$F$2:$F$7001,F600,'Estadísticas Jugadores'!$J$2:$J$7001))</f>
        <v/>
      </c>
      <c r="I600" s="4" t="str">
        <f t="shared" si="48"/>
        <v/>
      </c>
      <c r="J600" s="4" t="str">
        <f t="shared" si="49"/>
        <v/>
      </c>
    </row>
    <row r="601" spans="1:10" ht="15" customHeight="1" x14ac:dyDescent="0.25">
      <c r="A601" s="8" t="str">
        <f>IF(COUNT($J$2:$J$1501)&gt;=600,600,"")</f>
        <v/>
      </c>
      <c r="B601" s="8" t="str">
        <f t="shared" si="45"/>
        <v/>
      </c>
      <c r="C601" s="8" t="str">
        <f t="shared" si="46"/>
        <v/>
      </c>
      <c r="D601" s="8" t="str">
        <f t="shared" si="47"/>
        <v/>
      </c>
      <c r="F601" s="4" t="str">
        <f>IF(Jugadores!B601="","",Jugadores!B601)</f>
        <v/>
      </c>
      <c r="G601" s="4" t="str">
        <f>IF(Jugadores!B601="","",Jugadores!A601)</f>
        <v/>
      </c>
      <c r="H601" s="4" t="str">
        <f>IF(F601="","",SUMIF('Estadísticas Jugadores'!$F$2:$F$7001,F601,'Estadísticas Jugadores'!$J$2:$J$7001))</f>
        <v/>
      </c>
      <c r="I601" s="4" t="str">
        <f t="shared" si="48"/>
        <v/>
      </c>
      <c r="J601" s="4" t="str">
        <f t="shared" si="49"/>
        <v/>
      </c>
    </row>
    <row r="602" spans="1:10" ht="15" customHeight="1" x14ac:dyDescent="0.25">
      <c r="A602" s="8" t="str">
        <f>IF(COUNT($J$2:$J$1501)&gt;=601,601,"")</f>
        <v/>
      </c>
      <c r="B602" s="8" t="str">
        <f t="shared" si="45"/>
        <v/>
      </c>
      <c r="C602" s="8" t="str">
        <f t="shared" si="46"/>
        <v/>
      </c>
      <c r="D602" s="8" t="str">
        <f t="shared" si="47"/>
        <v/>
      </c>
      <c r="F602" s="4" t="str">
        <f>IF(Jugadores!B602="","",Jugadores!B602)</f>
        <v/>
      </c>
      <c r="G602" s="4" t="str">
        <f>IF(Jugadores!B602="","",Jugadores!A602)</f>
        <v/>
      </c>
      <c r="H602" s="4" t="str">
        <f>IF(F602="","",SUMIF('Estadísticas Jugadores'!$F$2:$F$7001,F602,'Estadísticas Jugadores'!$J$2:$J$7001))</f>
        <v/>
      </c>
      <c r="I602" s="4" t="str">
        <f t="shared" si="48"/>
        <v/>
      </c>
      <c r="J602" s="4" t="str">
        <f t="shared" si="49"/>
        <v/>
      </c>
    </row>
    <row r="603" spans="1:10" ht="15" customHeight="1" x14ac:dyDescent="0.25">
      <c r="A603" s="8" t="str">
        <f>IF(COUNT($J$2:$J$1501)&gt;=602,602,"")</f>
        <v/>
      </c>
      <c r="B603" s="8" t="str">
        <f t="shared" si="45"/>
        <v/>
      </c>
      <c r="C603" s="8" t="str">
        <f t="shared" si="46"/>
        <v/>
      </c>
      <c r="D603" s="8" t="str">
        <f t="shared" si="47"/>
        <v/>
      </c>
      <c r="F603" s="4" t="str">
        <f>IF(Jugadores!B603="","",Jugadores!B603)</f>
        <v/>
      </c>
      <c r="G603" s="4" t="str">
        <f>IF(Jugadores!B603="","",Jugadores!A603)</f>
        <v/>
      </c>
      <c r="H603" s="4" t="str">
        <f>IF(F603="","",SUMIF('Estadísticas Jugadores'!$F$2:$F$7001,F603,'Estadísticas Jugadores'!$J$2:$J$7001))</f>
        <v/>
      </c>
      <c r="I603" s="4" t="str">
        <f t="shared" si="48"/>
        <v/>
      </c>
      <c r="J603" s="4" t="str">
        <f t="shared" si="49"/>
        <v/>
      </c>
    </row>
    <row r="604" spans="1:10" ht="15" customHeight="1" x14ac:dyDescent="0.25">
      <c r="A604" s="8" t="str">
        <f>IF(COUNT($J$2:$J$1501)&gt;=603,603,"")</f>
        <v/>
      </c>
      <c r="B604" s="8" t="str">
        <f t="shared" si="45"/>
        <v/>
      </c>
      <c r="C604" s="8" t="str">
        <f t="shared" si="46"/>
        <v/>
      </c>
      <c r="D604" s="8" t="str">
        <f t="shared" si="47"/>
        <v/>
      </c>
      <c r="F604" s="4" t="str">
        <f>IF(Jugadores!B604="","",Jugadores!B604)</f>
        <v/>
      </c>
      <c r="G604" s="4" t="str">
        <f>IF(Jugadores!B604="","",Jugadores!A604)</f>
        <v/>
      </c>
      <c r="H604" s="4" t="str">
        <f>IF(F604="","",SUMIF('Estadísticas Jugadores'!$F$2:$F$7001,F604,'Estadísticas Jugadores'!$J$2:$J$7001))</f>
        <v/>
      </c>
      <c r="I604" s="4" t="str">
        <f t="shared" si="48"/>
        <v/>
      </c>
      <c r="J604" s="4" t="str">
        <f t="shared" si="49"/>
        <v/>
      </c>
    </row>
    <row r="605" spans="1:10" ht="15" customHeight="1" x14ac:dyDescent="0.25">
      <c r="A605" s="8" t="str">
        <f>IF(COUNT($J$2:$J$1501)&gt;=604,604,"")</f>
        <v/>
      </c>
      <c r="B605" s="8" t="str">
        <f t="shared" si="45"/>
        <v/>
      </c>
      <c r="C605" s="8" t="str">
        <f t="shared" si="46"/>
        <v/>
      </c>
      <c r="D605" s="8" t="str">
        <f t="shared" si="47"/>
        <v/>
      </c>
      <c r="F605" s="4" t="str">
        <f>IF(Jugadores!B605="","",Jugadores!B605)</f>
        <v/>
      </c>
      <c r="G605" s="4" t="str">
        <f>IF(Jugadores!B605="","",Jugadores!A605)</f>
        <v/>
      </c>
      <c r="H605" s="4" t="str">
        <f>IF(F605="","",SUMIF('Estadísticas Jugadores'!$F$2:$F$7001,F605,'Estadísticas Jugadores'!$J$2:$J$7001))</f>
        <v/>
      </c>
      <c r="I605" s="4" t="str">
        <f t="shared" si="48"/>
        <v/>
      </c>
      <c r="J605" s="4" t="str">
        <f t="shared" si="49"/>
        <v/>
      </c>
    </row>
    <row r="606" spans="1:10" ht="15" customHeight="1" x14ac:dyDescent="0.25">
      <c r="A606" s="8" t="str">
        <f>IF(COUNT($J$2:$J$1501)&gt;=605,605,"")</f>
        <v/>
      </c>
      <c r="B606" s="8" t="str">
        <f t="shared" si="45"/>
        <v/>
      </c>
      <c r="C606" s="8" t="str">
        <f t="shared" si="46"/>
        <v/>
      </c>
      <c r="D606" s="8" t="str">
        <f t="shared" si="47"/>
        <v/>
      </c>
      <c r="F606" s="4" t="str">
        <f>IF(Jugadores!B606="","",Jugadores!B606)</f>
        <v/>
      </c>
      <c r="G606" s="4" t="str">
        <f>IF(Jugadores!B606="","",Jugadores!A606)</f>
        <v/>
      </c>
      <c r="H606" s="4" t="str">
        <f>IF(F606="","",SUMIF('Estadísticas Jugadores'!$F$2:$F$7001,F606,'Estadísticas Jugadores'!$J$2:$J$7001))</f>
        <v/>
      </c>
      <c r="I606" s="4" t="str">
        <f t="shared" si="48"/>
        <v/>
      </c>
      <c r="J606" s="4" t="str">
        <f t="shared" si="49"/>
        <v/>
      </c>
    </row>
    <row r="607" spans="1:10" ht="15" customHeight="1" x14ac:dyDescent="0.25">
      <c r="A607" s="8" t="str">
        <f>IF(COUNT($J$2:$J$1501)&gt;=606,606,"")</f>
        <v/>
      </c>
      <c r="B607" s="8" t="str">
        <f t="shared" si="45"/>
        <v/>
      </c>
      <c r="C607" s="8" t="str">
        <f t="shared" si="46"/>
        <v/>
      </c>
      <c r="D607" s="8" t="str">
        <f t="shared" si="47"/>
        <v/>
      </c>
      <c r="F607" s="4" t="str">
        <f>IF(Jugadores!B607="","",Jugadores!B607)</f>
        <v/>
      </c>
      <c r="G607" s="4" t="str">
        <f>IF(Jugadores!B607="","",Jugadores!A607)</f>
        <v/>
      </c>
      <c r="H607" s="4" t="str">
        <f>IF(F607="","",SUMIF('Estadísticas Jugadores'!$F$2:$F$7001,F607,'Estadísticas Jugadores'!$J$2:$J$7001))</f>
        <v/>
      </c>
      <c r="I607" s="4" t="str">
        <f t="shared" si="48"/>
        <v/>
      </c>
      <c r="J607" s="4" t="str">
        <f t="shared" si="49"/>
        <v/>
      </c>
    </row>
    <row r="608" spans="1:10" ht="15" customHeight="1" x14ac:dyDescent="0.25">
      <c r="A608" s="8" t="str">
        <f>IF(COUNT($J$2:$J$1501)&gt;=607,607,"")</f>
        <v/>
      </c>
      <c r="B608" s="8" t="str">
        <f t="shared" si="45"/>
        <v/>
      </c>
      <c r="C608" s="8" t="str">
        <f t="shared" si="46"/>
        <v/>
      </c>
      <c r="D608" s="8" t="str">
        <f t="shared" si="47"/>
        <v/>
      </c>
      <c r="F608" s="4" t="str">
        <f>IF(Jugadores!B608="","",Jugadores!B608)</f>
        <v/>
      </c>
      <c r="G608" s="4" t="str">
        <f>IF(Jugadores!B608="","",Jugadores!A608)</f>
        <v/>
      </c>
      <c r="H608" s="4" t="str">
        <f>IF(F608="","",SUMIF('Estadísticas Jugadores'!$F$2:$F$7001,F608,'Estadísticas Jugadores'!$J$2:$J$7001))</f>
        <v/>
      </c>
      <c r="I608" s="4" t="str">
        <f t="shared" si="48"/>
        <v/>
      </c>
      <c r="J608" s="4" t="str">
        <f t="shared" si="49"/>
        <v/>
      </c>
    </row>
    <row r="609" spans="1:10" ht="15" customHeight="1" x14ac:dyDescent="0.25">
      <c r="A609" s="8" t="str">
        <f>IF(COUNT($J$2:$J$1501)&gt;=608,608,"")</f>
        <v/>
      </c>
      <c r="B609" s="8" t="str">
        <f t="shared" si="45"/>
        <v/>
      </c>
      <c r="C609" s="8" t="str">
        <f t="shared" si="46"/>
        <v/>
      </c>
      <c r="D609" s="8" t="str">
        <f t="shared" si="47"/>
        <v/>
      </c>
      <c r="F609" s="4" t="str">
        <f>IF(Jugadores!B609="","",Jugadores!B609)</f>
        <v/>
      </c>
      <c r="G609" s="4" t="str">
        <f>IF(Jugadores!B609="","",Jugadores!A609)</f>
        <v/>
      </c>
      <c r="H609" s="4" t="str">
        <f>IF(F609="","",SUMIF('Estadísticas Jugadores'!$F$2:$F$7001,F609,'Estadísticas Jugadores'!$J$2:$J$7001))</f>
        <v/>
      </c>
      <c r="I609" s="4" t="str">
        <f t="shared" si="48"/>
        <v/>
      </c>
      <c r="J609" s="4" t="str">
        <f t="shared" si="49"/>
        <v/>
      </c>
    </row>
    <row r="610" spans="1:10" ht="15" customHeight="1" x14ac:dyDescent="0.25">
      <c r="A610" s="8" t="str">
        <f>IF(COUNT($J$2:$J$1501)&gt;=609,609,"")</f>
        <v/>
      </c>
      <c r="B610" s="8" t="str">
        <f t="shared" si="45"/>
        <v/>
      </c>
      <c r="C610" s="8" t="str">
        <f t="shared" si="46"/>
        <v/>
      </c>
      <c r="D610" s="8" t="str">
        <f t="shared" si="47"/>
        <v/>
      </c>
      <c r="F610" s="4" t="str">
        <f>IF(Jugadores!B610="","",Jugadores!B610)</f>
        <v/>
      </c>
      <c r="G610" s="4" t="str">
        <f>IF(Jugadores!B610="","",Jugadores!A610)</f>
        <v/>
      </c>
      <c r="H610" s="4" t="str">
        <f>IF(F610="","",SUMIF('Estadísticas Jugadores'!$F$2:$F$7001,F610,'Estadísticas Jugadores'!$J$2:$J$7001))</f>
        <v/>
      </c>
      <c r="I610" s="4" t="str">
        <f t="shared" si="48"/>
        <v/>
      </c>
      <c r="J610" s="4" t="str">
        <f t="shared" si="49"/>
        <v/>
      </c>
    </row>
    <row r="611" spans="1:10" ht="15" customHeight="1" x14ac:dyDescent="0.25">
      <c r="A611" s="8" t="str">
        <f>IF(COUNT($J$2:$J$1501)&gt;=610,610,"")</f>
        <v/>
      </c>
      <c r="B611" s="8" t="str">
        <f t="shared" si="45"/>
        <v/>
      </c>
      <c r="C611" s="8" t="str">
        <f t="shared" si="46"/>
        <v/>
      </c>
      <c r="D611" s="8" t="str">
        <f t="shared" si="47"/>
        <v/>
      </c>
      <c r="F611" s="4" t="str">
        <f>IF(Jugadores!B611="","",Jugadores!B611)</f>
        <v/>
      </c>
      <c r="G611" s="4" t="str">
        <f>IF(Jugadores!B611="","",Jugadores!A611)</f>
        <v/>
      </c>
      <c r="H611" s="4" t="str">
        <f>IF(F611="","",SUMIF('Estadísticas Jugadores'!$F$2:$F$7001,F611,'Estadísticas Jugadores'!$J$2:$J$7001))</f>
        <v/>
      </c>
      <c r="I611" s="4" t="str">
        <f t="shared" si="48"/>
        <v/>
      </c>
      <c r="J611" s="4" t="str">
        <f t="shared" si="49"/>
        <v/>
      </c>
    </row>
    <row r="612" spans="1:10" ht="15" customHeight="1" x14ac:dyDescent="0.25">
      <c r="A612" s="8" t="str">
        <f>IF(COUNT($J$2:$J$1501)&gt;=611,611,"")</f>
        <v/>
      </c>
      <c r="B612" s="8" t="str">
        <f t="shared" si="45"/>
        <v/>
      </c>
      <c r="C612" s="8" t="str">
        <f t="shared" si="46"/>
        <v/>
      </c>
      <c r="D612" s="8" t="str">
        <f t="shared" si="47"/>
        <v/>
      </c>
      <c r="F612" s="4" t="str">
        <f>IF(Jugadores!B612="","",Jugadores!B612)</f>
        <v/>
      </c>
      <c r="G612" s="4" t="str">
        <f>IF(Jugadores!B612="","",Jugadores!A612)</f>
        <v/>
      </c>
      <c r="H612" s="4" t="str">
        <f>IF(F612="","",SUMIF('Estadísticas Jugadores'!$F$2:$F$7001,F612,'Estadísticas Jugadores'!$J$2:$J$7001))</f>
        <v/>
      </c>
      <c r="I612" s="4" t="str">
        <f t="shared" si="48"/>
        <v/>
      </c>
      <c r="J612" s="4" t="str">
        <f t="shared" si="49"/>
        <v/>
      </c>
    </row>
    <row r="613" spans="1:10" ht="15" customHeight="1" x14ac:dyDescent="0.25">
      <c r="A613" s="8" t="str">
        <f>IF(COUNT($J$2:$J$1501)&gt;=612,612,"")</f>
        <v/>
      </c>
      <c r="B613" s="8" t="str">
        <f t="shared" si="45"/>
        <v/>
      </c>
      <c r="C613" s="8" t="str">
        <f t="shared" si="46"/>
        <v/>
      </c>
      <c r="D613" s="8" t="str">
        <f t="shared" si="47"/>
        <v/>
      </c>
      <c r="F613" s="4" t="str">
        <f>IF(Jugadores!B613="","",Jugadores!B613)</f>
        <v/>
      </c>
      <c r="G613" s="4" t="str">
        <f>IF(Jugadores!B613="","",Jugadores!A613)</f>
        <v/>
      </c>
      <c r="H613" s="4" t="str">
        <f>IF(F613="","",SUMIF('Estadísticas Jugadores'!$F$2:$F$7001,F613,'Estadísticas Jugadores'!$J$2:$J$7001))</f>
        <v/>
      </c>
      <c r="I613" s="4" t="str">
        <f t="shared" si="48"/>
        <v/>
      </c>
      <c r="J613" s="4" t="str">
        <f t="shared" si="49"/>
        <v/>
      </c>
    </row>
    <row r="614" spans="1:10" ht="15" customHeight="1" x14ac:dyDescent="0.25">
      <c r="A614" s="8" t="str">
        <f>IF(COUNT($J$2:$J$1501)&gt;=613,613,"")</f>
        <v/>
      </c>
      <c r="B614" s="8" t="str">
        <f t="shared" si="45"/>
        <v/>
      </c>
      <c r="C614" s="8" t="str">
        <f t="shared" si="46"/>
        <v/>
      </c>
      <c r="D614" s="8" t="str">
        <f t="shared" si="47"/>
        <v/>
      </c>
      <c r="F614" s="4" t="str">
        <f>IF(Jugadores!B614="","",Jugadores!B614)</f>
        <v/>
      </c>
      <c r="G614" s="4" t="str">
        <f>IF(Jugadores!B614="","",Jugadores!A614)</f>
        <v/>
      </c>
      <c r="H614" s="4" t="str">
        <f>IF(F614="","",SUMIF('Estadísticas Jugadores'!$F$2:$F$7001,F614,'Estadísticas Jugadores'!$J$2:$J$7001))</f>
        <v/>
      </c>
      <c r="I614" s="4" t="str">
        <f t="shared" si="48"/>
        <v/>
      </c>
      <c r="J614" s="4" t="str">
        <f t="shared" si="49"/>
        <v/>
      </c>
    </row>
    <row r="615" spans="1:10" ht="15" customHeight="1" x14ac:dyDescent="0.25">
      <c r="A615" s="8" t="str">
        <f>IF(COUNT($J$2:$J$1501)&gt;=614,614,"")</f>
        <v/>
      </c>
      <c r="B615" s="8" t="str">
        <f t="shared" si="45"/>
        <v/>
      </c>
      <c r="C615" s="8" t="str">
        <f t="shared" si="46"/>
        <v/>
      </c>
      <c r="D615" s="8" t="str">
        <f t="shared" si="47"/>
        <v/>
      </c>
      <c r="F615" s="4" t="str">
        <f>IF(Jugadores!B615="","",Jugadores!B615)</f>
        <v/>
      </c>
      <c r="G615" s="4" t="str">
        <f>IF(Jugadores!B615="","",Jugadores!A615)</f>
        <v/>
      </c>
      <c r="H615" s="4" t="str">
        <f>IF(F615="","",SUMIF('Estadísticas Jugadores'!$F$2:$F$7001,F615,'Estadísticas Jugadores'!$J$2:$J$7001))</f>
        <v/>
      </c>
      <c r="I615" s="4" t="str">
        <f t="shared" si="48"/>
        <v/>
      </c>
      <c r="J615" s="4" t="str">
        <f t="shared" si="49"/>
        <v/>
      </c>
    </row>
    <row r="616" spans="1:10" ht="15" customHeight="1" x14ac:dyDescent="0.25">
      <c r="A616" s="8" t="str">
        <f>IF(COUNT($J$2:$J$1501)&gt;=615,615,"")</f>
        <v/>
      </c>
      <c r="B616" s="8" t="str">
        <f t="shared" si="45"/>
        <v/>
      </c>
      <c r="C616" s="8" t="str">
        <f t="shared" si="46"/>
        <v/>
      </c>
      <c r="D616" s="8" t="str">
        <f t="shared" si="47"/>
        <v/>
      </c>
      <c r="F616" s="4" t="str">
        <f>IF(Jugadores!B616="","",Jugadores!B616)</f>
        <v/>
      </c>
      <c r="G616" s="4" t="str">
        <f>IF(Jugadores!B616="","",Jugadores!A616)</f>
        <v/>
      </c>
      <c r="H616" s="4" t="str">
        <f>IF(F616="","",SUMIF('Estadísticas Jugadores'!$F$2:$F$7001,F616,'Estadísticas Jugadores'!$J$2:$J$7001))</f>
        <v/>
      </c>
      <c r="I616" s="4" t="str">
        <f t="shared" si="48"/>
        <v/>
      </c>
      <c r="J616" s="4" t="str">
        <f t="shared" si="49"/>
        <v/>
      </c>
    </row>
    <row r="617" spans="1:10" ht="15" customHeight="1" x14ac:dyDescent="0.25">
      <c r="A617" s="8" t="str">
        <f>IF(COUNT($J$2:$J$1501)&gt;=616,616,"")</f>
        <v/>
      </c>
      <c r="B617" s="8" t="str">
        <f t="shared" si="45"/>
        <v/>
      </c>
      <c r="C617" s="8" t="str">
        <f t="shared" si="46"/>
        <v/>
      </c>
      <c r="D617" s="8" t="str">
        <f t="shared" si="47"/>
        <v/>
      </c>
      <c r="F617" s="4" t="str">
        <f>IF(Jugadores!B617="","",Jugadores!B617)</f>
        <v/>
      </c>
      <c r="G617" s="4" t="str">
        <f>IF(Jugadores!B617="","",Jugadores!A617)</f>
        <v/>
      </c>
      <c r="H617" s="4" t="str">
        <f>IF(F617="","",SUMIF('Estadísticas Jugadores'!$F$2:$F$7001,F617,'Estadísticas Jugadores'!$J$2:$J$7001))</f>
        <v/>
      </c>
      <c r="I617" s="4" t="str">
        <f t="shared" si="48"/>
        <v/>
      </c>
      <c r="J617" s="4" t="str">
        <f t="shared" si="49"/>
        <v/>
      </c>
    </row>
    <row r="618" spans="1:10" ht="15" customHeight="1" x14ac:dyDescent="0.25">
      <c r="A618" s="8" t="str">
        <f>IF(COUNT($J$2:$J$1501)&gt;=617,617,"")</f>
        <v/>
      </c>
      <c r="B618" s="8" t="str">
        <f t="shared" si="45"/>
        <v/>
      </c>
      <c r="C618" s="8" t="str">
        <f t="shared" si="46"/>
        <v/>
      </c>
      <c r="D618" s="8" t="str">
        <f t="shared" si="47"/>
        <v/>
      </c>
      <c r="F618" s="4" t="str">
        <f>IF(Jugadores!B618="","",Jugadores!B618)</f>
        <v/>
      </c>
      <c r="G618" s="4" t="str">
        <f>IF(Jugadores!B618="","",Jugadores!A618)</f>
        <v/>
      </c>
      <c r="H618" s="4" t="str">
        <f>IF(F618="","",SUMIF('Estadísticas Jugadores'!$F$2:$F$7001,F618,'Estadísticas Jugadores'!$J$2:$J$7001))</f>
        <v/>
      </c>
      <c r="I618" s="4" t="str">
        <f t="shared" si="48"/>
        <v/>
      </c>
      <c r="J618" s="4" t="str">
        <f t="shared" si="49"/>
        <v/>
      </c>
    </row>
    <row r="619" spans="1:10" ht="15" customHeight="1" x14ac:dyDescent="0.25">
      <c r="A619" s="8" t="str">
        <f>IF(COUNT($J$2:$J$1501)&gt;=618,618,"")</f>
        <v/>
      </c>
      <c r="B619" s="8" t="str">
        <f t="shared" si="45"/>
        <v/>
      </c>
      <c r="C619" s="8" t="str">
        <f t="shared" si="46"/>
        <v/>
      </c>
      <c r="D619" s="8" t="str">
        <f t="shared" si="47"/>
        <v/>
      </c>
      <c r="F619" s="4" t="str">
        <f>IF(Jugadores!B619="","",Jugadores!B619)</f>
        <v/>
      </c>
      <c r="G619" s="4" t="str">
        <f>IF(Jugadores!B619="","",Jugadores!A619)</f>
        <v/>
      </c>
      <c r="H619" s="4" t="str">
        <f>IF(F619="","",SUMIF('Estadísticas Jugadores'!$F$2:$F$7001,F619,'Estadísticas Jugadores'!$J$2:$J$7001))</f>
        <v/>
      </c>
      <c r="I619" s="4" t="str">
        <f t="shared" si="48"/>
        <v/>
      </c>
      <c r="J619" s="4" t="str">
        <f t="shared" si="49"/>
        <v/>
      </c>
    </row>
    <row r="620" spans="1:10" ht="15" customHeight="1" x14ac:dyDescent="0.25">
      <c r="A620" s="8" t="str">
        <f>IF(COUNT($J$2:$J$1501)&gt;=619,619,"")</f>
        <v/>
      </c>
      <c r="B620" s="8" t="str">
        <f t="shared" si="45"/>
        <v/>
      </c>
      <c r="C620" s="8" t="str">
        <f t="shared" si="46"/>
        <v/>
      </c>
      <c r="D620" s="8" t="str">
        <f t="shared" si="47"/>
        <v/>
      </c>
      <c r="F620" s="4" t="str">
        <f>IF(Jugadores!B620="","",Jugadores!B620)</f>
        <v/>
      </c>
      <c r="G620" s="4" t="str">
        <f>IF(Jugadores!B620="","",Jugadores!A620)</f>
        <v/>
      </c>
      <c r="H620" s="4" t="str">
        <f>IF(F620="","",SUMIF('Estadísticas Jugadores'!$F$2:$F$7001,F620,'Estadísticas Jugadores'!$J$2:$J$7001))</f>
        <v/>
      </c>
      <c r="I620" s="4" t="str">
        <f t="shared" si="48"/>
        <v/>
      </c>
      <c r="J620" s="4" t="str">
        <f t="shared" si="49"/>
        <v/>
      </c>
    </row>
    <row r="621" spans="1:10" ht="15" customHeight="1" x14ac:dyDescent="0.25">
      <c r="A621" s="8" t="str">
        <f>IF(COUNT($J$2:$J$1501)&gt;=620,620,"")</f>
        <v/>
      </c>
      <c r="B621" s="8" t="str">
        <f t="shared" si="45"/>
        <v/>
      </c>
      <c r="C621" s="8" t="str">
        <f t="shared" si="46"/>
        <v/>
      </c>
      <c r="D621" s="8" t="str">
        <f t="shared" si="47"/>
        <v/>
      </c>
      <c r="F621" s="4" t="str">
        <f>IF(Jugadores!B621="","",Jugadores!B621)</f>
        <v/>
      </c>
      <c r="G621" s="4" t="str">
        <f>IF(Jugadores!B621="","",Jugadores!A621)</f>
        <v/>
      </c>
      <c r="H621" s="4" t="str">
        <f>IF(F621="","",SUMIF('Estadísticas Jugadores'!$F$2:$F$7001,F621,'Estadísticas Jugadores'!$J$2:$J$7001))</f>
        <v/>
      </c>
      <c r="I621" s="4" t="str">
        <f t="shared" si="48"/>
        <v/>
      </c>
      <c r="J621" s="4" t="str">
        <f t="shared" si="49"/>
        <v/>
      </c>
    </row>
    <row r="622" spans="1:10" ht="15" customHeight="1" x14ac:dyDescent="0.25">
      <c r="A622" s="8" t="str">
        <f>IF(COUNT($J$2:$J$1501)&gt;=621,621,"")</f>
        <v/>
      </c>
      <c r="B622" s="8" t="str">
        <f t="shared" si="45"/>
        <v/>
      </c>
      <c r="C622" s="8" t="str">
        <f t="shared" si="46"/>
        <v/>
      </c>
      <c r="D622" s="8" t="str">
        <f t="shared" si="47"/>
        <v/>
      </c>
      <c r="F622" s="4" t="str">
        <f>IF(Jugadores!B622="","",Jugadores!B622)</f>
        <v/>
      </c>
      <c r="G622" s="4" t="str">
        <f>IF(Jugadores!B622="","",Jugadores!A622)</f>
        <v/>
      </c>
      <c r="H622" s="4" t="str">
        <f>IF(F622="","",SUMIF('Estadísticas Jugadores'!$F$2:$F$7001,F622,'Estadísticas Jugadores'!$J$2:$J$7001))</f>
        <v/>
      </c>
      <c r="I622" s="4" t="str">
        <f t="shared" si="48"/>
        <v/>
      </c>
      <c r="J622" s="4" t="str">
        <f t="shared" si="49"/>
        <v/>
      </c>
    </row>
    <row r="623" spans="1:10" ht="15" customHeight="1" x14ac:dyDescent="0.25">
      <c r="A623" s="8" t="str">
        <f>IF(COUNT($J$2:$J$1501)&gt;=622,622,"")</f>
        <v/>
      </c>
      <c r="B623" s="8" t="str">
        <f t="shared" si="45"/>
        <v/>
      </c>
      <c r="C623" s="8" t="str">
        <f t="shared" si="46"/>
        <v/>
      </c>
      <c r="D623" s="8" t="str">
        <f t="shared" si="47"/>
        <v/>
      </c>
      <c r="F623" s="4" t="str">
        <f>IF(Jugadores!B623="","",Jugadores!B623)</f>
        <v/>
      </c>
      <c r="G623" s="4" t="str">
        <f>IF(Jugadores!B623="","",Jugadores!A623)</f>
        <v/>
      </c>
      <c r="H623" s="4" t="str">
        <f>IF(F623="","",SUMIF('Estadísticas Jugadores'!$F$2:$F$7001,F623,'Estadísticas Jugadores'!$J$2:$J$7001))</f>
        <v/>
      </c>
      <c r="I623" s="4" t="str">
        <f t="shared" si="48"/>
        <v/>
      </c>
      <c r="J623" s="4" t="str">
        <f t="shared" si="49"/>
        <v/>
      </c>
    </row>
    <row r="624" spans="1:10" ht="15" customHeight="1" x14ac:dyDescent="0.25">
      <c r="A624" s="8" t="str">
        <f>IF(COUNT($J$2:$J$1501)&gt;=623,623,"")</f>
        <v/>
      </c>
      <c r="B624" s="8" t="str">
        <f t="shared" si="45"/>
        <v/>
      </c>
      <c r="C624" s="8" t="str">
        <f t="shared" si="46"/>
        <v/>
      </c>
      <c r="D624" s="8" t="str">
        <f t="shared" si="47"/>
        <v/>
      </c>
      <c r="F624" s="4" t="str">
        <f>IF(Jugadores!B624="","",Jugadores!B624)</f>
        <v/>
      </c>
      <c r="G624" s="4" t="str">
        <f>IF(Jugadores!B624="","",Jugadores!A624)</f>
        <v/>
      </c>
      <c r="H624" s="4" t="str">
        <f>IF(F624="","",SUMIF('Estadísticas Jugadores'!$F$2:$F$7001,F624,'Estadísticas Jugadores'!$J$2:$J$7001))</f>
        <v/>
      </c>
      <c r="I624" s="4" t="str">
        <f t="shared" si="48"/>
        <v/>
      </c>
      <c r="J624" s="4" t="str">
        <f t="shared" si="49"/>
        <v/>
      </c>
    </row>
    <row r="625" spans="1:10" ht="15" customHeight="1" x14ac:dyDescent="0.25">
      <c r="A625" s="8" t="str">
        <f>IF(COUNT($J$2:$J$1501)&gt;=624,624,"")</f>
        <v/>
      </c>
      <c r="B625" s="8" t="str">
        <f t="shared" si="45"/>
        <v/>
      </c>
      <c r="C625" s="8" t="str">
        <f t="shared" si="46"/>
        <v/>
      </c>
      <c r="D625" s="8" t="str">
        <f t="shared" si="47"/>
        <v/>
      </c>
      <c r="F625" s="4" t="str">
        <f>IF(Jugadores!B625="","",Jugadores!B625)</f>
        <v/>
      </c>
      <c r="G625" s="4" t="str">
        <f>IF(Jugadores!B625="","",Jugadores!A625)</f>
        <v/>
      </c>
      <c r="H625" s="4" t="str">
        <f>IF(F625="","",SUMIF('Estadísticas Jugadores'!$F$2:$F$7001,F625,'Estadísticas Jugadores'!$J$2:$J$7001))</f>
        <v/>
      </c>
      <c r="I625" s="4" t="str">
        <f t="shared" si="48"/>
        <v/>
      </c>
      <c r="J625" s="4" t="str">
        <f t="shared" si="49"/>
        <v/>
      </c>
    </row>
    <row r="626" spans="1:10" ht="15" customHeight="1" x14ac:dyDescent="0.25">
      <c r="A626" s="8" t="str">
        <f>IF(COUNT($J$2:$J$1501)&gt;=625,625,"")</f>
        <v/>
      </c>
      <c r="B626" s="8" t="str">
        <f t="shared" si="45"/>
        <v/>
      </c>
      <c r="C626" s="8" t="str">
        <f t="shared" si="46"/>
        <v/>
      </c>
      <c r="D626" s="8" t="str">
        <f t="shared" si="47"/>
        <v/>
      </c>
      <c r="F626" s="4" t="str">
        <f>IF(Jugadores!B626="","",Jugadores!B626)</f>
        <v/>
      </c>
      <c r="G626" s="4" t="str">
        <f>IF(Jugadores!B626="","",Jugadores!A626)</f>
        <v/>
      </c>
      <c r="H626" s="4" t="str">
        <f>IF(F626="","",SUMIF('Estadísticas Jugadores'!$F$2:$F$7001,F626,'Estadísticas Jugadores'!$J$2:$J$7001))</f>
        <v/>
      </c>
      <c r="I626" s="4" t="str">
        <f t="shared" si="48"/>
        <v/>
      </c>
      <c r="J626" s="4" t="str">
        <f t="shared" si="49"/>
        <v/>
      </c>
    </row>
    <row r="627" spans="1:10" ht="15" customHeight="1" x14ac:dyDescent="0.25">
      <c r="A627" s="8" t="str">
        <f>IF(COUNT($J$2:$J$1501)&gt;=626,626,"")</f>
        <v/>
      </c>
      <c r="B627" s="8" t="str">
        <f t="shared" si="45"/>
        <v/>
      </c>
      <c r="C627" s="8" t="str">
        <f t="shared" si="46"/>
        <v/>
      </c>
      <c r="D627" s="8" t="str">
        <f t="shared" si="47"/>
        <v/>
      </c>
      <c r="F627" s="4" t="str">
        <f>IF(Jugadores!B627="","",Jugadores!B627)</f>
        <v/>
      </c>
      <c r="G627" s="4" t="str">
        <f>IF(Jugadores!B627="","",Jugadores!A627)</f>
        <v/>
      </c>
      <c r="H627" s="4" t="str">
        <f>IF(F627="","",SUMIF('Estadísticas Jugadores'!$F$2:$F$7001,F627,'Estadísticas Jugadores'!$J$2:$J$7001))</f>
        <v/>
      </c>
      <c r="I627" s="4" t="str">
        <f t="shared" si="48"/>
        <v/>
      </c>
      <c r="J627" s="4" t="str">
        <f t="shared" si="49"/>
        <v/>
      </c>
    </row>
    <row r="628" spans="1:10" ht="15" customHeight="1" x14ac:dyDescent="0.25">
      <c r="A628" s="8" t="str">
        <f>IF(COUNT($J$2:$J$1501)&gt;=627,627,"")</f>
        <v/>
      </c>
      <c r="B628" s="8" t="str">
        <f t="shared" si="45"/>
        <v/>
      </c>
      <c r="C628" s="8" t="str">
        <f t="shared" si="46"/>
        <v/>
      </c>
      <c r="D628" s="8" t="str">
        <f t="shared" si="47"/>
        <v/>
      </c>
      <c r="F628" s="4" t="str">
        <f>IF(Jugadores!B628="","",Jugadores!B628)</f>
        <v/>
      </c>
      <c r="G628" s="4" t="str">
        <f>IF(Jugadores!B628="","",Jugadores!A628)</f>
        <v/>
      </c>
      <c r="H628" s="4" t="str">
        <f>IF(F628="","",SUMIF('Estadísticas Jugadores'!$F$2:$F$7001,F628,'Estadísticas Jugadores'!$J$2:$J$7001))</f>
        <v/>
      </c>
      <c r="I628" s="4" t="str">
        <f t="shared" si="48"/>
        <v/>
      </c>
      <c r="J628" s="4" t="str">
        <f t="shared" si="49"/>
        <v/>
      </c>
    </row>
    <row r="629" spans="1:10" ht="15" customHeight="1" x14ac:dyDescent="0.25">
      <c r="A629" s="8" t="str">
        <f>IF(COUNT($J$2:$J$1501)&gt;=628,628,"")</f>
        <v/>
      </c>
      <c r="B629" s="8" t="str">
        <f t="shared" si="45"/>
        <v/>
      </c>
      <c r="C629" s="8" t="str">
        <f t="shared" si="46"/>
        <v/>
      </c>
      <c r="D629" s="8" t="str">
        <f t="shared" si="47"/>
        <v/>
      </c>
      <c r="F629" s="4" t="str">
        <f>IF(Jugadores!B629="","",Jugadores!B629)</f>
        <v/>
      </c>
      <c r="G629" s="4" t="str">
        <f>IF(Jugadores!B629="","",Jugadores!A629)</f>
        <v/>
      </c>
      <c r="H629" s="4" t="str">
        <f>IF(F629="","",SUMIF('Estadísticas Jugadores'!$F$2:$F$7001,F629,'Estadísticas Jugadores'!$J$2:$J$7001))</f>
        <v/>
      </c>
      <c r="I629" s="4" t="str">
        <f t="shared" si="48"/>
        <v/>
      </c>
      <c r="J629" s="4" t="str">
        <f t="shared" si="49"/>
        <v/>
      </c>
    </row>
    <row r="630" spans="1:10" ht="15" customHeight="1" x14ac:dyDescent="0.25">
      <c r="A630" s="8" t="str">
        <f>IF(COUNT($J$2:$J$1501)&gt;=629,629,"")</f>
        <v/>
      </c>
      <c r="B630" s="8" t="str">
        <f t="shared" si="45"/>
        <v/>
      </c>
      <c r="C630" s="8" t="str">
        <f t="shared" si="46"/>
        <v/>
      </c>
      <c r="D630" s="8" t="str">
        <f t="shared" si="47"/>
        <v/>
      </c>
      <c r="F630" s="4" t="str">
        <f>IF(Jugadores!B630="","",Jugadores!B630)</f>
        <v/>
      </c>
      <c r="G630" s="4" t="str">
        <f>IF(Jugadores!B630="","",Jugadores!A630)</f>
        <v/>
      </c>
      <c r="H630" s="4" t="str">
        <f>IF(F630="","",SUMIF('Estadísticas Jugadores'!$F$2:$F$7001,F630,'Estadísticas Jugadores'!$J$2:$J$7001))</f>
        <v/>
      </c>
      <c r="I630" s="4" t="str">
        <f t="shared" si="48"/>
        <v/>
      </c>
      <c r="J630" s="4" t="str">
        <f t="shared" si="49"/>
        <v/>
      </c>
    </row>
    <row r="631" spans="1:10" ht="15" customHeight="1" x14ac:dyDescent="0.25">
      <c r="A631" s="8" t="str">
        <f>IF(COUNT($J$2:$J$1501)&gt;=630,630,"")</f>
        <v/>
      </c>
      <c r="B631" s="8" t="str">
        <f t="shared" si="45"/>
        <v/>
      </c>
      <c r="C631" s="8" t="str">
        <f t="shared" si="46"/>
        <v/>
      </c>
      <c r="D631" s="8" t="str">
        <f t="shared" si="47"/>
        <v/>
      </c>
      <c r="F631" s="4" t="str">
        <f>IF(Jugadores!B631="","",Jugadores!B631)</f>
        <v/>
      </c>
      <c r="G631" s="4" t="str">
        <f>IF(Jugadores!B631="","",Jugadores!A631)</f>
        <v/>
      </c>
      <c r="H631" s="4" t="str">
        <f>IF(F631="","",SUMIF('Estadísticas Jugadores'!$F$2:$F$7001,F631,'Estadísticas Jugadores'!$J$2:$J$7001))</f>
        <v/>
      </c>
      <c r="I631" s="4" t="str">
        <f t="shared" si="48"/>
        <v/>
      </c>
      <c r="J631" s="4" t="str">
        <f t="shared" si="49"/>
        <v/>
      </c>
    </row>
    <row r="632" spans="1:10" ht="15" customHeight="1" x14ac:dyDescent="0.25">
      <c r="A632" s="8" t="str">
        <f>IF(COUNT($J$2:$J$1501)&gt;=631,631,"")</f>
        <v/>
      </c>
      <c r="B632" s="8" t="str">
        <f t="shared" si="45"/>
        <v/>
      </c>
      <c r="C632" s="8" t="str">
        <f t="shared" si="46"/>
        <v/>
      </c>
      <c r="D632" s="8" t="str">
        <f t="shared" si="47"/>
        <v/>
      </c>
      <c r="F632" s="4" t="str">
        <f>IF(Jugadores!B632="","",Jugadores!B632)</f>
        <v/>
      </c>
      <c r="G632" s="4" t="str">
        <f>IF(Jugadores!B632="","",Jugadores!A632)</f>
        <v/>
      </c>
      <c r="H632" s="4" t="str">
        <f>IF(F632="","",SUMIF('Estadísticas Jugadores'!$F$2:$F$7001,F632,'Estadísticas Jugadores'!$J$2:$J$7001))</f>
        <v/>
      </c>
      <c r="I632" s="4" t="str">
        <f t="shared" si="48"/>
        <v/>
      </c>
      <c r="J632" s="4" t="str">
        <f t="shared" si="49"/>
        <v/>
      </c>
    </row>
    <row r="633" spans="1:10" ht="15" customHeight="1" x14ac:dyDescent="0.25">
      <c r="A633" s="8" t="str">
        <f>IF(COUNT($J$2:$J$1501)&gt;=632,632,"")</f>
        <v/>
      </c>
      <c r="B633" s="8" t="str">
        <f t="shared" si="45"/>
        <v/>
      </c>
      <c r="C633" s="8" t="str">
        <f t="shared" si="46"/>
        <v/>
      </c>
      <c r="D633" s="8" t="str">
        <f t="shared" si="47"/>
        <v/>
      </c>
      <c r="F633" s="4" t="str">
        <f>IF(Jugadores!B633="","",Jugadores!B633)</f>
        <v/>
      </c>
      <c r="G633" s="4" t="str">
        <f>IF(Jugadores!B633="","",Jugadores!A633)</f>
        <v/>
      </c>
      <c r="H633" s="4" t="str">
        <f>IF(F633="","",SUMIF('Estadísticas Jugadores'!$F$2:$F$7001,F633,'Estadísticas Jugadores'!$J$2:$J$7001))</f>
        <v/>
      </c>
      <c r="I633" s="4" t="str">
        <f t="shared" si="48"/>
        <v/>
      </c>
      <c r="J633" s="4" t="str">
        <f t="shared" si="49"/>
        <v/>
      </c>
    </row>
    <row r="634" spans="1:10" ht="15" customHeight="1" x14ac:dyDescent="0.25">
      <c r="A634" s="8" t="str">
        <f>IF(COUNT($J$2:$J$1501)&gt;=633,633,"")</f>
        <v/>
      </c>
      <c r="B634" s="8" t="str">
        <f t="shared" si="45"/>
        <v/>
      </c>
      <c r="C634" s="8" t="str">
        <f t="shared" si="46"/>
        <v/>
      </c>
      <c r="D634" s="8" t="str">
        <f t="shared" si="47"/>
        <v/>
      </c>
      <c r="F634" s="4" t="str">
        <f>IF(Jugadores!B634="","",Jugadores!B634)</f>
        <v/>
      </c>
      <c r="G634" s="4" t="str">
        <f>IF(Jugadores!B634="","",Jugadores!A634)</f>
        <v/>
      </c>
      <c r="H634" s="4" t="str">
        <f>IF(F634="","",SUMIF('Estadísticas Jugadores'!$F$2:$F$7001,F634,'Estadísticas Jugadores'!$J$2:$J$7001))</f>
        <v/>
      </c>
      <c r="I634" s="4" t="str">
        <f t="shared" si="48"/>
        <v/>
      </c>
      <c r="J634" s="4" t="str">
        <f t="shared" si="49"/>
        <v/>
      </c>
    </row>
    <row r="635" spans="1:10" ht="15" customHeight="1" x14ac:dyDescent="0.25">
      <c r="A635" s="8" t="str">
        <f>IF(COUNT($J$2:$J$1501)&gt;=634,634,"")</f>
        <v/>
      </c>
      <c r="B635" s="8" t="str">
        <f t="shared" si="45"/>
        <v/>
      </c>
      <c r="C635" s="8" t="str">
        <f t="shared" si="46"/>
        <v/>
      </c>
      <c r="D635" s="8" t="str">
        <f t="shared" si="47"/>
        <v/>
      </c>
      <c r="F635" s="4" t="str">
        <f>IF(Jugadores!B635="","",Jugadores!B635)</f>
        <v/>
      </c>
      <c r="G635" s="4" t="str">
        <f>IF(Jugadores!B635="","",Jugadores!A635)</f>
        <v/>
      </c>
      <c r="H635" s="4" t="str">
        <f>IF(F635="","",SUMIF('Estadísticas Jugadores'!$F$2:$F$7001,F635,'Estadísticas Jugadores'!$J$2:$J$7001))</f>
        <v/>
      </c>
      <c r="I635" s="4" t="str">
        <f t="shared" si="48"/>
        <v/>
      </c>
      <c r="J635" s="4" t="str">
        <f t="shared" si="49"/>
        <v/>
      </c>
    </row>
    <row r="636" spans="1:10" ht="15" customHeight="1" x14ac:dyDescent="0.25">
      <c r="A636" s="8" t="str">
        <f>IF(COUNT($J$2:$J$1501)&gt;=635,635,"")</f>
        <v/>
      </c>
      <c r="B636" s="8" t="str">
        <f t="shared" si="45"/>
        <v/>
      </c>
      <c r="C636" s="8" t="str">
        <f t="shared" si="46"/>
        <v/>
      </c>
      <c r="D636" s="8" t="str">
        <f t="shared" si="47"/>
        <v/>
      </c>
      <c r="F636" s="4" t="str">
        <f>IF(Jugadores!B636="","",Jugadores!B636)</f>
        <v/>
      </c>
      <c r="G636" s="4" t="str">
        <f>IF(Jugadores!B636="","",Jugadores!A636)</f>
        <v/>
      </c>
      <c r="H636" s="4" t="str">
        <f>IF(F636="","",SUMIF('Estadísticas Jugadores'!$F$2:$F$7001,F636,'Estadísticas Jugadores'!$J$2:$J$7001))</f>
        <v/>
      </c>
      <c r="I636" s="4" t="str">
        <f t="shared" si="48"/>
        <v/>
      </c>
      <c r="J636" s="4" t="str">
        <f t="shared" si="49"/>
        <v/>
      </c>
    </row>
    <row r="637" spans="1:10" ht="15" customHeight="1" x14ac:dyDescent="0.25">
      <c r="A637" s="8" t="str">
        <f>IF(COUNT($J$2:$J$1501)&gt;=636,636,"")</f>
        <v/>
      </c>
      <c r="B637" s="8" t="str">
        <f t="shared" si="45"/>
        <v/>
      </c>
      <c r="C637" s="8" t="str">
        <f t="shared" si="46"/>
        <v/>
      </c>
      <c r="D637" s="8" t="str">
        <f t="shared" si="47"/>
        <v/>
      </c>
      <c r="F637" s="4" t="str">
        <f>IF(Jugadores!B637="","",Jugadores!B637)</f>
        <v/>
      </c>
      <c r="G637" s="4" t="str">
        <f>IF(Jugadores!B637="","",Jugadores!A637)</f>
        <v/>
      </c>
      <c r="H637" s="4" t="str">
        <f>IF(F637="","",SUMIF('Estadísticas Jugadores'!$F$2:$F$7001,F637,'Estadísticas Jugadores'!$J$2:$J$7001))</f>
        <v/>
      </c>
      <c r="I637" s="4" t="str">
        <f t="shared" si="48"/>
        <v/>
      </c>
      <c r="J637" s="4" t="str">
        <f t="shared" si="49"/>
        <v/>
      </c>
    </row>
    <row r="638" spans="1:10" ht="15" customHeight="1" x14ac:dyDescent="0.25">
      <c r="A638" s="8" t="str">
        <f>IF(COUNT($J$2:$J$1501)&gt;=637,637,"")</f>
        <v/>
      </c>
      <c r="B638" s="8" t="str">
        <f t="shared" si="45"/>
        <v/>
      </c>
      <c r="C638" s="8" t="str">
        <f t="shared" si="46"/>
        <v/>
      </c>
      <c r="D638" s="8" t="str">
        <f t="shared" si="47"/>
        <v/>
      </c>
      <c r="F638" s="4" t="str">
        <f>IF(Jugadores!B638="","",Jugadores!B638)</f>
        <v/>
      </c>
      <c r="G638" s="4" t="str">
        <f>IF(Jugadores!B638="","",Jugadores!A638)</f>
        <v/>
      </c>
      <c r="H638" s="4" t="str">
        <f>IF(F638="","",SUMIF('Estadísticas Jugadores'!$F$2:$F$7001,F638,'Estadísticas Jugadores'!$J$2:$J$7001))</f>
        <v/>
      </c>
      <c r="I638" s="4" t="str">
        <f t="shared" si="48"/>
        <v/>
      </c>
      <c r="J638" s="4" t="str">
        <f t="shared" si="49"/>
        <v/>
      </c>
    </row>
    <row r="639" spans="1:10" ht="15" customHeight="1" x14ac:dyDescent="0.25">
      <c r="A639" s="8" t="str">
        <f>IF(COUNT($J$2:$J$1501)&gt;=638,638,"")</f>
        <v/>
      </c>
      <c r="B639" s="8" t="str">
        <f t="shared" si="45"/>
        <v/>
      </c>
      <c r="C639" s="8" t="str">
        <f t="shared" si="46"/>
        <v/>
      </c>
      <c r="D639" s="8" t="str">
        <f t="shared" si="47"/>
        <v/>
      </c>
      <c r="F639" s="4" t="str">
        <f>IF(Jugadores!B639="","",Jugadores!B639)</f>
        <v/>
      </c>
      <c r="G639" s="4" t="str">
        <f>IF(Jugadores!B639="","",Jugadores!A639)</f>
        <v/>
      </c>
      <c r="H639" s="4" t="str">
        <f>IF(F639="","",SUMIF('Estadísticas Jugadores'!$F$2:$F$7001,F639,'Estadísticas Jugadores'!$J$2:$J$7001))</f>
        <v/>
      </c>
      <c r="I639" s="4" t="str">
        <f t="shared" si="48"/>
        <v/>
      </c>
      <c r="J639" s="4" t="str">
        <f t="shared" si="49"/>
        <v/>
      </c>
    </row>
    <row r="640" spans="1:10" ht="15" customHeight="1" x14ac:dyDescent="0.25">
      <c r="A640" s="8" t="str">
        <f>IF(COUNT($J$2:$J$1501)&gt;=639,639,"")</f>
        <v/>
      </c>
      <c r="B640" s="8" t="str">
        <f t="shared" si="45"/>
        <v/>
      </c>
      <c r="C640" s="8" t="str">
        <f t="shared" si="46"/>
        <v/>
      </c>
      <c r="D640" s="8" t="str">
        <f t="shared" si="47"/>
        <v/>
      </c>
      <c r="F640" s="4" t="str">
        <f>IF(Jugadores!B640="","",Jugadores!B640)</f>
        <v/>
      </c>
      <c r="G640" s="4" t="str">
        <f>IF(Jugadores!B640="","",Jugadores!A640)</f>
        <v/>
      </c>
      <c r="H640" s="4" t="str">
        <f>IF(F640="","",SUMIF('Estadísticas Jugadores'!$F$2:$F$7001,F640,'Estadísticas Jugadores'!$J$2:$J$7001))</f>
        <v/>
      </c>
      <c r="I640" s="4" t="str">
        <f t="shared" si="48"/>
        <v/>
      </c>
      <c r="J640" s="4" t="str">
        <f t="shared" si="49"/>
        <v/>
      </c>
    </row>
    <row r="641" spans="1:10" ht="15" customHeight="1" x14ac:dyDescent="0.25">
      <c r="A641" s="8" t="str">
        <f>IF(COUNT($J$2:$J$1501)&gt;=640,640,"")</f>
        <v/>
      </c>
      <c r="B641" s="8" t="str">
        <f t="shared" si="45"/>
        <v/>
      </c>
      <c r="C641" s="8" t="str">
        <f t="shared" si="46"/>
        <v/>
      </c>
      <c r="D641" s="8" t="str">
        <f t="shared" si="47"/>
        <v/>
      </c>
      <c r="F641" s="4" t="str">
        <f>IF(Jugadores!B641="","",Jugadores!B641)</f>
        <v/>
      </c>
      <c r="G641" s="4" t="str">
        <f>IF(Jugadores!B641="","",Jugadores!A641)</f>
        <v/>
      </c>
      <c r="H641" s="4" t="str">
        <f>IF(F641="","",SUMIF('Estadísticas Jugadores'!$F$2:$F$7001,F641,'Estadísticas Jugadores'!$J$2:$J$7001))</f>
        <v/>
      </c>
      <c r="I641" s="4" t="str">
        <f t="shared" si="48"/>
        <v/>
      </c>
      <c r="J641" s="4" t="str">
        <f t="shared" si="49"/>
        <v/>
      </c>
    </row>
    <row r="642" spans="1:10" ht="15" customHeight="1" x14ac:dyDescent="0.25">
      <c r="A642" s="8" t="str">
        <f>IF(COUNT($J$2:$J$1501)&gt;=641,641,"")</f>
        <v/>
      </c>
      <c r="B642" s="8" t="str">
        <f t="shared" ref="B642:B705" si="50">IF($A642="","",INDEX($F$2:$F$1501,MATCH($A642,$J$2:$J$1501,0)))</f>
        <v/>
      </c>
      <c r="C642" s="8" t="str">
        <f t="shared" ref="C642:C705" si="51">IF($A642="","",INDEX($G$2:$G$1501,MATCH($A642,$J$2:$J$1501,0)))</f>
        <v/>
      </c>
      <c r="D642" s="8" t="str">
        <f t="shared" ref="D642:D705" si="52">IF($A642="","",INDEX($H$2:$H$1501,MATCH($A642,$J$2:$J$1501,0)))</f>
        <v/>
      </c>
      <c r="F642" s="4" t="str">
        <f>IF(Jugadores!B642="","",Jugadores!B642)</f>
        <v/>
      </c>
      <c r="G642" s="4" t="str">
        <f>IF(Jugadores!B642="","",Jugadores!A642)</f>
        <v/>
      </c>
      <c r="H642" s="4" t="str">
        <f>IF(F642="","",SUMIF('Estadísticas Jugadores'!$F$2:$F$7001,F642,'Estadísticas Jugadores'!$J$2:$J$7001))</f>
        <v/>
      </c>
      <c r="I642" s="4" t="str">
        <f t="shared" ref="I642:I705" si="53">IF(F642="","",H642*1000-ROW()*0.0000001)</f>
        <v/>
      </c>
      <c r="J642" s="4" t="str">
        <f t="shared" ref="J642:J705" si="54">IF(F642="","",RANK(I642,$I$2:$I$1501))</f>
        <v/>
      </c>
    </row>
    <row r="643" spans="1:10" ht="15" customHeight="1" x14ac:dyDescent="0.25">
      <c r="A643" s="8" t="str">
        <f>IF(COUNT($J$2:$J$1501)&gt;=642,642,"")</f>
        <v/>
      </c>
      <c r="B643" s="8" t="str">
        <f t="shared" si="50"/>
        <v/>
      </c>
      <c r="C643" s="8" t="str">
        <f t="shared" si="51"/>
        <v/>
      </c>
      <c r="D643" s="8" t="str">
        <f t="shared" si="52"/>
        <v/>
      </c>
      <c r="F643" s="4" t="str">
        <f>IF(Jugadores!B643="","",Jugadores!B643)</f>
        <v/>
      </c>
      <c r="G643" s="4" t="str">
        <f>IF(Jugadores!B643="","",Jugadores!A643)</f>
        <v/>
      </c>
      <c r="H643" s="4" t="str">
        <f>IF(F643="","",SUMIF('Estadísticas Jugadores'!$F$2:$F$7001,F643,'Estadísticas Jugadores'!$J$2:$J$7001))</f>
        <v/>
      </c>
      <c r="I643" s="4" t="str">
        <f t="shared" si="53"/>
        <v/>
      </c>
      <c r="J643" s="4" t="str">
        <f t="shared" si="54"/>
        <v/>
      </c>
    </row>
    <row r="644" spans="1:10" ht="15" customHeight="1" x14ac:dyDescent="0.25">
      <c r="A644" s="8" t="str">
        <f>IF(COUNT($J$2:$J$1501)&gt;=643,643,"")</f>
        <v/>
      </c>
      <c r="B644" s="8" t="str">
        <f t="shared" si="50"/>
        <v/>
      </c>
      <c r="C644" s="8" t="str">
        <f t="shared" si="51"/>
        <v/>
      </c>
      <c r="D644" s="8" t="str">
        <f t="shared" si="52"/>
        <v/>
      </c>
      <c r="F644" s="4" t="str">
        <f>IF(Jugadores!B644="","",Jugadores!B644)</f>
        <v/>
      </c>
      <c r="G644" s="4" t="str">
        <f>IF(Jugadores!B644="","",Jugadores!A644)</f>
        <v/>
      </c>
      <c r="H644" s="4" t="str">
        <f>IF(F644="","",SUMIF('Estadísticas Jugadores'!$F$2:$F$7001,F644,'Estadísticas Jugadores'!$J$2:$J$7001))</f>
        <v/>
      </c>
      <c r="I644" s="4" t="str">
        <f t="shared" si="53"/>
        <v/>
      </c>
      <c r="J644" s="4" t="str">
        <f t="shared" si="54"/>
        <v/>
      </c>
    </row>
    <row r="645" spans="1:10" ht="15" customHeight="1" x14ac:dyDescent="0.25">
      <c r="A645" s="8" t="str">
        <f>IF(COUNT($J$2:$J$1501)&gt;=644,644,"")</f>
        <v/>
      </c>
      <c r="B645" s="8" t="str">
        <f t="shared" si="50"/>
        <v/>
      </c>
      <c r="C645" s="8" t="str">
        <f t="shared" si="51"/>
        <v/>
      </c>
      <c r="D645" s="8" t="str">
        <f t="shared" si="52"/>
        <v/>
      </c>
      <c r="F645" s="4" t="str">
        <f>IF(Jugadores!B645="","",Jugadores!B645)</f>
        <v/>
      </c>
      <c r="G645" s="4" t="str">
        <f>IF(Jugadores!B645="","",Jugadores!A645)</f>
        <v/>
      </c>
      <c r="H645" s="4" t="str">
        <f>IF(F645="","",SUMIF('Estadísticas Jugadores'!$F$2:$F$7001,F645,'Estadísticas Jugadores'!$J$2:$J$7001))</f>
        <v/>
      </c>
      <c r="I645" s="4" t="str">
        <f t="shared" si="53"/>
        <v/>
      </c>
      <c r="J645" s="4" t="str">
        <f t="shared" si="54"/>
        <v/>
      </c>
    </row>
    <row r="646" spans="1:10" ht="15" customHeight="1" x14ac:dyDescent="0.25">
      <c r="A646" s="8" t="str">
        <f>IF(COUNT($J$2:$J$1501)&gt;=645,645,"")</f>
        <v/>
      </c>
      <c r="B646" s="8" t="str">
        <f t="shared" si="50"/>
        <v/>
      </c>
      <c r="C646" s="8" t="str">
        <f t="shared" si="51"/>
        <v/>
      </c>
      <c r="D646" s="8" t="str">
        <f t="shared" si="52"/>
        <v/>
      </c>
      <c r="F646" s="4" t="str">
        <f>IF(Jugadores!B646="","",Jugadores!B646)</f>
        <v/>
      </c>
      <c r="G646" s="4" t="str">
        <f>IF(Jugadores!B646="","",Jugadores!A646)</f>
        <v/>
      </c>
      <c r="H646" s="4" t="str">
        <f>IF(F646="","",SUMIF('Estadísticas Jugadores'!$F$2:$F$7001,F646,'Estadísticas Jugadores'!$J$2:$J$7001))</f>
        <v/>
      </c>
      <c r="I646" s="4" t="str">
        <f t="shared" si="53"/>
        <v/>
      </c>
      <c r="J646" s="4" t="str">
        <f t="shared" si="54"/>
        <v/>
      </c>
    </row>
    <row r="647" spans="1:10" ht="15" customHeight="1" x14ac:dyDescent="0.25">
      <c r="A647" s="8" t="str">
        <f>IF(COUNT($J$2:$J$1501)&gt;=646,646,"")</f>
        <v/>
      </c>
      <c r="B647" s="8" t="str">
        <f t="shared" si="50"/>
        <v/>
      </c>
      <c r="C647" s="8" t="str">
        <f t="shared" si="51"/>
        <v/>
      </c>
      <c r="D647" s="8" t="str">
        <f t="shared" si="52"/>
        <v/>
      </c>
      <c r="F647" s="4" t="str">
        <f>IF(Jugadores!B647="","",Jugadores!B647)</f>
        <v/>
      </c>
      <c r="G647" s="4" t="str">
        <f>IF(Jugadores!B647="","",Jugadores!A647)</f>
        <v/>
      </c>
      <c r="H647" s="4" t="str">
        <f>IF(F647="","",SUMIF('Estadísticas Jugadores'!$F$2:$F$7001,F647,'Estadísticas Jugadores'!$J$2:$J$7001))</f>
        <v/>
      </c>
      <c r="I647" s="4" t="str">
        <f t="shared" si="53"/>
        <v/>
      </c>
      <c r="J647" s="4" t="str">
        <f t="shared" si="54"/>
        <v/>
      </c>
    </row>
    <row r="648" spans="1:10" ht="15" customHeight="1" x14ac:dyDescent="0.25">
      <c r="A648" s="8" t="str">
        <f>IF(COUNT($J$2:$J$1501)&gt;=647,647,"")</f>
        <v/>
      </c>
      <c r="B648" s="8" t="str">
        <f t="shared" si="50"/>
        <v/>
      </c>
      <c r="C648" s="8" t="str">
        <f t="shared" si="51"/>
        <v/>
      </c>
      <c r="D648" s="8" t="str">
        <f t="shared" si="52"/>
        <v/>
      </c>
      <c r="F648" s="4" t="str">
        <f>IF(Jugadores!B648="","",Jugadores!B648)</f>
        <v/>
      </c>
      <c r="G648" s="4" t="str">
        <f>IF(Jugadores!B648="","",Jugadores!A648)</f>
        <v/>
      </c>
      <c r="H648" s="4" t="str">
        <f>IF(F648="","",SUMIF('Estadísticas Jugadores'!$F$2:$F$7001,F648,'Estadísticas Jugadores'!$J$2:$J$7001))</f>
        <v/>
      </c>
      <c r="I648" s="4" t="str">
        <f t="shared" si="53"/>
        <v/>
      </c>
      <c r="J648" s="4" t="str">
        <f t="shared" si="54"/>
        <v/>
      </c>
    </row>
    <row r="649" spans="1:10" ht="15" customHeight="1" x14ac:dyDescent="0.25">
      <c r="A649" s="8" t="str">
        <f>IF(COUNT($J$2:$J$1501)&gt;=648,648,"")</f>
        <v/>
      </c>
      <c r="B649" s="8" t="str">
        <f t="shared" si="50"/>
        <v/>
      </c>
      <c r="C649" s="8" t="str">
        <f t="shared" si="51"/>
        <v/>
      </c>
      <c r="D649" s="8" t="str">
        <f t="shared" si="52"/>
        <v/>
      </c>
      <c r="F649" s="4" t="str">
        <f>IF(Jugadores!B649="","",Jugadores!B649)</f>
        <v/>
      </c>
      <c r="G649" s="4" t="str">
        <f>IF(Jugadores!B649="","",Jugadores!A649)</f>
        <v/>
      </c>
      <c r="H649" s="4" t="str">
        <f>IF(F649="","",SUMIF('Estadísticas Jugadores'!$F$2:$F$7001,F649,'Estadísticas Jugadores'!$J$2:$J$7001))</f>
        <v/>
      </c>
      <c r="I649" s="4" t="str">
        <f t="shared" si="53"/>
        <v/>
      </c>
      <c r="J649" s="4" t="str">
        <f t="shared" si="54"/>
        <v/>
      </c>
    </row>
    <row r="650" spans="1:10" ht="15" customHeight="1" x14ac:dyDescent="0.25">
      <c r="A650" s="8" t="str">
        <f>IF(COUNT($J$2:$J$1501)&gt;=649,649,"")</f>
        <v/>
      </c>
      <c r="B650" s="8" t="str">
        <f t="shared" si="50"/>
        <v/>
      </c>
      <c r="C650" s="8" t="str">
        <f t="shared" si="51"/>
        <v/>
      </c>
      <c r="D650" s="8" t="str">
        <f t="shared" si="52"/>
        <v/>
      </c>
      <c r="F650" s="4" t="str">
        <f>IF(Jugadores!B650="","",Jugadores!B650)</f>
        <v/>
      </c>
      <c r="G650" s="4" t="str">
        <f>IF(Jugadores!B650="","",Jugadores!A650)</f>
        <v/>
      </c>
      <c r="H650" s="4" t="str">
        <f>IF(F650="","",SUMIF('Estadísticas Jugadores'!$F$2:$F$7001,F650,'Estadísticas Jugadores'!$J$2:$J$7001))</f>
        <v/>
      </c>
      <c r="I650" s="4" t="str">
        <f t="shared" si="53"/>
        <v/>
      </c>
      <c r="J650" s="4" t="str">
        <f t="shared" si="54"/>
        <v/>
      </c>
    </row>
    <row r="651" spans="1:10" ht="15" customHeight="1" x14ac:dyDescent="0.25">
      <c r="A651" s="8" t="str">
        <f>IF(COUNT($J$2:$J$1501)&gt;=650,650,"")</f>
        <v/>
      </c>
      <c r="B651" s="8" t="str">
        <f t="shared" si="50"/>
        <v/>
      </c>
      <c r="C651" s="8" t="str">
        <f t="shared" si="51"/>
        <v/>
      </c>
      <c r="D651" s="8" t="str">
        <f t="shared" si="52"/>
        <v/>
      </c>
      <c r="F651" s="4" t="str">
        <f>IF(Jugadores!B651="","",Jugadores!B651)</f>
        <v/>
      </c>
      <c r="G651" s="4" t="str">
        <f>IF(Jugadores!B651="","",Jugadores!A651)</f>
        <v/>
      </c>
      <c r="H651" s="4" t="str">
        <f>IF(F651="","",SUMIF('Estadísticas Jugadores'!$F$2:$F$7001,F651,'Estadísticas Jugadores'!$J$2:$J$7001))</f>
        <v/>
      </c>
      <c r="I651" s="4" t="str">
        <f t="shared" si="53"/>
        <v/>
      </c>
      <c r="J651" s="4" t="str">
        <f t="shared" si="54"/>
        <v/>
      </c>
    </row>
    <row r="652" spans="1:10" ht="15" customHeight="1" x14ac:dyDescent="0.25">
      <c r="A652" s="8" t="str">
        <f>IF(COUNT($J$2:$J$1501)&gt;=651,651,"")</f>
        <v/>
      </c>
      <c r="B652" s="8" t="str">
        <f t="shared" si="50"/>
        <v/>
      </c>
      <c r="C652" s="8" t="str">
        <f t="shared" si="51"/>
        <v/>
      </c>
      <c r="D652" s="8" t="str">
        <f t="shared" si="52"/>
        <v/>
      </c>
      <c r="F652" s="4" t="str">
        <f>IF(Jugadores!B652="","",Jugadores!B652)</f>
        <v/>
      </c>
      <c r="G652" s="4" t="str">
        <f>IF(Jugadores!B652="","",Jugadores!A652)</f>
        <v/>
      </c>
      <c r="H652" s="4" t="str">
        <f>IF(F652="","",SUMIF('Estadísticas Jugadores'!$F$2:$F$7001,F652,'Estadísticas Jugadores'!$J$2:$J$7001))</f>
        <v/>
      </c>
      <c r="I652" s="4" t="str">
        <f t="shared" si="53"/>
        <v/>
      </c>
      <c r="J652" s="4" t="str">
        <f t="shared" si="54"/>
        <v/>
      </c>
    </row>
    <row r="653" spans="1:10" ht="15" customHeight="1" x14ac:dyDescent="0.25">
      <c r="A653" s="8" t="str">
        <f>IF(COUNT($J$2:$J$1501)&gt;=652,652,"")</f>
        <v/>
      </c>
      <c r="B653" s="8" t="str">
        <f t="shared" si="50"/>
        <v/>
      </c>
      <c r="C653" s="8" t="str">
        <f t="shared" si="51"/>
        <v/>
      </c>
      <c r="D653" s="8" t="str">
        <f t="shared" si="52"/>
        <v/>
      </c>
      <c r="F653" s="4" t="str">
        <f>IF(Jugadores!B653="","",Jugadores!B653)</f>
        <v/>
      </c>
      <c r="G653" s="4" t="str">
        <f>IF(Jugadores!B653="","",Jugadores!A653)</f>
        <v/>
      </c>
      <c r="H653" s="4" t="str">
        <f>IF(F653="","",SUMIF('Estadísticas Jugadores'!$F$2:$F$7001,F653,'Estadísticas Jugadores'!$J$2:$J$7001))</f>
        <v/>
      </c>
      <c r="I653" s="4" t="str">
        <f t="shared" si="53"/>
        <v/>
      </c>
      <c r="J653" s="4" t="str">
        <f t="shared" si="54"/>
        <v/>
      </c>
    </row>
    <row r="654" spans="1:10" ht="15" customHeight="1" x14ac:dyDescent="0.25">
      <c r="A654" s="8" t="str">
        <f>IF(COUNT($J$2:$J$1501)&gt;=653,653,"")</f>
        <v/>
      </c>
      <c r="B654" s="8" t="str">
        <f t="shared" si="50"/>
        <v/>
      </c>
      <c r="C654" s="8" t="str">
        <f t="shared" si="51"/>
        <v/>
      </c>
      <c r="D654" s="8" t="str">
        <f t="shared" si="52"/>
        <v/>
      </c>
      <c r="F654" s="4" t="str">
        <f>IF(Jugadores!B654="","",Jugadores!B654)</f>
        <v/>
      </c>
      <c r="G654" s="4" t="str">
        <f>IF(Jugadores!B654="","",Jugadores!A654)</f>
        <v/>
      </c>
      <c r="H654" s="4" t="str">
        <f>IF(F654="","",SUMIF('Estadísticas Jugadores'!$F$2:$F$7001,F654,'Estadísticas Jugadores'!$J$2:$J$7001))</f>
        <v/>
      </c>
      <c r="I654" s="4" t="str">
        <f t="shared" si="53"/>
        <v/>
      </c>
      <c r="J654" s="4" t="str">
        <f t="shared" si="54"/>
        <v/>
      </c>
    </row>
    <row r="655" spans="1:10" ht="15" customHeight="1" x14ac:dyDescent="0.25">
      <c r="A655" s="8" t="str">
        <f>IF(COUNT($J$2:$J$1501)&gt;=654,654,"")</f>
        <v/>
      </c>
      <c r="B655" s="8" t="str">
        <f t="shared" si="50"/>
        <v/>
      </c>
      <c r="C655" s="8" t="str">
        <f t="shared" si="51"/>
        <v/>
      </c>
      <c r="D655" s="8" t="str">
        <f t="shared" si="52"/>
        <v/>
      </c>
      <c r="F655" s="4" t="str">
        <f>IF(Jugadores!B655="","",Jugadores!B655)</f>
        <v/>
      </c>
      <c r="G655" s="4" t="str">
        <f>IF(Jugadores!B655="","",Jugadores!A655)</f>
        <v/>
      </c>
      <c r="H655" s="4" t="str">
        <f>IF(F655="","",SUMIF('Estadísticas Jugadores'!$F$2:$F$7001,F655,'Estadísticas Jugadores'!$J$2:$J$7001))</f>
        <v/>
      </c>
      <c r="I655" s="4" t="str">
        <f t="shared" si="53"/>
        <v/>
      </c>
      <c r="J655" s="4" t="str">
        <f t="shared" si="54"/>
        <v/>
      </c>
    </row>
    <row r="656" spans="1:10" ht="15" customHeight="1" x14ac:dyDescent="0.25">
      <c r="A656" s="8" t="str">
        <f>IF(COUNT($J$2:$J$1501)&gt;=655,655,"")</f>
        <v/>
      </c>
      <c r="B656" s="8" t="str">
        <f t="shared" si="50"/>
        <v/>
      </c>
      <c r="C656" s="8" t="str">
        <f t="shared" si="51"/>
        <v/>
      </c>
      <c r="D656" s="8" t="str">
        <f t="shared" si="52"/>
        <v/>
      </c>
      <c r="F656" s="4" t="str">
        <f>IF(Jugadores!B656="","",Jugadores!B656)</f>
        <v/>
      </c>
      <c r="G656" s="4" t="str">
        <f>IF(Jugadores!B656="","",Jugadores!A656)</f>
        <v/>
      </c>
      <c r="H656" s="4" t="str">
        <f>IF(F656="","",SUMIF('Estadísticas Jugadores'!$F$2:$F$7001,F656,'Estadísticas Jugadores'!$J$2:$J$7001))</f>
        <v/>
      </c>
      <c r="I656" s="4" t="str">
        <f t="shared" si="53"/>
        <v/>
      </c>
      <c r="J656" s="4" t="str">
        <f t="shared" si="54"/>
        <v/>
      </c>
    </row>
    <row r="657" spans="1:10" ht="15" customHeight="1" x14ac:dyDescent="0.25">
      <c r="A657" s="8" t="str">
        <f>IF(COUNT($J$2:$J$1501)&gt;=656,656,"")</f>
        <v/>
      </c>
      <c r="B657" s="8" t="str">
        <f t="shared" si="50"/>
        <v/>
      </c>
      <c r="C657" s="8" t="str">
        <f t="shared" si="51"/>
        <v/>
      </c>
      <c r="D657" s="8" t="str">
        <f t="shared" si="52"/>
        <v/>
      </c>
      <c r="F657" s="4" t="str">
        <f>IF(Jugadores!B657="","",Jugadores!B657)</f>
        <v/>
      </c>
      <c r="G657" s="4" t="str">
        <f>IF(Jugadores!B657="","",Jugadores!A657)</f>
        <v/>
      </c>
      <c r="H657" s="4" t="str">
        <f>IF(F657="","",SUMIF('Estadísticas Jugadores'!$F$2:$F$7001,F657,'Estadísticas Jugadores'!$J$2:$J$7001))</f>
        <v/>
      </c>
      <c r="I657" s="4" t="str">
        <f t="shared" si="53"/>
        <v/>
      </c>
      <c r="J657" s="4" t="str">
        <f t="shared" si="54"/>
        <v/>
      </c>
    </row>
    <row r="658" spans="1:10" ht="15" customHeight="1" x14ac:dyDescent="0.25">
      <c r="A658" s="8" t="str">
        <f>IF(COUNT($J$2:$J$1501)&gt;=657,657,"")</f>
        <v/>
      </c>
      <c r="B658" s="8" t="str">
        <f t="shared" si="50"/>
        <v/>
      </c>
      <c r="C658" s="8" t="str">
        <f t="shared" si="51"/>
        <v/>
      </c>
      <c r="D658" s="8" t="str">
        <f t="shared" si="52"/>
        <v/>
      </c>
      <c r="F658" s="4" t="str">
        <f>IF(Jugadores!B658="","",Jugadores!B658)</f>
        <v/>
      </c>
      <c r="G658" s="4" t="str">
        <f>IF(Jugadores!B658="","",Jugadores!A658)</f>
        <v/>
      </c>
      <c r="H658" s="4" t="str">
        <f>IF(F658="","",SUMIF('Estadísticas Jugadores'!$F$2:$F$7001,F658,'Estadísticas Jugadores'!$J$2:$J$7001))</f>
        <v/>
      </c>
      <c r="I658" s="4" t="str">
        <f t="shared" si="53"/>
        <v/>
      </c>
      <c r="J658" s="4" t="str">
        <f t="shared" si="54"/>
        <v/>
      </c>
    </row>
    <row r="659" spans="1:10" ht="15" customHeight="1" x14ac:dyDescent="0.25">
      <c r="A659" s="8" t="str">
        <f>IF(COUNT($J$2:$J$1501)&gt;=658,658,"")</f>
        <v/>
      </c>
      <c r="B659" s="8" t="str">
        <f t="shared" si="50"/>
        <v/>
      </c>
      <c r="C659" s="8" t="str">
        <f t="shared" si="51"/>
        <v/>
      </c>
      <c r="D659" s="8" t="str">
        <f t="shared" si="52"/>
        <v/>
      </c>
      <c r="F659" s="4" t="str">
        <f>IF(Jugadores!B659="","",Jugadores!B659)</f>
        <v/>
      </c>
      <c r="G659" s="4" t="str">
        <f>IF(Jugadores!B659="","",Jugadores!A659)</f>
        <v/>
      </c>
      <c r="H659" s="4" t="str">
        <f>IF(F659="","",SUMIF('Estadísticas Jugadores'!$F$2:$F$7001,F659,'Estadísticas Jugadores'!$J$2:$J$7001))</f>
        <v/>
      </c>
      <c r="I659" s="4" t="str">
        <f t="shared" si="53"/>
        <v/>
      </c>
      <c r="J659" s="4" t="str">
        <f t="shared" si="54"/>
        <v/>
      </c>
    </row>
    <row r="660" spans="1:10" ht="15" customHeight="1" x14ac:dyDescent="0.25">
      <c r="A660" s="8" t="str">
        <f>IF(COUNT($J$2:$J$1501)&gt;=659,659,"")</f>
        <v/>
      </c>
      <c r="B660" s="8" t="str">
        <f t="shared" si="50"/>
        <v/>
      </c>
      <c r="C660" s="8" t="str">
        <f t="shared" si="51"/>
        <v/>
      </c>
      <c r="D660" s="8" t="str">
        <f t="shared" si="52"/>
        <v/>
      </c>
      <c r="F660" s="4" t="str">
        <f>IF(Jugadores!B660="","",Jugadores!B660)</f>
        <v/>
      </c>
      <c r="G660" s="4" t="str">
        <f>IF(Jugadores!B660="","",Jugadores!A660)</f>
        <v/>
      </c>
      <c r="H660" s="4" t="str">
        <f>IF(F660="","",SUMIF('Estadísticas Jugadores'!$F$2:$F$7001,F660,'Estadísticas Jugadores'!$J$2:$J$7001))</f>
        <v/>
      </c>
      <c r="I660" s="4" t="str">
        <f t="shared" si="53"/>
        <v/>
      </c>
      <c r="J660" s="4" t="str">
        <f t="shared" si="54"/>
        <v/>
      </c>
    </row>
    <row r="661" spans="1:10" ht="15" customHeight="1" x14ac:dyDescent="0.25">
      <c r="A661" s="8" t="str">
        <f>IF(COUNT($J$2:$J$1501)&gt;=660,660,"")</f>
        <v/>
      </c>
      <c r="B661" s="8" t="str">
        <f t="shared" si="50"/>
        <v/>
      </c>
      <c r="C661" s="8" t="str">
        <f t="shared" si="51"/>
        <v/>
      </c>
      <c r="D661" s="8" t="str">
        <f t="shared" si="52"/>
        <v/>
      </c>
      <c r="F661" s="4" t="str">
        <f>IF(Jugadores!B661="","",Jugadores!B661)</f>
        <v/>
      </c>
      <c r="G661" s="4" t="str">
        <f>IF(Jugadores!B661="","",Jugadores!A661)</f>
        <v/>
      </c>
      <c r="H661" s="4" t="str">
        <f>IF(F661="","",SUMIF('Estadísticas Jugadores'!$F$2:$F$7001,F661,'Estadísticas Jugadores'!$J$2:$J$7001))</f>
        <v/>
      </c>
      <c r="I661" s="4" t="str">
        <f t="shared" si="53"/>
        <v/>
      </c>
      <c r="J661" s="4" t="str">
        <f t="shared" si="54"/>
        <v/>
      </c>
    </row>
    <row r="662" spans="1:10" ht="15" customHeight="1" x14ac:dyDescent="0.25">
      <c r="A662" s="8" t="str">
        <f>IF(COUNT($J$2:$J$1501)&gt;=661,661,"")</f>
        <v/>
      </c>
      <c r="B662" s="8" t="str">
        <f t="shared" si="50"/>
        <v/>
      </c>
      <c r="C662" s="8" t="str">
        <f t="shared" si="51"/>
        <v/>
      </c>
      <c r="D662" s="8" t="str">
        <f t="shared" si="52"/>
        <v/>
      </c>
      <c r="F662" s="4" t="str">
        <f>IF(Jugadores!B662="","",Jugadores!B662)</f>
        <v/>
      </c>
      <c r="G662" s="4" t="str">
        <f>IF(Jugadores!B662="","",Jugadores!A662)</f>
        <v/>
      </c>
      <c r="H662" s="4" t="str">
        <f>IF(F662="","",SUMIF('Estadísticas Jugadores'!$F$2:$F$7001,F662,'Estadísticas Jugadores'!$J$2:$J$7001))</f>
        <v/>
      </c>
      <c r="I662" s="4" t="str">
        <f t="shared" si="53"/>
        <v/>
      </c>
      <c r="J662" s="4" t="str">
        <f t="shared" si="54"/>
        <v/>
      </c>
    </row>
    <row r="663" spans="1:10" ht="15" customHeight="1" x14ac:dyDescent="0.25">
      <c r="A663" s="8" t="str">
        <f>IF(COUNT($J$2:$J$1501)&gt;=662,662,"")</f>
        <v/>
      </c>
      <c r="B663" s="8" t="str">
        <f t="shared" si="50"/>
        <v/>
      </c>
      <c r="C663" s="8" t="str">
        <f t="shared" si="51"/>
        <v/>
      </c>
      <c r="D663" s="8" t="str">
        <f t="shared" si="52"/>
        <v/>
      </c>
      <c r="F663" s="4" t="str">
        <f>IF(Jugadores!B663="","",Jugadores!B663)</f>
        <v/>
      </c>
      <c r="G663" s="4" t="str">
        <f>IF(Jugadores!B663="","",Jugadores!A663)</f>
        <v/>
      </c>
      <c r="H663" s="4" t="str">
        <f>IF(F663="","",SUMIF('Estadísticas Jugadores'!$F$2:$F$7001,F663,'Estadísticas Jugadores'!$J$2:$J$7001))</f>
        <v/>
      </c>
      <c r="I663" s="4" t="str">
        <f t="shared" si="53"/>
        <v/>
      </c>
      <c r="J663" s="4" t="str">
        <f t="shared" si="54"/>
        <v/>
      </c>
    </row>
    <row r="664" spans="1:10" ht="15" customHeight="1" x14ac:dyDescent="0.25">
      <c r="A664" s="8" t="str">
        <f>IF(COUNT($J$2:$J$1501)&gt;=663,663,"")</f>
        <v/>
      </c>
      <c r="B664" s="8" t="str">
        <f t="shared" si="50"/>
        <v/>
      </c>
      <c r="C664" s="8" t="str">
        <f t="shared" si="51"/>
        <v/>
      </c>
      <c r="D664" s="8" t="str">
        <f t="shared" si="52"/>
        <v/>
      </c>
      <c r="F664" s="4" t="str">
        <f>IF(Jugadores!B664="","",Jugadores!B664)</f>
        <v/>
      </c>
      <c r="G664" s="4" t="str">
        <f>IF(Jugadores!B664="","",Jugadores!A664)</f>
        <v/>
      </c>
      <c r="H664" s="4" t="str">
        <f>IF(F664="","",SUMIF('Estadísticas Jugadores'!$F$2:$F$7001,F664,'Estadísticas Jugadores'!$J$2:$J$7001))</f>
        <v/>
      </c>
      <c r="I664" s="4" t="str">
        <f t="shared" si="53"/>
        <v/>
      </c>
      <c r="J664" s="4" t="str">
        <f t="shared" si="54"/>
        <v/>
      </c>
    </row>
    <row r="665" spans="1:10" ht="15" customHeight="1" x14ac:dyDescent="0.25">
      <c r="A665" s="8" t="str">
        <f>IF(COUNT($J$2:$J$1501)&gt;=664,664,"")</f>
        <v/>
      </c>
      <c r="B665" s="8" t="str">
        <f t="shared" si="50"/>
        <v/>
      </c>
      <c r="C665" s="8" t="str">
        <f t="shared" si="51"/>
        <v/>
      </c>
      <c r="D665" s="8" t="str">
        <f t="shared" si="52"/>
        <v/>
      </c>
      <c r="F665" s="4" t="str">
        <f>IF(Jugadores!B665="","",Jugadores!B665)</f>
        <v/>
      </c>
      <c r="G665" s="4" t="str">
        <f>IF(Jugadores!B665="","",Jugadores!A665)</f>
        <v/>
      </c>
      <c r="H665" s="4" t="str">
        <f>IF(F665="","",SUMIF('Estadísticas Jugadores'!$F$2:$F$7001,F665,'Estadísticas Jugadores'!$J$2:$J$7001))</f>
        <v/>
      </c>
      <c r="I665" s="4" t="str">
        <f t="shared" si="53"/>
        <v/>
      </c>
      <c r="J665" s="4" t="str">
        <f t="shared" si="54"/>
        <v/>
      </c>
    </row>
    <row r="666" spans="1:10" ht="15" customHeight="1" x14ac:dyDescent="0.25">
      <c r="A666" s="8" t="str">
        <f>IF(COUNT($J$2:$J$1501)&gt;=665,665,"")</f>
        <v/>
      </c>
      <c r="B666" s="8" t="str">
        <f t="shared" si="50"/>
        <v/>
      </c>
      <c r="C666" s="8" t="str">
        <f t="shared" si="51"/>
        <v/>
      </c>
      <c r="D666" s="8" t="str">
        <f t="shared" si="52"/>
        <v/>
      </c>
      <c r="F666" s="4" t="str">
        <f>IF(Jugadores!B666="","",Jugadores!B666)</f>
        <v/>
      </c>
      <c r="G666" s="4" t="str">
        <f>IF(Jugadores!B666="","",Jugadores!A666)</f>
        <v/>
      </c>
      <c r="H666" s="4" t="str">
        <f>IF(F666="","",SUMIF('Estadísticas Jugadores'!$F$2:$F$7001,F666,'Estadísticas Jugadores'!$J$2:$J$7001))</f>
        <v/>
      </c>
      <c r="I666" s="4" t="str">
        <f t="shared" si="53"/>
        <v/>
      </c>
      <c r="J666" s="4" t="str">
        <f t="shared" si="54"/>
        <v/>
      </c>
    </row>
    <row r="667" spans="1:10" ht="15" customHeight="1" x14ac:dyDescent="0.25">
      <c r="A667" s="8" t="str">
        <f>IF(COUNT($J$2:$J$1501)&gt;=666,666,"")</f>
        <v/>
      </c>
      <c r="B667" s="8" t="str">
        <f t="shared" si="50"/>
        <v/>
      </c>
      <c r="C667" s="8" t="str">
        <f t="shared" si="51"/>
        <v/>
      </c>
      <c r="D667" s="8" t="str">
        <f t="shared" si="52"/>
        <v/>
      </c>
      <c r="F667" s="4" t="str">
        <f>IF(Jugadores!B667="","",Jugadores!B667)</f>
        <v/>
      </c>
      <c r="G667" s="4" t="str">
        <f>IF(Jugadores!B667="","",Jugadores!A667)</f>
        <v/>
      </c>
      <c r="H667" s="4" t="str">
        <f>IF(F667="","",SUMIF('Estadísticas Jugadores'!$F$2:$F$7001,F667,'Estadísticas Jugadores'!$J$2:$J$7001))</f>
        <v/>
      </c>
      <c r="I667" s="4" t="str">
        <f t="shared" si="53"/>
        <v/>
      </c>
      <c r="J667" s="4" t="str">
        <f t="shared" si="54"/>
        <v/>
      </c>
    </row>
    <row r="668" spans="1:10" ht="15" customHeight="1" x14ac:dyDescent="0.25">
      <c r="A668" s="8" t="str">
        <f>IF(COUNT($J$2:$J$1501)&gt;=667,667,"")</f>
        <v/>
      </c>
      <c r="B668" s="8" t="str">
        <f t="shared" si="50"/>
        <v/>
      </c>
      <c r="C668" s="8" t="str">
        <f t="shared" si="51"/>
        <v/>
      </c>
      <c r="D668" s="8" t="str">
        <f t="shared" si="52"/>
        <v/>
      </c>
      <c r="F668" s="4" t="str">
        <f>IF(Jugadores!B668="","",Jugadores!B668)</f>
        <v/>
      </c>
      <c r="G668" s="4" t="str">
        <f>IF(Jugadores!B668="","",Jugadores!A668)</f>
        <v/>
      </c>
      <c r="H668" s="4" t="str">
        <f>IF(F668="","",SUMIF('Estadísticas Jugadores'!$F$2:$F$7001,F668,'Estadísticas Jugadores'!$J$2:$J$7001))</f>
        <v/>
      </c>
      <c r="I668" s="4" t="str">
        <f t="shared" si="53"/>
        <v/>
      </c>
      <c r="J668" s="4" t="str">
        <f t="shared" si="54"/>
        <v/>
      </c>
    </row>
    <row r="669" spans="1:10" ht="15" customHeight="1" x14ac:dyDescent="0.25">
      <c r="A669" s="8" t="str">
        <f>IF(COUNT($J$2:$J$1501)&gt;=668,668,"")</f>
        <v/>
      </c>
      <c r="B669" s="8" t="str">
        <f t="shared" si="50"/>
        <v/>
      </c>
      <c r="C669" s="8" t="str">
        <f t="shared" si="51"/>
        <v/>
      </c>
      <c r="D669" s="8" t="str">
        <f t="shared" si="52"/>
        <v/>
      </c>
      <c r="F669" s="4" t="str">
        <f>IF(Jugadores!B669="","",Jugadores!B669)</f>
        <v/>
      </c>
      <c r="G669" s="4" t="str">
        <f>IF(Jugadores!B669="","",Jugadores!A669)</f>
        <v/>
      </c>
      <c r="H669" s="4" t="str">
        <f>IF(F669="","",SUMIF('Estadísticas Jugadores'!$F$2:$F$7001,F669,'Estadísticas Jugadores'!$J$2:$J$7001))</f>
        <v/>
      </c>
      <c r="I669" s="4" t="str">
        <f t="shared" si="53"/>
        <v/>
      </c>
      <c r="J669" s="4" t="str">
        <f t="shared" si="54"/>
        <v/>
      </c>
    </row>
    <row r="670" spans="1:10" ht="15" customHeight="1" x14ac:dyDescent="0.25">
      <c r="A670" s="8" t="str">
        <f>IF(COUNT($J$2:$J$1501)&gt;=669,669,"")</f>
        <v/>
      </c>
      <c r="B670" s="8" t="str">
        <f t="shared" si="50"/>
        <v/>
      </c>
      <c r="C670" s="8" t="str">
        <f t="shared" si="51"/>
        <v/>
      </c>
      <c r="D670" s="8" t="str">
        <f t="shared" si="52"/>
        <v/>
      </c>
      <c r="F670" s="4" t="str">
        <f>IF(Jugadores!B670="","",Jugadores!B670)</f>
        <v/>
      </c>
      <c r="G670" s="4" t="str">
        <f>IF(Jugadores!B670="","",Jugadores!A670)</f>
        <v/>
      </c>
      <c r="H670" s="4" t="str">
        <f>IF(F670="","",SUMIF('Estadísticas Jugadores'!$F$2:$F$7001,F670,'Estadísticas Jugadores'!$J$2:$J$7001))</f>
        <v/>
      </c>
      <c r="I670" s="4" t="str">
        <f t="shared" si="53"/>
        <v/>
      </c>
      <c r="J670" s="4" t="str">
        <f t="shared" si="54"/>
        <v/>
      </c>
    </row>
    <row r="671" spans="1:10" ht="15" customHeight="1" x14ac:dyDescent="0.25">
      <c r="A671" s="8" t="str">
        <f>IF(COUNT($J$2:$J$1501)&gt;=670,670,"")</f>
        <v/>
      </c>
      <c r="B671" s="8" t="str">
        <f t="shared" si="50"/>
        <v/>
      </c>
      <c r="C671" s="8" t="str">
        <f t="shared" si="51"/>
        <v/>
      </c>
      <c r="D671" s="8" t="str">
        <f t="shared" si="52"/>
        <v/>
      </c>
      <c r="F671" s="4" t="str">
        <f>IF(Jugadores!B671="","",Jugadores!B671)</f>
        <v/>
      </c>
      <c r="G671" s="4" t="str">
        <f>IF(Jugadores!B671="","",Jugadores!A671)</f>
        <v/>
      </c>
      <c r="H671" s="4" t="str">
        <f>IF(F671="","",SUMIF('Estadísticas Jugadores'!$F$2:$F$7001,F671,'Estadísticas Jugadores'!$J$2:$J$7001))</f>
        <v/>
      </c>
      <c r="I671" s="4" t="str">
        <f t="shared" si="53"/>
        <v/>
      </c>
      <c r="J671" s="4" t="str">
        <f t="shared" si="54"/>
        <v/>
      </c>
    </row>
    <row r="672" spans="1:10" ht="15" customHeight="1" x14ac:dyDescent="0.25">
      <c r="A672" s="8" t="str">
        <f>IF(COUNT($J$2:$J$1501)&gt;=671,671,"")</f>
        <v/>
      </c>
      <c r="B672" s="8" t="str">
        <f t="shared" si="50"/>
        <v/>
      </c>
      <c r="C672" s="8" t="str">
        <f t="shared" si="51"/>
        <v/>
      </c>
      <c r="D672" s="8" t="str">
        <f t="shared" si="52"/>
        <v/>
      </c>
      <c r="F672" s="4" t="str">
        <f>IF(Jugadores!B672="","",Jugadores!B672)</f>
        <v/>
      </c>
      <c r="G672" s="4" t="str">
        <f>IF(Jugadores!B672="","",Jugadores!A672)</f>
        <v/>
      </c>
      <c r="H672" s="4" t="str">
        <f>IF(F672="","",SUMIF('Estadísticas Jugadores'!$F$2:$F$7001,F672,'Estadísticas Jugadores'!$J$2:$J$7001))</f>
        <v/>
      </c>
      <c r="I672" s="4" t="str">
        <f t="shared" si="53"/>
        <v/>
      </c>
      <c r="J672" s="4" t="str">
        <f t="shared" si="54"/>
        <v/>
      </c>
    </row>
    <row r="673" spans="1:10" ht="15" customHeight="1" x14ac:dyDescent="0.25">
      <c r="A673" s="8" t="str">
        <f>IF(COUNT($J$2:$J$1501)&gt;=672,672,"")</f>
        <v/>
      </c>
      <c r="B673" s="8" t="str">
        <f t="shared" si="50"/>
        <v/>
      </c>
      <c r="C673" s="8" t="str">
        <f t="shared" si="51"/>
        <v/>
      </c>
      <c r="D673" s="8" t="str">
        <f t="shared" si="52"/>
        <v/>
      </c>
      <c r="F673" s="4" t="str">
        <f>IF(Jugadores!B673="","",Jugadores!B673)</f>
        <v/>
      </c>
      <c r="G673" s="4" t="str">
        <f>IF(Jugadores!B673="","",Jugadores!A673)</f>
        <v/>
      </c>
      <c r="H673" s="4" t="str">
        <f>IF(F673="","",SUMIF('Estadísticas Jugadores'!$F$2:$F$7001,F673,'Estadísticas Jugadores'!$J$2:$J$7001))</f>
        <v/>
      </c>
      <c r="I673" s="4" t="str">
        <f t="shared" si="53"/>
        <v/>
      </c>
      <c r="J673" s="4" t="str">
        <f t="shared" si="54"/>
        <v/>
      </c>
    </row>
    <row r="674" spans="1:10" ht="15" customHeight="1" x14ac:dyDescent="0.25">
      <c r="A674" s="8" t="str">
        <f>IF(COUNT($J$2:$J$1501)&gt;=673,673,"")</f>
        <v/>
      </c>
      <c r="B674" s="8" t="str">
        <f t="shared" si="50"/>
        <v/>
      </c>
      <c r="C674" s="8" t="str">
        <f t="shared" si="51"/>
        <v/>
      </c>
      <c r="D674" s="8" t="str">
        <f t="shared" si="52"/>
        <v/>
      </c>
      <c r="F674" s="4" t="str">
        <f>IF(Jugadores!B674="","",Jugadores!B674)</f>
        <v/>
      </c>
      <c r="G674" s="4" t="str">
        <f>IF(Jugadores!B674="","",Jugadores!A674)</f>
        <v/>
      </c>
      <c r="H674" s="4" t="str">
        <f>IF(F674="","",SUMIF('Estadísticas Jugadores'!$F$2:$F$7001,F674,'Estadísticas Jugadores'!$J$2:$J$7001))</f>
        <v/>
      </c>
      <c r="I674" s="4" t="str">
        <f t="shared" si="53"/>
        <v/>
      </c>
      <c r="J674" s="4" t="str">
        <f t="shared" si="54"/>
        <v/>
      </c>
    </row>
    <row r="675" spans="1:10" ht="15" customHeight="1" x14ac:dyDescent="0.25">
      <c r="A675" s="8" t="str">
        <f>IF(COUNT($J$2:$J$1501)&gt;=674,674,"")</f>
        <v/>
      </c>
      <c r="B675" s="8" t="str">
        <f t="shared" si="50"/>
        <v/>
      </c>
      <c r="C675" s="8" t="str">
        <f t="shared" si="51"/>
        <v/>
      </c>
      <c r="D675" s="8" t="str">
        <f t="shared" si="52"/>
        <v/>
      </c>
      <c r="F675" s="4" t="str">
        <f>IF(Jugadores!B675="","",Jugadores!B675)</f>
        <v/>
      </c>
      <c r="G675" s="4" t="str">
        <f>IF(Jugadores!B675="","",Jugadores!A675)</f>
        <v/>
      </c>
      <c r="H675" s="4" t="str">
        <f>IF(F675="","",SUMIF('Estadísticas Jugadores'!$F$2:$F$7001,F675,'Estadísticas Jugadores'!$J$2:$J$7001))</f>
        <v/>
      </c>
      <c r="I675" s="4" t="str">
        <f t="shared" si="53"/>
        <v/>
      </c>
      <c r="J675" s="4" t="str">
        <f t="shared" si="54"/>
        <v/>
      </c>
    </row>
    <row r="676" spans="1:10" ht="15" customHeight="1" x14ac:dyDescent="0.25">
      <c r="A676" s="8" t="str">
        <f>IF(COUNT($J$2:$J$1501)&gt;=675,675,"")</f>
        <v/>
      </c>
      <c r="B676" s="8" t="str">
        <f t="shared" si="50"/>
        <v/>
      </c>
      <c r="C676" s="8" t="str">
        <f t="shared" si="51"/>
        <v/>
      </c>
      <c r="D676" s="8" t="str">
        <f t="shared" si="52"/>
        <v/>
      </c>
      <c r="F676" s="4" t="str">
        <f>IF(Jugadores!B676="","",Jugadores!B676)</f>
        <v/>
      </c>
      <c r="G676" s="4" t="str">
        <f>IF(Jugadores!B676="","",Jugadores!A676)</f>
        <v/>
      </c>
      <c r="H676" s="4" t="str">
        <f>IF(F676="","",SUMIF('Estadísticas Jugadores'!$F$2:$F$7001,F676,'Estadísticas Jugadores'!$J$2:$J$7001))</f>
        <v/>
      </c>
      <c r="I676" s="4" t="str">
        <f t="shared" si="53"/>
        <v/>
      </c>
      <c r="J676" s="4" t="str">
        <f t="shared" si="54"/>
        <v/>
      </c>
    </row>
    <row r="677" spans="1:10" ht="15" customHeight="1" x14ac:dyDescent="0.25">
      <c r="A677" s="8" t="str">
        <f>IF(COUNT($J$2:$J$1501)&gt;=676,676,"")</f>
        <v/>
      </c>
      <c r="B677" s="8" t="str">
        <f t="shared" si="50"/>
        <v/>
      </c>
      <c r="C677" s="8" t="str">
        <f t="shared" si="51"/>
        <v/>
      </c>
      <c r="D677" s="8" t="str">
        <f t="shared" si="52"/>
        <v/>
      </c>
      <c r="F677" s="4" t="str">
        <f>IF(Jugadores!B677="","",Jugadores!B677)</f>
        <v/>
      </c>
      <c r="G677" s="4" t="str">
        <f>IF(Jugadores!B677="","",Jugadores!A677)</f>
        <v/>
      </c>
      <c r="H677" s="4" t="str">
        <f>IF(F677="","",SUMIF('Estadísticas Jugadores'!$F$2:$F$7001,F677,'Estadísticas Jugadores'!$J$2:$J$7001))</f>
        <v/>
      </c>
      <c r="I677" s="4" t="str">
        <f t="shared" si="53"/>
        <v/>
      </c>
      <c r="J677" s="4" t="str">
        <f t="shared" si="54"/>
        <v/>
      </c>
    </row>
    <row r="678" spans="1:10" ht="15" customHeight="1" x14ac:dyDescent="0.25">
      <c r="A678" s="8" t="str">
        <f>IF(COUNT($J$2:$J$1501)&gt;=677,677,"")</f>
        <v/>
      </c>
      <c r="B678" s="8" t="str">
        <f t="shared" si="50"/>
        <v/>
      </c>
      <c r="C678" s="8" t="str">
        <f t="shared" si="51"/>
        <v/>
      </c>
      <c r="D678" s="8" t="str">
        <f t="shared" si="52"/>
        <v/>
      </c>
      <c r="F678" s="4" t="str">
        <f>IF(Jugadores!B678="","",Jugadores!B678)</f>
        <v/>
      </c>
      <c r="G678" s="4" t="str">
        <f>IF(Jugadores!B678="","",Jugadores!A678)</f>
        <v/>
      </c>
      <c r="H678" s="4" t="str">
        <f>IF(F678="","",SUMIF('Estadísticas Jugadores'!$F$2:$F$7001,F678,'Estadísticas Jugadores'!$J$2:$J$7001))</f>
        <v/>
      </c>
      <c r="I678" s="4" t="str">
        <f t="shared" si="53"/>
        <v/>
      </c>
      <c r="J678" s="4" t="str">
        <f t="shared" si="54"/>
        <v/>
      </c>
    </row>
    <row r="679" spans="1:10" ht="15" customHeight="1" x14ac:dyDescent="0.25">
      <c r="A679" s="8" t="str">
        <f>IF(COUNT($J$2:$J$1501)&gt;=678,678,"")</f>
        <v/>
      </c>
      <c r="B679" s="8" t="str">
        <f t="shared" si="50"/>
        <v/>
      </c>
      <c r="C679" s="8" t="str">
        <f t="shared" si="51"/>
        <v/>
      </c>
      <c r="D679" s="8" t="str">
        <f t="shared" si="52"/>
        <v/>
      </c>
      <c r="F679" s="4" t="str">
        <f>IF(Jugadores!B679="","",Jugadores!B679)</f>
        <v/>
      </c>
      <c r="G679" s="4" t="str">
        <f>IF(Jugadores!B679="","",Jugadores!A679)</f>
        <v/>
      </c>
      <c r="H679" s="4" t="str">
        <f>IF(F679="","",SUMIF('Estadísticas Jugadores'!$F$2:$F$7001,F679,'Estadísticas Jugadores'!$J$2:$J$7001))</f>
        <v/>
      </c>
      <c r="I679" s="4" t="str">
        <f t="shared" si="53"/>
        <v/>
      </c>
      <c r="J679" s="4" t="str">
        <f t="shared" si="54"/>
        <v/>
      </c>
    </row>
    <row r="680" spans="1:10" ht="15" customHeight="1" x14ac:dyDescent="0.25">
      <c r="A680" s="8" t="str">
        <f>IF(COUNT($J$2:$J$1501)&gt;=679,679,"")</f>
        <v/>
      </c>
      <c r="B680" s="8" t="str">
        <f t="shared" si="50"/>
        <v/>
      </c>
      <c r="C680" s="8" t="str">
        <f t="shared" si="51"/>
        <v/>
      </c>
      <c r="D680" s="8" t="str">
        <f t="shared" si="52"/>
        <v/>
      </c>
      <c r="F680" s="4" t="str">
        <f>IF(Jugadores!B680="","",Jugadores!B680)</f>
        <v/>
      </c>
      <c r="G680" s="4" t="str">
        <f>IF(Jugadores!B680="","",Jugadores!A680)</f>
        <v/>
      </c>
      <c r="H680" s="4" t="str">
        <f>IF(F680="","",SUMIF('Estadísticas Jugadores'!$F$2:$F$7001,F680,'Estadísticas Jugadores'!$J$2:$J$7001))</f>
        <v/>
      </c>
      <c r="I680" s="4" t="str">
        <f t="shared" si="53"/>
        <v/>
      </c>
      <c r="J680" s="4" t="str">
        <f t="shared" si="54"/>
        <v/>
      </c>
    </row>
    <row r="681" spans="1:10" ht="15" customHeight="1" x14ac:dyDescent="0.25">
      <c r="A681" s="8" t="str">
        <f>IF(COUNT($J$2:$J$1501)&gt;=680,680,"")</f>
        <v/>
      </c>
      <c r="B681" s="8" t="str">
        <f t="shared" si="50"/>
        <v/>
      </c>
      <c r="C681" s="8" t="str">
        <f t="shared" si="51"/>
        <v/>
      </c>
      <c r="D681" s="8" t="str">
        <f t="shared" si="52"/>
        <v/>
      </c>
      <c r="F681" s="4" t="str">
        <f>IF(Jugadores!B681="","",Jugadores!B681)</f>
        <v/>
      </c>
      <c r="G681" s="4" t="str">
        <f>IF(Jugadores!B681="","",Jugadores!A681)</f>
        <v/>
      </c>
      <c r="H681" s="4" t="str">
        <f>IF(F681="","",SUMIF('Estadísticas Jugadores'!$F$2:$F$7001,F681,'Estadísticas Jugadores'!$J$2:$J$7001))</f>
        <v/>
      </c>
      <c r="I681" s="4" t="str">
        <f t="shared" si="53"/>
        <v/>
      </c>
      <c r="J681" s="4" t="str">
        <f t="shared" si="54"/>
        <v/>
      </c>
    </row>
    <row r="682" spans="1:10" ht="15" customHeight="1" x14ac:dyDescent="0.25">
      <c r="A682" s="8" t="str">
        <f>IF(COUNT($J$2:$J$1501)&gt;=681,681,"")</f>
        <v/>
      </c>
      <c r="B682" s="8" t="str">
        <f t="shared" si="50"/>
        <v/>
      </c>
      <c r="C682" s="8" t="str">
        <f t="shared" si="51"/>
        <v/>
      </c>
      <c r="D682" s="8" t="str">
        <f t="shared" si="52"/>
        <v/>
      </c>
      <c r="F682" s="4" t="str">
        <f>IF(Jugadores!B682="","",Jugadores!B682)</f>
        <v/>
      </c>
      <c r="G682" s="4" t="str">
        <f>IF(Jugadores!B682="","",Jugadores!A682)</f>
        <v/>
      </c>
      <c r="H682" s="4" t="str">
        <f>IF(F682="","",SUMIF('Estadísticas Jugadores'!$F$2:$F$7001,F682,'Estadísticas Jugadores'!$J$2:$J$7001))</f>
        <v/>
      </c>
      <c r="I682" s="4" t="str">
        <f t="shared" si="53"/>
        <v/>
      </c>
      <c r="J682" s="4" t="str">
        <f t="shared" si="54"/>
        <v/>
      </c>
    </row>
    <row r="683" spans="1:10" ht="15" customHeight="1" x14ac:dyDescent="0.25">
      <c r="A683" s="8" t="str">
        <f>IF(COUNT($J$2:$J$1501)&gt;=682,682,"")</f>
        <v/>
      </c>
      <c r="B683" s="8" t="str">
        <f t="shared" si="50"/>
        <v/>
      </c>
      <c r="C683" s="8" t="str">
        <f t="shared" si="51"/>
        <v/>
      </c>
      <c r="D683" s="8" t="str">
        <f t="shared" si="52"/>
        <v/>
      </c>
      <c r="F683" s="4" t="str">
        <f>IF(Jugadores!B683="","",Jugadores!B683)</f>
        <v/>
      </c>
      <c r="G683" s="4" t="str">
        <f>IF(Jugadores!B683="","",Jugadores!A683)</f>
        <v/>
      </c>
      <c r="H683" s="4" t="str">
        <f>IF(F683="","",SUMIF('Estadísticas Jugadores'!$F$2:$F$7001,F683,'Estadísticas Jugadores'!$J$2:$J$7001))</f>
        <v/>
      </c>
      <c r="I683" s="4" t="str">
        <f t="shared" si="53"/>
        <v/>
      </c>
      <c r="J683" s="4" t="str">
        <f t="shared" si="54"/>
        <v/>
      </c>
    </row>
    <row r="684" spans="1:10" ht="15" customHeight="1" x14ac:dyDescent="0.25">
      <c r="A684" s="8" t="str">
        <f>IF(COUNT($J$2:$J$1501)&gt;=683,683,"")</f>
        <v/>
      </c>
      <c r="B684" s="8" t="str">
        <f t="shared" si="50"/>
        <v/>
      </c>
      <c r="C684" s="8" t="str">
        <f t="shared" si="51"/>
        <v/>
      </c>
      <c r="D684" s="8" t="str">
        <f t="shared" si="52"/>
        <v/>
      </c>
      <c r="F684" s="4" t="str">
        <f>IF(Jugadores!B684="","",Jugadores!B684)</f>
        <v/>
      </c>
      <c r="G684" s="4" t="str">
        <f>IF(Jugadores!B684="","",Jugadores!A684)</f>
        <v/>
      </c>
      <c r="H684" s="4" t="str">
        <f>IF(F684="","",SUMIF('Estadísticas Jugadores'!$F$2:$F$7001,F684,'Estadísticas Jugadores'!$J$2:$J$7001))</f>
        <v/>
      </c>
      <c r="I684" s="4" t="str">
        <f t="shared" si="53"/>
        <v/>
      </c>
      <c r="J684" s="4" t="str">
        <f t="shared" si="54"/>
        <v/>
      </c>
    </row>
    <row r="685" spans="1:10" ht="15" customHeight="1" x14ac:dyDescent="0.25">
      <c r="A685" s="8" t="str">
        <f>IF(COUNT($J$2:$J$1501)&gt;=684,684,"")</f>
        <v/>
      </c>
      <c r="B685" s="8" t="str">
        <f t="shared" si="50"/>
        <v/>
      </c>
      <c r="C685" s="8" t="str">
        <f t="shared" si="51"/>
        <v/>
      </c>
      <c r="D685" s="8" t="str">
        <f t="shared" si="52"/>
        <v/>
      </c>
      <c r="F685" s="4" t="str">
        <f>IF(Jugadores!B685="","",Jugadores!B685)</f>
        <v/>
      </c>
      <c r="G685" s="4" t="str">
        <f>IF(Jugadores!B685="","",Jugadores!A685)</f>
        <v/>
      </c>
      <c r="H685" s="4" t="str">
        <f>IF(F685="","",SUMIF('Estadísticas Jugadores'!$F$2:$F$7001,F685,'Estadísticas Jugadores'!$J$2:$J$7001))</f>
        <v/>
      </c>
      <c r="I685" s="4" t="str">
        <f t="shared" si="53"/>
        <v/>
      </c>
      <c r="J685" s="4" t="str">
        <f t="shared" si="54"/>
        <v/>
      </c>
    </row>
    <row r="686" spans="1:10" ht="15" customHeight="1" x14ac:dyDescent="0.25">
      <c r="A686" s="8" t="str">
        <f>IF(COUNT($J$2:$J$1501)&gt;=685,685,"")</f>
        <v/>
      </c>
      <c r="B686" s="8" t="str">
        <f t="shared" si="50"/>
        <v/>
      </c>
      <c r="C686" s="8" t="str">
        <f t="shared" si="51"/>
        <v/>
      </c>
      <c r="D686" s="8" t="str">
        <f t="shared" si="52"/>
        <v/>
      </c>
      <c r="F686" s="4" t="str">
        <f>IF(Jugadores!B686="","",Jugadores!B686)</f>
        <v/>
      </c>
      <c r="G686" s="4" t="str">
        <f>IF(Jugadores!B686="","",Jugadores!A686)</f>
        <v/>
      </c>
      <c r="H686" s="4" t="str">
        <f>IF(F686="","",SUMIF('Estadísticas Jugadores'!$F$2:$F$7001,F686,'Estadísticas Jugadores'!$J$2:$J$7001))</f>
        <v/>
      </c>
      <c r="I686" s="4" t="str">
        <f t="shared" si="53"/>
        <v/>
      </c>
      <c r="J686" s="4" t="str">
        <f t="shared" si="54"/>
        <v/>
      </c>
    </row>
    <row r="687" spans="1:10" ht="15" customHeight="1" x14ac:dyDescent="0.25">
      <c r="A687" s="8" t="str">
        <f>IF(COUNT($J$2:$J$1501)&gt;=686,686,"")</f>
        <v/>
      </c>
      <c r="B687" s="8" t="str">
        <f t="shared" si="50"/>
        <v/>
      </c>
      <c r="C687" s="8" t="str">
        <f t="shared" si="51"/>
        <v/>
      </c>
      <c r="D687" s="8" t="str">
        <f t="shared" si="52"/>
        <v/>
      </c>
      <c r="F687" s="4" t="str">
        <f>IF(Jugadores!B687="","",Jugadores!B687)</f>
        <v/>
      </c>
      <c r="G687" s="4" t="str">
        <f>IF(Jugadores!B687="","",Jugadores!A687)</f>
        <v/>
      </c>
      <c r="H687" s="4" t="str">
        <f>IF(F687="","",SUMIF('Estadísticas Jugadores'!$F$2:$F$7001,F687,'Estadísticas Jugadores'!$J$2:$J$7001))</f>
        <v/>
      </c>
      <c r="I687" s="4" t="str">
        <f t="shared" si="53"/>
        <v/>
      </c>
      <c r="J687" s="4" t="str">
        <f t="shared" si="54"/>
        <v/>
      </c>
    </row>
    <row r="688" spans="1:10" ht="15" customHeight="1" x14ac:dyDescent="0.25">
      <c r="A688" s="8" t="str">
        <f>IF(COUNT($J$2:$J$1501)&gt;=687,687,"")</f>
        <v/>
      </c>
      <c r="B688" s="8" t="str">
        <f t="shared" si="50"/>
        <v/>
      </c>
      <c r="C688" s="8" t="str">
        <f t="shared" si="51"/>
        <v/>
      </c>
      <c r="D688" s="8" t="str">
        <f t="shared" si="52"/>
        <v/>
      </c>
      <c r="F688" s="4" t="str">
        <f>IF(Jugadores!B688="","",Jugadores!B688)</f>
        <v/>
      </c>
      <c r="G688" s="4" t="str">
        <f>IF(Jugadores!B688="","",Jugadores!A688)</f>
        <v/>
      </c>
      <c r="H688" s="4" t="str">
        <f>IF(F688="","",SUMIF('Estadísticas Jugadores'!$F$2:$F$7001,F688,'Estadísticas Jugadores'!$J$2:$J$7001))</f>
        <v/>
      </c>
      <c r="I688" s="4" t="str">
        <f t="shared" si="53"/>
        <v/>
      </c>
      <c r="J688" s="4" t="str">
        <f t="shared" si="54"/>
        <v/>
      </c>
    </row>
    <row r="689" spans="1:10" ht="15" customHeight="1" x14ac:dyDescent="0.25">
      <c r="A689" s="8" t="str">
        <f>IF(COUNT($J$2:$J$1501)&gt;=688,688,"")</f>
        <v/>
      </c>
      <c r="B689" s="8" t="str">
        <f t="shared" si="50"/>
        <v/>
      </c>
      <c r="C689" s="8" t="str">
        <f t="shared" si="51"/>
        <v/>
      </c>
      <c r="D689" s="8" t="str">
        <f t="shared" si="52"/>
        <v/>
      </c>
      <c r="F689" s="4" t="str">
        <f>IF(Jugadores!B689="","",Jugadores!B689)</f>
        <v/>
      </c>
      <c r="G689" s="4" t="str">
        <f>IF(Jugadores!B689="","",Jugadores!A689)</f>
        <v/>
      </c>
      <c r="H689" s="4" t="str">
        <f>IF(F689="","",SUMIF('Estadísticas Jugadores'!$F$2:$F$7001,F689,'Estadísticas Jugadores'!$J$2:$J$7001))</f>
        <v/>
      </c>
      <c r="I689" s="4" t="str">
        <f t="shared" si="53"/>
        <v/>
      </c>
      <c r="J689" s="4" t="str">
        <f t="shared" si="54"/>
        <v/>
      </c>
    </row>
    <row r="690" spans="1:10" ht="15" customHeight="1" x14ac:dyDescent="0.25">
      <c r="A690" s="8" t="str">
        <f>IF(COUNT($J$2:$J$1501)&gt;=689,689,"")</f>
        <v/>
      </c>
      <c r="B690" s="8" t="str">
        <f t="shared" si="50"/>
        <v/>
      </c>
      <c r="C690" s="8" t="str">
        <f t="shared" si="51"/>
        <v/>
      </c>
      <c r="D690" s="8" t="str">
        <f t="shared" si="52"/>
        <v/>
      </c>
      <c r="F690" s="4" t="str">
        <f>IF(Jugadores!B690="","",Jugadores!B690)</f>
        <v/>
      </c>
      <c r="G690" s="4" t="str">
        <f>IF(Jugadores!B690="","",Jugadores!A690)</f>
        <v/>
      </c>
      <c r="H690" s="4" t="str">
        <f>IF(F690="","",SUMIF('Estadísticas Jugadores'!$F$2:$F$7001,F690,'Estadísticas Jugadores'!$J$2:$J$7001))</f>
        <v/>
      </c>
      <c r="I690" s="4" t="str">
        <f t="shared" si="53"/>
        <v/>
      </c>
      <c r="J690" s="4" t="str">
        <f t="shared" si="54"/>
        <v/>
      </c>
    </row>
    <row r="691" spans="1:10" ht="15" customHeight="1" x14ac:dyDescent="0.25">
      <c r="A691" s="8" t="str">
        <f>IF(COUNT($J$2:$J$1501)&gt;=690,690,"")</f>
        <v/>
      </c>
      <c r="B691" s="8" t="str">
        <f t="shared" si="50"/>
        <v/>
      </c>
      <c r="C691" s="8" t="str">
        <f t="shared" si="51"/>
        <v/>
      </c>
      <c r="D691" s="8" t="str">
        <f t="shared" si="52"/>
        <v/>
      </c>
      <c r="F691" s="4" t="str">
        <f>IF(Jugadores!B691="","",Jugadores!B691)</f>
        <v/>
      </c>
      <c r="G691" s="4" t="str">
        <f>IF(Jugadores!B691="","",Jugadores!A691)</f>
        <v/>
      </c>
      <c r="H691" s="4" t="str">
        <f>IF(F691="","",SUMIF('Estadísticas Jugadores'!$F$2:$F$7001,F691,'Estadísticas Jugadores'!$J$2:$J$7001))</f>
        <v/>
      </c>
      <c r="I691" s="4" t="str">
        <f t="shared" si="53"/>
        <v/>
      </c>
      <c r="J691" s="4" t="str">
        <f t="shared" si="54"/>
        <v/>
      </c>
    </row>
    <row r="692" spans="1:10" ht="15" customHeight="1" x14ac:dyDescent="0.25">
      <c r="A692" s="8" t="str">
        <f>IF(COUNT($J$2:$J$1501)&gt;=691,691,"")</f>
        <v/>
      </c>
      <c r="B692" s="8" t="str">
        <f t="shared" si="50"/>
        <v/>
      </c>
      <c r="C692" s="8" t="str">
        <f t="shared" si="51"/>
        <v/>
      </c>
      <c r="D692" s="8" t="str">
        <f t="shared" si="52"/>
        <v/>
      </c>
      <c r="F692" s="4" t="str">
        <f>IF(Jugadores!B692="","",Jugadores!B692)</f>
        <v/>
      </c>
      <c r="G692" s="4" t="str">
        <f>IF(Jugadores!B692="","",Jugadores!A692)</f>
        <v/>
      </c>
      <c r="H692" s="4" t="str">
        <f>IF(F692="","",SUMIF('Estadísticas Jugadores'!$F$2:$F$7001,F692,'Estadísticas Jugadores'!$J$2:$J$7001))</f>
        <v/>
      </c>
      <c r="I692" s="4" t="str">
        <f t="shared" si="53"/>
        <v/>
      </c>
      <c r="J692" s="4" t="str">
        <f t="shared" si="54"/>
        <v/>
      </c>
    </row>
    <row r="693" spans="1:10" ht="15" customHeight="1" x14ac:dyDescent="0.25">
      <c r="A693" s="8" t="str">
        <f>IF(COUNT($J$2:$J$1501)&gt;=692,692,"")</f>
        <v/>
      </c>
      <c r="B693" s="8" t="str">
        <f t="shared" si="50"/>
        <v/>
      </c>
      <c r="C693" s="8" t="str">
        <f t="shared" si="51"/>
        <v/>
      </c>
      <c r="D693" s="8" t="str">
        <f t="shared" si="52"/>
        <v/>
      </c>
      <c r="F693" s="4" t="str">
        <f>IF(Jugadores!B693="","",Jugadores!B693)</f>
        <v/>
      </c>
      <c r="G693" s="4" t="str">
        <f>IF(Jugadores!B693="","",Jugadores!A693)</f>
        <v/>
      </c>
      <c r="H693" s="4" t="str">
        <f>IF(F693="","",SUMIF('Estadísticas Jugadores'!$F$2:$F$7001,F693,'Estadísticas Jugadores'!$J$2:$J$7001))</f>
        <v/>
      </c>
      <c r="I693" s="4" t="str">
        <f t="shared" si="53"/>
        <v/>
      </c>
      <c r="J693" s="4" t="str">
        <f t="shared" si="54"/>
        <v/>
      </c>
    </row>
    <row r="694" spans="1:10" ht="15" customHeight="1" x14ac:dyDescent="0.25">
      <c r="A694" s="8" t="str">
        <f>IF(COUNT($J$2:$J$1501)&gt;=693,693,"")</f>
        <v/>
      </c>
      <c r="B694" s="8" t="str">
        <f t="shared" si="50"/>
        <v/>
      </c>
      <c r="C694" s="8" t="str">
        <f t="shared" si="51"/>
        <v/>
      </c>
      <c r="D694" s="8" t="str">
        <f t="shared" si="52"/>
        <v/>
      </c>
      <c r="F694" s="4" t="str">
        <f>IF(Jugadores!B694="","",Jugadores!B694)</f>
        <v/>
      </c>
      <c r="G694" s="4" t="str">
        <f>IF(Jugadores!B694="","",Jugadores!A694)</f>
        <v/>
      </c>
      <c r="H694" s="4" t="str">
        <f>IF(F694="","",SUMIF('Estadísticas Jugadores'!$F$2:$F$7001,F694,'Estadísticas Jugadores'!$J$2:$J$7001))</f>
        <v/>
      </c>
      <c r="I694" s="4" t="str">
        <f t="shared" si="53"/>
        <v/>
      </c>
      <c r="J694" s="4" t="str">
        <f t="shared" si="54"/>
        <v/>
      </c>
    </row>
    <row r="695" spans="1:10" ht="15" customHeight="1" x14ac:dyDescent="0.25">
      <c r="A695" s="8" t="str">
        <f>IF(COUNT($J$2:$J$1501)&gt;=694,694,"")</f>
        <v/>
      </c>
      <c r="B695" s="8" t="str">
        <f t="shared" si="50"/>
        <v/>
      </c>
      <c r="C695" s="8" t="str">
        <f t="shared" si="51"/>
        <v/>
      </c>
      <c r="D695" s="8" t="str">
        <f t="shared" si="52"/>
        <v/>
      </c>
      <c r="F695" s="4" t="str">
        <f>IF(Jugadores!B695="","",Jugadores!B695)</f>
        <v/>
      </c>
      <c r="G695" s="4" t="str">
        <f>IF(Jugadores!B695="","",Jugadores!A695)</f>
        <v/>
      </c>
      <c r="H695" s="4" t="str">
        <f>IF(F695="","",SUMIF('Estadísticas Jugadores'!$F$2:$F$7001,F695,'Estadísticas Jugadores'!$J$2:$J$7001))</f>
        <v/>
      </c>
      <c r="I695" s="4" t="str">
        <f t="shared" si="53"/>
        <v/>
      </c>
      <c r="J695" s="4" t="str">
        <f t="shared" si="54"/>
        <v/>
      </c>
    </row>
    <row r="696" spans="1:10" ht="15" customHeight="1" x14ac:dyDescent="0.25">
      <c r="A696" s="8" t="str">
        <f>IF(COUNT($J$2:$J$1501)&gt;=695,695,"")</f>
        <v/>
      </c>
      <c r="B696" s="8" t="str">
        <f t="shared" si="50"/>
        <v/>
      </c>
      <c r="C696" s="8" t="str">
        <f t="shared" si="51"/>
        <v/>
      </c>
      <c r="D696" s="8" t="str">
        <f t="shared" si="52"/>
        <v/>
      </c>
      <c r="F696" s="4" t="str">
        <f>IF(Jugadores!B696="","",Jugadores!B696)</f>
        <v/>
      </c>
      <c r="G696" s="4" t="str">
        <f>IF(Jugadores!B696="","",Jugadores!A696)</f>
        <v/>
      </c>
      <c r="H696" s="4" t="str">
        <f>IF(F696="","",SUMIF('Estadísticas Jugadores'!$F$2:$F$7001,F696,'Estadísticas Jugadores'!$J$2:$J$7001))</f>
        <v/>
      </c>
      <c r="I696" s="4" t="str">
        <f t="shared" si="53"/>
        <v/>
      </c>
      <c r="J696" s="4" t="str">
        <f t="shared" si="54"/>
        <v/>
      </c>
    </row>
    <row r="697" spans="1:10" ht="15" customHeight="1" x14ac:dyDescent="0.25">
      <c r="A697" s="8" t="str">
        <f>IF(COUNT($J$2:$J$1501)&gt;=696,696,"")</f>
        <v/>
      </c>
      <c r="B697" s="8" t="str">
        <f t="shared" si="50"/>
        <v/>
      </c>
      <c r="C697" s="8" t="str">
        <f t="shared" si="51"/>
        <v/>
      </c>
      <c r="D697" s="8" t="str">
        <f t="shared" si="52"/>
        <v/>
      </c>
      <c r="F697" s="4" t="str">
        <f>IF(Jugadores!B697="","",Jugadores!B697)</f>
        <v/>
      </c>
      <c r="G697" s="4" t="str">
        <f>IF(Jugadores!B697="","",Jugadores!A697)</f>
        <v/>
      </c>
      <c r="H697" s="4" t="str">
        <f>IF(F697="","",SUMIF('Estadísticas Jugadores'!$F$2:$F$7001,F697,'Estadísticas Jugadores'!$J$2:$J$7001))</f>
        <v/>
      </c>
      <c r="I697" s="4" t="str">
        <f t="shared" si="53"/>
        <v/>
      </c>
      <c r="J697" s="4" t="str">
        <f t="shared" si="54"/>
        <v/>
      </c>
    </row>
    <row r="698" spans="1:10" ht="15" customHeight="1" x14ac:dyDescent="0.25">
      <c r="A698" s="8" t="str">
        <f>IF(COUNT($J$2:$J$1501)&gt;=697,697,"")</f>
        <v/>
      </c>
      <c r="B698" s="8" t="str">
        <f t="shared" si="50"/>
        <v/>
      </c>
      <c r="C698" s="8" t="str">
        <f t="shared" si="51"/>
        <v/>
      </c>
      <c r="D698" s="8" t="str">
        <f t="shared" si="52"/>
        <v/>
      </c>
      <c r="F698" s="4" t="str">
        <f>IF(Jugadores!B698="","",Jugadores!B698)</f>
        <v/>
      </c>
      <c r="G698" s="4" t="str">
        <f>IF(Jugadores!B698="","",Jugadores!A698)</f>
        <v/>
      </c>
      <c r="H698" s="4" t="str">
        <f>IF(F698="","",SUMIF('Estadísticas Jugadores'!$F$2:$F$7001,F698,'Estadísticas Jugadores'!$J$2:$J$7001))</f>
        <v/>
      </c>
      <c r="I698" s="4" t="str">
        <f t="shared" si="53"/>
        <v/>
      </c>
      <c r="J698" s="4" t="str">
        <f t="shared" si="54"/>
        <v/>
      </c>
    </row>
    <row r="699" spans="1:10" ht="15" customHeight="1" x14ac:dyDescent="0.25">
      <c r="A699" s="8" t="str">
        <f>IF(COUNT($J$2:$J$1501)&gt;=698,698,"")</f>
        <v/>
      </c>
      <c r="B699" s="8" t="str">
        <f t="shared" si="50"/>
        <v/>
      </c>
      <c r="C699" s="8" t="str">
        <f t="shared" si="51"/>
        <v/>
      </c>
      <c r="D699" s="8" t="str">
        <f t="shared" si="52"/>
        <v/>
      </c>
      <c r="F699" s="4" t="str">
        <f>IF(Jugadores!B699="","",Jugadores!B699)</f>
        <v/>
      </c>
      <c r="G699" s="4" t="str">
        <f>IF(Jugadores!B699="","",Jugadores!A699)</f>
        <v/>
      </c>
      <c r="H699" s="4" t="str">
        <f>IF(F699="","",SUMIF('Estadísticas Jugadores'!$F$2:$F$7001,F699,'Estadísticas Jugadores'!$J$2:$J$7001))</f>
        <v/>
      </c>
      <c r="I699" s="4" t="str">
        <f t="shared" si="53"/>
        <v/>
      </c>
      <c r="J699" s="4" t="str">
        <f t="shared" si="54"/>
        <v/>
      </c>
    </row>
    <row r="700" spans="1:10" ht="15" customHeight="1" x14ac:dyDescent="0.25">
      <c r="A700" s="8" t="str">
        <f>IF(COUNT($J$2:$J$1501)&gt;=699,699,"")</f>
        <v/>
      </c>
      <c r="B700" s="8" t="str">
        <f t="shared" si="50"/>
        <v/>
      </c>
      <c r="C700" s="8" t="str">
        <f t="shared" si="51"/>
        <v/>
      </c>
      <c r="D700" s="8" t="str">
        <f t="shared" si="52"/>
        <v/>
      </c>
      <c r="F700" s="4" t="str">
        <f>IF(Jugadores!B700="","",Jugadores!B700)</f>
        <v/>
      </c>
      <c r="G700" s="4" t="str">
        <f>IF(Jugadores!B700="","",Jugadores!A700)</f>
        <v/>
      </c>
      <c r="H700" s="4" t="str">
        <f>IF(F700="","",SUMIF('Estadísticas Jugadores'!$F$2:$F$7001,F700,'Estadísticas Jugadores'!$J$2:$J$7001))</f>
        <v/>
      </c>
      <c r="I700" s="4" t="str">
        <f t="shared" si="53"/>
        <v/>
      </c>
      <c r="J700" s="4" t="str">
        <f t="shared" si="54"/>
        <v/>
      </c>
    </row>
    <row r="701" spans="1:10" ht="15" customHeight="1" x14ac:dyDescent="0.25">
      <c r="A701" s="8" t="str">
        <f>IF(COUNT($J$2:$J$1501)&gt;=700,700,"")</f>
        <v/>
      </c>
      <c r="B701" s="8" t="str">
        <f t="shared" si="50"/>
        <v/>
      </c>
      <c r="C701" s="8" t="str">
        <f t="shared" si="51"/>
        <v/>
      </c>
      <c r="D701" s="8" t="str">
        <f t="shared" si="52"/>
        <v/>
      </c>
      <c r="F701" s="4" t="str">
        <f>IF(Jugadores!B701="","",Jugadores!B701)</f>
        <v/>
      </c>
      <c r="G701" s="4" t="str">
        <f>IF(Jugadores!B701="","",Jugadores!A701)</f>
        <v/>
      </c>
      <c r="H701" s="4" t="str">
        <f>IF(F701="","",SUMIF('Estadísticas Jugadores'!$F$2:$F$7001,F701,'Estadísticas Jugadores'!$J$2:$J$7001))</f>
        <v/>
      </c>
      <c r="I701" s="4" t="str">
        <f t="shared" si="53"/>
        <v/>
      </c>
      <c r="J701" s="4" t="str">
        <f t="shared" si="54"/>
        <v/>
      </c>
    </row>
    <row r="702" spans="1:10" ht="15" customHeight="1" x14ac:dyDescent="0.25">
      <c r="A702" s="8" t="str">
        <f>IF(COUNT($J$2:$J$1501)&gt;=701,701,"")</f>
        <v/>
      </c>
      <c r="B702" s="8" t="str">
        <f t="shared" si="50"/>
        <v/>
      </c>
      <c r="C702" s="8" t="str">
        <f t="shared" si="51"/>
        <v/>
      </c>
      <c r="D702" s="8" t="str">
        <f t="shared" si="52"/>
        <v/>
      </c>
      <c r="F702" s="4" t="str">
        <f>IF(Jugadores!B702="","",Jugadores!B702)</f>
        <v/>
      </c>
      <c r="G702" s="4" t="str">
        <f>IF(Jugadores!B702="","",Jugadores!A702)</f>
        <v/>
      </c>
      <c r="H702" s="4" t="str">
        <f>IF(F702="","",SUMIF('Estadísticas Jugadores'!$F$2:$F$7001,F702,'Estadísticas Jugadores'!$J$2:$J$7001))</f>
        <v/>
      </c>
      <c r="I702" s="4" t="str">
        <f t="shared" si="53"/>
        <v/>
      </c>
      <c r="J702" s="4" t="str">
        <f t="shared" si="54"/>
        <v/>
      </c>
    </row>
    <row r="703" spans="1:10" ht="15" customHeight="1" x14ac:dyDescent="0.25">
      <c r="A703" s="8" t="str">
        <f>IF(COUNT($J$2:$J$1501)&gt;=702,702,"")</f>
        <v/>
      </c>
      <c r="B703" s="8" t="str">
        <f t="shared" si="50"/>
        <v/>
      </c>
      <c r="C703" s="8" t="str">
        <f t="shared" si="51"/>
        <v/>
      </c>
      <c r="D703" s="8" t="str">
        <f t="shared" si="52"/>
        <v/>
      </c>
      <c r="F703" s="4" t="str">
        <f>IF(Jugadores!B703="","",Jugadores!B703)</f>
        <v/>
      </c>
      <c r="G703" s="4" t="str">
        <f>IF(Jugadores!B703="","",Jugadores!A703)</f>
        <v/>
      </c>
      <c r="H703" s="4" t="str">
        <f>IF(F703="","",SUMIF('Estadísticas Jugadores'!$F$2:$F$7001,F703,'Estadísticas Jugadores'!$J$2:$J$7001))</f>
        <v/>
      </c>
      <c r="I703" s="4" t="str">
        <f t="shared" si="53"/>
        <v/>
      </c>
      <c r="J703" s="4" t="str">
        <f t="shared" si="54"/>
        <v/>
      </c>
    </row>
    <row r="704" spans="1:10" ht="15" customHeight="1" x14ac:dyDescent="0.25">
      <c r="A704" s="8" t="str">
        <f>IF(COUNT($J$2:$J$1501)&gt;=703,703,"")</f>
        <v/>
      </c>
      <c r="B704" s="8" t="str">
        <f t="shared" si="50"/>
        <v/>
      </c>
      <c r="C704" s="8" t="str">
        <f t="shared" si="51"/>
        <v/>
      </c>
      <c r="D704" s="8" t="str">
        <f t="shared" si="52"/>
        <v/>
      </c>
      <c r="F704" s="4" t="str">
        <f>IF(Jugadores!B704="","",Jugadores!B704)</f>
        <v/>
      </c>
      <c r="G704" s="4" t="str">
        <f>IF(Jugadores!B704="","",Jugadores!A704)</f>
        <v/>
      </c>
      <c r="H704" s="4" t="str">
        <f>IF(F704="","",SUMIF('Estadísticas Jugadores'!$F$2:$F$7001,F704,'Estadísticas Jugadores'!$J$2:$J$7001))</f>
        <v/>
      </c>
      <c r="I704" s="4" t="str">
        <f t="shared" si="53"/>
        <v/>
      </c>
      <c r="J704" s="4" t="str">
        <f t="shared" si="54"/>
        <v/>
      </c>
    </row>
    <row r="705" spans="1:10" ht="15" customHeight="1" x14ac:dyDescent="0.25">
      <c r="A705" s="8" t="str">
        <f>IF(COUNT($J$2:$J$1501)&gt;=704,704,"")</f>
        <v/>
      </c>
      <c r="B705" s="8" t="str">
        <f t="shared" si="50"/>
        <v/>
      </c>
      <c r="C705" s="8" t="str">
        <f t="shared" si="51"/>
        <v/>
      </c>
      <c r="D705" s="8" t="str">
        <f t="shared" si="52"/>
        <v/>
      </c>
      <c r="F705" s="4" t="str">
        <f>IF(Jugadores!B705="","",Jugadores!B705)</f>
        <v/>
      </c>
      <c r="G705" s="4" t="str">
        <f>IF(Jugadores!B705="","",Jugadores!A705)</f>
        <v/>
      </c>
      <c r="H705" s="4" t="str">
        <f>IF(F705="","",SUMIF('Estadísticas Jugadores'!$F$2:$F$7001,F705,'Estadísticas Jugadores'!$J$2:$J$7001))</f>
        <v/>
      </c>
      <c r="I705" s="4" t="str">
        <f t="shared" si="53"/>
        <v/>
      </c>
      <c r="J705" s="4" t="str">
        <f t="shared" si="54"/>
        <v/>
      </c>
    </row>
    <row r="706" spans="1:10" ht="15" customHeight="1" x14ac:dyDescent="0.25">
      <c r="A706" s="8" t="str">
        <f>IF(COUNT($J$2:$J$1501)&gt;=705,705,"")</f>
        <v/>
      </c>
      <c r="B706" s="8" t="str">
        <f t="shared" ref="B706:B769" si="55">IF($A706="","",INDEX($F$2:$F$1501,MATCH($A706,$J$2:$J$1501,0)))</f>
        <v/>
      </c>
      <c r="C706" s="8" t="str">
        <f t="shared" ref="C706:C769" si="56">IF($A706="","",INDEX($G$2:$G$1501,MATCH($A706,$J$2:$J$1501,0)))</f>
        <v/>
      </c>
      <c r="D706" s="8" t="str">
        <f t="shared" ref="D706:D769" si="57">IF($A706="","",INDEX($H$2:$H$1501,MATCH($A706,$J$2:$J$1501,0)))</f>
        <v/>
      </c>
      <c r="F706" s="4" t="str">
        <f>IF(Jugadores!B706="","",Jugadores!B706)</f>
        <v/>
      </c>
      <c r="G706" s="4" t="str">
        <f>IF(Jugadores!B706="","",Jugadores!A706)</f>
        <v/>
      </c>
      <c r="H706" s="4" t="str">
        <f>IF(F706="","",SUMIF('Estadísticas Jugadores'!$F$2:$F$7001,F706,'Estadísticas Jugadores'!$J$2:$J$7001))</f>
        <v/>
      </c>
      <c r="I706" s="4" t="str">
        <f t="shared" ref="I706:I769" si="58">IF(F706="","",H706*1000-ROW()*0.0000001)</f>
        <v/>
      </c>
      <c r="J706" s="4" t="str">
        <f t="shared" ref="J706:J769" si="59">IF(F706="","",RANK(I706,$I$2:$I$1501))</f>
        <v/>
      </c>
    </row>
    <row r="707" spans="1:10" ht="15" customHeight="1" x14ac:dyDescent="0.25">
      <c r="A707" s="8" t="str">
        <f>IF(COUNT($J$2:$J$1501)&gt;=706,706,"")</f>
        <v/>
      </c>
      <c r="B707" s="8" t="str">
        <f t="shared" si="55"/>
        <v/>
      </c>
      <c r="C707" s="8" t="str">
        <f t="shared" si="56"/>
        <v/>
      </c>
      <c r="D707" s="8" t="str">
        <f t="shared" si="57"/>
        <v/>
      </c>
      <c r="F707" s="4" t="str">
        <f>IF(Jugadores!B707="","",Jugadores!B707)</f>
        <v/>
      </c>
      <c r="G707" s="4" t="str">
        <f>IF(Jugadores!B707="","",Jugadores!A707)</f>
        <v/>
      </c>
      <c r="H707" s="4" t="str">
        <f>IF(F707="","",SUMIF('Estadísticas Jugadores'!$F$2:$F$7001,F707,'Estadísticas Jugadores'!$J$2:$J$7001))</f>
        <v/>
      </c>
      <c r="I707" s="4" t="str">
        <f t="shared" si="58"/>
        <v/>
      </c>
      <c r="J707" s="4" t="str">
        <f t="shared" si="59"/>
        <v/>
      </c>
    </row>
    <row r="708" spans="1:10" ht="15" customHeight="1" x14ac:dyDescent="0.25">
      <c r="A708" s="8" t="str">
        <f>IF(COUNT($J$2:$J$1501)&gt;=707,707,"")</f>
        <v/>
      </c>
      <c r="B708" s="8" t="str">
        <f t="shared" si="55"/>
        <v/>
      </c>
      <c r="C708" s="8" t="str">
        <f t="shared" si="56"/>
        <v/>
      </c>
      <c r="D708" s="8" t="str">
        <f t="shared" si="57"/>
        <v/>
      </c>
      <c r="F708" s="4" t="str">
        <f>IF(Jugadores!B708="","",Jugadores!B708)</f>
        <v/>
      </c>
      <c r="G708" s="4" t="str">
        <f>IF(Jugadores!B708="","",Jugadores!A708)</f>
        <v/>
      </c>
      <c r="H708" s="4" t="str">
        <f>IF(F708="","",SUMIF('Estadísticas Jugadores'!$F$2:$F$7001,F708,'Estadísticas Jugadores'!$J$2:$J$7001))</f>
        <v/>
      </c>
      <c r="I708" s="4" t="str">
        <f t="shared" si="58"/>
        <v/>
      </c>
      <c r="J708" s="4" t="str">
        <f t="shared" si="59"/>
        <v/>
      </c>
    </row>
    <row r="709" spans="1:10" ht="15" customHeight="1" x14ac:dyDescent="0.25">
      <c r="A709" s="8" t="str">
        <f>IF(COUNT($J$2:$J$1501)&gt;=708,708,"")</f>
        <v/>
      </c>
      <c r="B709" s="8" t="str">
        <f t="shared" si="55"/>
        <v/>
      </c>
      <c r="C709" s="8" t="str">
        <f t="shared" si="56"/>
        <v/>
      </c>
      <c r="D709" s="8" t="str">
        <f t="shared" si="57"/>
        <v/>
      </c>
      <c r="F709" s="4" t="str">
        <f>IF(Jugadores!B709="","",Jugadores!B709)</f>
        <v/>
      </c>
      <c r="G709" s="4" t="str">
        <f>IF(Jugadores!B709="","",Jugadores!A709)</f>
        <v/>
      </c>
      <c r="H709" s="4" t="str">
        <f>IF(F709="","",SUMIF('Estadísticas Jugadores'!$F$2:$F$7001,F709,'Estadísticas Jugadores'!$J$2:$J$7001))</f>
        <v/>
      </c>
      <c r="I709" s="4" t="str">
        <f t="shared" si="58"/>
        <v/>
      </c>
      <c r="J709" s="4" t="str">
        <f t="shared" si="59"/>
        <v/>
      </c>
    </row>
    <row r="710" spans="1:10" ht="15" customHeight="1" x14ac:dyDescent="0.25">
      <c r="A710" s="8" t="str">
        <f>IF(COUNT($J$2:$J$1501)&gt;=709,709,"")</f>
        <v/>
      </c>
      <c r="B710" s="8" t="str">
        <f t="shared" si="55"/>
        <v/>
      </c>
      <c r="C710" s="8" t="str">
        <f t="shared" si="56"/>
        <v/>
      </c>
      <c r="D710" s="8" t="str">
        <f t="shared" si="57"/>
        <v/>
      </c>
      <c r="F710" s="4" t="str">
        <f>IF(Jugadores!B710="","",Jugadores!B710)</f>
        <v/>
      </c>
      <c r="G710" s="4" t="str">
        <f>IF(Jugadores!B710="","",Jugadores!A710)</f>
        <v/>
      </c>
      <c r="H710" s="4" t="str">
        <f>IF(F710="","",SUMIF('Estadísticas Jugadores'!$F$2:$F$7001,F710,'Estadísticas Jugadores'!$J$2:$J$7001))</f>
        <v/>
      </c>
      <c r="I710" s="4" t="str">
        <f t="shared" si="58"/>
        <v/>
      </c>
      <c r="J710" s="4" t="str">
        <f t="shared" si="59"/>
        <v/>
      </c>
    </row>
    <row r="711" spans="1:10" ht="15" customHeight="1" x14ac:dyDescent="0.25">
      <c r="A711" s="8" t="str">
        <f>IF(COUNT($J$2:$J$1501)&gt;=710,710,"")</f>
        <v/>
      </c>
      <c r="B711" s="8" t="str">
        <f t="shared" si="55"/>
        <v/>
      </c>
      <c r="C711" s="8" t="str">
        <f t="shared" si="56"/>
        <v/>
      </c>
      <c r="D711" s="8" t="str">
        <f t="shared" si="57"/>
        <v/>
      </c>
      <c r="F711" s="4" t="str">
        <f>IF(Jugadores!B711="","",Jugadores!B711)</f>
        <v/>
      </c>
      <c r="G711" s="4" t="str">
        <f>IF(Jugadores!B711="","",Jugadores!A711)</f>
        <v/>
      </c>
      <c r="H711" s="4" t="str">
        <f>IF(F711="","",SUMIF('Estadísticas Jugadores'!$F$2:$F$7001,F711,'Estadísticas Jugadores'!$J$2:$J$7001))</f>
        <v/>
      </c>
      <c r="I711" s="4" t="str">
        <f t="shared" si="58"/>
        <v/>
      </c>
      <c r="J711" s="4" t="str">
        <f t="shared" si="59"/>
        <v/>
      </c>
    </row>
    <row r="712" spans="1:10" ht="15" customHeight="1" x14ac:dyDescent="0.25">
      <c r="A712" s="8" t="str">
        <f>IF(COUNT($J$2:$J$1501)&gt;=711,711,"")</f>
        <v/>
      </c>
      <c r="B712" s="8" t="str">
        <f t="shared" si="55"/>
        <v/>
      </c>
      <c r="C712" s="8" t="str">
        <f t="shared" si="56"/>
        <v/>
      </c>
      <c r="D712" s="8" t="str">
        <f t="shared" si="57"/>
        <v/>
      </c>
      <c r="F712" s="4" t="str">
        <f>IF(Jugadores!B712="","",Jugadores!B712)</f>
        <v/>
      </c>
      <c r="G712" s="4" t="str">
        <f>IF(Jugadores!B712="","",Jugadores!A712)</f>
        <v/>
      </c>
      <c r="H712" s="4" t="str">
        <f>IF(F712="","",SUMIF('Estadísticas Jugadores'!$F$2:$F$7001,F712,'Estadísticas Jugadores'!$J$2:$J$7001))</f>
        <v/>
      </c>
      <c r="I712" s="4" t="str">
        <f t="shared" si="58"/>
        <v/>
      </c>
      <c r="J712" s="4" t="str">
        <f t="shared" si="59"/>
        <v/>
      </c>
    </row>
    <row r="713" spans="1:10" ht="15" customHeight="1" x14ac:dyDescent="0.25">
      <c r="A713" s="8" t="str">
        <f>IF(COUNT($J$2:$J$1501)&gt;=712,712,"")</f>
        <v/>
      </c>
      <c r="B713" s="8" t="str">
        <f t="shared" si="55"/>
        <v/>
      </c>
      <c r="C713" s="8" t="str">
        <f t="shared" si="56"/>
        <v/>
      </c>
      <c r="D713" s="8" t="str">
        <f t="shared" si="57"/>
        <v/>
      </c>
      <c r="F713" s="4" t="str">
        <f>IF(Jugadores!B713="","",Jugadores!B713)</f>
        <v/>
      </c>
      <c r="G713" s="4" t="str">
        <f>IF(Jugadores!B713="","",Jugadores!A713)</f>
        <v/>
      </c>
      <c r="H713" s="4" t="str">
        <f>IF(F713="","",SUMIF('Estadísticas Jugadores'!$F$2:$F$7001,F713,'Estadísticas Jugadores'!$J$2:$J$7001))</f>
        <v/>
      </c>
      <c r="I713" s="4" t="str">
        <f t="shared" si="58"/>
        <v/>
      </c>
      <c r="J713" s="4" t="str">
        <f t="shared" si="59"/>
        <v/>
      </c>
    </row>
    <row r="714" spans="1:10" ht="15" customHeight="1" x14ac:dyDescent="0.25">
      <c r="A714" s="8" t="str">
        <f>IF(COUNT($J$2:$J$1501)&gt;=713,713,"")</f>
        <v/>
      </c>
      <c r="B714" s="8" t="str">
        <f t="shared" si="55"/>
        <v/>
      </c>
      <c r="C714" s="8" t="str">
        <f t="shared" si="56"/>
        <v/>
      </c>
      <c r="D714" s="8" t="str">
        <f t="shared" si="57"/>
        <v/>
      </c>
      <c r="F714" s="4" t="str">
        <f>IF(Jugadores!B714="","",Jugadores!B714)</f>
        <v/>
      </c>
      <c r="G714" s="4" t="str">
        <f>IF(Jugadores!B714="","",Jugadores!A714)</f>
        <v/>
      </c>
      <c r="H714" s="4" t="str">
        <f>IF(F714="","",SUMIF('Estadísticas Jugadores'!$F$2:$F$7001,F714,'Estadísticas Jugadores'!$J$2:$J$7001))</f>
        <v/>
      </c>
      <c r="I714" s="4" t="str">
        <f t="shared" si="58"/>
        <v/>
      </c>
      <c r="J714" s="4" t="str">
        <f t="shared" si="59"/>
        <v/>
      </c>
    </row>
    <row r="715" spans="1:10" ht="15" customHeight="1" x14ac:dyDescent="0.25">
      <c r="A715" s="8" t="str">
        <f>IF(COUNT($J$2:$J$1501)&gt;=714,714,"")</f>
        <v/>
      </c>
      <c r="B715" s="8" t="str">
        <f t="shared" si="55"/>
        <v/>
      </c>
      <c r="C715" s="8" t="str">
        <f t="shared" si="56"/>
        <v/>
      </c>
      <c r="D715" s="8" t="str">
        <f t="shared" si="57"/>
        <v/>
      </c>
      <c r="F715" s="4" t="str">
        <f>IF(Jugadores!B715="","",Jugadores!B715)</f>
        <v/>
      </c>
      <c r="G715" s="4" t="str">
        <f>IF(Jugadores!B715="","",Jugadores!A715)</f>
        <v/>
      </c>
      <c r="H715" s="4" t="str">
        <f>IF(F715="","",SUMIF('Estadísticas Jugadores'!$F$2:$F$7001,F715,'Estadísticas Jugadores'!$J$2:$J$7001))</f>
        <v/>
      </c>
      <c r="I715" s="4" t="str">
        <f t="shared" si="58"/>
        <v/>
      </c>
      <c r="J715" s="4" t="str">
        <f t="shared" si="59"/>
        <v/>
      </c>
    </row>
    <row r="716" spans="1:10" ht="15" customHeight="1" x14ac:dyDescent="0.25">
      <c r="A716" s="8" t="str">
        <f>IF(COUNT($J$2:$J$1501)&gt;=715,715,"")</f>
        <v/>
      </c>
      <c r="B716" s="8" t="str">
        <f t="shared" si="55"/>
        <v/>
      </c>
      <c r="C716" s="8" t="str">
        <f t="shared" si="56"/>
        <v/>
      </c>
      <c r="D716" s="8" t="str">
        <f t="shared" si="57"/>
        <v/>
      </c>
      <c r="F716" s="4" t="str">
        <f>IF(Jugadores!B716="","",Jugadores!B716)</f>
        <v/>
      </c>
      <c r="G716" s="4" t="str">
        <f>IF(Jugadores!B716="","",Jugadores!A716)</f>
        <v/>
      </c>
      <c r="H716" s="4" t="str">
        <f>IF(F716="","",SUMIF('Estadísticas Jugadores'!$F$2:$F$7001,F716,'Estadísticas Jugadores'!$J$2:$J$7001))</f>
        <v/>
      </c>
      <c r="I716" s="4" t="str">
        <f t="shared" si="58"/>
        <v/>
      </c>
      <c r="J716" s="4" t="str">
        <f t="shared" si="59"/>
        <v/>
      </c>
    </row>
    <row r="717" spans="1:10" ht="15" customHeight="1" x14ac:dyDescent="0.25">
      <c r="A717" s="8" t="str">
        <f>IF(COUNT($J$2:$J$1501)&gt;=716,716,"")</f>
        <v/>
      </c>
      <c r="B717" s="8" t="str">
        <f t="shared" si="55"/>
        <v/>
      </c>
      <c r="C717" s="8" t="str">
        <f t="shared" si="56"/>
        <v/>
      </c>
      <c r="D717" s="8" t="str">
        <f t="shared" si="57"/>
        <v/>
      </c>
      <c r="F717" s="4" t="str">
        <f>IF(Jugadores!B717="","",Jugadores!B717)</f>
        <v/>
      </c>
      <c r="G717" s="4" t="str">
        <f>IF(Jugadores!B717="","",Jugadores!A717)</f>
        <v/>
      </c>
      <c r="H717" s="4" t="str">
        <f>IF(F717="","",SUMIF('Estadísticas Jugadores'!$F$2:$F$7001,F717,'Estadísticas Jugadores'!$J$2:$J$7001))</f>
        <v/>
      </c>
      <c r="I717" s="4" t="str">
        <f t="shared" si="58"/>
        <v/>
      </c>
      <c r="J717" s="4" t="str">
        <f t="shared" si="59"/>
        <v/>
      </c>
    </row>
    <row r="718" spans="1:10" ht="15" customHeight="1" x14ac:dyDescent="0.25">
      <c r="A718" s="8" t="str">
        <f>IF(COUNT($J$2:$J$1501)&gt;=717,717,"")</f>
        <v/>
      </c>
      <c r="B718" s="8" t="str">
        <f t="shared" si="55"/>
        <v/>
      </c>
      <c r="C718" s="8" t="str">
        <f t="shared" si="56"/>
        <v/>
      </c>
      <c r="D718" s="8" t="str">
        <f t="shared" si="57"/>
        <v/>
      </c>
      <c r="F718" s="4" t="str">
        <f>IF(Jugadores!B718="","",Jugadores!B718)</f>
        <v/>
      </c>
      <c r="G718" s="4" t="str">
        <f>IF(Jugadores!B718="","",Jugadores!A718)</f>
        <v/>
      </c>
      <c r="H718" s="4" t="str">
        <f>IF(F718="","",SUMIF('Estadísticas Jugadores'!$F$2:$F$7001,F718,'Estadísticas Jugadores'!$J$2:$J$7001))</f>
        <v/>
      </c>
      <c r="I718" s="4" t="str">
        <f t="shared" si="58"/>
        <v/>
      </c>
      <c r="J718" s="4" t="str">
        <f t="shared" si="59"/>
        <v/>
      </c>
    </row>
    <row r="719" spans="1:10" ht="15" customHeight="1" x14ac:dyDescent="0.25">
      <c r="A719" s="8" t="str">
        <f>IF(COUNT($J$2:$J$1501)&gt;=718,718,"")</f>
        <v/>
      </c>
      <c r="B719" s="8" t="str">
        <f t="shared" si="55"/>
        <v/>
      </c>
      <c r="C719" s="8" t="str">
        <f t="shared" si="56"/>
        <v/>
      </c>
      <c r="D719" s="8" t="str">
        <f t="shared" si="57"/>
        <v/>
      </c>
      <c r="F719" s="4" t="str">
        <f>IF(Jugadores!B719="","",Jugadores!B719)</f>
        <v/>
      </c>
      <c r="G719" s="4" t="str">
        <f>IF(Jugadores!B719="","",Jugadores!A719)</f>
        <v/>
      </c>
      <c r="H719" s="4" t="str">
        <f>IF(F719="","",SUMIF('Estadísticas Jugadores'!$F$2:$F$7001,F719,'Estadísticas Jugadores'!$J$2:$J$7001))</f>
        <v/>
      </c>
      <c r="I719" s="4" t="str">
        <f t="shared" si="58"/>
        <v/>
      </c>
      <c r="J719" s="4" t="str">
        <f t="shared" si="59"/>
        <v/>
      </c>
    </row>
    <row r="720" spans="1:10" ht="15" customHeight="1" x14ac:dyDescent="0.25">
      <c r="A720" s="8" t="str">
        <f>IF(COUNT($J$2:$J$1501)&gt;=719,719,"")</f>
        <v/>
      </c>
      <c r="B720" s="8" t="str">
        <f t="shared" si="55"/>
        <v/>
      </c>
      <c r="C720" s="8" t="str">
        <f t="shared" si="56"/>
        <v/>
      </c>
      <c r="D720" s="8" t="str">
        <f t="shared" si="57"/>
        <v/>
      </c>
      <c r="F720" s="4" t="str">
        <f>IF(Jugadores!B720="","",Jugadores!B720)</f>
        <v/>
      </c>
      <c r="G720" s="4" t="str">
        <f>IF(Jugadores!B720="","",Jugadores!A720)</f>
        <v/>
      </c>
      <c r="H720" s="4" t="str">
        <f>IF(F720="","",SUMIF('Estadísticas Jugadores'!$F$2:$F$7001,F720,'Estadísticas Jugadores'!$J$2:$J$7001))</f>
        <v/>
      </c>
      <c r="I720" s="4" t="str">
        <f t="shared" si="58"/>
        <v/>
      </c>
      <c r="J720" s="4" t="str">
        <f t="shared" si="59"/>
        <v/>
      </c>
    </row>
    <row r="721" spans="1:10" ht="15" customHeight="1" x14ac:dyDescent="0.25">
      <c r="A721" s="8" t="str">
        <f>IF(COUNT($J$2:$J$1501)&gt;=720,720,"")</f>
        <v/>
      </c>
      <c r="B721" s="8" t="str">
        <f t="shared" si="55"/>
        <v/>
      </c>
      <c r="C721" s="8" t="str">
        <f t="shared" si="56"/>
        <v/>
      </c>
      <c r="D721" s="8" t="str">
        <f t="shared" si="57"/>
        <v/>
      </c>
      <c r="F721" s="4" t="str">
        <f>IF(Jugadores!B721="","",Jugadores!B721)</f>
        <v/>
      </c>
      <c r="G721" s="4" t="str">
        <f>IF(Jugadores!B721="","",Jugadores!A721)</f>
        <v/>
      </c>
      <c r="H721" s="4" t="str">
        <f>IF(F721="","",SUMIF('Estadísticas Jugadores'!$F$2:$F$7001,F721,'Estadísticas Jugadores'!$J$2:$J$7001))</f>
        <v/>
      </c>
      <c r="I721" s="4" t="str">
        <f t="shared" si="58"/>
        <v/>
      </c>
      <c r="J721" s="4" t="str">
        <f t="shared" si="59"/>
        <v/>
      </c>
    </row>
    <row r="722" spans="1:10" ht="15" customHeight="1" x14ac:dyDescent="0.25">
      <c r="A722" s="8" t="str">
        <f>IF(COUNT($J$2:$J$1501)&gt;=721,721,"")</f>
        <v/>
      </c>
      <c r="B722" s="8" t="str">
        <f t="shared" si="55"/>
        <v/>
      </c>
      <c r="C722" s="8" t="str">
        <f t="shared" si="56"/>
        <v/>
      </c>
      <c r="D722" s="8" t="str">
        <f t="shared" si="57"/>
        <v/>
      </c>
      <c r="F722" s="4" t="str">
        <f>IF(Jugadores!B722="","",Jugadores!B722)</f>
        <v/>
      </c>
      <c r="G722" s="4" t="str">
        <f>IF(Jugadores!B722="","",Jugadores!A722)</f>
        <v/>
      </c>
      <c r="H722" s="4" t="str">
        <f>IF(F722="","",SUMIF('Estadísticas Jugadores'!$F$2:$F$7001,F722,'Estadísticas Jugadores'!$J$2:$J$7001))</f>
        <v/>
      </c>
      <c r="I722" s="4" t="str">
        <f t="shared" si="58"/>
        <v/>
      </c>
      <c r="J722" s="4" t="str">
        <f t="shared" si="59"/>
        <v/>
      </c>
    </row>
    <row r="723" spans="1:10" ht="15" customHeight="1" x14ac:dyDescent="0.25">
      <c r="A723" s="8" t="str">
        <f>IF(COUNT($J$2:$J$1501)&gt;=722,722,"")</f>
        <v/>
      </c>
      <c r="B723" s="8" t="str">
        <f t="shared" si="55"/>
        <v/>
      </c>
      <c r="C723" s="8" t="str">
        <f t="shared" si="56"/>
        <v/>
      </c>
      <c r="D723" s="8" t="str">
        <f t="shared" si="57"/>
        <v/>
      </c>
      <c r="F723" s="4" t="str">
        <f>IF(Jugadores!B723="","",Jugadores!B723)</f>
        <v/>
      </c>
      <c r="G723" s="4" t="str">
        <f>IF(Jugadores!B723="","",Jugadores!A723)</f>
        <v/>
      </c>
      <c r="H723" s="4" t="str">
        <f>IF(F723="","",SUMIF('Estadísticas Jugadores'!$F$2:$F$7001,F723,'Estadísticas Jugadores'!$J$2:$J$7001))</f>
        <v/>
      </c>
      <c r="I723" s="4" t="str">
        <f t="shared" si="58"/>
        <v/>
      </c>
      <c r="J723" s="4" t="str">
        <f t="shared" si="59"/>
        <v/>
      </c>
    </row>
    <row r="724" spans="1:10" ht="15" customHeight="1" x14ac:dyDescent="0.25">
      <c r="A724" s="8" t="str">
        <f>IF(COUNT($J$2:$J$1501)&gt;=723,723,"")</f>
        <v/>
      </c>
      <c r="B724" s="8" t="str">
        <f t="shared" si="55"/>
        <v/>
      </c>
      <c r="C724" s="8" t="str">
        <f t="shared" si="56"/>
        <v/>
      </c>
      <c r="D724" s="8" t="str">
        <f t="shared" si="57"/>
        <v/>
      </c>
      <c r="F724" s="4" t="str">
        <f>IF(Jugadores!B724="","",Jugadores!B724)</f>
        <v/>
      </c>
      <c r="G724" s="4" t="str">
        <f>IF(Jugadores!B724="","",Jugadores!A724)</f>
        <v/>
      </c>
      <c r="H724" s="4" t="str">
        <f>IF(F724="","",SUMIF('Estadísticas Jugadores'!$F$2:$F$7001,F724,'Estadísticas Jugadores'!$J$2:$J$7001))</f>
        <v/>
      </c>
      <c r="I724" s="4" t="str">
        <f t="shared" si="58"/>
        <v/>
      </c>
      <c r="J724" s="4" t="str">
        <f t="shared" si="59"/>
        <v/>
      </c>
    </row>
    <row r="725" spans="1:10" ht="15" customHeight="1" x14ac:dyDescent="0.25">
      <c r="A725" s="8" t="str">
        <f>IF(COUNT($J$2:$J$1501)&gt;=724,724,"")</f>
        <v/>
      </c>
      <c r="B725" s="8" t="str">
        <f t="shared" si="55"/>
        <v/>
      </c>
      <c r="C725" s="8" t="str">
        <f t="shared" si="56"/>
        <v/>
      </c>
      <c r="D725" s="8" t="str">
        <f t="shared" si="57"/>
        <v/>
      </c>
      <c r="F725" s="4" t="str">
        <f>IF(Jugadores!B725="","",Jugadores!B725)</f>
        <v/>
      </c>
      <c r="G725" s="4" t="str">
        <f>IF(Jugadores!B725="","",Jugadores!A725)</f>
        <v/>
      </c>
      <c r="H725" s="4" t="str">
        <f>IF(F725="","",SUMIF('Estadísticas Jugadores'!$F$2:$F$7001,F725,'Estadísticas Jugadores'!$J$2:$J$7001))</f>
        <v/>
      </c>
      <c r="I725" s="4" t="str">
        <f t="shared" si="58"/>
        <v/>
      </c>
      <c r="J725" s="4" t="str">
        <f t="shared" si="59"/>
        <v/>
      </c>
    </row>
    <row r="726" spans="1:10" ht="15" customHeight="1" x14ac:dyDescent="0.25">
      <c r="A726" s="8" t="str">
        <f>IF(COUNT($J$2:$J$1501)&gt;=725,725,"")</f>
        <v/>
      </c>
      <c r="B726" s="8" t="str">
        <f t="shared" si="55"/>
        <v/>
      </c>
      <c r="C726" s="8" t="str">
        <f t="shared" si="56"/>
        <v/>
      </c>
      <c r="D726" s="8" t="str">
        <f t="shared" si="57"/>
        <v/>
      </c>
      <c r="F726" s="4" t="str">
        <f>IF(Jugadores!B726="","",Jugadores!B726)</f>
        <v/>
      </c>
      <c r="G726" s="4" t="str">
        <f>IF(Jugadores!B726="","",Jugadores!A726)</f>
        <v/>
      </c>
      <c r="H726" s="4" t="str">
        <f>IF(F726="","",SUMIF('Estadísticas Jugadores'!$F$2:$F$7001,F726,'Estadísticas Jugadores'!$J$2:$J$7001))</f>
        <v/>
      </c>
      <c r="I726" s="4" t="str">
        <f t="shared" si="58"/>
        <v/>
      </c>
      <c r="J726" s="4" t="str">
        <f t="shared" si="59"/>
        <v/>
      </c>
    </row>
    <row r="727" spans="1:10" ht="15" customHeight="1" x14ac:dyDescent="0.25">
      <c r="A727" s="8" t="str">
        <f>IF(COUNT($J$2:$J$1501)&gt;=726,726,"")</f>
        <v/>
      </c>
      <c r="B727" s="8" t="str">
        <f t="shared" si="55"/>
        <v/>
      </c>
      <c r="C727" s="8" t="str">
        <f t="shared" si="56"/>
        <v/>
      </c>
      <c r="D727" s="8" t="str">
        <f t="shared" si="57"/>
        <v/>
      </c>
      <c r="F727" s="4" t="str">
        <f>IF(Jugadores!B727="","",Jugadores!B727)</f>
        <v/>
      </c>
      <c r="G727" s="4" t="str">
        <f>IF(Jugadores!B727="","",Jugadores!A727)</f>
        <v/>
      </c>
      <c r="H727" s="4" t="str">
        <f>IF(F727="","",SUMIF('Estadísticas Jugadores'!$F$2:$F$7001,F727,'Estadísticas Jugadores'!$J$2:$J$7001))</f>
        <v/>
      </c>
      <c r="I727" s="4" t="str">
        <f t="shared" si="58"/>
        <v/>
      </c>
      <c r="J727" s="4" t="str">
        <f t="shared" si="59"/>
        <v/>
      </c>
    </row>
    <row r="728" spans="1:10" ht="15" customHeight="1" x14ac:dyDescent="0.25">
      <c r="A728" s="8" t="str">
        <f>IF(COUNT($J$2:$J$1501)&gt;=727,727,"")</f>
        <v/>
      </c>
      <c r="B728" s="8" t="str">
        <f t="shared" si="55"/>
        <v/>
      </c>
      <c r="C728" s="8" t="str">
        <f t="shared" si="56"/>
        <v/>
      </c>
      <c r="D728" s="8" t="str">
        <f t="shared" si="57"/>
        <v/>
      </c>
      <c r="F728" s="4" t="str">
        <f>IF(Jugadores!B728="","",Jugadores!B728)</f>
        <v/>
      </c>
      <c r="G728" s="4" t="str">
        <f>IF(Jugadores!B728="","",Jugadores!A728)</f>
        <v/>
      </c>
      <c r="H728" s="4" t="str">
        <f>IF(F728="","",SUMIF('Estadísticas Jugadores'!$F$2:$F$7001,F728,'Estadísticas Jugadores'!$J$2:$J$7001))</f>
        <v/>
      </c>
      <c r="I728" s="4" t="str">
        <f t="shared" si="58"/>
        <v/>
      </c>
      <c r="J728" s="4" t="str">
        <f t="shared" si="59"/>
        <v/>
      </c>
    </row>
    <row r="729" spans="1:10" ht="15" customHeight="1" x14ac:dyDescent="0.25">
      <c r="A729" s="8" t="str">
        <f>IF(COUNT($J$2:$J$1501)&gt;=728,728,"")</f>
        <v/>
      </c>
      <c r="B729" s="8" t="str">
        <f t="shared" si="55"/>
        <v/>
      </c>
      <c r="C729" s="8" t="str">
        <f t="shared" si="56"/>
        <v/>
      </c>
      <c r="D729" s="8" t="str">
        <f t="shared" si="57"/>
        <v/>
      </c>
      <c r="F729" s="4" t="str">
        <f>IF(Jugadores!B729="","",Jugadores!B729)</f>
        <v/>
      </c>
      <c r="G729" s="4" t="str">
        <f>IF(Jugadores!B729="","",Jugadores!A729)</f>
        <v/>
      </c>
      <c r="H729" s="4" t="str">
        <f>IF(F729="","",SUMIF('Estadísticas Jugadores'!$F$2:$F$7001,F729,'Estadísticas Jugadores'!$J$2:$J$7001))</f>
        <v/>
      </c>
      <c r="I729" s="4" t="str">
        <f t="shared" si="58"/>
        <v/>
      </c>
      <c r="J729" s="4" t="str">
        <f t="shared" si="59"/>
        <v/>
      </c>
    </row>
    <row r="730" spans="1:10" ht="15" customHeight="1" x14ac:dyDescent="0.25">
      <c r="A730" s="8" t="str">
        <f>IF(COUNT($J$2:$J$1501)&gt;=729,729,"")</f>
        <v/>
      </c>
      <c r="B730" s="8" t="str">
        <f t="shared" si="55"/>
        <v/>
      </c>
      <c r="C730" s="8" t="str">
        <f t="shared" si="56"/>
        <v/>
      </c>
      <c r="D730" s="8" t="str">
        <f t="shared" si="57"/>
        <v/>
      </c>
      <c r="F730" s="4" t="str">
        <f>IF(Jugadores!B730="","",Jugadores!B730)</f>
        <v/>
      </c>
      <c r="G730" s="4" t="str">
        <f>IF(Jugadores!B730="","",Jugadores!A730)</f>
        <v/>
      </c>
      <c r="H730" s="4" t="str">
        <f>IF(F730="","",SUMIF('Estadísticas Jugadores'!$F$2:$F$7001,F730,'Estadísticas Jugadores'!$J$2:$J$7001))</f>
        <v/>
      </c>
      <c r="I730" s="4" t="str">
        <f t="shared" si="58"/>
        <v/>
      </c>
      <c r="J730" s="4" t="str">
        <f t="shared" si="59"/>
        <v/>
      </c>
    </row>
    <row r="731" spans="1:10" ht="15" customHeight="1" x14ac:dyDescent="0.25">
      <c r="A731" s="8" t="str">
        <f>IF(COUNT($J$2:$J$1501)&gt;=730,730,"")</f>
        <v/>
      </c>
      <c r="B731" s="8" t="str">
        <f t="shared" si="55"/>
        <v/>
      </c>
      <c r="C731" s="8" t="str">
        <f t="shared" si="56"/>
        <v/>
      </c>
      <c r="D731" s="8" t="str">
        <f t="shared" si="57"/>
        <v/>
      </c>
      <c r="F731" s="4" t="str">
        <f>IF(Jugadores!B731="","",Jugadores!B731)</f>
        <v/>
      </c>
      <c r="G731" s="4" t="str">
        <f>IF(Jugadores!B731="","",Jugadores!A731)</f>
        <v/>
      </c>
      <c r="H731" s="4" t="str">
        <f>IF(F731="","",SUMIF('Estadísticas Jugadores'!$F$2:$F$7001,F731,'Estadísticas Jugadores'!$J$2:$J$7001))</f>
        <v/>
      </c>
      <c r="I731" s="4" t="str">
        <f t="shared" si="58"/>
        <v/>
      </c>
      <c r="J731" s="4" t="str">
        <f t="shared" si="59"/>
        <v/>
      </c>
    </row>
    <row r="732" spans="1:10" ht="15" customHeight="1" x14ac:dyDescent="0.25">
      <c r="A732" s="8" t="str">
        <f>IF(COUNT($J$2:$J$1501)&gt;=731,731,"")</f>
        <v/>
      </c>
      <c r="B732" s="8" t="str">
        <f t="shared" si="55"/>
        <v/>
      </c>
      <c r="C732" s="8" t="str">
        <f t="shared" si="56"/>
        <v/>
      </c>
      <c r="D732" s="8" t="str">
        <f t="shared" si="57"/>
        <v/>
      </c>
      <c r="F732" s="4" t="str">
        <f>IF(Jugadores!B732="","",Jugadores!B732)</f>
        <v/>
      </c>
      <c r="G732" s="4" t="str">
        <f>IF(Jugadores!B732="","",Jugadores!A732)</f>
        <v/>
      </c>
      <c r="H732" s="4" t="str">
        <f>IF(F732="","",SUMIF('Estadísticas Jugadores'!$F$2:$F$7001,F732,'Estadísticas Jugadores'!$J$2:$J$7001))</f>
        <v/>
      </c>
      <c r="I732" s="4" t="str">
        <f t="shared" si="58"/>
        <v/>
      </c>
      <c r="J732" s="4" t="str">
        <f t="shared" si="59"/>
        <v/>
      </c>
    </row>
    <row r="733" spans="1:10" ht="15" customHeight="1" x14ac:dyDescent="0.25">
      <c r="A733" s="8" t="str">
        <f>IF(COUNT($J$2:$J$1501)&gt;=732,732,"")</f>
        <v/>
      </c>
      <c r="B733" s="8" t="str">
        <f t="shared" si="55"/>
        <v/>
      </c>
      <c r="C733" s="8" t="str">
        <f t="shared" si="56"/>
        <v/>
      </c>
      <c r="D733" s="8" t="str">
        <f t="shared" si="57"/>
        <v/>
      </c>
      <c r="F733" s="4" t="str">
        <f>IF(Jugadores!B733="","",Jugadores!B733)</f>
        <v/>
      </c>
      <c r="G733" s="4" t="str">
        <f>IF(Jugadores!B733="","",Jugadores!A733)</f>
        <v/>
      </c>
      <c r="H733" s="4" t="str">
        <f>IF(F733="","",SUMIF('Estadísticas Jugadores'!$F$2:$F$7001,F733,'Estadísticas Jugadores'!$J$2:$J$7001))</f>
        <v/>
      </c>
      <c r="I733" s="4" t="str">
        <f t="shared" si="58"/>
        <v/>
      </c>
      <c r="J733" s="4" t="str">
        <f t="shared" si="59"/>
        <v/>
      </c>
    </row>
    <row r="734" spans="1:10" ht="15" customHeight="1" x14ac:dyDescent="0.25">
      <c r="A734" s="8" t="str">
        <f>IF(COUNT($J$2:$J$1501)&gt;=733,733,"")</f>
        <v/>
      </c>
      <c r="B734" s="8" t="str">
        <f t="shared" si="55"/>
        <v/>
      </c>
      <c r="C734" s="8" t="str">
        <f t="shared" si="56"/>
        <v/>
      </c>
      <c r="D734" s="8" t="str">
        <f t="shared" si="57"/>
        <v/>
      </c>
      <c r="F734" s="4" t="str">
        <f>IF(Jugadores!B734="","",Jugadores!B734)</f>
        <v/>
      </c>
      <c r="G734" s="4" t="str">
        <f>IF(Jugadores!B734="","",Jugadores!A734)</f>
        <v/>
      </c>
      <c r="H734" s="4" t="str">
        <f>IF(F734="","",SUMIF('Estadísticas Jugadores'!$F$2:$F$7001,F734,'Estadísticas Jugadores'!$J$2:$J$7001))</f>
        <v/>
      </c>
      <c r="I734" s="4" t="str">
        <f t="shared" si="58"/>
        <v/>
      </c>
      <c r="J734" s="4" t="str">
        <f t="shared" si="59"/>
        <v/>
      </c>
    </row>
    <row r="735" spans="1:10" ht="15" customHeight="1" x14ac:dyDescent="0.25">
      <c r="A735" s="8" t="str">
        <f>IF(COUNT($J$2:$J$1501)&gt;=734,734,"")</f>
        <v/>
      </c>
      <c r="B735" s="8" t="str">
        <f t="shared" si="55"/>
        <v/>
      </c>
      <c r="C735" s="8" t="str">
        <f t="shared" si="56"/>
        <v/>
      </c>
      <c r="D735" s="8" t="str">
        <f t="shared" si="57"/>
        <v/>
      </c>
      <c r="F735" s="4" t="str">
        <f>IF(Jugadores!B735="","",Jugadores!B735)</f>
        <v/>
      </c>
      <c r="G735" s="4" t="str">
        <f>IF(Jugadores!B735="","",Jugadores!A735)</f>
        <v/>
      </c>
      <c r="H735" s="4" t="str">
        <f>IF(F735="","",SUMIF('Estadísticas Jugadores'!$F$2:$F$7001,F735,'Estadísticas Jugadores'!$J$2:$J$7001))</f>
        <v/>
      </c>
      <c r="I735" s="4" t="str">
        <f t="shared" si="58"/>
        <v/>
      </c>
      <c r="J735" s="4" t="str">
        <f t="shared" si="59"/>
        <v/>
      </c>
    </row>
    <row r="736" spans="1:10" ht="15" customHeight="1" x14ac:dyDescent="0.25">
      <c r="A736" s="8" t="str">
        <f>IF(COUNT($J$2:$J$1501)&gt;=735,735,"")</f>
        <v/>
      </c>
      <c r="B736" s="8" t="str">
        <f t="shared" si="55"/>
        <v/>
      </c>
      <c r="C736" s="8" t="str">
        <f t="shared" si="56"/>
        <v/>
      </c>
      <c r="D736" s="8" t="str">
        <f t="shared" si="57"/>
        <v/>
      </c>
      <c r="F736" s="4" t="str">
        <f>IF(Jugadores!B736="","",Jugadores!B736)</f>
        <v/>
      </c>
      <c r="G736" s="4" t="str">
        <f>IF(Jugadores!B736="","",Jugadores!A736)</f>
        <v/>
      </c>
      <c r="H736" s="4" t="str">
        <f>IF(F736="","",SUMIF('Estadísticas Jugadores'!$F$2:$F$7001,F736,'Estadísticas Jugadores'!$J$2:$J$7001))</f>
        <v/>
      </c>
      <c r="I736" s="4" t="str">
        <f t="shared" si="58"/>
        <v/>
      </c>
      <c r="J736" s="4" t="str">
        <f t="shared" si="59"/>
        <v/>
      </c>
    </row>
    <row r="737" spans="1:10" ht="15" customHeight="1" x14ac:dyDescent="0.25">
      <c r="A737" s="8" t="str">
        <f>IF(COUNT($J$2:$J$1501)&gt;=736,736,"")</f>
        <v/>
      </c>
      <c r="B737" s="8" t="str">
        <f t="shared" si="55"/>
        <v/>
      </c>
      <c r="C737" s="8" t="str">
        <f t="shared" si="56"/>
        <v/>
      </c>
      <c r="D737" s="8" t="str">
        <f t="shared" si="57"/>
        <v/>
      </c>
      <c r="F737" s="4" t="str">
        <f>IF(Jugadores!B737="","",Jugadores!B737)</f>
        <v/>
      </c>
      <c r="G737" s="4" t="str">
        <f>IF(Jugadores!B737="","",Jugadores!A737)</f>
        <v/>
      </c>
      <c r="H737" s="4" t="str">
        <f>IF(F737="","",SUMIF('Estadísticas Jugadores'!$F$2:$F$7001,F737,'Estadísticas Jugadores'!$J$2:$J$7001))</f>
        <v/>
      </c>
      <c r="I737" s="4" t="str">
        <f t="shared" si="58"/>
        <v/>
      </c>
      <c r="J737" s="4" t="str">
        <f t="shared" si="59"/>
        <v/>
      </c>
    </row>
    <row r="738" spans="1:10" ht="15" customHeight="1" x14ac:dyDescent="0.25">
      <c r="A738" s="8" t="str">
        <f>IF(COUNT($J$2:$J$1501)&gt;=737,737,"")</f>
        <v/>
      </c>
      <c r="B738" s="8" t="str">
        <f t="shared" si="55"/>
        <v/>
      </c>
      <c r="C738" s="8" t="str">
        <f t="shared" si="56"/>
        <v/>
      </c>
      <c r="D738" s="8" t="str">
        <f t="shared" si="57"/>
        <v/>
      </c>
      <c r="F738" s="4" t="str">
        <f>IF(Jugadores!B738="","",Jugadores!B738)</f>
        <v/>
      </c>
      <c r="G738" s="4" t="str">
        <f>IF(Jugadores!B738="","",Jugadores!A738)</f>
        <v/>
      </c>
      <c r="H738" s="4" t="str">
        <f>IF(F738="","",SUMIF('Estadísticas Jugadores'!$F$2:$F$7001,F738,'Estadísticas Jugadores'!$J$2:$J$7001))</f>
        <v/>
      </c>
      <c r="I738" s="4" t="str">
        <f t="shared" si="58"/>
        <v/>
      </c>
      <c r="J738" s="4" t="str">
        <f t="shared" si="59"/>
        <v/>
      </c>
    </row>
    <row r="739" spans="1:10" ht="15" customHeight="1" x14ac:dyDescent="0.25">
      <c r="A739" s="8" t="str">
        <f>IF(COUNT($J$2:$J$1501)&gt;=738,738,"")</f>
        <v/>
      </c>
      <c r="B739" s="8" t="str">
        <f t="shared" si="55"/>
        <v/>
      </c>
      <c r="C739" s="8" t="str">
        <f t="shared" si="56"/>
        <v/>
      </c>
      <c r="D739" s="8" t="str">
        <f t="shared" si="57"/>
        <v/>
      </c>
      <c r="F739" s="4" t="str">
        <f>IF(Jugadores!B739="","",Jugadores!B739)</f>
        <v/>
      </c>
      <c r="G739" s="4" t="str">
        <f>IF(Jugadores!B739="","",Jugadores!A739)</f>
        <v/>
      </c>
      <c r="H739" s="4" t="str">
        <f>IF(F739="","",SUMIF('Estadísticas Jugadores'!$F$2:$F$7001,F739,'Estadísticas Jugadores'!$J$2:$J$7001))</f>
        <v/>
      </c>
      <c r="I739" s="4" t="str">
        <f t="shared" si="58"/>
        <v/>
      </c>
      <c r="J739" s="4" t="str">
        <f t="shared" si="59"/>
        <v/>
      </c>
    </row>
    <row r="740" spans="1:10" ht="15" customHeight="1" x14ac:dyDescent="0.25">
      <c r="A740" s="8" t="str">
        <f>IF(COUNT($J$2:$J$1501)&gt;=739,739,"")</f>
        <v/>
      </c>
      <c r="B740" s="8" t="str">
        <f t="shared" si="55"/>
        <v/>
      </c>
      <c r="C740" s="8" t="str">
        <f t="shared" si="56"/>
        <v/>
      </c>
      <c r="D740" s="8" t="str">
        <f t="shared" si="57"/>
        <v/>
      </c>
      <c r="F740" s="4" t="str">
        <f>IF(Jugadores!B740="","",Jugadores!B740)</f>
        <v/>
      </c>
      <c r="G740" s="4" t="str">
        <f>IF(Jugadores!B740="","",Jugadores!A740)</f>
        <v/>
      </c>
      <c r="H740" s="4" t="str">
        <f>IF(F740="","",SUMIF('Estadísticas Jugadores'!$F$2:$F$7001,F740,'Estadísticas Jugadores'!$J$2:$J$7001))</f>
        <v/>
      </c>
      <c r="I740" s="4" t="str">
        <f t="shared" si="58"/>
        <v/>
      </c>
      <c r="J740" s="4" t="str">
        <f t="shared" si="59"/>
        <v/>
      </c>
    </row>
    <row r="741" spans="1:10" ht="15" customHeight="1" x14ac:dyDescent="0.25">
      <c r="A741" s="8" t="str">
        <f>IF(COUNT($J$2:$J$1501)&gt;=740,740,"")</f>
        <v/>
      </c>
      <c r="B741" s="8" t="str">
        <f t="shared" si="55"/>
        <v/>
      </c>
      <c r="C741" s="8" t="str">
        <f t="shared" si="56"/>
        <v/>
      </c>
      <c r="D741" s="8" t="str">
        <f t="shared" si="57"/>
        <v/>
      </c>
      <c r="F741" s="4" t="str">
        <f>IF(Jugadores!B741="","",Jugadores!B741)</f>
        <v/>
      </c>
      <c r="G741" s="4" t="str">
        <f>IF(Jugadores!B741="","",Jugadores!A741)</f>
        <v/>
      </c>
      <c r="H741" s="4" t="str">
        <f>IF(F741="","",SUMIF('Estadísticas Jugadores'!$F$2:$F$7001,F741,'Estadísticas Jugadores'!$J$2:$J$7001))</f>
        <v/>
      </c>
      <c r="I741" s="4" t="str">
        <f t="shared" si="58"/>
        <v/>
      </c>
      <c r="J741" s="4" t="str">
        <f t="shared" si="59"/>
        <v/>
      </c>
    </row>
    <row r="742" spans="1:10" ht="15" customHeight="1" x14ac:dyDescent="0.25">
      <c r="A742" s="8" t="str">
        <f>IF(COUNT($J$2:$J$1501)&gt;=741,741,"")</f>
        <v/>
      </c>
      <c r="B742" s="8" t="str">
        <f t="shared" si="55"/>
        <v/>
      </c>
      <c r="C742" s="8" t="str">
        <f t="shared" si="56"/>
        <v/>
      </c>
      <c r="D742" s="8" t="str">
        <f t="shared" si="57"/>
        <v/>
      </c>
      <c r="F742" s="4" t="str">
        <f>IF(Jugadores!B742="","",Jugadores!B742)</f>
        <v/>
      </c>
      <c r="G742" s="4" t="str">
        <f>IF(Jugadores!B742="","",Jugadores!A742)</f>
        <v/>
      </c>
      <c r="H742" s="4" t="str">
        <f>IF(F742="","",SUMIF('Estadísticas Jugadores'!$F$2:$F$7001,F742,'Estadísticas Jugadores'!$J$2:$J$7001))</f>
        <v/>
      </c>
      <c r="I742" s="4" t="str">
        <f t="shared" si="58"/>
        <v/>
      </c>
      <c r="J742" s="4" t="str">
        <f t="shared" si="59"/>
        <v/>
      </c>
    </row>
    <row r="743" spans="1:10" ht="15" customHeight="1" x14ac:dyDescent="0.25">
      <c r="A743" s="8" t="str">
        <f>IF(COUNT($J$2:$J$1501)&gt;=742,742,"")</f>
        <v/>
      </c>
      <c r="B743" s="8" t="str">
        <f t="shared" si="55"/>
        <v/>
      </c>
      <c r="C743" s="8" t="str">
        <f t="shared" si="56"/>
        <v/>
      </c>
      <c r="D743" s="8" t="str">
        <f t="shared" si="57"/>
        <v/>
      </c>
      <c r="F743" s="4" t="str">
        <f>IF(Jugadores!B743="","",Jugadores!B743)</f>
        <v/>
      </c>
      <c r="G743" s="4" t="str">
        <f>IF(Jugadores!B743="","",Jugadores!A743)</f>
        <v/>
      </c>
      <c r="H743" s="4" t="str">
        <f>IF(F743="","",SUMIF('Estadísticas Jugadores'!$F$2:$F$7001,F743,'Estadísticas Jugadores'!$J$2:$J$7001))</f>
        <v/>
      </c>
      <c r="I743" s="4" t="str">
        <f t="shared" si="58"/>
        <v/>
      </c>
      <c r="J743" s="4" t="str">
        <f t="shared" si="59"/>
        <v/>
      </c>
    </row>
    <row r="744" spans="1:10" ht="15" customHeight="1" x14ac:dyDescent="0.25">
      <c r="A744" s="8" t="str">
        <f>IF(COUNT($J$2:$J$1501)&gt;=743,743,"")</f>
        <v/>
      </c>
      <c r="B744" s="8" t="str">
        <f t="shared" si="55"/>
        <v/>
      </c>
      <c r="C744" s="8" t="str">
        <f t="shared" si="56"/>
        <v/>
      </c>
      <c r="D744" s="8" t="str">
        <f t="shared" si="57"/>
        <v/>
      </c>
      <c r="F744" s="4" t="str">
        <f>IF(Jugadores!B744="","",Jugadores!B744)</f>
        <v/>
      </c>
      <c r="G744" s="4" t="str">
        <f>IF(Jugadores!B744="","",Jugadores!A744)</f>
        <v/>
      </c>
      <c r="H744" s="4" t="str">
        <f>IF(F744="","",SUMIF('Estadísticas Jugadores'!$F$2:$F$7001,F744,'Estadísticas Jugadores'!$J$2:$J$7001))</f>
        <v/>
      </c>
      <c r="I744" s="4" t="str">
        <f t="shared" si="58"/>
        <v/>
      </c>
      <c r="J744" s="4" t="str">
        <f t="shared" si="59"/>
        <v/>
      </c>
    </row>
    <row r="745" spans="1:10" ht="15" customHeight="1" x14ac:dyDescent="0.25">
      <c r="A745" s="8" t="str">
        <f>IF(COUNT($J$2:$J$1501)&gt;=744,744,"")</f>
        <v/>
      </c>
      <c r="B745" s="8" t="str">
        <f t="shared" si="55"/>
        <v/>
      </c>
      <c r="C745" s="8" t="str">
        <f t="shared" si="56"/>
        <v/>
      </c>
      <c r="D745" s="8" t="str">
        <f t="shared" si="57"/>
        <v/>
      </c>
      <c r="F745" s="4" t="str">
        <f>IF(Jugadores!B745="","",Jugadores!B745)</f>
        <v/>
      </c>
      <c r="G745" s="4" t="str">
        <f>IF(Jugadores!B745="","",Jugadores!A745)</f>
        <v/>
      </c>
      <c r="H745" s="4" t="str">
        <f>IF(F745="","",SUMIF('Estadísticas Jugadores'!$F$2:$F$7001,F745,'Estadísticas Jugadores'!$J$2:$J$7001))</f>
        <v/>
      </c>
      <c r="I745" s="4" t="str">
        <f t="shared" si="58"/>
        <v/>
      </c>
      <c r="J745" s="4" t="str">
        <f t="shared" si="59"/>
        <v/>
      </c>
    </row>
    <row r="746" spans="1:10" ht="15" customHeight="1" x14ac:dyDescent="0.25">
      <c r="A746" s="8" t="str">
        <f>IF(COUNT($J$2:$J$1501)&gt;=745,745,"")</f>
        <v/>
      </c>
      <c r="B746" s="8" t="str">
        <f t="shared" si="55"/>
        <v/>
      </c>
      <c r="C746" s="8" t="str">
        <f t="shared" si="56"/>
        <v/>
      </c>
      <c r="D746" s="8" t="str">
        <f t="shared" si="57"/>
        <v/>
      </c>
      <c r="F746" s="4" t="str">
        <f>IF(Jugadores!B746="","",Jugadores!B746)</f>
        <v/>
      </c>
      <c r="G746" s="4" t="str">
        <f>IF(Jugadores!B746="","",Jugadores!A746)</f>
        <v/>
      </c>
      <c r="H746" s="4" t="str">
        <f>IF(F746="","",SUMIF('Estadísticas Jugadores'!$F$2:$F$7001,F746,'Estadísticas Jugadores'!$J$2:$J$7001))</f>
        <v/>
      </c>
      <c r="I746" s="4" t="str">
        <f t="shared" si="58"/>
        <v/>
      </c>
      <c r="J746" s="4" t="str">
        <f t="shared" si="59"/>
        <v/>
      </c>
    </row>
    <row r="747" spans="1:10" ht="15" customHeight="1" x14ac:dyDescent="0.25">
      <c r="A747" s="8" t="str">
        <f>IF(COUNT($J$2:$J$1501)&gt;=746,746,"")</f>
        <v/>
      </c>
      <c r="B747" s="8" t="str">
        <f t="shared" si="55"/>
        <v/>
      </c>
      <c r="C747" s="8" t="str">
        <f t="shared" si="56"/>
        <v/>
      </c>
      <c r="D747" s="8" t="str">
        <f t="shared" si="57"/>
        <v/>
      </c>
      <c r="F747" s="4" t="str">
        <f>IF(Jugadores!B747="","",Jugadores!B747)</f>
        <v/>
      </c>
      <c r="G747" s="4" t="str">
        <f>IF(Jugadores!B747="","",Jugadores!A747)</f>
        <v/>
      </c>
      <c r="H747" s="4" t="str">
        <f>IF(F747="","",SUMIF('Estadísticas Jugadores'!$F$2:$F$7001,F747,'Estadísticas Jugadores'!$J$2:$J$7001))</f>
        <v/>
      </c>
      <c r="I747" s="4" t="str">
        <f t="shared" si="58"/>
        <v/>
      </c>
      <c r="J747" s="4" t="str">
        <f t="shared" si="59"/>
        <v/>
      </c>
    </row>
    <row r="748" spans="1:10" ht="15" customHeight="1" x14ac:dyDescent="0.25">
      <c r="A748" s="8" t="str">
        <f>IF(COUNT($J$2:$J$1501)&gt;=747,747,"")</f>
        <v/>
      </c>
      <c r="B748" s="8" t="str">
        <f t="shared" si="55"/>
        <v/>
      </c>
      <c r="C748" s="8" t="str">
        <f t="shared" si="56"/>
        <v/>
      </c>
      <c r="D748" s="8" t="str">
        <f t="shared" si="57"/>
        <v/>
      </c>
      <c r="F748" s="4" t="str">
        <f>IF(Jugadores!B748="","",Jugadores!B748)</f>
        <v/>
      </c>
      <c r="G748" s="4" t="str">
        <f>IF(Jugadores!B748="","",Jugadores!A748)</f>
        <v/>
      </c>
      <c r="H748" s="4" t="str">
        <f>IF(F748="","",SUMIF('Estadísticas Jugadores'!$F$2:$F$7001,F748,'Estadísticas Jugadores'!$J$2:$J$7001))</f>
        <v/>
      </c>
      <c r="I748" s="4" t="str">
        <f t="shared" si="58"/>
        <v/>
      </c>
      <c r="J748" s="4" t="str">
        <f t="shared" si="59"/>
        <v/>
      </c>
    </row>
    <row r="749" spans="1:10" ht="15" customHeight="1" x14ac:dyDescent="0.25">
      <c r="A749" s="8" t="str">
        <f>IF(COUNT($J$2:$J$1501)&gt;=748,748,"")</f>
        <v/>
      </c>
      <c r="B749" s="8" t="str">
        <f t="shared" si="55"/>
        <v/>
      </c>
      <c r="C749" s="8" t="str">
        <f t="shared" si="56"/>
        <v/>
      </c>
      <c r="D749" s="8" t="str">
        <f t="shared" si="57"/>
        <v/>
      </c>
      <c r="F749" s="4" t="str">
        <f>IF(Jugadores!B749="","",Jugadores!B749)</f>
        <v/>
      </c>
      <c r="G749" s="4" t="str">
        <f>IF(Jugadores!B749="","",Jugadores!A749)</f>
        <v/>
      </c>
      <c r="H749" s="4" t="str">
        <f>IF(F749="","",SUMIF('Estadísticas Jugadores'!$F$2:$F$7001,F749,'Estadísticas Jugadores'!$J$2:$J$7001))</f>
        <v/>
      </c>
      <c r="I749" s="4" t="str">
        <f t="shared" si="58"/>
        <v/>
      </c>
      <c r="J749" s="4" t="str">
        <f t="shared" si="59"/>
        <v/>
      </c>
    </row>
    <row r="750" spans="1:10" ht="15" customHeight="1" x14ac:dyDescent="0.25">
      <c r="A750" s="8" t="str">
        <f>IF(COUNT($J$2:$J$1501)&gt;=749,749,"")</f>
        <v/>
      </c>
      <c r="B750" s="8" t="str">
        <f t="shared" si="55"/>
        <v/>
      </c>
      <c r="C750" s="8" t="str">
        <f t="shared" si="56"/>
        <v/>
      </c>
      <c r="D750" s="8" t="str">
        <f t="shared" si="57"/>
        <v/>
      </c>
      <c r="F750" s="4" t="str">
        <f>IF(Jugadores!B750="","",Jugadores!B750)</f>
        <v/>
      </c>
      <c r="G750" s="4" t="str">
        <f>IF(Jugadores!B750="","",Jugadores!A750)</f>
        <v/>
      </c>
      <c r="H750" s="4" t="str">
        <f>IF(F750="","",SUMIF('Estadísticas Jugadores'!$F$2:$F$7001,F750,'Estadísticas Jugadores'!$J$2:$J$7001))</f>
        <v/>
      </c>
      <c r="I750" s="4" t="str">
        <f t="shared" si="58"/>
        <v/>
      </c>
      <c r="J750" s="4" t="str">
        <f t="shared" si="59"/>
        <v/>
      </c>
    </row>
    <row r="751" spans="1:10" ht="15" customHeight="1" x14ac:dyDescent="0.25">
      <c r="A751" s="8" t="str">
        <f>IF(COUNT($J$2:$J$1501)&gt;=750,750,"")</f>
        <v/>
      </c>
      <c r="B751" s="8" t="str">
        <f t="shared" si="55"/>
        <v/>
      </c>
      <c r="C751" s="8" t="str">
        <f t="shared" si="56"/>
        <v/>
      </c>
      <c r="D751" s="8" t="str">
        <f t="shared" si="57"/>
        <v/>
      </c>
      <c r="F751" s="4" t="str">
        <f>IF(Jugadores!B751="","",Jugadores!B751)</f>
        <v/>
      </c>
      <c r="G751" s="4" t="str">
        <f>IF(Jugadores!B751="","",Jugadores!A751)</f>
        <v/>
      </c>
      <c r="H751" s="4" t="str">
        <f>IF(F751="","",SUMIF('Estadísticas Jugadores'!$F$2:$F$7001,F751,'Estadísticas Jugadores'!$J$2:$J$7001))</f>
        <v/>
      </c>
      <c r="I751" s="4" t="str">
        <f t="shared" si="58"/>
        <v/>
      </c>
      <c r="J751" s="4" t="str">
        <f t="shared" si="59"/>
        <v/>
      </c>
    </row>
    <row r="752" spans="1:10" ht="15" customHeight="1" x14ac:dyDescent="0.25">
      <c r="A752" s="8" t="str">
        <f>IF(COUNT($J$2:$J$1501)&gt;=751,751,"")</f>
        <v/>
      </c>
      <c r="B752" s="8" t="str">
        <f t="shared" si="55"/>
        <v/>
      </c>
      <c r="C752" s="8" t="str">
        <f t="shared" si="56"/>
        <v/>
      </c>
      <c r="D752" s="8" t="str">
        <f t="shared" si="57"/>
        <v/>
      </c>
      <c r="F752" s="4" t="str">
        <f>IF(Jugadores!B752="","",Jugadores!B752)</f>
        <v/>
      </c>
      <c r="G752" s="4" t="str">
        <f>IF(Jugadores!B752="","",Jugadores!A752)</f>
        <v/>
      </c>
      <c r="H752" s="4" t="str">
        <f>IF(F752="","",SUMIF('Estadísticas Jugadores'!$F$2:$F$7001,F752,'Estadísticas Jugadores'!$J$2:$J$7001))</f>
        <v/>
      </c>
      <c r="I752" s="4" t="str">
        <f t="shared" si="58"/>
        <v/>
      </c>
      <c r="J752" s="4" t="str">
        <f t="shared" si="59"/>
        <v/>
      </c>
    </row>
    <row r="753" spans="1:10" ht="15" customHeight="1" x14ac:dyDescent="0.25">
      <c r="A753" s="8" t="str">
        <f>IF(COUNT($J$2:$J$1501)&gt;=752,752,"")</f>
        <v/>
      </c>
      <c r="B753" s="8" t="str">
        <f t="shared" si="55"/>
        <v/>
      </c>
      <c r="C753" s="8" t="str">
        <f t="shared" si="56"/>
        <v/>
      </c>
      <c r="D753" s="8" t="str">
        <f t="shared" si="57"/>
        <v/>
      </c>
      <c r="F753" s="4" t="str">
        <f>IF(Jugadores!B753="","",Jugadores!B753)</f>
        <v/>
      </c>
      <c r="G753" s="4" t="str">
        <f>IF(Jugadores!B753="","",Jugadores!A753)</f>
        <v/>
      </c>
      <c r="H753" s="4" t="str">
        <f>IF(F753="","",SUMIF('Estadísticas Jugadores'!$F$2:$F$7001,F753,'Estadísticas Jugadores'!$J$2:$J$7001))</f>
        <v/>
      </c>
      <c r="I753" s="4" t="str">
        <f t="shared" si="58"/>
        <v/>
      </c>
      <c r="J753" s="4" t="str">
        <f t="shared" si="59"/>
        <v/>
      </c>
    </row>
    <row r="754" spans="1:10" ht="15" customHeight="1" x14ac:dyDescent="0.25">
      <c r="A754" s="8" t="str">
        <f>IF(COUNT($J$2:$J$1501)&gt;=753,753,"")</f>
        <v/>
      </c>
      <c r="B754" s="8" t="str">
        <f t="shared" si="55"/>
        <v/>
      </c>
      <c r="C754" s="8" t="str">
        <f t="shared" si="56"/>
        <v/>
      </c>
      <c r="D754" s="8" t="str">
        <f t="shared" si="57"/>
        <v/>
      </c>
      <c r="F754" s="4" t="str">
        <f>IF(Jugadores!B754="","",Jugadores!B754)</f>
        <v/>
      </c>
      <c r="G754" s="4" t="str">
        <f>IF(Jugadores!B754="","",Jugadores!A754)</f>
        <v/>
      </c>
      <c r="H754" s="4" t="str">
        <f>IF(F754="","",SUMIF('Estadísticas Jugadores'!$F$2:$F$7001,F754,'Estadísticas Jugadores'!$J$2:$J$7001))</f>
        <v/>
      </c>
      <c r="I754" s="4" t="str">
        <f t="shared" si="58"/>
        <v/>
      </c>
      <c r="J754" s="4" t="str">
        <f t="shared" si="59"/>
        <v/>
      </c>
    </row>
    <row r="755" spans="1:10" ht="15" customHeight="1" x14ac:dyDescent="0.25">
      <c r="A755" s="8" t="str">
        <f>IF(COUNT($J$2:$J$1501)&gt;=754,754,"")</f>
        <v/>
      </c>
      <c r="B755" s="8" t="str">
        <f t="shared" si="55"/>
        <v/>
      </c>
      <c r="C755" s="8" t="str">
        <f t="shared" si="56"/>
        <v/>
      </c>
      <c r="D755" s="8" t="str">
        <f t="shared" si="57"/>
        <v/>
      </c>
      <c r="F755" s="4" t="str">
        <f>IF(Jugadores!B755="","",Jugadores!B755)</f>
        <v/>
      </c>
      <c r="G755" s="4" t="str">
        <f>IF(Jugadores!B755="","",Jugadores!A755)</f>
        <v/>
      </c>
      <c r="H755" s="4" t="str">
        <f>IF(F755="","",SUMIF('Estadísticas Jugadores'!$F$2:$F$7001,F755,'Estadísticas Jugadores'!$J$2:$J$7001))</f>
        <v/>
      </c>
      <c r="I755" s="4" t="str">
        <f t="shared" si="58"/>
        <v/>
      </c>
      <c r="J755" s="4" t="str">
        <f t="shared" si="59"/>
        <v/>
      </c>
    </row>
    <row r="756" spans="1:10" ht="15" customHeight="1" x14ac:dyDescent="0.25">
      <c r="A756" s="8" t="str">
        <f>IF(COUNT($J$2:$J$1501)&gt;=755,755,"")</f>
        <v/>
      </c>
      <c r="B756" s="8" t="str">
        <f t="shared" si="55"/>
        <v/>
      </c>
      <c r="C756" s="8" t="str">
        <f t="shared" si="56"/>
        <v/>
      </c>
      <c r="D756" s="8" t="str">
        <f t="shared" si="57"/>
        <v/>
      </c>
      <c r="F756" s="4" t="str">
        <f>IF(Jugadores!B756="","",Jugadores!B756)</f>
        <v/>
      </c>
      <c r="G756" s="4" t="str">
        <f>IF(Jugadores!B756="","",Jugadores!A756)</f>
        <v/>
      </c>
      <c r="H756" s="4" t="str">
        <f>IF(F756="","",SUMIF('Estadísticas Jugadores'!$F$2:$F$7001,F756,'Estadísticas Jugadores'!$J$2:$J$7001))</f>
        <v/>
      </c>
      <c r="I756" s="4" t="str">
        <f t="shared" si="58"/>
        <v/>
      </c>
      <c r="J756" s="4" t="str">
        <f t="shared" si="59"/>
        <v/>
      </c>
    </row>
    <row r="757" spans="1:10" ht="15" customHeight="1" x14ac:dyDescent="0.25">
      <c r="A757" s="8" t="str">
        <f>IF(COUNT($J$2:$J$1501)&gt;=756,756,"")</f>
        <v/>
      </c>
      <c r="B757" s="8" t="str">
        <f t="shared" si="55"/>
        <v/>
      </c>
      <c r="C757" s="8" t="str">
        <f t="shared" si="56"/>
        <v/>
      </c>
      <c r="D757" s="8" t="str">
        <f t="shared" si="57"/>
        <v/>
      </c>
      <c r="F757" s="4" t="str">
        <f>IF(Jugadores!B757="","",Jugadores!B757)</f>
        <v/>
      </c>
      <c r="G757" s="4" t="str">
        <f>IF(Jugadores!B757="","",Jugadores!A757)</f>
        <v/>
      </c>
      <c r="H757" s="4" t="str">
        <f>IF(F757="","",SUMIF('Estadísticas Jugadores'!$F$2:$F$7001,F757,'Estadísticas Jugadores'!$J$2:$J$7001))</f>
        <v/>
      </c>
      <c r="I757" s="4" t="str">
        <f t="shared" si="58"/>
        <v/>
      </c>
      <c r="J757" s="4" t="str">
        <f t="shared" si="59"/>
        <v/>
      </c>
    </row>
    <row r="758" spans="1:10" ht="15" customHeight="1" x14ac:dyDescent="0.25">
      <c r="A758" s="8" t="str">
        <f>IF(COUNT($J$2:$J$1501)&gt;=757,757,"")</f>
        <v/>
      </c>
      <c r="B758" s="8" t="str">
        <f t="shared" si="55"/>
        <v/>
      </c>
      <c r="C758" s="8" t="str">
        <f t="shared" si="56"/>
        <v/>
      </c>
      <c r="D758" s="8" t="str">
        <f t="shared" si="57"/>
        <v/>
      </c>
      <c r="F758" s="4" t="str">
        <f>IF(Jugadores!B758="","",Jugadores!B758)</f>
        <v/>
      </c>
      <c r="G758" s="4" t="str">
        <f>IF(Jugadores!B758="","",Jugadores!A758)</f>
        <v/>
      </c>
      <c r="H758" s="4" t="str">
        <f>IF(F758="","",SUMIF('Estadísticas Jugadores'!$F$2:$F$7001,F758,'Estadísticas Jugadores'!$J$2:$J$7001))</f>
        <v/>
      </c>
      <c r="I758" s="4" t="str">
        <f t="shared" si="58"/>
        <v/>
      </c>
      <c r="J758" s="4" t="str">
        <f t="shared" si="59"/>
        <v/>
      </c>
    </row>
    <row r="759" spans="1:10" ht="15" customHeight="1" x14ac:dyDescent="0.25">
      <c r="A759" s="8" t="str">
        <f>IF(COUNT($J$2:$J$1501)&gt;=758,758,"")</f>
        <v/>
      </c>
      <c r="B759" s="8" t="str">
        <f t="shared" si="55"/>
        <v/>
      </c>
      <c r="C759" s="8" t="str">
        <f t="shared" si="56"/>
        <v/>
      </c>
      <c r="D759" s="8" t="str">
        <f t="shared" si="57"/>
        <v/>
      </c>
      <c r="F759" s="4" t="str">
        <f>IF(Jugadores!B759="","",Jugadores!B759)</f>
        <v/>
      </c>
      <c r="G759" s="4" t="str">
        <f>IF(Jugadores!B759="","",Jugadores!A759)</f>
        <v/>
      </c>
      <c r="H759" s="4" t="str">
        <f>IF(F759="","",SUMIF('Estadísticas Jugadores'!$F$2:$F$7001,F759,'Estadísticas Jugadores'!$J$2:$J$7001))</f>
        <v/>
      </c>
      <c r="I759" s="4" t="str">
        <f t="shared" si="58"/>
        <v/>
      </c>
      <c r="J759" s="4" t="str">
        <f t="shared" si="59"/>
        <v/>
      </c>
    </row>
    <row r="760" spans="1:10" ht="15" customHeight="1" x14ac:dyDescent="0.25">
      <c r="A760" s="8" t="str">
        <f>IF(COUNT($J$2:$J$1501)&gt;=759,759,"")</f>
        <v/>
      </c>
      <c r="B760" s="8" t="str">
        <f t="shared" si="55"/>
        <v/>
      </c>
      <c r="C760" s="8" t="str">
        <f t="shared" si="56"/>
        <v/>
      </c>
      <c r="D760" s="8" t="str">
        <f t="shared" si="57"/>
        <v/>
      </c>
      <c r="F760" s="4" t="str">
        <f>IF(Jugadores!B760="","",Jugadores!B760)</f>
        <v/>
      </c>
      <c r="G760" s="4" t="str">
        <f>IF(Jugadores!B760="","",Jugadores!A760)</f>
        <v/>
      </c>
      <c r="H760" s="4" t="str">
        <f>IF(F760="","",SUMIF('Estadísticas Jugadores'!$F$2:$F$7001,F760,'Estadísticas Jugadores'!$J$2:$J$7001))</f>
        <v/>
      </c>
      <c r="I760" s="4" t="str">
        <f t="shared" si="58"/>
        <v/>
      </c>
      <c r="J760" s="4" t="str">
        <f t="shared" si="59"/>
        <v/>
      </c>
    </row>
    <row r="761" spans="1:10" ht="15" customHeight="1" x14ac:dyDescent="0.25">
      <c r="A761" s="8" t="str">
        <f>IF(COUNT($J$2:$J$1501)&gt;=760,760,"")</f>
        <v/>
      </c>
      <c r="B761" s="8" t="str">
        <f t="shared" si="55"/>
        <v/>
      </c>
      <c r="C761" s="8" t="str">
        <f t="shared" si="56"/>
        <v/>
      </c>
      <c r="D761" s="8" t="str">
        <f t="shared" si="57"/>
        <v/>
      </c>
      <c r="F761" s="4" t="str">
        <f>IF(Jugadores!B761="","",Jugadores!B761)</f>
        <v/>
      </c>
      <c r="G761" s="4" t="str">
        <f>IF(Jugadores!B761="","",Jugadores!A761)</f>
        <v/>
      </c>
      <c r="H761" s="4" t="str">
        <f>IF(F761="","",SUMIF('Estadísticas Jugadores'!$F$2:$F$7001,F761,'Estadísticas Jugadores'!$J$2:$J$7001))</f>
        <v/>
      </c>
      <c r="I761" s="4" t="str">
        <f t="shared" si="58"/>
        <v/>
      </c>
      <c r="J761" s="4" t="str">
        <f t="shared" si="59"/>
        <v/>
      </c>
    </row>
    <row r="762" spans="1:10" ht="15" customHeight="1" x14ac:dyDescent="0.25">
      <c r="A762" s="8" t="str">
        <f>IF(COUNT($J$2:$J$1501)&gt;=761,761,"")</f>
        <v/>
      </c>
      <c r="B762" s="8" t="str">
        <f t="shared" si="55"/>
        <v/>
      </c>
      <c r="C762" s="8" t="str">
        <f t="shared" si="56"/>
        <v/>
      </c>
      <c r="D762" s="8" t="str">
        <f t="shared" si="57"/>
        <v/>
      </c>
      <c r="F762" s="4" t="str">
        <f>IF(Jugadores!B762="","",Jugadores!B762)</f>
        <v/>
      </c>
      <c r="G762" s="4" t="str">
        <f>IF(Jugadores!B762="","",Jugadores!A762)</f>
        <v/>
      </c>
      <c r="H762" s="4" t="str">
        <f>IF(F762="","",SUMIF('Estadísticas Jugadores'!$F$2:$F$7001,F762,'Estadísticas Jugadores'!$J$2:$J$7001))</f>
        <v/>
      </c>
      <c r="I762" s="4" t="str">
        <f t="shared" si="58"/>
        <v/>
      </c>
      <c r="J762" s="4" t="str">
        <f t="shared" si="59"/>
        <v/>
      </c>
    </row>
    <row r="763" spans="1:10" ht="15" customHeight="1" x14ac:dyDescent="0.25">
      <c r="A763" s="8" t="str">
        <f>IF(COUNT($J$2:$J$1501)&gt;=762,762,"")</f>
        <v/>
      </c>
      <c r="B763" s="8" t="str">
        <f t="shared" si="55"/>
        <v/>
      </c>
      <c r="C763" s="8" t="str">
        <f t="shared" si="56"/>
        <v/>
      </c>
      <c r="D763" s="8" t="str">
        <f t="shared" si="57"/>
        <v/>
      </c>
      <c r="F763" s="4" t="str">
        <f>IF(Jugadores!B763="","",Jugadores!B763)</f>
        <v/>
      </c>
      <c r="G763" s="4" t="str">
        <f>IF(Jugadores!B763="","",Jugadores!A763)</f>
        <v/>
      </c>
      <c r="H763" s="4" t="str">
        <f>IF(F763="","",SUMIF('Estadísticas Jugadores'!$F$2:$F$7001,F763,'Estadísticas Jugadores'!$J$2:$J$7001))</f>
        <v/>
      </c>
      <c r="I763" s="4" t="str">
        <f t="shared" si="58"/>
        <v/>
      </c>
      <c r="J763" s="4" t="str">
        <f t="shared" si="59"/>
        <v/>
      </c>
    </row>
    <row r="764" spans="1:10" ht="15" customHeight="1" x14ac:dyDescent="0.25">
      <c r="A764" s="8" t="str">
        <f>IF(COUNT($J$2:$J$1501)&gt;=763,763,"")</f>
        <v/>
      </c>
      <c r="B764" s="8" t="str">
        <f t="shared" si="55"/>
        <v/>
      </c>
      <c r="C764" s="8" t="str">
        <f t="shared" si="56"/>
        <v/>
      </c>
      <c r="D764" s="8" t="str">
        <f t="shared" si="57"/>
        <v/>
      </c>
      <c r="F764" s="4" t="str">
        <f>IF(Jugadores!B764="","",Jugadores!B764)</f>
        <v/>
      </c>
      <c r="G764" s="4" t="str">
        <f>IF(Jugadores!B764="","",Jugadores!A764)</f>
        <v/>
      </c>
      <c r="H764" s="4" t="str">
        <f>IF(F764="","",SUMIF('Estadísticas Jugadores'!$F$2:$F$7001,F764,'Estadísticas Jugadores'!$J$2:$J$7001))</f>
        <v/>
      </c>
      <c r="I764" s="4" t="str">
        <f t="shared" si="58"/>
        <v/>
      </c>
      <c r="J764" s="4" t="str">
        <f t="shared" si="59"/>
        <v/>
      </c>
    </row>
    <row r="765" spans="1:10" ht="15" customHeight="1" x14ac:dyDescent="0.25">
      <c r="A765" s="8" t="str">
        <f>IF(COUNT($J$2:$J$1501)&gt;=764,764,"")</f>
        <v/>
      </c>
      <c r="B765" s="8" t="str">
        <f t="shared" si="55"/>
        <v/>
      </c>
      <c r="C765" s="8" t="str">
        <f t="shared" si="56"/>
        <v/>
      </c>
      <c r="D765" s="8" t="str">
        <f t="shared" si="57"/>
        <v/>
      </c>
      <c r="F765" s="4" t="str">
        <f>IF(Jugadores!B765="","",Jugadores!B765)</f>
        <v/>
      </c>
      <c r="G765" s="4" t="str">
        <f>IF(Jugadores!B765="","",Jugadores!A765)</f>
        <v/>
      </c>
      <c r="H765" s="4" t="str">
        <f>IF(F765="","",SUMIF('Estadísticas Jugadores'!$F$2:$F$7001,F765,'Estadísticas Jugadores'!$J$2:$J$7001))</f>
        <v/>
      </c>
      <c r="I765" s="4" t="str">
        <f t="shared" si="58"/>
        <v/>
      </c>
      <c r="J765" s="4" t="str">
        <f t="shared" si="59"/>
        <v/>
      </c>
    </row>
    <row r="766" spans="1:10" ht="15" customHeight="1" x14ac:dyDescent="0.25">
      <c r="A766" s="8" t="str">
        <f>IF(COUNT($J$2:$J$1501)&gt;=765,765,"")</f>
        <v/>
      </c>
      <c r="B766" s="8" t="str">
        <f t="shared" si="55"/>
        <v/>
      </c>
      <c r="C766" s="8" t="str">
        <f t="shared" si="56"/>
        <v/>
      </c>
      <c r="D766" s="8" t="str">
        <f t="shared" si="57"/>
        <v/>
      </c>
      <c r="F766" s="4" t="str">
        <f>IF(Jugadores!B766="","",Jugadores!B766)</f>
        <v/>
      </c>
      <c r="G766" s="4" t="str">
        <f>IF(Jugadores!B766="","",Jugadores!A766)</f>
        <v/>
      </c>
      <c r="H766" s="4" t="str">
        <f>IF(F766="","",SUMIF('Estadísticas Jugadores'!$F$2:$F$7001,F766,'Estadísticas Jugadores'!$J$2:$J$7001))</f>
        <v/>
      </c>
      <c r="I766" s="4" t="str">
        <f t="shared" si="58"/>
        <v/>
      </c>
      <c r="J766" s="4" t="str">
        <f t="shared" si="59"/>
        <v/>
      </c>
    </row>
    <row r="767" spans="1:10" ht="15" customHeight="1" x14ac:dyDescent="0.25">
      <c r="A767" s="8" t="str">
        <f>IF(COUNT($J$2:$J$1501)&gt;=766,766,"")</f>
        <v/>
      </c>
      <c r="B767" s="8" t="str">
        <f t="shared" si="55"/>
        <v/>
      </c>
      <c r="C767" s="8" t="str">
        <f t="shared" si="56"/>
        <v/>
      </c>
      <c r="D767" s="8" t="str">
        <f t="shared" si="57"/>
        <v/>
      </c>
      <c r="F767" s="4" t="str">
        <f>IF(Jugadores!B767="","",Jugadores!B767)</f>
        <v/>
      </c>
      <c r="G767" s="4" t="str">
        <f>IF(Jugadores!B767="","",Jugadores!A767)</f>
        <v/>
      </c>
      <c r="H767" s="4" t="str">
        <f>IF(F767="","",SUMIF('Estadísticas Jugadores'!$F$2:$F$7001,F767,'Estadísticas Jugadores'!$J$2:$J$7001))</f>
        <v/>
      </c>
      <c r="I767" s="4" t="str">
        <f t="shared" si="58"/>
        <v/>
      </c>
      <c r="J767" s="4" t="str">
        <f t="shared" si="59"/>
        <v/>
      </c>
    </row>
    <row r="768" spans="1:10" ht="15" customHeight="1" x14ac:dyDescent="0.25">
      <c r="A768" s="8" t="str">
        <f>IF(COUNT($J$2:$J$1501)&gt;=767,767,"")</f>
        <v/>
      </c>
      <c r="B768" s="8" t="str">
        <f t="shared" si="55"/>
        <v/>
      </c>
      <c r="C768" s="8" t="str">
        <f t="shared" si="56"/>
        <v/>
      </c>
      <c r="D768" s="8" t="str">
        <f t="shared" si="57"/>
        <v/>
      </c>
      <c r="F768" s="4" t="str">
        <f>IF(Jugadores!B768="","",Jugadores!B768)</f>
        <v/>
      </c>
      <c r="G768" s="4" t="str">
        <f>IF(Jugadores!B768="","",Jugadores!A768)</f>
        <v/>
      </c>
      <c r="H768" s="4" t="str">
        <f>IF(F768="","",SUMIF('Estadísticas Jugadores'!$F$2:$F$7001,F768,'Estadísticas Jugadores'!$J$2:$J$7001))</f>
        <v/>
      </c>
      <c r="I768" s="4" t="str">
        <f t="shared" si="58"/>
        <v/>
      </c>
      <c r="J768" s="4" t="str">
        <f t="shared" si="59"/>
        <v/>
      </c>
    </row>
    <row r="769" spans="1:10" ht="15" customHeight="1" x14ac:dyDescent="0.25">
      <c r="A769" s="8" t="str">
        <f>IF(COUNT($J$2:$J$1501)&gt;=768,768,"")</f>
        <v/>
      </c>
      <c r="B769" s="8" t="str">
        <f t="shared" si="55"/>
        <v/>
      </c>
      <c r="C769" s="8" t="str">
        <f t="shared" si="56"/>
        <v/>
      </c>
      <c r="D769" s="8" t="str">
        <f t="shared" si="57"/>
        <v/>
      </c>
      <c r="F769" s="4" t="str">
        <f>IF(Jugadores!B769="","",Jugadores!B769)</f>
        <v/>
      </c>
      <c r="G769" s="4" t="str">
        <f>IF(Jugadores!B769="","",Jugadores!A769)</f>
        <v/>
      </c>
      <c r="H769" s="4" t="str">
        <f>IF(F769="","",SUMIF('Estadísticas Jugadores'!$F$2:$F$7001,F769,'Estadísticas Jugadores'!$J$2:$J$7001))</f>
        <v/>
      </c>
      <c r="I769" s="4" t="str">
        <f t="shared" si="58"/>
        <v/>
      </c>
      <c r="J769" s="4" t="str">
        <f t="shared" si="59"/>
        <v/>
      </c>
    </row>
    <row r="770" spans="1:10" ht="15" customHeight="1" x14ac:dyDescent="0.25">
      <c r="A770" s="8" t="str">
        <f>IF(COUNT($J$2:$J$1501)&gt;=769,769,"")</f>
        <v/>
      </c>
      <c r="B770" s="8" t="str">
        <f t="shared" ref="B770:B833" si="60">IF($A770="","",INDEX($F$2:$F$1501,MATCH($A770,$J$2:$J$1501,0)))</f>
        <v/>
      </c>
      <c r="C770" s="8" t="str">
        <f t="shared" ref="C770:C833" si="61">IF($A770="","",INDEX($G$2:$G$1501,MATCH($A770,$J$2:$J$1501,0)))</f>
        <v/>
      </c>
      <c r="D770" s="8" t="str">
        <f t="shared" ref="D770:D833" si="62">IF($A770="","",INDEX($H$2:$H$1501,MATCH($A770,$J$2:$J$1501,0)))</f>
        <v/>
      </c>
      <c r="F770" s="4" t="str">
        <f>IF(Jugadores!B770="","",Jugadores!B770)</f>
        <v/>
      </c>
      <c r="G770" s="4" t="str">
        <f>IF(Jugadores!B770="","",Jugadores!A770)</f>
        <v/>
      </c>
      <c r="H770" s="4" t="str">
        <f>IF(F770="","",SUMIF('Estadísticas Jugadores'!$F$2:$F$7001,F770,'Estadísticas Jugadores'!$J$2:$J$7001))</f>
        <v/>
      </c>
      <c r="I770" s="4" t="str">
        <f t="shared" ref="I770:I833" si="63">IF(F770="","",H770*1000-ROW()*0.0000001)</f>
        <v/>
      </c>
      <c r="J770" s="4" t="str">
        <f t="shared" ref="J770:J833" si="64">IF(F770="","",RANK(I770,$I$2:$I$1501))</f>
        <v/>
      </c>
    </row>
    <row r="771" spans="1:10" ht="15" customHeight="1" x14ac:dyDescent="0.25">
      <c r="A771" s="8" t="str">
        <f>IF(COUNT($J$2:$J$1501)&gt;=770,770,"")</f>
        <v/>
      </c>
      <c r="B771" s="8" t="str">
        <f t="shared" si="60"/>
        <v/>
      </c>
      <c r="C771" s="8" t="str">
        <f t="shared" si="61"/>
        <v/>
      </c>
      <c r="D771" s="8" t="str">
        <f t="shared" si="62"/>
        <v/>
      </c>
      <c r="F771" s="4" t="str">
        <f>IF(Jugadores!B771="","",Jugadores!B771)</f>
        <v/>
      </c>
      <c r="G771" s="4" t="str">
        <f>IF(Jugadores!B771="","",Jugadores!A771)</f>
        <v/>
      </c>
      <c r="H771" s="4" t="str">
        <f>IF(F771="","",SUMIF('Estadísticas Jugadores'!$F$2:$F$7001,F771,'Estadísticas Jugadores'!$J$2:$J$7001))</f>
        <v/>
      </c>
      <c r="I771" s="4" t="str">
        <f t="shared" si="63"/>
        <v/>
      </c>
      <c r="J771" s="4" t="str">
        <f t="shared" si="64"/>
        <v/>
      </c>
    </row>
    <row r="772" spans="1:10" ht="15" customHeight="1" x14ac:dyDescent="0.25">
      <c r="A772" s="8" t="str">
        <f>IF(COUNT($J$2:$J$1501)&gt;=771,771,"")</f>
        <v/>
      </c>
      <c r="B772" s="8" t="str">
        <f t="shared" si="60"/>
        <v/>
      </c>
      <c r="C772" s="8" t="str">
        <f t="shared" si="61"/>
        <v/>
      </c>
      <c r="D772" s="8" t="str">
        <f t="shared" si="62"/>
        <v/>
      </c>
      <c r="F772" s="4" t="str">
        <f>IF(Jugadores!B772="","",Jugadores!B772)</f>
        <v/>
      </c>
      <c r="G772" s="4" t="str">
        <f>IF(Jugadores!B772="","",Jugadores!A772)</f>
        <v/>
      </c>
      <c r="H772" s="4" t="str">
        <f>IF(F772="","",SUMIF('Estadísticas Jugadores'!$F$2:$F$7001,F772,'Estadísticas Jugadores'!$J$2:$J$7001))</f>
        <v/>
      </c>
      <c r="I772" s="4" t="str">
        <f t="shared" si="63"/>
        <v/>
      </c>
      <c r="J772" s="4" t="str">
        <f t="shared" si="64"/>
        <v/>
      </c>
    </row>
    <row r="773" spans="1:10" ht="15" customHeight="1" x14ac:dyDescent="0.25">
      <c r="A773" s="8" t="str">
        <f>IF(COUNT($J$2:$J$1501)&gt;=772,772,"")</f>
        <v/>
      </c>
      <c r="B773" s="8" t="str">
        <f t="shared" si="60"/>
        <v/>
      </c>
      <c r="C773" s="8" t="str">
        <f t="shared" si="61"/>
        <v/>
      </c>
      <c r="D773" s="8" t="str">
        <f t="shared" si="62"/>
        <v/>
      </c>
      <c r="F773" s="4" t="str">
        <f>IF(Jugadores!B773="","",Jugadores!B773)</f>
        <v/>
      </c>
      <c r="G773" s="4" t="str">
        <f>IF(Jugadores!B773="","",Jugadores!A773)</f>
        <v/>
      </c>
      <c r="H773" s="4" t="str">
        <f>IF(F773="","",SUMIF('Estadísticas Jugadores'!$F$2:$F$7001,F773,'Estadísticas Jugadores'!$J$2:$J$7001))</f>
        <v/>
      </c>
      <c r="I773" s="4" t="str">
        <f t="shared" si="63"/>
        <v/>
      </c>
      <c r="J773" s="4" t="str">
        <f t="shared" si="64"/>
        <v/>
      </c>
    </row>
    <row r="774" spans="1:10" ht="15" customHeight="1" x14ac:dyDescent="0.25">
      <c r="A774" s="8" t="str">
        <f>IF(COUNT($J$2:$J$1501)&gt;=773,773,"")</f>
        <v/>
      </c>
      <c r="B774" s="8" t="str">
        <f t="shared" si="60"/>
        <v/>
      </c>
      <c r="C774" s="8" t="str">
        <f t="shared" si="61"/>
        <v/>
      </c>
      <c r="D774" s="8" t="str">
        <f t="shared" si="62"/>
        <v/>
      </c>
      <c r="F774" s="4" t="str">
        <f>IF(Jugadores!B774="","",Jugadores!B774)</f>
        <v/>
      </c>
      <c r="G774" s="4" t="str">
        <f>IF(Jugadores!B774="","",Jugadores!A774)</f>
        <v/>
      </c>
      <c r="H774" s="4" t="str">
        <f>IF(F774="","",SUMIF('Estadísticas Jugadores'!$F$2:$F$7001,F774,'Estadísticas Jugadores'!$J$2:$J$7001))</f>
        <v/>
      </c>
      <c r="I774" s="4" t="str">
        <f t="shared" si="63"/>
        <v/>
      </c>
      <c r="J774" s="4" t="str">
        <f t="shared" si="64"/>
        <v/>
      </c>
    </row>
    <row r="775" spans="1:10" ht="15" customHeight="1" x14ac:dyDescent="0.25">
      <c r="A775" s="8" t="str">
        <f>IF(COUNT($J$2:$J$1501)&gt;=774,774,"")</f>
        <v/>
      </c>
      <c r="B775" s="8" t="str">
        <f t="shared" si="60"/>
        <v/>
      </c>
      <c r="C775" s="8" t="str">
        <f t="shared" si="61"/>
        <v/>
      </c>
      <c r="D775" s="8" t="str">
        <f t="shared" si="62"/>
        <v/>
      </c>
      <c r="F775" s="4" t="str">
        <f>IF(Jugadores!B775="","",Jugadores!B775)</f>
        <v/>
      </c>
      <c r="G775" s="4" t="str">
        <f>IF(Jugadores!B775="","",Jugadores!A775)</f>
        <v/>
      </c>
      <c r="H775" s="4" t="str">
        <f>IF(F775="","",SUMIF('Estadísticas Jugadores'!$F$2:$F$7001,F775,'Estadísticas Jugadores'!$J$2:$J$7001))</f>
        <v/>
      </c>
      <c r="I775" s="4" t="str">
        <f t="shared" si="63"/>
        <v/>
      </c>
      <c r="J775" s="4" t="str">
        <f t="shared" si="64"/>
        <v/>
      </c>
    </row>
    <row r="776" spans="1:10" ht="15" customHeight="1" x14ac:dyDescent="0.25">
      <c r="A776" s="8" t="str">
        <f>IF(COUNT($J$2:$J$1501)&gt;=775,775,"")</f>
        <v/>
      </c>
      <c r="B776" s="8" t="str">
        <f t="shared" si="60"/>
        <v/>
      </c>
      <c r="C776" s="8" t="str">
        <f t="shared" si="61"/>
        <v/>
      </c>
      <c r="D776" s="8" t="str">
        <f t="shared" si="62"/>
        <v/>
      </c>
      <c r="F776" s="4" t="str">
        <f>IF(Jugadores!B776="","",Jugadores!B776)</f>
        <v/>
      </c>
      <c r="G776" s="4" t="str">
        <f>IF(Jugadores!B776="","",Jugadores!A776)</f>
        <v/>
      </c>
      <c r="H776" s="4" t="str">
        <f>IF(F776="","",SUMIF('Estadísticas Jugadores'!$F$2:$F$7001,F776,'Estadísticas Jugadores'!$J$2:$J$7001))</f>
        <v/>
      </c>
      <c r="I776" s="4" t="str">
        <f t="shared" si="63"/>
        <v/>
      </c>
      <c r="J776" s="4" t="str">
        <f t="shared" si="64"/>
        <v/>
      </c>
    </row>
    <row r="777" spans="1:10" ht="15" customHeight="1" x14ac:dyDescent="0.25">
      <c r="A777" s="8" t="str">
        <f>IF(COUNT($J$2:$J$1501)&gt;=776,776,"")</f>
        <v/>
      </c>
      <c r="B777" s="8" t="str">
        <f t="shared" si="60"/>
        <v/>
      </c>
      <c r="C777" s="8" t="str">
        <f t="shared" si="61"/>
        <v/>
      </c>
      <c r="D777" s="8" t="str">
        <f t="shared" si="62"/>
        <v/>
      </c>
      <c r="F777" s="4" t="str">
        <f>IF(Jugadores!B777="","",Jugadores!B777)</f>
        <v/>
      </c>
      <c r="G777" s="4" t="str">
        <f>IF(Jugadores!B777="","",Jugadores!A777)</f>
        <v/>
      </c>
      <c r="H777" s="4" t="str">
        <f>IF(F777="","",SUMIF('Estadísticas Jugadores'!$F$2:$F$7001,F777,'Estadísticas Jugadores'!$J$2:$J$7001))</f>
        <v/>
      </c>
      <c r="I777" s="4" t="str">
        <f t="shared" si="63"/>
        <v/>
      </c>
      <c r="J777" s="4" t="str">
        <f t="shared" si="64"/>
        <v/>
      </c>
    </row>
    <row r="778" spans="1:10" ht="15" customHeight="1" x14ac:dyDescent="0.25">
      <c r="A778" s="8" t="str">
        <f>IF(COUNT($J$2:$J$1501)&gt;=777,777,"")</f>
        <v/>
      </c>
      <c r="B778" s="8" t="str">
        <f t="shared" si="60"/>
        <v/>
      </c>
      <c r="C778" s="8" t="str">
        <f t="shared" si="61"/>
        <v/>
      </c>
      <c r="D778" s="8" t="str">
        <f t="shared" si="62"/>
        <v/>
      </c>
      <c r="F778" s="4" t="str">
        <f>IF(Jugadores!B778="","",Jugadores!B778)</f>
        <v/>
      </c>
      <c r="G778" s="4" t="str">
        <f>IF(Jugadores!B778="","",Jugadores!A778)</f>
        <v/>
      </c>
      <c r="H778" s="4" t="str">
        <f>IF(F778="","",SUMIF('Estadísticas Jugadores'!$F$2:$F$7001,F778,'Estadísticas Jugadores'!$J$2:$J$7001))</f>
        <v/>
      </c>
      <c r="I778" s="4" t="str">
        <f t="shared" si="63"/>
        <v/>
      </c>
      <c r="J778" s="4" t="str">
        <f t="shared" si="64"/>
        <v/>
      </c>
    </row>
    <row r="779" spans="1:10" ht="15" customHeight="1" x14ac:dyDescent="0.25">
      <c r="A779" s="8" t="str">
        <f>IF(COUNT($J$2:$J$1501)&gt;=778,778,"")</f>
        <v/>
      </c>
      <c r="B779" s="8" t="str">
        <f t="shared" si="60"/>
        <v/>
      </c>
      <c r="C779" s="8" t="str">
        <f t="shared" si="61"/>
        <v/>
      </c>
      <c r="D779" s="8" t="str">
        <f t="shared" si="62"/>
        <v/>
      </c>
      <c r="F779" s="4" t="str">
        <f>IF(Jugadores!B779="","",Jugadores!B779)</f>
        <v/>
      </c>
      <c r="G779" s="4" t="str">
        <f>IF(Jugadores!B779="","",Jugadores!A779)</f>
        <v/>
      </c>
      <c r="H779" s="4" t="str">
        <f>IF(F779="","",SUMIF('Estadísticas Jugadores'!$F$2:$F$7001,F779,'Estadísticas Jugadores'!$J$2:$J$7001))</f>
        <v/>
      </c>
      <c r="I779" s="4" t="str">
        <f t="shared" si="63"/>
        <v/>
      </c>
      <c r="J779" s="4" t="str">
        <f t="shared" si="64"/>
        <v/>
      </c>
    </row>
    <row r="780" spans="1:10" ht="15" customHeight="1" x14ac:dyDescent="0.25">
      <c r="A780" s="8" t="str">
        <f>IF(COUNT($J$2:$J$1501)&gt;=779,779,"")</f>
        <v/>
      </c>
      <c r="B780" s="8" t="str">
        <f t="shared" si="60"/>
        <v/>
      </c>
      <c r="C780" s="8" t="str">
        <f t="shared" si="61"/>
        <v/>
      </c>
      <c r="D780" s="8" t="str">
        <f t="shared" si="62"/>
        <v/>
      </c>
      <c r="F780" s="4" t="str">
        <f>IF(Jugadores!B780="","",Jugadores!B780)</f>
        <v/>
      </c>
      <c r="G780" s="4" t="str">
        <f>IF(Jugadores!B780="","",Jugadores!A780)</f>
        <v/>
      </c>
      <c r="H780" s="4" t="str">
        <f>IF(F780="","",SUMIF('Estadísticas Jugadores'!$F$2:$F$7001,F780,'Estadísticas Jugadores'!$J$2:$J$7001))</f>
        <v/>
      </c>
      <c r="I780" s="4" t="str">
        <f t="shared" si="63"/>
        <v/>
      </c>
      <c r="J780" s="4" t="str">
        <f t="shared" si="64"/>
        <v/>
      </c>
    </row>
    <row r="781" spans="1:10" ht="15" customHeight="1" x14ac:dyDescent="0.25">
      <c r="A781" s="8" t="str">
        <f>IF(COUNT($J$2:$J$1501)&gt;=780,780,"")</f>
        <v/>
      </c>
      <c r="B781" s="8" t="str">
        <f t="shared" si="60"/>
        <v/>
      </c>
      <c r="C781" s="8" t="str">
        <f t="shared" si="61"/>
        <v/>
      </c>
      <c r="D781" s="8" t="str">
        <f t="shared" si="62"/>
        <v/>
      </c>
      <c r="F781" s="4" t="str">
        <f>IF(Jugadores!B781="","",Jugadores!B781)</f>
        <v/>
      </c>
      <c r="G781" s="4" t="str">
        <f>IF(Jugadores!B781="","",Jugadores!A781)</f>
        <v/>
      </c>
      <c r="H781" s="4" t="str">
        <f>IF(F781="","",SUMIF('Estadísticas Jugadores'!$F$2:$F$7001,F781,'Estadísticas Jugadores'!$J$2:$J$7001))</f>
        <v/>
      </c>
      <c r="I781" s="4" t="str">
        <f t="shared" si="63"/>
        <v/>
      </c>
      <c r="J781" s="4" t="str">
        <f t="shared" si="64"/>
        <v/>
      </c>
    </row>
    <row r="782" spans="1:10" ht="15" customHeight="1" x14ac:dyDescent="0.25">
      <c r="A782" s="8" t="str">
        <f>IF(COUNT($J$2:$J$1501)&gt;=781,781,"")</f>
        <v/>
      </c>
      <c r="B782" s="8" t="str">
        <f t="shared" si="60"/>
        <v/>
      </c>
      <c r="C782" s="8" t="str">
        <f t="shared" si="61"/>
        <v/>
      </c>
      <c r="D782" s="8" t="str">
        <f t="shared" si="62"/>
        <v/>
      </c>
      <c r="F782" s="4" t="str">
        <f>IF(Jugadores!B782="","",Jugadores!B782)</f>
        <v/>
      </c>
      <c r="G782" s="4" t="str">
        <f>IF(Jugadores!B782="","",Jugadores!A782)</f>
        <v/>
      </c>
      <c r="H782" s="4" t="str">
        <f>IF(F782="","",SUMIF('Estadísticas Jugadores'!$F$2:$F$7001,F782,'Estadísticas Jugadores'!$J$2:$J$7001))</f>
        <v/>
      </c>
      <c r="I782" s="4" t="str">
        <f t="shared" si="63"/>
        <v/>
      </c>
      <c r="J782" s="4" t="str">
        <f t="shared" si="64"/>
        <v/>
      </c>
    </row>
    <row r="783" spans="1:10" ht="15" customHeight="1" x14ac:dyDescent="0.25">
      <c r="A783" s="8" t="str">
        <f>IF(COUNT($J$2:$J$1501)&gt;=782,782,"")</f>
        <v/>
      </c>
      <c r="B783" s="8" t="str">
        <f t="shared" si="60"/>
        <v/>
      </c>
      <c r="C783" s="8" t="str">
        <f t="shared" si="61"/>
        <v/>
      </c>
      <c r="D783" s="8" t="str">
        <f t="shared" si="62"/>
        <v/>
      </c>
      <c r="F783" s="4" t="str">
        <f>IF(Jugadores!B783="","",Jugadores!B783)</f>
        <v/>
      </c>
      <c r="G783" s="4" t="str">
        <f>IF(Jugadores!B783="","",Jugadores!A783)</f>
        <v/>
      </c>
      <c r="H783" s="4" t="str">
        <f>IF(F783="","",SUMIF('Estadísticas Jugadores'!$F$2:$F$7001,F783,'Estadísticas Jugadores'!$J$2:$J$7001))</f>
        <v/>
      </c>
      <c r="I783" s="4" t="str">
        <f t="shared" si="63"/>
        <v/>
      </c>
      <c r="J783" s="4" t="str">
        <f t="shared" si="64"/>
        <v/>
      </c>
    </row>
    <row r="784" spans="1:10" ht="15" customHeight="1" x14ac:dyDescent="0.25">
      <c r="A784" s="8" t="str">
        <f>IF(COUNT($J$2:$J$1501)&gt;=783,783,"")</f>
        <v/>
      </c>
      <c r="B784" s="8" t="str">
        <f t="shared" si="60"/>
        <v/>
      </c>
      <c r="C784" s="8" t="str">
        <f t="shared" si="61"/>
        <v/>
      </c>
      <c r="D784" s="8" t="str">
        <f t="shared" si="62"/>
        <v/>
      </c>
      <c r="F784" s="4" t="str">
        <f>IF(Jugadores!B784="","",Jugadores!B784)</f>
        <v/>
      </c>
      <c r="G784" s="4" t="str">
        <f>IF(Jugadores!B784="","",Jugadores!A784)</f>
        <v/>
      </c>
      <c r="H784" s="4" t="str">
        <f>IF(F784="","",SUMIF('Estadísticas Jugadores'!$F$2:$F$7001,F784,'Estadísticas Jugadores'!$J$2:$J$7001))</f>
        <v/>
      </c>
      <c r="I784" s="4" t="str">
        <f t="shared" si="63"/>
        <v/>
      </c>
      <c r="J784" s="4" t="str">
        <f t="shared" si="64"/>
        <v/>
      </c>
    </row>
    <row r="785" spans="1:10" ht="15" customHeight="1" x14ac:dyDescent="0.25">
      <c r="A785" s="8" t="str">
        <f>IF(COUNT($J$2:$J$1501)&gt;=784,784,"")</f>
        <v/>
      </c>
      <c r="B785" s="8" t="str">
        <f t="shared" si="60"/>
        <v/>
      </c>
      <c r="C785" s="8" t="str">
        <f t="shared" si="61"/>
        <v/>
      </c>
      <c r="D785" s="8" t="str">
        <f t="shared" si="62"/>
        <v/>
      </c>
      <c r="F785" s="4" t="str">
        <f>IF(Jugadores!B785="","",Jugadores!B785)</f>
        <v/>
      </c>
      <c r="G785" s="4" t="str">
        <f>IF(Jugadores!B785="","",Jugadores!A785)</f>
        <v/>
      </c>
      <c r="H785" s="4" t="str">
        <f>IF(F785="","",SUMIF('Estadísticas Jugadores'!$F$2:$F$7001,F785,'Estadísticas Jugadores'!$J$2:$J$7001))</f>
        <v/>
      </c>
      <c r="I785" s="4" t="str">
        <f t="shared" si="63"/>
        <v/>
      </c>
      <c r="J785" s="4" t="str">
        <f t="shared" si="64"/>
        <v/>
      </c>
    </row>
    <row r="786" spans="1:10" ht="15" customHeight="1" x14ac:dyDescent="0.25">
      <c r="A786" s="8" t="str">
        <f>IF(COUNT($J$2:$J$1501)&gt;=785,785,"")</f>
        <v/>
      </c>
      <c r="B786" s="8" t="str">
        <f t="shared" si="60"/>
        <v/>
      </c>
      <c r="C786" s="8" t="str">
        <f t="shared" si="61"/>
        <v/>
      </c>
      <c r="D786" s="8" t="str">
        <f t="shared" si="62"/>
        <v/>
      </c>
      <c r="F786" s="4" t="str">
        <f>IF(Jugadores!B786="","",Jugadores!B786)</f>
        <v/>
      </c>
      <c r="G786" s="4" t="str">
        <f>IF(Jugadores!B786="","",Jugadores!A786)</f>
        <v/>
      </c>
      <c r="H786" s="4" t="str">
        <f>IF(F786="","",SUMIF('Estadísticas Jugadores'!$F$2:$F$7001,F786,'Estadísticas Jugadores'!$J$2:$J$7001))</f>
        <v/>
      </c>
      <c r="I786" s="4" t="str">
        <f t="shared" si="63"/>
        <v/>
      </c>
      <c r="J786" s="4" t="str">
        <f t="shared" si="64"/>
        <v/>
      </c>
    </row>
    <row r="787" spans="1:10" ht="15" customHeight="1" x14ac:dyDescent="0.25">
      <c r="A787" s="8" t="str">
        <f>IF(COUNT($J$2:$J$1501)&gt;=786,786,"")</f>
        <v/>
      </c>
      <c r="B787" s="8" t="str">
        <f t="shared" si="60"/>
        <v/>
      </c>
      <c r="C787" s="8" t="str">
        <f t="shared" si="61"/>
        <v/>
      </c>
      <c r="D787" s="8" t="str">
        <f t="shared" si="62"/>
        <v/>
      </c>
      <c r="F787" s="4" t="str">
        <f>IF(Jugadores!B787="","",Jugadores!B787)</f>
        <v/>
      </c>
      <c r="G787" s="4" t="str">
        <f>IF(Jugadores!B787="","",Jugadores!A787)</f>
        <v/>
      </c>
      <c r="H787" s="4" t="str">
        <f>IF(F787="","",SUMIF('Estadísticas Jugadores'!$F$2:$F$7001,F787,'Estadísticas Jugadores'!$J$2:$J$7001))</f>
        <v/>
      </c>
      <c r="I787" s="4" t="str">
        <f t="shared" si="63"/>
        <v/>
      </c>
      <c r="J787" s="4" t="str">
        <f t="shared" si="64"/>
        <v/>
      </c>
    </row>
    <row r="788" spans="1:10" ht="15" customHeight="1" x14ac:dyDescent="0.25">
      <c r="A788" s="8" t="str">
        <f>IF(COUNT($J$2:$J$1501)&gt;=787,787,"")</f>
        <v/>
      </c>
      <c r="B788" s="8" t="str">
        <f t="shared" si="60"/>
        <v/>
      </c>
      <c r="C788" s="8" t="str">
        <f t="shared" si="61"/>
        <v/>
      </c>
      <c r="D788" s="8" t="str">
        <f t="shared" si="62"/>
        <v/>
      </c>
      <c r="F788" s="4" t="str">
        <f>IF(Jugadores!B788="","",Jugadores!B788)</f>
        <v/>
      </c>
      <c r="G788" s="4" t="str">
        <f>IF(Jugadores!B788="","",Jugadores!A788)</f>
        <v/>
      </c>
      <c r="H788" s="4" t="str">
        <f>IF(F788="","",SUMIF('Estadísticas Jugadores'!$F$2:$F$7001,F788,'Estadísticas Jugadores'!$J$2:$J$7001))</f>
        <v/>
      </c>
      <c r="I788" s="4" t="str">
        <f t="shared" si="63"/>
        <v/>
      </c>
      <c r="J788" s="4" t="str">
        <f t="shared" si="64"/>
        <v/>
      </c>
    </row>
    <row r="789" spans="1:10" ht="15" customHeight="1" x14ac:dyDescent="0.25">
      <c r="A789" s="8" t="str">
        <f>IF(COUNT($J$2:$J$1501)&gt;=788,788,"")</f>
        <v/>
      </c>
      <c r="B789" s="8" t="str">
        <f t="shared" si="60"/>
        <v/>
      </c>
      <c r="C789" s="8" t="str">
        <f t="shared" si="61"/>
        <v/>
      </c>
      <c r="D789" s="8" t="str">
        <f t="shared" si="62"/>
        <v/>
      </c>
      <c r="F789" s="4" t="str">
        <f>IF(Jugadores!B789="","",Jugadores!B789)</f>
        <v/>
      </c>
      <c r="G789" s="4" t="str">
        <f>IF(Jugadores!B789="","",Jugadores!A789)</f>
        <v/>
      </c>
      <c r="H789" s="4" t="str">
        <f>IF(F789="","",SUMIF('Estadísticas Jugadores'!$F$2:$F$7001,F789,'Estadísticas Jugadores'!$J$2:$J$7001))</f>
        <v/>
      </c>
      <c r="I789" s="4" t="str">
        <f t="shared" si="63"/>
        <v/>
      </c>
      <c r="J789" s="4" t="str">
        <f t="shared" si="64"/>
        <v/>
      </c>
    </row>
    <row r="790" spans="1:10" ht="15" customHeight="1" x14ac:dyDescent="0.25">
      <c r="A790" s="8" t="str">
        <f>IF(COUNT($J$2:$J$1501)&gt;=789,789,"")</f>
        <v/>
      </c>
      <c r="B790" s="8" t="str">
        <f t="shared" si="60"/>
        <v/>
      </c>
      <c r="C790" s="8" t="str">
        <f t="shared" si="61"/>
        <v/>
      </c>
      <c r="D790" s="8" t="str">
        <f t="shared" si="62"/>
        <v/>
      </c>
      <c r="F790" s="4" t="str">
        <f>IF(Jugadores!B790="","",Jugadores!B790)</f>
        <v/>
      </c>
      <c r="G790" s="4" t="str">
        <f>IF(Jugadores!B790="","",Jugadores!A790)</f>
        <v/>
      </c>
      <c r="H790" s="4" t="str">
        <f>IF(F790="","",SUMIF('Estadísticas Jugadores'!$F$2:$F$7001,F790,'Estadísticas Jugadores'!$J$2:$J$7001))</f>
        <v/>
      </c>
      <c r="I790" s="4" t="str">
        <f t="shared" si="63"/>
        <v/>
      </c>
      <c r="J790" s="4" t="str">
        <f t="shared" si="64"/>
        <v/>
      </c>
    </row>
    <row r="791" spans="1:10" ht="15" customHeight="1" x14ac:dyDescent="0.25">
      <c r="A791" s="8" t="str">
        <f>IF(COUNT($J$2:$J$1501)&gt;=790,790,"")</f>
        <v/>
      </c>
      <c r="B791" s="8" t="str">
        <f t="shared" si="60"/>
        <v/>
      </c>
      <c r="C791" s="8" t="str">
        <f t="shared" si="61"/>
        <v/>
      </c>
      <c r="D791" s="8" t="str">
        <f t="shared" si="62"/>
        <v/>
      </c>
      <c r="F791" s="4" t="str">
        <f>IF(Jugadores!B791="","",Jugadores!B791)</f>
        <v/>
      </c>
      <c r="G791" s="4" t="str">
        <f>IF(Jugadores!B791="","",Jugadores!A791)</f>
        <v/>
      </c>
      <c r="H791" s="4" t="str">
        <f>IF(F791="","",SUMIF('Estadísticas Jugadores'!$F$2:$F$7001,F791,'Estadísticas Jugadores'!$J$2:$J$7001))</f>
        <v/>
      </c>
      <c r="I791" s="4" t="str">
        <f t="shared" si="63"/>
        <v/>
      </c>
      <c r="J791" s="4" t="str">
        <f t="shared" si="64"/>
        <v/>
      </c>
    </row>
    <row r="792" spans="1:10" ht="15" customHeight="1" x14ac:dyDescent="0.25">
      <c r="A792" s="8" t="str">
        <f>IF(COUNT($J$2:$J$1501)&gt;=791,791,"")</f>
        <v/>
      </c>
      <c r="B792" s="8" t="str">
        <f t="shared" si="60"/>
        <v/>
      </c>
      <c r="C792" s="8" t="str">
        <f t="shared" si="61"/>
        <v/>
      </c>
      <c r="D792" s="8" t="str">
        <f t="shared" si="62"/>
        <v/>
      </c>
      <c r="F792" s="4" t="str">
        <f>IF(Jugadores!B792="","",Jugadores!B792)</f>
        <v/>
      </c>
      <c r="G792" s="4" t="str">
        <f>IF(Jugadores!B792="","",Jugadores!A792)</f>
        <v/>
      </c>
      <c r="H792" s="4" t="str">
        <f>IF(F792="","",SUMIF('Estadísticas Jugadores'!$F$2:$F$7001,F792,'Estadísticas Jugadores'!$J$2:$J$7001))</f>
        <v/>
      </c>
      <c r="I792" s="4" t="str">
        <f t="shared" si="63"/>
        <v/>
      </c>
      <c r="J792" s="4" t="str">
        <f t="shared" si="64"/>
        <v/>
      </c>
    </row>
    <row r="793" spans="1:10" ht="15" customHeight="1" x14ac:dyDescent="0.25">
      <c r="A793" s="8" t="str">
        <f>IF(COUNT($J$2:$J$1501)&gt;=792,792,"")</f>
        <v/>
      </c>
      <c r="B793" s="8" t="str">
        <f t="shared" si="60"/>
        <v/>
      </c>
      <c r="C793" s="8" t="str">
        <f t="shared" si="61"/>
        <v/>
      </c>
      <c r="D793" s="8" t="str">
        <f t="shared" si="62"/>
        <v/>
      </c>
      <c r="F793" s="4" t="str">
        <f>IF(Jugadores!B793="","",Jugadores!B793)</f>
        <v/>
      </c>
      <c r="G793" s="4" t="str">
        <f>IF(Jugadores!B793="","",Jugadores!A793)</f>
        <v/>
      </c>
      <c r="H793" s="4" t="str">
        <f>IF(F793="","",SUMIF('Estadísticas Jugadores'!$F$2:$F$7001,F793,'Estadísticas Jugadores'!$J$2:$J$7001))</f>
        <v/>
      </c>
      <c r="I793" s="4" t="str">
        <f t="shared" si="63"/>
        <v/>
      </c>
      <c r="J793" s="4" t="str">
        <f t="shared" si="64"/>
        <v/>
      </c>
    </row>
    <row r="794" spans="1:10" ht="15" customHeight="1" x14ac:dyDescent="0.25">
      <c r="A794" s="8" t="str">
        <f>IF(COUNT($J$2:$J$1501)&gt;=793,793,"")</f>
        <v/>
      </c>
      <c r="B794" s="8" t="str">
        <f t="shared" si="60"/>
        <v/>
      </c>
      <c r="C794" s="8" t="str">
        <f t="shared" si="61"/>
        <v/>
      </c>
      <c r="D794" s="8" t="str">
        <f t="shared" si="62"/>
        <v/>
      </c>
      <c r="F794" s="4" t="str">
        <f>IF(Jugadores!B794="","",Jugadores!B794)</f>
        <v/>
      </c>
      <c r="G794" s="4" t="str">
        <f>IF(Jugadores!B794="","",Jugadores!A794)</f>
        <v/>
      </c>
      <c r="H794" s="4" t="str">
        <f>IF(F794="","",SUMIF('Estadísticas Jugadores'!$F$2:$F$7001,F794,'Estadísticas Jugadores'!$J$2:$J$7001))</f>
        <v/>
      </c>
      <c r="I794" s="4" t="str">
        <f t="shared" si="63"/>
        <v/>
      </c>
      <c r="J794" s="4" t="str">
        <f t="shared" si="64"/>
        <v/>
      </c>
    </row>
    <row r="795" spans="1:10" ht="15" customHeight="1" x14ac:dyDescent="0.25">
      <c r="A795" s="8" t="str">
        <f>IF(COUNT($J$2:$J$1501)&gt;=794,794,"")</f>
        <v/>
      </c>
      <c r="B795" s="8" t="str">
        <f t="shared" si="60"/>
        <v/>
      </c>
      <c r="C795" s="8" t="str">
        <f t="shared" si="61"/>
        <v/>
      </c>
      <c r="D795" s="8" t="str">
        <f t="shared" si="62"/>
        <v/>
      </c>
      <c r="F795" s="4" t="str">
        <f>IF(Jugadores!B795="","",Jugadores!B795)</f>
        <v/>
      </c>
      <c r="G795" s="4" t="str">
        <f>IF(Jugadores!B795="","",Jugadores!A795)</f>
        <v/>
      </c>
      <c r="H795" s="4" t="str">
        <f>IF(F795="","",SUMIF('Estadísticas Jugadores'!$F$2:$F$7001,F795,'Estadísticas Jugadores'!$J$2:$J$7001))</f>
        <v/>
      </c>
      <c r="I795" s="4" t="str">
        <f t="shared" si="63"/>
        <v/>
      </c>
      <c r="J795" s="4" t="str">
        <f t="shared" si="64"/>
        <v/>
      </c>
    </row>
    <row r="796" spans="1:10" ht="15" customHeight="1" x14ac:dyDescent="0.25">
      <c r="A796" s="8" t="str">
        <f>IF(COUNT($J$2:$J$1501)&gt;=795,795,"")</f>
        <v/>
      </c>
      <c r="B796" s="8" t="str">
        <f t="shared" si="60"/>
        <v/>
      </c>
      <c r="C796" s="8" t="str">
        <f t="shared" si="61"/>
        <v/>
      </c>
      <c r="D796" s="8" t="str">
        <f t="shared" si="62"/>
        <v/>
      </c>
      <c r="F796" s="4" t="str">
        <f>IF(Jugadores!B796="","",Jugadores!B796)</f>
        <v/>
      </c>
      <c r="G796" s="4" t="str">
        <f>IF(Jugadores!B796="","",Jugadores!A796)</f>
        <v/>
      </c>
      <c r="H796" s="4" t="str">
        <f>IF(F796="","",SUMIF('Estadísticas Jugadores'!$F$2:$F$7001,F796,'Estadísticas Jugadores'!$J$2:$J$7001))</f>
        <v/>
      </c>
      <c r="I796" s="4" t="str">
        <f t="shared" si="63"/>
        <v/>
      </c>
      <c r="J796" s="4" t="str">
        <f t="shared" si="64"/>
        <v/>
      </c>
    </row>
    <row r="797" spans="1:10" ht="15" customHeight="1" x14ac:dyDescent="0.25">
      <c r="A797" s="8" t="str">
        <f>IF(COUNT($J$2:$J$1501)&gt;=796,796,"")</f>
        <v/>
      </c>
      <c r="B797" s="8" t="str">
        <f t="shared" si="60"/>
        <v/>
      </c>
      <c r="C797" s="8" t="str">
        <f t="shared" si="61"/>
        <v/>
      </c>
      <c r="D797" s="8" t="str">
        <f t="shared" si="62"/>
        <v/>
      </c>
      <c r="F797" s="4" t="str">
        <f>IF(Jugadores!B797="","",Jugadores!B797)</f>
        <v/>
      </c>
      <c r="G797" s="4" t="str">
        <f>IF(Jugadores!B797="","",Jugadores!A797)</f>
        <v/>
      </c>
      <c r="H797" s="4" t="str">
        <f>IF(F797="","",SUMIF('Estadísticas Jugadores'!$F$2:$F$7001,F797,'Estadísticas Jugadores'!$J$2:$J$7001))</f>
        <v/>
      </c>
      <c r="I797" s="4" t="str">
        <f t="shared" si="63"/>
        <v/>
      </c>
      <c r="J797" s="4" t="str">
        <f t="shared" si="64"/>
        <v/>
      </c>
    </row>
    <row r="798" spans="1:10" ht="15" customHeight="1" x14ac:dyDescent="0.25">
      <c r="A798" s="8" t="str">
        <f>IF(COUNT($J$2:$J$1501)&gt;=797,797,"")</f>
        <v/>
      </c>
      <c r="B798" s="8" t="str">
        <f t="shared" si="60"/>
        <v/>
      </c>
      <c r="C798" s="8" t="str">
        <f t="shared" si="61"/>
        <v/>
      </c>
      <c r="D798" s="8" t="str">
        <f t="shared" si="62"/>
        <v/>
      </c>
      <c r="F798" s="4" t="str">
        <f>IF(Jugadores!B798="","",Jugadores!B798)</f>
        <v/>
      </c>
      <c r="G798" s="4" t="str">
        <f>IF(Jugadores!B798="","",Jugadores!A798)</f>
        <v/>
      </c>
      <c r="H798" s="4" t="str">
        <f>IF(F798="","",SUMIF('Estadísticas Jugadores'!$F$2:$F$7001,F798,'Estadísticas Jugadores'!$J$2:$J$7001))</f>
        <v/>
      </c>
      <c r="I798" s="4" t="str">
        <f t="shared" si="63"/>
        <v/>
      </c>
      <c r="J798" s="4" t="str">
        <f t="shared" si="64"/>
        <v/>
      </c>
    </row>
    <row r="799" spans="1:10" ht="15" customHeight="1" x14ac:dyDescent="0.25">
      <c r="A799" s="8" t="str">
        <f>IF(COUNT($J$2:$J$1501)&gt;=798,798,"")</f>
        <v/>
      </c>
      <c r="B799" s="8" t="str">
        <f t="shared" si="60"/>
        <v/>
      </c>
      <c r="C799" s="8" t="str">
        <f t="shared" si="61"/>
        <v/>
      </c>
      <c r="D799" s="8" t="str">
        <f t="shared" si="62"/>
        <v/>
      </c>
      <c r="F799" s="4" t="str">
        <f>IF(Jugadores!B799="","",Jugadores!B799)</f>
        <v/>
      </c>
      <c r="G799" s="4" t="str">
        <f>IF(Jugadores!B799="","",Jugadores!A799)</f>
        <v/>
      </c>
      <c r="H799" s="4" t="str">
        <f>IF(F799="","",SUMIF('Estadísticas Jugadores'!$F$2:$F$7001,F799,'Estadísticas Jugadores'!$J$2:$J$7001))</f>
        <v/>
      </c>
      <c r="I799" s="4" t="str">
        <f t="shared" si="63"/>
        <v/>
      </c>
      <c r="J799" s="4" t="str">
        <f t="shared" si="64"/>
        <v/>
      </c>
    </row>
    <row r="800" spans="1:10" ht="15" customHeight="1" x14ac:dyDescent="0.25">
      <c r="A800" s="8" t="str">
        <f>IF(COUNT($J$2:$J$1501)&gt;=799,799,"")</f>
        <v/>
      </c>
      <c r="B800" s="8" t="str">
        <f t="shared" si="60"/>
        <v/>
      </c>
      <c r="C800" s="8" t="str">
        <f t="shared" si="61"/>
        <v/>
      </c>
      <c r="D800" s="8" t="str">
        <f t="shared" si="62"/>
        <v/>
      </c>
      <c r="F800" s="4" t="str">
        <f>IF(Jugadores!B800="","",Jugadores!B800)</f>
        <v/>
      </c>
      <c r="G800" s="4" t="str">
        <f>IF(Jugadores!B800="","",Jugadores!A800)</f>
        <v/>
      </c>
      <c r="H800" s="4" t="str">
        <f>IF(F800="","",SUMIF('Estadísticas Jugadores'!$F$2:$F$7001,F800,'Estadísticas Jugadores'!$J$2:$J$7001))</f>
        <v/>
      </c>
      <c r="I800" s="4" t="str">
        <f t="shared" si="63"/>
        <v/>
      </c>
      <c r="J800" s="4" t="str">
        <f t="shared" si="64"/>
        <v/>
      </c>
    </row>
    <row r="801" spans="1:10" ht="15" customHeight="1" x14ac:dyDescent="0.25">
      <c r="A801" s="8" t="str">
        <f>IF(COUNT($J$2:$J$1501)&gt;=800,800,"")</f>
        <v/>
      </c>
      <c r="B801" s="8" t="str">
        <f t="shared" si="60"/>
        <v/>
      </c>
      <c r="C801" s="8" t="str">
        <f t="shared" si="61"/>
        <v/>
      </c>
      <c r="D801" s="8" t="str">
        <f t="shared" si="62"/>
        <v/>
      </c>
      <c r="F801" s="4" t="str">
        <f>IF(Jugadores!B801="","",Jugadores!B801)</f>
        <v/>
      </c>
      <c r="G801" s="4" t="str">
        <f>IF(Jugadores!B801="","",Jugadores!A801)</f>
        <v/>
      </c>
      <c r="H801" s="4" t="str">
        <f>IF(F801="","",SUMIF('Estadísticas Jugadores'!$F$2:$F$7001,F801,'Estadísticas Jugadores'!$J$2:$J$7001))</f>
        <v/>
      </c>
      <c r="I801" s="4" t="str">
        <f t="shared" si="63"/>
        <v/>
      </c>
      <c r="J801" s="4" t="str">
        <f t="shared" si="64"/>
        <v/>
      </c>
    </row>
    <row r="802" spans="1:10" ht="15" customHeight="1" x14ac:dyDescent="0.25">
      <c r="A802" s="8" t="str">
        <f>IF(COUNT($J$2:$J$1501)&gt;=801,801,"")</f>
        <v/>
      </c>
      <c r="B802" s="8" t="str">
        <f t="shared" si="60"/>
        <v/>
      </c>
      <c r="C802" s="8" t="str">
        <f t="shared" si="61"/>
        <v/>
      </c>
      <c r="D802" s="8" t="str">
        <f t="shared" si="62"/>
        <v/>
      </c>
      <c r="F802" s="4" t="str">
        <f>IF(Jugadores!B802="","",Jugadores!B802)</f>
        <v/>
      </c>
      <c r="G802" s="4" t="str">
        <f>IF(Jugadores!B802="","",Jugadores!A802)</f>
        <v/>
      </c>
      <c r="H802" s="4" t="str">
        <f>IF(F802="","",SUMIF('Estadísticas Jugadores'!$F$2:$F$7001,F802,'Estadísticas Jugadores'!$J$2:$J$7001))</f>
        <v/>
      </c>
      <c r="I802" s="4" t="str">
        <f t="shared" si="63"/>
        <v/>
      </c>
      <c r="J802" s="4" t="str">
        <f t="shared" si="64"/>
        <v/>
      </c>
    </row>
    <row r="803" spans="1:10" ht="15" customHeight="1" x14ac:dyDescent="0.25">
      <c r="A803" s="8" t="str">
        <f>IF(COUNT($J$2:$J$1501)&gt;=802,802,"")</f>
        <v/>
      </c>
      <c r="B803" s="8" t="str">
        <f t="shared" si="60"/>
        <v/>
      </c>
      <c r="C803" s="8" t="str">
        <f t="shared" si="61"/>
        <v/>
      </c>
      <c r="D803" s="8" t="str">
        <f t="shared" si="62"/>
        <v/>
      </c>
      <c r="F803" s="4" t="str">
        <f>IF(Jugadores!B803="","",Jugadores!B803)</f>
        <v/>
      </c>
      <c r="G803" s="4" t="str">
        <f>IF(Jugadores!B803="","",Jugadores!A803)</f>
        <v/>
      </c>
      <c r="H803" s="4" t="str">
        <f>IF(F803="","",SUMIF('Estadísticas Jugadores'!$F$2:$F$7001,F803,'Estadísticas Jugadores'!$J$2:$J$7001))</f>
        <v/>
      </c>
      <c r="I803" s="4" t="str">
        <f t="shared" si="63"/>
        <v/>
      </c>
      <c r="J803" s="4" t="str">
        <f t="shared" si="64"/>
        <v/>
      </c>
    </row>
    <row r="804" spans="1:10" ht="15" customHeight="1" x14ac:dyDescent="0.25">
      <c r="A804" s="8" t="str">
        <f>IF(COUNT($J$2:$J$1501)&gt;=803,803,"")</f>
        <v/>
      </c>
      <c r="B804" s="8" t="str">
        <f t="shared" si="60"/>
        <v/>
      </c>
      <c r="C804" s="8" t="str">
        <f t="shared" si="61"/>
        <v/>
      </c>
      <c r="D804" s="8" t="str">
        <f t="shared" si="62"/>
        <v/>
      </c>
      <c r="F804" s="4" t="str">
        <f>IF(Jugadores!B804="","",Jugadores!B804)</f>
        <v/>
      </c>
      <c r="G804" s="4" t="str">
        <f>IF(Jugadores!B804="","",Jugadores!A804)</f>
        <v/>
      </c>
      <c r="H804" s="4" t="str">
        <f>IF(F804="","",SUMIF('Estadísticas Jugadores'!$F$2:$F$7001,F804,'Estadísticas Jugadores'!$J$2:$J$7001))</f>
        <v/>
      </c>
      <c r="I804" s="4" t="str">
        <f t="shared" si="63"/>
        <v/>
      </c>
      <c r="J804" s="4" t="str">
        <f t="shared" si="64"/>
        <v/>
      </c>
    </row>
    <row r="805" spans="1:10" ht="15" customHeight="1" x14ac:dyDescent="0.25">
      <c r="A805" s="8" t="str">
        <f>IF(COUNT($J$2:$J$1501)&gt;=804,804,"")</f>
        <v/>
      </c>
      <c r="B805" s="8" t="str">
        <f t="shared" si="60"/>
        <v/>
      </c>
      <c r="C805" s="8" t="str">
        <f t="shared" si="61"/>
        <v/>
      </c>
      <c r="D805" s="8" t="str">
        <f t="shared" si="62"/>
        <v/>
      </c>
      <c r="F805" s="4" t="str">
        <f>IF(Jugadores!B805="","",Jugadores!B805)</f>
        <v/>
      </c>
      <c r="G805" s="4" t="str">
        <f>IF(Jugadores!B805="","",Jugadores!A805)</f>
        <v/>
      </c>
      <c r="H805" s="4" t="str">
        <f>IF(F805="","",SUMIF('Estadísticas Jugadores'!$F$2:$F$7001,F805,'Estadísticas Jugadores'!$J$2:$J$7001))</f>
        <v/>
      </c>
      <c r="I805" s="4" t="str">
        <f t="shared" si="63"/>
        <v/>
      </c>
      <c r="J805" s="4" t="str">
        <f t="shared" si="64"/>
        <v/>
      </c>
    </row>
    <row r="806" spans="1:10" ht="15" customHeight="1" x14ac:dyDescent="0.25">
      <c r="A806" s="8" t="str">
        <f>IF(COUNT($J$2:$J$1501)&gt;=805,805,"")</f>
        <v/>
      </c>
      <c r="B806" s="8" t="str">
        <f t="shared" si="60"/>
        <v/>
      </c>
      <c r="C806" s="8" t="str">
        <f t="shared" si="61"/>
        <v/>
      </c>
      <c r="D806" s="8" t="str">
        <f t="shared" si="62"/>
        <v/>
      </c>
      <c r="F806" s="4" t="str">
        <f>IF(Jugadores!B806="","",Jugadores!B806)</f>
        <v/>
      </c>
      <c r="G806" s="4" t="str">
        <f>IF(Jugadores!B806="","",Jugadores!A806)</f>
        <v/>
      </c>
      <c r="H806" s="4" t="str">
        <f>IF(F806="","",SUMIF('Estadísticas Jugadores'!$F$2:$F$7001,F806,'Estadísticas Jugadores'!$J$2:$J$7001))</f>
        <v/>
      </c>
      <c r="I806" s="4" t="str">
        <f t="shared" si="63"/>
        <v/>
      </c>
      <c r="J806" s="4" t="str">
        <f t="shared" si="64"/>
        <v/>
      </c>
    </row>
    <row r="807" spans="1:10" ht="15" customHeight="1" x14ac:dyDescent="0.25">
      <c r="A807" s="8" t="str">
        <f>IF(COUNT($J$2:$J$1501)&gt;=806,806,"")</f>
        <v/>
      </c>
      <c r="B807" s="8" t="str">
        <f t="shared" si="60"/>
        <v/>
      </c>
      <c r="C807" s="8" t="str">
        <f t="shared" si="61"/>
        <v/>
      </c>
      <c r="D807" s="8" t="str">
        <f t="shared" si="62"/>
        <v/>
      </c>
      <c r="F807" s="4" t="str">
        <f>IF(Jugadores!B807="","",Jugadores!B807)</f>
        <v/>
      </c>
      <c r="G807" s="4" t="str">
        <f>IF(Jugadores!B807="","",Jugadores!A807)</f>
        <v/>
      </c>
      <c r="H807" s="4" t="str">
        <f>IF(F807="","",SUMIF('Estadísticas Jugadores'!$F$2:$F$7001,F807,'Estadísticas Jugadores'!$J$2:$J$7001))</f>
        <v/>
      </c>
      <c r="I807" s="4" t="str">
        <f t="shared" si="63"/>
        <v/>
      </c>
      <c r="J807" s="4" t="str">
        <f t="shared" si="64"/>
        <v/>
      </c>
    </row>
    <row r="808" spans="1:10" ht="15" customHeight="1" x14ac:dyDescent="0.25">
      <c r="A808" s="8" t="str">
        <f>IF(COUNT($J$2:$J$1501)&gt;=807,807,"")</f>
        <v/>
      </c>
      <c r="B808" s="8" t="str">
        <f t="shared" si="60"/>
        <v/>
      </c>
      <c r="C808" s="8" t="str">
        <f t="shared" si="61"/>
        <v/>
      </c>
      <c r="D808" s="8" t="str">
        <f t="shared" si="62"/>
        <v/>
      </c>
      <c r="F808" s="4" t="str">
        <f>IF(Jugadores!B808="","",Jugadores!B808)</f>
        <v/>
      </c>
      <c r="G808" s="4" t="str">
        <f>IF(Jugadores!B808="","",Jugadores!A808)</f>
        <v/>
      </c>
      <c r="H808" s="4" t="str">
        <f>IF(F808="","",SUMIF('Estadísticas Jugadores'!$F$2:$F$7001,F808,'Estadísticas Jugadores'!$J$2:$J$7001))</f>
        <v/>
      </c>
      <c r="I808" s="4" t="str">
        <f t="shared" si="63"/>
        <v/>
      </c>
      <c r="J808" s="4" t="str">
        <f t="shared" si="64"/>
        <v/>
      </c>
    </row>
    <row r="809" spans="1:10" ht="15" customHeight="1" x14ac:dyDescent="0.25">
      <c r="A809" s="8" t="str">
        <f>IF(COUNT($J$2:$J$1501)&gt;=808,808,"")</f>
        <v/>
      </c>
      <c r="B809" s="8" t="str">
        <f t="shared" si="60"/>
        <v/>
      </c>
      <c r="C809" s="8" t="str">
        <f t="shared" si="61"/>
        <v/>
      </c>
      <c r="D809" s="8" t="str">
        <f t="shared" si="62"/>
        <v/>
      </c>
      <c r="F809" s="4" t="str">
        <f>IF(Jugadores!B809="","",Jugadores!B809)</f>
        <v/>
      </c>
      <c r="G809" s="4" t="str">
        <f>IF(Jugadores!B809="","",Jugadores!A809)</f>
        <v/>
      </c>
      <c r="H809" s="4" t="str">
        <f>IF(F809="","",SUMIF('Estadísticas Jugadores'!$F$2:$F$7001,F809,'Estadísticas Jugadores'!$J$2:$J$7001))</f>
        <v/>
      </c>
      <c r="I809" s="4" t="str">
        <f t="shared" si="63"/>
        <v/>
      </c>
      <c r="J809" s="4" t="str">
        <f t="shared" si="64"/>
        <v/>
      </c>
    </row>
    <row r="810" spans="1:10" ht="15" customHeight="1" x14ac:dyDescent="0.25">
      <c r="A810" s="8" t="str">
        <f>IF(COUNT($J$2:$J$1501)&gt;=809,809,"")</f>
        <v/>
      </c>
      <c r="B810" s="8" t="str">
        <f t="shared" si="60"/>
        <v/>
      </c>
      <c r="C810" s="8" t="str">
        <f t="shared" si="61"/>
        <v/>
      </c>
      <c r="D810" s="8" t="str">
        <f t="shared" si="62"/>
        <v/>
      </c>
      <c r="F810" s="4" t="str">
        <f>IF(Jugadores!B810="","",Jugadores!B810)</f>
        <v/>
      </c>
      <c r="G810" s="4" t="str">
        <f>IF(Jugadores!B810="","",Jugadores!A810)</f>
        <v/>
      </c>
      <c r="H810" s="4" t="str">
        <f>IF(F810="","",SUMIF('Estadísticas Jugadores'!$F$2:$F$7001,F810,'Estadísticas Jugadores'!$J$2:$J$7001))</f>
        <v/>
      </c>
      <c r="I810" s="4" t="str">
        <f t="shared" si="63"/>
        <v/>
      </c>
      <c r="J810" s="4" t="str">
        <f t="shared" si="64"/>
        <v/>
      </c>
    </row>
    <row r="811" spans="1:10" ht="15" customHeight="1" x14ac:dyDescent="0.25">
      <c r="A811" s="8" t="str">
        <f>IF(COUNT($J$2:$J$1501)&gt;=810,810,"")</f>
        <v/>
      </c>
      <c r="B811" s="8" t="str">
        <f t="shared" si="60"/>
        <v/>
      </c>
      <c r="C811" s="8" t="str">
        <f t="shared" si="61"/>
        <v/>
      </c>
      <c r="D811" s="8" t="str">
        <f t="shared" si="62"/>
        <v/>
      </c>
      <c r="F811" s="4" t="str">
        <f>IF(Jugadores!B811="","",Jugadores!B811)</f>
        <v/>
      </c>
      <c r="G811" s="4" t="str">
        <f>IF(Jugadores!B811="","",Jugadores!A811)</f>
        <v/>
      </c>
      <c r="H811" s="4" t="str">
        <f>IF(F811="","",SUMIF('Estadísticas Jugadores'!$F$2:$F$7001,F811,'Estadísticas Jugadores'!$J$2:$J$7001))</f>
        <v/>
      </c>
      <c r="I811" s="4" t="str">
        <f t="shared" si="63"/>
        <v/>
      </c>
      <c r="J811" s="4" t="str">
        <f t="shared" si="64"/>
        <v/>
      </c>
    </row>
    <row r="812" spans="1:10" ht="15" customHeight="1" x14ac:dyDescent="0.25">
      <c r="A812" s="8" t="str">
        <f>IF(COUNT($J$2:$J$1501)&gt;=811,811,"")</f>
        <v/>
      </c>
      <c r="B812" s="8" t="str">
        <f t="shared" si="60"/>
        <v/>
      </c>
      <c r="C812" s="8" t="str">
        <f t="shared" si="61"/>
        <v/>
      </c>
      <c r="D812" s="8" t="str">
        <f t="shared" si="62"/>
        <v/>
      </c>
      <c r="F812" s="4" t="str">
        <f>IF(Jugadores!B812="","",Jugadores!B812)</f>
        <v/>
      </c>
      <c r="G812" s="4" t="str">
        <f>IF(Jugadores!B812="","",Jugadores!A812)</f>
        <v/>
      </c>
      <c r="H812" s="4" t="str">
        <f>IF(F812="","",SUMIF('Estadísticas Jugadores'!$F$2:$F$7001,F812,'Estadísticas Jugadores'!$J$2:$J$7001))</f>
        <v/>
      </c>
      <c r="I812" s="4" t="str">
        <f t="shared" si="63"/>
        <v/>
      </c>
      <c r="J812" s="4" t="str">
        <f t="shared" si="64"/>
        <v/>
      </c>
    </row>
    <row r="813" spans="1:10" ht="15" customHeight="1" x14ac:dyDescent="0.25">
      <c r="A813" s="8" t="str">
        <f>IF(COUNT($J$2:$J$1501)&gt;=812,812,"")</f>
        <v/>
      </c>
      <c r="B813" s="8" t="str">
        <f t="shared" si="60"/>
        <v/>
      </c>
      <c r="C813" s="8" t="str">
        <f t="shared" si="61"/>
        <v/>
      </c>
      <c r="D813" s="8" t="str">
        <f t="shared" si="62"/>
        <v/>
      </c>
      <c r="F813" s="4" t="str">
        <f>IF(Jugadores!B813="","",Jugadores!B813)</f>
        <v/>
      </c>
      <c r="G813" s="4" t="str">
        <f>IF(Jugadores!B813="","",Jugadores!A813)</f>
        <v/>
      </c>
      <c r="H813" s="4" t="str">
        <f>IF(F813="","",SUMIF('Estadísticas Jugadores'!$F$2:$F$7001,F813,'Estadísticas Jugadores'!$J$2:$J$7001))</f>
        <v/>
      </c>
      <c r="I813" s="4" t="str">
        <f t="shared" si="63"/>
        <v/>
      </c>
      <c r="J813" s="4" t="str">
        <f t="shared" si="64"/>
        <v/>
      </c>
    </row>
    <row r="814" spans="1:10" ht="15" customHeight="1" x14ac:dyDescent="0.25">
      <c r="A814" s="8" t="str">
        <f>IF(COUNT($J$2:$J$1501)&gt;=813,813,"")</f>
        <v/>
      </c>
      <c r="B814" s="8" t="str">
        <f t="shared" si="60"/>
        <v/>
      </c>
      <c r="C814" s="8" t="str">
        <f t="shared" si="61"/>
        <v/>
      </c>
      <c r="D814" s="8" t="str">
        <f t="shared" si="62"/>
        <v/>
      </c>
      <c r="F814" s="4" t="str">
        <f>IF(Jugadores!B814="","",Jugadores!B814)</f>
        <v/>
      </c>
      <c r="G814" s="4" t="str">
        <f>IF(Jugadores!B814="","",Jugadores!A814)</f>
        <v/>
      </c>
      <c r="H814" s="4" t="str">
        <f>IF(F814="","",SUMIF('Estadísticas Jugadores'!$F$2:$F$7001,F814,'Estadísticas Jugadores'!$J$2:$J$7001))</f>
        <v/>
      </c>
      <c r="I814" s="4" t="str">
        <f t="shared" si="63"/>
        <v/>
      </c>
      <c r="J814" s="4" t="str">
        <f t="shared" si="64"/>
        <v/>
      </c>
    </row>
    <row r="815" spans="1:10" ht="15" customHeight="1" x14ac:dyDescent="0.25">
      <c r="A815" s="8" t="str">
        <f>IF(COUNT($J$2:$J$1501)&gt;=814,814,"")</f>
        <v/>
      </c>
      <c r="B815" s="8" t="str">
        <f t="shared" si="60"/>
        <v/>
      </c>
      <c r="C815" s="8" t="str">
        <f t="shared" si="61"/>
        <v/>
      </c>
      <c r="D815" s="8" t="str">
        <f t="shared" si="62"/>
        <v/>
      </c>
      <c r="F815" s="4" t="str">
        <f>IF(Jugadores!B815="","",Jugadores!B815)</f>
        <v/>
      </c>
      <c r="G815" s="4" t="str">
        <f>IF(Jugadores!B815="","",Jugadores!A815)</f>
        <v/>
      </c>
      <c r="H815" s="4" t="str">
        <f>IF(F815="","",SUMIF('Estadísticas Jugadores'!$F$2:$F$7001,F815,'Estadísticas Jugadores'!$J$2:$J$7001))</f>
        <v/>
      </c>
      <c r="I815" s="4" t="str">
        <f t="shared" si="63"/>
        <v/>
      </c>
      <c r="J815" s="4" t="str">
        <f t="shared" si="64"/>
        <v/>
      </c>
    </row>
    <row r="816" spans="1:10" ht="15" customHeight="1" x14ac:dyDescent="0.25">
      <c r="A816" s="8" t="str">
        <f>IF(COUNT($J$2:$J$1501)&gt;=815,815,"")</f>
        <v/>
      </c>
      <c r="B816" s="8" t="str">
        <f t="shared" si="60"/>
        <v/>
      </c>
      <c r="C816" s="8" t="str">
        <f t="shared" si="61"/>
        <v/>
      </c>
      <c r="D816" s="8" t="str">
        <f t="shared" si="62"/>
        <v/>
      </c>
      <c r="F816" s="4" t="str">
        <f>IF(Jugadores!B816="","",Jugadores!B816)</f>
        <v/>
      </c>
      <c r="G816" s="4" t="str">
        <f>IF(Jugadores!B816="","",Jugadores!A816)</f>
        <v/>
      </c>
      <c r="H816" s="4" t="str">
        <f>IF(F816="","",SUMIF('Estadísticas Jugadores'!$F$2:$F$7001,F816,'Estadísticas Jugadores'!$J$2:$J$7001))</f>
        <v/>
      </c>
      <c r="I816" s="4" t="str">
        <f t="shared" si="63"/>
        <v/>
      </c>
      <c r="J816" s="4" t="str">
        <f t="shared" si="64"/>
        <v/>
      </c>
    </row>
    <row r="817" spans="1:10" ht="15" customHeight="1" x14ac:dyDescent="0.25">
      <c r="A817" s="8" t="str">
        <f>IF(COUNT($J$2:$J$1501)&gt;=816,816,"")</f>
        <v/>
      </c>
      <c r="B817" s="8" t="str">
        <f t="shared" si="60"/>
        <v/>
      </c>
      <c r="C817" s="8" t="str">
        <f t="shared" si="61"/>
        <v/>
      </c>
      <c r="D817" s="8" t="str">
        <f t="shared" si="62"/>
        <v/>
      </c>
      <c r="F817" s="4" t="str">
        <f>IF(Jugadores!B817="","",Jugadores!B817)</f>
        <v/>
      </c>
      <c r="G817" s="4" t="str">
        <f>IF(Jugadores!B817="","",Jugadores!A817)</f>
        <v/>
      </c>
      <c r="H817" s="4" t="str">
        <f>IF(F817="","",SUMIF('Estadísticas Jugadores'!$F$2:$F$7001,F817,'Estadísticas Jugadores'!$J$2:$J$7001))</f>
        <v/>
      </c>
      <c r="I817" s="4" t="str">
        <f t="shared" si="63"/>
        <v/>
      </c>
      <c r="J817" s="4" t="str">
        <f t="shared" si="64"/>
        <v/>
      </c>
    </row>
    <row r="818" spans="1:10" ht="15" customHeight="1" x14ac:dyDescent="0.25">
      <c r="A818" s="8" t="str">
        <f>IF(COUNT($J$2:$J$1501)&gt;=817,817,"")</f>
        <v/>
      </c>
      <c r="B818" s="8" t="str">
        <f t="shared" si="60"/>
        <v/>
      </c>
      <c r="C818" s="8" t="str">
        <f t="shared" si="61"/>
        <v/>
      </c>
      <c r="D818" s="8" t="str">
        <f t="shared" si="62"/>
        <v/>
      </c>
      <c r="F818" s="4" t="str">
        <f>IF(Jugadores!B818="","",Jugadores!B818)</f>
        <v/>
      </c>
      <c r="G818" s="4" t="str">
        <f>IF(Jugadores!B818="","",Jugadores!A818)</f>
        <v/>
      </c>
      <c r="H818" s="4" t="str">
        <f>IF(F818="","",SUMIF('Estadísticas Jugadores'!$F$2:$F$7001,F818,'Estadísticas Jugadores'!$J$2:$J$7001))</f>
        <v/>
      </c>
      <c r="I818" s="4" t="str">
        <f t="shared" si="63"/>
        <v/>
      </c>
      <c r="J818" s="4" t="str">
        <f t="shared" si="64"/>
        <v/>
      </c>
    </row>
    <row r="819" spans="1:10" ht="15" customHeight="1" x14ac:dyDescent="0.25">
      <c r="A819" s="8" t="str">
        <f>IF(COUNT($J$2:$J$1501)&gt;=818,818,"")</f>
        <v/>
      </c>
      <c r="B819" s="8" t="str">
        <f t="shared" si="60"/>
        <v/>
      </c>
      <c r="C819" s="8" t="str">
        <f t="shared" si="61"/>
        <v/>
      </c>
      <c r="D819" s="8" t="str">
        <f t="shared" si="62"/>
        <v/>
      </c>
      <c r="F819" s="4" t="str">
        <f>IF(Jugadores!B819="","",Jugadores!B819)</f>
        <v/>
      </c>
      <c r="G819" s="4" t="str">
        <f>IF(Jugadores!B819="","",Jugadores!A819)</f>
        <v/>
      </c>
      <c r="H819" s="4" t="str">
        <f>IF(F819="","",SUMIF('Estadísticas Jugadores'!$F$2:$F$7001,F819,'Estadísticas Jugadores'!$J$2:$J$7001))</f>
        <v/>
      </c>
      <c r="I819" s="4" t="str">
        <f t="shared" si="63"/>
        <v/>
      </c>
      <c r="J819" s="4" t="str">
        <f t="shared" si="64"/>
        <v/>
      </c>
    </row>
    <row r="820" spans="1:10" ht="15" customHeight="1" x14ac:dyDescent="0.25">
      <c r="A820" s="8" t="str">
        <f>IF(COUNT($J$2:$J$1501)&gt;=819,819,"")</f>
        <v/>
      </c>
      <c r="B820" s="8" t="str">
        <f t="shared" si="60"/>
        <v/>
      </c>
      <c r="C820" s="8" t="str">
        <f t="shared" si="61"/>
        <v/>
      </c>
      <c r="D820" s="8" t="str">
        <f t="shared" si="62"/>
        <v/>
      </c>
      <c r="F820" s="4" t="str">
        <f>IF(Jugadores!B820="","",Jugadores!B820)</f>
        <v/>
      </c>
      <c r="G820" s="4" t="str">
        <f>IF(Jugadores!B820="","",Jugadores!A820)</f>
        <v/>
      </c>
      <c r="H820" s="4" t="str">
        <f>IF(F820="","",SUMIF('Estadísticas Jugadores'!$F$2:$F$7001,F820,'Estadísticas Jugadores'!$J$2:$J$7001))</f>
        <v/>
      </c>
      <c r="I820" s="4" t="str">
        <f t="shared" si="63"/>
        <v/>
      </c>
      <c r="J820" s="4" t="str">
        <f t="shared" si="64"/>
        <v/>
      </c>
    </row>
    <row r="821" spans="1:10" ht="15" customHeight="1" x14ac:dyDescent="0.25">
      <c r="A821" s="8" t="str">
        <f>IF(COUNT($J$2:$J$1501)&gt;=820,820,"")</f>
        <v/>
      </c>
      <c r="B821" s="8" t="str">
        <f t="shared" si="60"/>
        <v/>
      </c>
      <c r="C821" s="8" t="str">
        <f t="shared" si="61"/>
        <v/>
      </c>
      <c r="D821" s="8" t="str">
        <f t="shared" si="62"/>
        <v/>
      </c>
      <c r="F821" s="4" t="str">
        <f>IF(Jugadores!B821="","",Jugadores!B821)</f>
        <v/>
      </c>
      <c r="G821" s="4" t="str">
        <f>IF(Jugadores!B821="","",Jugadores!A821)</f>
        <v/>
      </c>
      <c r="H821" s="4" t="str">
        <f>IF(F821="","",SUMIF('Estadísticas Jugadores'!$F$2:$F$7001,F821,'Estadísticas Jugadores'!$J$2:$J$7001))</f>
        <v/>
      </c>
      <c r="I821" s="4" t="str">
        <f t="shared" si="63"/>
        <v/>
      </c>
      <c r="J821" s="4" t="str">
        <f t="shared" si="64"/>
        <v/>
      </c>
    </row>
    <row r="822" spans="1:10" ht="15" customHeight="1" x14ac:dyDescent="0.25">
      <c r="A822" s="8" t="str">
        <f>IF(COUNT($J$2:$J$1501)&gt;=821,821,"")</f>
        <v/>
      </c>
      <c r="B822" s="8" t="str">
        <f t="shared" si="60"/>
        <v/>
      </c>
      <c r="C822" s="8" t="str">
        <f t="shared" si="61"/>
        <v/>
      </c>
      <c r="D822" s="8" t="str">
        <f t="shared" si="62"/>
        <v/>
      </c>
      <c r="F822" s="4" t="str">
        <f>IF(Jugadores!B822="","",Jugadores!B822)</f>
        <v/>
      </c>
      <c r="G822" s="4" t="str">
        <f>IF(Jugadores!B822="","",Jugadores!A822)</f>
        <v/>
      </c>
      <c r="H822" s="4" t="str">
        <f>IF(F822="","",SUMIF('Estadísticas Jugadores'!$F$2:$F$7001,F822,'Estadísticas Jugadores'!$J$2:$J$7001))</f>
        <v/>
      </c>
      <c r="I822" s="4" t="str">
        <f t="shared" si="63"/>
        <v/>
      </c>
      <c r="J822" s="4" t="str">
        <f t="shared" si="64"/>
        <v/>
      </c>
    </row>
    <row r="823" spans="1:10" ht="15" customHeight="1" x14ac:dyDescent="0.25">
      <c r="A823" s="8" t="str">
        <f>IF(COUNT($J$2:$J$1501)&gt;=822,822,"")</f>
        <v/>
      </c>
      <c r="B823" s="8" t="str">
        <f t="shared" si="60"/>
        <v/>
      </c>
      <c r="C823" s="8" t="str">
        <f t="shared" si="61"/>
        <v/>
      </c>
      <c r="D823" s="8" t="str">
        <f t="shared" si="62"/>
        <v/>
      </c>
      <c r="F823" s="4" t="str">
        <f>IF(Jugadores!B823="","",Jugadores!B823)</f>
        <v/>
      </c>
      <c r="G823" s="4" t="str">
        <f>IF(Jugadores!B823="","",Jugadores!A823)</f>
        <v/>
      </c>
      <c r="H823" s="4" t="str">
        <f>IF(F823="","",SUMIF('Estadísticas Jugadores'!$F$2:$F$7001,F823,'Estadísticas Jugadores'!$J$2:$J$7001))</f>
        <v/>
      </c>
      <c r="I823" s="4" t="str">
        <f t="shared" si="63"/>
        <v/>
      </c>
      <c r="J823" s="4" t="str">
        <f t="shared" si="64"/>
        <v/>
      </c>
    </row>
    <row r="824" spans="1:10" ht="15" customHeight="1" x14ac:dyDescent="0.25">
      <c r="A824" s="8" t="str">
        <f>IF(COUNT($J$2:$J$1501)&gt;=823,823,"")</f>
        <v/>
      </c>
      <c r="B824" s="8" t="str">
        <f t="shared" si="60"/>
        <v/>
      </c>
      <c r="C824" s="8" t="str">
        <f t="shared" si="61"/>
        <v/>
      </c>
      <c r="D824" s="8" t="str">
        <f t="shared" si="62"/>
        <v/>
      </c>
      <c r="F824" s="4" t="str">
        <f>IF(Jugadores!B824="","",Jugadores!B824)</f>
        <v/>
      </c>
      <c r="G824" s="4" t="str">
        <f>IF(Jugadores!B824="","",Jugadores!A824)</f>
        <v/>
      </c>
      <c r="H824" s="4" t="str">
        <f>IF(F824="","",SUMIF('Estadísticas Jugadores'!$F$2:$F$7001,F824,'Estadísticas Jugadores'!$J$2:$J$7001))</f>
        <v/>
      </c>
      <c r="I824" s="4" t="str">
        <f t="shared" si="63"/>
        <v/>
      </c>
      <c r="J824" s="4" t="str">
        <f t="shared" si="64"/>
        <v/>
      </c>
    </row>
    <row r="825" spans="1:10" ht="15" customHeight="1" x14ac:dyDescent="0.25">
      <c r="A825" s="8" t="str">
        <f>IF(COUNT($J$2:$J$1501)&gt;=824,824,"")</f>
        <v/>
      </c>
      <c r="B825" s="8" t="str">
        <f t="shared" si="60"/>
        <v/>
      </c>
      <c r="C825" s="8" t="str">
        <f t="shared" si="61"/>
        <v/>
      </c>
      <c r="D825" s="8" t="str">
        <f t="shared" si="62"/>
        <v/>
      </c>
      <c r="F825" s="4" t="str">
        <f>IF(Jugadores!B825="","",Jugadores!B825)</f>
        <v/>
      </c>
      <c r="G825" s="4" t="str">
        <f>IF(Jugadores!B825="","",Jugadores!A825)</f>
        <v/>
      </c>
      <c r="H825" s="4" t="str">
        <f>IF(F825="","",SUMIF('Estadísticas Jugadores'!$F$2:$F$7001,F825,'Estadísticas Jugadores'!$J$2:$J$7001))</f>
        <v/>
      </c>
      <c r="I825" s="4" t="str">
        <f t="shared" si="63"/>
        <v/>
      </c>
      <c r="J825" s="4" t="str">
        <f t="shared" si="64"/>
        <v/>
      </c>
    </row>
    <row r="826" spans="1:10" ht="15" customHeight="1" x14ac:dyDescent="0.25">
      <c r="A826" s="8" t="str">
        <f>IF(COUNT($J$2:$J$1501)&gt;=825,825,"")</f>
        <v/>
      </c>
      <c r="B826" s="8" t="str">
        <f t="shared" si="60"/>
        <v/>
      </c>
      <c r="C826" s="8" t="str">
        <f t="shared" si="61"/>
        <v/>
      </c>
      <c r="D826" s="8" t="str">
        <f t="shared" si="62"/>
        <v/>
      </c>
      <c r="F826" s="4" t="str">
        <f>IF(Jugadores!B826="","",Jugadores!B826)</f>
        <v/>
      </c>
      <c r="G826" s="4" t="str">
        <f>IF(Jugadores!B826="","",Jugadores!A826)</f>
        <v/>
      </c>
      <c r="H826" s="4" t="str">
        <f>IF(F826="","",SUMIF('Estadísticas Jugadores'!$F$2:$F$7001,F826,'Estadísticas Jugadores'!$J$2:$J$7001))</f>
        <v/>
      </c>
      <c r="I826" s="4" t="str">
        <f t="shared" si="63"/>
        <v/>
      </c>
      <c r="J826" s="4" t="str">
        <f t="shared" si="64"/>
        <v/>
      </c>
    </row>
    <row r="827" spans="1:10" ht="15" customHeight="1" x14ac:dyDescent="0.25">
      <c r="A827" s="8" t="str">
        <f>IF(COUNT($J$2:$J$1501)&gt;=826,826,"")</f>
        <v/>
      </c>
      <c r="B827" s="8" t="str">
        <f t="shared" si="60"/>
        <v/>
      </c>
      <c r="C827" s="8" t="str">
        <f t="shared" si="61"/>
        <v/>
      </c>
      <c r="D827" s="8" t="str">
        <f t="shared" si="62"/>
        <v/>
      </c>
      <c r="F827" s="4" t="str">
        <f>IF(Jugadores!B827="","",Jugadores!B827)</f>
        <v/>
      </c>
      <c r="G827" s="4" t="str">
        <f>IF(Jugadores!B827="","",Jugadores!A827)</f>
        <v/>
      </c>
      <c r="H827" s="4" t="str">
        <f>IF(F827="","",SUMIF('Estadísticas Jugadores'!$F$2:$F$7001,F827,'Estadísticas Jugadores'!$J$2:$J$7001))</f>
        <v/>
      </c>
      <c r="I827" s="4" t="str">
        <f t="shared" si="63"/>
        <v/>
      </c>
      <c r="J827" s="4" t="str">
        <f t="shared" si="64"/>
        <v/>
      </c>
    </row>
    <row r="828" spans="1:10" ht="15" customHeight="1" x14ac:dyDescent="0.25">
      <c r="A828" s="8" t="str">
        <f>IF(COUNT($J$2:$J$1501)&gt;=827,827,"")</f>
        <v/>
      </c>
      <c r="B828" s="8" t="str">
        <f t="shared" si="60"/>
        <v/>
      </c>
      <c r="C828" s="8" t="str">
        <f t="shared" si="61"/>
        <v/>
      </c>
      <c r="D828" s="8" t="str">
        <f t="shared" si="62"/>
        <v/>
      </c>
      <c r="F828" s="4" t="str">
        <f>IF(Jugadores!B828="","",Jugadores!B828)</f>
        <v/>
      </c>
      <c r="G828" s="4" t="str">
        <f>IF(Jugadores!B828="","",Jugadores!A828)</f>
        <v/>
      </c>
      <c r="H828" s="4" t="str">
        <f>IF(F828="","",SUMIF('Estadísticas Jugadores'!$F$2:$F$7001,F828,'Estadísticas Jugadores'!$J$2:$J$7001))</f>
        <v/>
      </c>
      <c r="I828" s="4" t="str">
        <f t="shared" si="63"/>
        <v/>
      </c>
      <c r="J828" s="4" t="str">
        <f t="shared" si="64"/>
        <v/>
      </c>
    </row>
    <row r="829" spans="1:10" ht="15" customHeight="1" x14ac:dyDescent="0.25">
      <c r="A829" s="8" t="str">
        <f>IF(COUNT($J$2:$J$1501)&gt;=828,828,"")</f>
        <v/>
      </c>
      <c r="B829" s="8" t="str">
        <f t="shared" si="60"/>
        <v/>
      </c>
      <c r="C829" s="8" t="str">
        <f t="shared" si="61"/>
        <v/>
      </c>
      <c r="D829" s="8" t="str">
        <f t="shared" si="62"/>
        <v/>
      </c>
      <c r="F829" s="4" t="str">
        <f>IF(Jugadores!B829="","",Jugadores!B829)</f>
        <v/>
      </c>
      <c r="G829" s="4" t="str">
        <f>IF(Jugadores!B829="","",Jugadores!A829)</f>
        <v/>
      </c>
      <c r="H829" s="4" t="str">
        <f>IF(F829="","",SUMIF('Estadísticas Jugadores'!$F$2:$F$7001,F829,'Estadísticas Jugadores'!$J$2:$J$7001))</f>
        <v/>
      </c>
      <c r="I829" s="4" t="str">
        <f t="shared" si="63"/>
        <v/>
      </c>
      <c r="J829" s="4" t="str">
        <f t="shared" si="64"/>
        <v/>
      </c>
    </row>
    <row r="830" spans="1:10" ht="15" customHeight="1" x14ac:dyDescent="0.25">
      <c r="A830" s="8" t="str">
        <f>IF(COUNT($J$2:$J$1501)&gt;=829,829,"")</f>
        <v/>
      </c>
      <c r="B830" s="8" t="str">
        <f t="shared" si="60"/>
        <v/>
      </c>
      <c r="C830" s="8" t="str">
        <f t="shared" si="61"/>
        <v/>
      </c>
      <c r="D830" s="8" t="str">
        <f t="shared" si="62"/>
        <v/>
      </c>
      <c r="F830" s="4" t="str">
        <f>IF(Jugadores!B830="","",Jugadores!B830)</f>
        <v/>
      </c>
      <c r="G830" s="4" t="str">
        <f>IF(Jugadores!B830="","",Jugadores!A830)</f>
        <v/>
      </c>
      <c r="H830" s="4" t="str">
        <f>IF(F830="","",SUMIF('Estadísticas Jugadores'!$F$2:$F$7001,F830,'Estadísticas Jugadores'!$J$2:$J$7001))</f>
        <v/>
      </c>
      <c r="I830" s="4" t="str">
        <f t="shared" si="63"/>
        <v/>
      </c>
      <c r="J830" s="4" t="str">
        <f t="shared" si="64"/>
        <v/>
      </c>
    </row>
    <row r="831" spans="1:10" ht="15" customHeight="1" x14ac:dyDescent="0.25">
      <c r="A831" s="8" t="str">
        <f>IF(COUNT($J$2:$J$1501)&gt;=830,830,"")</f>
        <v/>
      </c>
      <c r="B831" s="8" t="str">
        <f t="shared" si="60"/>
        <v/>
      </c>
      <c r="C831" s="8" t="str">
        <f t="shared" si="61"/>
        <v/>
      </c>
      <c r="D831" s="8" t="str">
        <f t="shared" si="62"/>
        <v/>
      </c>
      <c r="F831" s="4" t="str">
        <f>IF(Jugadores!B831="","",Jugadores!B831)</f>
        <v/>
      </c>
      <c r="G831" s="4" t="str">
        <f>IF(Jugadores!B831="","",Jugadores!A831)</f>
        <v/>
      </c>
      <c r="H831" s="4" t="str">
        <f>IF(F831="","",SUMIF('Estadísticas Jugadores'!$F$2:$F$7001,F831,'Estadísticas Jugadores'!$J$2:$J$7001))</f>
        <v/>
      </c>
      <c r="I831" s="4" t="str">
        <f t="shared" si="63"/>
        <v/>
      </c>
      <c r="J831" s="4" t="str">
        <f t="shared" si="64"/>
        <v/>
      </c>
    </row>
    <row r="832" spans="1:10" ht="15" customHeight="1" x14ac:dyDescent="0.25">
      <c r="A832" s="8" t="str">
        <f>IF(COUNT($J$2:$J$1501)&gt;=831,831,"")</f>
        <v/>
      </c>
      <c r="B832" s="8" t="str">
        <f t="shared" si="60"/>
        <v/>
      </c>
      <c r="C832" s="8" t="str">
        <f t="shared" si="61"/>
        <v/>
      </c>
      <c r="D832" s="8" t="str">
        <f t="shared" si="62"/>
        <v/>
      </c>
      <c r="F832" s="4" t="str">
        <f>IF(Jugadores!B832="","",Jugadores!B832)</f>
        <v/>
      </c>
      <c r="G832" s="4" t="str">
        <f>IF(Jugadores!B832="","",Jugadores!A832)</f>
        <v/>
      </c>
      <c r="H832" s="4" t="str">
        <f>IF(F832="","",SUMIF('Estadísticas Jugadores'!$F$2:$F$7001,F832,'Estadísticas Jugadores'!$J$2:$J$7001))</f>
        <v/>
      </c>
      <c r="I832" s="4" t="str">
        <f t="shared" si="63"/>
        <v/>
      </c>
      <c r="J832" s="4" t="str">
        <f t="shared" si="64"/>
        <v/>
      </c>
    </row>
    <row r="833" spans="1:10" ht="15" customHeight="1" x14ac:dyDescent="0.25">
      <c r="A833" s="8" t="str">
        <f>IF(COUNT($J$2:$J$1501)&gt;=832,832,"")</f>
        <v/>
      </c>
      <c r="B833" s="8" t="str">
        <f t="shared" si="60"/>
        <v/>
      </c>
      <c r="C833" s="8" t="str">
        <f t="shared" si="61"/>
        <v/>
      </c>
      <c r="D833" s="8" t="str">
        <f t="shared" si="62"/>
        <v/>
      </c>
      <c r="F833" s="4" t="str">
        <f>IF(Jugadores!B833="","",Jugadores!B833)</f>
        <v/>
      </c>
      <c r="G833" s="4" t="str">
        <f>IF(Jugadores!B833="","",Jugadores!A833)</f>
        <v/>
      </c>
      <c r="H833" s="4" t="str">
        <f>IF(F833="","",SUMIF('Estadísticas Jugadores'!$F$2:$F$7001,F833,'Estadísticas Jugadores'!$J$2:$J$7001))</f>
        <v/>
      </c>
      <c r="I833" s="4" t="str">
        <f t="shared" si="63"/>
        <v/>
      </c>
      <c r="J833" s="4" t="str">
        <f t="shared" si="64"/>
        <v/>
      </c>
    </row>
    <row r="834" spans="1:10" ht="15" customHeight="1" x14ac:dyDescent="0.25">
      <c r="A834" s="8" t="str">
        <f>IF(COUNT($J$2:$J$1501)&gt;=833,833,"")</f>
        <v/>
      </c>
      <c r="B834" s="8" t="str">
        <f t="shared" ref="B834:B897" si="65">IF($A834="","",INDEX($F$2:$F$1501,MATCH($A834,$J$2:$J$1501,0)))</f>
        <v/>
      </c>
      <c r="C834" s="8" t="str">
        <f t="shared" ref="C834:C897" si="66">IF($A834="","",INDEX($G$2:$G$1501,MATCH($A834,$J$2:$J$1501,0)))</f>
        <v/>
      </c>
      <c r="D834" s="8" t="str">
        <f t="shared" ref="D834:D897" si="67">IF($A834="","",INDEX($H$2:$H$1501,MATCH($A834,$J$2:$J$1501,0)))</f>
        <v/>
      </c>
      <c r="F834" s="4" t="str">
        <f>IF(Jugadores!B834="","",Jugadores!B834)</f>
        <v/>
      </c>
      <c r="G834" s="4" t="str">
        <f>IF(Jugadores!B834="","",Jugadores!A834)</f>
        <v/>
      </c>
      <c r="H834" s="4" t="str">
        <f>IF(F834="","",SUMIF('Estadísticas Jugadores'!$F$2:$F$7001,F834,'Estadísticas Jugadores'!$J$2:$J$7001))</f>
        <v/>
      </c>
      <c r="I834" s="4" t="str">
        <f t="shared" ref="I834:I897" si="68">IF(F834="","",H834*1000-ROW()*0.0000001)</f>
        <v/>
      </c>
      <c r="J834" s="4" t="str">
        <f t="shared" ref="J834:J897" si="69">IF(F834="","",RANK(I834,$I$2:$I$1501))</f>
        <v/>
      </c>
    </row>
    <row r="835" spans="1:10" ht="15" customHeight="1" x14ac:dyDescent="0.25">
      <c r="A835" s="8" t="str">
        <f>IF(COUNT($J$2:$J$1501)&gt;=834,834,"")</f>
        <v/>
      </c>
      <c r="B835" s="8" t="str">
        <f t="shared" si="65"/>
        <v/>
      </c>
      <c r="C835" s="8" t="str">
        <f t="shared" si="66"/>
        <v/>
      </c>
      <c r="D835" s="8" t="str">
        <f t="shared" si="67"/>
        <v/>
      </c>
      <c r="F835" s="4" t="str">
        <f>IF(Jugadores!B835="","",Jugadores!B835)</f>
        <v/>
      </c>
      <c r="G835" s="4" t="str">
        <f>IF(Jugadores!B835="","",Jugadores!A835)</f>
        <v/>
      </c>
      <c r="H835" s="4" t="str">
        <f>IF(F835="","",SUMIF('Estadísticas Jugadores'!$F$2:$F$7001,F835,'Estadísticas Jugadores'!$J$2:$J$7001))</f>
        <v/>
      </c>
      <c r="I835" s="4" t="str">
        <f t="shared" si="68"/>
        <v/>
      </c>
      <c r="J835" s="4" t="str">
        <f t="shared" si="69"/>
        <v/>
      </c>
    </row>
    <row r="836" spans="1:10" ht="15" customHeight="1" x14ac:dyDescent="0.25">
      <c r="A836" s="8" t="str">
        <f>IF(COUNT($J$2:$J$1501)&gt;=835,835,"")</f>
        <v/>
      </c>
      <c r="B836" s="8" t="str">
        <f t="shared" si="65"/>
        <v/>
      </c>
      <c r="C836" s="8" t="str">
        <f t="shared" si="66"/>
        <v/>
      </c>
      <c r="D836" s="8" t="str">
        <f t="shared" si="67"/>
        <v/>
      </c>
      <c r="F836" s="4" t="str">
        <f>IF(Jugadores!B836="","",Jugadores!B836)</f>
        <v/>
      </c>
      <c r="G836" s="4" t="str">
        <f>IF(Jugadores!B836="","",Jugadores!A836)</f>
        <v/>
      </c>
      <c r="H836" s="4" t="str">
        <f>IF(F836="","",SUMIF('Estadísticas Jugadores'!$F$2:$F$7001,F836,'Estadísticas Jugadores'!$J$2:$J$7001))</f>
        <v/>
      </c>
      <c r="I836" s="4" t="str">
        <f t="shared" si="68"/>
        <v/>
      </c>
      <c r="J836" s="4" t="str">
        <f t="shared" si="69"/>
        <v/>
      </c>
    </row>
    <row r="837" spans="1:10" ht="15" customHeight="1" x14ac:dyDescent="0.25">
      <c r="A837" s="8" t="str">
        <f>IF(COUNT($J$2:$J$1501)&gt;=836,836,"")</f>
        <v/>
      </c>
      <c r="B837" s="8" t="str">
        <f t="shared" si="65"/>
        <v/>
      </c>
      <c r="C837" s="8" t="str">
        <f t="shared" si="66"/>
        <v/>
      </c>
      <c r="D837" s="8" t="str">
        <f t="shared" si="67"/>
        <v/>
      </c>
      <c r="F837" s="4" t="str">
        <f>IF(Jugadores!B837="","",Jugadores!B837)</f>
        <v/>
      </c>
      <c r="G837" s="4" t="str">
        <f>IF(Jugadores!B837="","",Jugadores!A837)</f>
        <v/>
      </c>
      <c r="H837" s="4" t="str">
        <f>IF(F837="","",SUMIF('Estadísticas Jugadores'!$F$2:$F$7001,F837,'Estadísticas Jugadores'!$J$2:$J$7001))</f>
        <v/>
      </c>
      <c r="I837" s="4" t="str">
        <f t="shared" si="68"/>
        <v/>
      </c>
      <c r="J837" s="4" t="str">
        <f t="shared" si="69"/>
        <v/>
      </c>
    </row>
    <row r="838" spans="1:10" ht="15" customHeight="1" x14ac:dyDescent="0.25">
      <c r="A838" s="8" t="str">
        <f>IF(COUNT($J$2:$J$1501)&gt;=837,837,"")</f>
        <v/>
      </c>
      <c r="B838" s="8" t="str">
        <f t="shared" si="65"/>
        <v/>
      </c>
      <c r="C838" s="8" t="str">
        <f t="shared" si="66"/>
        <v/>
      </c>
      <c r="D838" s="8" t="str">
        <f t="shared" si="67"/>
        <v/>
      </c>
      <c r="F838" s="4" t="str">
        <f>IF(Jugadores!B838="","",Jugadores!B838)</f>
        <v/>
      </c>
      <c r="G838" s="4" t="str">
        <f>IF(Jugadores!B838="","",Jugadores!A838)</f>
        <v/>
      </c>
      <c r="H838" s="4" t="str">
        <f>IF(F838="","",SUMIF('Estadísticas Jugadores'!$F$2:$F$7001,F838,'Estadísticas Jugadores'!$J$2:$J$7001))</f>
        <v/>
      </c>
      <c r="I838" s="4" t="str">
        <f t="shared" si="68"/>
        <v/>
      </c>
      <c r="J838" s="4" t="str">
        <f t="shared" si="69"/>
        <v/>
      </c>
    </row>
    <row r="839" spans="1:10" ht="15" customHeight="1" x14ac:dyDescent="0.25">
      <c r="A839" s="8" t="str">
        <f>IF(COUNT($J$2:$J$1501)&gt;=838,838,"")</f>
        <v/>
      </c>
      <c r="B839" s="8" t="str">
        <f t="shared" si="65"/>
        <v/>
      </c>
      <c r="C839" s="8" t="str">
        <f t="shared" si="66"/>
        <v/>
      </c>
      <c r="D839" s="8" t="str">
        <f t="shared" si="67"/>
        <v/>
      </c>
      <c r="F839" s="4" t="str">
        <f>IF(Jugadores!B839="","",Jugadores!B839)</f>
        <v/>
      </c>
      <c r="G839" s="4" t="str">
        <f>IF(Jugadores!B839="","",Jugadores!A839)</f>
        <v/>
      </c>
      <c r="H839" s="4" t="str">
        <f>IF(F839="","",SUMIF('Estadísticas Jugadores'!$F$2:$F$7001,F839,'Estadísticas Jugadores'!$J$2:$J$7001))</f>
        <v/>
      </c>
      <c r="I839" s="4" t="str">
        <f t="shared" si="68"/>
        <v/>
      </c>
      <c r="J839" s="4" t="str">
        <f t="shared" si="69"/>
        <v/>
      </c>
    </row>
    <row r="840" spans="1:10" ht="15" customHeight="1" x14ac:dyDescent="0.25">
      <c r="A840" s="8" t="str">
        <f>IF(COUNT($J$2:$J$1501)&gt;=839,839,"")</f>
        <v/>
      </c>
      <c r="B840" s="8" t="str">
        <f t="shared" si="65"/>
        <v/>
      </c>
      <c r="C840" s="8" t="str">
        <f t="shared" si="66"/>
        <v/>
      </c>
      <c r="D840" s="8" t="str">
        <f t="shared" si="67"/>
        <v/>
      </c>
      <c r="F840" s="4" t="str">
        <f>IF(Jugadores!B840="","",Jugadores!B840)</f>
        <v/>
      </c>
      <c r="G840" s="4" t="str">
        <f>IF(Jugadores!B840="","",Jugadores!A840)</f>
        <v/>
      </c>
      <c r="H840" s="4" t="str">
        <f>IF(F840="","",SUMIF('Estadísticas Jugadores'!$F$2:$F$7001,F840,'Estadísticas Jugadores'!$J$2:$J$7001))</f>
        <v/>
      </c>
      <c r="I840" s="4" t="str">
        <f t="shared" si="68"/>
        <v/>
      </c>
      <c r="J840" s="4" t="str">
        <f t="shared" si="69"/>
        <v/>
      </c>
    </row>
    <row r="841" spans="1:10" ht="15" customHeight="1" x14ac:dyDescent="0.25">
      <c r="A841" s="8" t="str">
        <f>IF(COUNT($J$2:$J$1501)&gt;=840,840,"")</f>
        <v/>
      </c>
      <c r="B841" s="8" t="str">
        <f t="shared" si="65"/>
        <v/>
      </c>
      <c r="C841" s="8" t="str">
        <f t="shared" si="66"/>
        <v/>
      </c>
      <c r="D841" s="8" t="str">
        <f t="shared" si="67"/>
        <v/>
      </c>
      <c r="F841" s="4" t="str">
        <f>IF(Jugadores!B841="","",Jugadores!B841)</f>
        <v/>
      </c>
      <c r="G841" s="4" t="str">
        <f>IF(Jugadores!B841="","",Jugadores!A841)</f>
        <v/>
      </c>
      <c r="H841" s="4" t="str">
        <f>IF(F841="","",SUMIF('Estadísticas Jugadores'!$F$2:$F$7001,F841,'Estadísticas Jugadores'!$J$2:$J$7001))</f>
        <v/>
      </c>
      <c r="I841" s="4" t="str">
        <f t="shared" si="68"/>
        <v/>
      </c>
      <c r="J841" s="4" t="str">
        <f t="shared" si="69"/>
        <v/>
      </c>
    </row>
    <row r="842" spans="1:10" ht="15" customHeight="1" x14ac:dyDescent="0.25">
      <c r="A842" s="8" t="str">
        <f>IF(COUNT($J$2:$J$1501)&gt;=841,841,"")</f>
        <v/>
      </c>
      <c r="B842" s="8" t="str">
        <f t="shared" si="65"/>
        <v/>
      </c>
      <c r="C842" s="8" t="str">
        <f t="shared" si="66"/>
        <v/>
      </c>
      <c r="D842" s="8" t="str">
        <f t="shared" si="67"/>
        <v/>
      </c>
      <c r="F842" s="4" t="str">
        <f>IF(Jugadores!B842="","",Jugadores!B842)</f>
        <v/>
      </c>
      <c r="G842" s="4" t="str">
        <f>IF(Jugadores!B842="","",Jugadores!A842)</f>
        <v/>
      </c>
      <c r="H842" s="4" t="str">
        <f>IF(F842="","",SUMIF('Estadísticas Jugadores'!$F$2:$F$7001,F842,'Estadísticas Jugadores'!$J$2:$J$7001))</f>
        <v/>
      </c>
      <c r="I842" s="4" t="str">
        <f t="shared" si="68"/>
        <v/>
      </c>
      <c r="J842" s="4" t="str">
        <f t="shared" si="69"/>
        <v/>
      </c>
    </row>
    <row r="843" spans="1:10" ht="15" customHeight="1" x14ac:dyDescent="0.25">
      <c r="A843" s="8" t="str">
        <f>IF(COUNT($J$2:$J$1501)&gt;=842,842,"")</f>
        <v/>
      </c>
      <c r="B843" s="8" t="str">
        <f t="shared" si="65"/>
        <v/>
      </c>
      <c r="C843" s="8" t="str">
        <f t="shared" si="66"/>
        <v/>
      </c>
      <c r="D843" s="8" t="str">
        <f t="shared" si="67"/>
        <v/>
      </c>
      <c r="F843" s="4" t="str">
        <f>IF(Jugadores!B843="","",Jugadores!B843)</f>
        <v/>
      </c>
      <c r="G843" s="4" t="str">
        <f>IF(Jugadores!B843="","",Jugadores!A843)</f>
        <v/>
      </c>
      <c r="H843" s="4" t="str">
        <f>IF(F843="","",SUMIF('Estadísticas Jugadores'!$F$2:$F$7001,F843,'Estadísticas Jugadores'!$J$2:$J$7001))</f>
        <v/>
      </c>
      <c r="I843" s="4" t="str">
        <f t="shared" si="68"/>
        <v/>
      </c>
      <c r="J843" s="4" t="str">
        <f t="shared" si="69"/>
        <v/>
      </c>
    </row>
    <row r="844" spans="1:10" ht="15" customHeight="1" x14ac:dyDescent="0.25">
      <c r="A844" s="8" t="str">
        <f>IF(COUNT($J$2:$J$1501)&gt;=843,843,"")</f>
        <v/>
      </c>
      <c r="B844" s="8" t="str">
        <f t="shared" si="65"/>
        <v/>
      </c>
      <c r="C844" s="8" t="str">
        <f t="shared" si="66"/>
        <v/>
      </c>
      <c r="D844" s="8" t="str">
        <f t="shared" si="67"/>
        <v/>
      </c>
      <c r="F844" s="4" t="str">
        <f>IF(Jugadores!B844="","",Jugadores!B844)</f>
        <v/>
      </c>
      <c r="G844" s="4" t="str">
        <f>IF(Jugadores!B844="","",Jugadores!A844)</f>
        <v/>
      </c>
      <c r="H844" s="4" t="str">
        <f>IF(F844="","",SUMIF('Estadísticas Jugadores'!$F$2:$F$7001,F844,'Estadísticas Jugadores'!$J$2:$J$7001))</f>
        <v/>
      </c>
      <c r="I844" s="4" t="str">
        <f t="shared" si="68"/>
        <v/>
      </c>
      <c r="J844" s="4" t="str">
        <f t="shared" si="69"/>
        <v/>
      </c>
    </row>
    <row r="845" spans="1:10" ht="15" customHeight="1" x14ac:dyDescent="0.25">
      <c r="A845" s="8" t="str">
        <f>IF(COUNT($J$2:$J$1501)&gt;=844,844,"")</f>
        <v/>
      </c>
      <c r="B845" s="8" t="str">
        <f t="shared" si="65"/>
        <v/>
      </c>
      <c r="C845" s="8" t="str">
        <f t="shared" si="66"/>
        <v/>
      </c>
      <c r="D845" s="8" t="str">
        <f t="shared" si="67"/>
        <v/>
      </c>
      <c r="F845" s="4" t="str">
        <f>IF(Jugadores!B845="","",Jugadores!B845)</f>
        <v/>
      </c>
      <c r="G845" s="4" t="str">
        <f>IF(Jugadores!B845="","",Jugadores!A845)</f>
        <v/>
      </c>
      <c r="H845" s="4" t="str">
        <f>IF(F845="","",SUMIF('Estadísticas Jugadores'!$F$2:$F$7001,F845,'Estadísticas Jugadores'!$J$2:$J$7001))</f>
        <v/>
      </c>
      <c r="I845" s="4" t="str">
        <f t="shared" si="68"/>
        <v/>
      </c>
      <c r="J845" s="4" t="str">
        <f t="shared" si="69"/>
        <v/>
      </c>
    </row>
    <row r="846" spans="1:10" ht="15" customHeight="1" x14ac:dyDescent="0.25">
      <c r="A846" s="8" t="str">
        <f>IF(COUNT($J$2:$J$1501)&gt;=845,845,"")</f>
        <v/>
      </c>
      <c r="B846" s="8" t="str">
        <f t="shared" si="65"/>
        <v/>
      </c>
      <c r="C846" s="8" t="str">
        <f t="shared" si="66"/>
        <v/>
      </c>
      <c r="D846" s="8" t="str">
        <f t="shared" si="67"/>
        <v/>
      </c>
      <c r="F846" s="4" t="str">
        <f>IF(Jugadores!B846="","",Jugadores!B846)</f>
        <v/>
      </c>
      <c r="G846" s="4" t="str">
        <f>IF(Jugadores!B846="","",Jugadores!A846)</f>
        <v/>
      </c>
      <c r="H846" s="4" t="str">
        <f>IF(F846="","",SUMIF('Estadísticas Jugadores'!$F$2:$F$7001,F846,'Estadísticas Jugadores'!$J$2:$J$7001))</f>
        <v/>
      </c>
      <c r="I846" s="4" t="str">
        <f t="shared" si="68"/>
        <v/>
      </c>
      <c r="J846" s="4" t="str">
        <f t="shared" si="69"/>
        <v/>
      </c>
    </row>
    <row r="847" spans="1:10" ht="15" customHeight="1" x14ac:dyDescent="0.25">
      <c r="A847" s="8" t="str">
        <f>IF(COUNT($J$2:$J$1501)&gt;=846,846,"")</f>
        <v/>
      </c>
      <c r="B847" s="8" t="str">
        <f t="shared" si="65"/>
        <v/>
      </c>
      <c r="C847" s="8" t="str">
        <f t="shared" si="66"/>
        <v/>
      </c>
      <c r="D847" s="8" t="str">
        <f t="shared" si="67"/>
        <v/>
      </c>
      <c r="F847" s="4" t="str">
        <f>IF(Jugadores!B847="","",Jugadores!B847)</f>
        <v/>
      </c>
      <c r="G847" s="4" t="str">
        <f>IF(Jugadores!B847="","",Jugadores!A847)</f>
        <v/>
      </c>
      <c r="H847" s="4" t="str">
        <f>IF(F847="","",SUMIF('Estadísticas Jugadores'!$F$2:$F$7001,F847,'Estadísticas Jugadores'!$J$2:$J$7001))</f>
        <v/>
      </c>
      <c r="I847" s="4" t="str">
        <f t="shared" si="68"/>
        <v/>
      </c>
      <c r="J847" s="4" t="str">
        <f t="shared" si="69"/>
        <v/>
      </c>
    </row>
    <row r="848" spans="1:10" ht="15" customHeight="1" x14ac:dyDescent="0.25">
      <c r="A848" s="8" t="str">
        <f>IF(COUNT($J$2:$J$1501)&gt;=847,847,"")</f>
        <v/>
      </c>
      <c r="B848" s="8" t="str">
        <f t="shared" si="65"/>
        <v/>
      </c>
      <c r="C848" s="8" t="str">
        <f t="shared" si="66"/>
        <v/>
      </c>
      <c r="D848" s="8" t="str">
        <f t="shared" si="67"/>
        <v/>
      </c>
      <c r="F848" s="4" t="str">
        <f>IF(Jugadores!B848="","",Jugadores!B848)</f>
        <v/>
      </c>
      <c r="G848" s="4" t="str">
        <f>IF(Jugadores!B848="","",Jugadores!A848)</f>
        <v/>
      </c>
      <c r="H848" s="4" t="str">
        <f>IF(F848="","",SUMIF('Estadísticas Jugadores'!$F$2:$F$7001,F848,'Estadísticas Jugadores'!$J$2:$J$7001))</f>
        <v/>
      </c>
      <c r="I848" s="4" t="str">
        <f t="shared" si="68"/>
        <v/>
      </c>
      <c r="J848" s="4" t="str">
        <f t="shared" si="69"/>
        <v/>
      </c>
    </row>
    <row r="849" spans="1:10" ht="15" customHeight="1" x14ac:dyDescent="0.25">
      <c r="A849" s="8" t="str">
        <f>IF(COUNT($J$2:$J$1501)&gt;=848,848,"")</f>
        <v/>
      </c>
      <c r="B849" s="8" t="str">
        <f t="shared" si="65"/>
        <v/>
      </c>
      <c r="C849" s="8" t="str">
        <f t="shared" si="66"/>
        <v/>
      </c>
      <c r="D849" s="8" t="str">
        <f t="shared" si="67"/>
        <v/>
      </c>
      <c r="F849" s="4" t="str">
        <f>IF(Jugadores!B849="","",Jugadores!B849)</f>
        <v/>
      </c>
      <c r="G849" s="4" t="str">
        <f>IF(Jugadores!B849="","",Jugadores!A849)</f>
        <v/>
      </c>
      <c r="H849" s="4" t="str">
        <f>IF(F849="","",SUMIF('Estadísticas Jugadores'!$F$2:$F$7001,F849,'Estadísticas Jugadores'!$J$2:$J$7001))</f>
        <v/>
      </c>
      <c r="I849" s="4" t="str">
        <f t="shared" si="68"/>
        <v/>
      </c>
      <c r="J849" s="4" t="str">
        <f t="shared" si="69"/>
        <v/>
      </c>
    </row>
    <row r="850" spans="1:10" ht="15" customHeight="1" x14ac:dyDescent="0.25">
      <c r="A850" s="8" t="str">
        <f>IF(COUNT($J$2:$J$1501)&gt;=849,849,"")</f>
        <v/>
      </c>
      <c r="B850" s="8" t="str">
        <f t="shared" si="65"/>
        <v/>
      </c>
      <c r="C850" s="8" t="str">
        <f t="shared" si="66"/>
        <v/>
      </c>
      <c r="D850" s="8" t="str">
        <f t="shared" si="67"/>
        <v/>
      </c>
      <c r="F850" s="4" t="str">
        <f>IF(Jugadores!B850="","",Jugadores!B850)</f>
        <v/>
      </c>
      <c r="G850" s="4" t="str">
        <f>IF(Jugadores!B850="","",Jugadores!A850)</f>
        <v/>
      </c>
      <c r="H850" s="4" t="str">
        <f>IF(F850="","",SUMIF('Estadísticas Jugadores'!$F$2:$F$7001,F850,'Estadísticas Jugadores'!$J$2:$J$7001))</f>
        <v/>
      </c>
      <c r="I850" s="4" t="str">
        <f t="shared" si="68"/>
        <v/>
      </c>
      <c r="J850" s="4" t="str">
        <f t="shared" si="69"/>
        <v/>
      </c>
    </row>
    <row r="851" spans="1:10" ht="15" customHeight="1" x14ac:dyDescent="0.25">
      <c r="A851" s="8" t="str">
        <f>IF(COUNT($J$2:$J$1501)&gt;=850,850,"")</f>
        <v/>
      </c>
      <c r="B851" s="8" t="str">
        <f t="shared" si="65"/>
        <v/>
      </c>
      <c r="C851" s="8" t="str">
        <f t="shared" si="66"/>
        <v/>
      </c>
      <c r="D851" s="8" t="str">
        <f t="shared" si="67"/>
        <v/>
      </c>
      <c r="F851" s="4" t="str">
        <f>IF(Jugadores!B851="","",Jugadores!B851)</f>
        <v/>
      </c>
      <c r="G851" s="4" t="str">
        <f>IF(Jugadores!B851="","",Jugadores!A851)</f>
        <v/>
      </c>
      <c r="H851" s="4" t="str">
        <f>IF(F851="","",SUMIF('Estadísticas Jugadores'!$F$2:$F$7001,F851,'Estadísticas Jugadores'!$J$2:$J$7001))</f>
        <v/>
      </c>
      <c r="I851" s="4" t="str">
        <f t="shared" si="68"/>
        <v/>
      </c>
      <c r="J851" s="4" t="str">
        <f t="shared" si="69"/>
        <v/>
      </c>
    </row>
    <row r="852" spans="1:10" ht="15" customHeight="1" x14ac:dyDescent="0.25">
      <c r="A852" s="8" t="str">
        <f>IF(COUNT($J$2:$J$1501)&gt;=851,851,"")</f>
        <v/>
      </c>
      <c r="B852" s="8" t="str">
        <f t="shared" si="65"/>
        <v/>
      </c>
      <c r="C852" s="8" t="str">
        <f t="shared" si="66"/>
        <v/>
      </c>
      <c r="D852" s="8" t="str">
        <f t="shared" si="67"/>
        <v/>
      </c>
      <c r="F852" s="4" t="str">
        <f>IF(Jugadores!B852="","",Jugadores!B852)</f>
        <v/>
      </c>
      <c r="G852" s="4" t="str">
        <f>IF(Jugadores!B852="","",Jugadores!A852)</f>
        <v/>
      </c>
      <c r="H852" s="4" t="str">
        <f>IF(F852="","",SUMIF('Estadísticas Jugadores'!$F$2:$F$7001,F852,'Estadísticas Jugadores'!$J$2:$J$7001))</f>
        <v/>
      </c>
      <c r="I852" s="4" t="str">
        <f t="shared" si="68"/>
        <v/>
      </c>
      <c r="J852" s="4" t="str">
        <f t="shared" si="69"/>
        <v/>
      </c>
    </row>
    <row r="853" spans="1:10" ht="15" customHeight="1" x14ac:dyDescent="0.25">
      <c r="A853" s="8" t="str">
        <f>IF(COUNT($J$2:$J$1501)&gt;=852,852,"")</f>
        <v/>
      </c>
      <c r="B853" s="8" t="str">
        <f t="shared" si="65"/>
        <v/>
      </c>
      <c r="C853" s="8" t="str">
        <f t="shared" si="66"/>
        <v/>
      </c>
      <c r="D853" s="8" t="str">
        <f t="shared" si="67"/>
        <v/>
      </c>
      <c r="F853" s="4" t="str">
        <f>IF(Jugadores!B853="","",Jugadores!B853)</f>
        <v/>
      </c>
      <c r="G853" s="4" t="str">
        <f>IF(Jugadores!B853="","",Jugadores!A853)</f>
        <v/>
      </c>
      <c r="H853" s="4" t="str">
        <f>IF(F853="","",SUMIF('Estadísticas Jugadores'!$F$2:$F$7001,F853,'Estadísticas Jugadores'!$J$2:$J$7001))</f>
        <v/>
      </c>
      <c r="I853" s="4" t="str">
        <f t="shared" si="68"/>
        <v/>
      </c>
      <c r="J853" s="4" t="str">
        <f t="shared" si="69"/>
        <v/>
      </c>
    </row>
    <row r="854" spans="1:10" ht="15" customHeight="1" x14ac:dyDescent="0.25">
      <c r="A854" s="8" t="str">
        <f>IF(COUNT($J$2:$J$1501)&gt;=853,853,"")</f>
        <v/>
      </c>
      <c r="B854" s="8" t="str">
        <f t="shared" si="65"/>
        <v/>
      </c>
      <c r="C854" s="8" t="str">
        <f t="shared" si="66"/>
        <v/>
      </c>
      <c r="D854" s="8" t="str">
        <f t="shared" si="67"/>
        <v/>
      </c>
      <c r="F854" s="4" t="str">
        <f>IF(Jugadores!B854="","",Jugadores!B854)</f>
        <v/>
      </c>
      <c r="G854" s="4" t="str">
        <f>IF(Jugadores!B854="","",Jugadores!A854)</f>
        <v/>
      </c>
      <c r="H854" s="4" t="str">
        <f>IF(F854="","",SUMIF('Estadísticas Jugadores'!$F$2:$F$7001,F854,'Estadísticas Jugadores'!$J$2:$J$7001))</f>
        <v/>
      </c>
      <c r="I854" s="4" t="str">
        <f t="shared" si="68"/>
        <v/>
      </c>
      <c r="J854" s="4" t="str">
        <f t="shared" si="69"/>
        <v/>
      </c>
    </row>
    <row r="855" spans="1:10" ht="15" customHeight="1" x14ac:dyDescent="0.25">
      <c r="A855" s="8" t="str">
        <f>IF(COUNT($J$2:$J$1501)&gt;=854,854,"")</f>
        <v/>
      </c>
      <c r="B855" s="8" t="str">
        <f t="shared" si="65"/>
        <v/>
      </c>
      <c r="C855" s="8" t="str">
        <f t="shared" si="66"/>
        <v/>
      </c>
      <c r="D855" s="8" t="str">
        <f t="shared" si="67"/>
        <v/>
      </c>
      <c r="F855" s="4" t="str">
        <f>IF(Jugadores!B855="","",Jugadores!B855)</f>
        <v/>
      </c>
      <c r="G855" s="4" t="str">
        <f>IF(Jugadores!B855="","",Jugadores!A855)</f>
        <v/>
      </c>
      <c r="H855" s="4" t="str">
        <f>IF(F855="","",SUMIF('Estadísticas Jugadores'!$F$2:$F$7001,F855,'Estadísticas Jugadores'!$J$2:$J$7001))</f>
        <v/>
      </c>
      <c r="I855" s="4" t="str">
        <f t="shared" si="68"/>
        <v/>
      </c>
      <c r="J855" s="4" t="str">
        <f t="shared" si="69"/>
        <v/>
      </c>
    </row>
    <row r="856" spans="1:10" ht="15" customHeight="1" x14ac:dyDescent="0.25">
      <c r="A856" s="8" t="str">
        <f>IF(COUNT($J$2:$J$1501)&gt;=855,855,"")</f>
        <v/>
      </c>
      <c r="B856" s="8" t="str">
        <f t="shared" si="65"/>
        <v/>
      </c>
      <c r="C856" s="8" t="str">
        <f t="shared" si="66"/>
        <v/>
      </c>
      <c r="D856" s="8" t="str">
        <f t="shared" si="67"/>
        <v/>
      </c>
      <c r="F856" s="4" t="str">
        <f>IF(Jugadores!B856="","",Jugadores!B856)</f>
        <v/>
      </c>
      <c r="G856" s="4" t="str">
        <f>IF(Jugadores!B856="","",Jugadores!A856)</f>
        <v/>
      </c>
      <c r="H856" s="4" t="str">
        <f>IF(F856="","",SUMIF('Estadísticas Jugadores'!$F$2:$F$7001,F856,'Estadísticas Jugadores'!$J$2:$J$7001))</f>
        <v/>
      </c>
      <c r="I856" s="4" t="str">
        <f t="shared" si="68"/>
        <v/>
      </c>
      <c r="J856" s="4" t="str">
        <f t="shared" si="69"/>
        <v/>
      </c>
    </row>
    <row r="857" spans="1:10" ht="15" customHeight="1" x14ac:dyDescent="0.25">
      <c r="A857" s="8" t="str">
        <f>IF(COUNT($J$2:$J$1501)&gt;=856,856,"")</f>
        <v/>
      </c>
      <c r="B857" s="8" t="str">
        <f t="shared" si="65"/>
        <v/>
      </c>
      <c r="C857" s="8" t="str">
        <f t="shared" si="66"/>
        <v/>
      </c>
      <c r="D857" s="8" t="str">
        <f t="shared" si="67"/>
        <v/>
      </c>
      <c r="F857" s="4" t="str">
        <f>IF(Jugadores!B857="","",Jugadores!B857)</f>
        <v/>
      </c>
      <c r="G857" s="4" t="str">
        <f>IF(Jugadores!B857="","",Jugadores!A857)</f>
        <v/>
      </c>
      <c r="H857" s="4" t="str">
        <f>IF(F857="","",SUMIF('Estadísticas Jugadores'!$F$2:$F$7001,F857,'Estadísticas Jugadores'!$J$2:$J$7001))</f>
        <v/>
      </c>
      <c r="I857" s="4" t="str">
        <f t="shared" si="68"/>
        <v/>
      </c>
      <c r="J857" s="4" t="str">
        <f t="shared" si="69"/>
        <v/>
      </c>
    </row>
    <row r="858" spans="1:10" ht="15" customHeight="1" x14ac:dyDescent="0.25">
      <c r="A858" s="8" t="str">
        <f>IF(COUNT($J$2:$J$1501)&gt;=857,857,"")</f>
        <v/>
      </c>
      <c r="B858" s="8" t="str">
        <f t="shared" si="65"/>
        <v/>
      </c>
      <c r="C858" s="8" t="str">
        <f t="shared" si="66"/>
        <v/>
      </c>
      <c r="D858" s="8" t="str">
        <f t="shared" si="67"/>
        <v/>
      </c>
      <c r="F858" s="4" t="str">
        <f>IF(Jugadores!B858="","",Jugadores!B858)</f>
        <v/>
      </c>
      <c r="G858" s="4" t="str">
        <f>IF(Jugadores!B858="","",Jugadores!A858)</f>
        <v/>
      </c>
      <c r="H858" s="4" t="str">
        <f>IF(F858="","",SUMIF('Estadísticas Jugadores'!$F$2:$F$7001,F858,'Estadísticas Jugadores'!$J$2:$J$7001))</f>
        <v/>
      </c>
      <c r="I858" s="4" t="str">
        <f t="shared" si="68"/>
        <v/>
      </c>
      <c r="J858" s="4" t="str">
        <f t="shared" si="69"/>
        <v/>
      </c>
    </row>
    <row r="859" spans="1:10" ht="15" customHeight="1" x14ac:dyDescent="0.25">
      <c r="A859" s="8" t="str">
        <f>IF(COUNT($J$2:$J$1501)&gt;=858,858,"")</f>
        <v/>
      </c>
      <c r="B859" s="8" t="str">
        <f t="shared" si="65"/>
        <v/>
      </c>
      <c r="C859" s="8" t="str">
        <f t="shared" si="66"/>
        <v/>
      </c>
      <c r="D859" s="8" t="str">
        <f t="shared" si="67"/>
        <v/>
      </c>
      <c r="F859" s="4" t="str">
        <f>IF(Jugadores!B859="","",Jugadores!B859)</f>
        <v/>
      </c>
      <c r="G859" s="4" t="str">
        <f>IF(Jugadores!B859="","",Jugadores!A859)</f>
        <v/>
      </c>
      <c r="H859" s="4" t="str">
        <f>IF(F859="","",SUMIF('Estadísticas Jugadores'!$F$2:$F$7001,F859,'Estadísticas Jugadores'!$J$2:$J$7001))</f>
        <v/>
      </c>
      <c r="I859" s="4" t="str">
        <f t="shared" si="68"/>
        <v/>
      </c>
      <c r="J859" s="4" t="str">
        <f t="shared" si="69"/>
        <v/>
      </c>
    </row>
    <row r="860" spans="1:10" ht="15" customHeight="1" x14ac:dyDescent="0.25">
      <c r="A860" s="8" t="str">
        <f>IF(COUNT($J$2:$J$1501)&gt;=859,859,"")</f>
        <v/>
      </c>
      <c r="B860" s="8" t="str">
        <f t="shared" si="65"/>
        <v/>
      </c>
      <c r="C860" s="8" t="str">
        <f t="shared" si="66"/>
        <v/>
      </c>
      <c r="D860" s="8" t="str">
        <f t="shared" si="67"/>
        <v/>
      </c>
      <c r="F860" s="4" t="str">
        <f>IF(Jugadores!B860="","",Jugadores!B860)</f>
        <v/>
      </c>
      <c r="G860" s="4" t="str">
        <f>IF(Jugadores!B860="","",Jugadores!A860)</f>
        <v/>
      </c>
      <c r="H860" s="4" t="str">
        <f>IF(F860="","",SUMIF('Estadísticas Jugadores'!$F$2:$F$7001,F860,'Estadísticas Jugadores'!$J$2:$J$7001))</f>
        <v/>
      </c>
      <c r="I860" s="4" t="str">
        <f t="shared" si="68"/>
        <v/>
      </c>
      <c r="J860" s="4" t="str">
        <f t="shared" si="69"/>
        <v/>
      </c>
    </row>
    <row r="861" spans="1:10" ht="15" customHeight="1" x14ac:dyDescent="0.25">
      <c r="A861" s="8" t="str">
        <f>IF(COUNT($J$2:$J$1501)&gt;=860,860,"")</f>
        <v/>
      </c>
      <c r="B861" s="8" t="str">
        <f t="shared" si="65"/>
        <v/>
      </c>
      <c r="C861" s="8" t="str">
        <f t="shared" si="66"/>
        <v/>
      </c>
      <c r="D861" s="8" t="str">
        <f t="shared" si="67"/>
        <v/>
      </c>
      <c r="F861" s="4" t="str">
        <f>IF(Jugadores!B861="","",Jugadores!B861)</f>
        <v/>
      </c>
      <c r="G861" s="4" t="str">
        <f>IF(Jugadores!B861="","",Jugadores!A861)</f>
        <v/>
      </c>
      <c r="H861" s="4" t="str">
        <f>IF(F861="","",SUMIF('Estadísticas Jugadores'!$F$2:$F$7001,F861,'Estadísticas Jugadores'!$J$2:$J$7001))</f>
        <v/>
      </c>
      <c r="I861" s="4" t="str">
        <f t="shared" si="68"/>
        <v/>
      </c>
      <c r="J861" s="4" t="str">
        <f t="shared" si="69"/>
        <v/>
      </c>
    </row>
    <row r="862" spans="1:10" ht="15" customHeight="1" x14ac:dyDescent="0.25">
      <c r="A862" s="8" t="str">
        <f>IF(COUNT($J$2:$J$1501)&gt;=861,861,"")</f>
        <v/>
      </c>
      <c r="B862" s="8" t="str">
        <f t="shared" si="65"/>
        <v/>
      </c>
      <c r="C862" s="8" t="str">
        <f t="shared" si="66"/>
        <v/>
      </c>
      <c r="D862" s="8" t="str">
        <f t="shared" si="67"/>
        <v/>
      </c>
      <c r="F862" s="4" t="str">
        <f>IF(Jugadores!B862="","",Jugadores!B862)</f>
        <v/>
      </c>
      <c r="G862" s="4" t="str">
        <f>IF(Jugadores!B862="","",Jugadores!A862)</f>
        <v/>
      </c>
      <c r="H862" s="4" t="str">
        <f>IF(F862="","",SUMIF('Estadísticas Jugadores'!$F$2:$F$7001,F862,'Estadísticas Jugadores'!$J$2:$J$7001))</f>
        <v/>
      </c>
      <c r="I862" s="4" t="str">
        <f t="shared" si="68"/>
        <v/>
      </c>
      <c r="J862" s="4" t="str">
        <f t="shared" si="69"/>
        <v/>
      </c>
    </row>
    <row r="863" spans="1:10" ht="15" customHeight="1" x14ac:dyDescent="0.25">
      <c r="A863" s="8" t="str">
        <f>IF(COUNT($J$2:$J$1501)&gt;=862,862,"")</f>
        <v/>
      </c>
      <c r="B863" s="8" t="str">
        <f t="shared" si="65"/>
        <v/>
      </c>
      <c r="C863" s="8" t="str">
        <f t="shared" si="66"/>
        <v/>
      </c>
      <c r="D863" s="8" t="str">
        <f t="shared" si="67"/>
        <v/>
      </c>
      <c r="F863" s="4" t="str">
        <f>IF(Jugadores!B863="","",Jugadores!B863)</f>
        <v/>
      </c>
      <c r="G863" s="4" t="str">
        <f>IF(Jugadores!B863="","",Jugadores!A863)</f>
        <v/>
      </c>
      <c r="H863" s="4" t="str">
        <f>IF(F863="","",SUMIF('Estadísticas Jugadores'!$F$2:$F$7001,F863,'Estadísticas Jugadores'!$J$2:$J$7001))</f>
        <v/>
      </c>
      <c r="I863" s="4" t="str">
        <f t="shared" si="68"/>
        <v/>
      </c>
      <c r="J863" s="4" t="str">
        <f t="shared" si="69"/>
        <v/>
      </c>
    </row>
    <row r="864" spans="1:10" ht="15" customHeight="1" x14ac:dyDescent="0.25">
      <c r="A864" s="8" t="str">
        <f>IF(COUNT($J$2:$J$1501)&gt;=863,863,"")</f>
        <v/>
      </c>
      <c r="B864" s="8" t="str">
        <f t="shared" si="65"/>
        <v/>
      </c>
      <c r="C864" s="8" t="str">
        <f t="shared" si="66"/>
        <v/>
      </c>
      <c r="D864" s="8" t="str">
        <f t="shared" si="67"/>
        <v/>
      </c>
      <c r="F864" s="4" t="str">
        <f>IF(Jugadores!B864="","",Jugadores!B864)</f>
        <v/>
      </c>
      <c r="G864" s="4" t="str">
        <f>IF(Jugadores!B864="","",Jugadores!A864)</f>
        <v/>
      </c>
      <c r="H864" s="4" t="str">
        <f>IF(F864="","",SUMIF('Estadísticas Jugadores'!$F$2:$F$7001,F864,'Estadísticas Jugadores'!$J$2:$J$7001))</f>
        <v/>
      </c>
      <c r="I864" s="4" t="str">
        <f t="shared" si="68"/>
        <v/>
      </c>
      <c r="J864" s="4" t="str">
        <f t="shared" si="69"/>
        <v/>
      </c>
    </row>
    <row r="865" spans="1:10" ht="15" customHeight="1" x14ac:dyDescent="0.25">
      <c r="A865" s="8" t="str">
        <f>IF(COUNT($J$2:$J$1501)&gt;=864,864,"")</f>
        <v/>
      </c>
      <c r="B865" s="8" t="str">
        <f t="shared" si="65"/>
        <v/>
      </c>
      <c r="C865" s="8" t="str">
        <f t="shared" si="66"/>
        <v/>
      </c>
      <c r="D865" s="8" t="str">
        <f t="shared" si="67"/>
        <v/>
      </c>
      <c r="F865" s="4" t="str">
        <f>IF(Jugadores!B865="","",Jugadores!B865)</f>
        <v/>
      </c>
      <c r="G865" s="4" t="str">
        <f>IF(Jugadores!B865="","",Jugadores!A865)</f>
        <v/>
      </c>
      <c r="H865" s="4" t="str">
        <f>IF(F865="","",SUMIF('Estadísticas Jugadores'!$F$2:$F$7001,F865,'Estadísticas Jugadores'!$J$2:$J$7001))</f>
        <v/>
      </c>
      <c r="I865" s="4" t="str">
        <f t="shared" si="68"/>
        <v/>
      </c>
      <c r="J865" s="4" t="str">
        <f t="shared" si="69"/>
        <v/>
      </c>
    </row>
    <row r="866" spans="1:10" ht="15" customHeight="1" x14ac:dyDescent="0.25">
      <c r="A866" s="8" t="str">
        <f>IF(COUNT($J$2:$J$1501)&gt;=865,865,"")</f>
        <v/>
      </c>
      <c r="B866" s="8" t="str">
        <f t="shared" si="65"/>
        <v/>
      </c>
      <c r="C866" s="8" t="str">
        <f t="shared" si="66"/>
        <v/>
      </c>
      <c r="D866" s="8" t="str">
        <f t="shared" si="67"/>
        <v/>
      </c>
      <c r="F866" s="4" t="str">
        <f>IF(Jugadores!B866="","",Jugadores!B866)</f>
        <v/>
      </c>
      <c r="G866" s="4" t="str">
        <f>IF(Jugadores!B866="","",Jugadores!A866)</f>
        <v/>
      </c>
      <c r="H866" s="4" t="str">
        <f>IF(F866="","",SUMIF('Estadísticas Jugadores'!$F$2:$F$7001,F866,'Estadísticas Jugadores'!$J$2:$J$7001))</f>
        <v/>
      </c>
      <c r="I866" s="4" t="str">
        <f t="shared" si="68"/>
        <v/>
      </c>
      <c r="J866" s="4" t="str">
        <f t="shared" si="69"/>
        <v/>
      </c>
    </row>
    <row r="867" spans="1:10" ht="15" customHeight="1" x14ac:dyDescent="0.25">
      <c r="A867" s="8" t="str">
        <f>IF(COUNT($J$2:$J$1501)&gt;=866,866,"")</f>
        <v/>
      </c>
      <c r="B867" s="8" t="str">
        <f t="shared" si="65"/>
        <v/>
      </c>
      <c r="C867" s="8" t="str">
        <f t="shared" si="66"/>
        <v/>
      </c>
      <c r="D867" s="8" t="str">
        <f t="shared" si="67"/>
        <v/>
      </c>
      <c r="F867" s="4" t="str">
        <f>IF(Jugadores!B867="","",Jugadores!B867)</f>
        <v/>
      </c>
      <c r="G867" s="4" t="str">
        <f>IF(Jugadores!B867="","",Jugadores!A867)</f>
        <v/>
      </c>
      <c r="H867" s="4" t="str">
        <f>IF(F867="","",SUMIF('Estadísticas Jugadores'!$F$2:$F$7001,F867,'Estadísticas Jugadores'!$J$2:$J$7001))</f>
        <v/>
      </c>
      <c r="I867" s="4" t="str">
        <f t="shared" si="68"/>
        <v/>
      </c>
      <c r="J867" s="4" t="str">
        <f t="shared" si="69"/>
        <v/>
      </c>
    </row>
    <row r="868" spans="1:10" ht="15" customHeight="1" x14ac:dyDescent="0.25">
      <c r="A868" s="8" t="str">
        <f>IF(COUNT($J$2:$J$1501)&gt;=867,867,"")</f>
        <v/>
      </c>
      <c r="B868" s="8" t="str">
        <f t="shared" si="65"/>
        <v/>
      </c>
      <c r="C868" s="8" t="str">
        <f t="shared" si="66"/>
        <v/>
      </c>
      <c r="D868" s="8" t="str">
        <f t="shared" si="67"/>
        <v/>
      </c>
      <c r="F868" s="4" t="str">
        <f>IF(Jugadores!B868="","",Jugadores!B868)</f>
        <v/>
      </c>
      <c r="G868" s="4" t="str">
        <f>IF(Jugadores!B868="","",Jugadores!A868)</f>
        <v/>
      </c>
      <c r="H868" s="4" t="str">
        <f>IF(F868="","",SUMIF('Estadísticas Jugadores'!$F$2:$F$7001,F868,'Estadísticas Jugadores'!$J$2:$J$7001))</f>
        <v/>
      </c>
      <c r="I868" s="4" t="str">
        <f t="shared" si="68"/>
        <v/>
      </c>
      <c r="J868" s="4" t="str">
        <f t="shared" si="69"/>
        <v/>
      </c>
    </row>
    <row r="869" spans="1:10" ht="15" customHeight="1" x14ac:dyDescent="0.25">
      <c r="A869" s="8" t="str">
        <f>IF(COUNT($J$2:$J$1501)&gt;=868,868,"")</f>
        <v/>
      </c>
      <c r="B869" s="8" t="str">
        <f t="shared" si="65"/>
        <v/>
      </c>
      <c r="C869" s="8" t="str">
        <f t="shared" si="66"/>
        <v/>
      </c>
      <c r="D869" s="8" t="str">
        <f t="shared" si="67"/>
        <v/>
      </c>
      <c r="F869" s="4" t="str">
        <f>IF(Jugadores!B869="","",Jugadores!B869)</f>
        <v/>
      </c>
      <c r="G869" s="4" t="str">
        <f>IF(Jugadores!B869="","",Jugadores!A869)</f>
        <v/>
      </c>
      <c r="H869" s="4" t="str">
        <f>IF(F869="","",SUMIF('Estadísticas Jugadores'!$F$2:$F$7001,F869,'Estadísticas Jugadores'!$J$2:$J$7001))</f>
        <v/>
      </c>
      <c r="I869" s="4" t="str">
        <f t="shared" si="68"/>
        <v/>
      </c>
      <c r="J869" s="4" t="str">
        <f t="shared" si="69"/>
        <v/>
      </c>
    </row>
    <row r="870" spans="1:10" ht="15" customHeight="1" x14ac:dyDescent="0.25">
      <c r="A870" s="8" t="str">
        <f>IF(COUNT($J$2:$J$1501)&gt;=869,869,"")</f>
        <v/>
      </c>
      <c r="B870" s="8" t="str">
        <f t="shared" si="65"/>
        <v/>
      </c>
      <c r="C870" s="8" t="str">
        <f t="shared" si="66"/>
        <v/>
      </c>
      <c r="D870" s="8" t="str">
        <f t="shared" si="67"/>
        <v/>
      </c>
      <c r="F870" s="4" t="str">
        <f>IF(Jugadores!B870="","",Jugadores!B870)</f>
        <v/>
      </c>
      <c r="G870" s="4" t="str">
        <f>IF(Jugadores!B870="","",Jugadores!A870)</f>
        <v/>
      </c>
      <c r="H870" s="4" t="str">
        <f>IF(F870="","",SUMIF('Estadísticas Jugadores'!$F$2:$F$7001,F870,'Estadísticas Jugadores'!$J$2:$J$7001))</f>
        <v/>
      </c>
      <c r="I870" s="4" t="str">
        <f t="shared" si="68"/>
        <v/>
      </c>
      <c r="J870" s="4" t="str">
        <f t="shared" si="69"/>
        <v/>
      </c>
    </row>
    <row r="871" spans="1:10" ht="15" customHeight="1" x14ac:dyDescent="0.25">
      <c r="A871" s="8" t="str">
        <f>IF(COUNT($J$2:$J$1501)&gt;=870,870,"")</f>
        <v/>
      </c>
      <c r="B871" s="8" t="str">
        <f t="shared" si="65"/>
        <v/>
      </c>
      <c r="C871" s="8" t="str">
        <f t="shared" si="66"/>
        <v/>
      </c>
      <c r="D871" s="8" t="str">
        <f t="shared" si="67"/>
        <v/>
      </c>
      <c r="F871" s="4" t="str">
        <f>IF(Jugadores!B871="","",Jugadores!B871)</f>
        <v/>
      </c>
      <c r="G871" s="4" t="str">
        <f>IF(Jugadores!B871="","",Jugadores!A871)</f>
        <v/>
      </c>
      <c r="H871" s="4" t="str">
        <f>IF(F871="","",SUMIF('Estadísticas Jugadores'!$F$2:$F$7001,F871,'Estadísticas Jugadores'!$J$2:$J$7001))</f>
        <v/>
      </c>
      <c r="I871" s="4" t="str">
        <f t="shared" si="68"/>
        <v/>
      </c>
      <c r="J871" s="4" t="str">
        <f t="shared" si="69"/>
        <v/>
      </c>
    </row>
    <row r="872" spans="1:10" ht="15" customHeight="1" x14ac:dyDescent="0.25">
      <c r="A872" s="8" t="str">
        <f>IF(COUNT($J$2:$J$1501)&gt;=871,871,"")</f>
        <v/>
      </c>
      <c r="B872" s="8" t="str">
        <f t="shared" si="65"/>
        <v/>
      </c>
      <c r="C872" s="8" t="str">
        <f t="shared" si="66"/>
        <v/>
      </c>
      <c r="D872" s="8" t="str">
        <f t="shared" si="67"/>
        <v/>
      </c>
      <c r="F872" s="4" t="str">
        <f>IF(Jugadores!B872="","",Jugadores!B872)</f>
        <v/>
      </c>
      <c r="G872" s="4" t="str">
        <f>IF(Jugadores!B872="","",Jugadores!A872)</f>
        <v/>
      </c>
      <c r="H872" s="4" t="str">
        <f>IF(F872="","",SUMIF('Estadísticas Jugadores'!$F$2:$F$7001,F872,'Estadísticas Jugadores'!$J$2:$J$7001))</f>
        <v/>
      </c>
      <c r="I872" s="4" t="str">
        <f t="shared" si="68"/>
        <v/>
      </c>
      <c r="J872" s="4" t="str">
        <f t="shared" si="69"/>
        <v/>
      </c>
    </row>
    <row r="873" spans="1:10" ht="15" customHeight="1" x14ac:dyDescent="0.25">
      <c r="A873" s="8" t="str">
        <f>IF(COUNT($J$2:$J$1501)&gt;=872,872,"")</f>
        <v/>
      </c>
      <c r="B873" s="8" t="str">
        <f t="shared" si="65"/>
        <v/>
      </c>
      <c r="C873" s="8" t="str">
        <f t="shared" si="66"/>
        <v/>
      </c>
      <c r="D873" s="8" t="str">
        <f t="shared" si="67"/>
        <v/>
      </c>
      <c r="F873" s="4" t="str">
        <f>IF(Jugadores!B873="","",Jugadores!B873)</f>
        <v/>
      </c>
      <c r="G873" s="4" t="str">
        <f>IF(Jugadores!B873="","",Jugadores!A873)</f>
        <v/>
      </c>
      <c r="H873" s="4" t="str">
        <f>IF(F873="","",SUMIF('Estadísticas Jugadores'!$F$2:$F$7001,F873,'Estadísticas Jugadores'!$J$2:$J$7001))</f>
        <v/>
      </c>
      <c r="I873" s="4" t="str">
        <f t="shared" si="68"/>
        <v/>
      </c>
      <c r="J873" s="4" t="str">
        <f t="shared" si="69"/>
        <v/>
      </c>
    </row>
    <row r="874" spans="1:10" ht="15" customHeight="1" x14ac:dyDescent="0.25">
      <c r="A874" s="8" t="str">
        <f>IF(COUNT($J$2:$J$1501)&gt;=873,873,"")</f>
        <v/>
      </c>
      <c r="B874" s="8" t="str">
        <f t="shared" si="65"/>
        <v/>
      </c>
      <c r="C874" s="8" t="str">
        <f t="shared" si="66"/>
        <v/>
      </c>
      <c r="D874" s="8" t="str">
        <f t="shared" si="67"/>
        <v/>
      </c>
      <c r="F874" s="4" t="str">
        <f>IF(Jugadores!B874="","",Jugadores!B874)</f>
        <v/>
      </c>
      <c r="G874" s="4" t="str">
        <f>IF(Jugadores!B874="","",Jugadores!A874)</f>
        <v/>
      </c>
      <c r="H874" s="4" t="str">
        <f>IF(F874="","",SUMIF('Estadísticas Jugadores'!$F$2:$F$7001,F874,'Estadísticas Jugadores'!$J$2:$J$7001))</f>
        <v/>
      </c>
      <c r="I874" s="4" t="str">
        <f t="shared" si="68"/>
        <v/>
      </c>
      <c r="J874" s="4" t="str">
        <f t="shared" si="69"/>
        <v/>
      </c>
    </row>
    <row r="875" spans="1:10" ht="15" customHeight="1" x14ac:dyDescent="0.25">
      <c r="A875" s="8" t="str">
        <f>IF(COUNT($J$2:$J$1501)&gt;=874,874,"")</f>
        <v/>
      </c>
      <c r="B875" s="8" t="str">
        <f t="shared" si="65"/>
        <v/>
      </c>
      <c r="C875" s="8" t="str">
        <f t="shared" si="66"/>
        <v/>
      </c>
      <c r="D875" s="8" t="str">
        <f t="shared" si="67"/>
        <v/>
      </c>
      <c r="F875" s="4" t="str">
        <f>IF(Jugadores!B875="","",Jugadores!B875)</f>
        <v/>
      </c>
      <c r="G875" s="4" t="str">
        <f>IF(Jugadores!B875="","",Jugadores!A875)</f>
        <v/>
      </c>
      <c r="H875" s="4" t="str">
        <f>IF(F875="","",SUMIF('Estadísticas Jugadores'!$F$2:$F$7001,F875,'Estadísticas Jugadores'!$J$2:$J$7001))</f>
        <v/>
      </c>
      <c r="I875" s="4" t="str">
        <f t="shared" si="68"/>
        <v/>
      </c>
      <c r="J875" s="4" t="str">
        <f t="shared" si="69"/>
        <v/>
      </c>
    </row>
    <row r="876" spans="1:10" ht="15" customHeight="1" x14ac:dyDescent="0.25">
      <c r="A876" s="8" t="str">
        <f>IF(COUNT($J$2:$J$1501)&gt;=875,875,"")</f>
        <v/>
      </c>
      <c r="B876" s="8" t="str">
        <f t="shared" si="65"/>
        <v/>
      </c>
      <c r="C876" s="8" t="str">
        <f t="shared" si="66"/>
        <v/>
      </c>
      <c r="D876" s="8" t="str">
        <f t="shared" si="67"/>
        <v/>
      </c>
      <c r="F876" s="4" t="str">
        <f>IF(Jugadores!B876="","",Jugadores!B876)</f>
        <v/>
      </c>
      <c r="G876" s="4" t="str">
        <f>IF(Jugadores!B876="","",Jugadores!A876)</f>
        <v/>
      </c>
      <c r="H876" s="4" t="str">
        <f>IF(F876="","",SUMIF('Estadísticas Jugadores'!$F$2:$F$7001,F876,'Estadísticas Jugadores'!$J$2:$J$7001))</f>
        <v/>
      </c>
      <c r="I876" s="4" t="str">
        <f t="shared" si="68"/>
        <v/>
      </c>
      <c r="J876" s="4" t="str">
        <f t="shared" si="69"/>
        <v/>
      </c>
    </row>
    <row r="877" spans="1:10" ht="15" customHeight="1" x14ac:dyDescent="0.25">
      <c r="A877" s="8" t="str">
        <f>IF(COUNT($J$2:$J$1501)&gt;=876,876,"")</f>
        <v/>
      </c>
      <c r="B877" s="8" t="str">
        <f t="shared" si="65"/>
        <v/>
      </c>
      <c r="C877" s="8" t="str">
        <f t="shared" si="66"/>
        <v/>
      </c>
      <c r="D877" s="8" t="str">
        <f t="shared" si="67"/>
        <v/>
      </c>
      <c r="F877" s="4" t="str">
        <f>IF(Jugadores!B877="","",Jugadores!B877)</f>
        <v/>
      </c>
      <c r="G877" s="4" t="str">
        <f>IF(Jugadores!B877="","",Jugadores!A877)</f>
        <v/>
      </c>
      <c r="H877" s="4" t="str">
        <f>IF(F877="","",SUMIF('Estadísticas Jugadores'!$F$2:$F$7001,F877,'Estadísticas Jugadores'!$J$2:$J$7001))</f>
        <v/>
      </c>
      <c r="I877" s="4" t="str">
        <f t="shared" si="68"/>
        <v/>
      </c>
      <c r="J877" s="4" t="str">
        <f t="shared" si="69"/>
        <v/>
      </c>
    </row>
    <row r="878" spans="1:10" ht="15" customHeight="1" x14ac:dyDescent="0.25">
      <c r="A878" s="8" t="str">
        <f>IF(COUNT($J$2:$J$1501)&gt;=877,877,"")</f>
        <v/>
      </c>
      <c r="B878" s="8" t="str">
        <f t="shared" si="65"/>
        <v/>
      </c>
      <c r="C878" s="8" t="str">
        <f t="shared" si="66"/>
        <v/>
      </c>
      <c r="D878" s="8" t="str">
        <f t="shared" si="67"/>
        <v/>
      </c>
      <c r="F878" s="4" t="str">
        <f>IF(Jugadores!B878="","",Jugadores!B878)</f>
        <v/>
      </c>
      <c r="G878" s="4" t="str">
        <f>IF(Jugadores!B878="","",Jugadores!A878)</f>
        <v/>
      </c>
      <c r="H878" s="4" t="str">
        <f>IF(F878="","",SUMIF('Estadísticas Jugadores'!$F$2:$F$7001,F878,'Estadísticas Jugadores'!$J$2:$J$7001))</f>
        <v/>
      </c>
      <c r="I878" s="4" t="str">
        <f t="shared" si="68"/>
        <v/>
      </c>
      <c r="J878" s="4" t="str">
        <f t="shared" si="69"/>
        <v/>
      </c>
    </row>
    <row r="879" spans="1:10" ht="15" customHeight="1" x14ac:dyDescent="0.25">
      <c r="A879" s="8" t="str">
        <f>IF(COUNT($J$2:$J$1501)&gt;=878,878,"")</f>
        <v/>
      </c>
      <c r="B879" s="8" t="str">
        <f t="shared" si="65"/>
        <v/>
      </c>
      <c r="C879" s="8" t="str">
        <f t="shared" si="66"/>
        <v/>
      </c>
      <c r="D879" s="8" t="str">
        <f t="shared" si="67"/>
        <v/>
      </c>
      <c r="F879" s="4" t="str">
        <f>IF(Jugadores!B879="","",Jugadores!B879)</f>
        <v/>
      </c>
      <c r="G879" s="4" t="str">
        <f>IF(Jugadores!B879="","",Jugadores!A879)</f>
        <v/>
      </c>
      <c r="H879" s="4" t="str">
        <f>IF(F879="","",SUMIF('Estadísticas Jugadores'!$F$2:$F$7001,F879,'Estadísticas Jugadores'!$J$2:$J$7001))</f>
        <v/>
      </c>
      <c r="I879" s="4" t="str">
        <f t="shared" si="68"/>
        <v/>
      </c>
      <c r="J879" s="4" t="str">
        <f t="shared" si="69"/>
        <v/>
      </c>
    </row>
    <row r="880" spans="1:10" ht="15" customHeight="1" x14ac:dyDescent="0.25">
      <c r="A880" s="8" t="str">
        <f>IF(COUNT($J$2:$J$1501)&gt;=879,879,"")</f>
        <v/>
      </c>
      <c r="B880" s="8" t="str">
        <f t="shared" si="65"/>
        <v/>
      </c>
      <c r="C880" s="8" t="str">
        <f t="shared" si="66"/>
        <v/>
      </c>
      <c r="D880" s="8" t="str">
        <f t="shared" si="67"/>
        <v/>
      </c>
      <c r="F880" s="4" t="str">
        <f>IF(Jugadores!B880="","",Jugadores!B880)</f>
        <v/>
      </c>
      <c r="G880" s="4" t="str">
        <f>IF(Jugadores!B880="","",Jugadores!A880)</f>
        <v/>
      </c>
      <c r="H880" s="4" t="str">
        <f>IF(F880="","",SUMIF('Estadísticas Jugadores'!$F$2:$F$7001,F880,'Estadísticas Jugadores'!$J$2:$J$7001))</f>
        <v/>
      </c>
      <c r="I880" s="4" t="str">
        <f t="shared" si="68"/>
        <v/>
      </c>
      <c r="J880" s="4" t="str">
        <f t="shared" si="69"/>
        <v/>
      </c>
    </row>
    <row r="881" spans="1:10" ht="15" customHeight="1" x14ac:dyDescent="0.25">
      <c r="A881" s="8" t="str">
        <f>IF(COUNT($J$2:$J$1501)&gt;=880,880,"")</f>
        <v/>
      </c>
      <c r="B881" s="8" t="str">
        <f t="shared" si="65"/>
        <v/>
      </c>
      <c r="C881" s="8" t="str">
        <f t="shared" si="66"/>
        <v/>
      </c>
      <c r="D881" s="8" t="str">
        <f t="shared" si="67"/>
        <v/>
      </c>
      <c r="F881" s="4" t="str">
        <f>IF(Jugadores!B881="","",Jugadores!B881)</f>
        <v/>
      </c>
      <c r="G881" s="4" t="str">
        <f>IF(Jugadores!B881="","",Jugadores!A881)</f>
        <v/>
      </c>
      <c r="H881" s="4" t="str">
        <f>IF(F881="","",SUMIF('Estadísticas Jugadores'!$F$2:$F$7001,F881,'Estadísticas Jugadores'!$J$2:$J$7001))</f>
        <v/>
      </c>
      <c r="I881" s="4" t="str">
        <f t="shared" si="68"/>
        <v/>
      </c>
      <c r="J881" s="4" t="str">
        <f t="shared" si="69"/>
        <v/>
      </c>
    </row>
    <row r="882" spans="1:10" ht="15" customHeight="1" x14ac:dyDescent="0.25">
      <c r="A882" s="8" t="str">
        <f>IF(COUNT($J$2:$J$1501)&gt;=881,881,"")</f>
        <v/>
      </c>
      <c r="B882" s="8" t="str">
        <f t="shared" si="65"/>
        <v/>
      </c>
      <c r="C882" s="8" t="str">
        <f t="shared" si="66"/>
        <v/>
      </c>
      <c r="D882" s="8" t="str">
        <f t="shared" si="67"/>
        <v/>
      </c>
      <c r="F882" s="4" t="str">
        <f>IF(Jugadores!B882="","",Jugadores!B882)</f>
        <v/>
      </c>
      <c r="G882" s="4" t="str">
        <f>IF(Jugadores!B882="","",Jugadores!A882)</f>
        <v/>
      </c>
      <c r="H882" s="4" t="str">
        <f>IF(F882="","",SUMIF('Estadísticas Jugadores'!$F$2:$F$7001,F882,'Estadísticas Jugadores'!$J$2:$J$7001))</f>
        <v/>
      </c>
      <c r="I882" s="4" t="str">
        <f t="shared" si="68"/>
        <v/>
      </c>
      <c r="J882" s="4" t="str">
        <f t="shared" si="69"/>
        <v/>
      </c>
    </row>
    <row r="883" spans="1:10" ht="15" customHeight="1" x14ac:dyDescent="0.25">
      <c r="A883" s="8" t="str">
        <f>IF(COUNT($J$2:$J$1501)&gt;=882,882,"")</f>
        <v/>
      </c>
      <c r="B883" s="8" t="str">
        <f t="shared" si="65"/>
        <v/>
      </c>
      <c r="C883" s="8" t="str">
        <f t="shared" si="66"/>
        <v/>
      </c>
      <c r="D883" s="8" t="str">
        <f t="shared" si="67"/>
        <v/>
      </c>
      <c r="F883" s="4" t="str">
        <f>IF(Jugadores!B883="","",Jugadores!B883)</f>
        <v/>
      </c>
      <c r="G883" s="4" t="str">
        <f>IF(Jugadores!B883="","",Jugadores!A883)</f>
        <v/>
      </c>
      <c r="H883" s="4" t="str">
        <f>IF(F883="","",SUMIF('Estadísticas Jugadores'!$F$2:$F$7001,F883,'Estadísticas Jugadores'!$J$2:$J$7001))</f>
        <v/>
      </c>
      <c r="I883" s="4" t="str">
        <f t="shared" si="68"/>
        <v/>
      </c>
      <c r="J883" s="4" t="str">
        <f t="shared" si="69"/>
        <v/>
      </c>
    </row>
    <row r="884" spans="1:10" ht="15" customHeight="1" x14ac:dyDescent="0.25">
      <c r="A884" s="8" t="str">
        <f>IF(COUNT($J$2:$J$1501)&gt;=883,883,"")</f>
        <v/>
      </c>
      <c r="B884" s="8" t="str">
        <f t="shared" si="65"/>
        <v/>
      </c>
      <c r="C884" s="8" t="str">
        <f t="shared" si="66"/>
        <v/>
      </c>
      <c r="D884" s="8" t="str">
        <f t="shared" si="67"/>
        <v/>
      </c>
      <c r="F884" s="4" t="str">
        <f>IF(Jugadores!B884="","",Jugadores!B884)</f>
        <v/>
      </c>
      <c r="G884" s="4" t="str">
        <f>IF(Jugadores!B884="","",Jugadores!A884)</f>
        <v/>
      </c>
      <c r="H884" s="4" t="str">
        <f>IF(F884="","",SUMIF('Estadísticas Jugadores'!$F$2:$F$7001,F884,'Estadísticas Jugadores'!$J$2:$J$7001))</f>
        <v/>
      </c>
      <c r="I884" s="4" t="str">
        <f t="shared" si="68"/>
        <v/>
      </c>
      <c r="J884" s="4" t="str">
        <f t="shared" si="69"/>
        <v/>
      </c>
    </row>
    <row r="885" spans="1:10" ht="15" customHeight="1" x14ac:dyDescent="0.25">
      <c r="A885" s="8" t="str">
        <f>IF(COUNT($J$2:$J$1501)&gt;=884,884,"")</f>
        <v/>
      </c>
      <c r="B885" s="8" t="str">
        <f t="shared" si="65"/>
        <v/>
      </c>
      <c r="C885" s="8" t="str">
        <f t="shared" si="66"/>
        <v/>
      </c>
      <c r="D885" s="8" t="str">
        <f t="shared" si="67"/>
        <v/>
      </c>
      <c r="F885" s="4" t="str">
        <f>IF(Jugadores!B885="","",Jugadores!B885)</f>
        <v/>
      </c>
      <c r="G885" s="4" t="str">
        <f>IF(Jugadores!B885="","",Jugadores!A885)</f>
        <v/>
      </c>
      <c r="H885" s="4" t="str">
        <f>IF(F885="","",SUMIF('Estadísticas Jugadores'!$F$2:$F$7001,F885,'Estadísticas Jugadores'!$J$2:$J$7001))</f>
        <v/>
      </c>
      <c r="I885" s="4" t="str">
        <f t="shared" si="68"/>
        <v/>
      </c>
      <c r="J885" s="4" t="str">
        <f t="shared" si="69"/>
        <v/>
      </c>
    </row>
    <row r="886" spans="1:10" ht="15" customHeight="1" x14ac:dyDescent="0.25">
      <c r="A886" s="8" t="str">
        <f>IF(COUNT($J$2:$J$1501)&gt;=885,885,"")</f>
        <v/>
      </c>
      <c r="B886" s="8" t="str">
        <f t="shared" si="65"/>
        <v/>
      </c>
      <c r="C886" s="8" t="str">
        <f t="shared" si="66"/>
        <v/>
      </c>
      <c r="D886" s="8" t="str">
        <f t="shared" si="67"/>
        <v/>
      </c>
      <c r="F886" s="4" t="str">
        <f>IF(Jugadores!B886="","",Jugadores!B886)</f>
        <v/>
      </c>
      <c r="G886" s="4" t="str">
        <f>IF(Jugadores!B886="","",Jugadores!A886)</f>
        <v/>
      </c>
      <c r="H886" s="4" t="str">
        <f>IF(F886="","",SUMIF('Estadísticas Jugadores'!$F$2:$F$7001,F886,'Estadísticas Jugadores'!$J$2:$J$7001))</f>
        <v/>
      </c>
      <c r="I886" s="4" t="str">
        <f t="shared" si="68"/>
        <v/>
      </c>
      <c r="J886" s="4" t="str">
        <f t="shared" si="69"/>
        <v/>
      </c>
    </row>
    <row r="887" spans="1:10" ht="15" customHeight="1" x14ac:dyDescent="0.25">
      <c r="A887" s="8" t="str">
        <f>IF(COUNT($J$2:$J$1501)&gt;=886,886,"")</f>
        <v/>
      </c>
      <c r="B887" s="8" t="str">
        <f t="shared" si="65"/>
        <v/>
      </c>
      <c r="C887" s="8" t="str">
        <f t="shared" si="66"/>
        <v/>
      </c>
      <c r="D887" s="8" t="str">
        <f t="shared" si="67"/>
        <v/>
      </c>
      <c r="F887" s="4" t="str">
        <f>IF(Jugadores!B887="","",Jugadores!B887)</f>
        <v/>
      </c>
      <c r="G887" s="4" t="str">
        <f>IF(Jugadores!B887="","",Jugadores!A887)</f>
        <v/>
      </c>
      <c r="H887" s="4" t="str">
        <f>IF(F887="","",SUMIF('Estadísticas Jugadores'!$F$2:$F$7001,F887,'Estadísticas Jugadores'!$J$2:$J$7001))</f>
        <v/>
      </c>
      <c r="I887" s="4" t="str">
        <f t="shared" si="68"/>
        <v/>
      </c>
      <c r="J887" s="4" t="str">
        <f t="shared" si="69"/>
        <v/>
      </c>
    </row>
    <row r="888" spans="1:10" ht="15" customHeight="1" x14ac:dyDescent="0.25">
      <c r="A888" s="8" t="str">
        <f>IF(COUNT($J$2:$J$1501)&gt;=887,887,"")</f>
        <v/>
      </c>
      <c r="B888" s="8" t="str">
        <f t="shared" si="65"/>
        <v/>
      </c>
      <c r="C888" s="8" t="str">
        <f t="shared" si="66"/>
        <v/>
      </c>
      <c r="D888" s="8" t="str">
        <f t="shared" si="67"/>
        <v/>
      </c>
      <c r="F888" s="4" t="str">
        <f>IF(Jugadores!B888="","",Jugadores!B888)</f>
        <v/>
      </c>
      <c r="G888" s="4" t="str">
        <f>IF(Jugadores!B888="","",Jugadores!A888)</f>
        <v/>
      </c>
      <c r="H888" s="4" t="str">
        <f>IF(F888="","",SUMIF('Estadísticas Jugadores'!$F$2:$F$7001,F888,'Estadísticas Jugadores'!$J$2:$J$7001))</f>
        <v/>
      </c>
      <c r="I888" s="4" t="str">
        <f t="shared" si="68"/>
        <v/>
      </c>
      <c r="J888" s="4" t="str">
        <f t="shared" si="69"/>
        <v/>
      </c>
    </row>
    <row r="889" spans="1:10" ht="15" customHeight="1" x14ac:dyDescent="0.25">
      <c r="A889" s="8" t="str">
        <f>IF(COUNT($J$2:$J$1501)&gt;=888,888,"")</f>
        <v/>
      </c>
      <c r="B889" s="8" t="str">
        <f t="shared" si="65"/>
        <v/>
      </c>
      <c r="C889" s="8" t="str">
        <f t="shared" si="66"/>
        <v/>
      </c>
      <c r="D889" s="8" t="str">
        <f t="shared" si="67"/>
        <v/>
      </c>
      <c r="F889" s="4" t="str">
        <f>IF(Jugadores!B889="","",Jugadores!B889)</f>
        <v/>
      </c>
      <c r="G889" s="4" t="str">
        <f>IF(Jugadores!B889="","",Jugadores!A889)</f>
        <v/>
      </c>
      <c r="H889" s="4" t="str">
        <f>IF(F889="","",SUMIF('Estadísticas Jugadores'!$F$2:$F$7001,F889,'Estadísticas Jugadores'!$J$2:$J$7001))</f>
        <v/>
      </c>
      <c r="I889" s="4" t="str">
        <f t="shared" si="68"/>
        <v/>
      </c>
      <c r="J889" s="4" t="str">
        <f t="shared" si="69"/>
        <v/>
      </c>
    </row>
    <row r="890" spans="1:10" ht="15" customHeight="1" x14ac:dyDescent="0.25">
      <c r="A890" s="8" t="str">
        <f>IF(COUNT($J$2:$J$1501)&gt;=889,889,"")</f>
        <v/>
      </c>
      <c r="B890" s="8" t="str">
        <f t="shared" si="65"/>
        <v/>
      </c>
      <c r="C890" s="8" t="str">
        <f t="shared" si="66"/>
        <v/>
      </c>
      <c r="D890" s="8" t="str">
        <f t="shared" si="67"/>
        <v/>
      </c>
      <c r="F890" s="4" t="str">
        <f>IF(Jugadores!B890="","",Jugadores!B890)</f>
        <v/>
      </c>
      <c r="G890" s="4" t="str">
        <f>IF(Jugadores!B890="","",Jugadores!A890)</f>
        <v/>
      </c>
      <c r="H890" s="4" t="str">
        <f>IF(F890="","",SUMIF('Estadísticas Jugadores'!$F$2:$F$7001,F890,'Estadísticas Jugadores'!$J$2:$J$7001))</f>
        <v/>
      </c>
      <c r="I890" s="4" t="str">
        <f t="shared" si="68"/>
        <v/>
      </c>
      <c r="J890" s="4" t="str">
        <f t="shared" si="69"/>
        <v/>
      </c>
    </row>
    <row r="891" spans="1:10" ht="15" customHeight="1" x14ac:dyDescent="0.25">
      <c r="A891" s="8" t="str">
        <f>IF(COUNT($J$2:$J$1501)&gt;=890,890,"")</f>
        <v/>
      </c>
      <c r="B891" s="8" t="str">
        <f t="shared" si="65"/>
        <v/>
      </c>
      <c r="C891" s="8" t="str">
        <f t="shared" si="66"/>
        <v/>
      </c>
      <c r="D891" s="8" t="str">
        <f t="shared" si="67"/>
        <v/>
      </c>
      <c r="F891" s="4" t="str">
        <f>IF(Jugadores!B891="","",Jugadores!B891)</f>
        <v/>
      </c>
      <c r="G891" s="4" t="str">
        <f>IF(Jugadores!B891="","",Jugadores!A891)</f>
        <v/>
      </c>
      <c r="H891" s="4" t="str">
        <f>IF(F891="","",SUMIF('Estadísticas Jugadores'!$F$2:$F$7001,F891,'Estadísticas Jugadores'!$J$2:$J$7001))</f>
        <v/>
      </c>
      <c r="I891" s="4" t="str">
        <f t="shared" si="68"/>
        <v/>
      </c>
      <c r="J891" s="4" t="str">
        <f t="shared" si="69"/>
        <v/>
      </c>
    </row>
    <row r="892" spans="1:10" ht="15" customHeight="1" x14ac:dyDescent="0.25">
      <c r="A892" s="8" t="str">
        <f>IF(COUNT($J$2:$J$1501)&gt;=891,891,"")</f>
        <v/>
      </c>
      <c r="B892" s="8" t="str">
        <f t="shared" si="65"/>
        <v/>
      </c>
      <c r="C892" s="8" t="str">
        <f t="shared" si="66"/>
        <v/>
      </c>
      <c r="D892" s="8" t="str">
        <f t="shared" si="67"/>
        <v/>
      </c>
      <c r="F892" s="4" t="str">
        <f>IF(Jugadores!B892="","",Jugadores!B892)</f>
        <v/>
      </c>
      <c r="G892" s="4" t="str">
        <f>IF(Jugadores!B892="","",Jugadores!A892)</f>
        <v/>
      </c>
      <c r="H892" s="4" t="str">
        <f>IF(F892="","",SUMIF('Estadísticas Jugadores'!$F$2:$F$7001,F892,'Estadísticas Jugadores'!$J$2:$J$7001))</f>
        <v/>
      </c>
      <c r="I892" s="4" t="str">
        <f t="shared" si="68"/>
        <v/>
      </c>
      <c r="J892" s="4" t="str">
        <f t="shared" si="69"/>
        <v/>
      </c>
    </row>
    <row r="893" spans="1:10" ht="15" customHeight="1" x14ac:dyDescent="0.25">
      <c r="A893" s="8" t="str">
        <f>IF(COUNT($J$2:$J$1501)&gt;=892,892,"")</f>
        <v/>
      </c>
      <c r="B893" s="8" t="str">
        <f t="shared" si="65"/>
        <v/>
      </c>
      <c r="C893" s="8" t="str">
        <f t="shared" si="66"/>
        <v/>
      </c>
      <c r="D893" s="8" t="str">
        <f t="shared" si="67"/>
        <v/>
      </c>
      <c r="F893" s="4" t="str">
        <f>IF(Jugadores!B893="","",Jugadores!B893)</f>
        <v/>
      </c>
      <c r="G893" s="4" t="str">
        <f>IF(Jugadores!B893="","",Jugadores!A893)</f>
        <v/>
      </c>
      <c r="H893" s="4" t="str">
        <f>IF(F893="","",SUMIF('Estadísticas Jugadores'!$F$2:$F$7001,F893,'Estadísticas Jugadores'!$J$2:$J$7001))</f>
        <v/>
      </c>
      <c r="I893" s="4" t="str">
        <f t="shared" si="68"/>
        <v/>
      </c>
      <c r="J893" s="4" t="str">
        <f t="shared" si="69"/>
        <v/>
      </c>
    </row>
    <row r="894" spans="1:10" ht="15" customHeight="1" x14ac:dyDescent="0.25">
      <c r="A894" s="8" t="str">
        <f>IF(COUNT($J$2:$J$1501)&gt;=893,893,"")</f>
        <v/>
      </c>
      <c r="B894" s="8" t="str">
        <f t="shared" si="65"/>
        <v/>
      </c>
      <c r="C894" s="8" t="str">
        <f t="shared" si="66"/>
        <v/>
      </c>
      <c r="D894" s="8" t="str">
        <f t="shared" si="67"/>
        <v/>
      </c>
      <c r="F894" s="4" t="str">
        <f>IF(Jugadores!B894="","",Jugadores!B894)</f>
        <v/>
      </c>
      <c r="G894" s="4" t="str">
        <f>IF(Jugadores!B894="","",Jugadores!A894)</f>
        <v/>
      </c>
      <c r="H894" s="4" t="str">
        <f>IF(F894="","",SUMIF('Estadísticas Jugadores'!$F$2:$F$7001,F894,'Estadísticas Jugadores'!$J$2:$J$7001))</f>
        <v/>
      </c>
      <c r="I894" s="4" t="str">
        <f t="shared" si="68"/>
        <v/>
      </c>
      <c r="J894" s="4" t="str">
        <f t="shared" si="69"/>
        <v/>
      </c>
    </row>
    <row r="895" spans="1:10" ht="15" customHeight="1" x14ac:dyDescent="0.25">
      <c r="A895" s="8" t="str">
        <f>IF(COUNT($J$2:$J$1501)&gt;=894,894,"")</f>
        <v/>
      </c>
      <c r="B895" s="8" t="str">
        <f t="shared" si="65"/>
        <v/>
      </c>
      <c r="C895" s="8" t="str">
        <f t="shared" si="66"/>
        <v/>
      </c>
      <c r="D895" s="8" t="str">
        <f t="shared" si="67"/>
        <v/>
      </c>
      <c r="F895" s="4" t="str">
        <f>IF(Jugadores!B895="","",Jugadores!B895)</f>
        <v/>
      </c>
      <c r="G895" s="4" t="str">
        <f>IF(Jugadores!B895="","",Jugadores!A895)</f>
        <v/>
      </c>
      <c r="H895" s="4" t="str">
        <f>IF(F895="","",SUMIF('Estadísticas Jugadores'!$F$2:$F$7001,F895,'Estadísticas Jugadores'!$J$2:$J$7001))</f>
        <v/>
      </c>
      <c r="I895" s="4" t="str">
        <f t="shared" si="68"/>
        <v/>
      </c>
      <c r="J895" s="4" t="str">
        <f t="shared" si="69"/>
        <v/>
      </c>
    </row>
    <row r="896" spans="1:10" ht="15" customHeight="1" x14ac:dyDescent="0.25">
      <c r="A896" s="8" t="str">
        <f>IF(COUNT($J$2:$J$1501)&gt;=895,895,"")</f>
        <v/>
      </c>
      <c r="B896" s="8" t="str">
        <f t="shared" si="65"/>
        <v/>
      </c>
      <c r="C896" s="8" t="str">
        <f t="shared" si="66"/>
        <v/>
      </c>
      <c r="D896" s="8" t="str">
        <f t="shared" si="67"/>
        <v/>
      </c>
      <c r="F896" s="4" t="str">
        <f>IF(Jugadores!B896="","",Jugadores!B896)</f>
        <v/>
      </c>
      <c r="G896" s="4" t="str">
        <f>IF(Jugadores!B896="","",Jugadores!A896)</f>
        <v/>
      </c>
      <c r="H896" s="4" t="str">
        <f>IF(F896="","",SUMIF('Estadísticas Jugadores'!$F$2:$F$7001,F896,'Estadísticas Jugadores'!$J$2:$J$7001))</f>
        <v/>
      </c>
      <c r="I896" s="4" t="str">
        <f t="shared" si="68"/>
        <v/>
      </c>
      <c r="J896" s="4" t="str">
        <f t="shared" si="69"/>
        <v/>
      </c>
    </row>
    <row r="897" spans="1:10" ht="15" customHeight="1" x14ac:dyDescent="0.25">
      <c r="A897" s="8" t="str">
        <f>IF(COUNT($J$2:$J$1501)&gt;=896,896,"")</f>
        <v/>
      </c>
      <c r="B897" s="8" t="str">
        <f t="shared" si="65"/>
        <v/>
      </c>
      <c r="C897" s="8" t="str">
        <f t="shared" si="66"/>
        <v/>
      </c>
      <c r="D897" s="8" t="str">
        <f t="shared" si="67"/>
        <v/>
      </c>
      <c r="F897" s="4" t="str">
        <f>IF(Jugadores!B897="","",Jugadores!B897)</f>
        <v/>
      </c>
      <c r="G897" s="4" t="str">
        <f>IF(Jugadores!B897="","",Jugadores!A897)</f>
        <v/>
      </c>
      <c r="H897" s="4" t="str">
        <f>IF(F897="","",SUMIF('Estadísticas Jugadores'!$F$2:$F$7001,F897,'Estadísticas Jugadores'!$J$2:$J$7001))</f>
        <v/>
      </c>
      <c r="I897" s="4" t="str">
        <f t="shared" si="68"/>
        <v/>
      </c>
      <c r="J897" s="4" t="str">
        <f t="shared" si="69"/>
        <v/>
      </c>
    </row>
    <row r="898" spans="1:10" ht="15" customHeight="1" x14ac:dyDescent="0.25">
      <c r="A898" s="8" t="str">
        <f>IF(COUNT($J$2:$J$1501)&gt;=897,897,"")</f>
        <v/>
      </c>
      <c r="B898" s="8" t="str">
        <f t="shared" ref="B898:B961" si="70">IF($A898="","",INDEX($F$2:$F$1501,MATCH($A898,$J$2:$J$1501,0)))</f>
        <v/>
      </c>
      <c r="C898" s="8" t="str">
        <f t="shared" ref="C898:C961" si="71">IF($A898="","",INDEX($G$2:$G$1501,MATCH($A898,$J$2:$J$1501,0)))</f>
        <v/>
      </c>
      <c r="D898" s="8" t="str">
        <f t="shared" ref="D898:D961" si="72">IF($A898="","",INDEX($H$2:$H$1501,MATCH($A898,$J$2:$J$1501,0)))</f>
        <v/>
      </c>
      <c r="F898" s="4" t="str">
        <f>IF(Jugadores!B898="","",Jugadores!B898)</f>
        <v/>
      </c>
      <c r="G898" s="4" t="str">
        <f>IF(Jugadores!B898="","",Jugadores!A898)</f>
        <v/>
      </c>
      <c r="H898" s="4" t="str">
        <f>IF(F898="","",SUMIF('Estadísticas Jugadores'!$F$2:$F$7001,F898,'Estadísticas Jugadores'!$J$2:$J$7001))</f>
        <v/>
      </c>
      <c r="I898" s="4" t="str">
        <f t="shared" ref="I898:I961" si="73">IF(F898="","",H898*1000-ROW()*0.0000001)</f>
        <v/>
      </c>
      <c r="J898" s="4" t="str">
        <f t="shared" ref="J898:J961" si="74">IF(F898="","",RANK(I898,$I$2:$I$1501))</f>
        <v/>
      </c>
    </row>
    <row r="899" spans="1:10" ht="15" customHeight="1" x14ac:dyDescent="0.25">
      <c r="A899" s="8" t="str">
        <f>IF(COUNT($J$2:$J$1501)&gt;=898,898,"")</f>
        <v/>
      </c>
      <c r="B899" s="8" t="str">
        <f t="shared" si="70"/>
        <v/>
      </c>
      <c r="C899" s="8" t="str">
        <f t="shared" si="71"/>
        <v/>
      </c>
      <c r="D899" s="8" t="str">
        <f t="shared" si="72"/>
        <v/>
      </c>
      <c r="F899" s="4" t="str">
        <f>IF(Jugadores!B899="","",Jugadores!B899)</f>
        <v/>
      </c>
      <c r="G899" s="4" t="str">
        <f>IF(Jugadores!B899="","",Jugadores!A899)</f>
        <v/>
      </c>
      <c r="H899" s="4" t="str">
        <f>IF(F899="","",SUMIF('Estadísticas Jugadores'!$F$2:$F$7001,F899,'Estadísticas Jugadores'!$J$2:$J$7001))</f>
        <v/>
      </c>
      <c r="I899" s="4" t="str">
        <f t="shared" si="73"/>
        <v/>
      </c>
      <c r="J899" s="4" t="str">
        <f t="shared" si="74"/>
        <v/>
      </c>
    </row>
    <row r="900" spans="1:10" ht="15" customHeight="1" x14ac:dyDescent="0.25">
      <c r="A900" s="8" t="str">
        <f>IF(COUNT($J$2:$J$1501)&gt;=899,899,"")</f>
        <v/>
      </c>
      <c r="B900" s="8" t="str">
        <f t="shared" si="70"/>
        <v/>
      </c>
      <c r="C900" s="8" t="str">
        <f t="shared" si="71"/>
        <v/>
      </c>
      <c r="D900" s="8" t="str">
        <f t="shared" si="72"/>
        <v/>
      </c>
      <c r="F900" s="4" t="str">
        <f>IF(Jugadores!B900="","",Jugadores!B900)</f>
        <v/>
      </c>
      <c r="G900" s="4" t="str">
        <f>IF(Jugadores!B900="","",Jugadores!A900)</f>
        <v/>
      </c>
      <c r="H900" s="4" t="str">
        <f>IF(F900="","",SUMIF('Estadísticas Jugadores'!$F$2:$F$7001,F900,'Estadísticas Jugadores'!$J$2:$J$7001))</f>
        <v/>
      </c>
      <c r="I900" s="4" t="str">
        <f t="shared" si="73"/>
        <v/>
      </c>
      <c r="J900" s="4" t="str">
        <f t="shared" si="74"/>
        <v/>
      </c>
    </row>
    <row r="901" spans="1:10" ht="15" customHeight="1" x14ac:dyDescent="0.25">
      <c r="A901" s="8" t="str">
        <f>IF(COUNT($J$2:$J$1501)&gt;=900,900,"")</f>
        <v/>
      </c>
      <c r="B901" s="8" t="str">
        <f t="shared" si="70"/>
        <v/>
      </c>
      <c r="C901" s="8" t="str">
        <f t="shared" si="71"/>
        <v/>
      </c>
      <c r="D901" s="8" t="str">
        <f t="shared" si="72"/>
        <v/>
      </c>
      <c r="F901" s="4" t="str">
        <f>IF(Jugadores!B901="","",Jugadores!B901)</f>
        <v/>
      </c>
      <c r="G901" s="4" t="str">
        <f>IF(Jugadores!B901="","",Jugadores!A901)</f>
        <v/>
      </c>
      <c r="H901" s="4" t="str">
        <f>IF(F901="","",SUMIF('Estadísticas Jugadores'!$F$2:$F$7001,F901,'Estadísticas Jugadores'!$J$2:$J$7001))</f>
        <v/>
      </c>
      <c r="I901" s="4" t="str">
        <f t="shared" si="73"/>
        <v/>
      </c>
      <c r="J901" s="4" t="str">
        <f t="shared" si="74"/>
        <v/>
      </c>
    </row>
    <row r="902" spans="1:10" ht="15" customHeight="1" x14ac:dyDescent="0.25">
      <c r="A902" s="8" t="str">
        <f>IF(COUNT($J$2:$J$1501)&gt;=901,901,"")</f>
        <v/>
      </c>
      <c r="B902" s="8" t="str">
        <f t="shared" si="70"/>
        <v/>
      </c>
      <c r="C902" s="8" t="str">
        <f t="shared" si="71"/>
        <v/>
      </c>
      <c r="D902" s="8" t="str">
        <f t="shared" si="72"/>
        <v/>
      </c>
      <c r="F902" s="4" t="str">
        <f>IF(Jugadores!B902="","",Jugadores!B902)</f>
        <v/>
      </c>
      <c r="G902" s="4" t="str">
        <f>IF(Jugadores!B902="","",Jugadores!A902)</f>
        <v/>
      </c>
      <c r="H902" s="4" t="str">
        <f>IF(F902="","",SUMIF('Estadísticas Jugadores'!$F$2:$F$7001,F902,'Estadísticas Jugadores'!$J$2:$J$7001))</f>
        <v/>
      </c>
      <c r="I902" s="4" t="str">
        <f t="shared" si="73"/>
        <v/>
      </c>
      <c r="J902" s="4" t="str">
        <f t="shared" si="74"/>
        <v/>
      </c>
    </row>
    <row r="903" spans="1:10" ht="15" customHeight="1" x14ac:dyDescent="0.25">
      <c r="A903" s="8" t="str">
        <f>IF(COUNT($J$2:$J$1501)&gt;=902,902,"")</f>
        <v/>
      </c>
      <c r="B903" s="8" t="str">
        <f t="shared" si="70"/>
        <v/>
      </c>
      <c r="C903" s="8" t="str">
        <f t="shared" si="71"/>
        <v/>
      </c>
      <c r="D903" s="8" t="str">
        <f t="shared" si="72"/>
        <v/>
      </c>
      <c r="F903" s="4" t="str">
        <f>IF(Jugadores!B903="","",Jugadores!B903)</f>
        <v/>
      </c>
      <c r="G903" s="4" t="str">
        <f>IF(Jugadores!B903="","",Jugadores!A903)</f>
        <v/>
      </c>
      <c r="H903" s="4" t="str">
        <f>IF(F903="","",SUMIF('Estadísticas Jugadores'!$F$2:$F$7001,F903,'Estadísticas Jugadores'!$J$2:$J$7001))</f>
        <v/>
      </c>
      <c r="I903" s="4" t="str">
        <f t="shared" si="73"/>
        <v/>
      </c>
      <c r="J903" s="4" t="str">
        <f t="shared" si="74"/>
        <v/>
      </c>
    </row>
    <row r="904" spans="1:10" ht="15" customHeight="1" x14ac:dyDescent="0.25">
      <c r="A904" s="8" t="str">
        <f>IF(COUNT($J$2:$J$1501)&gt;=903,903,"")</f>
        <v/>
      </c>
      <c r="B904" s="8" t="str">
        <f t="shared" si="70"/>
        <v/>
      </c>
      <c r="C904" s="8" t="str">
        <f t="shared" si="71"/>
        <v/>
      </c>
      <c r="D904" s="8" t="str">
        <f t="shared" si="72"/>
        <v/>
      </c>
      <c r="F904" s="4" t="str">
        <f>IF(Jugadores!B904="","",Jugadores!B904)</f>
        <v/>
      </c>
      <c r="G904" s="4" t="str">
        <f>IF(Jugadores!B904="","",Jugadores!A904)</f>
        <v/>
      </c>
      <c r="H904" s="4" t="str">
        <f>IF(F904="","",SUMIF('Estadísticas Jugadores'!$F$2:$F$7001,F904,'Estadísticas Jugadores'!$J$2:$J$7001))</f>
        <v/>
      </c>
      <c r="I904" s="4" t="str">
        <f t="shared" si="73"/>
        <v/>
      </c>
      <c r="J904" s="4" t="str">
        <f t="shared" si="74"/>
        <v/>
      </c>
    </row>
    <row r="905" spans="1:10" ht="15" customHeight="1" x14ac:dyDescent="0.25">
      <c r="A905" s="8" t="str">
        <f>IF(COUNT($J$2:$J$1501)&gt;=904,904,"")</f>
        <v/>
      </c>
      <c r="B905" s="8" t="str">
        <f t="shared" si="70"/>
        <v/>
      </c>
      <c r="C905" s="8" t="str">
        <f t="shared" si="71"/>
        <v/>
      </c>
      <c r="D905" s="8" t="str">
        <f t="shared" si="72"/>
        <v/>
      </c>
      <c r="F905" s="4" t="str">
        <f>IF(Jugadores!B905="","",Jugadores!B905)</f>
        <v/>
      </c>
      <c r="G905" s="4" t="str">
        <f>IF(Jugadores!B905="","",Jugadores!A905)</f>
        <v/>
      </c>
      <c r="H905" s="4" t="str">
        <f>IF(F905="","",SUMIF('Estadísticas Jugadores'!$F$2:$F$7001,F905,'Estadísticas Jugadores'!$J$2:$J$7001))</f>
        <v/>
      </c>
      <c r="I905" s="4" t="str">
        <f t="shared" si="73"/>
        <v/>
      </c>
      <c r="J905" s="4" t="str">
        <f t="shared" si="74"/>
        <v/>
      </c>
    </row>
    <row r="906" spans="1:10" ht="15" customHeight="1" x14ac:dyDescent="0.25">
      <c r="A906" s="8" t="str">
        <f>IF(COUNT($J$2:$J$1501)&gt;=905,905,"")</f>
        <v/>
      </c>
      <c r="B906" s="8" t="str">
        <f t="shared" si="70"/>
        <v/>
      </c>
      <c r="C906" s="8" t="str">
        <f t="shared" si="71"/>
        <v/>
      </c>
      <c r="D906" s="8" t="str">
        <f t="shared" si="72"/>
        <v/>
      </c>
      <c r="F906" s="4" t="str">
        <f>IF(Jugadores!B906="","",Jugadores!B906)</f>
        <v/>
      </c>
      <c r="G906" s="4" t="str">
        <f>IF(Jugadores!B906="","",Jugadores!A906)</f>
        <v/>
      </c>
      <c r="H906" s="4" t="str">
        <f>IF(F906="","",SUMIF('Estadísticas Jugadores'!$F$2:$F$7001,F906,'Estadísticas Jugadores'!$J$2:$J$7001))</f>
        <v/>
      </c>
      <c r="I906" s="4" t="str">
        <f t="shared" si="73"/>
        <v/>
      </c>
      <c r="J906" s="4" t="str">
        <f t="shared" si="74"/>
        <v/>
      </c>
    </row>
    <row r="907" spans="1:10" ht="15" customHeight="1" x14ac:dyDescent="0.25">
      <c r="A907" s="8" t="str">
        <f>IF(COUNT($J$2:$J$1501)&gt;=906,906,"")</f>
        <v/>
      </c>
      <c r="B907" s="8" t="str">
        <f t="shared" si="70"/>
        <v/>
      </c>
      <c r="C907" s="8" t="str">
        <f t="shared" si="71"/>
        <v/>
      </c>
      <c r="D907" s="8" t="str">
        <f t="shared" si="72"/>
        <v/>
      </c>
      <c r="F907" s="4" t="str">
        <f>IF(Jugadores!B907="","",Jugadores!B907)</f>
        <v/>
      </c>
      <c r="G907" s="4" t="str">
        <f>IF(Jugadores!B907="","",Jugadores!A907)</f>
        <v/>
      </c>
      <c r="H907" s="4" t="str">
        <f>IF(F907="","",SUMIF('Estadísticas Jugadores'!$F$2:$F$7001,F907,'Estadísticas Jugadores'!$J$2:$J$7001))</f>
        <v/>
      </c>
      <c r="I907" s="4" t="str">
        <f t="shared" si="73"/>
        <v/>
      </c>
      <c r="J907" s="4" t="str">
        <f t="shared" si="74"/>
        <v/>
      </c>
    </row>
    <row r="908" spans="1:10" ht="15" customHeight="1" x14ac:dyDescent="0.25">
      <c r="A908" s="8" t="str">
        <f>IF(COUNT($J$2:$J$1501)&gt;=907,907,"")</f>
        <v/>
      </c>
      <c r="B908" s="8" t="str">
        <f t="shared" si="70"/>
        <v/>
      </c>
      <c r="C908" s="8" t="str">
        <f t="shared" si="71"/>
        <v/>
      </c>
      <c r="D908" s="8" t="str">
        <f t="shared" si="72"/>
        <v/>
      </c>
      <c r="F908" s="4" t="str">
        <f>IF(Jugadores!B908="","",Jugadores!B908)</f>
        <v/>
      </c>
      <c r="G908" s="4" t="str">
        <f>IF(Jugadores!B908="","",Jugadores!A908)</f>
        <v/>
      </c>
      <c r="H908" s="4" t="str">
        <f>IF(F908="","",SUMIF('Estadísticas Jugadores'!$F$2:$F$7001,F908,'Estadísticas Jugadores'!$J$2:$J$7001))</f>
        <v/>
      </c>
      <c r="I908" s="4" t="str">
        <f t="shared" si="73"/>
        <v/>
      </c>
      <c r="J908" s="4" t="str">
        <f t="shared" si="74"/>
        <v/>
      </c>
    </row>
    <row r="909" spans="1:10" ht="15" customHeight="1" x14ac:dyDescent="0.25">
      <c r="A909" s="8" t="str">
        <f>IF(COUNT($J$2:$J$1501)&gt;=908,908,"")</f>
        <v/>
      </c>
      <c r="B909" s="8" t="str">
        <f t="shared" si="70"/>
        <v/>
      </c>
      <c r="C909" s="8" t="str">
        <f t="shared" si="71"/>
        <v/>
      </c>
      <c r="D909" s="8" t="str">
        <f t="shared" si="72"/>
        <v/>
      </c>
      <c r="F909" s="4" t="str">
        <f>IF(Jugadores!B909="","",Jugadores!B909)</f>
        <v/>
      </c>
      <c r="G909" s="4" t="str">
        <f>IF(Jugadores!B909="","",Jugadores!A909)</f>
        <v/>
      </c>
      <c r="H909" s="4" t="str">
        <f>IF(F909="","",SUMIF('Estadísticas Jugadores'!$F$2:$F$7001,F909,'Estadísticas Jugadores'!$J$2:$J$7001))</f>
        <v/>
      </c>
      <c r="I909" s="4" t="str">
        <f t="shared" si="73"/>
        <v/>
      </c>
      <c r="J909" s="4" t="str">
        <f t="shared" si="74"/>
        <v/>
      </c>
    </row>
    <row r="910" spans="1:10" ht="15" customHeight="1" x14ac:dyDescent="0.25">
      <c r="A910" s="8" t="str">
        <f>IF(COUNT($J$2:$J$1501)&gt;=909,909,"")</f>
        <v/>
      </c>
      <c r="B910" s="8" t="str">
        <f t="shared" si="70"/>
        <v/>
      </c>
      <c r="C910" s="8" t="str">
        <f t="shared" si="71"/>
        <v/>
      </c>
      <c r="D910" s="8" t="str">
        <f t="shared" si="72"/>
        <v/>
      </c>
      <c r="F910" s="4" t="str">
        <f>IF(Jugadores!B910="","",Jugadores!B910)</f>
        <v/>
      </c>
      <c r="G910" s="4" t="str">
        <f>IF(Jugadores!B910="","",Jugadores!A910)</f>
        <v/>
      </c>
      <c r="H910" s="4" t="str">
        <f>IF(F910="","",SUMIF('Estadísticas Jugadores'!$F$2:$F$7001,F910,'Estadísticas Jugadores'!$J$2:$J$7001))</f>
        <v/>
      </c>
      <c r="I910" s="4" t="str">
        <f t="shared" si="73"/>
        <v/>
      </c>
      <c r="J910" s="4" t="str">
        <f t="shared" si="74"/>
        <v/>
      </c>
    </row>
    <row r="911" spans="1:10" ht="15" customHeight="1" x14ac:dyDescent="0.25">
      <c r="A911" s="8" t="str">
        <f>IF(COUNT($J$2:$J$1501)&gt;=910,910,"")</f>
        <v/>
      </c>
      <c r="B911" s="8" t="str">
        <f t="shared" si="70"/>
        <v/>
      </c>
      <c r="C911" s="8" t="str">
        <f t="shared" si="71"/>
        <v/>
      </c>
      <c r="D911" s="8" t="str">
        <f t="shared" si="72"/>
        <v/>
      </c>
      <c r="F911" s="4" t="str">
        <f>IF(Jugadores!B911="","",Jugadores!B911)</f>
        <v/>
      </c>
      <c r="G911" s="4" t="str">
        <f>IF(Jugadores!B911="","",Jugadores!A911)</f>
        <v/>
      </c>
      <c r="H911" s="4" t="str">
        <f>IF(F911="","",SUMIF('Estadísticas Jugadores'!$F$2:$F$7001,F911,'Estadísticas Jugadores'!$J$2:$J$7001))</f>
        <v/>
      </c>
      <c r="I911" s="4" t="str">
        <f t="shared" si="73"/>
        <v/>
      </c>
      <c r="J911" s="4" t="str">
        <f t="shared" si="74"/>
        <v/>
      </c>
    </row>
    <row r="912" spans="1:10" ht="15" customHeight="1" x14ac:dyDescent="0.25">
      <c r="A912" s="8" t="str">
        <f>IF(COUNT($J$2:$J$1501)&gt;=911,911,"")</f>
        <v/>
      </c>
      <c r="B912" s="8" t="str">
        <f t="shared" si="70"/>
        <v/>
      </c>
      <c r="C912" s="8" t="str">
        <f t="shared" si="71"/>
        <v/>
      </c>
      <c r="D912" s="8" t="str">
        <f t="shared" si="72"/>
        <v/>
      </c>
      <c r="F912" s="4" t="str">
        <f>IF(Jugadores!B912="","",Jugadores!B912)</f>
        <v/>
      </c>
      <c r="G912" s="4" t="str">
        <f>IF(Jugadores!B912="","",Jugadores!A912)</f>
        <v/>
      </c>
      <c r="H912" s="4" t="str">
        <f>IF(F912="","",SUMIF('Estadísticas Jugadores'!$F$2:$F$7001,F912,'Estadísticas Jugadores'!$J$2:$J$7001))</f>
        <v/>
      </c>
      <c r="I912" s="4" t="str">
        <f t="shared" si="73"/>
        <v/>
      </c>
      <c r="J912" s="4" t="str">
        <f t="shared" si="74"/>
        <v/>
      </c>
    </row>
    <row r="913" spans="1:10" ht="15" customHeight="1" x14ac:dyDescent="0.25">
      <c r="A913" s="8" t="str">
        <f>IF(COUNT($J$2:$J$1501)&gt;=912,912,"")</f>
        <v/>
      </c>
      <c r="B913" s="8" t="str">
        <f t="shared" si="70"/>
        <v/>
      </c>
      <c r="C913" s="8" t="str">
        <f t="shared" si="71"/>
        <v/>
      </c>
      <c r="D913" s="8" t="str">
        <f t="shared" si="72"/>
        <v/>
      </c>
      <c r="F913" s="4" t="str">
        <f>IF(Jugadores!B913="","",Jugadores!B913)</f>
        <v/>
      </c>
      <c r="G913" s="4" t="str">
        <f>IF(Jugadores!B913="","",Jugadores!A913)</f>
        <v/>
      </c>
      <c r="H913" s="4" t="str">
        <f>IF(F913="","",SUMIF('Estadísticas Jugadores'!$F$2:$F$7001,F913,'Estadísticas Jugadores'!$J$2:$J$7001))</f>
        <v/>
      </c>
      <c r="I913" s="4" t="str">
        <f t="shared" si="73"/>
        <v/>
      </c>
      <c r="J913" s="4" t="str">
        <f t="shared" si="74"/>
        <v/>
      </c>
    </row>
    <row r="914" spans="1:10" ht="15" customHeight="1" x14ac:dyDescent="0.25">
      <c r="A914" s="8" t="str">
        <f>IF(COUNT($J$2:$J$1501)&gt;=913,913,"")</f>
        <v/>
      </c>
      <c r="B914" s="8" t="str">
        <f t="shared" si="70"/>
        <v/>
      </c>
      <c r="C914" s="8" t="str">
        <f t="shared" si="71"/>
        <v/>
      </c>
      <c r="D914" s="8" t="str">
        <f t="shared" si="72"/>
        <v/>
      </c>
      <c r="F914" s="4" t="str">
        <f>IF(Jugadores!B914="","",Jugadores!B914)</f>
        <v/>
      </c>
      <c r="G914" s="4" t="str">
        <f>IF(Jugadores!B914="","",Jugadores!A914)</f>
        <v/>
      </c>
      <c r="H914" s="4" t="str">
        <f>IF(F914="","",SUMIF('Estadísticas Jugadores'!$F$2:$F$7001,F914,'Estadísticas Jugadores'!$J$2:$J$7001))</f>
        <v/>
      </c>
      <c r="I914" s="4" t="str">
        <f t="shared" si="73"/>
        <v/>
      </c>
      <c r="J914" s="4" t="str">
        <f t="shared" si="74"/>
        <v/>
      </c>
    </row>
    <row r="915" spans="1:10" ht="15" customHeight="1" x14ac:dyDescent="0.25">
      <c r="A915" s="8" t="str">
        <f>IF(COUNT($J$2:$J$1501)&gt;=914,914,"")</f>
        <v/>
      </c>
      <c r="B915" s="8" t="str">
        <f t="shared" si="70"/>
        <v/>
      </c>
      <c r="C915" s="8" t="str">
        <f t="shared" si="71"/>
        <v/>
      </c>
      <c r="D915" s="8" t="str">
        <f t="shared" si="72"/>
        <v/>
      </c>
      <c r="F915" s="4" t="str">
        <f>IF(Jugadores!B915="","",Jugadores!B915)</f>
        <v/>
      </c>
      <c r="G915" s="4" t="str">
        <f>IF(Jugadores!B915="","",Jugadores!A915)</f>
        <v/>
      </c>
      <c r="H915" s="4" t="str">
        <f>IF(F915="","",SUMIF('Estadísticas Jugadores'!$F$2:$F$7001,F915,'Estadísticas Jugadores'!$J$2:$J$7001))</f>
        <v/>
      </c>
      <c r="I915" s="4" t="str">
        <f t="shared" si="73"/>
        <v/>
      </c>
      <c r="J915" s="4" t="str">
        <f t="shared" si="74"/>
        <v/>
      </c>
    </row>
    <row r="916" spans="1:10" ht="15" customHeight="1" x14ac:dyDescent="0.25">
      <c r="A916" s="8" t="str">
        <f>IF(COUNT($J$2:$J$1501)&gt;=915,915,"")</f>
        <v/>
      </c>
      <c r="B916" s="8" t="str">
        <f t="shared" si="70"/>
        <v/>
      </c>
      <c r="C916" s="8" t="str">
        <f t="shared" si="71"/>
        <v/>
      </c>
      <c r="D916" s="8" t="str">
        <f t="shared" si="72"/>
        <v/>
      </c>
      <c r="F916" s="4" t="str">
        <f>IF(Jugadores!B916="","",Jugadores!B916)</f>
        <v/>
      </c>
      <c r="G916" s="4" t="str">
        <f>IF(Jugadores!B916="","",Jugadores!A916)</f>
        <v/>
      </c>
      <c r="H916" s="4" t="str">
        <f>IF(F916="","",SUMIF('Estadísticas Jugadores'!$F$2:$F$7001,F916,'Estadísticas Jugadores'!$J$2:$J$7001))</f>
        <v/>
      </c>
      <c r="I916" s="4" t="str">
        <f t="shared" si="73"/>
        <v/>
      </c>
      <c r="J916" s="4" t="str">
        <f t="shared" si="74"/>
        <v/>
      </c>
    </row>
    <row r="917" spans="1:10" ht="15" customHeight="1" x14ac:dyDescent="0.25">
      <c r="A917" s="8" t="str">
        <f>IF(COUNT($J$2:$J$1501)&gt;=916,916,"")</f>
        <v/>
      </c>
      <c r="B917" s="8" t="str">
        <f t="shared" si="70"/>
        <v/>
      </c>
      <c r="C917" s="8" t="str">
        <f t="shared" si="71"/>
        <v/>
      </c>
      <c r="D917" s="8" t="str">
        <f t="shared" si="72"/>
        <v/>
      </c>
      <c r="F917" s="4" t="str">
        <f>IF(Jugadores!B917="","",Jugadores!B917)</f>
        <v/>
      </c>
      <c r="G917" s="4" t="str">
        <f>IF(Jugadores!B917="","",Jugadores!A917)</f>
        <v/>
      </c>
      <c r="H917" s="4" t="str">
        <f>IF(F917="","",SUMIF('Estadísticas Jugadores'!$F$2:$F$7001,F917,'Estadísticas Jugadores'!$J$2:$J$7001))</f>
        <v/>
      </c>
      <c r="I917" s="4" t="str">
        <f t="shared" si="73"/>
        <v/>
      </c>
      <c r="J917" s="4" t="str">
        <f t="shared" si="74"/>
        <v/>
      </c>
    </row>
    <row r="918" spans="1:10" ht="15" customHeight="1" x14ac:dyDescent="0.25">
      <c r="A918" s="8" t="str">
        <f>IF(COUNT($J$2:$J$1501)&gt;=917,917,"")</f>
        <v/>
      </c>
      <c r="B918" s="8" t="str">
        <f t="shared" si="70"/>
        <v/>
      </c>
      <c r="C918" s="8" t="str">
        <f t="shared" si="71"/>
        <v/>
      </c>
      <c r="D918" s="8" t="str">
        <f t="shared" si="72"/>
        <v/>
      </c>
      <c r="F918" s="4" t="str">
        <f>IF(Jugadores!B918="","",Jugadores!B918)</f>
        <v/>
      </c>
      <c r="G918" s="4" t="str">
        <f>IF(Jugadores!B918="","",Jugadores!A918)</f>
        <v/>
      </c>
      <c r="H918" s="4" t="str">
        <f>IF(F918="","",SUMIF('Estadísticas Jugadores'!$F$2:$F$7001,F918,'Estadísticas Jugadores'!$J$2:$J$7001))</f>
        <v/>
      </c>
      <c r="I918" s="4" t="str">
        <f t="shared" si="73"/>
        <v/>
      </c>
      <c r="J918" s="4" t="str">
        <f t="shared" si="74"/>
        <v/>
      </c>
    </row>
    <row r="919" spans="1:10" ht="15" customHeight="1" x14ac:dyDescent="0.25">
      <c r="A919" s="8" t="str">
        <f>IF(COUNT($J$2:$J$1501)&gt;=918,918,"")</f>
        <v/>
      </c>
      <c r="B919" s="8" t="str">
        <f t="shared" si="70"/>
        <v/>
      </c>
      <c r="C919" s="8" t="str">
        <f t="shared" si="71"/>
        <v/>
      </c>
      <c r="D919" s="8" t="str">
        <f t="shared" si="72"/>
        <v/>
      </c>
      <c r="F919" s="4" t="str">
        <f>IF(Jugadores!B919="","",Jugadores!B919)</f>
        <v/>
      </c>
      <c r="G919" s="4" t="str">
        <f>IF(Jugadores!B919="","",Jugadores!A919)</f>
        <v/>
      </c>
      <c r="H919" s="4" t="str">
        <f>IF(F919="","",SUMIF('Estadísticas Jugadores'!$F$2:$F$7001,F919,'Estadísticas Jugadores'!$J$2:$J$7001))</f>
        <v/>
      </c>
      <c r="I919" s="4" t="str">
        <f t="shared" si="73"/>
        <v/>
      </c>
      <c r="J919" s="4" t="str">
        <f t="shared" si="74"/>
        <v/>
      </c>
    </row>
    <row r="920" spans="1:10" ht="15" customHeight="1" x14ac:dyDescent="0.25">
      <c r="A920" s="8" t="str">
        <f>IF(COUNT($J$2:$J$1501)&gt;=919,919,"")</f>
        <v/>
      </c>
      <c r="B920" s="8" t="str">
        <f t="shared" si="70"/>
        <v/>
      </c>
      <c r="C920" s="8" t="str">
        <f t="shared" si="71"/>
        <v/>
      </c>
      <c r="D920" s="8" t="str">
        <f t="shared" si="72"/>
        <v/>
      </c>
      <c r="F920" s="4" t="str">
        <f>IF(Jugadores!B920="","",Jugadores!B920)</f>
        <v/>
      </c>
      <c r="G920" s="4" t="str">
        <f>IF(Jugadores!B920="","",Jugadores!A920)</f>
        <v/>
      </c>
      <c r="H920" s="4" t="str">
        <f>IF(F920="","",SUMIF('Estadísticas Jugadores'!$F$2:$F$7001,F920,'Estadísticas Jugadores'!$J$2:$J$7001))</f>
        <v/>
      </c>
      <c r="I920" s="4" t="str">
        <f t="shared" si="73"/>
        <v/>
      </c>
      <c r="J920" s="4" t="str">
        <f t="shared" si="74"/>
        <v/>
      </c>
    </row>
    <row r="921" spans="1:10" ht="15" customHeight="1" x14ac:dyDescent="0.25">
      <c r="A921" s="8" t="str">
        <f>IF(COUNT($J$2:$J$1501)&gt;=920,920,"")</f>
        <v/>
      </c>
      <c r="B921" s="8" t="str">
        <f t="shared" si="70"/>
        <v/>
      </c>
      <c r="C921" s="8" t="str">
        <f t="shared" si="71"/>
        <v/>
      </c>
      <c r="D921" s="8" t="str">
        <f t="shared" si="72"/>
        <v/>
      </c>
      <c r="F921" s="4" t="str">
        <f>IF(Jugadores!B921="","",Jugadores!B921)</f>
        <v/>
      </c>
      <c r="G921" s="4" t="str">
        <f>IF(Jugadores!B921="","",Jugadores!A921)</f>
        <v/>
      </c>
      <c r="H921" s="4" t="str">
        <f>IF(F921="","",SUMIF('Estadísticas Jugadores'!$F$2:$F$7001,F921,'Estadísticas Jugadores'!$J$2:$J$7001))</f>
        <v/>
      </c>
      <c r="I921" s="4" t="str">
        <f t="shared" si="73"/>
        <v/>
      </c>
      <c r="J921" s="4" t="str">
        <f t="shared" si="74"/>
        <v/>
      </c>
    </row>
    <row r="922" spans="1:10" ht="15" customHeight="1" x14ac:dyDescent="0.25">
      <c r="A922" s="8" t="str">
        <f>IF(COUNT($J$2:$J$1501)&gt;=921,921,"")</f>
        <v/>
      </c>
      <c r="B922" s="8" t="str">
        <f t="shared" si="70"/>
        <v/>
      </c>
      <c r="C922" s="8" t="str">
        <f t="shared" si="71"/>
        <v/>
      </c>
      <c r="D922" s="8" t="str">
        <f t="shared" si="72"/>
        <v/>
      </c>
      <c r="F922" s="4" t="str">
        <f>IF(Jugadores!B922="","",Jugadores!B922)</f>
        <v/>
      </c>
      <c r="G922" s="4" t="str">
        <f>IF(Jugadores!B922="","",Jugadores!A922)</f>
        <v/>
      </c>
      <c r="H922" s="4" t="str">
        <f>IF(F922="","",SUMIF('Estadísticas Jugadores'!$F$2:$F$7001,F922,'Estadísticas Jugadores'!$J$2:$J$7001))</f>
        <v/>
      </c>
      <c r="I922" s="4" t="str">
        <f t="shared" si="73"/>
        <v/>
      </c>
      <c r="J922" s="4" t="str">
        <f t="shared" si="74"/>
        <v/>
      </c>
    </row>
    <row r="923" spans="1:10" ht="15" customHeight="1" x14ac:dyDescent="0.25">
      <c r="A923" s="8" t="str">
        <f>IF(COUNT($J$2:$J$1501)&gt;=922,922,"")</f>
        <v/>
      </c>
      <c r="B923" s="8" t="str">
        <f t="shared" si="70"/>
        <v/>
      </c>
      <c r="C923" s="8" t="str">
        <f t="shared" si="71"/>
        <v/>
      </c>
      <c r="D923" s="8" t="str">
        <f t="shared" si="72"/>
        <v/>
      </c>
      <c r="F923" s="4" t="str">
        <f>IF(Jugadores!B923="","",Jugadores!B923)</f>
        <v/>
      </c>
      <c r="G923" s="4" t="str">
        <f>IF(Jugadores!B923="","",Jugadores!A923)</f>
        <v/>
      </c>
      <c r="H923" s="4" t="str">
        <f>IF(F923="","",SUMIF('Estadísticas Jugadores'!$F$2:$F$7001,F923,'Estadísticas Jugadores'!$J$2:$J$7001))</f>
        <v/>
      </c>
      <c r="I923" s="4" t="str">
        <f t="shared" si="73"/>
        <v/>
      </c>
      <c r="J923" s="4" t="str">
        <f t="shared" si="74"/>
        <v/>
      </c>
    </row>
    <row r="924" spans="1:10" ht="15" customHeight="1" x14ac:dyDescent="0.25">
      <c r="A924" s="8" t="str">
        <f>IF(COUNT($J$2:$J$1501)&gt;=923,923,"")</f>
        <v/>
      </c>
      <c r="B924" s="8" t="str">
        <f t="shared" si="70"/>
        <v/>
      </c>
      <c r="C924" s="8" t="str">
        <f t="shared" si="71"/>
        <v/>
      </c>
      <c r="D924" s="8" t="str">
        <f t="shared" si="72"/>
        <v/>
      </c>
      <c r="F924" s="4" t="str">
        <f>IF(Jugadores!B924="","",Jugadores!B924)</f>
        <v/>
      </c>
      <c r="G924" s="4" t="str">
        <f>IF(Jugadores!B924="","",Jugadores!A924)</f>
        <v/>
      </c>
      <c r="H924" s="4" t="str">
        <f>IF(F924="","",SUMIF('Estadísticas Jugadores'!$F$2:$F$7001,F924,'Estadísticas Jugadores'!$J$2:$J$7001))</f>
        <v/>
      </c>
      <c r="I924" s="4" t="str">
        <f t="shared" si="73"/>
        <v/>
      </c>
      <c r="J924" s="4" t="str">
        <f t="shared" si="74"/>
        <v/>
      </c>
    </row>
    <row r="925" spans="1:10" ht="15" customHeight="1" x14ac:dyDescent="0.25">
      <c r="A925" s="8" t="str">
        <f>IF(COUNT($J$2:$J$1501)&gt;=924,924,"")</f>
        <v/>
      </c>
      <c r="B925" s="8" t="str">
        <f t="shared" si="70"/>
        <v/>
      </c>
      <c r="C925" s="8" t="str">
        <f t="shared" si="71"/>
        <v/>
      </c>
      <c r="D925" s="8" t="str">
        <f t="shared" si="72"/>
        <v/>
      </c>
      <c r="F925" s="4" t="str">
        <f>IF(Jugadores!B925="","",Jugadores!B925)</f>
        <v/>
      </c>
      <c r="G925" s="4" t="str">
        <f>IF(Jugadores!B925="","",Jugadores!A925)</f>
        <v/>
      </c>
      <c r="H925" s="4" t="str">
        <f>IF(F925="","",SUMIF('Estadísticas Jugadores'!$F$2:$F$7001,F925,'Estadísticas Jugadores'!$J$2:$J$7001))</f>
        <v/>
      </c>
      <c r="I925" s="4" t="str">
        <f t="shared" si="73"/>
        <v/>
      </c>
      <c r="J925" s="4" t="str">
        <f t="shared" si="74"/>
        <v/>
      </c>
    </row>
    <row r="926" spans="1:10" ht="15" customHeight="1" x14ac:dyDescent="0.25">
      <c r="A926" s="8" t="str">
        <f>IF(COUNT($J$2:$J$1501)&gt;=925,925,"")</f>
        <v/>
      </c>
      <c r="B926" s="8" t="str">
        <f t="shared" si="70"/>
        <v/>
      </c>
      <c r="C926" s="8" t="str">
        <f t="shared" si="71"/>
        <v/>
      </c>
      <c r="D926" s="8" t="str">
        <f t="shared" si="72"/>
        <v/>
      </c>
      <c r="F926" s="4" t="str">
        <f>IF(Jugadores!B926="","",Jugadores!B926)</f>
        <v/>
      </c>
      <c r="G926" s="4" t="str">
        <f>IF(Jugadores!B926="","",Jugadores!A926)</f>
        <v/>
      </c>
      <c r="H926" s="4" t="str">
        <f>IF(F926="","",SUMIF('Estadísticas Jugadores'!$F$2:$F$7001,F926,'Estadísticas Jugadores'!$J$2:$J$7001))</f>
        <v/>
      </c>
      <c r="I926" s="4" t="str">
        <f t="shared" si="73"/>
        <v/>
      </c>
      <c r="J926" s="4" t="str">
        <f t="shared" si="74"/>
        <v/>
      </c>
    </row>
    <row r="927" spans="1:10" ht="15" customHeight="1" x14ac:dyDescent="0.25">
      <c r="A927" s="8" t="str">
        <f>IF(COUNT($J$2:$J$1501)&gt;=926,926,"")</f>
        <v/>
      </c>
      <c r="B927" s="8" t="str">
        <f t="shared" si="70"/>
        <v/>
      </c>
      <c r="C927" s="8" t="str">
        <f t="shared" si="71"/>
        <v/>
      </c>
      <c r="D927" s="8" t="str">
        <f t="shared" si="72"/>
        <v/>
      </c>
      <c r="F927" s="4" t="str">
        <f>IF(Jugadores!B927="","",Jugadores!B927)</f>
        <v/>
      </c>
      <c r="G927" s="4" t="str">
        <f>IF(Jugadores!B927="","",Jugadores!A927)</f>
        <v/>
      </c>
      <c r="H927" s="4" t="str">
        <f>IF(F927="","",SUMIF('Estadísticas Jugadores'!$F$2:$F$7001,F927,'Estadísticas Jugadores'!$J$2:$J$7001))</f>
        <v/>
      </c>
      <c r="I927" s="4" t="str">
        <f t="shared" si="73"/>
        <v/>
      </c>
      <c r="J927" s="4" t="str">
        <f t="shared" si="74"/>
        <v/>
      </c>
    </row>
    <row r="928" spans="1:10" ht="15" customHeight="1" x14ac:dyDescent="0.25">
      <c r="A928" s="8" t="str">
        <f>IF(COUNT($J$2:$J$1501)&gt;=927,927,"")</f>
        <v/>
      </c>
      <c r="B928" s="8" t="str">
        <f t="shared" si="70"/>
        <v/>
      </c>
      <c r="C928" s="8" t="str">
        <f t="shared" si="71"/>
        <v/>
      </c>
      <c r="D928" s="8" t="str">
        <f t="shared" si="72"/>
        <v/>
      </c>
      <c r="F928" s="4" t="str">
        <f>IF(Jugadores!B928="","",Jugadores!B928)</f>
        <v/>
      </c>
      <c r="G928" s="4" t="str">
        <f>IF(Jugadores!B928="","",Jugadores!A928)</f>
        <v/>
      </c>
      <c r="H928" s="4" t="str">
        <f>IF(F928="","",SUMIF('Estadísticas Jugadores'!$F$2:$F$7001,F928,'Estadísticas Jugadores'!$J$2:$J$7001))</f>
        <v/>
      </c>
      <c r="I928" s="4" t="str">
        <f t="shared" si="73"/>
        <v/>
      </c>
      <c r="J928" s="4" t="str">
        <f t="shared" si="74"/>
        <v/>
      </c>
    </row>
    <row r="929" spans="1:10" ht="15" customHeight="1" x14ac:dyDescent="0.25">
      <c r="A929" s="8" t="str">
        <f>IF(COUNT($J$2:$J$1501)&gt;=928,928,"")</f>
        <v/>
      </c>
      <c r="B929" s="8" t="str">
        <f t="shared" si="70"/>
        <v/>
      </c>
      <c r="C929" s="8" t="str">
        <f t="shared" si="71"/>
        <v/>
      </c>
      <c r="D929" s="8" t="str">
        <f t="shared" si="72"/>
        <v/>
      </c>
      <c r="F929" s="4" t="str">
        <f>IF(Jugadores!B929="","",Jugadores!B929)</f>
        <v/>
      </c>
      <c r="G929" s="4" t="str">
        <f>IF(Jugadores!B929="","",Jugadores!A929)</f>
        <v/>
      </c>
      <c r="H929" s="4" t="str">
        <f>IF(F929="","",SUMIF('Estadísticas Jugadores'!$F$2:$F$7001,F929,'Estadísticas Jugadores'!$J$2:$J$7001))</f>
        <v/>
      </c>
      <c r="I929" s="4" t="str">
        <f t="shared" si="73"/>
        <v/>
      </c>
      <c r="J929" s="4" t="str">
        <f t="shared" si="74"/>
        <v/>
      </c>
    </row>
    <row r="930" spans="1:10" ht="15" customHeight="1" x14ac:dyDescent="0.25">
      <c r="A930" s="8" t="str">
        <f>IF(COUNT($J$2:$J$1501)&gt;=929,929,"")</f>
        <v/>
      </c>
      <c r="B930" s="8" t="str">
        <f t="shared" si="70"/>
        <v/>
      </c>
      <c r="C930" s="8" t="str">
        <f t="shared" si="71"/>
        <v/>
      </c>
      <c r="D930" s="8" t="str">
        <f t="shared" si="72"/>
        <v/>
      </c>
      <c r="F930" s="4" t="str">
        <f>IF(Jugadores!B930="","",Jugadores!B930)</f>
        <v/>
      </c>
      <c r="G930" s="4" t="str">
        <f>IF(Jugadores!B930="","",Jugadores!A930)</f>
        <v/>
      </c>
      <c r="H930" s="4" t="str">
        <f>IF(F930="","",SUMIF('Estadísticas Jugadores'!$F$2:$F$7001,F930,'Estadísticas Jugadores'!$J$2:$J$7001))</f>
        <v/>
      </c>
      <c r="I930" s="4" t="str">
        <f t="shared" si="73"/>
        <v/>
      </c>
      <c r="J930" s="4" t="str">
        <f t="shared" si="74"/>
        <v/>
      </c>
    </row>
    <row r="931" spans="1:10" ht="15" customHeight="1" x14ac:dyDescent="0.25">
      <c r="A931" s="8" t="str">
        <f>IF(COUNT($J$2:$J$1501)&gt;=930,930,"")</f>
        <v/>
      </c>
      <c r="B931" s="8" t="str">
        <f t="shared" si="70"/>
        <v/>
      </c>
      <c r="C931" s="8" t="str">
        <f t="shared" si="71"/>
        <v/>
      </c>
      <c r="D931" s="8" t="str">
        <f t="shared" si="72"/>
        <v/>
      </c>
      <c r="F931" s="4" t="str">
        <f>IF(Jugadores!B931="","",Jugadores!B931)</f>
        <v/>
      </c>
      <c r="G931" s="4" t="str">
        <f>IF(Jugadores!B931="","",Jugadores!A931)</f>
        <v/>
      </c>
      <c r="H931" s="4" t="str">
        <f>IF(F931="","",SUMIF('Estadísticas Jugadores'!$F$2:$F$7001,F931,'Estadísticas Jugadores'!$J$2:$J$7001))</f>
        <v/>
      </c>
      <c r="I931" s="4" t="str">
        <f t="shared" si="73"/>
        <v/>
      </c>
      <c r="J931" s="4" t="str">
        <f t="shared" si="74"/>
        <v/>
      </c>
    </row>
    <row r="932" spans="1:10" ht="15" customHeight="1" x14ac:dyDescent="0.25">
      <c r="A932" s="8" t="str">
        <f>IF(COUNT($J$2:$J$1501)&gt;=931,931,"")</f>
        <v/>
      </c>
      <c r="B932" s="8" t="str">
        <f t="shared" si="70"/>
        <v/>
      </c>
      <c r="C932" s="8" t="str">
        <f t="shared" si="71"/>
        <v/>
      </c>
      <c r="D932" s="8" t="str">
        <f t="shared" si="72"/>
        <v/>
      </c>
      <c r="F932" s="4" t="str">
        <f>IF(Jugadores!B932="","",Jugadores!B932)</f>
        <v/>
      </c>
      <c r="G932" s="4" t="str">
        <f>IF(Jugadores!B932="","",Jugadores!A932)</f>
        <v/>
      </c>
      <c r="H932" s="4" t="str">
        <f>IF(F932="","",SUMIF('Estadísticas Jugadores'!$F$2:$F$7001,F932,'Estadísticas Jugadores'!$J$2:$J$7001))</f>
        <v/>
      </c>
      <c r="I932" s="4" t="str">
        <f t="shared" si="73"/>
        <v/>
      </c>
      <c r="J932" s="4" t="str">
        <f t="shared" si="74"/>
        <v/>
      </c>
    </row>
    <row r="933" spans="1:10" ht="15" customHeight="1" x14ac:dyDescent="0.25">
      <c r="A933" s="8" t="str">
        <f>IF(COUNT($J$2:$J$1501)&gt;=932,932,"")</f>
        <v/>
      </c>
      <c r="B933" s="8" t="str">
        <f t="shared" si="70"/>
        <v/>
      </c>
      <c r="C933" s="8" t="str">
        <f t="shared" si="71"/>
        <v/>
      </c>
      <c r="D933" s="8" t="str">
        <f t="shared" si="72"/>
        <v/>
      </c>
      <c r="F933" s="4" t="str">
        <f>IF(Jugadores!B933="","",Jugadores!B933)</f>
        <v/>
      </c>
      <c r="G933" s="4" t="str">
        <f>IF(Jugadores!B933="","",Jugadores!A933)</f>
        <v/>
      </c>
      <c r="H933" s="4" t="str">
        <f>IF(F933="","",SUMIF('Estadísticas Jugadores'!$F$2:$F$7001,F933,'Estadísticas Jugadores'!$J$2:$J$7001))</f>
        <v/>
      </c>
      <c r="I933" s="4" t="str">
        <f t="shared" si="73"/>
        <v/>
      </c>
      <c r="J933" s="4" t="str">
        <f t="shared" si="74"/>
        <v/>
      </c>
    </row>
    <row r="934" spans="1:10" ht="15" customHeight="1" x14ac:dyDescent="0.25">
      <c r="A934" s="8" t="str">
        <f>IF(COUNT($J$2:$J$1501)&gt;=933,933,"")</f>
        <v/>
      </c>
      <c r="B934" s="8" t="str">
        <f t="shared" si="70"/>
        <v/>
      </c>
      <c r="C934" s="8" t="str">
        <f t="shared" si="71"/>
        <v/>
      </c>
      <c r="D934" s="8" t="str">
        <f t="shared" si="72"/>
        <v/>
      </c>
      <c r="F934" s="4" t="str">
        <f>IF(Jugadores!B934="","",Jugadores!B934)</f>
        <v/>
      </c>
      <c r="G934" s="4" t="str">
        <f>IF(Jugadores!B934="","",Jugadores!A934)</f>
        <v/>
      </c>
      <c r="H934" s="4" t="str">
        <f>IF(F934="","",SUMIF('Estadísticas Jugadores'!$F$2:$F$7001,F934,'Estadísticas Jugadores'!$J$2:$J$7001))</f>
        <v/>
      </c>
      <c r="I934" s="4" t="str">
        <f t="shared" si="73"/>
        <v/>
      </c>
      <c r="J934" s="4" t="str">
        <f t="shared" si="74"/>
        <v/>
      </c>
    </row>
    <row r="935" spans="1:10" ht="15" customHeight="1" x14ac:dyDescent="0.25">
      <c r="A935" s="8" t="str">
        <f>IF(COUNT($J$2:$J$1501)&gt;=934,934,"")</f>
        <v/>
      </c>
      <c r="B935" s="8" t="str">
        <f t="shared" si="70"/>
        <v/>
      </c>
      <c r="C935" s="8" t="str">
        <f t="shared" si="71"/>
        <v/>
      </c>
      <c r="D935" s="8" t="str">
        <f t="shared" si="72"/>
        <v/>
      </c>
      <c r="F935" s="4" t="str">
        <f>IF(Jugadores!B935="","",Jugadores!B935)</f>
        <v/>
      </c>
      <c r="G935" s="4" t="str">
        <f>IF(Jugadores!B935="","",Jugadores!A935)</f>
        <v/>
      </c>
      <c r="H935" s="4" t="str">
        <f>IF(F935="","",SUMIF('Estadísticas Jugadores'!$F$2:$F$7001,F935,'Estadísticas Jugadores'!$J$2:$J$7001))</f>
        <v/>
      </c>
      <c r="I935" s="4" t="str">
        <f t="shared" si="73"/>
        <v/>
      </c>
      <c r="J935" s="4" t="str">
        <f t="shared" si="74"/>
        <v/>
      </c>
    </row>
    <row r="936" spans="1:10" ht="15" customHeight="1" x14ac:dyDescent="0.25">
      <c r="A936" s="8" t="str">
        <f>IF(COUNT($J$2:$J$1501)&gt;=935,935,"")</f>
        <v/>
      </c>
      <c r="B936" s="8" t="str">
        <f t="shared" si="70"/>
        <v/>
      </c>
      <c r="C936" s="8" t="str">
        <f t="shared" si="71"/>
        <v/>
      </c>
      <c r="D936" s="8" t="str">
        <f t="shared" si="72"/>
        <v/>
      </c>
      <c r="F936" s="4" t="str">
        <f>IF(Jugadores!B936="","",Jugadores!B936)</f>
        <v/>
      </c>
      <c r="G936" s="4" t="str">
        <f>IF(Jugadores!B936="","",Jugadores!A936)</f>
        <v/>
      </c>
      <c r="H936" s="4" t="str">
        <f>IF(F936="","",SUMIF('Estadísticas Jugadores'!$F$2:$F$7001,F936,'Estadísticas Jugadores'!$J$2:$J$7001))</f>
        <v/>
      </c>
      <c r="I936" s="4" t="str">
        <f t="shared" si="73"/>
        <v/>
      </c>
      <c r="J936" s="4" t="str">
        <f t="shared" si="74"/>
        <v/>
      </c>
    </row>
    <row r="937" spans="1:10" ht="15" customHeight="1" x14ac:dyDescent="0.25">
      <c r="A937" s="8" t="str">
        <f>IF(COUNT($J$2:$J$1501)&gt;=936,936,"")</f>
        <v/>
      </c>
      <c r="B937" s="8" t="str">
        <f t="shared" si="70"/>
        <v/>
      </c>
      <c r="C937" s="8" t="str">
        <f t="shared" si="71"/>
        <v/>
      </c>
      <c r="D937" s="8" t="str">
        <f t="shared" si="72"/>
        <v/>
      </c>
      <c r="F937" s="4" t="str">
        <f>IF(Jugadores!B937="","",Jugadores!B937)</f>
        <v/>
      </c>
      <c r="G937" s="4" t="str">
        <f>IF(Jugadores!B937="","",Jugadores!A937)</f>
        <v/>
      </c>
      <c r="H937" s="4" t="str">
        <f>IF(F937="","",SUMIF('Estadísticas Jugadores'!$F$2:$F$7001,F937,'Estadísticas Jugadores'!$J$2:$J$7001))</f>
        <v/>
      </c>
      <c r="I937" s="4" t="str">
        <f t="shared" si="73"/>
        <v/>
      </c>
      <c r="J937" s="4" t="str">
        <f t="shared" si="74"/>
        <v/>
      </c>
    </row>
    <row r="938" spans="1:10" ht="15" customHeight="1" x14ac:dyDescent="0.25">
      <c r="A938" s="8" t="str">
        <f>IF(COUNT($J$2:$J$1501)&gt;=937,937,"")</f>
        <v/>
      </c>
      <c r="B938" s="8" t="str">
        <f t="shared" si="70"/>
        <v/>
      </c>
      <c r="C938" s="8" t="str">
        <f t="shared" si="71"/>
        <v/>
      </c>
      <c r="D938" s="8" t="str">
        <f t="shared" si="72"/>
        <v/>
      </c>
      <c r="F938" s="4" t="str">
        <f>IF(Jugadores!B938="","",Jugadores!B938)</f>
        <v/>
      </c>
      <c r="G938" s="4" t="str">
        <f>IF(Jugadores!B938="","",Jugadores!A938)</f>
        <v/>
      </c>
      <c r="H938" s="4" t="str">
        <f>IF(F938="","",SUMIF('Estadísticas Jugadores'!$F$2:$F$7001,F938,'Estadísticas Jugadores'!$J$2:$J$7001))</f>
        <v/>
      </c>
      <c r="I938" s="4" t="str">
        <f t="shared" si="73"/>
        <v/>
      </c>
      <c r="J938" s="4" t="str">
        <f t="shared" si="74"/>
        <v/>
      </c>
    </row>
    <row r="939" spans="1:10" ht="15" customHeight="1" x14ac:dyDescent="0.25">
      <c r="A939" s="8" t="str">
        <f>IF(COUNT($J$2:$J$1501)&gt;=938,938,"")</f>
        <v/>
      </c>
      <c r="B939" s="8" t="str">
        <f t="shared" si="70"/>
        <v/>
      </c>
      <c r="C939" s="8" t="str">
        <f t="shared" si="71"/>
        <v/>
      </c>
      <c r="D939" s="8" t="str">
        <f t="shared" si="72"/>
        <v/>
      </c>
      <c r="F939" s="4" t="str">
        <f>IF(Jugadores!B939="","",Jugadores!B939)</f>
        <v/>
      </c>
      <c r="G939" s="4" t="str">
        <f>IF(Jugadores!B939="","",Jugadores!A939)</f>
        <v/>
      </c>
      <c r="H939" s="4" t="str">
        <f>IF(F939="","",SUMIF('Estadísticas Jugadores'!$F$2:$F$7001,F939,'Estadísticas Jugadores'!$J$2:$J$7001))</f>
        <v/>
      </c>
      <c r="I939" s="4" t="str">
        <f t="shared" si="73"/>
        <v/>
      </c>
      <c r="J939" s="4" t="str">
        <f t="shared" si="74"/>
        <v/>
      </c>
    </row>
    <row r="940" spans="1:10" ht="15" customHeight="1" x14ac:dyDescent="0.25">
      <c r="A940" s="8" t="str">
        <f>IF(COUNT($J$2:$J$1501)&gt;=939,939,"")</f>
        <v/>
      </c>
      <c r="B940" s="8" t="str">
        <f t="shared" si="70"/>
        <v/>
      </c>
      <c r="C940" s="8" t="str">
        <f t="shared" si="71"/>
        <v/>
      </c>
      <c r="D940" s="8" t="str">
        <f t="shared" si="72"/>
        <v/>
      </c>
      <c r="F940" s="4" t="str">
        <f>IF(Jugadores!B940="","",Jugadores!B940)</f>
        <v/>
      </c>
      <c r="G940" s="4" t="str">
        <f>IF(Jugadores!B940="","",Jugadores!A940)</f>
        <v/>
      </c>
      <c r="H940" s="4" t="str">
        <f>IF(F940="","",SUMIF('Estadísticas Jugadores'!$F$2:$F$7001,F940,'Estadísticas Jugadores'!$J$2:$J$7001))</f>
        <v/>
      </c>
      <c r="I940" s="4" t="str">
        <f t="shared" si="73"/>
        <v/>
      </c>
      <c r="J940" s="4" t="str">
        <f t="shared" si="74"/>
        <v/>
      </c>
    </row>
    <row r="941" spans="1:10" ht="15" customHeight="1" x14ac:dyDescent="0.25">
      <c r="A941" s="8" t="str">
        <f>IF(COUNT($J$2:$J$1501)&gt;=940,940,"")</f>
        <v/>
      </c>
      <c r="B941" s="8" t="str">
        <f t="shared" si="70"/>
        <v/>
      </c>
      <c r="C941" s="8" t="str">
        <f t="shared" si="71"/>
        <v/>
      </c>
      <c r="D941" s="8" t="str">
        <f t="shared" si="72"/>
        <v/>
      </c>
      <c r="F941" s="4" t="str">
        <f>IF(Jugadores!B941="","",Jugadores!B941)</f>
        <v/>
      </c>
      <c r="G941" s="4" t="str">
        <f>IF(Jugadores!B941="","",Jugadores!A941)</f>
        <v/>
      </c>
      <c r="H941" s="4" t="str">
        <f>IF(F941="","",SUMIF('Estadísticas Jugadores'!$F$2:$F$7001,F941,'Estadísticas Jugadores'!$J$2:$J$7001))</f>
        <v/>
      </c>
      <c r="I941" s="4" t="str">
        <f t="shared" si="73"/>
        <v/>
      </c>
      <c r="J941" s="4" t="str">
        <f t="shared" si="74"/>
        <v/>
      </c>
    </row>
    <row r="942" spans="1:10" ht="15" customHeight="1" x14ac:dyDescent="0.25">
      <c r="A942" s="8" t="str">
        <f>IF(COUNT($J$2:$J$1501)&gt;=941,941,"")</f>
        <v/>
      </c>
      <c r="B942" s="8" t="str">
        <f t="shared" si="70"/>
        <v/>
      </c>
      <c r="C942" s="8" t="str">
        <f t="shared" si="71"/>
        <v/>
      </c>
      <c r="D942" s="8" t="str">
        <f t="shared" si="72"/>
        <v/>
      </c>
      <c r="F942" s="4" t="str">
        <f>IF(Jugadores!B942="","",Jugadores!B942)</f>
        <v/>
      </c>
      <c r="G942" s="4" t="str">
        <f>IF(Jugadores!B942="","",Jugadores!A942)</f>
        <v/>
      </c>
      <c r="H942" s="4" t="str">
        <f>IF(F942="","",SUMIF('Estadísticas Jugadores'!$F$2:$F$7001,F942,'Estadísticas Jugadores'!$J$2:$J$7001))</f>
        <v/>
      </c>
      <c r="I942" s="4" t="str">
        <f t="shared" si="73"/>
        <v/>
      </c>
      <c r="J942" s="4" t="str">
        <f t="shared" si="74"/>
        <v/>
      </c>
    </row>
    <row r="943" spans="1:10" ht="15" customHeight="1" x14ac:dyDescent="0.25">
      <c r="A943" s="8" t="str">
        <f>IF(COUNT($J$2:$J$1501)&gt;=942,942,"")</f>
        <v/>
      </c>
      <c r="B943" s="8" t="str">
        <f t="shared" si="70"/>
        <v/>
      </c>
      <c r="C943" s="8" t="str">
        <f t="shared" si="71"/>
        <v/>
      </c>
      <c r="D943" s="8" t="str">
        <f t="shared" si="72"/>
        <v/>
      </c>
      <c r="F943" s="4" t="str">
        <f>IF(Jugadores!B943="","",Jugadores!B943)</f>
        <v/>
      </c>
      <c r="G943" s="4" t="str">
        <f>IF(Jugadores!B943="","",Jugadores!A943)</f>
        <v/>
      </c>
      <c r="H943" s="4" t="str">
        <f>IF(F943="","",SUMIF('Estadísticas Jugadores'!$F$2:$F$7001,F943,'Estadísticas Jugadores'!$J$2:$J$7001))</f>
        <v/>
      </c>
      <c r="I943" s="4" t="str">
        <f t="shared" si="73"/>
        <v/>
      </c>
      <c r="J943" s="4" t="str">
        <f t="shared" si="74"/>
        <v/>
      </c>
    </row>
    <row r="944" spans="1:10" ht="15" customHeight="1" x14ac:dyDescent="0.25">
      <c r="A944" s="8" t="str">
        <f>IF(COUNT($J$2:$J$1501)&gt;=943,943,"")</f>
        <v/>
      </c>
      <c r="B944" s="8" t="str">
        <f t="shared" si="70"/>
        <v/>
      </c>
      <c r="C944" s="8" t="str">
        <f t="shared" si="71"/>
        <v/>
      </c>
      <c r="D944" s="8" t="str">
        <f t="shared" si="72"/>
        <v/>
      </c>
      <c r="F944" s="4" t="str">
        <f>IF(Jugadores!B944="","",Jugadores!B944)</f>
        <v/>
      </c>
      <c r="G944" s="4" t="str">
        <f>IF(Jugadores!B944="","",Jugadores!A944)</f>
        <v/>
      </c>
      <c r="H944" s="4" t="str">
        <f>IF(F944="","",SUMIF('Estadísticas Jugadores'!$F$2:$F$7001,F944,'Estadísticas Jugadores'!$J$2:$J$7001))</f>
        <v/>
      </c>
      <c r="I944" s="4" t="str">
        <f t="shared" si="73"/>
        <v/>
      </c>
      <c r="J944" s="4" t="str">
        <f t="shared" si="74"/>
        <v/>
      </c>
    </row>
    <row r="945" spans="1:10" ht="15" customHeight="1" x14ac:dyDescent="0.25">
      <c r="A945" s="8" t="str">
        <f>IF(COUNT($J$2:$J$1501)&gt;=944,944,"")</f>
        <v/>
      </c>
      <c r="B945" s="8" t="str">
        <f t="shared" si="70"/>
        <v/>
      </c>
      <c r="C945" s="8" t="str">
        <f t="shared" si="71"/>
        <v/>
      </c>
      <c r="D945" s="8" t="str">
        <f t="shared" si="72"/>
        <v/>
      </c>
      <c r="F945" s="4" t="str">
        <f>IF(Jugadores!B945="","",Jugadores!B945)</f>
        <v/>
      </c>
      <c r="G945" s="4" t="str">
        <f>IF(Jugadores!B945="","",Jugadores!A945)</f>
        <v/>
      </c>
      <c r="H945" s="4" t="str">
        <f>IF(F945="","",SUMIF('Estadísticas Jugadores'!$F$2:$F$7001,F945,'Estadísticas Jugadores'!$J$2:$J$7001))</f>
        <v/>
      </c>
      <c r="I945" s="4" t="str">
        <f t="shared" si="73"/>
        <v/>
      </c>
      <c r="J945" s="4" t="str">
        <f t="shared" si="74"/>
        <v/>
      </c>
    </row>
    <row r="946" spans="1:10" ht="15" customHeight="1" x14ac:dyDescent="0.25">
      <c r="A946" s="8" t="str">
        <f>IF(COUNT($J$2:$J$1501)&gt;=945,945,"")</f>
        <v/>
      </c>
      <c r="B946" s="8" t="str">
        <f t="shared" si="70"/>
        <v/>
      </c>
      <c r="C946" s="8" t="str">
        <f t="shared" si="71"/>
        <v/>
      </c>
      <c r="D946" s="8" t="str">
        <f t="shared" si="72"/>
        <v/>
      </c>
      <c r="F946" s="4" t="str">
        <f>IF(Jugadores!B946="","",Jugadores!B946)</f>
        <v/>
      </c>
      <c r="G946" s="4" t="str">
        <f>IF(Jugadores!B946="","",Jugadores!A946)</f>
        <v/>
      </c>
      <c r="H946" s="4" t="str">
        <f>IF(F946="","",SUMIF('Estadísticas Jugadores'!$F$2:$F$7001,F946,'Estadísticas Jugadores'!$J$2:$J$7001))</f>
        <v/>
      </c>
      <c r="I946" s="4" t="str">
        <f t="shared" si="73"/>
        <v/>
      </c>
      <c r="J946" s="4" t="str">
        <f t="shared" si="74"/>
        <v/>
      </c>
    </row>
    <row r="947" spans="1:10" ht="15" customHeight="1" x14ac:dyDescent="0.25">
      <c r="A947" s="8" t="str">
        <f>IF(COUNT($J$2:$J$1501)&gt;=946,946,"")</f>
        <v/>
      </c>
      <c r="B947" s="8" t="str">
        <f t="shared" si="70"/>
        <v/>
      </c>
      <c r="C947" s="8" t="str">
        <f t="shared" si="71"/>
        <v/>
      </c>
      <c r="D947" s="8" t="str">
        <f t="shared" si="72"/>
        <v/>
      </c>
      <c r="F947" s="4" t="str">
        <f>IF(Jugadores!B947="","",Jugadores!B947)</f>
        <v/>
      </c>
      <c r="G947" s="4" t="str">
        <f>IF(Jugadores!B947="","",Jugadores!A947)</f>
        <v/>
      </c>
      <c r="H947" s="4" t="str">
        <f>IF(F947="","",SUMIF('Estadísticas Jugadores'!$F$2:$F$7001,F947,'Estadísticas Jugadores'!$J$2:$J$7001))</f>
        <v/>
      </c>
      <c r="I947" s="4" t="str">
        <f t="shared" si="73"/>
        <v/>
      </c>
      <c r="J947" s="4" t="str">
        <f t="shared" si="74"/>
        <v/>
      </c>
    </row>
    <row r="948" spans="1:10" ht="15" customHeight="1" x14ac:dyDescent="0.25">
      <c r="A948" s="8" t="str">
        <f>IF(COUNT($J$2:$J$1501)&gt;=947,947,"")</f>
        <v/>
      </c>
      <c r="B948" s="8" t="str">
        <f t="shared" si="70"/>
        <v/>
      </c>
      <c r="C948" s="8" t="str">
        <f t="shared" si="71"/>
        <v/>
      </c>
      <c r="D948" s="8" t="str">
        <f t="shared" si="72"/>
        <v/>
      </c>
      <c r="F948" s="4" t="str">
        <f>IF(Jugadores!B948="","",Jugadores!B948)</f>
        <v/>
      </c>
      <c r="G948" s="4" t="str">
        <f>IF(Jugadores!B948="","",Jugadores!A948)</f>
        <v/>
      </c>
      <c r="H948" s="4" t="str">
        <f>IF(F948="","",SUMIF('Estadísticas Jugadores'!$F$2:$F$7001,F948,'Estadísticas Jugadores'!$J$2:$J$7001))</f>
        <v/>
      </c>
      <c r="I948" s="4" t="str">
        <f t="shared" si="73"/>
        <v/>
      </c>
      <c r="J948" s="4" t="str">
        <f t="shared" si="74"/>
        <v/>
      </c>
    </row>
    <row r="949" spans="1:10" ht="15" customHeight="1" x14ac:dyDescent="0.25">
      <c r="A949" s="8" t="str">
        <f>IF(COUNT($J$2:$J$1501)&gt;=948,948,"")</f>
        <v/>
      </c>
      <c r="B949" s="8" t="str">
        <f t="shared" si="70"/>
        <v/>
      </c>
      <c r="C949" s="8" t="str">
        <f t="shared" si="71"/>
        <v/>
      </c>
      <c r="D949" s="8" t="str">
        <f t="shared" si="72"/>
        <v/>
      </c>
      <c r="F949" s="4" t="str">
        <f>IF(Jugadores!B949="","",Jugadores!B949)</f>
        <v/>
      </c>
      <c r="G949" s="4" t="str">
        <f>IF(Jugadores!B949="","",Jugadores!A949)</f>
        <v/>
      </c>
      <c r="H949" s="4" t="str">
        <f>IF(F949="","",SUMIF('Estadísticas Jugadores'!$F$2:$F$7001,F949,'Estadísticas Jugadores'!$J$2:$J$7001))</f>
        <v/>
      </c>
      <c r="I949" s="4" t="str">
        <f t="shared" si="73"/>
        <v/>
      </c>
      <c r="J949" s="4" t="str">
        <f t="shared" si="74"/>
        <v/>
      </c>
    </row>
    <row r="950" spans="1:10" ht="15" customHeight="1" x14ac:dyDescent="0.25">
      <c r="A950" s="8" t="str">
        <f>IF(COUNT($J$2:$J$1501)&gt;=949,949,"")</f>
        <v/>
      </c>
      <c r="B950" s="8" t="str">
        <f t="shared" si="70"/>
        <v/>
      </c>
      <c r="C950" s="8" t="str">
        <f t="shared" si="71"/>
        <v/>
      </c>
      <c r="D950" s="8" t="str">
        <f t="shared" si="72"/>
        <v/>
      </c>
      <c r="F950" s="4" t="str">
        <f>IF(Jugadores!B950="","",Jugadores!B950)</f>
        <v/>
      </c>
      <c r="G950" s="4" t="str">
        <f>IF(Jugadores!B950="","",Jugadores!A950)</f>
        <v/>
      </c>
      <c r="H950" s="4" t="str">
        <f>IF(F950="","",SUMIF('Estadísticas Jugadores'!$F$2:$F$7001,F950,'Estadísticas Jugadores'!$J$2:$J$7001))</f>
        <v/>
      </c>
      <c r="I950" s="4" t="str">
        <f t="shared" si="73"/>
        <v/>
      </c>
      <c r="J950" s="4" t="str">
        <f t="shared" si="74"/>
        <v/>
      </c>
    </row>
    <row r="951" spans="1:10" ht="15" customHeight="1" x14ac:dyDescent="0.25">
      <c r="A951" s="8" t="str">
        <f>IF(COUNT($J$2:$J$1501)&gt;=950,950,"")</f>
        <v/>
      </c>
      <c r="B951" s="8" t="str">
        <f t="shared" si="70"/>
        <v/>
      </c>
      <c r="C951" s="8" t="str">
        <f t="shared" si="71"/>
        <v/>
      </c>
      <c r="D951" s="8" t="str">
        <f t="shared" si="72"/>
        <v/>
      </c>
      <c r="F951" s="4" t="str">
        <f>IF(Jugadores!B951="","",Jugadores!B951)</f>
        <v/>
      </c>
      <c r="G951" s="4" t="str">
        <f>IF(Jugadores!B951="","",Jugadores!A951)</f>
        <v/>
      </c>
      <c r="H951" s="4" t="str">
        <f>IF(F951="","",SUMIF('Estadísticas Jugadores'!$F$2:$F$7001,F951,'Estadísticas Jugadores'!$J$2:$J$7001))</f>
        <v/>
      </c>
      <c r="I951" s="4" t="str">
        <f t="shared" si="73"/>
        <v/>
      </c>
      <c r="J951" s="4" t="str">
        <f t="shared" si="74"/>
        <v/>
      </c>
    </row>
    <row r="952" spans="1:10" ht="15" customHeight="1" x14ac:dyDescent="0.25">
      <c r="A952" s="8" t="str">
        <f>IF(COUNT($J$2:$J$1501)&gt;=951,951,"")</f>
        <v/>
      </c>
      <c r="B952" s="8" t="str">
        <f t="shared" si="70"/>
        <v/>
      </c>
      <c r="C952" s="8" t="str">
        <f t="shared" si="71"/>
        <v/>
      </c>
      <c r="D952" s="8" t="str">
        <f t="shared" si="72"/>
        <v/>
      </c>
      <c r="F952" s="4" t="str">
        <f>IF(Jugadores!B952="","",Jugadores!B952)</f>
        <v/>
      </c>
      <c r="G952" s="4" t="str">
        <f>IF(Jugadores!B952="","",Jugadores!A952)</f>
        <v/>
      </c>
      <c r="H952" s="4" t="str">
        <f>IF(F952="","",SUMIF('Estadísticas Jugadores'!$F$2:$F$7001,F952,'Estadísticas Jugadores'!$J$2:$J$7001))</f>
        <v/>
      </c>
      <c r="I952" s="4" t="str">
        <f t="shared" si="73"/>
        <v/>
      </c>
      <c r="J952" s="4" t="str">
        <f t="shared" si="74"/>
        <v/>
      </c>
    </row>
    <row r="953" spans="1:10" ht="15" customHeight="1" x14ac:dyDescent="0.25">
      <c r="A953" s="8" t="str">
        <f>IF(COUNT($J$2:$J$1501)&gt;=952,952,"")</f>
        <v/>
      </c>
      <c r="B953" s="8" t="str">
        <f t="shared" si="70"/>
        <v/>
      </c>
      <c r="C953" s="8" t="str">
        <f t="shared" si="71"/>
        <v/>
      </c>
      <c r="D953" s="8" t="str">
        <f t="shared" si="72"/>
        <v/>
      </c>
      <c r="F953" s="4" t="str">
        <f>IF(Jugadores!B953="","",Jugadores!B953)</f>
        <v/>
      </c>
      <c r="G953" s="4" t="str">
        <f>IF(Jugadores!B953="","",Jugadores!A953)</f>
        <v/>
      </c>
      <c r="H953" s="4" t="str">
        <f>IF(F953="","",SUMIF('Estadísticas Jugadores'!$F$2:$F$7001,F953,'Estadísticas Jugadores'!$J$2:$J$7001))</f>
        <v/>
      </c>
      <c r="I953" s="4" t="str">
        <f t="shared" si="73"/>
        <v/>
      </c>
      <c r="J953" s="4" t="str">
        <f t="shared" si="74"/>
        <v/>
      </c>
    </row>
    <row r="954" spans="1:10" ht="15" customHeight="1" x14ac:dyDescent="0.25">
      <c r="A954" s="8" t="str">
        <f>IF(COUNT($J$2:$J$1501)&gt;=953,953,"")</f>
        <v/>
      </c>
      <c r="B954" s="8" t="str">
        <f t="shared" si="70"/>
        <v/>
      </c>
      <c r="C954" s="8" t="str">
        <f t="shared" si="71"/>
        <v/>
      </c>
      <c r="D954" s="8" t="str">
        <f t="shared" si="72"/>
        <v/>
      </c>
      <c r="F954" s="4" t="str">
        <f>IF(Jugadores!B954="","",Jugadores!B954)</f>
        <v/>
      </c>
      <c r="G954" s="4" t="str">
        <f>IF(Jugadores!B954="","",Jugadores!A954)</f>
        <v/>
      </c>
      <c r="H954" s="4" t="str">
        <f>IF(F954="","",SUMIF('Estadísticas Jugadores'!$F$2:$F$7001,F954,'Estadísticas Jugadores'!$J$2:$J$7001))</f>
        <v/>
      </c>
      <c r="I954" s="4" t="str">
        <f t="shared" si="73"/>
        <v/>
      </c>
      <c r="J954" s="4" t="str">
        <f t="shared" si="74"/>
        <v/>
      </c>
    </row>
    <row r="955" spans="1:10" ht="15" customHeight="1" x14ac:dyDescent="0.25">
      <c r="A955" s="8" t="str">
        <f>IF(COUNT($J$2:$J$1501)&gt;=954,954,"")</f>
        <v/>
      </c>
      <c r="B955" s="8" t="str">
        <f t="shared" si="70"/>
        <v/>
      </c>
      <c r="C955" s="8" t="str">
        <f t="shared" si="71"/>
        <v/>
      </c>
      <c r="D955" s="8" t="str">
        <f t="shared" si="72"/>
        <v/>
      </c>
      <c r="F955" s="4" t="str">
        <f>IF(Jugadores!B955="","",Jugadores!B955)</f>
        <v/>
      </c>
      <c r="G955" s="4" t="str">
        <f>IF(Jugadores!B955="","",Jugadores!A955)</f>
        <v/>
      </c>
      <c r="H955" s="4" t="str">
        <f>IF(F955="","",SUMIF('Estadísticas Jugadores'!$F$2:$F$7001,F955,'Estadísticas Jugadores'!$J$2:$J$7001))</f>
        <v/>
      </c>
      <c r="I955" s="4" t="str">
        <f t="shared" si="73"/>
        <v/>
      </c>
      <c r="J955" s="4" t="str">
        <f t="shared" si="74"/>
        <v/>
      </c>
    </row>
    <row r="956" spans="1:10" ht="15" customHeight="1" x14ac:dyDescent="0.25">
      <c r="A956" s="8" t="str">
        <f>IF(COUNT($J$2:$J$1501)&gt;=955,955,"")</f>
        <v/>
      </c>
      <c r="B956" s="8" t="str">
        <f t="shared" si="70"/>
        <v/>
      </c>
      <c r="C956" s="8" t="str">
        <f t="shared" si="71"/>
        <v/>
      </c>
      <c r="D956" s="8" t="str">
        <f t="shared" si="72"/>
        <v/>
      </c>
      <c r="F956" s="4" t="str">
        <f>IF(Jugadores!B956="","",Jugadores!B956)</f>
        <v/>
      </c>
      <c r="G956" s="4" t="str">
        <f>IF(Jugadores!B956="","",Jugadores!A956)</f>
        <v/>
      </c>
      <c r="H956" s="4" t="str">
        <f>IF(F956="","",SUMIF('Estadísticas Jugadores'!$F$2:$F$7001,F956,'Estadísticas Jugadores'!$J$2:$J$7001))</f>
        <v/>
      </c>
      <c r="I956" s="4" t="str">
        <f t="shared" si="73"/>
        <v/>
      </c>
      <c r="J956" s="4" t="str">
        <f t="shared" si="74"/>
        <v/>
      </c>
    </row>
    <row r="957" spans="1:10" ht="15" customHeight="1" x14ac:dyDescent="0.25">
      <c r="A957" s="8" t="str">
        <f>IF(COUNT($J$2:$J$1501)&gt;=956,956,"")</f>
        <v/>
      </c>
      <c r="B957" s="8" t="str">
        <f t="shared" si="70"/>
        <v/>
      </c>
      <c r="C957" s="8" t="str">
        <f t="shared" si="71"/>
        <v/>
      </c>
      <c r="D957" s="8" t="str">
        <f t="shared" si="72"/>
        <v/>
      </c>
      <c r="F957" s="4" t="str">
        <f>IF(Jugadores!B957="","",Jugadores!B957)</f>
        <v/>
      </c>
      <c r="G957" s="4" t="str">
        <f>IF(Jugadores!B957="","",Jugadores!A957)</f>
        <v/>
      </c>
      <c r="H957" s="4" t="str">
        <f>IF(F957="","",SUMIF('Estadísticas Jugadores'!$F$2:$F$7001,F957,'Estadísticas Jugadores'!$J$2:$J$7001))</f>
        <v/>
      </c>
      <c r="I957" s="4" t="str">
        <f t="shared" si="73"/>
        <v/>
      </c>
      <c r="J957" s="4" t="str">
        <f t="shared" si="74"/>
        <v/>
      </c>
    </row>
    <row r="958" spans="1:10" ht="15" customHeight="1" x14ac:dyDescent="0.25">
      <c r="A958" s="8" t="str">
        <f>IF(COUNT($J$2:$J$1501)&gt;=957,957,"")</f>
        <v/>
      </c>
      <c r="B958" s="8" t="str">
        <f t="shared" si="70"/>
        <v/>
      </c>
      <c r="C958" s="8" t="str">
        <f t="shared" si="71"/>
        <v/>
      </c>
      <c r="D958" s="8" t="str">
        <f t="shared" si="72"/>
        <v/>
      </c>
      <c r="F958" s="4" t="str">
        <f>IF(Jugadores!B958="","",Jugadores!B958)</f>
        <v/>
      </c>
      <c r="G958" s="4" t="str">
        <f>IF(Jugadores!B958="","",Jugadores!A958)</f>
        <v/>
      </c>
      <c r="H958" s="4" t="str">
        <f>IF(F958="","",SUMIF('Estadísticas Jugadores'!$F$2:$F$7001,F958,'Estadísticas Jugadores'!$J$2:$J$7001))</f>
        <v/>
      </c>
      <c r="I958" s="4" t="str">
        <f t="shared" si="73"/>
        <v/>
      </c>
      <c r="J958" s="4" t="str">
        <f t="shared" si="74"/>
        <v/>
      </c>
    </row>
    <row r="959" spans="1:10" ht="15" customHeight="1" x14ac:dyDescent="0.25">
      <c r="A959" s="8" t="str">
        <f>IF(COUNT($J$2:$J$1501)&gt;=958,958,"")</f>
        <v/>
      </c>
      <c r="B959" s="8" t="str">
        <f t="shared" si="70"/>
        <v/>
      </c>
      <c r="C959" s="8" t="str">
        <f t="shared" si="71"/>
        <v/>
      </c>
      <c r="D959" s="8" t="str">
        <f t="shared" si="72"/>
        <v/>
      </c>
      <c r="F959" s="4" t="str">
        <f>IF(Jugadores!B959="","",Jugadores!B959)</f>
        <v/>
      </c>
      <c r="G959" s="4" t="str">
        <f>IF(Jugadores!B959="","",Jugadores!A959)</f>
        <v/>
      </c>
      <c r="H959" s="4" t="str">
        <f>IF(F959="","",SUMIF('Estadísticas Jugadores'!$F$2:$F$7001,F959,'Estadísticas Jugadores'!$J$2:$J$7001))</f>
        <v/>
      </c>
      <c r="I959" s="4" t="str">
        <f t="shared" si="73"/>
        <v/>
      </c>
      <c r="J959" s="4" t="str">
        <f t="shared" si="74"/>
        <v/>
      </c>
    </row>
    <row r="960" spans="1:10" ht="15" customHeight="1" x14ac:dyDescent="0.25">
      <c r="A960" s="8" t="str">
        <f>IF(COUNT($J$2:$J$1501)&gt;=959,959,"")</f>
        <v/>
      </c>
      <c r="B960" s="8" t="str">
        <f t="shared" si="70"/>
        <v/>
      </c>
      <c r="C960" s="8" t="str">
        <f t="shared" si="71"/>
        <v/>
      </c>
      <c r="D960" s="8" t="str">
        <f t="shared" si="72"/>
        <v/>
      </c>
      <c r="F960" s="4" t="str">
        <f>IF(Jugadores!B960="","",Jugadores!B960)</f>
        <v/>
      </c>
      <c r="G960" s="4" t="str">
        <f>IF(Jugadores!B960="","",Jugadores!A960)</f>
        <v/>
      </c>
      <c r="H960" s="4" t="str">
        <f>IF(F960="","",SUMIF('Estadísticas Jugadores'!$F$2:$F$7001,F960,'Estadísticas Jugadores'!$J$2:$J$7001))</f>
        <v/>
      </c>
      <c r="I960" s="4" t="str">
        <f t="shared" si="73"/>
        <v/>
      </c>
      <c r="J960" s="4" t="str">
        <f t="shared" si="74"/>
        <v/>
      </c>
    </row>
    <row r="961" spans="1:10" ht="15" customHeight="1" x14ac:dyDescent="0.25">
      <c r="A961" s="8" t="str">
        <f>IF(COUNT($J$2:$J$1501)&gt;=960,960,"")</f>
        <v/>
      </c>
      <c r="B961" s="8" t="str">
        <f t="shared" si="70"/>
        <v/>
      </c>
      <c r="C961" s="8" t="str">
        <f t="shared" si="71"/>
        <v/>
      </c>
      <c r="D961" s="8" t="str">
        <f t="shared" si="72"/>
        <v/>
      </c>
      <c r="F961" s="4" t="str">
        <f>IF(Jugadores!B961="","",Jugadores!B961)</f>
        <v/>
      </c>
      <c r="G961" s="4" t="str">
        <f>IF(Jugadores!B961="","",Jugadores!A961)</f>
        <v/>
      </c>
      <c r="H961" s="4" t="str">
        <f>IF(F961="","",SUMIF('Estadísticas Jugadores'!$F$2:$F$7001,F961,'Estadísticas Jugadores'!$J$2:$J$7001))</f>
        <v/>
      </c>
      <c r="I961" s="4" t="str">
        <f t="shared" si="73"/>
        <v/>
      </c>
      <c r="J961" s="4" t="str">
        <f t="shared" si="74"/>
        <v/>
      </c>
    </row>
    <row r="962" spans="1:10" ht="15" customHeight="1" x14ac:dyDescent="0.25">
      <c r="A962" s="8" t="str">
        <f>IF(COUNT($J$2:$J$1501)&gt;=961,961,"")</f>
        <v/>
      </c>
      <c r="B962" s="8" t="str">
        <f t="shared" ref="B962:B1025" si="75">IF($A962="","",INDEX($F$2:$F$1501,MATCH($A962,$J$2:$J$1501,0)))</f>
        <v/>
      </c>
      <c r="C962" s="8" t="str">
        <f t="shared" ref="C962:C1025" si="76">IF($A962="","",INDEX($G$2:$G$1501,MATCH($A962,$J$2:$J$1501,0)))</f>
        <v/>
      </c>
      <c r="D962" s="8" t="str">
        <f t="shared" ref="D962:D1025" si="77">IF($A962="","",INDEX($H$2:$H$1501,MATCH($A962,$J$2:$J$1501,0)))</f>
        <v/>
      </c>
      <c r="F962" s="4" t="str">
        <f>IF(Jugadores!B962="","",Jugadores!B962)</f>
        <v/>
      </c>
      <c r="G962" s="4" t="str">
        <f>IF(Jugadores!B962="","",Jugadores!A962)</f>
        <v/>
      </c>
      <c r="H962" s="4" t="str">
        <f>IF(F962="","",SUMIF('Estadísticas Jugadores'!$F$2:$F$7001,F962,'Estadísticas Jugadores'!$J$2:$J$7001))</f>
        <v/>
      </c>
      <c r="I962" s="4" t="str">
        <f t="shared" ref="I962:I1025" si="78">IF(F962="","",H962*1000-ROW()*0.0000001)</f>
        <v/>
      </c>
      <c r="J962" s="4" t="str">
        <f t="shared" ref="J962:J1025" si="79">IF(F962="","",RANK(I962,$I$2:$I$1501))</f>
        <v/>
      </c>
    </row>
    <row r="963" spans="1:10" ht="15" customHeight="1" x14ac:dyDescent="0.25">
      <c r="A963" s="8" t="str">
        <f>IF(COUNT($J$2:$J$1501)&gt;=962,962,"")</f>
        <v/>
      </c>
      <c r="B963" s="8" t="str">
        <f t="shared" si="75"/>
        <v/>
      </c>
      <c r="C963" s="8" t="str">
        <f t="shared" si="76"/>
        <v/>
      </c>
      <c r="D963" s="8" t="str">
        <f t="shared" si="77"/>
        <v/>
      </c>
      <c r="F963" s="4" t="str">
        <f>IF(Jugadores!B963="","",Jugadores!B963)</f>
        <v/>
      </c>
      <c r="G963" s="4" t="str">
        <f>IF(Jugadores!B963="","",Jugadores!A963)</f>
        <v/>
      </c>
      <c r="H963" s="4" t="str">
        <f>IF(F963="","",SUMIF('Estadísticas Jugadores'!$F$2:$F$7001,F963,'Estadísticas Jugadores'!$J$2:$J$7001))</f>
        <v/>
      </c>
      <c r="I963" s="4" t="str">
        <f t="shared" si="78"/>
        <v/>
      </c>
      <c r="J963" s="4" t="str">
        <f t="shared" si="79"/>
        <v/>
      </c>
    </row>
    <row r="964" spans="1:10" ht="15" customHeight="1" x14ac:dyDescent="0.25">
      <c r="A964" s="8" t="str">
        <f>IF(COUNT($J$2:$J$1501)&gt;=963,963,"")</f>
        <v/>
      </c>
      <c r="B964" s="8" t="str">
        <f t="shared" si="75"/>
        <v/>
      </c>
      <c r="C964" s="8" t="str">
        <f t="shared" si="76"/>
        <v/>
      </c>
      <c r="D964" s="8" t="str">
        <f t="shared" si="77"/>
        <v/>
      </c>
      <c r="F964" s="4" t="str">
        <f>IF(Jugadores!B964="","",Jugadores!B964)</f>
        <v/>
      </c>
      <c r="G964" s="4" t="str">
        <f>IF(Jugadores!B964="","",Jugadores!A964)</f>
        <v/>
      </c>
      <c r="H964" s="4" t="str">
        <f>IF(F964="","",SUMIF('Estadísticas Jugadores'!$F$2:$F$7001,F964,'Estadísticas Jugadores'!$J$2:$J$7001))</f>
        <v/>
      </c>
      <c r="I964" s="4" t="str">
        <f t="shared" si="78"/>
        <v/>
      </c>
      <c r="J964" s="4" t="str">
        <f t="shared" si="79"/>
        <v/>
      </c>
    </row>
    <row r="965" spans="1:10" ht="15" customHeight="1" x14ac:dyDescent="0.25">
      <c r="A965" s="8" t="str">
        <f>IF(COUNT($J$2:$J$1501)&gt;=964,964,"")</f>
        <v/>
      </c>
      <c r="B965" s="8" t="str">
        <f t="shared" si="75"/>
        <v/>
      </c>
      <c r="C965" s="8" t="str">
        <f t="shared" si="76"/>
        <v/>
      </c>
      <c r="D965" s="8" t="str">
        <f t="shared" si="77"/>
        <v/>
      </c>
      <c r="F965" s="4" t="str">
        <f>IF(Jugadores!B965="","",Jugadores!B965)</f>
        <v/>
      </c>
      <c r="G965" s="4" t="str">
        <f>IF(Jugadores!B965="","",Jugadores!A965)</f>
        <v/>
      </c>
      <c r="H965" s="4" t="str">
        <f>IF(F965="","",SUMIF('Estadísticas Jugadores'!$F$2:$F$7001,F965,'Estadísticas Jugadores'!$J$2:$J$7001))</f>
        <v/>
      </c>
      <c r="I965" s="4" t="str">
        <f t="shared" si="78"/>
        <v/>
      </c>
      <c r="J965" s="4" t="str">
        <f t="shared" si="79"/>
        <v/>
      </c>
    </row>
    <row r="966" spans="1:10" ht="15" customHeight="1" x14ac:dyDescent="0.25">
      <c r="A966" s="8" t="str">
        <f>IF(COUNT($J$2:$J$1501)&gt;=965,965,"")</f>
        <v/>
      </c>
      <c r="B966" s="8" t="str">
        <f t="shared" si="75"/>
        <v/>
      </c>
      <c r="C966" s="8" t="str">
        <f t="shared" si="76"/>
        <v/>
      </c>
      <c r="D966" s="8" t="str">
        <f t="shared" si="77"/>
        <v/>
      </c>
      <c r="F966" s="4" t="str">
        <f>IF(Jugadores!B966="","",Jugadores!B966)</f>
        <v/>
      </c>
      <c r="G966" s="4" t="str">
        <f>IF(Jugadores!B966="","",Jugadores!A966)</f>
        <v/>
      </c>
      <c r="H966" s="4" t="str">
        <f>IF(F966="","",SUMIF('Estadísticas Jugadores'!$F$2:$F$7001,F966,'Estadísticas Jugadores'!$J$2:$J$7001))</f>
        <v/>
      </c>
      <c r="I966" s="4" t="str">
        <f t="shared" si="78"/>
        <v/>
      </c>
      <c r="J966" s="4" t="str">
        <f t="shared" si="79"/>
        <v/>
      </c>
    </row>
    <row r="967" spans="1:10" ht="15" customHeight="1" x14ac:dyDescent="0.25">
      <c r="A967" s="8" t="str">
        <f>IF(COUNT($J$2:$J$1501)&gt;=966,966,"")</f>
        <v/>
      </c>
      <c r="B967" s="8" t="str">
        <f t="shared" si="75"/>
        <v/>
      </c>
      <c r="C967" s="8" t="str">
        <f t="shared" si="76"/>
        <v/>
      </c>
      <c r="D967" s="8" t="str">
        <f t="shared" si="77"/>
        <v/>
      </c>
      <c r="F967" s="4" t="str">
        <f>IF(Jugadores!B967="","",Jugadores!B967)</f>
        <v/>
      </c>
      <c r="G967" s="4" t="str">
        <f>IF(Jugadores!B967="","",Jugadores!A967)</f>
        <v/>
      </c>
      <c r="H967" s="4" t="str">
        <f>IF(F967="","",SUMIF('Estadísticas Jugadores'!$F$2:$F$7001,F967,'Estadísticas Jugadores'!$J$2:$J$7001))</f>
        <v/>
      </c>
      <c r="I967" s="4" t="str">
        <f t="shared" si="78"/>
        <v/>
      </c>
      <c r="J967" s="4" t="str">
        <f t="shared" si="79"/>
        <v/>
      </c>
    </row>
    <row r="968" spans="1:10" ht="15" customHeight="1" x14ac:dyDescent="0.25">
      <c r="A968" s="8" t="str">
        <f>IF(COUNT($J$2:$J$1501)&gt;=967,967,"")</f>
        <v/>
      </c>
      <c r="B968" s="8" t="str">
        <f t="shared" si="75"/>
        <v/>
      </c>
      <c r="C968" s="8" t="str">
        <f t="shared" si="76"/>
        <v/>
      </c>
      <c r="D968" s="8" t="str">
        <f t="shared" si="77"/>
        <v/>
      </c>
      <c r="F968" s="4" t="str">
        <f>IF(Jugadores!B968="","",Jugadores!B968)</f>
        <v/>
      </c>
      <c r="G968" s="4" t="str">
        <f>IF(Jugadores!B968="","",Jugadores!A968)</f>
        <v/>
      </c>
      <c r="H968" s="4" t="str">
        <f>IF(F968="","",SUMIF('Estadísticas Jugadores'!$F$2:$F$7001,F968,'Estadísticas Jugadores'!$J$2:$J$7001))</f>
        <v/>
      </c>
      <c r="I968" s="4" t="str">
        <f t="shared" si="78"/>
        <v/>
      </c>
      <c r="J968" s="4" t="str">
        <f t="shared" si="79"/>
        <v/>
      </c>
    </row>
    <row r="969" spans="1:10" ht="15" customHeight="1" x14ac:dyDescent="0.25">
      <c r="A969" s="8" t="str">
        <f>IF(COUNT($J$2:$J$1501)&gt;=968,968,"")</f>
        <v/>
      </c>
      <c r="B969" s="8" t="str">
        <f t="shared" si="75"/>
        <v/>
      </c>
      <c r="C969" s="8" t="str">
        <f t="shared" si="76"/>
        <v/>
      </c>
      <c r="D969" s="8" t="str">
        <f t="shared" si="77"/>
        <v/>
      </c>
      <c r="F969" s="4" t="str">
        <f>IF(Jugadores!B969="","",Jugadores!B969)</f>
        <v/>
      </c>
      <c r="G969" s="4" t="str">
        <f>IF(Jugadores!B969="","",Jugadores!A969)</f>
        <v/>
      </c>
      <c r="H969" s="4" t="str">
        <f>IF(F969="","",SUMIF('Estadísticas Jugadores'!$F$2:$F$7001,F969,'Estadísticas Jugadores'!$J$2:$J$7001))</f>
        <v/>
      </c>
      <c r="I969" s="4" t="str">
        <f t="shared" si="78"/>
        <v/>
      </c>
      <c r="J969" s="4" t="str">
        <f t="shared" si="79"/>
        <v/>
      </c>
    </row>
    <row r="970" spans="1:10" ht="15" customHeight="1" x14ac:dyDescent="0.25">
      <c r="A970" s="8" t="str">
        <f>IF(COUNT($J$2:$J$1501)&gt;=969,969,"")</f>
        <v/>
      </c>
      <c r="B970" s="8" t="str">
        <f t="shared" si="75"/>
        <v/>
      </c>
      <c r="C970" s="8" t="str">
        <f t="shared" si="76"/>
        <v/>
      </c>
      <c r="D970" s="8" t="str">
        <f t="shared" si="77"/>
        <v/>
      </c>
      <c r="F970" s="4" t="str">
        <f>IF(Jugadores!B970="","",Jugadores!B970)</f>
        <v/>
      </c>
      <c r="G970" s="4" t="str">
        <f>IF(Jugadores!B970="","",Jugadores!A970)</f>
        <v/>
      </c>
      <c r="H970" s="4" t="str">
        <f>IF(F970="","",SUMIF('Estadísticas Jugadores'!$F$2:$F$7001,F970,'Estadísticas Jugadores'!$J$2:$J$7001))</f>
        <v/>
      </c>
      <c r="I970" s="4" t="str">
        <f t="shared" si="78"/>
        <v/>
      </c>
      <c r="J970" s="4" t="str">
        <f t="shared" si="79"/>
        <v/>
      </c>
    </row>
    <row r="971" spans="1:10" ht="15" customHeight="1" x14ac:dyDescent="0.25">
      <c r="A971" s="8" t="str">
        <f>IF(COUNT($J$2:$J$1501)&gt;=970,970,"")</f>
        <v/>
      </c>
      <c r="B971" s="8" t="str">
        <f t="shared" si="75"/>
        <v/>
      </c>
      <c r="C971" s="8" t="str">
        <f t="shared" si="76"/>
        <v/>
      </c>
      <c r="D971" s="8" t="str">
        <f t="shared" si="77"/>
        <v/>
      </c>
      <c r="F971" s="4" t="str">
        <f>IF(Jugadores!B971="","",Jugadores!B971)</f>
        <v/>
      </c>
      <c r="G971" s="4" t="str">
        <f>IF(Jugadores!B971="","",Jugadores!A971)</f>
        <v/>
      </c>
      <c r="H971" s="4" t="str">
        <f>IF(F971="","",SUMIF('Estadísticas Jugadores'!$F$2:$F$7001,F971,'Estadísticas Jugadores'!$J$2:$J$7001))</f>
        <v/>
      </c>
      <c r="I971" s="4" t="str">
        <f t="shared" si="78"/>
        <v/>
      </c>
      <c r="J971" s="4" t="str">
        <f t="shared" si="79"/>
        <v/>
      </c>
    </row>
    <row r="972" spans="1:10" ht="15" customHeight="1" x14ac:dyDescent="0.25">
      <c r="A972" s="8" t="str">
        <f>IF(COUNT($J$2:$J$1501)&gt;=971,971,"")</f>
        <v/>
      </c>
      <c r="B972" s="8" t="str">
        <f t="shared" si="75"/>
        <v/>
      </c>
      <c r="C972" s="8" t="str">
        <f t="shared" si="76"/>
        <v/>
      </c>
      <c r="D972" s="8" t="str">
        <f t="shared" si="77"/>
        <v/>
      </c>
      <c r="F972" s="4" t="str">
        <f>IF(Jugadores!B972="","",Jugadores!B972)</f>
        <v/>
      </c>
      <c r="G972" s="4" t="str">
        <f>IF(Jugadores!B972="","",Jugadores!A972)</f>
        <v/>
      </c>
      <c r="H972" s="4" t="str">
        <f>IF(F972="","",SUMIF('Estadísticas Jugadores'!$F$2:$F$7001,F972,'Estadísticas Jugadores'!$J$2:$J$7001))</f>
        <v/>
      </c>
      <c r="I972" s="4" t="str">
        <f t="shared" si="78"/>
        <v/>
      </c>
      <c r="J972" s="4" t="str">
        <f t="shared" si="79"/>
        <v/>
      </c>
    </row>
    <row r="973" spans="1:10" ht="15" customHeight="1" x14ac:dyDescent="0.25">
      <c r="A973" s="8" t="str">
        <f>IF(COUNT($J$2:$J$1501)&gt;=972,972,"")</f>
        <v/>
      </c>
      <c r="B973" s="8" t="str">
        <f t="shared" si="75"/>
        <v/>
      </c>
      <c r="C973" s="8" t="str">
        <f t="shared" si="76"/>
        <v/>
      </c>
      <c r="D973" s="8" t="str">
        <f t="shared" si="77"/>
        <v/>
      </c>
      <c r="F973" s="4" t="str">
        <f>IF(Jugadores!B973="","",Jugadores!B973)</f>
        <v/>
      </c>
      <c r="G973" s="4" t="str">
        <f>IF(Jugadores!B973="","",Jugadores!A973)</f>
        <v/>
      </c>
      <c r="H973" s="4" t="str">
        <f>IF(F973="","",SUMIF('Estadísticas Jugadores'!$F$2:$F$7001,F973,'Estadísticas Jugadores'!$J$2:$J$7001))</f>
        <v/>
      </c>
      <c r="I973" s="4" t="str">
        <f t="shared" si="78"/>
        <v/>
      </c>
      <c r="J973" s="4" t="str">
        <f t="shared" si="79"/>
        <v/>
      </c>
    </row>
    <row r="974" spans="1:10" ht="15" customHeight="1" x14ac:dyDescent="0.25">
      <c r="A974" s="8" t="str">
        <f>IF(COUNT($J$2:$J$1501)&gt;=973,973,"")</f>
        <v/>
      </c>
      <c r="B974" s="8" t="str">
        <f t="shared" si="75"/>
        <v/>
      </c>
      <c r="C974" s="8" t="str">
        <f t="shared" si="76"/>
        <v/>
      </c>
      <c r="D974" s="8" t="str">
        <f t="shared" si="77"/>
        <v/>
      </c>
      <c r="F974" s="4" t="str">
        <f>IF(Jugadores!B974="","",Jugadores!B974)</f>
        <v/>
      </c>
      <c r="G974" s="4" t="str">
        <f>IF(Jugadores!B974="","",Jugadores!A974)</f>
        <v/>
      </c>
      <c r="H974" s="4" t="str">
        <f>IF(F974="","",SUMIF('Estadísticas Jugadores'!$F$2:$F$7001,F974,'Estadísticas Jugadores'!$J$2:$J$7001))</f>
        <v/>
      </c>
      <c r="I974" s="4" t="str">
        <f t="shared" si="78"/>
        <v/>
      </c>
      <c r="J974" s="4" t="str">
        <f t="shared" si="79"/>
        <v/>
      </c>
    </row>
    <row r="975" spans="1:10" ht="15" customHeight="1" x14ac:dyDescent="0.25">
      <c r="A975" s="8" t="str">
        <f>IF(COUNT($J$2:$J$1501)&gt;=974,974,"")</f>
        <v/>
      </c>
      <c r="B975" s="8" t="str">
        <f t="shared" si="75"/>
        <v/>
      </c>
      <c r="C975" s="8" t="str">
        <f t="shared" si="76"/>
        <v/>
      </c>
      <c r="D975" s="8" t="str">
        <f t="shared" si="77"/>
        <v/>
      </c>
      <c r="F975" s="4" t="str">
        <f>IF(Jugadores!B975="","",Jugadores!B975)</f>
        <v/>
      </c>
      <c r="G975" s="4" t="str">
        <f>IF(Jugadores!B975="","",Jugadores!A975)</f>
        <v/>
      </c>
      <c r="H975" s="4" t="str">
        <f>IF(F975="","",SUMIF('Estadísticas Jugadores'!$F$2:$F$7001,F975,'Estadísticas Jugadores'!$J$2:$J$7001))</f>
        <v/>
      </c>
      <c r="I975" s="4" t="str">
        <f t="shared" si="78"/>
        <v/>
      </c>
      <c r="J975" s="4" t="str">
        <f t="shared" si="79"/>
        <v/>
      </c>
    </row>
    <row r="976" spans="1:10" ht="15" customHeight="1" x14ac:dyDescent="0.25">
      <c r="A976" s="8" t="str">
        <f>IF(COUNT($J$2:$J$1501)&gt;=975,975,"")</f>
        <v/>
      </c>
      <c r="B976" s="8" t="str">
        <f t="shared" si="75"/>
        <v/>
      </c>
      <c r="C976" s="8" t="str">
        <f t="shared" si="76"/>
        <v/>
      </c>
      <c r="D976" s="8" t="str">
        <f t="shared" si="77"/>
        <v/>
      </c>
      <c r="F976" s="4" t="str">
        <f>IF(Jugadores!B976="","",Jugadores!B976)</f>
        <v/>
      </c>
      <c r="G976" s="4" t="str">
        <f>IF(Jugadores!B976="","",Jugadores!A976)</f>
        <v/>
      </c>
      <c r="H976" s="4" t="str">
        <f>IF(F976="","",SUMIF('Estadísticas Jugadores'!$F$2:$F$7001,F976,'Estadísticas Jugadores'!$J$2:$J$7001))</f>
        <v/>
      </c>
      <c r="I976" s="4" t="str">
        <f t="shared" si="78"/>
        <v/>
      </c>
      <c r="J976" s="4" t="str">
        <f t="shared" si="79"/>
        <v/>
      </c>
    </row>
    <row r="977" spans="1:10" ht="15" customHeight="1" x14ac:dyDescent="0.25">
      <c r="A977" s="8" t="str">
        <f>IF(COUNT($J$2:$J$1501)&gt;=976,976,"")</f>
        <v/>
      </c>
      <c r="B977" s="8" t="str">
        <f t="shared" si="75"/>
        <v/>
      </c>
      <c r="C977" s="8" t="str">
        <f t="shared" si="76"/>
        <v/>
      </c>
      <c r="D977" s="8" t="str">
        <f t="shared" si="77"/>
        <v/>
      </c>
      <c r="F977" s="4" t="str">
        <f>IF(Jugadores!B977="","",Jugadores!B977)</f>
        <v/>
      </c>
      <c r="G977" s="4" t="str">
        <f>IF(Jugadores!B977="","",Jugadores!A977)</f>
        <v/>
      </c>
      <c r="H977" s="4" t="str">
        <f>IF(F977="","",SUMIF('Estadísticas Jugadores'!$F$2:$F$7001,F977,'Estadísticas Jugadores'!$J$2:$J$7001))</f>
        <v/>
      </c>
      <c r="I977" s="4" t="str">
        <f t="shared" si="78"/>
        <v/>
      </c>
      <c r="J977" s="4" t="str">
        <f t="shared" si="79"/>
        <v/>
      </c>
    </row>
    <row r="978" spans="1:10" ht="15" customHeight="1" x14ac:dyDescent="0.25">
      <c r="A978" s="8" t="str">
        <f>IF(COUNT($J$2:$J$1501)&gt;=977,977,"")</f>
        <v/>
      </c>
      <c r="B978" s="8" t="str">
        <f t="shared" si="75"/>
        <v/>
      </c>
      <c r="C978" s="8" t="str">
        <f t="shared" si="76"/>
        <v/>
      </c>
      <c r="D978" s="8" t="str">
        <f t="shared" si="77"/>
        <v/>
      </c>
      <c r="F978" s="4" t="str">
        <f>IF(Jugadores!B978="","",Jugadores!B978)</f>
        <v/>
      </c>
      <c r="G978" s="4" t="str">
        <f>IF(Jugadores!B978="","",Jugadores!A978)</f>
        <v/>
      </c>
      <c r="H978" s="4" t="str">
        <f>IF(F978="","",SUMIF('Estadísticas Jugadores'!$F$2:$F$7001,F978,'Estadísticas Jugadores'!$J$2:$J$7001))</f>
        <v/>
      </c>
      <c r="I978" s="4" t="str">
        <f t="shared" si="78"/>
        <v/>
      </c>
      <c r="J978" s="4" t="str">
        <f t="shared" si="79"/>
        <v/>
      </c>
    </row>
    <row r="979" spans="1:10" ht="15" customHeight="1" x14ac:dyDescent="0.25">
      <c r="A979" s="8" t="str">
        <f>IF(COUNT($J$2:$J$1501)&gt;=978,978,"")</f>
        <v/>
      </c>
      <c r="B979" s="8" t="str">
        <f t="shared" si="75"/>
        <v/>
      </c>
      <c r="C979" s="8" t="str">
        <f t="shared" si="76"/>
        <v/>
      </c>
      <c r="D979" s="8" t="str">
        <f t="shared" si="77"/>
        <v/>
      </c>
      <c r="F979" s="4" t="str">
        <f>IF(Jugadores!B979="","",Jugadores!B979)</f>
        <v/>
      </c>
      <c r="G979" s="4" t="str">
        <f>IF(Jugadores!B979="","",Jugadores!A979)</f>
        <v/>
      </c>
      <c r="H979" s="4" t="str">
        <f>IF(F979="","",SUMIF('Estadísticas Jugadores'!$F$2:$F$7001,F979,'Estadísticas Jugadores'!$J$2:$J$7001))</f>
        <v/>
      </c>
      <c r="I979" s="4" t="str">
        <f t="shared" si="78"/>
        <v/>
      </c>
      <c r="J979" s="4" t="str">
        <f t="shared" si="79"/>
        <v/>
      </c>
    </row>
    <row r="980" spans="1:10" ht="15" customHeight="1" x14ac:dyDescent="0.25">
      <c r="A980" s="8" t="str">
        <f>IF(COUNT($J$2:$J$1501)&gt;=979,979,"")</f>
        <v/>
      </c>
      <c r="B980" s="8" t="str">
        <f t="shared" si="75"/>
        <v/>
      </c>
      <c r="C980" s="8" t="str">
        <f t="shared" si="76"/>
        <v/>
      </c>
      <c r="D980" s="8" t="str">
        <f t="shared" si="77"/>
        <v/>
      </c>
      <c r="F980" s="4" t="str">
        <f>IF(Jugadores!B980="","",Jugadores!B980)</f>
        <v/>
      </c>
      <c r="G980" s="4" t="str">
        <f>IF(Jugadores!B980="","",Jugadores!A980)</f>
        <v/>
      </c>
      <c r="H980" s="4" t="str">
        <f>IF(F980="","",SUMIF('Estadísticas Jugadores'!$F$2:$F$7001,F980,'Estadísticas Jugadores'!$J$2:$J$7001))</f>
        <v/>
      </c>
      <c r="I980" s="4" t="str">
        <f t="shared" si="78"/>
        <v/>
      </c>
      <c r="J980" s="4" t="str">
        <f t="shared" si="79"/>
        <v/>
      </c>
    </row>
    <row r="981" spans="1:10" ht="15" customHeight="1" x14ac:dyDescent="0.25">
      <c r="A981" s="8" t="str">
        <f>IF(COUNT($J$2:$J$1501)&gt;=980,980,"")</f>
        <v/>
      </c>
      <c r="B981" s="8" t="str">
        <f t="shared" si="75"/>
        <v/>
      </c>
      <c r="C981" s="8" t="str">
        <f t="shared" si="76"/>
        <v/>
      </c>
      <c r="D981" s="8" t="str">
        <f t="shared" si="77"/>
        <v/>
      </c>
      <c r="F981" s="4" t="str">
        <f>IF(Jugadores!B981="","",Jugadores!B981)</f>
        <v/>
      </c>
      <c r="G981" s="4" t="str">
        <f>IF(Jugadores!B981="","",Jugadores!A981)</f>
        <v/>
      </c>
      <c r="H981" s="4" t="str">
        <f>IF(F981="","",SUMIF('Estadísticas Jugadores'!$F$2:$F$7001,F981,'Estadísticas Jugadores'!$J$2:$J$7001))</f>
        <v/>
      </c>
      <c r="I981" s="4" t="str">
        <f t="shared" si="78"/>
        <v/>
      </c>
      <c r="J981" s="4" t="str">
        <f t="shared" si="79"/>
        <v/>
      </c>
    </row>
    <row r="982" spans="1:10" ht="15" customHeight="1" x14ac:dyDescent="0.25">
      <c r="A982" s="8" t="str">
        <f>IF(COUNT($J$2:$J$1501)&gt;=981,981,"")</f>
        <v/>
      </c>
      <c r="B982" s="8" t="str">
        <f t="shared" si="75"/>
        <v/>
      </c>
      <c r="C982" s="8" t="str">
        <f t="shared" si="76"/>
        <v/>
      </c>
      <c r="D982" s="8" t="str">
        <f t="shared" si="77"/>
        <v/>
      </c>
      <c r="F982" s="4" t="str">
        <f>IF(Jugadores!B982="","",Jugadores!B982)</f>
        <v/>
      </c>
      <c r="G982" s="4" t="str">
        <f>IF(Jugadores!B982="","",Jugadores!A982)</f>
        <v/>
      </c>
      <c r="H982" s="4" t="str">
        <f>IF(F982="","",SUMIF('Estadísticas Jugadores'!$F$2:$F$7001,F982,'Estadísticas Jugadores'!$J$2:$J$7001))</f>
        <v/>
      </c>
      <c r="I982" s="4" t="str">
        <f t="shared" si="78"/>
        <v/>
      </c>
      <c r="J982" s="4" t="str">
        <f t="shared" si="79"/>
        <v/>
      </c>
    </row>
    <row r="983" spans="1:10" ht="15" customHeight="1" x14ac:dyDescent="0.25">
      <c r="A983" s="8" t="str">
        <f>IF(COUNT($J$2:$J$1501)&gt;=982,982,"")</f>
        <v/>
      </c>
      <c r="B983" s="8" t="str">
        <f t="shared" si="75"/>
        <v/>
      </c>
      <c r="C983" s="8" t="str">
        <f t="shared" si="76"/>
        <v/>
      </c>
      <c r="D983" s="8" t="str">
        <f t="shared" si="77"/>
        <v/>
      </c>
      <c r="F983" s="4" t="str">
        <f>IF(Jugadores!B983="","",Jugadores!B983)</f>
        <v/>
      </c>
      <c r="G983" s="4" t="str">
        <f>IF(Jugadores!B983="","",Jugadores!A983)</f>
        <v/>
      </c>
      <c r="H983" s="4" t="str">
        <f>IF(F983="","",SUMIF('Estadísticas Jugadores'!$F$2:$F$7001,F983,'Estadísticas Jugadores'!$J$2:$J$7001))</f>
        <v/>
      </c>
      <c r="I983" s="4" t="str">
        <f t="shared" si="78"/>
        <v/>
      </c>
      <c r="J983" s="4" t="str">
        <f t="shared" si="79"/>
        <v/>
      </c>
    </row>
    <row r="984" spans="1:10" ht="15" customHeight="1" x14ac:dyDescent="0.25">
      <c r="A984" s="8" t="str">
        <f>IF(COUNT($J$2:$J$1501)&gt;=983,983,"")</f>
        <v/>
      </c>
      <c r="B984" s="8" t="str">
        <f t="shared" si="75"/>
        <v/>
      </c>
      <c r="C984" s="8" t="str">
        <f t="shared" si="76"/>
        <v/>
      </c>
      <c r="D984" s="8" t="str">
        <f t="shared" si="77"/>
        <v/>
      </c>
      <c r="F984" s="4" t="str">
        <f>IF(Jugadores!B984="","",Jugadores!B984)</f>
        <v/>
      </c>
      <c r="G984" s="4" t="str">
        <f>IF(Jugadores!B984="","",Jugadores!A984)</f>
        <v/>
      </c>
      <c r="H984" s="4" t="str">
        <f>IF(F984="","",SUMIF('Estadísticas Jugadores'!$F$2:$F$7001,F984,'Estadísticas Jugadores'!$J$2:$J$7001))</f>
        <v/>
      </c>
      <c r="I984" s="4" t="str">
        <f t="shared" si="78"/>
        <v/>
      </c>
      <c r="J984" s="4" t="str">
        <f t="shared" si="79"/>
        <v/>
      </c>
    </row>
    <row r="985" spans="1:10" ht="15" customHeight="1" x14ac:dyDescent="0.25">
      <c r="A985" s="8" t="str">
        <f>IF(COUNT($J$2:$J$1501)&gt;=984,984,"")</f>
        <v/>
      </c>
      <c r="B985" s="8" t="str">
        <f t="shared" si="75"/>
        <v/>
      </c>
      <c r="C985" s="8" t="str">
        <f t="shared" si="76"/>
        <v/>
      </c>
      <c r="D985" s="8" t="str">
        <f t="shared" si="77"/>
        <v/>
      </c>
      <c r="F985" s="4" t="str">
        <f>IF(Jugadores!B985="","",Jugadores!B985)</f>
        <v/>
      </c>
      <c r="G985" s="4" t="str">
        <f>IF(Jugadores!B985="","",Jugadores!A985)</f>
        <v/>
      </c>
      <c r="H985" s="4" t="str">
        <f>IF(F985="","",SUMIF('Estadísticas Jugadores'!$F$2:$F$7001,F985,'Estadísticas Jugadores'!$J$2:$J$7001))</f>
        <v/>
      </c>
      <c r="I985" s="4" t="str">
        <f t="shared" si="78"/>
        <v/>
      </c>
      <c r="J985" s="4" t="str">
        <f t="shared" si="79"/>
        <v/>
      </c>
    </row>
    <row r="986" spans="1:10" ht="15" customHeight="1" x14ac:dyDescent="0.25">
      <c r="A986" s="8" t="str">
        <f>IF(COUNT($J$2:$J$1501)&gt;=985,985,"")</f>
        <v/>
      </c>
      <c r="B986" s="8" t="str">
        <f t="shared" si="75"/>
        <v/>
      </c>
      <c r="C986" s="8" t="str">
        <f t="shared" si="76"/>
        <v/>
      </c>
      <c r="D986" s="8" t="str">
        <f t="shared" si="77"/>
        <v/>
      </c>
      <c r="F986" s="4" t="str">
        <f>IF(Jugadores!B986="","",Jugadores!B986)</f>
        <v/>
      </c>
      <c r="G986" s="4" t="str">
        <f>IF(Jugadores!B986="","",Jugadores!A986)</f>
        <v/>
      </c>
      <c r="H986" s="4" t="str">
        <f>IF(F986="","",SUMIF('Estadísticas Jugadores'!$F$2:$F$7001,F986,'Estadísticas Jugadores'!$J$2:$J$7001))</f>
        <v/>
      </c>
      <c r="I986" s="4" t="str">
        <f t="shared" si="78"/>
        <v/>
      </c>
      <c r="J986" s="4" t="str">
        <f t="shared" si="79"/>
        <v/>
      </c>
    </row>
    <row r="987" spans="1:10" ht="15" customHeight="1" x14ac:dyDescent="0.25">
      <c r="A987" s="8" t="str">
        <f>IF(COUNT($J$2:$J$1501)&gt;=986,986,"")</f>
        <v/>
      </c>
      <c r="B987" s="8" t="str">
        <f t="shared" si="75"/>
        <v/>
      </c>
      <c r="C987" s="8" t="str">
        <f t="shared" si="76"/>
        <v/>
      </c>
      <c r="D987" s="8" t="str">
        <f t="shared" si="77"/>
        <v/>
      </c>
      <c r="F987" s="4" t="str">
        <f>IF(Jugadores!B987="","",Jugadores!B987)</f>
        <v/>
      </c>
      <c r="G987" s="4" t="str">
        <f>IF(Jugadores!B987="","",Jugadores!A987)</f>
        <v/>
      </c>
      <c r="H987" s="4" t="str">
        <f>IF(F987="","",SUMIF('Estadísticas Jugadores'!$F$2:$F$7001,F987,'Estadísticas Jugadores'!$J$2:$J$7001))</f>
        <v/>
      </c>
      <c r="I987" s="4" t="str">
        <f t="shared" si="78"/>
        <v/>
      </c>
      <c r="J987" s="4" t="str">
        <f t="shared" si="79"/>
        <v/>
      </c>
    </row>
    <row r="988" spans="1:10" ht="15" customHeight="1" x14ac:dyDescent="0.25">
      <c r="A988" s="8" t="str">
        <f>IF(COUNT($J$2:$J$1501)&gt;=987,987,"")</f>
        <v/>
      </c>
      <c r="B988" s="8" t="str">
        <f t="shared" si="75"/>
        <v/>
      </c>
      <c r="C988" s="8" t="str">
        <f t="shared" si="76"/>
        <v/>
      </c>
      <c r="D988" s="8" t="str">
        <f t="shared" si="77"/>
        <v/>
      </c>
      <c r="F988" s="4" t="str">
        <f>IF(Jugadores!B988="","",Jugadores!B988)</f>
        <v/>
      </c>
      <c r="G988" s="4" t="str">
        <f>IF(Jugadores!B988="","",Jugadores!A988)</f>
        <v/>
      </c>
      <c r="H988" s="4" t="str">
        <f>IF(F988="","",SUMIF('Estadísticas Jugadores'!$F$2:$F$7001,F988,'Estadísticas Jugadores'!$J$2:$J$7001))</f>
        <v/>
      </c>
      <c r="I988" s="4" t="str">
        <f t="shared" si="78"/>
        <v/>
      </c>
      <c r="J988" s="4" t="str">
        <f t="shared" si="79"/>
        <v/>
      </c>
    </row>
    <row r="989" spans="1:10" ht="15" customHeight="1" x14ac:dyDescent="0.25">
      <c r="A989" s="8" t="str">
        <f>IF(COUNT($J$2:$J$1501)&gt;=988,988,"")</f>
        <v/>
      </c>
      <c r="B989" s="8" t="str">
        <f t="shared" si="75"/>
        <v/>
      </c>
      <c r="C989" s="8" t="str">
        <f t="shared" si="76"/>
        <v/>
      </c>
      <c r="D989" s="8" t="str">
        <f t="shared" si="77"/>
        <v/>
      </c>
      <c r="F989" s="4" t="str">
        <f>IF(Jugadores!B989="","",Jugadores!B989)</f>
        <v/>
      </c>
      <c r="G989" s="4" t="str">
        <f>IF(Jugadores!B989="","",Jugadores!A989)</f>
        <v/>
      </c>
      <c r="H989" s="4" t="str">
        <f>IF(F989="","",SUMIF('Estadísticas Jugadores'!$F$2:$F$7001,F989,'Estadísticas Jugadores'!$J$2:$J$7001))</f>
        <v/>
      </c>
      <c r="I989" s="4" t="str">
        <f t="shared" si="78"/>
        <v/>
      </c>
      <c r="J989" s="4" t="str">
        <f t="shared" si="79"/>
        <v/>
      </c>
    </row>
    <row r="990" spans="1:10" ht="15" customHeight="1" x14ac:dyDescent="0.25">
      <c r="A990" s="8" t="str">
        <f>IF(COUNT($J$2:$J$1501)&gt;=989,989,"")</f>
        <v/>
      </c>
      <c r="B990" s="8" t="str">
        <f t="shared" si="75"/>
        <v/>
      </c>
      <c r="C990" s="8" t="str">
        <f t="shared" si="76"/>
        <v/>
      </c>
      <c r="D990" s="8" t="str">
        <f t="shared" si="77"/>
        <v/>
      </c>
      <c r="F990" s="4" t="str">
        <f>IF(Jugadores!B990="","",Jugadores!B990)</f>
        <v/>
      </c>
      <c r="G990" s="4" t="str">
        <f>IF(Jugadores!B990="","",Jugadores!A990)</f>
        <v/>
      </c>
      <c r="H990" s="4" t="str">
        <f>IF(F990="","",SUMIF('Estadísticas Jugadores'!$F$2:$F$7001,F990,'Estadísticas Jugadores'!$J$2:$J$7001))</f>
        <v/>
      </c>
      <c r="I990" s="4" t="str">
        <f t="shared" si="78"/>
        <v/>
      </c>
      <c r="J990" s="4" t="str">
        <f t="shared" si="79"/>
        <v/>
      </c>
    </row>
    <row r="991" spans="1:10" ht="15" customHeight="1" x14ac:dyDescent="0.25">
      <c r="A991" s="8" t="str">
        <f>IF(COUNT($J$2:$J$1501)&gt;=990,990,"")</f>
        <v/>
      </c>
      <c r="B991" s="8" t="str">
        <f t="shared" si="75"/>
        <v/>
      </c>
      <c r="C991" s="8" t="str">
        <f t="shared" si="76"/>
        <v/>
      </c>
      <c r="D991" s="8" t="str">
        <f t="shared" si="77"/>
        <v/>
      </c>
      <c r="F991" s="4" t="str">
        <f>IF(Jugadores!B991="","",Jugadores!B991)</f>
        <v/>
      </c>
      <c r="G991" s="4" t="str">
        <f>IF(Jugadores!B991="","",Jugadores!A991)</f>
        <v/>
      </c>
      <c r="H991" s="4" t="str">
        <f>IF(F991="","",SUMIF('Estadísticas Jugadores'!$F$2:$F$7001,F991,'Estadísticas Jugadores'!$J$2:$J$7001))</f>
        <v/>
      </c>
      <c r="I991" s="4" t="str">
        <f t="shared" si="78"/>
        <v/>
      </c>
      <c r="J991" s="4" t="str">
        <f t="shared" si="79"/>
        <v/>
      </c>
    </row>
    <row r="992" spans="1:10" ht="15" customHeight="1" x14ac:dyDescent="0.25">
      <c r="A992" s="8" t="str">
        <f>IF(COUNT($J$2:$J$1501)&gt;=991,991,"")</f>
        <v/>
      </c>
      <c r="B992" s="8" t="str">
        <f t="shared" si="75"/>
        <v/>
      </c>
      <c r="C992" s="8" t="str">
        <f t="shared" si="76"/>
        <v/>
      </c>
      <c r="D992" s="8" t="str">
        <f t="shared" si="77"/>
        <v/>
      </c>
      <c r="F992" s="4" t="str">
        <f>IF(Jugadores!B992="","",Jugadores!B992)</f>
        <v/>
      </c>
      <c r="G992" s="4" t="str">
        <f>IF(Jugadores!B992="","",Jugadores!A992)</f>
        <v/>
      </c>
      <c r="H992" s="4" t="str">
        <f>IF(F992="","",SUMIF('Estadísticas Jugadores'!$F$2:$F$7001,F992,'Estadísticas Jugadores'!$J$2:$J$7001))</f>
        <v/>
      </c>
      <c r="I992" s="4" t="str">
        <f t="shared" si="78"/>
        <v/>
      </c>
      <c r="J992" s="4" t="str">
        <f t="shared" si="79"/>
        <v/>
      </c>
    </row>
    <row r="993" spans="1:10" ht="15" customHeight="1" x14ac:dyDescent="0.25">
      <c r="A993" s="8" t="str">
        <f>IF(COUNT($J$2:$J$1501)&gt;=992,992,"")</f>
        <v/>
      </c>
      <c r="B993" s="8" t="str">
        <f t="shared" si="75"/>
        <v/>
      </c>
      <c r="C993" s="8" t="str">
        <f t="shared" si="76"/>
        <v/>
      </c>
      <c r="D993" s="8" t="str">
        <f t="shared" si="77"/>
        <v/>
      </c>
      <c r="F993" s="4" t="str">
        <f>IF(Jugadores!B993="","",Jugadores!B993)</f>
        <v/>
      </c>
      <c r="G993" s="4" t="str">
        <f>IF(Jugadores!B993="","",Jugadores!A993)</f>
        <v/>
      </c>
      <c r="H993" s="4" t="str">
        <f>IF(F993="","",SUMIF('Estadísticas Jugadores'!$F$2:$F$7001,F993,'Estadísticas Jugadores'!$J$2:$J$7001))</f>
        <v/>
      </c>
      <c r="I993" s="4" t="str">
        <f t="shared" si="78"/>
        <v/>
      </c>
      <c r="J993" s="4" t="str">
        <f t="shared" si="79"/>
        <v/>
      </c>
    </row>
    <row r="994" spans="1:10" ht="15" customHeight="1" x14ac:dyDescent="0.25">
      <c r="A994" s="8" t="str">
        <f>IF(COUNT($J$2:$J$1501)&gt;=993,993,"")</f>
        <v/>
      </c>
      <c r="B994" s="8" t="str">
        <f t="shared" si="75"/>
        <v/>
      </c>
      <c r="C994" s="8" t="str">
        <f t="shared" si="76"/>
        <v/>
      </c>
      <c r="D994" s="8" t="str">
        <f t="shared" si="77"/>
        <v/>
      </c>
      <c r="F994" s="4" t="str">
        <f>IF(Jugadores!B994="","",Jugadores!B994)</f>
        <v/>
      </c>
      <c r="G994" s="4" t="str">
        <f>IF(Jugadores!B994="","",Jugadores!A994)</f>
        <v/>
      </c>
      <c r="H994" s="4" t="str">
        <f>IF(F994="","",SUMIF('Estadísticas Jugadores'!$F$2:$F$7001,F994,'Estadísticas Jugadores'!$J$2:$J$7001))</f>
        <v/>
      </c>
      <c r="I994" s="4" t="str">
        <f t="shared" si="78"/>
        <v/>
      </c>
      <c r="J994" s="4" t="str">
        <f t="shared" si="79"/>
        <v/>
      </c>
    </row>
    <row r="995" spans="1:10" ht="15" customHeight="1" x14ac:dyDescent="0.25">
      <c r="A995" s="8" t="str">
        <f>IF(COUNT($J$2:$J$1501)&gt;=994,994,"")</f>
        <v/>
      </c>
      <c r="B995" s="8" t="str">
        <f t="shared" si="75"/>
        <v/>
      </c>
      <c r="C995" s="8" t="str">
        <f t="shared" si="76"/>
        <v/>
      </c>
      <c r="D995" s="8" t="str">
        <f t="shared" si="77"/>
        <v/>
      </c>
      <c r="F995" s="4" t="str">
        <f>IF(Jugadores!B995="","",Jugadores!B995)</f>
        <v/>
      </c>
      <c r="G995" s="4" t="str">
        <f>IF(Jugadores!B995="","",Jugadores!A995)</f>
        <v/>
      </c>
      <c r="H995" s="4" t="str">
        <f>IF(F995="","",SUMIF('Estadísticas Jugadores'!$F$2:$F$7001,F995,'Estadísticas Jugadores'!$J$2:$J$7001))</f>
        <v/>
      </c>
      <c r="I995" s="4" t="str">
        <f t="shared" si="78"/>
        <v/>
      </c>
      <c r="J995" s="4" t="str">
        <f t="shared" si="79"/>
        <v/>
      </c>
    </row>
    <row r="996" spans="1:10" ht="15" customHeight="1" x14ac:dyDescent="0.25">
      <c r="A996" s="8" t="str">
        <f>IF(COUNT($J$2:$J$1501)&gt;=995,995,"")</f>
        <v/>
      </c>
      <c r="B996" s="8" t="str">
        <f t="shared" si="75"/>
        <v/>
      </c>
      <c r="C996" s="8" t="str">
        <f t="shared" si="76"/>
        <v/>
      </c>
      <c r="D996" s="8" t="str">
        <f t="shared" si="77"/>
        <v/>
      </c>
      <c r="F996" s="4" t="str">
        <f>IF(Jugadores!B996="","",Jugadores!B996)</f>
        <v/>
      </c>
      <c r="G996" s="4" t="str">
        <f>IF(Jugadores!B996="","",Jugadores!A996)</f>
        <v/>
      </c>
      <c r="H996" s="4" t="str">
        <f>IF(F996="","",SUMIF('Estadísticas Jugadores'!$F$2:$F$7001,F996,'Estadísticas Jugadores'!$J$2:$J$7001))</f>
        <v/>
      </c>
      <c r="I996" s="4" t="str">
        <f t="shared" si="78"/>
        <v/>
      </c>
      <c r="J996" s="4" t="str">
        <f t="shared" si="79"/>
        <v/>
      </c>
    </row>
    <row r="997" spans="1:10" ht="15" customHeight="1" x14ac:dyDescent="0.25">
      <c r="A997" s="8" t="str">
        <f>IF(COUNT($J$2:$J$1501)&gt;=996,996,"")</f>
        <v/>
      </c>
      <c r="B997" s="8" t="str">
        <f t="shared" si="75"/>
        <v/>
      </c>
      <c r="C997" s="8" t="str">
        <f t="shared" si="76"/>
        <v/>
      </c>
      <c r="D997" s="8" t="str">
        <f t="shared" si="77"/>
        <v/>
      </c>
      <c r="F997" s="4" t="str">
        <f>IF(Jugadores!B997="","",Jugadores!B997)</f>
        <v/>
      </c>
      <c r="G997" s="4" t="str">
        <f>IF(Jugadores!B997="","",Jugadores!A997)</f>
        <v/>
      </c>
      <c r="H997" s="4" t="str">
        <f>IF(F997="","",SUMIF('Estadísticas Jugadores'!$F$2:$F$7001,F997,'Estadísticas Jugadores'!$J$2:$J$7001))</f>
        <v/>
      </c>
      <c r="I997" s="4" t="str">
        <f t="shared" si="78"/>
        <v/>
      </c>
      <c r="J997" s="4" t="str">
        <f t="shared" si="79"/>
        <v/>
      </c>
    </row>
    <row r="998" spans="1:10" ht="15" customHeight="1" x14ac:dyDescent="0.25">
      <c r="A998" s="8" t="str">
        <f>IF(COUNT($J$2:$J$1501)&gt;=997,997,"")</f>
        <v/>
      </c>
      <c r="B998" s="8" t="str">
        <f t="shared" si="75"/>
        <v/>
      </c>
      <c r="C998" s="8" t="str">
        <f t="shared" si="76"/>
        <v/>
      </c>
      <c r="D998" s="8" t="str">
        <f t="shared" si="77"/>
        <v/>
      </c>
      <c r="F998" s="4" t="str">
        <f>IF(Jugadores!B998="","",Jugadores!B998)</f>
        <v/>
      </c>
      <c r="G998" s="4" t="str">
        <f>IF(Jugadores!B998="","",Jugadores!A998)</f>
        <v/>
      </c>
      <c r="H998" s="4" t="str">
        <f>IF(F998="","",SUMIF('Estadísticas Jugadores'!$F$2:$F$7001,F998,'Estadísticas Jugadores'!$J$2:$J$7001))</f>
        <v/>
      </c>
      <c r="I998" s="4" t="str">
        <f t="shared" si="78"/>
        <v/>
      </c>
      <c r="J998" s="4" t="str">
        <f t="shared" si="79"/>
        <v/>
      </c>
    </row>
    <row r="999" spans="1:10" ht="15" customHeight="1" x14ac:dyDescent="0.25">
      <c r="A999" s="8" t="str">
        <f>IF(COUNT($J$2:$J$1501)&gt;=998,998,"")</f>
        <v/>
      </c>
      <c r="B999" s="8" t="str">
        <f t="shared" si="75"/>
        <v/>
      </c>
      <c r="C999" s="8" t="str">
        <f t="shared" si="76"/>
        <v/>
      </c>
      <c r="D999" s="8" t="str">
        <f t="shared" si="77"/>
        <v/>
      </c>
      <c r="F999" s="4" t="str">
        <f>IF(Jugadores!B999="","",Jugadores!B999)</f>
        <v/>
      </c>
      <c r="G999" s="4" t="str">
        <f>IF(Jugadores!B999="","",Jugadores!A999)</f>
        <v/>
      </c>
      <c r="H999" s="4" t="str">
        <f>IF(F999="","",SUMIF('Estadísticas Jugadores'!$F$2:$F$7001,F999,'Estadísticas Jugadores'!$J$2:$J$7001))</f>
        <v/>
      </c>
      <c r="I999" s="4" t="str">
        <f t="shared" si="78"/>
        <v/>
      </c>
      <c r="J999" s="4" t="str">
        <f t="shared" si="79"/>
        <v/>
      </c>
    </row>
    <row r="1000" spans="1:10" ht="15" customHeight="1" x14ac:dyDescent="0.25">
      <c r="A1000" s="8" t="str">
        <f>IF(COUNT($J$2:$J$1501)&gt;=999,999,"")</f>
        <v/>
      </c>
      <c r="B1000" s="8" t="str">
        <f t="shared" si="75"/>
        <v/>
      </c>
      <c r="C1000" s="8" t="str">
        <f t="shared" si="76"/>
        <v/>
      </c>
      <c r="D1000" s="8" t="str">
        <f t="shared" si="77"/>
        <v/>
      </c>
      <c r="F1000" s="4" t="str">
        <f>IF(Jugadores!B1000="","",Jugadores!B1000)</f>
        <v/>
      </c>
      <c r="G1000" s="4" t="str">
        <f>IF(Jugadores!B1000="","",Jugadores!A1000)</f>
        <v/>
      </c>
      <c r="H1000" s="4" t="str">
        <f>IF(F1000="","",SUMIF('Estadísticas Jugadores'!$F$2:$F$7001,F1000,'Estadísticas Jugadores'!$J$2:$J$7001))</f>
        <v/>
      </c>
      <c r="I1000" s="4" t="str">
        <f t="shared" si="78"/>
        <v/>
      </c>
      <c r="J1000" s="4" t="str">
        <f t="shared" si="79"/>
        <v/>
      </c>
    </row>
    <row r="1001" spans="1:10" ht="15" customHeight="1" x14ac:dyDescent="0.25">
      <c r="A1001" s="8" t="str">
        <f>IF(COUNT($J$2:$J$1501)&gt;=1000,1000,"")</f>
        <v/>
      </c>
      <c r="B1001" s="8" t="str">
        <f t="shared" si="75"/>
        <v/>
      </c>
      <c r="C1001" s="8" t="str">
        <f t="shared" si="76"/>
        <v/>
      </c>
      <c r="D1001" s="8" t="str">
        <f t="shared" si="77"/>
        <v/>
      </c>
      <c r="F1001" s="4" t="str">
        <f>IF(Jugadores!B1001="","",Jugadores!B1001)</f>
        <v/>
      </c>
      <c r="G1001" s="4" t="str">
        <f>IF(Jugadores!B1001="","",Jugadores!A1001)</f>
        <v/>
      </c>
      <c r="H1001" s="4" t="str">
        <f>IF(F1001="","",SUMIF('Estadísticas Jugadores'!$F$2:$F$7001,F1001,'Estadísticas Jugadores'!$J$2:$J$7001))</f>
        <v/>
      </c>
      <c r="I1001" s="4" t="str">
        <f t="shared" si="78"/>
        <v/>
      </c>
      <c r="J1001" s="4" t="str">
        <f t="shared" si="79"/>
        <v/>
      </c>
    </row>
    <row r="1002" spans="1:10" ht="15" customHeight="1" x14ac:dyDescent="0.25">
      <c r="A1002" s="8" t="str">
        <f>IF(COUNT($J$2:$J$1501)&gt;=1001,1001,"")</f>
        <v/>
      </c>
      <c r="B1002" s="8" t="str">
        <f t="shared" si="75"/>
        <v/>
      </c>
      <c r="C1002" s="8" t="str">
        <f t="shared" si="76"/>
        <v/>
      </c>
      <c r="D1002" s="8" t="str">
        <f t="shared" si="77"/>
        <v/>
      </c>
      <c r="F1002" s="4" t="str">
        <f>IF(Jugadores!B1002="","",Jugadores!B1002)</f>
        <v/>
      </c>
      <c r="G1002" s="4" t="str">
        <f>IF(Jugadores!B1002="","",Jugadores!A1002)</f>
        <v/>
      </c>
      <c r="H1002" s="4" t="str">
        <f>IF(F1002="","",SUMIF('Estadísticas Jugadores'!$F$2:$F$7001,F1002,'Estadísticas Jugadores'!$J$2:$J$7001))</f>
        <v/>
      </c>
      <c r="I1002" s="4" t="str">
        <f t="shared" si="78"/>
        <v/>
      </c>
      <c r="J1002" s="4" t="str">
        <f t="shared" si="79"/>
        <v/>
      </c>
    </row>
    <row r="1003" spans="1:10" ht="15" customHeight="1" x14ac:dyDescent="0.25">
      <c r="A1003" s="8" t="str">
        <f>IF(COUNT($J$2:$J$1501)&gt;=1002,1002,"")</f>
        <v/>
      </c>
      <c r="B1003" s="8" t="str">
        <f t="shared" si="75"/>
        <v/>
      </c>
      <c r="C1003" s="8" t="str">
        <f t="shared" si="76"/>
        <v/>
      </c>
      <c r="D1003" s="8" t="str">
        <f t="shared" si="77"/>
        <v/>
      </c>
      <c r="F1003" s="4" t="str">
        <f>IF(Jugadores!B1003="","",Jugadores!B1003)</f>
        <v/>
      </c>
      <c r="G1003" s="4" t="str">
        <f>IF(Jugadores!B1003="","",Jugadores!A1003)</f>
        <v/>
      </c>
      <c r="H1003" s="4" t="str">
        <f>IF(F1003="","",SUMIF('Estadísticas Jugadores'!$F$2:$F$7001,F1003,'Estadísticas Jugadores'!$J$2:$J$7001))</f>
        <v/>
      </c>
      <c r="I1003" s="4" t="str">
        <f t="shared" si="78"/>
        <v/>
      </c>
      <c r="J1003" s="4" t="str">
        <f t="shared" si="79"/>
        <v/>
      </c>
    </row>
    <row r="1004" spans="1:10" ht="15" customHeight="1" x14ac:dyDescent="0.25">
      <c r="A1004" s="8" t="str">
        <f>IF(COUNT($J$2:$J$1501)&gt;=1003,1003,"")</f>
        <v/>
      </c>
      <c r="B1004" s="8" t="str">
        <f t="shared" si="75"/>
        <v/>
      </c>
      <c r="C1004" s="8" t="str">
        <f t="shared" si="76"/>
        <v/>
      </c>
      <c r="D1004" s="8" t="str">
        <f t="shared" si="77"/>
        <v/>
      </c>
      <c r="F1004" s="4" t="str">
        <f>IF(Jugadores!B1004="","",Jugadores!B1004)</f>
        <v/>
      </c>
      <c r="G1004" s="4" t="str">
        <f>IF(Jugadores!B1004="","",Jugadores!A1004)</f>
        <v/>
      </c>
      <c r="H1004" s="4" t="str">
        <f>IF(F1004="","",SUMIF('Estadísticas Jugadores'!$F$2:$F$7001,F1004,'Estadísticas Jugadores'!$J$2:$J$7001))</f>
        <v/>
      </c>
      <c r="I1004" s="4" t="str">
        <f t="shared" si="78"/>
        <v/>
      </c>
      <c r="J1004" s="4" t="str">
        <f t="shared" si="79"/>
        <v/>
      </c>
    </row>
    <row r="1005" spans="1:10" ht="15" customHeight="1" x14ac:dyDescent="0.25">
      <c r="A1005" s="8" t="str">
        <f>IF(COUNT($J$2:$J$1501)&gt;=1004,1004,"")</f>
        <v/>
      </c>
      <c r="B1005" s="8" t="str">
        <f t="shared" si="75"/>
        <v/>
      </c>
      <c r="C1005" s="8" t="str">
        <f t="shared" si="76"/>
        <v/>
      </c>
      <c r="D1005" s="8" t="str">
        <f t="shared" si="77"/>
        <v/>
      </c>
      <c r="F1005" s="4" t="str">
        <f>IF(Jugadores!B1005="","",Jugadores!B1005)</f>
        <v/>
      </c>
      <c r="G1005" s="4" t="str">
        <f>IF(Jugadores!B1005="","",Jugadores!A1005)</f>
        <v/>
      </c>
      <c r="H1005" s="4" t="str">
        <f>IF(F1005="","",SUMIF('Estadísticas Jugadores'!$F$2:$F$7001,F1005,'Estadísticas Jugadores'!$J$2:$J$7001))</f>
        <v/>
      </c>
      <c r="I1005" s="4" t="str">
        <f t="shared" si="78"/>
        <v/>
      </c>
      <c r="J1005" s="4" t="str">
        <f t="shared" si="79"/>
        <v/>
      </c>
    </row>
    <row r="1006" spans="1:10" ht="15" customHeight="1" x14ac:dyDescent="0.25">
      <c r="A1006" s="8" t="str">
        <f>IF(COUNT($J$2:$J$1501)&gt;=1005,1005,"")</f>
        <v/>
      </c>
      <c r="B1006" s="8" t="str">
        <f t="shared" si="75"/>
        <v/>
      </c>
      <c r="C1006" s="8" t="str">
        <f t="shared" si="76"/>
        <v/>
      </c>
      <c r="D1006" s="8" t="str">
        <f t="shared" si="77"/>
        <v/>
      </c>
      <c r="F1006" s="4" t="str">
        <f>IF(Jugadores!B1006="","",Jugadores!B1006)</f>
        <v/>
      </c>
      <c r="G1006" s="4" t="str">
        <f>IF(Jugadores!B1006="","",Jugadores!A1006)</f>
        <v/>
      </c>
      <c r="H1006" s="4" t="str">
        <f>IF(F1006="","",SUMIF('Estadísticas Jugadores'!$F$2:$F$7001,F1006,'Estadísticas Jugadores'!$J$2:$J$7001))</f>
        <v/>
      </c>
      <c r="I1006" s="4" t="str">
        <f t="shared" si="78"/>
        <v/>
      </c>
      <c r="J1006" s="4" t="str">
        <f t="shared" si="79"/>
        <v/>
      </c>
    </row>
    <row r="1007" spans="1:10" ht="15" customHeight="1" x14ac:dyDescent="0.25">
      <c r="A1007" s="8" t="str">
        <f>IF(COUNT($J$2:$J$1501)&gt;=1006,1006,"")</f>
        <v/>
      </c>
      <c r="B1007" s="8" t="str">
        <f t="shared" si="75"/>
        <v/>
      </c>
      <c r="C1007" s="8" t="str">
        <f t="shared" si="76"/>
        <v/>
      </c>
      <c r="D1007" s="8" t="str">
        <f t="shared" si="77"/>
        <v/>
      </c>
      <c r="F1007" s="4" t="str">
        <f>IF(Jugadores!B1007="","",Jugadores!B1007)</f>
        <v/>
      </c>
      <c r="G1007" s="4" t="str">
        <f>IF(Jugadores!B1007="","",Jugadores!A1007)</f>
        <v/>
      </c>
      <c r="H1007" s="4" t="str">
        <f>IF(F1007="","",SUMIF('Estadísticas Jugadores'!$F$2:$F$7001,F1007,'Estadísticas Jugadores'!$J$2:$J$7001))</f>
        <v/>
      </c>
      <c r="I1007" s="4" t="str">
        <f t="shared" si="78"/>
        <v/>
      </c>
      <c r="J1007" s="4" t="str">
        <f t="shared" si="79"/>
        <v/>
      </c>
    </row>
    <row r="1008" spans="1:10" ht="15" customHeight="1" x14ac:dyDescent="0.25">
      <c r="A1008" s="8" t="str">
        <f>IF(COUNT($J$2:$J$1501)&gt;=1007,1007,"")</f>
        <v/>
      </c>
      <c r="B1008" s="8" t="str">
        <f t="shared" si="75"/>
        <v/>
      </c>
      <c r="C1008" s="8" t="str">
        <f t="shared" si="76"/>
        <v/>
      </c>
      <c r="D1008" s="8" t="str">
        <f t="shared" si="77"/>
        <v/>
      </c>
      <c r="F1008" s="4" t="str">
        <f>IF(Jugadores!B1008="","",Jugadores!B1008)</f>
        <v/>
      </c>
      <c r="G1008" s="4" t="str">
        <f>IF(Jugadores!B1008="","",Jugadores!A1008)</f>
        <v/>
      </c>
      <c r="H1008" s="4" t="str">
        <f>IF(F1008="","",SUMIF('Estadísticas Jugadores'!$F$2:$F$7001,F1008,'Estadísticas Jugadores'!$J$2:$J$7001))</f>
        <v/>
      </c>
      <c r="I1008" s="4" t="str">
        <f t="shared" si="78"/>
        <v/>
      </c>
      <c r="J1008" s="4" t="str">
        <f t="shared" si="79"/>
        <v/>
      </c>
    </row>
    <row r="1009" spans="1:10" ht="15" customHeight="1" x14ac:dyDescent="0.25">
      <c r="A1009" s="8" t="str">
        <f>IF(COUNT($J$2:$J$1501)&gt;=1008,1008,"")</f>
        <v/>
      </c>
      <c r="B1009" s="8" t="str">
        <f t="shared" si="75"/>
        <v/>
      </c>
      <c r="C1009" s="8" t="str">
        <f t="shared" si="76"/>
        <v/>
      </c>
      <c r="D1009" s="8" t="str">
        <f t="shared" si="77"/>
        <v/>
      </c>
      <c r="F1009" s="4" t="str">
        <f>IF(Jugadores!B1009="","",Jugadores!B1009)</f>
        <v/>
      </c>
      <c r="G1009" s="4" t="str">
        <f>IF(Jugadores!B1009="","",Jugadores!A1009)</f>
        <v/>
      </c>
      <c r="H1009" s="4" t="str">
        <f>IF(F1009="","",SUMIF('Estadísticas Jugadores'!$F$2:$F$7001,F1009,'Estadísticas Jugadores'!$J$2:$J$7001))</f>
        <v/>
      </c>
      <c r="I1009" s="4" t="str">
        <f t="shared" si="78"/>
        <v/>
      </c>
      <c r="J1009" s="4" t="str">
        <f t="shared" si="79"/>
        <v/>
      </c>
    </row>
    <row r="1010" spans="1:10" ht="15" customHeight="1" x14ac:dyDescent="0.25">
      <c r="A1010" s="8" t="str">
        <f>IF(COUNT($J$2:$J$1501)&gt;=1009,1009,"")</f>
        <v/>
      </c>
      <c r="B1010" s="8" t="str">
        <f t="shared" si="75"/>
        <v/>
      </c>
      <c r="C1010" s="8" t="str">
        <f t="shared" si="76"/>
        <v/>
      </c>
      <c r="D1010" s="8" t="str">
        <f t="shared" si="77"/>
        <v/>
      </c>
      <c r="F1010" s="4" t="str">
        <f>IF(Jugadores!B1010="","",Jugadores!B1010)</f>
        <v/>
      </c>
      <c r="G1010" s="4" t="str">
        <f>IF(Jugadores!B1010="","",Jugadores!A1010)</f>
        <v/>
      </c>
      <c r="H1010" s="4" t="str">
        <f>IF(F1010="","",SUMIF('Estadísticas Jugadores'!$F$2:$F$7001,F1010,'Estadísticas Jugadores'!$J$2:$J$7001))</f>
        <v/>
      </c>
      <c r="I1010" s="4" t="str">
        <f t="shared" si="78"/>
        <v/>
      </c>
      <c r="J1010" s="4" t="str">
        <f t="shared" si="79"/>
        <v/>
      </c>
    </row>
    <row r="1011" spans="1:10" ht="15" customHeight="1" x14ac:dyDescent="0.25">
      <c r="A1011" s="8" t="str">
        <f>IF(COUNT($J$2:$J$1501)&gt;=1010,1010,"")</f>
        <v/>
      </c>
      <c r="B1011" s="8" t="str">
        <f t="shared" si="75"/>
        <v/>
      </c>
      <c r="C1011" s="8" t="str">
        <f t="shared" si="76"/>
        <v/>
      </c>
      <c r="D1011" s="8" t="str">
        <f t="shared" si="77"/>
        <v/>
      </c>
      <c r="F1011" s="4" t="str">
        <f>IF(Jugadores!B1011="","",Jugadores!B1011)</f>
        <v/>
      </c>
      <c r="G1011" s="4" t="str">
        <f>IF(Jugadores!B1011="","",Jugadores!A1011)</f>
        <v/>
      </c>
      <c r="H1011" s="4" t="str">
        <f>IF(F1011="","",SUMIF('Estadísticas Jugadores'!$F$2:$F$7001,F1011,'Estadísticas Jugadores'!$J$2:$J$7001))</f>
        <v/>
      </c>
      <c r="I1011" s="4" t="str">
        <f t="shared" si="78"/>
        <v/>
      </c>
      <c r="J1011" s="4" t="str">
        <f t="shared" si="79"/>
        <v/>
      </c>
    </row>
    <row r="1012" spans="1:10" ht="15" customHeight="1" x14ac:dyDescent="0.25">
      <c r="A1012" s="8" t="str">
        <f>IF(COUNT($J$2:$J$1501)&gt;=1011,1011,"")</f>
        <v/>
      </c>
      <c r="B1012" s="8" t="str">
        <f t="shared" si="75"/>
        <v/>
      </c>
      <c r="C1012" s="8" t="str">
        <f t="shared" si="76"/>
        <v/>
      </c>
      <c r="D1012" s="8" t="str">
        <f t="shared" si="77"/>
        <v/>
      </c>
      <c r="F1012" s="4" t="str">
        <f>IF(Jugadores!B1012="","",Jugadores!B1012)</f>
        <v/>
      </c>
      <c r="G1012" s="4" t="str">
        <f>IF(Jugadores!B1012="","",Jugadores!A1012)</f>
        <v/>
      </c>
      <c r="H1012" s="4" t="str">
        <f>IF(F1012="","",SUMIF('Estadísticas Jugadores'!$F$2:$F$7001,F1012,'Estadísticas Jugadores'!$J$2:$J$7001))</f>
        <v/>
      </c>
      <c r="I1012" s="4" t="str">
        <f t="shared" si="78"/>
        <v/>
      </c>
      <c r="J1012" s="4" t="str">
        <f t="shared" si="79"/>
        <v/>
      </c>
    </row>
    <row r="1013" spans="1:10" ht="15" customHeight="1" x14ac:dyDescent="0.25">
      <c r="A1013" s="8" t="str">
        <f>IF(COUNT($J$2:$J$1501)&gt;=1012,1012,"")</f>
        <v/>
      </c>
      <c r="B1013" s="8" t="str">
        <f t="shared" si="75"/>
        <v/>
      </c>
      <c r="C1013" s="8" t="str">
        <f t="shared" si="76"/>
        <v/>
      </c>
      <c r="D1013" s="8" t="str">
        <f t="shared" si="77"/>
        <v/>
      </c>
      <c r="F1013" s="4" t="str">
        <f>IF(Jugadores!B1013="","",Jugadores!B1013)</f>
        <v/>
      </c>
      <c r="G1013" s="4" t="str">
        <f>IF(Jugadores!B1013="","",Jugadores!A1013)</f>
        <v/>
      </c>
      <c r="H1013" s="4" t="str">
        <f>IF(F1013="","",SUMIF('Estadísticas Jugadores'!$F$2:$F$7001,F1013,'Estadísticas Jugadores'!$J$2:$J$7001))</f>
        <v/>
      </c>
      <c r="I1013" s="4" t="str">
        <f t="shared" si="78"/>
        <v/>
      </c>
      <c r="J1013" s="4" t="str">
        <f t="shared" si="79"/>
        <v/>
      </c>
    </row>
    <row r="1014" spans="1:10" ht="15" customHeight="1" x14ac:dyDescent="0.25">
      <c r="A1014" s="8" t="str">
        <f>IF(COUNT($J$2:$J$1501)&gt;=1013,1013,"")</f>
        <v/>
      </c>
      <c r="B1014" s="8" t="str">
        <f t="shared" si="75"/>
        <v/>
      </c>
      <c r="C1014" s="8" t="str">
        <f t="shared" si="76"/>
        <v/>
      </c>
      <c r="D1014" s="8" t="str">
        <f t="shared" si="77"/>
        <v/>
      </c>
      <c r="F1014" s="4" t="str">
        <f>IF(Jugadores!B1014="","",Jugadores!B1014)</f>
        <v/>
      </c>
      <c r="G1014" s="4" t="str">
        <f>IF(Jugadores!B1014="","",Jugadores!A1014)</f>
        <v/>
      </c>
      <c r="H1014" s="4" t="str">
        <f>IF(F1014="","",SUMIF('Estadísticas Jugadores'!$F$2:$F$7001,F1014,'Estadísticas Jugadores'!$J$2:$J$7001))</f>
        <v/>
      </c>
      <c r="I1014" s="4" t="str">
        <f t="shared" si="78"/>
        <v/>
      </c>
      <c r="J1014" s="4" t="str">
        <f t="shared" si="79"/>
        <v/>
      </c>
    </row>
    <row r="1015" spans="1:10" ht="15" customHeight="1" x14ac:dyDescent="0.25">
      <c r="A1015" s="8" t="str">
        <f>IF(COUNT($J$2:$J$1501)&gt;=1014,1014,"")</f>
        <v/>
      </c>
      <c r="B1015" s="8" t="str">
        <f t="shared" si="75"/>
        <v/>
      </c>
      <c r="C1015" s="8" t="str">
        <f t="shared" si="76"/>
        <v/>
      </c>
      <c r="D1015" s="8" t="str">
        <f t="shared" si="77"/>
        <v/>
      </c>
      <c r="F1015" s="4" t="str">
        <f>IF(Jugadores!B1015="","",Jugadores!B1015)</f>
        <v/>
      </c>
      <c r="G1015" s="4" t="str">
        <f>IF(Jugadores!B1015="","",Jugadores!A1015)</f>
        <v/>
      </c>
      <c r="H1015" s="4" t="str">
        <f>IF(F1015="","",SUMIF('Estadísticas Jugadores'!$F$2:$F$7001,F1015,'Estadísticas Jugadores'!$J$2:$J$7001))</f>
        <v/>
      </c>
      <c r="I1015" s="4" t="str">
        <f t="shared" si="78"/>
        <v/>
      </c>
      <c r="J1015" s="4" t="str">
        <f t="shared" si="79"/>
        <v/>
      </c>
    </row>
    <row r="1016" spans="1:10" ht="15" customHeight="1" x14ac:dyDescent="0.25">
      <c r="A1016" s="8" t="str">
        <f>IF(COUNT($J$2:$J$1501)&gt;=1015,1015,"")</f>
        <v/>
      </c>
      <c r="B1016" s="8" t="str">
        <f t="shared" si="75"/>
        <v/>
      </c>
      <c r="C1016" s="8" t="str">
        <f t="shared" si="76"/>
        <v/>
      </c>
      <c r="D1016" s="8" t="str">
        <f t="shared" si="77"/>
        <v/>
      </c>
      <c r="F1016" s="4" t="str">
        <f>IF(Jugadores!B1016="","",Jugadores!B1016)</f>
        <v/>
      </c>
      <c r="G1016" s="4" t="str">
        <f>IF(Jugadores!B1016="","",Jugadores!A1016)</f>
        <v/>
      </c>
      <c r="H1016" s="4" t="str">
        <f>IF(F1016="","",SUMIF('Estadísticas Jugadores'!$F$2:$F$7001,F1016,'Estadísticas Jugadores'!$J$2:$J$7001))</f>
        <v/>
      </c>
      <c r="I1016" s="4" t="str">
        <f t="shared" si="78"/>
        <v/>
      </c>
      <c r="J1016" s="4" t="str">
        <f t="shared" si="79"/>
        <v/>
      </c>
    </row>
    <row r="1017" spans="1:10" ht="15" customHeight="1" x14ac:dyDescent="0.25">
      <c r="A1017" s="8" t="str">
        <f>IF(COUNT($J$2:$J$1501)&gt;=1016,1016,"")</f>
        <v/>
      </c>
      <c r="B1017" s="8" t="str">
        <f t="shared" si="75"/>
        <v/>
      </c>
      <c r="C1017" s="8" t="str">
        <f t="shared" si="76"/>
        <v/>
      </c>
      <c r="D1017" s="8" t="str">
        <f t="shared" si="77"/>
        <v/>
      </c>
      <c r="F1017" s="4" t="str">
        <f>IF(Jugadores!B1017="","",Jugadores!B1017)</f>
        <v/>
      </c>
      <c r="G1017" s="4" t="str">
        <f>IF(Jugadores!B1017="","",Jugadores!A1017)</f>
        <v/>
      </c>
      <c r="H1017" s="4" t="str">
        <f>IF(F1017="","",SUMIF('Estadísticas Jugadores'!$F$2:$F$7001,F1017,'Estadísticas Jugadores'!$J$2:$J$7001))</f>
        <v/>
      </c>
      <c r="I1017" s="4" t="str">
        <f t="shared" si="78"/>
        <v/>
      </c>
      <c r="J1017" s="4" t="str">
        <f t="shared" si="79"/>
        <v/>
      </c>
    </row>
    <row r="1018" spans="1:10" ht="15" customHeight="1" x14ac:dyDescent="0.25">
      <c r="A1018" s="8" t="str">
        <f>IF(COUNT($J$2:$J$1501)&gt;=1017,1017,"")</f>
        <v/>
      </c>
      <c r="B1018" s="8" t="str">
        <f t="shared" si="75"/>
        <v/>
      </c>
      <c r="C1018" s="8" t="str">
        <f t="shared" si="76"/>
        <v/>
      </c>
      <c r="D1018" s="8" t="str">
        <f t="shared" si="77"/>
        <v/>
      </c>
      <c r="F1018" s="4" t="str">
        <f>IF(Jugadores!B1018="","",Jugadores!B1018)</f>
        <v/>
      </c>
      <c r="G1018" s="4" t="str">
        <f>IF(Jugadores!B1018="","",Jugadores!A1018)</f>
        <v/>
      </c>
      <c r="H1018" s="4" t="str">
        <f>IF(F1018="","",SUMIF('Estadísticas Jugadores'!$F$2:$F$7001,F1018,'Estadísticas Jugadores'!$J$2:$J$7001))</f>
        <v/>
      </c>
      <c r="I1018" s="4" t="str">
        <f t="shared" si="78"/>
        <v/>
      </c>
      <c r="J1018" s="4" t="str">
        <f t="shared" si="79"/>
        <v/>
      </c>
    </row>
    <row r="1019" spans="1:10" ht="15" customHeight="1" x14ac:dyDescent="0.25">
      <c r="A1019" s="8" t="str">
        <f>IF(COUNT($J$2:$J$1501)&gt;=1018,1018,"")</f>
        <v/>
      </c>
      <c r="B1019" s="8" t="str">
        <f t="shared" si="75"/>
        <v/>
      </c>
      <c r="C1019" s="8" t="str">
        <f t="shared" si="76"/>
        <v/>
      </c>
      <c r="D1019" s="8" t="str">
        <f t="shared" si="77"/>
        <v/>
      </c>
      <c r="F1019" s="4" t="str">
        <f>IF(Jugadores!B1019="","",Jugadores!B1019)</f>
        <v/>
      </c>
      <c r="G1019" s="4" t="str">
        <f>IF(Jugadores!B1019="","",Jugadores!A1019)</f>
        <v/>
      </c>
      <c r="H1019" s="4" t="str">
        <f>IF(F1019="","",SUMIF('Estadísticas Jugadores'!$F$2:$F$7001,F1019,'Estadísticas Jugadores'!$J$2:$J$7001))</f>
        <v/>
      </c>
      <c r="I1019" s="4" t="str">
        <f t="shared" si="78"/>
        <v/>
      </c>
      <c r="J1019" s="4" t="str">
        <f t="shared" si="79"/>
        <v/>
      </c>
    </row>
    <row r="1020" spans="1:10" ht="15" customHeight="1" x14ac:dyDescent="0.25">
      <c r="A1020" s="8" t="str">
        <f>IF(COUNT($J$2:$J$1501)&gt;=1019,1019,"")</f>
        <v/>
      </c>
      <c r="B1020" s="8" t="str">
        <f t="shared" si="75"/>
        <v/>
      </c>
      <c r="C1020" s="8" t="str">
        <f t="shared" si="76"/>
        <v/>
      </c>
      <c r="D1020" s="8" t="str">
        <f t="shared" si="77"/>
        <v/>
      </c>
      <c r="F1020" s="4" t="str">
        <f>IF(Jugadores!B1020="","",Jugadores!B1020)</f>
        <v/>
      </c>
      <c r="G1020" s="4" t="str">
        <f>IF(Jugadores!B1020="","",Jugadores!A1020)</f>
        <v/>
      </c>
      <c r="H1020" s="4" t="str">
        <f>IF(F1020="","",SUMIF('Estadísticas Jugadores'!$F$2:$F$7001,F1020,'Estadísticas Jugadores'!$J$2:$J$7001))</f>
        <v/>
      </c>
      <c r="I1020" s="4" t="str">
        <f t="shared" si="78"/>
        <v/>
      </c>
      <c r="J1020" s="4" t="str">
        <f t="shared" si="79"/>
        <v/>
      </c>
    </row>
    <row r="1021" spans="1:10" ht="15" customHeight="1" x14ac:dyDescent="0.25">
      <c r="A1021" s="8" t="str">
        <f>IF(COUNT($J$2:$J$1501)&gt;=1020,1020,"")</f>
        <v/>
      </c>
      <c r="B1021" s="8" t="str">
        <f t="shared" si="75"/>
        <v/>
      </c>
      <c r="C1021" s="8" t="str">
        <f t="shared" si="76"/>
        <v/>
      </c>
      <c r="D1021" s="8" t="str">
        <f t="shared" si="77"/>
        <v/>
      </c>
      <c r="F1021" s="4" t="str">
        <f>IF(Jugadores!B1021="","",Jugadores!B1021)</f>
        <v/>
      </c>
      <c r="G1021" s="4" t="str">
        <f>IF(Jugadores!B1021="","",Jugadores!A1021)</f>
        <v/>
      </c>
      <c r="H1021" s="4" t="str">
        <f>IF(F1021="","",SUMIF('Estadísticas Jugadores'!$F$2:$F$7001,F1021,'Estadísticas Jugadores'!$J$2:$J$7001))</f>
        <v/>
      </c>
      <c r="I1021" s="4" t="str">
        <f t="shared" si="78"/>
        <v/>
      </c>
      <c r="J1021" s="4" t="str">
        <f t="shared" si="79"/>
        <v/>
      </c>
    </row>
    <row r="1022" spans="1:10" ht="15" customHeight="1" x14ac:dyDescent="0.25">
      <c r="A1022" s="8" t="str">
        <f>IF(COUNT($J$2:$J$1501)&gt;=1021,1021,"")</f>
        <v/>
      </c>
      <c r="B1022" s="8" t="str">
        <f t="shared" si="75"/>
        <v/>
      </c>
      <c r="C1022" s="8" t="str">
        <f t="shared" si="76"/>
        <v/>
      </c>
      <c r="D1022" s="8" t="str">
        <f t="shared" si="77"/>
        <v/>
      </c>
      <c r="F1022" s="4" t="str">
        <f>IF(Jugadores!B1022="","",Jugadores!B1022)</f>
        <v/>
      </c>
      <c r="G1022" s="4" t="str">
        <f>IF(Jugadores!B1022="","",Jugadores!A1022)</f>
        <v/>
      </c>
      <c r="H1022" s="4" t="str">
        <f>IF(F1022="","",SUMIF('Estadísticas Jugadores'!$F$2:$F$7001,F1022,'Estadísticas Jugadores'!$J$2:$J$7001))</f>
        <v/>
      </c>
      <c r="I1022" s="4" t="str">
        <f t="shared" si="78"/>
        <v/>
      </c>
      <c r="J1022" s="4" t="str">
        <f t="shared" si="79"/>
        <v/>
      </c>
    </row>
    <row r="1023" spans="1:10" ht="15" customHeight="1" x14ac:dyDescent="0.25">
      <c r="A1023" s="8" t="str">
        <f>IF(COUNT($J$2:$J$1501)&gt;=1022,1022,"")</f>
        <v/>
      </c>
      <c r="B1023" s="8" t="str">
        <f t="shared" si="75"/>
        <v/>
      </c>
      <c r="C1023" s="8" t="str">
        <f t="shared" si="76"/>
        <v/>
      </c>
      <c r="D1023" s="8" t="str">
        <f t="shared" si="77"/>
        <v/>
      </c>
      <c r="F1023" s="4" t="str">
        <f>IF(Jugadores!B1023="","",Jugadores!B1023)</f>
        <v/>
      </c>
      <c r="G1023" s="4" t="str">
        <f>IF(Jugadores!B1023="","",Jugadores!A1023)</f>
        <v/>
      </c>
      <c r="H1023" s="4" t="str">
        <f>IF(F1023="","",SUMIF('Estadísticas Jugadores'!$F$2:$F$7001,F1023,'Estadísticas Jugadores'!$J$2:$J$7001))</f>
        <v/>
      </c>
      <c r="I1023" s="4" t="str">
        <f t="shared" si="78"/>
        <v/>
      </c>
      <c r="J1023" s="4" t="str">
        <f t="shared" si="79"/>
        <v/>
      </c>
    </row>
    <row r="1024" spans="1:10" ht="15" customHeight="1" x14ac:dyDescent="0.25">
      <c r="A1024" s="8" t="str">
        <f>IF(COUNT($J$2:$J$1501)&gt;=1023,1023,"")</f>
        <v/>
      </c>
      <c r="B1024" s="8" t="str">
        <f t="shared" si="75"/>
        <v/>
      </c>
      <c r="C1024" s="8" t="str">
        <f t="shared" si="76"/>
        <v/>
      </c>
      <c r="D1024" s="8" t="str">
        <f t="shared" si="77"/>
        <v/>
      </c>
      <c r="F1024" s="4" t="str">
        <f>IF(Jugadores!B1024="","",Jugadores!B1024)</f>
        <v/>
      </c>
      <c r="G1024" s="4" t="str">
        <f>IF(Jugadores!B1024="","",Jugadores!A1024)</f>
        <v/>
      </c>
      <c r="H1024" s="4" t="str">
        <f>IF(F1024="","",SUMIF('Estadísticas Jugadores'!$F$2:$F$7001,F1024,'Estadísticas Jugadores'!$J$2:$J$7001))</f>
        <v/>
      </c>
      <c r="I1024" s="4" t="str">
        <f t="shared" si="78"/>
        <v/>
      </c>
      <c r="J1024" s="4" t="str">
        <f t="shared" si="79"/>
        <v/>
      </c>
    </row>
    <row r="1025" spans="1:10" ht="15" customHeight="1" x14ac:dyDescent="0.25">
      <c r="A1025" s="8" t="str">
        <f>IF(COUNT($J$2:$J$1501)&gt;=1024,1024,"")</f>
        <v/>
      </c>
      <c r="B1025" s="8" t="str">
        <f t="shared" si="75"/>
        <v/>
      </c>
      <c r="C1025" s="8" t="str">
        <f t="shared" si="76"/>
        <v/>
      </c>
      <c r="D1025" s="8" t="str">
        <f t="shared" si="77"/>
        <v/>
      </c>
      <c r="F1025" s="4" t="str">
        <f>IF(Jugadores!B1025="","",Jugadores!B1025)</f>
        <v/>
      </c>
      <c r="G1025" s="4" t="str">
        <f>IF(Jugadores!B1025="","",Jugadores!A1025)</f>
        <v/>
      </c>
      <c r="H1025" s="4" t="str">
        <f>IF(F1025="","",SUMIF('Estadísticas Jugadores'!$F$2:$F$7001,F1025,'Estadísticas Jugadores'!$J$2:$J$7001))</f>
        <v/>
      </c>
      <c r="I1025" s="4" t="str">
        <f t="shared" si="78"/>
        <v/>
      </c>
      <c r="J1025" s="4" t="str">
        <f t="shared" si="79"/>
        <v/>
      </c>
    </row>
    <row r="1026" spans="1:10" ht="15" customHeight="1" x14ac:dyDescent="0.25">
      <c r="A1026" s="8" t="str">
        <f>IF(COUNT($J$2:$J$1501)&gt;=1025,1025,"")</f>
        <v/>
      </c>
      <c r="B1026" s="8" t="str">
        <f t="shared" ref="B1026:B1089" si="80">IF($A1026="","",INDEX($F$2:$F$1501,MATCH($A1026,$J$2:$J$1501,0)))</f>
        <v/>
      </c>
      <c r="C1026" s="8" t="str">
        <f t="shared" ref="C1026:C1089" si="81">IF($A1026="","",INDEX($G$2:$G$1501,MATCH($A1026,$J$2:$J$1501,0)))</f>
        <v/>
      </c>
      <c r="D1026" s="8" t="str">
        <f t="shared" ref="D1026:D1089" si="82">IF($A1026="","",INDEX($H$2:$H$1501,MATCH($A1026,$J$2:$J$1501,0)))</f>
        <v/>
      </c>
      <c r="F1026" s="4" t="str">
        <f>IF(Jugadores!B1026="","",Jugadores!B1026)</f>
        <v/>
      </c>
      <c r="G1026" s="4" t="str">
        <f>IF(Jugadores!B1026="","",Jugadores!A1026)</f>
        <v/>
      </c>
      <c r="H1026" s="4" t="str">
        <f>IF(F1026="","",SUMIF('Estadísticas Jugadores'!$F$2:$F$7001,F1026,'Estadísticas Jugadores'!$J$2:$J$7001))</f>
        <v/>
      </c>
      <c r="I1026" s="4" t="str">
        <f t="shared" ref="I1026:I1089" si="83">IF(F1026="","",H1026*1000-ROW()*0.0000001)</f>
        <v/>
      </c>
      <c r="J1026" s="4" t="str">
        <f t="shared" ref="J1026:J1089" si="84">IF(F1026="","",RANK(I1026,$I$2:$I$1501))</f>
        <v/>
      </c>
    </row>
    <row r="1027" spans="1:10" ht="15" customHeight="1" x14ac:dyDescent="0.25">
      <c r="A1027" s="8" t="str">
        <f>IF(COUNT($J$2:$J$1501)&gt;=1026,1026,"")</f>
        <v/>
      </c>
      <c r="B1027" s="8" t="str">
        <f t="shared" si="80"/>
        <v/>
      </c>
      <c r="C1027" s="8" t="str">
        <f t="shared" si="81"/>
        <v/>
      </c>
      <c r="D1027" s="8" t="str">
        <f t="shared" si="82"/>
        <v/>
      </c>
      <c r="F1027" s="4" t="str">
        <f>IF(Jugadores!B1027="","",Jugadores!B1027)</f>
        <v/>
      </c>
      <c r="G1027" s="4" t="str">
        <f>IF(Jugadores!B1027="","",Jugadores!A1027)</f>
        <v/>
      </c>
      <c r="H1027" s="4" t="str">
        <f>IF(F1027="","",SUMIF('Estadísticas Jugadores'!$F$2:$F$7001,F1027,'Estadísticas Jugadores'!$J$2:$J$7001))</f>
        <v/>
      </c>
      <c r="I1027" s="4" t="str">
        <f t="shared" si="83"/>
        <v/>
      </c>
      <c r="J1027" s="4" t="str">
        <f t="shared" si="84"/>
        <v/>
      </c>
    </row>
    <row r="1028" spans="1:10" ht="15" customHeight="1" x14ac:dyDescent="0.25">
      <c r="A1028" s="8" t="str">
        <f>IF(COUNT($J$2:$J$1501)&gt;=1027,1027,"")</f>
        <v/>
      </c>
      <c r="B1028" s="8" t="str">
        <f t="shared" si="80"/>
        <v/>
      </c>
      <c r="C1028" s="8" t="str">
        <f t="shared" si="81"/>
        <v/>
      </c>
      <c r="D1028" s="8" t="str">
        <f t="shared" si="82"/>
        <v/>
      </c>
      <c r="F1028" s="4" t="str">
        <f>IF(Jugadores!B1028="","",Jugadores!B1028)</f>
        <v/>
      </c>
      <c r="G1028" s="4" t="str">
        <f>IF(Jugadores!B1028="","",Jugadores!A1028)</f>
        <v/>
      </c>
      <c r="H1028" s="4" t="str">
        <f>IF(F1028="","",SUMIF('Estadísticas Jugadores'!$F$2:$F$7001,F1028,'Estadísticas Jugadores'!$J$2:$J$7001))</f>
        <v/>
      </c>
      <c r="I1028" s="4" t="str">
        <f t="shared" si="83"/>
        <v/>
      </c>
      <c r="J1028" s="4" t="str">
        <f t="shared" si="84"/>
        <v/>
      </c>
    </row>
    <row r="1029" spans="1:10" ht="15" customHeight="1" x14ac:dyDescent="0.25">
      <c r="A1029" s="8" t="str">
        <f>IF(COUNT($J$2:$J$1501)&gt;=1028,1028,"")</f>
        <v/>
      </c>
      <c r="B1029" s="8" t="str">
        <f t="shared" si="80"/>
        <v/>
      </c>
      <c r="C1029" s="8" t="str">
        <f t="shared" si="81"/>
        <v/>
      </c>
      <c r="D1029" s="8" t="str">
        <f t="shared" si="82"/>
        <v/>
      </c>
      <c r="F1029" s="4" t="str">
        <f>IF(Jugadores!B1029="","",Jugadores!B1029)</f>
        <v/>
      </c>
      <c r="G1029" s="4" t="str">
        <f>IF(Jugadores!B1029="","",Jugadores!A1029)</f>
        <v/>
      </c>
      <c r="H1029" s="4" t="str">
        <f>IF(F1029="","",SUMIF('Estadísticas Jugadores'!$F$2:$F$7001,F1029,'Estadísticas Jugadores'!$J$2:$J$7001))</f>
        <v/>
      </c>
      <c r="I1029" s="4" t="str">
        <f t="shared" si="83"/>
        <v/>
      </c>
      <c r="J1029" s="4" t="str">
        <f t="shared" si="84"/>
        <v/>
      </c>
    </row>
    <row r="1030" spans="1:10" ht="15" customHeight="1" x14ac:dyDescent="0.25">
      <c r="A1030" s="8" t="str">
        <f>IF(COUNT($J$2:$J$1501)&gt;=1029,1029,"")</f>
        <v/>
      </c>
      <c r="B1030" s="8" t="str">
        <f t="shared" si="80"/>
        <v/>
      </c>
      <c r="C1030" s="8" t="str">
        <f t="shared" si="81"/>
        <v/>
      </c>
      <c r="D1030" s="8" t="str">
        <f t="shared" si="82"/>
        <v/>
      </c>
      <c r="F1030" s="4" t="str">
        <f>IF(Jugadores!B1030="","",Jugadores!B1030)</f>
        <v/>
      </c>
      <c r="G1030" s="4" t="str">
        <f>IF(Jugadores!B1030="","",Jugadores!A1030)</f>
        <v/>
      </c>
      <c r="H1030" s="4" t="str">
        <f>IF(F1030="","",SUMIF('Estadísticas Jugadores'!$F$2:$F$7001,F1030,'Estadísticas Jugadores'!$J$2:$J$7001))</f>
        <v/>
      </c>
      <c r="I1030" s="4" t="str">
        <f t="shared" si="83"/>
        <v/>
      </c>
      <c r="J1030" s="4" t="str">
        <f t="shared" si="84"/>
        <v/>
      </c>
    </row>
    <row r="1031" spans="1:10" ht="15" customHeight="1" x14ac:dyDescent="0.25">
      <c r="A1031" s="8" t="str">
        <f>IF(COUNT($J$2:$J$1501)&gt;=1030,1030,"")</f>
        <v/>
      </c>
      <c r="B1031" s="8" t="str">
        <f t="shared" si="80"/>
        <v/>
      </c>
      <c r="C1031" s="8" t="str">
        <f t="shared" si="81"/>
        <v/>
      </c>
      <c r="D1031" s="8" t="str">
        <f t="shared" si="82"/>
        <v/>
      </c>
      <c r="F1031" s="4" t="str">
        <f>IF(Jugadores!B1031="","",Jugadores!B1031)</f>
        <v/>
      </c>
      <c r="G1031" s="4" t="str">
        <f>IF(Jugadores!B1031="","",Jugadores!A1031)</f>
        <v/>
      </c>
      <c r="H1031" s="4" t="str">
        <f>IF(F1031="","",SUMIF('Estadísticas Jugadores'!$F$2:$F$7001,F1031,'Estadísticas Jugadores'!$J$2:$J$7001))</f>
        <v/>
      </c>
      <c r="I1031" s="4" t="str">
        <f t="shared" si="83"/>
        <v/>
      </c>
      <c r="J1031" s="4" t="str">
        <f t="shared" si="84"/>
        <v/>
      </c>
    </row>
    <row r="1032" spans="1:10" ht="15" customHeight="1" x14ac:dyDescent="0.25">
      <c r="A1032" s="8" t="str">
        <f>IF(COUNT($J$2:$J$1501)&gt;=1031,1031,"")</f>
        <v/>
      </c>
      <c r="B1032" s="8" t="str">
        <f t="shared" si="80"/>
        <v/>
      </c>
      <c r="C1032" s="8" t="str">
        <f t="shared" si="81"/>
        <v/>
      </c>
      <c r="D1032" s="8" t="str">
        <f t="shared" si="82"/>
        <v/>
      </c>
      <c r="F1032" s="4" t="str">
        <f>IF(Jugadores!B1032="","",Jugadores!B1032)</f>
        <v/>
      </c>
      <c r="G1032" s="4" t="str">
        <f>IF(Jugadores!B1032="","",Jugadores!A1032)</f>
        <v/>
      </c>
      <c r="H1032" s="4" t="str">
        <f>IF(F1032="","",SUMIF('Estadísticas Jugadores'!$F$2:$F$7001,F1032,'Estadísticas Jugadores'!$J$2:$J$7001))</f>
        <v/>
      </c>
      <c r="I1032" s="4" t="str">
        <f t="shared" si="83"/>
        <v/>
      </c>
      <c r="J1032" s="4" t="str">
        <f t="shared" si="84"/>
        <v/>
      </c>
    </row>
    <row r="1033" spans="1:10" ht="15" customHeight="1" x14ac:dyDescent="0.25">
      <c r="A1033" s="8" t="str">
        <f>IF(COUNT($J$2:$J$1501)&gt;=1032,1032,"")</f>
        <v/>
      </c>
      <c r="B1033" s="8" t="str">
        <f t="shared" si="80"/>
        <v/>
      </c>
      <c r="C1033" s="8" t="str">
        <f t="shared" si="81"/>
        <v/>
      </c>
      <c r="D1033" s="8" t="str">
        <f t="shared" si="82"/>
        <v/>
      </c>
      <c r="F1033" s="4" t="str">
        <f>IF(Jugadores!B1033="","",Jugadores!B1033)</f>
        <v/>
      </c>
      <c r="G1033" s="4" t="str">
        <f>IF(Jugadores!B1033="","",Jugadores!A1033)</f>
        <v/>
      </c>
      <c r="H1033" s="4" t="str">
        <f>IF(F1033="","",SUMIF('Estadísticas Jugadores'!$F$2:$F$7001,F1033,'Estadísticas Jugadores'!$J$2:$J$7001))</f>
        <v/>
      </c>
      <c r="I1033" s="4" t="str">
        <f t="shared" si="83"/>
        <v/>
      </c>
      <c r="J1033" s="4" t="str">
        <f t="shared" si="84"/>
        <v/>
      </c>
    </row>
    <row r="1034" spans="1:10" ht="15" customHeight="1" x14ac:dyDescent="0.25">
      <c r="A1034" s="8" t="str">
        <f>IF(COUNT($J$2:$J$1501)&gt;=1033,1033,"")</f>
        <v/>
      </c>
      <c r="B1034" s="8" t="str">
        <f t="shared" si="80"/>
        <v/>
      </c>
      <c r="C1034" s="8" t="str">
        <f t="shared" si="81"/>
        <v/>
      </c>
      <c r="D1034" s="8" t="str">
        <f t="shared" si="82"/>
        <v/>
      </c>
      <c r="F1034" s="4" t="str">
        <f>IF(Jugadores!B1034="","",Jugadores!B1034)</f>
        <v/>
      </c>
      <c r="G1034" s="4" t="str">
        <f>IF(Jugadores!B1034="","",Jugadores!A1034)</f>
        <v/>
      </c>
      <c r="H1034" s="4" t="str">
        <f>IF(F1034="","",SUMIF('Estadísticas Jugadores'!$F$2:$F$7001,F1034,'Estadísticas Jugadores'!$J$2:$J$7001))</f>
        <v/>
      </c>
      <c r="I1034" s="4" t="str">
        <f t="shared" si="83"/>
        <v/>
      </c>
      <c r="J1034" s="4" t="str">
        <f t="shared" si="84"/>
        <v/>
      </c>
    </row>
    <row r="1035" spans="1:10" ht="15" customHeight="1" x14ac:dyDescent="0.25">
      <c r="A1035" s="8" t="str">
        <f>IF(COUNT($J$2:$J$1501)&gt;=1034,1034,"")</f>
        <v/>
      </c>
      <c r="B1035" s="8" t="str">
        <f t="shared" si="80"/>
        <v/>
      </c>
      <c r="C1035" s="8" t="str">
        <f t="shared" si="81"/>
        <v/>
      </c>
      <c r="D1035" s="8" t="str">
        <f t="shared" si="82"/>
        <v/>
      </c>
      <c r="F1035" s="4" t="str">
        <f>IF(Jugadores!B1035="","",Jugadores!B1035)</f>
        <v/>
      </c>
      <c r="G1035" s="4" t="str">
        <f>IF(Jugadores!B1035="","",Jugadores!A1035)</f>
        <v/>
      </c>
      <c r="H1035" s="4" t="str">
        <f>IF(F1035="","",SUMIF('Estadísticas Jugadores'!$F$2:$F$7001,F1035,'Estadísticas Jugadores'!$J$2:$J$7001))</f>
        <v/>
      </c>
      <c r="I1035" s="4" t="str">
        <f t="shared" si="83"/>
        <v/>
      </c>
      <c r="J1035" s="4" t="str">
        <f t="shared" si="84"/>
        <v/>
      </c>
    </row>
    <row r="1036" spans="1:10" ht="15" customHeight="1" x14ac:dyDescent="0.25">
      <c r="A1036" s="8" t="str">
        <f>IF(COUNT($J$2:$J$1501)&gt;=1035,1035,"")</f>
        <v/>
      </c>
      <c r="B1036" s="8" t="str">
        <f t="shared" si="80"/>
        <v/>
      </c>
      <c r="C1036" s="8" t="str">
        <f t="shared" si="81"/>
        <v/>
      </c>
      <c r="D1036" s="8" t="str">
        <f t="shared" si="82"/>
        <v/>
      </c>
      <c r="F1036" s="4" t="str">
        <f>IF(Jugadores!B1036="","",Jugadores!B1036)</f>
        <v/>
      </c>
      <c r="G1036" s="4" t="str">
        <f>IF(Jugadores!B1036="","",Jugadores!A1036)</f>
        <v/>
      </c>
      <c r="H1036" s="4" t="str">
        <f>IF(F1036="","",SUMIF('Estadísticas Jugadores'!$F$2:$F$7001,F1036,'Estadísticas Jugadores'!$J$2:$J$7001))</f>
        <v/>
      </c>
      <c r="I1036" s="4" t="str">
        <f t="shared" si="83"/>
        <v/>
      </c>
      <c r="J1036" s="4" t="str">
        <f t="shared" si="84"/>
        <v/>
      </c>
    </row>
    <row r="1037" spans="1:10" ht="15" customHeight="1" x14ac:dyDescent="0.25">
      <c r="A1037" s="8" t="str">
        <f>IF(COUNT($J$2:$J$1501)&gt;=1036,1036,"")</f>
        <v/>
      </c>
      <c r="B1037" s="8" t="str">
        <f t="shared" si="80"/>
        <v/>
      </c>
      <c r="C1037" s="8" t="str">
        <f t="shared" si="81"/>
        <v/>
      </c>
      <c r="D1037" s="8" t="str">
        <f t="shared" si="82"/>
        <v/>
      </c>
      <c r="F1037" s="4" t="str">
        <f>IF(Jugadores!B1037="","",Jugadores!B1037)</f>
        <v/>
      </c>
      <c r="G1037" s="4" t="str">
        <f>IF(Jugadores!B1037="","",Jugadores!A1037)</f>
        <v/>
      </c>
      <c r="H1037" s="4" t="str">
        <f>IF(F1037="","",SUMIF('Estadísticas Jugadores'!$F$2:$F$7001,F1037,'Estadísticas Jugadores'!$J$2:$J$7001))</f>
        <v/>
      </c>
      <c r="I1037" s="4" t="str">
        <f t="shared" si="83"/>
        <v/>
      </c>
      <c r="J1037" s="4" t="str">
        <f t="shared" si="84"/>
        <v/>
      </c>
    </row>
    <row r="1038" spans="1:10" ht="15" customHeight="1" x14ac:dyDescent="0.25">
      <c r="A1038" s="8" t="str">
        <f>IF(COUNT($J$2:$J$1501)&gt;=1037,1037,"")</f>
        <v/>
      </c>
      <c r="B1038" s="8" t="str">
        <f t="shared" si="80"/>
        <v/>
      </c>
      <c r="C1038" s="8" t="str">
        <f t="shared" si="81"/>
        <v/>
      </c>
      <c r="D1038" s="8" t="str">
        <f t="shared" si="82"/>
        <v/>
      </c>
      <c r="F1038" s="4" t="str">
        <f>IF(Jugadores!B1038="","",Jugadores!B1038)</f>
        <v/>
      </c>
      <c r="G1038" s="4" t="str">
        <f>IF(Jugadores!B1038="","",Jugadores!A1038)</f>
        <v/>
      </c>
      <c r="H1038" s="4" t="str">
        <f>IF(F1038="","",SUMIF('Estadísticas Jugadores'!$F$2:$F$7001,F1038,'Estadísticas Jugadores'!$J$2:$J$7001))</f>
        <v/>
      </c>
      <c r="I1038" s="4" t="str">
        <f t="shared" si="83"/>
        <v/>
      </c>
      <c r="J1038" s="4" t="str">
        <f t="shared" si="84"/>
        <v/>
      </c>
    </row>
    <row r="1039" spans="1:10" ht="15" customHeight="1" x14ac:dyDescent="0.25">
      <c r="A1039" s="8" t="str">
        <f>IF(COUNT($J$2:$J$1501)&gt;=1038,1038,"")</f>
        <v/>
      </c>
      <c r="B1039" s="8" t="str">
        <f t="shared" si="80"/>
        <v/>
      </c>
      <c r="C1039" s="8" t="str">
        <f t="shared" si="81"/>
        <v/>
      </c>
      <c r="D1039" s="8" t="str">
        <f t="shared" si="82"/>
        <v/>
      </c>
      <c r="F1039" s="4" t="str">
        <f>IF(Jugadores!B1039="","",Jugadores!B1039)</f>
        <v/>
      </c>
      <c r="G1039" s="4" t="str">
        <f>IF(Jugadores!B1039="","",Jugadores!A1039)</f>
        <v/>
      </c>
      <c r="H1039" s="4" t="str">
        <f>IF(F1039="","",SUMIF('Estadísticas Jugadores'!$F$2:$F$7001,F1039,'Estadísticas Jugadores'!$J$2:$J$7001))</f>
        <v/>
      </c>
      <c r="I1039" s="4" t="str">
        <f t="shared" si="83"/>
        <v/>
      </c>
      <c r="J1039" s="4" t="str">
        <f t="shared" si="84"/>
        <v/>
      </c>
    </row>
    <row r="1040" spans="1:10" ht="15" customHeight="1" x14ac:dyDescent="0.25">
      <c r="A1040" s="8" t="str">
        <f>IF(COUNT($J$2:$J$1501)&gt;=1039,1039,"")</f>
        <v/>
      </c>
      <c r="B1040" s="8" t="str">
        <f t="shared" si="80"/>
        <v/>
      </c>
      <c r="C1040" s="8" t="str">
        <f t="shared" si="81"/>
        <v/>
      </c>
      <c r="D1040" s="8" t="str">
        <f t="shared" si="82"/>
        <v/>
      </c>
      <c r="F1040" s="4" t="str">
        <f>IF(Jugadores!B1040="","",Jugadores!B1040)</f>
        <v/>
      </c>
      <c r="G1040" s="4" t="str">
        <f>IF(Jugadores!B1040="","",Jugadores!A1040)</f>
        <v/>
      </c>
      <c r="H1040" s="4" t="str">
        <f>IF(F1040="","",SUMIF('Estadísticas Jugadores'!$F$2:$F$7001,F1040,'Estadísticas Jugadores'!$J$2:$J$7001))</f>
        <v/>
      </c>
      <c r="I1040" s="4" t="str">
        <f t="shared" si="83"/>
        <v/>
      </c>
      <c r="J1040" s="4" t="str">
        <f t="shared" si="84"/>
        <v/>
      </c>
    </row>
    <row r="1041" spans="1:10" ht="15" customHeight="1" x14ac:dyDescent="0.25">
      <c r="A1041" s="8" t="str">
        <f>IF(COUNT($J$2:$J$1501)&gt;=1040,1040,"")</f>
        <v/>
      </c>
      <c r="B1041" s="8" t="str">
        <f t="shared" si="80"/>
        <v/>
      </c>
      <c r="C1041" s="8" t="str">
        <f t="shared" si="81"/>
        <v/>
      </c>
      <c r="D1041" s="8" t="str">
        <f t="shared" si="82"/>
        <v/>
      </c>
      <c r="F1041" s="4" t="str">
        <f>IF(Jugadores!B1041="","",Jugadores!B1041)</f>
        <v/>
      </c>
      <c r="G1041" s="4" t="str">
        <f>IF(Jugadores!B1041="","",Jugadores!A1041)</f>
        <v/>
      </c>
      <c r="H1041" s="4" t="str">
        <f>IF(F1041="","",SUMIF('Estadísticas Jugadores'!$F$2:$F$7001,F1041,'Estadísticas Jugadores'!$J$2:$J$7001))</f>
        <v/>
      </c>
      <c r="I1041" s="4" t="str">
        <f t="shared" si="83"/>
        <v/>
      </c>
      <c r="J1041" s="4" t="str">
        <f t="shared" si="84"/>
        <v/>
      </c>
    </row>
    <row r="1042" spans="1:10" ht="15" customHeight="1" x14ac:dyDescent="0.25">
      <c r="A1042" s="8" t="str">
        <f>IF(COUNT($J$2:$J$1501)&gt;=1041,1041,"")</f>
        <v/>
      </c>
      <c r="B1042" s="8" t="str">
        <f t="shared" si="80"/>
        <v/>
      </c>
      <c r="C1042" s="8" t="str">
        <f t="shared" si="81"/>
        <v/>
      </c>
      <c r="D1042" s="8" t="str">
        <f t="shared" si="82"/>
        <v/>
      </c>
      <c r="F1042" s="4" t="str">
        <f>IF(Jugadores!B1042="","",Jugadores!B1042)</f>
        <v/>
      </c>
      <c r="G1042" s="4" t="str">
        <f>IF(Jugadores!B1042="","",Jugadores!A1042)</f>
        <v/>
      </c>
      <c r="H1042" s="4" t="str">
        <f>IF(F1042="","",SUMIF('Estadísticas Jugadores'!$F$2:$F$7001,F1042,'Estadísticas Jugadores'!$J$2:$J$7001))</f>
        <v/>
      </c>
      <c r="I1042" s="4" t="str">
        <f t="shared" si="83"/>
        <v/>
      </c>
      <c r="J1042" s="4" t="str">
        <f t="shared" si="84"/>
        <v/>
      </c>
    </row>
    <row r="1043" spans="1:10" ht="15" customHeight="1" x14ac:dyDescent="0.25">
      <c r="A1043" s="8" t="str">
        <f>IF(COUNT($J$2:$J$1501)&gt;=1042,1042,"")</f>
        <v/>
      </c>
      <c r="B1043" s="8" t="str">
        <f t="shared" si="80"/>
        <v/>
      </c>
      <c r="C1043" s="8" t="str">
        <f t="shared" si="81"/>
        <v/>
      </c>
      <c r="D1043" s="8" t="str">
        <f t="shared" si="82"/>
        <v/>
      </c>
      <c r="F1043" s="4" t="str">
        <f>IF(Jugadores!B1043="","",Jugadores!B1043)</f>
        <v/>
      </c>
      <c r="G1043" s="4" t="str">
        <f>IF(Jugadores!B1043="","",Jugadores!A1043)</f>
        <v/>
      </c>
      <c r="H1043" s="4" t="str">
        <f>IF(F1043="","",SUMIF('Estadísticas Jugadores'!$F$2:$F$7001,F1043,'Estadísticas Jugadores'!$J$2:$J$7001))</f>
        <v/>
      </c>
      <c r="I1043" s="4" t="str">
        <f t="shared" si="83"/>
        <v/>
      </c>
      <c r="J1043" s="4" t="str">
        <f t="shared" si="84"/>
        <v/>
      </c>
    </row>
    <row r="1044" spans="1:10" ht="15" customHeight="1" x14ac:dyDescent="0.25">
      <c r="A1044" s="8" t="str">
        <f>IF(COUNT($J$2:$J$1501)&gt;=1043,1043,"")</f>
        <v/>
      </c>
      <c r="B1044" s="8" t="str">
        <f t="shared" si="80"/>
        <v/>
      </c>
      <c r="C1044" s="8" t="str">
        <f t="shared" si="81"/>
        <v/>
      </c>
      <c r="D1044" s="8" t="str">
        <f t="shared" si="82"/>
        <v/>
      </c>
      <c r="F1044" s="4" t="str">
        <f>IF(Jugadores!B1044="","",Jugadores!B1044)</f>
        <v/>
      </c>
      <c r="G1044" s="4" t="str">
        <f>IF(Jugadores!B1044="","",Jugadores!A1044)</f>
        <v/>
      </c>
      <c r="H1044" s="4" t="str">
        <f>IF(F1044="","",SUMIF('Estadísticas Jugadores'!$F$2:$F$7001,F1044,'Estadísticas Jugadores'!$J$2:$J$7001))</f>
        <v/>
      </c>
      <c r="I1044" s="4" t="str">
        <f t="shared" si="83"/>
        <v/>
      </c>
      <c r="J1044" s="4" t="str">
        <f t="shared" si="84"/>
        <v/>
      </c>
    </row>
    <row r="1045" spans="1:10" ht="15" customHeight="1" x14ac:dyDescent="0.25">
      <c r="A1045" s="8" t="str">
        <f>IF(COUNT($J$2:$J$1501)&gt;=1044,1044,"")</f>
        <v/>
      </c>
      <c r="B1045" s="8" t="str">
        <f t="shared" si="80"/>
        <v/>
      </c>
      <c r="C1045" s="8" t="str">
        <f t="shared" si="81"/>
        <v/>
      </c>
      <c r="D1045" s="8" t="str">
        <f t="shared" si="82"/>
        <v/>
      </c>
      <c r="F1045" s="4" t="str">
        <f>IF(Jugadores!B1045="","",Jugadores!B1045)</f>
        <v/>
      </c>
      <c r="G1045" s="4" t="str">
        <f>IF(Jugadores!B1045="","",Jugadores!A1045)</f>
        <v/>
      </c>
      <c r="H1045" s="4" t="str">
        <f>IF(F1045="","",SUMIF('Estadísticas Jugadores'!$F$2:$F$7001,F1045,'Estadísticas Jugadores'!$J$2:$J$7001))</f>
        <v/>
      </c>
      <c r="I1045" s="4" t="str">
        <f t="shared" si="83"/>
        <v/>
      </c>
      <c r="J1045" s="4" t="str">
        <f t="shared" si="84"/>
        <v/>
      </c>
    </row>
    <row r="1046" spans="1:10" ht="15" customHeight="1" x14ac:dyDescent="0.25">
      <c r="A1046" s="8" t="str">
        <f>IF(COUNT($J$2:$J$1501)&gt;=1045,1045,"")</f>
        <v/>
      </c>
      <c r="B1046" s="8" t="str">
        <f t="shared" si="80"/>
        <v/>
      </c>
      <c r="C1046" s="8" t="str">
        <f t="shared" si="81"/>
        <v/>
      </c>
      <c r="D1046" s="8" t="str">
        <f t="shared" si="82"/>
        <v/>
      </c>
      <c r="F1046" s="4" t="str">
        <f>IF(Jugadores!B1046="","",Jugadores!B1046)</f>
        <v/>
      </c>
      <c r="G1046" s="4" t="str">
        <f>IF(Jugadores!B1046="","",Jugadores!A1046)</f>
        <v/>
      </c>
      <c r="H1046" s="4" t="str">
        <f>IF(F1046="","",SUMIF('Estadísticas Jugadores'!$F$2:$F$7001,F1046,'Estadísticas Jugadores'!$J$2:$J$7001))</f>
        <v/>
      </c>
      <c r="I1046" s="4" t="str">
        <f t="shared" si="83"/>
        <v/>
      </c>
      <c r="J1046" s="4" t="str">
        <f t="shared" si="84"/>
        <v/>
      </c>
    </row>
    <row r="1047" spans="1:10" ht="15" customHeight="1" x14ac:dyDescent="0.25">
      <c r="A1047" s="8" t="str">
        <f>IF(COUNT($J$2:$J$1501)&gt;=1046,1046,"")</f>
        <v/>
      </c>
      <c r="B1047" s="8" t="str">
        <f t="shared" si="80"/>
        <v/>
      </c>
      <c r="C1047" s="8" t="str">
        <f t="shared" si="81"/>
        <v/>
      </c>
      <c r="D1047" s="8" t="str">
        <f t="shared" si="82"/>
        <v/>
      </c>
      <c r="F1047" s="4" t="str">
        <f>IF(Jugadores!B1047="","",Jugadores!B1047)</f>
        <v/>
      </c>
      <c r="G1047" s="4" t="str">
        <f>IF(Jugadores!B1047="","",Jugadores!A1047)</f>
        <v/>
      </c>
      <c r="H1047" s="4" t="str">
        <f>IF(F1047="","",SUMIF('Estadísticas Jugadores'!$F$2:$F$7001,F1047,'Estadísticas Jugadores'!$J$2:$J$7001))</f>
        <v/>
      </c>
      <c r="I1047" s="4" t="str">
        <f t="shared" si="83"/>
        <v/>
      </c>
      <c r="J1047" s="4" t="str">
        <f t="shared" si="84"/>
        <v/>
      </c>
    </row>
    <row r="1048" spans="1:10" ht="15" customHeight="1" x14ac:dyDescent="0.25">
      <c r="A1048" s="8" t="str">
        <f>IF(COUNT($J$2:$J$1501)&gt;=1047,1047,"")</f>
        <v/>
      </c>
      <c r="B1048" s="8" t="str">
        <f t="shared" si="80"/>
        <v/>
      </c>
      <c r="C1048" s="8" t="str">
        <f t="shared" si="81"/>
        <v/>
      </c>
      <c r="D1048" s="8" t="str">
        <f t="shared" si="82"/>
        <v/>
      </c>
      <c r="F1048" s="4" t="str">
        <f>IF(Jugadores!B1048="","",Jugadores!B1048)</f>
        <v/>
      </c>
      <c r="G1048" s="4" t="str">
        <f>IF(Jugadores!B1048="","",Jugadores!A1048)</f>
        <v/>
      </c>
      <c r="H1048" s="4" t="str">
        <f>IF(F1048="","",SUMIF('Estadísticas Jugadores'!$F$2:$F$7001,F1048,'Estadísticas Jugadores'!$J$2:$J$7001))</f>
        <v/>
      </c>
      <c r="I1048" s="4" t="str">
        <f t="shared" si="83"/>
        <v/>
      </c>
      <c r="J1048" s="4" t="str">
        <f t="shared" si="84"/>
        <v/>
      </c>
    </row>
    <row r="1049" spans="1:10" ht="15" customHeight="1" x14ac:dyDescent="0.25">
      <c r="A1049" s="8" t="str">
        <f>IF(COUNT($J$2:$J$1501)&gt;=1048,1048,"")</f>
        <v/>
      </c>
      <c r="B1049" s="8" t="str">
        <f t="shared" si="80"/>
        <v/>
      </c>
      <c r="C1049" s="8" t="str">
        <f t="shared" si="81"/>
        <v/>
      </c>
      <c r="D1049" s="8" t="str">
        <f t="shared" si="82"/>
        <v/>
      </c>
      <c r="F1049" s="4" t="str">
        <f>IF(Jugadores!B1049="","",Jugadores!B1049)</f>
        <v/>
      </c>
      <c r="G1049" s="4" t="str">
        <f>IF(Jugadores!B1049="","",Jugadores!A1049)</f>
        <v/>
      </c>
      <c r="H1049" s="4" t="str">
        <f>IF(F1049="","",SUMIF('Estadísticas Jugadores'!$F$2:$F$7001,F1049,'Estadísticas Jugadores'!$J$2:$J$7001))</f>
        <v/>
      </c>
      <c r="I1049" s="4" t="str">
        <f t="shared" si="83"/>
        <v/>
      </c>
      <c r="J1049" s="4" t="str">
        <f t="shared" si="84"/>
        <v/>
      </c>
    </row>
    <row r="1050" spans="1:10" ht="15" customHeight="1" x14ac:dyDescent="0.25">
      <c r="A1050" s="8" t="str">
        <f>IF(COUNT($J$2:$J$1501)&gt;=1049,1049,"")</f>
        <v/>
      </c>
      <c r="B1050" s="8" t="str">
        <f t="shared" si="80"/>
        <v/>
      </c>
      <c r="C1050" s="8" t="str">
        <f t="shared" si="81"/>
        <v/>
      </c>
      <c r="D1050" s="8" t="str">
        <f t="shared" si="82"/>
        <v/>
      </c>
      <c r="F1050" s="4" t="str">
        <f>IF(Jugadores!B1050="","",Jugadores!B1050)</f>
        <v/>
      </c>
      <c r="G1050" s="4" t="str">
        <f>IF(Jugadores!B1050="","",Jugadores!A1050)</f>
        <v/>
      </c>
      <c r="H1050" s="4" t="str">
        <f>IF(F1050="","",SUMIF('Estadísticas Jugadores'!$F$2:$F$7001,F1050,'Estadísticas Jugadores'!$J$2:$J$7001))</f>
        <v/>
      </c>
      <c r="I1050" s="4" t="str">
        <f t="shared" si="83"/>
        <v/>
      </c>
      <c r="J1050" s="4" t="str">
        <f t="shared" si="84"/>
        <v/>
      </c>
    </row>
    <row r="1051" spans="1:10" ht="15" customHeight="1" x14ac:dyDescent="0.25">
      <c r="A1051" s="8" t="str">
        <f>IF(COUNT($J$2:$J$1501)&gt;=1050,1050,"")</f>
        <v/>
      </c>
      <c r="B1051" s="8" t="str">
        <f t="shared" si="80"/>
        <v/>
      </c>
      <c r="C1051" s="8" t="str">
        <f t="shared" si="81"/>
        <v/>
      </c>
      <c r="D1051" s="8" t="str">
        <f t="shared" si="82"/>
        <v/>
      </c>
      <c r="F1051" s="4" t="str">
        <f>IF(Jugadores!B1051="","",Jugadores!B1051)</f>
        <v/>
      </c>
      <c r="G1051" s="4" t="str">
        <f>IF(Jugadores!B1051="","",Jugadores!A1051)</f>
        <v/>
      </c>
      <c r="H1051" s="4" t="str">
        <f>IF(F1051="","",SUMIF('Estadísticas Jugadores'!$F$2:$F$7001,F1051,'Estadísticas Jugadores'!$J$2:$J$7001))</f>
        <v/>
      </c>
      <c r="I1051" s="4" t="str">
        <f t="shared" si="83"/>
        <v/>
      </c>
      <c r="J1051" s="4" t="str">
        <f t="shared" si="84"/>
        <v/>
      </c>
    </row>
    <row r="1052" spans="1:10" ht="15" customHeight="1" x14ac:dyDescent="0.25">
      <c r="A1052" s="8" t="str">
        <f>IF(COUNT($J$2:$J$1501)&gt;=1051,1051,"")</f>
        <v/>
      </c>
      <c r="B1052" s="8" t="str">
        <f t="shared" si="80"/>
        <v/>
      </c>
      <c r="C1052" s="8" t="str">
        <f t="shared" si="81"/>
        <v/>
      </c>
      <c r="D1052" s="8" t="str">
        <f t="shared" si="82"/>
        <v/>
      </c>
      <c r="F1052" s="4" t="str">
        <f>IF(Jugadores!B1052="","",Jugadores!B1052)</f>
        <v/>
      </c>
      <c r="G1052" s="4" t="str">
        <f>IF(Jugadores!B1052="","",Jugadores!A1052)</f>
        <v/>
      </c>
      <c r="H1052" s="4" t="str">
        <f>IF(F1052="","",SUMIF('Estadísticas Jugadores'!$F$2:$F$7001,F1052,'Estadísticas Jugadores'!$J$2:$J$7001))</f>
        <v/>
      </c>
      <c r="I1052" s="4" t="str">
        <f t="shared" si="83"/>
        <v/>
      </c>
      <c r="J1052" s="4" t="str">
        <f t="shared" si="84"/>
        <v/>
      </c>
    </row>
    <row r="1053" spans="1:10" ht="15" customHeight="1" x14ac:dyDescent="0.25">
      <c r="A1053" s="8" t="str">
        <f>IF(COUNT($J$2:$J$1501)&gt;=1052,1052,"")</f>
        <v/>
      </c>
      <c r="B1053" s="8" t="str">
        <f t="shared" si="80"/>
        <v/>
      </c>
      <c r="C1053" s="8" t="str">
        <f t="shared" si="81"/>
        <v/>
      </c>
      <c r="D1053" s="8" t="str">
        <f t="shared" si="82"/>
        <v/>
      </c>
      <c r="F1053" s="4" t="str">
        <f>IF(Jugadores!B1053="","",Jugadores!B1053)</f>
        <v/>
      </c>
      <c r="G1053" s="4" t="str">
        <f>IF(Jugadores!B1053="","",Jugadores!A1053)</f>
        <v/>
      </c>
      <c r="H1053" s="4" t="str">
        <f>IF(F1053="","",SUMIF('Estadísticas Jugadores'!$F$2:$F$7001,F1053,'Estadísticas Jugadores'!$J$2:$J$7001))</f>
        <v/>
      </c>
      <c r="I1053" s="4" t="str">
        <f t="shared" si="83"/>
        <v/>
      </c>
      <c r="J1053" s="4" t="str">
        <f t="shared" si="84"/>
        <v/>
      </c>
    </row>
    <row r="1054" spans="1:10" ht="15" customHeight="1" x14ac:dyDescent="0.25">
      <c r="A1054" s="8" t="str">
        <f>IF(COUNT($J$2:$J$1501)&gt;=1053,1053,"")</f>
        <v/>
      </c>
      <c r="B1054" s="8" t="str">
        <f t="shared" si="80"/>
        <v/>
      </c>
      <c r="C1054" s="8" t="str">
        <f t="shared" si="81"/>
        <v/>
      </c>
      <c r="D1054" s="8" t="str">
        <f t="shared" si="82"/>
        <v/>
      </c>
      <c r="F1054" s="4" t="str">
        <f>IF(Jugadores!B1054="","",Jugadores!B1054)</f>
        <v/>
      </c>
      <c r="G1054" s="4" t="str">
        <f>IF(Jugadores!B1054="","",Jugadores!A1054)</f>
        <v/>
      </c>
      <c r="H1054" s="4" t="str">
        <f>IF(F1054="","",SUMIF('Estadísticas Jugadores'!$F$2:$F$7001,F1054,'Estadísticas Jugadores'!$J$2:$J$7001))</f>
        <v/>
      </c>
      <c r="I1054" s="4" t="str">
        <f t="shared" si="83"/>
        <v/>
      </c>
      <c r="J1054" s="4" t="str">
        <f t="shared" si="84"/>
        <v/>
      </c>
    </row>
    <row r="1055" spans="1:10" ht="15" customHeight="1" x14ac:dyDescent="0.25">
      <c r="A1055" s="8" t="str">
        <f>IF(COUNT($J$2:$J$1501)&gt;=1054,1054,"")</f>
        <v/>
      </c>
      <c r="B1055" s="8" t="str">
        <f t="shared" si="80"/>
        <v/>
      </c>
      <c r="C1055" s="8" t="str">
        <f t="shared" si="81"/>
        <v/>
      </c>
      <c r="D1055" s="8" t="str">
        <f t="shared" si="82"/>
        <v/>
      </c>
      <c r="F1055" s="4" t="str">
        <f>IF(Jugadores!B1055="","",Jugadores!B1055)</f>
        <v/>
      </c>
      <c r="G1055" s="4" t="str">
        <f>IF(Jugadores!B1055="","",Jugadores!A1055)</f>
        <v/>
      </c>
      <c r="H1055" s="4" t="str">
        <f>IF(F1055="","",SUMIF('Estadísticas Jugadores'!$F$2:$F$7001,F1055,'Estadísticas Jugadores'!$J$2:$J$7001))</f>
        <v/>
      </c>
      <c r="I1055" s="4" t="str">
        <f t="shared" si="83"/>
        <v/>
      </c>
      <c r="J1055" s="4" t="str">
        <f t="shared" si="84"/>
        <v/>
      </c>
    </row>
    <row r="1056" spans="1:10" ht="15" customHeight="1" x14ac:dyDescent="0.25">
      <c r="A1056" s="8" t="str">
        <f>IF(COUNT($J$2:$J$1501)&gt;=1055,1055,"")</f>
        <v/>
      </c>
      <c r="B1056" s="8" t="str">
        <f t="shared" si="80"/>
        <v/>
      </c>
      <c r="C1056" s="8" t="str">
        <f t="shared" si="81"/>
        <v/>
      </c>
      <c r="D1056" s="8" t="str">
        <f t="shared" si="82"/>
        <v/>
      </c>
      <c r="F1056" s="4" t="str">
        <f>IF(Jugadores!B1056="","",Jugadores!B1056)</f>
        <v/>
      </c>
      <c r="G1056" s="4" t="str">
        <f>IF(Jugadores!B1056="","",Jugadores!A1056)</f>
        <v/>
      </c>
      <c r="H1056" s="4" t="str">
        <f>IF(F1056="","",SUMIF('Estadísticas Jugadores'!$F$2:$F$7001,F1056,'Estadísticas Jugadores'!$J$2:$J$7001))</f>
        <v/>
      </c>
      <c r="I1056" s="4" t="str">
        <f t="shared" si="83"/>
        <v/>
      </c>
      <c r="J1056" s="4" t="str">
        <f t="shared" si="84"/>
        <v/>
      </c>
    </row>
    <row r="1057" spans="1:10" ht="15" customHeight="1" x14ac:dyDescent="0.25">
      <c r="A1057" s="8" t="str">
        <f>IF(COUNT($J$2:$J$1501)&gt;=1056,1056,"")</f>
        <v/>
      </c>
      <c r="B1057" s="8" t="str">
        <f t="shared" si="80"/>
        <v/>
      </c>
      <c r="C1057" s="8" t="str">
        <f t="shared" si="81"/>
        <v/>
      </c>
      <c r="D1057" s="8" t="str">
        <f t="shared" si="82"/>
        <v/>
      </c>
      <c r="F1057" s="4" t="str">
        <f>IF(Jugadores!B1057="","",Jugadores!B1057)</f>
        <v/>
      </c>
      <c r="G1057" s="4" t="str">
        <f>IF(Jugadores!B1057="","",Jugadores!A1057)</f>
        <v/>
      </c>
      <c r="H1057" s="4" t="str">
        <f>IF(F1057="","",SUMIF('Estadísticas Jugadores'!$F$2:$F$7001,F1057,'Estadísticas Jugadores'!$J$2:$J$7001))</f>
        <v/>
      </c>
      <c r="I1057" s="4" t="str">
        <f t="shared" si="83"/>
        <v/>
      </c>
      <c r="J1057" s="4" t="str">
        <f t="shared" si="84"/>
        <v/>
      </c>
    </row>
    <row r="1058" spans="1:10" ht="15" customHeight="1" x14ac:dyDescent="0.25">
      <c r="A1058" s="8" t="str">
        <f>IF(COUNT($J$2:$J$1501)&gt;=1057,1057,"")</f>
        <v/>
      </c>
      <c r="B1058" s="8" t="str">
        <f t="shared" si="80"/>
        <v/>
      </c>
      <c r="C1058" s="8" t="str">
        <f t="shared" si="81"/>
        <v/>
      </c>
      <c r="D1058" s="8" t="str">
        <f t="shared" si="82"/>
        <v/>
      </c>
      <c r="F1058" s="4" t="str">
        <f>IF(Jugadores!B1058="","",Jugadores!B1058)</f>
        <v/>
      </c>
      <c r="G1058" s="4" t="str">
        <f>IF(Jugadores!B1058="","",Jugadores!A1058)</f>
        <v/>
      </c>
      <c r="H1058" s="4" t="str">
        <f>IF(F1058="","",SUMIF('Estadísticas Jugadores'!$F$2:$F$7001,F1058,'Estadísticas Jugadores'!$J$2:$J$7001))</f>
        <v/>
      </c>
      <c r="I1058" s="4" t="str">
        <f t="shared" si="83"/>
        <v/>
      </c>
      <c r="J1058" s="4" t="str">
        <f t="shared" si="84"/>
        <v/>
      </c>
    </row>
    <row r="1059" spans="1:10" ht="15" customHeight="1" x14ac:dyDescent="0.25">
      <c r="A1059" s="8" t="str">
        <f>IF(COUNT($J$2:$J$1501)&gt;=1058,1058,"")</f>
        <v/>
      </c>
      <c r="B1059" s="8" t="str">
        <f t="shared" si="80"/>
        <v/>
      </c>
      <c r="C1059" s="8" t="str">
        <f t="shared" si="81"/>
        <v/>
      </c>
      <c r="D1059" s="8" t="str">
        <f t="shared" si="82"/>
        <v/>
      </c>
      <c r="F1059" s="4" t="str">
        <f>IF(Jugadores!B1059="","",Jugadores!B1059)</f>
        <v/>
      </c>
      <c r="G1059" s="4" t="str">
        <f>IF(Jugadores!B1059="","",Jugadores!A1059)</f>
        <v/>
      </c>
      <c r="H1059" s="4" t="str">
        <f>IF(F1059="","",SUMIF('Estadísticas Jugadores'!$F$2:$F$7001,F1059,'Estadísticas Jugadores'!$J$2:$J$7001))</f>
        <v/>
      </c>
      <c r="I1059" s="4" t="str">
        <f t="shared" si="83"/>
        <v/>
      </c>
      <c r="J1059" s="4" t="str">
        <f t="shared" si="84"/>
        <v/>
      </c>
    </row>
    <row r="1060" spans="1:10" ht="15" customHeight="1" x14ac:dyDescent="0.25">
      <c r="A1060" s="8" t="str">
        <f>IF(COUNT($J$2:$J$1501)&gt;=1059,1059,"")</f>
        <v/>
      </c>
      <c r="B1060" s="8" t="str">
        <f t="shared" si="80"/>
        <v/>
      </c>
      <c r="C1060" s="8" t="str">
        <f t="shared" si="81"/>
        <v/>
      </c>
      <c r="D1060" s="8" t="str">
        <f t="shared" si="82"/>
        <v/>
      </c>
      <c r="F1060" s="4" t="str">
        <f>IF(Jugadores!B1060="","",Jugadores!B1060)</f>
        <v/>
      </c>
      <c r="G1060" s="4" t="str">
        <f>IF(Jugadores!B1060="","",Jugadores!A1060)</f>
        <v/>
      </c>
      <c r="H1060" s="4" t="str">
        <f>IF(F1060="","",SUMIF('Estadísticas Jugadores'!$F$2:$F$7001,F1060,'Estadísticas Jugadores'!$J$2:$J$7001))</f>
        <v/>
      </c>
      <c r="I1060" s="4" t="str">
        <f t="shared" si="83"/>
        <v/>
      </c>
      <c r="J1060" s="4" t="str">
        <f t="shared" si="84"/>
        <v/>
      </c>
    </row>
    <row r="1061" spans="1:10" ht="15" customHeight="1" x14ac:dyDescent="0.25">
      <c r="A1061" s="8" t="str">
        <f>IF(COUNT($J$2:$J$1501)&gt;=1060,1060,"")</f>
        <v/>
      </c>
      <c r="B1061" s="8" t="str">
        <f t="shared" si="80"/>
        <v/>
      </c>
      <c r="C1061" s="8" t="str">
        <f t="shared" si="81"/>
        <v/>
      </c>
      <c r="D1061" s="8" t="str">
        <f t="shared" si="82"/>
        <v/>
      </c>
      <c r="F1061" s="4" t="str">
        <f>IF(Jugadores!B1061="","",Jugadores!B1061)</f>
        <v/>
      </c>
      <c r="G1061" s="4" t="str">
        <f>IF(Jugadores!B1061="","",Jugadores!A1061)</f>
        <v/>
      </c>
      <c r="H1061" s="4" t="str">
        <f>IF(F1061="","",SUMIF('Estadísticas Jugadores'!$F$2:$F$7001,F1061,'Estadísticas Jugadores'!$J$2:$J$7001))</f>
        <v/>
      </c>
      <c r="I1061" s="4" t="str">
        <f t="shared" si="83"/>
        <v/>
      </c>
      <c r="J1061" s="4" t="str">
        <f t="shared" si="84"/>
        <v/>
      </c>
    </row>
    <row r="1062" spans="1:10" ht="15" customHeight="1" x14ac:dyDescent="0.25">
      <c r="A1062" s="8" t="str">
        <f>IF(COUNT($J$2:$J$1501)&gt;=1061,1061,"")</f>
        <v/>
      </c>
      <c r="B1062" s="8" t="str">
        <f t="shared" si="80"/>
        <v/>
      </c>
      <c r="C1062" s="8" t="str">
        <f t="shared" si="81"/>
        <v/>
      </c>
      <c r="D1062" s="8" t="str">
        <f t="shared" si="82"/>
        <v/>
      </c>
      <c r="F1062" s="4" t="str">
        <f>IF(Jugadores!B1062="","",Jugadores!B1062)</f>
        <v/>
      </c>
      <c r="G1062" s="4" t="str">
        <f>IF(Jugadores!B1062="","",Jugadores!A1062)</f>
        <v/>
      </c>
      <c r="H1062" s="4" t="str">
        <f>IF(F1062="","",SUMIF('Estadísticas Jugadores'!$F$2:$F$7001,F1062,'Estadísticas Jugadores'!$J$2:$J$7001))</f>
        <v/>
      </c>
      <c r="I1062" s="4" t="str">
        <f t="shared" si="83"/>
        <v/>
      </c>
      <c r="J1062" s="4" t="str">
        <f t="shared" si="84"/>
        <v/>
      </c>
    </row>
    <row r="1063" spans="1:10" ht="15" customHeight="1" x14ac:dyDescent="0.25">
      <c r="A1063" s="8" t="str">
        <f>IF(COUNT($J$2:$J$1501)&gt;=1062,1062,"")</f>
        <v/>
      </c>
      <c r="B1063" s="8" t="str">
        <f t="shared" si="80"/>
        <v/>
      </c>
      <c r="C1063" s="8" t="str">
        <f t="shared" si="81"/>
        <v/>
      </c>
      <c r="D1063" s="8" t="str">
        <f t="shared" si="82"/>
        <v/>
      </c>
      <c r="F1063" s="4" t="str">
        <f>IF(Jugadores!B1063="","",Jugadores!B1063)</f>
        <v/>
      </c>
      <c r="G1063" s="4" t="str">
        <f>IF(Jugadores!B1063="","",Jugadores!A1063)</f>
        <v/>
      </c>
      <c r="H1063" s="4" t="str">
        <f>IF(F1063="","",SUMIF('Estadísticas Jugadores'!$F$2:$F$7001,F1063,'Estadísticas Jugadores'!$J$2:$J$7001))</f>
        <v/>
      </c>
      <c r="I1063" s="4" t="str">
        <f t="shared" si="83"/>
        <v/>
      </c>
      <c r="J1063" s="4" t="str">
        <f t="shared" si="84"/>
        <v/>
      </c>
    </row>
    <row r="1064" spans="1:10" ht="15" customHeight="1" x14ac:dyDescent="0.25">
      <c r="A1064" s="8" t="str">
        <f>IF(COUNT($J$2:$J$1501)&gt;=1063,1063,"")</f>
        <v/>
      </c>
      <c r="B1064" s="8" t="str">
        <f t="shared" si="80"/>
        <v/>
      </c>
      <c r="C1064" s="8" t="str">
        <f t="shared" si="81"/>
        <v/>
      </c>
      <c r="D1064" s="8" t="str">
        <f t="shared" si="82"/>
        <v/>
      </c>
      <c r="F1064" s="4" t="str">
        <f>IF(Jugadores!B1064="","",Jugadores!B1064)</f>
        <v/>
      </c>
      <c r="G1064" s="4" t="str">
        <f>IF(Jugadores!B1064="","",Jugadores!A1064)</f>
        <v/>
      </c>
      <c r="H1064" s="4" t="str">
        <f>IF(F1064="","",SUMIF('Estadísticas Jugadores'!$F$2:$F$7001,F1064,'Estadísticas Jugadores'!$J$2:$J$7001))</f>
        <v/>
      </c>
      <c r="I1064" s="4" t="str">
        <f t="shared" si="83"/>
        <v/>
      </c>
      <c r="J1064" s="4" t="str">
        <f t="shared" si="84"/>
        <v/>
      </c>
    </row>
    <row r="1065" spans="1:10" ht="15" customHeight="1" x14ac:dyDescent="0.25">
      <c r="A1065" s="8" t="str">
        <f>IF(COUNT($J$2:$J$1501)&gt;=1064,1064,"")</f>
        <v/>
      </c>
      <c r="B1065" s="8" t="str">
        <f t="shared" si="80"/>
        <v/>
      </c>
      <c r="C1065" s="8" t="str">
        <f t="shared" si="81"/>
        <v/>
      </c>
      <c r="D1065" s="8" t="str">
        <f t="shared" si="82"/>
        <v/>
      </c>
      <c r="F1065" s="4" t="str">
        <f>IF(Jugadores!B1065="","",Jugadores!B1065)</f>
        <v/>
      </c>
      <c r="G1065" s="4" t="str">
        <f>IF(Jugadores!B1065="","",Jugadores!A1065)</f>
        <v/>
      </c>
      <c r="H1065" s="4" t="str">
        <f>IF(F1065="","",SUMIF('Estadísticas Jugadores'!$F$2:$F$7001,F1065,'Estadísticas Jugadores'!$J$2:$J$7001))</f>
        <v/>
      </c>
      <c r="I1065" s="4" t="str">
        <f t="shared" si="83"/>
        <v/>
      </c>
      <c r="J1065" s="4" t="str">
        <f t="shared" si="84"/>
        <v/>
      </c>
    </row>
    <row r="1066" spans="1:10" ht="15" customHeight="1" x14ac:dyDescent="0.25">
      <c r="A1066" s="8" t="str">
        <f>IF(COUNT($J$2:$J$1501)&gt;=1065,1065,"")</f>
        <v/>
      </c>
      <c r="B1066" s="8" t="str">
        <f t="shared" si="80"/>
        <v/>
      </c>
      <c r="C1066" s="8" t="str">
        <f t="shared" si="81"/>
        <v/>
      </c>
      <c r="D1066" s="8" t="str">
        <f t="shared" si="82"/>
        <v/>
      </c>
      <c r="F1066" s="4" t="str">
        <f>IF(Jugadores!B1066="","",Jugadores!B1066)</f>
        <v/>
      </c>
      <c r="G1066" s="4" t="str">
        <f>IF(Jugadores!B1066="","",Jugadores!A1066)</f>
        <v/>
      </c>
      <c r="H1066" s="4" t="str">
        <f>IF(F1066="","",SUMIF('Estadísticas Jugadores'!$F$2:$F$7001,F1066,'Estadísticas Jugadores'!$J$2:$J$7001))</f>
        <v/>
      </c>
      <c r="I1066" s="4" t="str">
        <f t="shared" si="83"/>
        <v/>
      </c>
      <c r="J1066" s="4" t="str">
        <f t="shared" si="84"/>
        <v/>
      </c>
    </row>
    <row r="1067" spans="1:10" ht="15" customHeight="1" x14ac:dyDescent="0.25">
      <c r="A1067" s="8" t="str">
        <f>IF(COUNT($J$2:$J$1501)&gt;=1066,1066,"")</f>
        <v/>
      </c>
      <c r="B1067" s="8" t="str">
        <f t="shared" si="80"/>
        <v/>
      </c>
      <c r="C1067" s="8" t="str">
        <f t="shared" si="81"/>
        <v/>
      </c>
      <c r="D1067" s="8" t="str">
        <f t="shared" si="82"/>
        <v/>
      </c>
      <c r="F1067" s="4" t="str">
        <f>IF(Jugadores!B1067="","",Jugadores!B1067)</f>
        <v/>
      </c>
      <c r="G1067" s="4" t="str">
        <f>IF(Jugadores!B1067="","",Jugadores!A1067)</f>
        <v/>
      </c>
      <c r="H1067" s="4" t="str">
        <f>IF(F1067="","",SUMIF('Estadísticas Jugadores'!$F$2:$F$7001,F1067,'Estadísticas Jugadores'!$J$2:$J$7001))</f>
        <v/>
      </c>
      <c r="I1067" s="4" t="str">
        <f t="shared" si="83"/>
        <v/>
      </c>
      <c r="J1067" s="4" t="str">
        <f t="shared" si="84"/>
        <v/>
      </c>
    </row>
    <row r="1068" spans="1:10" ht="15" customHeight="1" x14ac:dyDescent="0.25">
      <c r="A1068" s="8" t="str">
        <f>IF(COUNT($J$2:$J$1501)&gt;=1067,1067,"")</f>
        <v/>
      </c>
      <c r="B1068" s="8" t="str">
        <f t="shared" si="80"/>
        <v/>
      </c>
      <c r="C1068" s="8" t="str">
        <f t="shared" si="81"/>
        <v/>
      </c>
      <c r="D1068" s="8" t="str">
        <f t="shared" si="82"/>
        <v/>
      </c>
      <c r="F1068" s="4" t="str">
        <f>IF(Jugadores!B1068="","",Jugadores!B1068)</f>
        <v/>
      </c>
      <c r="G1068" s="4" t="str">
        <f>IF(Jugadores!B1068="","",Jugadores!A1068)</f>
        <v/>
      </c>
      <c r="H1068" s="4" t="str">
        <f>IF(F1068="","",SUMIF('Estadísticas Jugadores'!$F$2:$F$7001,F1068,'Estadísticas Jugadores'!$J$2:$J$7001))</f>
        <v/>
      </c>
      <c r="I1068" s="4" t="str">
        <f t="shared" si="83"/>
        <v/>
      </c>
      <c r="J1068" s="4" t="str">
        <f t="shared" si="84"/>
        <v/>
      </c>
    </row>
    <row r="1069" spans="1:10" ht="15" customHeight="1" x14ac:dyDescent="0.25">
      <c r="A1069" s="8" t="str">
        <f>IF(COUNT($J$2:$J$1501)&gt;=1068,1068,"")</f>
        <v/>
      </c>
      <c r="B1069" s="8" t="str">
        <f t="shared" si="80"/>
        <v/>
      </c>
      <c r="C1069" s="8" t="str">
        <f t="shared" si="81"/>
        <v/>
      </c>
      <c r="D1069" s="8" t="str">
        <f t="shared" si="82"/>
        <v/>
      </c>
      <c r="F1069" s="4" t="str">
        <f>IF(Jugadores!B1069="","",Jugadores!B1069)</f>
        <v/>
      </c>
      <c r="G1069" s="4" t="str">
        <f>IF(Jugadores!B1069="","",Jugadores!A1069)</f>
        <v/>
      </c>
      <c r="H1069" s="4" t="str">
        <f>IF(F1069="","",SUMIF('Estadísticas Jugadores'!$F$2:$F$7001,F1069,'Estadísticas Jugadores'!$J$2:$J$7001))</f>
        <v/>
      </c>
      <c r="I1069" s="4" t="str">
        <f t="shared" si="83"/>
        <v/>
      </c>
      <c r="J1069" s="4" t="str">
        <f t="shared" si="84"/>
        <v/>
      </c>
    </row>
    <row r="1070" spans="1:10" ht="15" customHeight="1" x14ac:dyDescent="0.25">
      <c r="A1070" s="8" t="str">
        <f>IF(COUNT($J$2:$J$1501)&gt;=1069,1069,"")</f>
        <v/>
      </c>
      <c r="B1070" s="8" t="str">
        <f t="shared" si="80"/>
        <v/>
      </c>
      <c r="C1070" s="8" t="str">
        <f t="shared" si="81"/>
        <v/>
      </c>
      <c r="D1070" s="8" t="str">
        <f t="shared" si="82"/>
        <v/>
      </c>
      <c r="F1070" s="4" t="str">
        <f>IF(Jugadores!B1070="","",Jugadores!B1070)</f>
        <v/>
      </c>
      <c r="G1070" s="4" t="str">
        <f>IF(Jugadores!B1070="","",Jugadores!A1070)</f>
        <v/>
      </c>
      <c r="H1070" s="4" t="str">
        <f>IF(F1070="","",SUMIF('Estadísticas Jugadores'!$F$2:$F$7001,F1070,'Estadísticas Jugadores'!$J$2:$J$7001))</f>
        <v/>
      </c>
      <c r="I1070" s="4" t="str">
        <f t="shared" si="83"/>
        <v/>
      </c>
      <c r="J1070" s="4" t="str">
        <f t="shared" si="84"/>
        <v/>
      </c>
    </row>
    <row r="1071" spans="1:10" ht="15" customHeight="1" x14ac:dyDescent="0.25">
      <c r="A1071" s="8" t="str">
        <f>IF(COUNT($J$2:$J$1501)&gt;=1070,1070,"")</f>
        <v/>
      </c>
      <c r="B1071" s="8" t="str">
        <f t="shared" si="80"/>
        <v/>
      </c>
      <c r="C1071" s="8" t="str">
        <f t="shared" si="81"/>
        <v/>
      </c>
      <c r="D1071" s="8" t="str">
        <f t="shared" si="82"/>
        <v/>
      </c>
      <c r="F1071" s="4" t="str">
        <f>IF(Jugadores!B1071="","",Jugadores!B1071)</f>
        <v/>
      </c>
      <c r="G1071" s="4" t="str">
        <f>IF(Jugadores!B1071="","",Jugadores!A1071)</f>
        <v/>
      </c>
      <c r="H1071" s="4" t="str">
        <f>IF(F1071="","",SUMIF('Estadísticas Jugadores'!$F$2:$F$7001,F1071,'Estadísticas Jugadores'!$J$2:$J$7001))</f>
        <v/>
      </c>
      <c r="I1071" s="4" t="str">
        <f t="shared" si="83"/>
        <v/>
      </c>
      <c r="J1071" s="4" t="str">
        <f t="shared" si="84"/>
        <v/>
      </c>
    </row>
    <row r="1072" spans="1:10" ht="15" customHeight="1" x14ac:dyDescent="0.25">
      <c r="A1072" s="8" t="str">
        <f>IF(COUNT($J$2:$J$1501)&gt;=1071,1071,"")</f>
        <v/>
      </c>
      <c r="B1072" s="8" t="str">
        <f t="shared" si="80"/>
        <v/>
      </c>
      <c r="C1072" s="8" t="str">
        <f t="shared" si="81"/>
        <v/>
      </c>
      <c r="D1072" s="8" t="str">
        <f t="shared" si="82"/>
        <v/>
      </c>
      <c r="F1072" s="4" t="str">
        <f>IF(Jugadores!B1072="","",Jugadores!B1072)</f>
        <v/>
      </c>
      <c r="G1072" s="4" t="str">
        <f>IF(Jugadores!B1072="","",Jugadores!A1072)</f>
        <v/>
      </c>
      <c r="H1072" s="4" t="str">
        <f>IF(F1072="","",SUMIF('Estadísticas Jugadores'!$F$2:$F$7001,F1072,'Estadísticas Jugadores'!$J$2:$J$7001))</f>
        <v/>
      </c>
      <c r="I1072" s="4" t="str">
        <f t="shared" si="83"/>
        <v/>
      </c>
      <c r="J1072" s="4" t="str">
        <f t="shared" si="84"/>
        <v/>
      </c>
    </row>
    <row r="1073" spans="1:10" ht="15" customHeight="1" x14ac:dyDescent="0.25">
      <c r="A1073" s="8" t="str">
        <f>IF(COUNT($J$2:$J$1501)&gt;=1072,1072,"")</f>
        <v/>
      </c>
      <c r="B1073" s="8" t="str">
        <f t="shared" si="80"/>
        <v/>
      </c>
      <c r="C1073" s="8" t="str">
        <f t="shared" si="81"/>
        <v/>
      </c>
      <c r="D1073" s="8" t="str">
        <f t="shared" si="82"/>
        <v/>
      </c>
      <c r="F1073" s="4" t="str">
        <f>IF(Jugadores!B1073="","",Jugadores!B1073)</f>
        <v/>
      </c>
      <c r="G1073" s="4" t="str">
        <f>IF(Jugadores!B1073="","",Jugadores!A1073)</f>
        <v/>
      </c>
      <c r="H1073" s="4" t="str">
        <f>IF(F1073="","",SUMIF('Estadísticas Jugadores'!$F$2:$F$7001,F1073,'Estadísticas Jugadores'!$J$2:$J$7001))</f>
        <v/>
      </c>
      <c r="I1073" s="4" t="str">
        <f t="shared" si="83"/>
        <v/>
      </c>
      <c r="J1073" s="4" t="str">
        <f t="shared" si="84"/>
        <v/>
      </c>
    </row>
    <row r="1074" spans="1:10" ht="15" customHeight="1" x14ac:dyDescent="0.25">
      <c r="A1074" s="8" t="str">
        <f>IF(COUNT($J$2:$J$1501)&gt;=1073,1073,"")</f>
        <v/>
      </c>
      <c r="B1074" s="8" t="str">
        <f t="shared" si="80"/>
        <v/>
      </c>
      <c r="C1074" s="8" t="str">
        <f t="shared" si="81"/>
        <v/>
      </c>
      <c r="D1074" s="8" t="str">
        <f t="shared" si="82"/>
        <v/>
      </c>
      <c r="F1074" s="4" t="str">
        <f>IF(Jugadores!B1074="","",Jugadores!B1074)</f>
        <v/>
      </c>
      <c r="G1074" s="4" t="str">
        <f>IF(Jugadores!B1074="","",Jugadores!A1074)</f>
        <v/>
      </c>
      <c r="H1074" s="4" t="str">
        <f>IF(F1074="","",SUMIF('Estadísticas Jugadores'!$F$2:$F$7001,F1074,'Estadísticas Jugadores'!$J$2:$J$7001))</f>
        <v/>
      </c>
      <c r="I1074" s="4" t="str">
        <f t="shared" si="83"/>
        <v/>
      </c>
      <c r="J1074" s="4" t="str">
        <f t="shared" si="84"/>
        <v/>
      </c>
    </row>
    <row r="1075" spans="1:10" ht="15" customHeight="1" x14ac:dyDescent="0.25">
      <c r="A1075" s="8" t="str">
        <f>IF(COUNT($J$2:$J$1501)&gt;=1074,1074,"")</f>
        <v/>
      </c>
      <c r="B1075" s="8" t="str">
        <f t="shared" si="80"/>
        <v/>
      </c>
      <c r="C1075" s="8" t="str">
        <f t="shared" si="81"/>
        <v/>
      </c>
      <c r="D1075" s="8" t="str">
        <f t="shared" si="82"/>
        <v/>
      </c>
      <c r="F1075" s="4" t="str">
        <f>IF(Jugadores!B1075="","",Jugadores!B1075)</f>
        <v/>
      </c>
      <c r="G1075" s="4" t="str">
        <f>IF(Jugadores!B1075="","",Jugadores!A1075)</f>
        <v/>
      </c>
      <c r="H1075" s="4" t="str">
        <f>IF(F1075="","",SUMIF('Estadísticas Jugadores'!$F$2:$F$7001,F1075,'Estadísticas Jugadores'!$J$2:$J$7001))</f>
        <v/>
      </c>
      <c r="I1075" s="4" t="str">
        <f t="shared" si="83"/>
        <v/>
      </c>
      <c r="J1075" s="4" t="str">
        <f t="shared" si="84"/>
        <v/>
      </c>
    </row>
    <row r="1076" spans="1:10" ht="15" customHeight="1" x14ac:dyDescent="0.25">
      <c r="A1076" s="8" t="str">
        <f>IF(COUNT($J$2:$J$1501)&gt;=1075,1075,"")</f>
        <v/>
      </c>
      <c r="B1076" s="8" t="str">
        <f t="shared" si="80"/>
        <v/>
      </c>
      <c r="C1076" s="8" t="str">
        <f t="shared" si="81"/>
        <v/>
      </c>
      <c r="D1076" s="8" t="str">
        <f t="shared" si="82"/>
        <v/>
      </c>
      <c r="F1076" s="4" t="str">
        <f>IF(Jugadores!B1076="","",Jugadores!B1076)</f>
        <v/>
      </c>
      <c r="G1076" s="4" t="str">
        <f>IF(Jugadores!B1076="","",Jugadores!A1076)</f>
        <v/>
      </c>
      <c r="H1076" s="4" t="str">
        <f>IF(F1076="","",SUMIF('Estadísticas Jugadores'!$F$2:$F$7001,F1076,'Estadísticas Jugadores'!$J$2:$J$7001))</f>
        <v/>
      </c>
      <c r="I1076" s="4" t="str">
        <f t="shared" si="83"/>
        <v/>
      </c>
      <c r="J1076" s="4" t="str">
        <f t="shared" si="84"/>
        <v/>
      </c>
    </row>
    <row r="1077" spans="1:10" ht="15" customHeight="1" x14ac:dyDescent="0.25">
      <c r="A1077" s="8" t="str">
        <f>IF(COUNT($J$2:$J$1501)&gt;=1076,1076,"")</f>
        <v/>
      </c>
      <c r="B1077" s="8" t="str">
        <f t="shared" si="80"/>
        <v/>
      </c>
      <c r="C1077" s="8" t="str">
        <f t="shared" si="81"/>
        <v/>
      </c>
      <c r="D1077" s="8" t="str">
        <f t="shared" si="82"/>
        <v/>
      </c>
      <c r="F1077" s="4" t="str">
        <f>IF(Jugadores!B1077="","",Jugadores!B1077)</f>
        <v/>
      </c>
      <c r="G1077" s="4" t="str">
        <f>IF(Jugadores!B1077="","",Jugadores!A1077)</f>
        <v/>
      </c>
      <c r="H1077" s="4" t="str">
        <f>IF(F1077="","",SUMIF('Estadísticas Jugadores'!$F$2:$F$7001,F1077,'Estadísticas Jugadores'!$J$2:$J$7001))</f>
        <v/>
      </c>
      <c r="I1077" s="4" t="str">
        <f t="shared" si="83"/>
        <v/>
      </c>
      <c r="J1077" s="4" t="str">
        <f t="shared" si="84"/>
        <v/>
      </c>
    </row>
    <row r="1078" spans="1:10" ht="15" customHeight="1" x14ac:dyDescent="0.25">
      <c r="A1078" s="8" t="str">
        <f>IF(COUNT($J$2:$J$1501)&gt;=1077,1077,"")</f>
        <v/>
      </c>
      <c r="B1078" s="8" t="str">
        <f t="shared" si="80"/>
        <v/>
      </c>
      <c r="C1078" s="8" t="str">
        <f t="shared" si="81"/>
        <v/>
      </c>
      <c r="D1078" s="8" t="str">
        <f t="shared" si="82"/>
        <v/>
      </c>
      <c r="F1078" s="4" t="str">
        <f>IF(Jugadores!B1078="","",Jugadores!B1078)</f>
        <v/>
      </c>
      <c r="G1078" s="4" t="str">
        <f>IF(Jugadores!B1078="","",Jugadores!A1078)</f>
        <v/>
      </c>
      <c r="H1078" s="4" t="str">
        <f>IF(F1078="","",SUMIF('Estadísticas Jugadores'!$F$2:$F$7001,F1078,'Estadísticas Jugadores'!$J$2:$J$7001))</f>
        <v/>
      </c>
      <c r="I1078" s="4" t="str">
        <f t="shared" si="83"/>
        <v/>
      </c>
      <c r="J1078" s="4" t="str">
        <f t="shared" si="84"/>
        <v/>
      </c>
    </row>
    <row r="1079" spans="1:10" ht="15" customHeight="1" x14ac:dyDescent="0.25">
      <c r="A1079" s="8" t="str">
        <f>IF(COUNT($J$2:$J$1501)&gt;=1078,1078,"")</f>
        <v/>
      </c>
      <c r="B1079" s="8" t="str">
        <f t="shared" si="80"/>
        <v/>
      </c>
      <c r="C1079" s="8" t="str">
        <f t="shared" si="81"/>
        <v/>
      </c>
      <c r="D1079" s="8" t="str">
        <f t="shared" si="82"/>
        <v/>
      </c>
      <c r="F1079" s="4" t="str">
        <f>IF(Jugadores!B1079="","",Jugadores!B1079)</f>
        <v/>
      </c>
      <c r="G1079" s="4" t="str">
        <f>IF(Jugadores!B1079="","",Jugadores!A1079)</f>
        <v/>
      </c>
      <c r="H1079" s="4" t="str">
        <f>IF(F1079="","",SUMIF('Estadísticas Jugadores'!$F$2:$F$7001,F1079,'Estadísticas Jugadores'!$J$2:$J$7001))</f>
        <v/>
      </c>
      <c r="I1079" s="4" t="str">
        <f t="shared" si="83"/>
        <v/>
      </c>
      <c r="J1079" s="4" t="str">
        <f t="shared" si="84"/>
        <v/>
      </c>
    </row>
    <row r="1080" spans="1:10" ht="15" customHeight="1" x14ac:dyDescent="0.25">
      <c r="A1080" s="8" t="str">
        <f>IF(COUNT($J$2:$J$1501)&gt;=1079,1079,"")</f>
        <v/>
      </c>
      <c r="B1080" s="8" t="str">
        <f t="shared" si="80"/>
        <v/>
      </c>
      <c r="C1080" s="8" t="str">
        <f t="shared" si="81"/>
        <v/>
      </c>
      <c r="D1080" s="8" t="str">
        <f t="shared" si="82"/>
        <v/>
      </c>
      <c r="F1080" s="4" t="str">
        <f>IF(Jugadores!B1080="","",Jugadores!B1080)</f>
        <v/>
      </c>
      <c r="G1080" s="4" t="str">
        <f>IF(Jugadores!B1080="","",Jugadores!A1080)</f>
        <v/>
      </c>
      <c r="H1080" s="4" t="str">
        <f>IF(F1080="","",SUMIF('Estadísticas Jugadores'!$F$2:$F$7001,F1080,'Estadísticas Jugadores'!$J$2:$J$7001))</f>
        <v/>
      </c>
      <c r="I1080" s="4" t="str">
        <f t="shared" si="83"/>
        <v/>
      </c>
      <c r="J1080" s="4" t="str">
        <f t="shared" si="84"/>
        <v/>
      </c>
    </row>
    <row r="1081" spans="1:10" ht="15" customHeight="1" x14ac:dyDescent="0.25">
      <c r="A1081" s="8" t="str">
        <f>IF(COUNT($J$2:$J$1501)&gt;=1080,1080,"")</f>
        <v/>
      </c>
      <c r="B1081" s="8" t="str">
        <f t="shared" si="80"/>
        <v/>
      </c>
      <c r="C1081" s="8" t="str">
        <f t="shared" si="81"/>
        <v/>
      </c>
      <c r="D1081" s="8" t="str">
        <f t="shared" si="82"/>
        <v/>
      </c>
      <c r="F1081" s="4" t="str">
        <f>IF(Jugadores!B1081="","",Jugadores!B1081)</f>
        <v/>
      </c>
      <c r="G1081" s="4" t="str">
        <f>IF(Jugadores!B1081="","",Jugadores!A1081)</f>
        <v/>
      </c>
      <c r="H1081" s="4" t="str">
        <f>IF(F1081="","",SUMIF('Estadísticas Jugadores'!$F$2:$F$7001,F1081,'Estadísticas Jugadores'!$J$2:$J$7001))</f>
        <v/>
      </c>
      <c r="I1081" s="4" t="str">
        <f t="shared" si="83"/>
        <v/>
      </c>
      <c r="J1081" s="4" t="str">
        <f t="shared" si="84"/>
        <v/>
      </c>
    </row>
    <row r="1082" spans="1:10" ht="15" customHeight="1" x14ac:dyDescent="0.25">
      <c r="A1082" s="8" t="str">
        <f>IF(COUNT($J$2:$J$1501)&gt;=1081,1081,"")</f>
        <v/>
      </c>
      <c r="B1082" s="8" t="str">
        <f t="shared" si="80"/>
        <v/>
      </c>
      <c r="C1082" s="8" t="str">
        <f t="shared" si="81"/>
        <v/>
      </c>
      <c r="D1082" s="8" t="str">
        <f t="shared" si="82"/>
        <v/>
      </c>
      <c r="F1082" s="4" t="str">
        <f>IF(Jugadores!B1082="","",Jugadores!B1082)</f>
        <v/>
      </c>
      <c r="G1082" s="4" t="str">
        <f>IF(Jugadores!B1082="","",Jugadores!A1082)</f>
        <v/>
      </c>
      <c r="H1082" s="4" t="str">
        <f>IF(F1082="","",SUMIF('Estadísticas Jugadores'!$F$2:$F$7001,F1082,'Estadísticas Jugadores'!$J$2:$J$7001))</f>
        <v/>
      </c>
      <c r="I1082" s="4" t="str">
        <f t="shared" si="83"/>
        <v/>
      </c>
      <c r="J1082" s="4" t="str">
        <f t="shared" si="84"/>
        <v/>
      </c>
    </row>
    <row r="1083" spans="1:10" ht="15" customHeight="1" x14ac:dyDescent="0.25">
      <c r="A1083" s="8" t="str">
        <f>IF(COUNT($J$2:$J$1501)&gt;=1082,1082,"")</f>
        <v/>
      </c>
      <c r="B1083" s="8" t="str">
        <f t="shared" si="80"/>
        <v/>
      </c>
      <c r="C1083" s="8" t="str">
        <f t="shared" si="81"/>
        <v/>
      </c>
      <c r="D1083" s="8" t="str">
        <f t="shared" si="82"/>
        <v/>
      </c>
      <c r="F1083" s="4" t="str">
        <f>IF(Jugadores!B1083="","",Jugadores!B1083)</f>
        <v/>
      </c>
      <c r="G1083" s="4" t="str">
        <f>IF(Jugadores!B1083="","",Jugadores!A1083)</f>
        <v/>
      </c>
      <c r="H1083" s="4" t="str">
        <f>IF(F1083="","",SUMIF('Estadísticas Jugadores'!$F$2:$F$7001,F1083,'Estadísticas Jugadores'!$J$2:$J$7001))</f>
        <v/>
      </c>
      <c r="I1083" s="4" t="str">
        <f t="shared" si="83"/>
        <v/>
      </c>
      <c r="J1083" s="4" t="str">
        <f t="shared" si="84"/>
        <v/>
      </c>
    </row>
    <row r="1084" spans="1:10" ht="15" customHeight="1" x14ac:dyDescent="0.25">
      <c r="A1084" s="8" t="str">
        <f>IF(COUNT($J$2:$J$1501)&gt;=1083,1083,"")</f>
        <v/>
      </c>
      <c r="B1084" s="8" t="str">
        <f t="shared" si="80"/>
        <v/>
      </c>
      <c r="C1084" s="8" t="str">
        <f t="shared" si="81"/>
        <v/>
      </c>
      <c r="D1084" s="8" t="str">
        <f t="shared" si="82"/>
        <v/>
      </c>
      <c r="F1084" s="4" t="str">
        <f>IF(Jugadores!B1084="","",Jugadores!B1084)</f>
        <v/>
      </c>
      <c r="G1084" s="4" t="str">
        <f>IF(Jugadores!B1084="","",Jugadores!A1084)</f>
        <v/>
      </c>
      <c r="H1084" s="4" t="str">
        <f>IF(F1084="","",SUMIF('Estadísticas Jugadores'!$F$2:$F$7001,F1084,'Estadísticas Jugadores'!$J$2:$J$7001))</f>
        <v/>
      </c>
      <c r="I1084" s="4" t="str">
        <f t="shared" si="83"/>
        <v/>
      </c>
      <c r="J1084" s="4" t="str">
        <f t="shared" si="84"/>
        <v/>
      </c>
    </row>
    <row r="1085" spans="1:10" ht="15" customHeight="1" x14ac:dyDescent="0.25">
      <c r="A1085" s="8" t="str">
        <f>IF(COUNT($J$2:$J$1501)&gt;=1084,1084,"")</f>
        <v/>
      </c>
      <c r="B1085" s="8" t="str">
        <f t="shared" si="80"/>
        <v/>
      </c>
      <c r="C1085" s="8" t="str">
        <f t="shared" si="81"/>
        <v/>
      </c>
      <c r="D1085" s="8" t="str">
        <f t="shared" si="82"/>
        <v/>
      </c>
      <c r="F1085" s="4" t="str">
        <f>IF(Jugadores!B1085="","",Jugadores!B1085)</f>
        <v/>
      </c>
      <c r="G1085" s="4" t="str">
        <f>IF(Jugadores!B1085="","",Jugadores!A1085)</f>
        <v/>
      </c>
      <c r="H1085" s="4" t="str">
        <f>IF(F1085="","",SUMIF('Estadísticas Jugadores'!$F$2:$F$7001,F1085,'Estadísticas Jugadores'!$J$2:$J$7001))</f>
        <v/>
      </c>
      <c r="I1085" s="4" t="str">
        <f t="shared" si="83"/>
        <v/>
      </c>
      <c r="J1085" s="4" t="str">
        <f t="shared" si="84"/>
        <v/>
      </c>
    </row>
    <row r="1086" spans="1:10" ht="15" customHeight="1" x14ac:dyDescent="0.25">
      <c r="A1086" s="8" t="str">
        <f>IF(COUNT($J$2:$J$1501)&gt;=1085,1085,"")</f>
        <v/>
      </c>
      <c r="B1086" s="8" t="str">
        <f t="shared" si="80"/>
        <v/>
      </c>
      <c r="C1086" s="8" t="str">
        <f t="shared" si="81"/>
        <v/>
      </c>
      <c r="D1086" s="8" t="str">
        <f t="shared" si="82"/>
        <v/>
      </c>
      <c r="F1086" s="4" t="str">
        <f>IF(Jugadores!B1086="","",Jugadores!B1086)</f>
        <v/>
      </c>
      <c r="G1086" s="4" t="str">
        <f>IF(Jugadores!B1086="","",Jugadores!A1086)</f>
        <v/>
      </c>
      <c r="H1086" s="4" t="str">
        <f>IF(F1086="","",SUMIF('Estadísticas Jugadores'!$F$2:$F$7001,F1086,'Estadísticas Jugadores'!$J$2:$J$7001))</f>
        <v/>
      </c>
      <c r="I1086" s="4" t="str">
        <f t="shared" si="83"/>
        <v/>
      </c>
      <c r="J1086" s="4" t="str">
        <f t="shared" si="84"/>
        <v/>
      </c>
    </row>
    <row r="1087" spans="1:10" ht="15" customHeight="1" x14ac:dyDescent="0.25">
      <c r="A1087" s="8" t="str">
        <f>IF(COUNT($J$2:$J$1501)&gt;=1086,1086,"")</f>
        <v/>
      </c>
      <c r="B1087" s="8" t="str">
        <f t="shared" si="80"/>
        <v/>
      </c>
      <c r="C1087" s="8" t="str">
        <f t="shared" si="81"/>
        <v/>
      </c>
      <c r="D1087" s="8" t="str">
        <f t="shared" si="82"/>
        <v/>
      </c>
      <c r="F1087" s="4" t="str">
        <f>IF(Jugadores!B1087="","",Jugadores!B1087)</f>
        <v/>
      </c>
      <c r="G1087" s="4" t="str">
        <f>IF(Jugadores!B1087="","",Jugadores!A1087)</f>
        <v/>
      </c>
      <c r="H1087" s="4" t="str">
        <f>IF(F1087="","",SUMIF('Estadísticas Jugadores'!$F$2:$F$7001,F1087,'Estadísticas Jugadores'!$J$2:$J$7001))</f>
        <v/>
      </c>
      <c r="I1087" s="4" t="str">
        <f t="shared" si="83"/>
        <v/>
      </c>
      <c r="J1087" s="4" t="str">
        <f t="shared" si="84"/>
        <v/>
      </c>
    </row>
    <row r="1088" spans="1:10" ht="15" customHeight="1" x14ac:dyDescent="0.25">
      <c r="A1088" s="8" t="str">
        <f>IF(COUNT($J$2:$J$1501)&gt;=1087,1087,"")</f>
        <v/>
      </c>
      <c r="B1088" s="8" t="str">
        <f t="shared" si="80"/>
        <v/>
      </c>
      <c r="C1088" s="8" t="str">
        <f t="shared" si="81"/>
        <v/>
      </c>
      <c r="D1088" s="8" t="str">
        <f t="shared" si="82"/>
        <v/>
      </c>
      <c r="F1088" s="4" t="str">
        <f>IF(Jugadores!B1088="","",Jugadores!B1088)</f>
        <v/>
      </c>
      <c r="G1088" s="4" t="str">
        <f>IF(Jugadores!B1088="","",Jugadores!A1088)</f>
        <v/>
      </c>
      <c r="H1088" s="4" t="str">
        <f>IF(F1088="","",SUMIF('Estadísticas Jugadores'!$F$2:$F$7001,F1088,'Estadísticas Jugadores'!$J$2:$J$7001))</f>
        <v/>
      </c>
      <c r="I1088" s="4" t="str">
        <f t="shared" si="83"/>
        <v/>
      </c>
      <c r="J1088" s="4" t="str">
        <f t="shared" si="84"/>
        <v/>
      </c>
    </row>
    <row r="1089" spans="1:10" ht="15" customHeight="1" x14ac:dyDescent="0.25">
      <c r="A1089" s="8" t="str">
        <f>IF(COUNT($J$2:$J$1501)&gt;=1088,1088,"")</f>
        <v/>
      </c>
      <c r="B1089" s="8" t="str">
        <f t="shared" si="80"/>
        <v/>
      </c>
      <c r="C1089" s="8" t="str">
        <f t="shared" si="81"/>
        <v/>
      </c>
      <c r="D1089" s="8" t="str">
        <f t="shared" si="82"/>
        <v/>
      </c>
      <c r="F1089" s="4" t="str">
        <f>IF(Jugadores!B1089="","",Jugadores!B1089)</f>
        <v/>
      </c>
      <c r="G1089" s="4" t="str">
        <f>IF(Jugadores!B1089="","",Jugadores!A1089)</f>
        <v/>
      </c>
      <c r="H1089" s="4" t="str">
        <f>IF(F1089="","",SUMIF('Estadísticas Jugadores'!$F$2:$F$7001,F1089,'Estadísticas Jugadores'!$J$2:$J$7001))</f>
        <v/>
      </c>
      <c r="I1089" s="4" t="str">
        <f t="shared" si="83"/>
        <v/>
      </c>
      <c r="J1089" s="4" t="str">
        <f t="shared" si="84"/>
        <v/>
      </c>
    </row>
    <row r="1090" spans="1:10" ht="15" customHeight="1" x14ac:dyDescent="0.25">
      <c r="A1090" s="8" t="str">
        <f>IF(COUNT($J$2:$J$1501)&gt;=1089,1089,"")</f>
        <v/>
      </c>
      <c r="B1090" s="8" t="str">
        <f t="shared" ref="B1090:B1153" si="85">IF($A1090="","",INDEX($F$2:$F$1501,MATCH($A1090,$J$2:$J$1501,0)))</f>
        <v/>
      </c>
      <c r="C1090" s="8" t="str">
        <f t="shared" ref="C1090:C1153" si="86">IF($A1090="","",INDEX($G$2:$G$1501,MATCH($A1090,$J$2:$J$1501,0)))</f>
        <v/>
      </c>
      <c r="D1090" s="8" t="str">
        <f t="shared" ref="D1090:D1153" si="87">IF($A1090="","",INDEX($H$2:$H$1501,MATCH($A1090,$J$2:$J$1501,0)))</f>
        <v/>
      </c>
      <c r="F1090" s="4" t="str">
        <f>IF(Jugadores!B1090="","",Jugadores!B1090)</f>
        <v/>
      </c>
      <c r="G1090" s="4" t="str">
        <f>IF(Jugadores!B1090="","",Jugadores!A1090)</f>
        <v/>
      </c>
      <c r="H1090" s="4" t="str">
        <f>IF(F1090="","",SUMIF('Estadísticas Jugadores'!$F$2:$F$7001,F1090,'Estadísticas Jugadores'!$J$2:$J$7001))</f>
        <v/>
      </c>
      <c r="I1090" s="4" t="str">
        <f t="shared" ref="I1090:I1153" si="88">IF(F1090="","",H1090*1000-ROW()*0.0000001)</f>
        <v/>
      </c>
      <c r="J1090" s="4" t="str">
        <f t="shared" ref="J1090:J1153" si="89">IF(F1090="","",RANK(I1090,$I$2:$I$1501))</f>
        <v/>
      </c>
    </row>
    <row r="1091" spans="1:10" ht="15" customHeight="1" x14ac:dyDescent="0.25">
      <c r="A1091" s="8" t="str">
        <f>IF(COUNT($J$2:$J$1501)&gt;=1090,1090,"")</f>
        <v/>
      </c>
      <c r="B1091" s="8" t="str">
        <f t="shared" si="85"/>
        <v/>
      </c>
      <c r="C1091" s="8" t="str">
        <f t="shared" si="86"/>
        <v/>
      </c>
      <c r="D1091" s="8" t="str">
        <f t="shared" si="87"/>
        <v/>
      </c>
      <c r="F1091" s="4" t="str">
        <f>IF(Jugadores!B1091="","",Jugadores!B1091)</f>
        <v/>
      </c>
      <c r="G1091" s="4" t="str">
        <f>IF(Jugadores!B1091="","",Jugadores!A1091)</f>
        <v/>
      </c>
      <c r="H1091" s="4" t="str">
        <f>IF(F1091="","",SUMIF('Estadísticas Jugadores'!$F$2:$F$7001,F1091,'Estadísticas Jugadores'!$J$2:$J$7001))</f>
        <v/>
      </c>
      <c r="I1091" s="4" t="str">
        <f t="shared" si="88"/>
        <v/>
      </c>
      <c r="J1091" s="4" t="str">
        <f t="shared" si="89"/>
        <v/>
      </c>
    </row>
    <row r="1092" spans="1:10" ht="15" customHeight="1" x14ac:dyDescent="0.25">
      <c r="A1092" s="8" t="str">
        <f>IF(COUNT($J$2:$J$1501)&gt;=1091,1091,"")</f>
        <v/>
      </c>
      <c r="B1092" s="8" t="str">
        <f t="shared" si="85"/>
        <v/>
      </c>
      <c r="C1092" s="8" t="str">
        <f t="shared" si="86"/>
        <v/>
      </c>
      <c r="D1092" s="8" t="str">
        <f t="shared" si="87"/>
        <v/>
      </c>
      <c r="F1092" s="4" t="str">
        <f>IF(Jugadores!B1092="","",Jugadores!B1092)</f>
        <v/>
      </c>
      <c r="G1092" s="4" t="str">
        <f>IF(Jugadores!B1092="","",Jugadores!A1092)</f>
        <v/>
      </c>
      <c r="H1092" s="4" t="str">
        <f>IF(F1092="","",SUMIF('Estadísticas Jugadores'!$F$2:$F$7001,F1092,'Estadísticas Jugadores'!$J$2:$J$7001))</f>
        <v/>
      </c>
      <c r="I1092" s="4" t="str">
        <f t="shared" si="88"/>
        <v/>
      </c>
      <c r="J1092" s="4" t="str">
        <f t="shared" si="89"/>
        <v/>
      </c>
    </row>
    <row r="1093" spans="1:10" ht="15" customHeight="1" x14ac:dyDescent="0.25">
      <c r="A1093" s="8" t="str">
        <f>IF(COUNT($J$2:$J$1501)&gt;=1092,1092,"")</f>
        <v/>
      </c>
      <c r="B1093" s="8" t="str">
        <f t="shared" si="85"/>
        <v/>
      </c>
      <c r="C1093" s="8" t="str">
        <f t="shared" si="86"/>
        <v/>
      </c>
      <c r="D1093" s="8" t="str">
        <f t="shared" si="87"/>
        <v/>
      </c>
      <c r="F1093" s="4" t="str">
        <f>IF(Jugadores!B1093="","",Jugadores!B1093)</f>
        <v/>
      </c>
      <c r="G1093" s="4" t="str">
        <f>IF(Jugadores!B1093="","",Jugadores!A1093)</f>
        <v/>
      </c>
      <c r="H1093" s="4" t="str">
        <f>IF(F1093="","",SUMIF('Estadísticas Jugadores'!$F$2:$F$7001,F1093,'Estadísticas Jugadores'!$J$2:$J$7001))</f>
        <v/>
      </c>
      <c r="I1093" s="4" t="str">
        <f t="shared" si="88"/>
        <v/>
      </c>
      <c r="J1093" s="4" t="str">
        <f t="shared" si="89"/>
        <v/>
      </c>
    </row>
    <row r="1094" spans="1:10" ht="15" customHeight="1" x14ac:dyDescent="0.25">
      <c r="A1094" s="8" t="str">
        <f>IF(COUNT($J$2:$J$1501)&gt;=1093,1093,"")</f>
        <v/>
      </c>
      <c r="B1094" s="8" t="str">
        <f t="shared" si="85"/>
        <v/>
      </c>
      <c r="C1094" s="8" t="str">
        <f t="shared" si="86"/>
        <v/>
      </c>
      <c r="D1094" s="8" t="str">
        <f t="shared" si="87"/>
        <v/>
      </c>
      <c r="F1094" s="4" t="str">
        <f>IF(Jugadores!B1094="","",Jugadores!B1094)</f>
        <v/>
      </c>
      <c r="G1094" s="4" t="str">
        <f>IF(Jugadores!B1094="","",Jugadores!A1094)</f>
        <v/>
      </c>
      <c r="H1094" s="4" t="str">
        <f>IF(F1094="","",SUMIF('Estadísticas Jugadores'!$F$2:$F$7001,F1094,'Estadísticas Jugadores'!$J$2:$J$7001))</f>
        <v/>
      </c>
      <c r="I1094" s="4" t="str">
        <f t="shared" si="88"/>
        <v/>
      </c>
      <c r="J1094" s="4" t="str">
        <f t="shared" si="89"/>
        <v/>
      </c>
    </row>
    <row r="1095" spans="1:10" ht="15" customHeight="1" x14ac:dyDescent="0.25">
      <c r="A1095" s="8" t="str">
        <f>IF(COUNT($J$2:$J$1501)&gt;=1094,1094,"")</f>
        <v/>
      </c>
      <c r="B1095" s="8" t="str">
        <f t="shared" si="85"/>
        <v/>
      </c>
      <c r="C1095" s="8" t="str">
        <f t="shared" si="86"/>
        <v/>
      </c>
      <c r="D1095" s="8" t="str">
        <f t="shared" si="87"/>
        <v/>
      </c>
      <c r="F1095" s="4" t="str">
        <f>IF(Jugadores!B1095="","",Jugadores!B1095)</f>
        <v/>
      </c>
      <c r="G1095" s="4" t="str">
        <f>IF(Jugadores!B1095="","",Jugadores!A1095)</f>
        <v/>
      </c>
      <c r="H1095" s="4" t="str">
        <f>IF(F1095="","",SUMIF('Estadísticas Jugadores'!$F$2:$F$7001,F1095,'Estadísticas Jugadores'!$J$2:$J$7001))</f>
        <v/>
      </c>
      <c r="I1095" s="4" t="str">
        <f t="shared" si="88"/>
        <v/>
      </c>
      <c r="J1095" s="4" t="str">
        <f t="shared" si="89"/>
        <v/>
      </c>
    </row>
    <row r="1096" spans="1:10" ht="15" customHeight="1" x14ac:dyDescent="0.25">
      <c r="A1096" s="8" t="str">
        <f>IF(COUNT($J$2:$J$1501)&gt;=1095,1095,"")</f>
        <v/>
      </c>
      <c r="B1096" s="8" t="str">
        <f t="shared" si="85"/>
        <v/>
      </c>
      <c r="C1096" s="8" t="str">
        <f t="shared" si="86"/>
        <v/>
      </c>
      <c r="D1096" s="8" t="str">
        <f t="shared" si="87"/>
        <v/>
      </c>
      <c r="F1096" s="4" t="str">
        <f>IF(Jugadores!B1096="","",Jugadores!B1096)</f>
        <v/>
      </c>
      <c r="G1096" s="4" t="str">
        <f>IF(Jugadores!B1096="","",Jugadores!A1096)</f>
        <v/>
      </c>
      <c r="H1096" s="4" t="str">
        <f>IF(F1096="","",SUMIF('Estadísticas Jugadores'!$F$2:$F$7001,F1096,'Estadísticas Jugadores'!$J$2:$J$7001))</f>
        <v/>
      </c>
      <c r="I1096" s="4" t="str">
        <f t="shared" si="88"/>
        <v/>
      </c>
      <c r="J1096" s="4" t="str">
        <f t="shared" si="89"/>
        <v/>
      </c>
    </row>
    <row r="1097" spans="1:10" ht="15" customHeight="1" x14ac:dyDescent="0.25">
      <c r="A1097" s="8" t="str">
        <f>IF(COUNT($J$2:$J$1501)&gt;=1096,1096,"")</f>
        <v/>
      </c>
      <c r="B1097" s="8" t="str">
        <f t="shared" si="85"/>
        <v/>
      </c>
      <c r="C1097" s="8" t="str">
        <f t="shared" si="86"/>
        <v/>
      </c>
      <c r="D1097" s="8" t="str">
        <f t="shared" si="87"/>
        <v/>
      </c>
      <c r="F1097" s="4" t="str">
        <f>IF(Jugadores!B1097="","",Jugadores!B1097)</f>
        <v/>
      </c>
      <c r="G1097" s="4" t="str">
        <f>IF(Jugadores!B1097="","",Jugadores!A1097)</f>
        <v/>
      </c>
      <c r="H1097" s="4" t="str">
        <f>IF(F1097="","",SUMIF('Estadísticas Jugadores'!$F$2:$F$7001,F1097,'Estadísticas Jugadores'!$J$2:$J$7001))</f>
        <v/>
      </c>
      <c r="I1097" s="4" t="str">
        <f t="shared" si="88"/>
        <v/>
      </c>
      <c r="J1097" s="4" t="str">
        <f t="shared" si="89"/>
        <v/>
      </c>
    </row>
    <row r="1098" spans="1:10" ht="15" customHeight="1" x14ac:dyDescent="0.25">
      <c r="A1098" s="8" t="str">
        <f>IF(COUNT($J$2:$J$1501)&gt;=1097,1097,"")</f>
        <v/>
      </c>
      <c r="B1098" s="8" t="str">
        <f t="shared" si="85"/>
        <v/>
      </c>
      <c r="C1098" s="8" t="str">
        <f t="shared" si="86"/>
        <v/>
      </c>
      <c r="D1098" s="8" t="str">
        <f t="shared" si="87"/>
        <v/>
      </c>
      <c r="F1098" s="4" t="str">
        <f>IF(Jugadores!B1098="","",Jugadores!B1098)</f>
        <v/>
      </c>
      <c r="G1098" s="4" t="str">
        <f>IF(Jugadores!B1098="","",Jugadores!A1098)</f>
        <v/>
      </c>
      <c r="H1098" s="4" t="str">
        <f>IF(F1098="","",SUMIF('Estadísticas Jugadores'!$F$2:$F$7001,F1098,'Estadísticas Jugadores'!$J$2:$J$7001))</f>
        <v/>
      </c>
      <c r="I1098" s="4" t="str">
        <f t="shared" si="88"/>
        <v/>
      </c>
      <c r="J1098" s="4" t="str">
        <f t="shared" si="89"/>
        <v/>
      </c>
    </row>
    <row r="1099" spans="1:10" ht="15" customHeight="1" x14ac:dyDescent="0.25">
      <c r="A1099" s="8" t="str">
        <f>IF(COUNT($J$2:$J$1501)&gt;=1098,1098,"")</f>
        <v/>
      </c>
      <c r="B1099" s="8" t="str">
        <f t="shared" si="85"/>
        <v/>
      </c>
      <c r="C1099" s="8" t="str">
        <f t="shared" si="86"/>
        <v/>
      </c>
      <c r="D1099" s="8" t="str">
        <f t="shared" si="87"/>
        <v/>
      </c>
      <c r="F1099" s="4" t="str">
        <f>IF(Jugadores!B1099="","",Jugadores!B1099)</f>
        <v/>
      </c>
      <c r="G1099" s="4" t="str">
        <f>IF(Jugadores!B1099="","",Jugadores!A1099)</f>
        <v/>
      </c>
      <c r="H1099" s="4" t="str">
        <f>IF(F1099="","",SUMIF('Estadísticas Jugadores'!$F$2:$F$7001,F1099,'Estadísticas Jugadores'!$J$2:$J$7001))</f>
        <v/>
      </c>
      <c r="I1099" s="4" t="str">
        <f t="shared" si="88"/>
        <v/>
      </c>
      <c r="J1099" s="4" t="str">
        <f t="shared" si="89"/>
        <v/>
      </c>
    </row>
    <row r="1100" spans="1:10" ht="15" customHeight="1" x14ac:dyDescent="0.25">
      <c r="A1100" s="8" t="str">
        <f>IF(COUNT($J$2:$J$1501)&gt;=1099,1099,"")</f>
        <v/>
      </c>
      <c r="B1100" s="8" t="str">
        <f t="shared" si="85"/>
        <v/>
      </c>
      <c r="C1100" s="8" t="str">
        <f t="shared" si="86"/>
        <v/>
      </c>
      <c r="D1100" s="8" t="str">
        <f t="shared" si="87"/>
        <v/>
      </c>
      <c r="F1100" s="4" t="str">
        <f>IF(Jugadores!B1100="","",Jugadores!B1100)</f>
        <v/>
      </c>
      <c r="G1100" s="4" t="str">
        <f>IF(Jugadores!B1100="","",Jugadores!A1100)</f>
        <v/>
      </c>
      <c r="H1100" s="4" t="str">
        <f>IF(F1100="","",SUMIF('Estadísticas Jugadores'!$F$2:$F$7001,F1100,'Estadísticas Jugadores'!$J$2:$J$7001))</f>
        <v/>
      </c>
      <c r="I1100" s="4" t="str">
        <f t="shared" si="88"/>
        <v/>
      </c>
      <c r="J1100" s="4" t="str">
        <f t="shared" si="89"/>
        <v/>
      </c>
    </row>
    <row r="1101" spans="1:10" ht="15" customHeight="1" x14ac:dyDescent="0.25">
      <c r="A1101" s="8" t="str">
        <f>IF(COUNT($J$2:$J$1501)&gt;=1100,1100,"")</f>
        <v/>
      </c>
      <c r="B1101" s="8" t="str">
        <f t="shared" si="85"/>
        <v/>
      </c>
      <c r="C1101" s="8" t="str">
        <f t="shared" si="86"/>
        <v/>
      </c>
      <c r="D1101" s="8" t="str">
        <f t="shared" si="87"/>
        <v/>
      </c>
      <c r="F1101" s="4" t="str">
        <f>IF(Jugadores!B1101="","",Jugadores!B1101)</f>
        <v/>
      </c>
      <c r="G1101" s="4" t="str">
        <f>IF(Jugadores!B1101="","",Jugadores!A1101)</f>
        <v/>
      </c>
      <c r="H1101" s="4" t="str">
        <f>IF(F1101="","",SUMIF('Estadísticas Jugadores'!$F$2:$F$7001,F1101,'Estadísticas Jugadores'!$J$2:$J$7001))</f>
        <v/>
      </c>
      <c r="I1101" s="4" t="str">
        <f t="shared" si="88"/>
        <v/>
      </c>
      <c r="J1101" s="4" t="str">
        <f t="shared" si="89"/>
        <v/>
      </c>
    </row>
    <row r="1102" spans="1:10" ht="15" customHeight="1" x14ac:dyDescent="0.25">
      <c r="A1102" s="8" t="str">
        <f>IF(COUNT($J$2:$J$1501)&gt;=1101,1101,"")</f>
        <v/>
      </c>
      <c r="B1102" s="8" t="str">
        <f t="shared" si="85"/>
        <v/>
      </c>
      <c r="C1102" s="8" t="str">
        <f t="shared" si="86"/>
        <v/>
      </c>
      <c r="D1102" s="8" t="str">
        <f t="shared" si="87"/>
        <v/>
      </c>
      <c r="F1102" s="4" t="str">
        <f>IF(Jugadores!B1102="","",Jugadores!B1102)</f>
        <v/>
      </c>
      <c r="G1102" s="4" t="str">
        <f>IF(Jugadores!B1102="","",Jugadores!A1102)</f>
        <v/>
      </c>
      <c r="H1102" s="4" t="str">
        <f>IF(F1102="","",SUMIF('Estadísticas Jugadores'!$F$2:$F$7001,F1102,'Estadísticas Jugadores'!$J$2:$J$7001))</f>
        <v/>
      </c>
      <c r="I1102" s="4" t="str">
        <f t="shared" si="88"/>
        <v/>
      </c>
      <c r="J1102" s="4" t="str">
        <f t="shared" si="89"/>
        <v/>
      </c>
    </row>
    <row r="1103" spans="1:10" ht="15" customHeight="1" x14ac:dyDescent="0.25">
      <c r="A1103" s="8" t="str">
        <f>IF(COUNT($J$2:$J$1501)&gt;=1102,1102,"")</f>
        <v/>
      </c>
      <c r="B1103" s="8" t="str">
        <f t="shared" si="85"/>
        <v/>
      </c>
      <c r="C1103" s="8" t="str">
        <f t="shared" si="86"/>
        <v/>
      </c>
      <c r="D1103" s="8" t="str">
        <f t="shared" si="87"/>
        <v/>
      </c>
      <c r="F1103" s="4" t="str">
        <f>IF(Jugadores!B1103="","",Jugadores!B1103)</f>
        <v/>
      </c>
      <c r="G1103" s="4" t="str">
        <f>IF(Jugadores!B1103="","",Jugadores!A1103)</f>
        <v/>
      </c>
      <c r="H1103" s="4" t="str">
        <f>IF(F1103="","",SUMIF('Estadísticas Jugadores'!$F$2:$F$7001,F1103,'Estadísticas Jugadores'!$J$2:$J$7001))</f>
        <v/>
      </c>
      <c r="I1103" s="4" t="str">
        <f t="shared" si="88"/>
        <v/>
      </c>
      <c r="J1103" s="4" t="str">
        <f t="shared" si="89"/>
        <v/>
      </c>
    </row>
    <row r="1104" spans="1:10" ht="15" customHeight="1" x14ac:dyDescent="0.25">
      <c r="A1104" s="8" t="str">
        <f>IF(COUNT($J$2:$J$1501)&gt;=1103,1103,"")</f>
        <v/>
      </c>
      <c r="B1104" s="8" t="str">
        <f t="shared" si="85"/>
        <v/>
      </c>
      <c r="C1104" s="8" t="str">
        <f t="shared" si="86"/>
        <v/>
      </c>
      <c r="D1104" s="8" t="str">
        <f t="shared" si="87"/>
        <v/>
      </c>
      <c r="F1104" s="4" t="str">
        <f>IF(Jugadores!B1104="","",Jugadores!B1104)</f>
        <v/>
      </c>
      <c r="G1104" s="4" t="str">
        <f>IF(Jugadores!B1104="","",Jugadores!A1104)</f>
        <v/>
      </c>
      <c r="H1104" s="4" t="str">
        <f>IF(F1104="","",SUMIF('Estadísticas Jugadores'!$F$2:$F$7001,F1104,'Estadísticas Jugadores'!$J$2:$J$7001))</f>
        <v/>
      </c>
      <c r="I1104" s="4" t="str">
        <f t="shared" si="88"/>
        <v/>
      </c>
      <c r="J1104" s="4" t="str">
        <f t="shared" si="89"/>
        <v/>
      </c>
    </row>
    <row r="1105" spans="1:10" ht="15" customHeight="1" x14ac:dyDescent="0.25">
      <c r="A1105" s="8" t="str">
        <f>IF(COUNT($J$2:$J$1501)&gt;=1104,1104,"")</f>
        <v/>
      </c>
      <c r="B1105" s="8" t="str">
        <f t="shared" si="85"/>
        <v/>
      </c>
      <c r="C1105" s="8" t="str">
        <f t="shared" si="86"/>
        <v/>
      </c>
      <c r="D1105" s="8" t="str">
        <f t="shared" si="87"/>
        <v/>
      </c>
      <c r="F1105" s="4" t="str">
        <f>IF(Jugadores!B1105="","",Jugadores!B1105)</f>
        <v/>
      </c>
      <c r="G1105" s="4" t="str">
        <f>IF(Jugadores!B1105="","",Jugadores!A1105)</f>
        <v/>
      </c>
      <c r="H1105" s="4" t="str">
        <f>IF(F1105="","",SUMIF('Estadísticas Jugadores'!$F$2:$F$7001,F1105,'Estadísticas Jugadores'!$J$2:$J$7001))</f>
        <v/>
      </c>
      <c r="I1105" s="4" t="str">
        <f t="shared" si="88"/>
        <v/>
      </c>
      <c r="J1105" s="4" t="str">
        <f t="shared" si="89"/>
        <v/>
      </c>
    </row>
    <row r="1106" spans="1:10" ht="15" customHeight="1" x14ac:dyDescent="0.25">
      <c r="A1106" s="8" t="str">
        <f>IF(COUNT($J$2:$J$1501)&gt;=1105,1105,"")</f>
        <v/>
      </c>
      <c r="B1106" s="8" t="str">
        <f t="shared" si="85"/>
        <v/>
      </c>
      <c r="C1106" s="8" t="str">
        <f t="shared" si="86"/>
        <v/>
      </c>
      <c r="D1106" s="8" t="str">
        <f t="shared" si="87"/>
        <v/>
      </c>
      <c r="F1106" s="4" t="str">
        <f>IF(Jugadores!B1106="","",Jugadores!B1106)</f>
        <v/>
      </c>
      <c r="G1106" s="4" t="str">
        <f>IF(Jugadores!B1106="","",Jugadores!A1106)</f>
        <v/>
      </c>
      <c r="H1106" s="4" t="str">
        <f>IF(F1106="","",SUMIF('Estadísticas Jugadores'!$F$2:$F$7001,F1106,'Estadísticas Jugadores'!$J$2:$J$7001))</f>
        <v/>
      </c>
      <c r="I1106" s="4" t="str">
        <f t="shared" si="88"/>
        <v/>
      </c>
      <c r="J1106" s="4" t="str">
        <f t="shared" si="89"/>
        <v/>
      </c>
    </row>
    <row r="1107" spans="1:10" ht="15" customHeight="1" x14ac:dyDescent="0.25">
      <c r="A1107" s="8" t="str">
        <f>IF(COUNT($J$2:$J$1501)&gt;=1106,1106,"")</f>
        <v/>
      </c>
      <c r="B1107" s="8" t="str">
        <f t="shared" si="85"/>
        <v/>
      </c>
      <c r="C1107" s="8" t="str">
        <f t="shared" si="86"/>
        <v/>
      </c>
      <c r="D1107" s="8" t="str">
        <f t="shared" si="87"/>
        <v/>
      </c>
      <c r="F1107" s="4" t="str">
        <f>IF(Jugadores!B1107="","",Jugadores!B1107)</f>
        <v/>
      </c>
      <c r="G1107" s="4" t="str">
        <f>IF(Jugadores!B1107="","",Jugadores!A1107)</f>
        <v/>
      </c>
      <c r="H1107" s="4" t="str">
        <f>IF(F1107="","",SUMIF('Estadísticas Jugadores'!$F$2:$F$7001,F1107,'Estadísticas Jugadores'!$J$2:$J$7001))</f>
        <v/>
      </c>
      <c r="I1107" s="4" t="str">
        <f t="shared" si="88"/>
        <v/>
      </c>
      <c r="J1107" s="4" t="str">
        <f t="shared" si="89"/>
        <v/>
      </c>
    </row>
    <row r="1108" spans="1:10" ht="15" customHeight="1" x14ac:dyDescent="0.25">
      <c r="A1108" s="8" t="str">
        <f>IF(COUNT($J$2:$J$1501)&gt;=1107,1107,"")</f>
        <v/>
      </c>
      <c r="B1108" s="8" t="str">
        <f t="shared" si="85"/>
        <v/>
      </c>
      <c r="C1108" s="8" t="str">
        <f t="shared" si="86"/>
        <v/>
      </c>
      <c r="D1108" s="8" t="str">
        <f t="shared" si="87"/>
        <v/>
      </c>
      <c r="F1108" s="4" t="str">
        <f>IF(Jugadores!B1108="","",Jugadores!B1108)</f>
        <v/>
      </c>
      <c r="G1108" s="4" t="str">
        <f>IF(Jugadores!B1108="","",Jugadores!A1108)</f>
        <v/>
      </c>
      <c r="H1108" s="4" t="str">
        <f>IF(F1108="","",SUMIF('Estadísticas Jugadores'!$F$2:$F$7001,F1108,'Estadísticas Jugadores'!$J$2:$J$7001))</f>
        <v/>
      </c>
      <c r="I1108" s="4" t="str">
        <f t="shared" si="88"/>
        <v/>
      </c>
      <c r="J1108" s="4" t="str">
        <f t="shared" si="89"/>
        <v/>
      </c>
    </row>
    <row r="1109" spans="1:10" ht="15" customHeight="1" x14ac:dyDescent="0.25">
      <c r="A1109" s="8" t="str">
        <f>IF(COUNT($J$2:$J$1501)&gt;=1108,1108,"")</f>
        <v/>
      </c>
      <c r="B1109" s="8" t="str">
        <f t="shared" si="85"/>
        <v/>
      </c>
      <c r="C1109" s="8" t="str">
        <f t="shared" si="86"/>
        <v/>
      </c>
      <c r="D1109" s="8" t="str">
        <f t="shared" si="87"/>
        <v/>
      </c>
      <c r="F1109" s="4" t="str">
        <f>IF(Jugadores!B1109="","",Jugadores!B1109)</f>
        <v/>
      </c>
      <c r="G1109" s="4" t="str">
        <f>IF(Jugadores!B1109="","",Jugadores!A1109)</f>
        <v/>
      </c>
      <c r="H1109" s="4" t="str">
        <f>IF(F1109="","",SUMIF('Estadísticas Jugadores'!$F$2:$F$7001,F1109,'Estadísticas Jugadores'!$J$2:$J$7001))</f>
        <v/>
      </c>
      <c r="I1109" s="4" t="str">
        <f t="shared" si="88"/>
        <v/>
      </c>
      <c r="J1109" s="4" t="str">
        <f t="shared" si="89"/>
        <v/>
      </c>
    </row>
    <row r="1110" spans="1:10" ht="15" customHeight="1" x14ac:dyDescent="0.25">
      <c r="A1110" s="8" t="str">
        <f>IF(COUNT($J$2:$J$1501)&gt;=1109,1109,"")</f>
        <v/>
      </c>
      <c r="B1110" s="8" t="str">
        <f t="shared" si="85"/>
        <v/>
      </c>
      <c r="C1110" s="8" t="str">
        <f t="shared" si="86"/>
        <v/>
      </c>
      <c r="D1110" s="8" t="str">
        <f t="shared" si="87"/>
        <v/>
      </c>
      <c r="F1110" s="4" t="str">
        <f>IF(Jugadores!B1110="","",Jugadores!B1110)</f>
        <v/>
      </c>
      <c r="G1110" s="4" t="str">
        <f>IF(Jugadores!B1110="","",Jugadores!A1110)</f>
        <v/>
      </c>
      <c r="H1110" s="4" t="str">
        <f>IF(F1110="","",SUMIF('Estadísticas Jugadores'!$F$2:$F$7001,F1110,'Estadísticas Jugadores'!$J$2:$J$7001))</f>
        <v/>
      </c>
      <c r="I1110" s="4" t="str">
        <f t="shared" si="88"/>
        <v/>
      </c>
      <c r="J1110" s="4" t="str">
        <f t="shared" si="89"/>
        <v/>
      </c>
    </row>
    <row r="1111" spans="1:10" ht="15" customHeight="1" x14ac:dyDescent="0.25">
      <c r="A1111" s="8" t="str">
        <f>IF(COUNT($J$2:$J$1501)&gt;=1110,1110,"")</f>
        <v/>
      </c>
      <c r="B1111" s="8" t="str">
        <f t="shared" si="85"/>
        <v/>
      </c>
      <c r="C1111" s="8" t="str">
        <f t="shared" si="86"/>
        <v/>
      </c>
      <c r="D1111" s="8" t="str">
        <f t="shared" si="87"/>
        <v/>
      </c>
      <c r="F1111" s="4" t="str">
        <f>IF(Jugadores!B1111="","",Jugadores!B1111)</f>
        <v/>
      </c>
      <c r="G1111" s="4" t="str">
        <f>IF(Jugadores!B1111="","",Jugadores!A1111)</f>
        <v/>
      </c>
      <c r="H1111" s="4" t="str">
        <f>IF(F1111="","",SUMIF('Estadísticas Jugadores'!$F$2:$F$7001,F1111,'Estadísticas Jugadores'!$J$2:$J$7001))</f>
        <v/>
      </c>
      <c r="I1111" s="4" t="str">
        <f t="shared" si="88"/>
        <v/>
      </c>
      <c r="J1111" s="4" t="str">
        <f t="shared" si="89"/>
        <v/>
      </c>
    </row>
    <row r="1112" spans="1:10" ht="15" customHeight="1" x14ac:dyDescent="0.25">
      <c r="A1112" s="8" t="str">
        <f>IF(COUNT($J$2:$J$1501)&gt;=1111,1111,"")</f>
        <v/>
      </c>
      <c r="B1112" s="8" t="str">
        <f t="shared" si="85"/>
        <v/>
      </c>
      <c r="C1112" s="8" t="str">
        <f t="shared" si="86"/>
        <v/>
      </c>
      <c r="D1112" s="8" t="str">
        <f t="shared" si="87"/>
        <v/>
      </c>
      <c r="F1112" s="4" t="str">
        <f>IF(Jugadores!B1112="","",Jugadores!B1112)</f>
        <v/>
      </c>
      <c r="G1112" s="4" t="str">
        <f>IF(Jugadores!B1112="","",Jugadores!A1112)</f>
        <v/>
      </c>
      <c r="H1112" s="4" t="str">
        <f>IF(F1112="","",SUMIF('Estadísticas Jugadores'!$F$2:$F$7001,F1112,'Estadísticas Jugadores'!$J$2:$J$7001))</f>
        <v/>
      </c>
      <c r="I1112" s="4" t="str">
        <f t="shared" si="88"/>
        <v/>
      </c>
      <c r="J1112" s="4" t="str">
        <f t="shared" si="89"/>
        <v/>
      </c>
    </row>
    <row r="1113" spans="1:10" ht="15" customHeight="1" x14ac:dyDescent="0.25">
      <c r="A1113" s="8" t="str">
        <f>IF(COUNT($J$2:$J$1501)&gt;=1112,1112,"")</f>
        <v/>
      </c>
      <c r="B1113" s="8" t="str">
        <f t="shared" si="85"/>
        <v/>
      </c>
      <c r="C1113" s="8" t="str">
        <f t="shared" si="86"/>
        <v/>
      </c>
      <c r="D1113" s="8" t="str">
        <f t="shared" si="87"/>
        <v/>
      </c>
      <c r="F1113" s="4" t="str">
        <f>IF(Jugadores!B1113="","",Jugadores!B1113)</f>
        <v/>
      </c>
      <c r="G1113" s="4" t="str">
        <f>IF(Jugadores!B1113="","",Jugadores!A1113)</f>
        <v/>
      </c>
      <c r="H1113" s="4" t="str">
        <f>IF(F1113="","",SUMIF('Estadísticas Jugadores'!$F$2:$F$7001,F1113,'Estadísticas Jugadores'!$J$2:$J$7001))</f>
        <v/>
      </c>
      <c r="I1113" s="4" t="str">
        <f t="shared" si="88"/>
        <v/>
      </c>
      <c r="J1113" s="4" t="str">
        <f t="shared" si="89"/>
        <v/>
      </c>
    </row>
    <row r="1114" spans="1:10" ht="15" customHeight="1" x14ac:dyDescent="0.25">
      <c r="A1114" s="8" t="str">
        <f>IF(COUNT($J$2:$J$1501)&gt;=1113,1113,"")</f>
        <v/>
      </c>
      <c r="B1114" s="8" t="str">
        <f t="shared" si="85"/>
        <v/>
      </c>
      <c r="C1114" s="8" t="str">
        <f t="shared" si="86"/>
        <v/>
      </c>
      <c r="D1114" s="8" t="str">
        <f t="shared" si="87"/>
        <v/>
      </c>
      <c r="F1114" s="4" t="str">
        <f>IF(Jugadores!B1114="","",Jugadores!B1114)</f>
        <v/>
      </c>
      <c r="G1114" s="4" t="str">
        <f>IF(Jugadores!B1114="","",Jugadores!A1114)</f>
        <v/>
      </c>
      <c r="H1114" s="4" t="str">
        <f>IF(F1114="","",SUMIF('Estadísticas Jugadores'!$F$2:$F$7001,F1114,'Estadísticas Jugadores'!$J$2:$J$7001))</f>
        <v/>
      </c>
      <c r="I1114" s="4" t="str">
        <f t="shared" si="88"/>
        <v/>
      </c>
      <c r="J1114" s="4" t="str">
        <f t="shared" si="89"/>
        <v/>
      </c>
    </row>
    <row r="1115" spans="1:10" ht="15" customHeight="1" x14ac:dyDescent="0.25">
      <c r="A1115" s="8" t="str">
        <f>IF(COUNT($J$2:$J$1501)&gt;=1114,1114,"")</f>
        <v/>
      </c>
      <c r="B1115" s="8" t="str">
        <f t="shared" si="85"/>
        <v/>
      </c>
      <c r="C1115" s="8" t="str">
        <f t="shared" si="86"/>
        <v/>
      </c>
      <c r="D1115" s="8" t="str">
        <f t="shared" si="87"/>
        <v/>
      </c>
      <c r="F1115" s="4" t="str">
        <f>IF(Jugadores!B1115="","",Jugadores!B1115)</f>
        <v/>
      </c>
      <c r="G1115" s="4" t="str">
        <f>IF(Jugadores!B1115="","",Jugadores!A1115)</f>
        <v/>
      </c>
      <c r="H1115" s="4" t="str">
        <f>IF(F1115="","",SUMIF('Estadísticas Jugadores'!$F$2:$F$7001,F1115,'Estadísticas Jugadores'!$J$2:$J$7001))</f>
        <v/>
      </c>
      <c r="I1115" s="4" t="str">
        <f t="shared" si="88"/>
        <v/>
      </c>
      <c r="J1115" s="4" t="str">
        <f t="shared" si="89"/>
        <v/>
      </c>
    </row>
    <row r="1116" spans="1:10" ht="15" customHeight="1" x14ac:dyDescent="0.25">
      <c r="A1116" s="8" t="str">
        <f>IF(COUNT($J$2:$J$1501)&gt;=1115,1115,"")</f>
        <v/>
      </c>
      <c r="B1116" s="8" t="str">
        <f t="shared" si="85"/>
        <v/>
      </c>
      <c r="C1116" s="8" t="str">
        <f t="shared" si="86"/>
        <v/>
      </c>
      <c r="D1116" s="8" t="str">
        <f t="shared" si="87"/>
        <v/>
      </c>
      <c r="F1116" s="4" t="str">
        <f>IF(Jugadores!B1116="","",Jugadores!B1116)</f>
        <v/>
      </c>
      <c r="G1116" s="4" t="str">
        <f>IF(Jugadores!B1116="","",Jugadores!A1116)</f>
        <v/>
      </c>
      <c r="H1116" s="4" t="str">
        <f>IF(F1116="","",SUMIF('Estadísticas Jugadores'!$F$2:$F$7001,F1116,'Estadísticas Jugadores'!$J$2:$J$7001))</f>
        <v/>
      </c>
      <c r="I1116" s="4" t="str">
        <f t="shared" si="88"/>
        <v/>
      </c>
      <c r="J1116" s="4" t="str">
        <f t="shared" si="89"/>
        <v/>
      </c>
    </row>
    <row r="1117" spans="1:10" ht="15" customHeight="1" x14ac:dyDescent="0.25">
      <c r="A1117" s="8" t="str">
        <f>IF(COUNT($J$2:$J$1501)&gt;=1116,1116,"")</f>
        <v/>
      </c>
      <c r="B1117" s="8" t="str">
        <f t="shared" si="85"/>
        <v/>
      </c>
      <c r="C1117" s="8" t="str">
        <f t="shared" si="86"/>
        <v/>
      </c>
      <c r="D1117" s="8" t="str">
        <f t="shared" si="87"/>
        <v/>
      </c>
      <c r="F1117" s="4" t="str">
        <f>IF(Jugadores!B1117="","",Jugadores!B1117)</f>
        <v/>
      </c>
      <c r="G1117" s="4" t="str">
        <f>IF(Jugadores!B1117="","",Jugadores!A1117)</f>
        <v/>
      </c>
      <c r="H1117" s="4" t="str">
        <f>IF(F1117="","",SUMIF('Estadísticas Jugadores'!$F$2:$F$7001,F1117,'Estadísticas Jugadores'!$J$2:$J$7001))</f>
        <v/>
      </c>
      <c r="I1117" s="4" t="str">
        <f t="shared" si="88"/>
        <v/>
      </c>
      <c r="J1117" s="4" t="str">
        <f t="shared" si="89"/>
        <v/>
      </c>
    </row>
    <row r="1118" spans="1:10" ht="15" customHeight="1" x14ac:dyDescent="0.25">
      <c r="A1118" s="8" t="str">
        <f>IF(COUNT($J$2:$J$1501)&gt;=1117,1117,"")</f>
        <v/>
      </c>
      <c r="B1118" s="8" t="str">
        <f t="shared" si="85"/>
        <v/>
      </c>
      <c r="C1118" s="8" t="str">
        <f t="shared" si="86"/>
        <v/>
      </c>
      <c r="D1118" s="8" t="str">
        <f t="shared" si="87"/>
        <v/>
      </c>
      <c r="F1118" s="4" t="str">
        <f>IF(Jugadores!B1118="","",Jugadores!B1118)</f>
        <v/>
      </c>
      <c r="G1118" s="4" t="str">
        <f>IF(Jugadores!B1118="","",Jugadores!A1118)</f>
        <v/>
      </c>
      <c r="H1118" s="4" t="str">
        <f>IF(F1118="","",SUMIF('Estadísticas Jugadores'!$F$2:$F$7001,F1118,'Estadísticas Jugadores'!$J$2:$J$7001))</f>
        <v/>
      </c>
      <c r="I1118" s="4" t="str">
        <f t="shared" si="88"/>
        <v/>
      </c>
      <c r="J1118" s="4" t="str">
        <f t="shared" si="89"/>
        <v/>
      </c>
    </row>
    <row r="1119" spans="1:10" ht="15" customHeight="1" x14ac:dyDescent="0.25">
      <c r="A1119" s="8" t="str">
        <f>IF(COUNT($J$2:$J$1501)&gt;=1118,1118,"")</f>
        <v/>
      </c>
      <c r="B1119" s="8" t="str">
        <f t="shared" si="85"/>
        <v/>
      </c>
      <c r="C1119" s="8" t="str">
        <f t="shared" si="86"/>
        <v/>
      </c>
      <c r="D1119" s="8" t="str">
        <f t="shared" si="87"/>
        <v/>
      </c>
      <c r="F1119" s="4" t="str">
        <f>IF(Jugadores!B1119="","",Jugadores!B1119)</f>
        <v/>
      </c>
      <c r="G1119" s="4" t="str">
        <f>IF(Jugadores!B1119="","",Jugadores!A1119)</f>
        <v/>
      </c>
      <c r="H1119" s="4" t="str">
        <f>IF(F1119="","",SUMIF('Estadísticas Jugadores'!$F$2:$F$7001,F1119,'Estadísticas Jugadores'!$J$2:$J$7001))</f>
        <v/>
      </c>
      <c r="I1119" s="4" t="str">
        <f t="shared" si="88"/>
        <v/>
      </c>
      <c r="J1119" s="4" t="str">
        <f t="shared" si="89"/>
        <v/>
      </c>
    </row>
    <row r="1120" spans="1:10" ht="15" customHeight="1" x14ac:dyDescent="0.25">
      <c r="A1120" s="8" t="str">
        <f>IF(COUNT($J$2:$J$1501)&gt;=1119,1119,"")</f>
        <v/>
      </c>
      <c r="B1120" s="8" t="str">
        <f t="shared" si="85"/>
        <v/>
      </c>
      <c r="C1120" s="8" t="str">
        <f t="shared" si="86"/>
        <v/>
      </c>
      <c r="D1120" s="8" t="str">
        <f t="shared" si="87"/>
        <v/>
      </c>
      <c r="F1120" s="4" t="str">
        <f>IF(Jugadores!B1120="","",Jugadores!B1120)</f>
        <v/>
      </c>
      <c r="G1120" s="4" t="str">
        <f>IF(Jugadores!B1120="","",Jugadores!A1120)</f>
        <v/>
      </c>
      <c r="H1120" s="4" t="str">
        <f>IF(F1120="","",SUMIF('Estadísticas Jugadores'!$F$2:$F$7001,F1120,'Estadísticas Jugadores'!$J$2:$J$7001))</f>
        <v/>
      </c>
      <c r="I1120" s="4" t="str">
        <f t="shared" si="88"/>
        <v/>
      </c>
      <c r="J1120" s="4" t="str">
        <f t="shared" si="89"/>
        <v/>
      </c>
    </row>
    <row r="1121" spans="1:10" ht="15" customHeight="1" x14ac:dyDescent="0.25">
      <c r="A1121" s="8" t="str">
        <f>IF(COUNT($J$2:$J$1501)&gt;=1120,1120,"")</f>
        <v/>
      </c>
      <c r="B1121" s="8" t="str">
        <f t="shared" si="85"/>
        <v/>
      </c>
      <c r="C1121" s="8" t="str">
        <f t="shared" si="86"/>
        <v/>
      </c>
      <c r="D1121" s="8" t="str">
        <f t="shared" si="87"/>
        <v/>
      </c>
      <c r="F1121" s="4" t="str">
        <f>IF(Jugadores!B1121="","",Jugadores!B1121)</f>
        <v/>
      </c>
      <c r="G1121" s="4" t="str">
        <f>IF(Jugadores!B1121="","",Jugadores!A1121)</f>
        <v/>
      </c>
      <c r="H1121" s="4" t="str">
        <f>IF(F1121="","",SUMIF('Estadísticas Jugadores'!$F$2:$F$7001,F1121,'Estadísticas Jugadores'!$J$2:$J$7001))</f>
        <v/>
      </c>
      <c r="I1121" s="4" t="str">
        <f t="shared" si="88"/>
        <v/>
      </c>
      <c r="J1121" s="4" t="str">
        <f t="shared" si="89"/>
        <v/>
      </c>
    </row>
    <row r="1122" spans="1:10" ht="15" customHeight="1" x14ac:dyDescent="0.25">
      <c r="A1122" s="8" t="str">
        <f>IF(COUNT($J$2:$J$1501)&gt;=1121,1121,"")</f>
        <v/>
      </c>
      <c r="B1122" s="8" t="str">
        <f t="shared" si="85"/>
        <v/>
      </c>
      <c r="C1122" s="8" t="str">
        <f t="shared" si="86"/>
        <v/>
      </c>
      <c r="D1122" s="8" t="str">
        <f t="shared" si="87"/>
        <v/>
      </c>
      <c r="F1122" s="4" t="str">
        <f>IF(Jugadores!B1122="","",Jugadores!B1122)</f>
        <v/>
      </c>
      <c r="G1122" s="4" t="str">
        <f>IF(Jugadores!B1122="","",Jugadores!A1122)</f>
        <v/>
      </c>
      <c r="H1122" s="4" t="str">
        <f>IF(F1122="","",SUMIF('Estadísticas Jugadores'!$F$2:$F$7001,F1122,'Estadísticas Jugadores'!$J$2:$J$7001))</f>
        <v/>
      </c>
      <c r="I1122" s="4" t="str">
        <f t="shared" si="88"/>
        <v/>
      </c>
      <c r="J1122" s="4" t="str">
        <f t="shared" si="89"/>
        <v/>
      </c>
    </row>
    <row r="1123" spans="1:10" ht="15" customHeight="1" x14ac:dyDescent="0.25">
      <c r="A1123" s="8" t="str">
        <f>IF(COUNT($J$2:$J$1501)&gt;=1122,1122,"")</f>
        <v/>
      </c>
      <c r="B1123" s="8" t="str">
        <f t="shared" si="85"/>
        <v/>
      </c>
      <c r="C1123" s="8" t="str">
        <f t="shared" si="86"/>
        <v/>
      </c>
      <c r="D1123" s="8" t="str">
        <f t="shared" si="87"/>
        <v/>
      </c>
      <c r="F1123" s="4" t="str">
        <f>IF(Jugadores!B1123="","",Jugadores!B1123)</f>
        <v/>
      </c>
      <c r="G1123" s="4" t="str">
        <f>IF(Jugadores!B1123="","",Jugadores!A1123)</f>
        <v/>
      </c>
      <c r="H1123" s="4" t="str">
        <f>IF(F1123="","",SUMIF('Estadísticas Jugadores'!$F$2:$F$7001,F1123,'Estadísticas Jugadores'!$J$2:$J$7001))</f>
        <v/>
      </c>
      <c r="I1123" s="4" t="str">
        <f t="shared" si="88"/>
        <v/>
      </c>
      <c r="J1123" s="4" t="str">
        <f t="shared" si="89"/>
        <v/>
      </c>
    </row>
    <row r="1124" spans="1:10" ht="15" customHeight="1" x14ac:dyDescent="0.25">
      <c r="A1124" s="8" t="str">
        <f>IF(COUNT($J$2:$J$1501)&gt;=1123,1123,"")</f>
        <v/>
      </c>
      <c r="B1124" s="8" t="str">
        <f t="shared" si="85"/>
        <v/>
      </c>
      <c r="C1124" s="8" t="str">
        <f t="shared" si="86"/>
        <v/>
      </c>
      <c r="D1124" s="8" t="str">
        <f t="shared" si="87"/>
        <v/>
      </c>
      <c r="F1124" s="4" t="str">
        <f>IF(Jugadores!B1124="","",Jugadores!B1124)</f>
        <v/>
      </c>
      <c r="G1124" s="4" t="str">
        <f>IF(Jugadores!B1124="","",Jugadores!A1124)</f>
        <v/>
      </c>
      <c r="H1124" s="4" t="str">
        <f>IF(F1124="","",SUMIF('Estadísticas Jugadores'!$F$2:$F$7001,F1124,'Estadísticas Jugadores'!$J$2:$J$7001))</f>
        <v/>
      </c>
      <c r="I1124" s="4" t="str">
        <f t="shared" si="88"/>
        <v/>
      </c>
      <c r="J1124" s="4" t="str">
        <f t="shared" si="89"/>
        <v/>
      </c>
    </row>
    <row r="1125" spans="1:10" ht="15" customHeight="1" x14ac:dyDescent="0.25">
      <c r="A1125" s="8" t="str">
        <f>IF(COUNT($J$2:$J$1501)&gt;=1124,1124,"")</f>
        <v/>
      </c>
      <c r="B1125" s="8" t="str">
        <f t="shared" si="85"/>
        <v/>
      </c>
      <c r="C1125" s="8" t="str">
        <f t="shared" si="86"/>
        <v/>
      </c>
      <c r="D1125" s="8" t="str">
        <f t="shared" si="87"/>
        <v/>
      </c>
      <c r="F1125" s="4" t="str">
        <f>IF(Jugadores!B1125="","",Jugadores!B1125)</f>
        <v/>
      </c>
      <c r="G1125" s="4" t="str">
        <f>IF(Jugadores!B1125="","",Jugadores!A1125)</f>
        <v/>
      </c>
      <c r="H1125" s="4" t="str">
        <f>IF(F1125="","",SUMIF('Estadísticas Jugadores'!$F$2:$F$7001,F1125,'Estadísticas Jugadores'!$J$2:$J$7001))</f>
        <v/>
      </c>
      <c r="I1125" s="4" t="str">
        <f t="shared" si="88"/>
        <v/>
      </c>
      <c r="J1125" s="4" t="str">
        <f t="shared" si="89"/>
        <v/>
      </c>
    </row>
    <row r="1126" spans="1:10" ht="15" customHeight="1" x14ac:dyDescent="0.25">
      <c r="A1126" s="8" t="str">
        <f>IF(COUNT($J$2:$J$1501)&gt;=1125,1125,"")</f>
        <v/>
      </c>
      <c r="B1126" s="8" t="str">
        <f t="shared" si="85"/>
        <v/>
      </c>
      <c r="C1126" s="8" t="str">
        <f t="shared" si="86"/>
        <v/>
      </c>
      <c r="D1126" s="8" t="str">
        <f t="shared" si="87"/>
        <v/>
      </c>
      <c r="F1126" s="4" t="str">
        <f>IF(Jugadores!B1126="","",Jugadores!B1126)</f>
        <v/>
      </c>
      <c r="G1126" s="4" t="str">
        <f>IF(Jugadores!B1126="","",Jugadores!A1126)</f>
        <v/>
      </c>
      <c r="H1126" s="4" t="str">
        <f>IF(F1126="","",SUMIF('Estadísticas Jugadores'!$F$2:$F$7001,F1126,'Estadísticas Jugadores'!$J$2:$J$7001))</f>
        <v/>
      </c>
      <c r="I1126" s="4" t="str">
        <f t="shared" si="88"/>
        <v/>
      </c>
      <c r="J1126" s="4" t="str">
        <f t="shared" si="89"/>
        <v/>
      </c>
    </row>
    <row r="1127" spans="1:10" ht="15" customHeight="1" x14ac:dyDescent="0.25">
      <c r="A1127" s="8" t="str">
        <f>IF(COUNT($J$2:$J$1501)&gt;=1126,1126,"")</f>
        <v/>
      </c>
      <c r="B1127" s="8" t="str">
        <f t="shared" si="85"/>
        <v/>
      </c>
      <c r="C1127" s="8" t="str">
        <f t="shared" si="86"/>
        <v/>
      </c>
      <c r="D1127" s="8" t="str">
        <f t="shared" si="87"/>
        <v/>
      </c>
      <c r="F1127" s="4" t="str">
        <f>IF(Jugadores!B1127="","",Jugadores!B1127)</f>
        <v/>
      </c>
      <c r="G1127" s="4" t="str">
        <f>IF(Jugadores!B1127="","",Jugadores!A1127)</f>
        <v/>
      </c>
      <c r="H1127" s="4" t="str">
        <f>IF(F1127="","",SUMIF('Estadísticas Jugadores'!$F$2:$F$7001,F1127,'Estadísticas Jugadores'!$J$2:$J$7001))</f>
        <v/>
      </c>
      <c r="I1127" s="4" t="str">
        <f t="shared" si="88"/>
        <v/>
      </c>
      <c r="J1127" s="4" t="str">
        <f t="shared" si="89"/>
        <v/>
      </c>
    </row>
    <row r="1128" spans="1:10" ht="15" customHeight="1" x14ac:dyDescent="0.25">
      <c r="A1128" s="8" t="str">
        <f>IF(COUNT($J$2:$J$1501)&gt;=1127,1127,"")</f>
        <v/>
      </c>
      <c r="B1128" s="8" t="str">
        <f t="shared" si="85"/>
        <v/>
      </c>
      <c r="C1128" s="8" t="str">
        <f t="shared" si="86"/>
        <v/>
      </c>
      <c r="D1128" s="8" t="str">
        <f t="shared" si="87"/>
        <v/>
      </c>
      <c r="F1128" s="4" t="str">
        <f>IF(Jugadores!B1128="","",Jugadores!B1128)</f>
        <v/>
      </c>
      <c r="G1128" s="4" t="str">
        <f>IF(Jugadores!B1128="","",Jugadores!A1128)</f>
        <v/>
      </c>
      <c r="H1128" s="4" t="str">
        <f>IF(F1128="","",SUMIF('Estadísticas Jugadores'!$F$2:$F$7001,F1128,'Estadísticas Jugadores'!$J$2:$J$7001))</f>
        <v/>
      </c>
      <c r="I1128" s="4" t="str">
        <f t="shared" si="88"/>
        <v/>
      </c>
      <c r="J1128" s="4" t="str">
        <f t="shared" si="89"/>
        <v/>
      </c>
    </row>
    <row r="1129" spans="1:10" ht="15" customHeight="1" x14ac:dyDescent="0.25">
      <c r="A1129" s="8" t="str">
        <f>IF(COUNT($J$2:$J$1501)&gt;=1128,1128,"")</f>
        <v/>
      </c>
      <c r="B1129" s="8" t="str">
        <f t="shared" si="85"/>
        <v/>
      </c>
      <c r="C1129" s="8" t="str">
        <f t="shared" si="86"/>
        <v/>
      </c>
      <c r="D1129" s="8" t="str">
        <f t="shared" si="87"/>
        <v/>
      </c>
      <c r="F1129" s="4" t="str">
        <f>IF(Jugadores!B1129="","",Jugadores!B1129)</f>
        <v/>
      </c>
      <c r="G1129" s="4" t="str">
        <f>IF(Jugadores!B1129="","",Jugadores!A1129)</f>
        <v/>
      </c>
      <c r="H1129" s="4" t="str">
        <f>IF(F1129="","",SUMIF('Estadísticas Jugadores'!$F$2:$F$7001,F1129,'Estadísticas Jugadores'!$J$2:$J$7001))</f>
        <v/>
      </c>
      <c r="I1129" s="4" t="str">
        <f t="shared" si="88"/>
        <v/>
      </c>
      <c r="J1129" s="4" t="str">
        <f t="shared" si="89"/>
        <v/>
      </c>
    </row>
    <row r="1130" spans="1:10" ht="15" customHeight="1" x14ac:dyDescent="0.25">
      <c r="A1130" s="8" t="str">
        <f>IF(COUNT($J$2:$J$1501)&gt;=1129,1129,"")</f>
        <v/>
      </c>
      <c r="B1130" s="8" t="str">
        <f t="shared" si="85"/>
        <v/>
      </c>
      <c r="C1130" s="8" t="str">
        <f t="shared" si="86"/>
        <v/>
      </c>
      <c r="D1130" s="8" t="str">
        <f t="shared" si="87"/>
        <v/>
      </c>
      <c r="F1130" s="4" t="str">
        <f>IF(Jugadores!B1130="","",Jugadores!B1130)</f>
        <v/>
      </c>
      <c r="G1130" s="4" t="str">
        <f>IF(Jugadores!B1130="","",Jugadores!A1130)</f>
        <v/>
      </c>
      <c r="H1130" s="4" t="str">
        <f>IF(F1130="","",SUMIF('Estadísticas Jugadores'!$F$2:$F$7001,F1130,'Estadísticas Jugadores'!$J$2:$J$7001))</f>
        <v/>
      </c>
      <c r="I1130" s="4" t="str">
        <f t="shared" si="88"/>
        <v/>
      </c>
      <c r="J1130" s="4" t="str">
        <f t="shared" si="89"/>
        <v/>
      </c>
    </row>
    <row r="1131" spans="1:10" ht="15" customHeight="1" x14ac:dyDescent="0.25">
      <c r="A1131" s="8" t="str">
        <f>IF(COUNT($J$2:$J$1501)&gt;=1130,1130,"")</f>
        <v/>
      </c>
      <c r="B1131" s="8" t="str">
        <f t="shared" si="85"/>
        <v/>
      </c>
      <c r="C1131" s="8" t="str">
        <f t="shared" si="86"/>
        <v/>
      </c>
      <c r="D1131" s="8" t="str">
        <f t="shared" si="87"/>
        <v/>
      </c>
      <c r="F1131" s="4" t="str">
        <f>IF(Jugadores!B1131="","",Jugadores!B1131)</f>
        <v/>
      </c>
      <c r="G1131" s="4" t="str">
        <f>IF(Jugadores!B1131="","",Jugadores!A1131)</f>
        <v/>
      </c>
      <c r="H1131" s="4" t="str">
        <f>IF(F1131="","",SUMIF('Estadísticas Jugadores'!$F$2:$F$7001,F1131,'Estadísticas Jugadores'!$J$2:$J$7001))</f>
        <v/>
      </c>
      <c r="I1131" s="4" t="str">
        <f t="shared" si="88"/>
        <v/>
      </c>
      <c r="J1131" s="4" t="str">
        <f t="shared" si="89"/>
        <v/>
      </c>
    </row>
    <row r="1132" spans="1:10" ht="15" customHeight="1" x14ac:dyDescent="0.25">
      <c r="A1132" s="8" t="str">
        <f>IF(COUNT($J$2:$J$1501)&gt;=1131,1131,"")</f>
        <v/>
      </c>
      <c r="B1132" s="8" t="str">
        <f t="shared" si="85"/>
        <v/>
      </c>
      <c r="C1132" s="8" t="str">
        <f t="shared" si="86"/>
        <v/>
      </c>
      <c r="D1132" s="8" t="str">
        <f t="shared" si="87"/>
        <v/>
      </c>
      <c r="F1132" s="4" t="str">
        <f>IF(Jugadores!B1132="","",Jugadores!B1132)</f>
        <v/>
      </c>
      <c r="G1132" s="4" t="str">
        <f>IF(Jugadores!B1132="","",Jugadores!A1132)</f>
        <v/>
      </c>
      <c r="H1132" s="4" t="str">
        <f>IF(F1132="","",SUMIF('Estadísticas Jugadores'!$F$2:$F$7001,F1132,'Estadísticas Jugadores'!$J$2:$J$7001))</f>
        <v/>
      </c>
      <c r="I1132" s="4" t="str">
        <f t="shared" si="88"/>
        <v/>
      </c>
      <c r="J1132" s="4" t="str">
        <f t="shared" si="89"/>
        <v/>
      </c>
    </row>
    <row r="1133" spans="1:10" ht="15" customHeight="1" x14ac:dyDescent="0.25">
      <c r="A1133" s="8" t="str">
        <f>IF(COUNT($J$2:$J$1501)&gt;=1132,1132,"")</f>
        <v/>
      </c>
      <c r="B1133" s="8" t="str">
        <f t="shared" si="85"/>
        <v/>
      </c>
      <c r="C1133" s="8" t="str">
        <f t="shared" si="86"/>
        <v/>
      </c>
      <c r="D1133" s="8" t="str">
        <f t="shared" si="87"/>
        <v/>
      </c>
      <c r="F1133" s="4" t="str">
        <f>IF(Jugadores!B1133="","",Jugadores!B1133)</f>
        <v/>
      </c>
      <c r="G1133" s="4" t="str">
        <f>IF(Jugadores!B1133="","",Jugadores!A1133)</f>
        <v/>
      </c>
      <c r="H1133" s="4" t="str">
        <f>IF(F1133="","",SUMIF('Estadísticas Jugadores'!$F$2:$F$7001,F1133,'Estadísticas Jugadores'!$J$2:$J$7001))</f>
        <v/>
      </c>
      <c r="I1133" s="4" t="str">
        <f t="shared" si="88"/>
        <v/>
      </c>
      <c r="J1133" s="4" t="str">
        <f t="shared" si="89"/>
        <v/>
      </c>
    </row>
    <row r="1134" spans="1:10" ht="15" customHeight="1" x14ac:dyDescent="0.25">
      <c r="A1134" s="8" t="str">
        <f>IF(COUNT($J$2:$J$1501)&gt;=1133,1133,"")</f>
        <v/>
      </c>
      <c r="B1134" s="8" t="str">
        <f t="shared" si="85"/>
        <v/>
      </c>
      <c r="C1134" s="8" t="str">
        <f t="shared" si="86"/>
        <v/>
      </c>
      <c r="D1134" s="8" t="str">
        <f t="shared" si="87"/>
        <v/>
      </c>
      <c r="F1134" s="4" t="str">
        <f>IF(Jugadores!B1134="","",Jugadores!B1134)</f>
        <v/>
      </c>
      <c r="G1134" s="4" t="str">
        <f>IF(Jugadores!B1134="","",Jugadores!A1134)</f>
        <v/>
      </c>
      <c r="H1134" s="4" t="str">
        <f>IF(F1134="","",SUMIF('Estadísticas Jugadores'!$F$2:$F$7001,F1134,'Estadísticas Jugadores'!$J$2:$J$7001))</f>
        <v/>
      </c>
      <c r="I1134" s="4" t="str">
        <f t="shared" si="88"/>
        <v/>
      </c>
      <c r="J1134" s="4" t="str">
        <f t="shared" si="89"/>
        <v/>
      </c>
    </row>
    <row r="1135" spans="1:10" ht="15" customHeight="1" x14ac:dyDescent="0.25">
      <c r="A1135" s="8" t="str">
        <f>IF(COUNT($J$2:$J$1501)&gt;=1134,1134,"")</f>
        <v/>
      </c>
      <c r="B1135" s="8" t="str">
        <f t="shared" si="85"/>
        <v/>
      </c>
      <c r="C1135" s="8" t="str">
        <f t="shared" si="86"/>
        <v/>
      </c>
      <c r="D1135" s="8" t="str">
        <f t="shared" si="87"/>
        <v/>
      </c>
      <c r="F1135" s="4" t="str">
        <f>IF(Jugadores!B1135="","",Jugadores!B1135)</f>
        <v/>
      </c>
      <c r="G1135" s="4" t="str">
        <f>IF(Jugadores!B1135="","",Jugadores!A1135)</f>
        <v/>
      </c>
      <c r="H1135" s="4" t="str">
        <f>IF(F1135="","",SUMIF('Estadísticas Jugadores'!$F$2:$F$7001,F1135,'Estadísticas Jugadores'!$J$2:$J$7001))</f>
        <v/>
      </c>
      <c r="I1135" s="4" t="str">
        <f t="shared" si="88"/>
        <v/>
      </c>
      <c r="J1135" s="4" t="str">
        <f t="shared" si="89"/>
        <v/>
      </c>
    </row>
    <row r="1136" spans="1:10" ht="15" customHeight="1" x14ac:dyDescent="0.25">
      <c r="A1136" s="8" t="str">
        <f>IF(COUNT($J$2:$J$1501)&gt;=1135,1135,"")</f>
        <v/>
      </c>
      <c r="B1136" s="8" t="str">
        <f t="shared" si="85"/>
        <v/>
      </c>
      <c r="C1136" s="8" t="str">
        <f t="shared" si="86"/>
        <v/>
      </c>
      <c r="D1136" s="8" t="str">
        <f t="shared" si="87"/>
        <v/>
      </c>
      <c r="F1136" s="4" t="str">
        <f>IF(Jugadores!B1136="","",Jugadores!B1136)</f>
        <v/>
      </c>
      <c r="G1136" s="4" t="str">
        <f>IF(Jugadores!B1136="","",Jugadores!A1136)</f>
        <v/>
      </c>
      <c r="H1136" s="4" t="str">
        <f>IF(F1136="","",SUMIF('Estadísticas Jugadores'!$F$2:$F$7001,F1136,'Estadísticas Jugadores'!$J$2:$J$7001))</f>
        <v/>
      </c>
      <c r="I1136" s="4" t="str">
        <f t="shared" si="88"/>
        <v/>
      </c>
      <c r="J1136" s="4" t="str">
        <f t="shared" si="89"/>
        <v/>
      </c>
    </row>
    <row r="1137" spans="1:10" ht="15" customHeight="1" x14ac:dyDescent="0.25">
      <c r="A1137" s="8" t="str">
        <f>IF(COUNT($J$2:$J$1501)&gt;=1136,1136,"")</f>
        <v/>
      </c>
      <c r="B1137" s="8" t="str">
        <f t="shared" si="85"/>
        <v/>
      </c>
      <c r="C1137" s="8" t="str">
        <f t="shared" si="86"/>
        <v/>
      </c>
      <c r="D1137" s="8" t="str">
        <f t="shared" si="87"/>
        <v/>
      </c>
      <c r="F1137" s="4" t="str">
        <f>IF(Jugadores!B1137="","",Jugadores!B1137)</f>
        <v/>
      </c>
      <c r="G1137" s="4" t="str">
        <f>IF(Jugadores!B1137="","",Jugadores!A1137)</f>
        <v/>
      </c>
      <c r="H1137" s="4" t="str">
        <f>IF(F1137="","",SUMIF('Estadísticas Jugadores'!$F$2:$F$7001,F1137,'Estadísticas Jugadores'!$J$2:$J$7001))</f>
        <v/>
      </c>
      <c r="I1137" s="4" t="str">
        <f t="shared" si="88"/>
        <v/>
      </c>
      <c r="J1137" s="4" t="str">
        <f t="shared" si="89"/>
        <v/>
      </c>
    </row>
    <row r="1138" spans="1:10" ht="15" customHeight="1" x14ac:dyDescent="0.25">
      <c r="A1138" s="8" t="str">
        <f>IF(COUNT($J$2:$J$1501)&gt;=1137,1137,"")</f>
        <v/>
      </c>
      <c r="B1138" s="8" t="str">
        <f t="shared" si="85"/>
        <v/>
      </c>
      <c r="C1138" s="8" t="str">
        <f t="shared" si="86"/>
        <v/>
      </c>
      <c r="D1138" s="8" t="str">
        <f t="shared" si="87"/>
        <v/>
      </c>
      <c r="F1138" s="4" t="str">
        <f>IF(Jugadores!B1138="","",Jugadores!B1138)</f>
        <v/>
      </c>
      <c r="G1138" s="4" t="str">
        <f>IF(Jugadores!B1138="","",Jugadores!A1138)</f>
        <v/>
      </c>
      <c r="H1138" s="4" t="str">
        <f>IF(F1138="","",SUMIF('Estadísticas Jugadores'!$F$2:$F$7001,F1138,'Estadísticas Jugadores'!$J$2:$J$7001))</f>
        <v/>
      </c>
      <c r="I1138" s="4" t="str">
        <f t="shared" si="88"/>
        <v/>
      </c>
      <c r="J1138" s="4" t="str">
        <f t="shared" si="89"/>
        <v/>
      </c>
    </row>
    <row r="1139" spans="1:10" ht="15" customHeight="1" x14ac:dyDescent="0.25">
      <c r="A1139" s="8" t="str">
        <f>IF(COUNT($J$2:$J$1501)&gt;=1138,1138,"")</f>
        <v/>
      </c>
      <c r="B1139" s="8" t="str">
        <f t="shared" si="85"/>
        <v/>
      </c>
      <c r="C1139" s="8" t="str">
        <f t="shared" si="86"/>
        <v/>
      </c>
      <c r="D1139" s="8" t="str">
        <f t="shared" si="87"/>
        <v/>
      </c>
      <c r="F1139" s="4" t="str">
        <f>IF(Jugadores!B1139="","",Jugadores!B1139)</f>
        <v/>
      </c>
      <c r="G1139" s="4" t="str">
        <f>IF(Jugadores!B1139="","",Jugadores!A1139)</f>
        <v/>
      </c>
      <c r="H1139" s="4" t="str">
        <f>IF(F1139="","",SUMIF('Estadísticas Jugadores'!$F$2:$F$7001,F1139,'Estadísticas Jugadores'!$J$2:$J$7001))</f>
        <v/>
      </c>
      <c r="I1139" s="4" t="str">
        <f t="shared" si="88"/>
        <v/>
      </c>
      <c r="J1139" s="4" t="str">
        <f t="shared" si="89"/>
        <v/>
      </c>
    </row>
    <row r="1140" spans="1:10" ht="15" customHeight="1" x14ac:dyDescent="0.25">
      <c r="A1140" s="8" t="str">
        <f>IF(COUNT($J$2:$J$1501)&gt;=1139,1139,"")</f>
        <v/>
      </c>
      <c r="B1140" s="8" t="str">
        <f t="shared" si="85"/>
        <v/>
      </c>
      <c r="C1140" s="8" t="str">
        <f t="shared" si="86"/>
        <v/>
      </c>
      <c r="D1140" s="8" t="str">
        <f t="shared" si="87"/>
        <v/>
      </c>
      <c r="F1140" s="4" t="str">
        <f>IF(Jugadores!B1140="","",Jugadores!B1140)</f>
        <v/>
      </c>
      <c r="G1140" s="4" t="str">
        <f>IF(Jugadores!B1140="","",Jugadores!A1140)</f>
        <v/>
      </c>
      <c r="H1140" s="4" t="str">
        <f>IF(F1140="","",SUMIF('Estadísticas Jugadores'!$F$2:$F$7001,F1140,'Estadísticas Jugadores'!$J$2:$J$7001))</f>
        <v/>
      </c>
      <c r="I1140" s="4" t="str">
        <f t="shared" si="88"/>
        <v/>
      </c>
      <c r="J1140" s="4" t="str">
        <f t="shared" si="89"/>
        <v/>
      </c>
    </row>
    <row r="1141" spans="1:10" ht="15" customHeight="1" x14ac:dyDescent="0.25">
      <c r="A1141" s="8" t="str">
        <f>IF(COUNT($J$2:$J$1501)&gt;=1140,1140,"")</f>
        <v/>
      </c>
      <c r="B1141" s="8" t="str">
        <f t="shared" si="85"/>
        <v/>
      </c>
      <c r="C1141" s="8" t="str">
        <f t="shared" si="86"/>
        <v/>
      </c>
      <c r="D1141" s="8" t="str">
        <f t="shared" si="87"/>
        <v/>
      </c>
      <c r="F1141" s="4" t="str">
        <f>IF(Jugadores!B1141="","",Jugadores!B1141)</f>
        <v/>
      </c>
      <c r="G1141" s="4" t="str">
        <f>IF(Jugadores!B1141="","",Jugadores!A1141)</f>
        <v/>
      </c>
      <c r="H1141" s="4" t="str">
        <f>IF(F1141="","",SUMIF('Estadísticas Jugadores'!$F$2:$F$7001,F1141,'Estadísticas Jugadores'!$J$2:$J$7001))</f>
        <v/>
      </c>
      <c r="I1141" s="4" t="str">
        <f t="shared" si="88"/>
        <v/>
      </c>
      <c r="J1141" s="4" t="str">
        <f t="shared" si="89"/>
        <v/>
      </c>
    </row>
    <row r="1142" spans="1:10" ht="15" customHeight="1" x14ac:dyDescent="0.25">
      <c r="A1142" s="8" t="str">
        <f>IF(COUNT($J$2:$J$1501)&gt;=1141,1141,"")</f>
        <v/>
      </c>
      <c r="B1142" s="8" t="str">
        <f t="shared" si="85"/>
        <v/>
      </c>
      <c r="C1142" s="8" t="str">
        <f t="shared" si="86"/>
        <v/>
      </c>
      <c r="D1142" s="8" t="str">
        <f t="shared" si="87"/>
        <v/>
      </c>
      <c r="F1142" s="4" t="str">
        <f>IF(Jugadores!B1142="","",Jugadores!B1142)</f>
        <v/>
      </c>
      <c r="G1142" s="4" t="str">
        <f>IF(Jugadores!B1142="","",Jugadores!A1142)</f>
        <v/>
      </c>
      <c r="H1142" s="4" t="str">
        <f>IF(F1142="","",SUMIF('Estadísticas Jugadores'!$F$2:$F$7001,F1142,'Estadísticas Jugadores'!$J$2:$J$7001))</f>
        <v/>
      </c>
      <c r="I1142" s="4" t="str">
        <f t="shared" si="88"/>
        <v/>
      </c>
      <c r="J1142" s="4" t="str">
        <f t="shared" si="89"/>
        <v/>
      </c>
    </row>
    <row r="1143" spans="1:10" ht="15" customHeight="1" x14ac:dyDescent="0.25">
      <c r="A1143" s="8" t="str">
        <f>IF(COUNT($J$2:$J$1501)&gt;=1142,1142,"")</f>
        <v/>
      </c>
      <c r="B1143" s="8" t="str">
        <f t="shared" si="85"/>
        <v/>
      </c>
      <c r="C1143" s="8" t="str">
        <f t="shared" si="86"/>
        <v/>
      </c>
      <c r="D1143" s="8" t="str">
        <f t="shared" si="87"/>
        <v/>
      </c>
      <c r="F1143" s="4" t="str">
        <f>IF(Jugadores!B1143="","",Jugadores!B1143)</f>
        <v/>
      </c>
      <c r="G1143" s="4" t="str">
        <f>IF(Jugadores!B1143="","",Jugadores!A1143)</f>
        <v/>
      </c>
      <c r="H1143" s="4" t="str">
        <f>IF(F1143="","",SUMIF('Estadísticas Jugadores'!$F$2:$F$7001,F1143,'Estadísticas Jugadores'!$J$2:$J$7001))</f>
        <v/>
      </c>
      <c r="I1143" s="4" t="str">
        <f t="shared" si="88"/>
        <v/>
      </c>
      <c r="J1143" s="4" t="str">
        <f t="shared" si="89"/>
        <v/>
      </c>
    </row>
    <row r="1144" spans="1:10" ht="15" customHeight="1" x14ac:dyDescent="0.25">
      <c r="A1144" s="8" t="str">
        <f>IF(COUNT($J$2:$J$1501)&gt;=1143,1143,"")</f>
        <v/>
      </c>
      <c r="B1144" s="8" t="str">
        <f t="shared" si="85"/>
        <v/>
      </c>
      <c r="C1144" s="8" t="str">
        <f t="shared" si="86"/>
        <v/>
      </c>
      <c r="D1144" s="8" t="str">
        <f t="shared" si="87"/>
        <v/>
      </c>
      <c r="F1144" s="4" t="str">
        <f>IF(Jugadores!B1144="","",Jugadores!B1144)</f>
        <v/>
      </c>
      <c r="G1144" s="4" t="str">
        <f>IF(Jugadores!B1144="","",Jugadores!A1144)</f>
        <v/>
      </c>
      <c r="H1144" s="4" t="str">
        <f>IF(F1144="","",SUMIF('Estadísticas Jugadores'!$F$2:$F$7001,F1144,'Estadísticas Jugadores'!$J$2:$J$7001))</f>
        <v/>
      </c>
      <c r="I1144" s="4" t="str">
        <f t="shared" si="88"/>
        <v/>
      </c>
      <c r="J1144" s="4" t="str">
        <f t="shared" si="89"/>
        <v/>
      </c>
    </row>
    <row r="1145" spans="1:10" ht="15" customHeight="1" x14ac:dyDescent="0.25">
      <c r="A1145" s="8" t="str">
        <f>IF(COUNT($J$2:$J$1501)&gt;=1144,1144,"")</f>
        <v/>
      </c>
      <c r="B1145" s="8" t="str">
        <f t="shared" si="85"/>
        <v/>
      </c>
      <c r="C1145" s="8" t="str">
        <f t="shared" si="86"/>
        <v/>
      </c>
      <c r="D1145" s="8" t="str">
        <f t="shared" si="87"/>
        <v/>
      </c>
      <c r="F1145" s="4" t="str">
        <f>IF(Jugadores!B1145="","",Jugadores!B1145)</f>
        <v/>
      </c>
      <c r="G1145" s="4" t="str">
        <f>IF(Jugadores!B1145="","",Jugadores!A1145)</f>
        <v/>
      </c>
      <c r="H1145" s="4" t="str">
        <f>IF(F1145="","",SUMIF('Estadísticas Jugadores'!$F$2:$F$7001,F1145,'Estadísticas Jugadores'!$J$2:$J$7001))</f>
        <v/>
      </c>
      <c r="I1145" s="4" t="str">
        <f t="shared" si="88"/>
        <v/>
      </c>
      <c r="J1145" s="4" t="str">
        <f t="shared" si="89"/>
        <v/>
      </c>
    </row>
    <row r="1146" spans="1:10" ht="15" customHeight="1" x14ac:dyDescent="0.25">
      <c r="A1146" s="8" t="str">
        <f>IF(COUNT($J$2:$J$1501)&gt;=1145,1145,"")</f>
        <v/>
      </c>
      <c r="B1146" s="8" t="str">
        <f t="shared" si="85"/>
        <v/>
      </c>
      <c r="C1146" s="8" t="str">
        <f t="shared" si="86"/>
        <v/>
      </c>
      <c r="D1146" s="8" t="str">
        <f t="shared" si="87"/>
        <v/>
      </c>
      <c r="F1146" s="4" t="str">
        <f>IF(Jugadores!B1146="","",Jugadores!B1146)</f>
        <v/>
      </c>
      <c r="G1146" s="4" t="str">
        <f>IF(Jugadores!B1146="","",Jugadores!A1146)</f>
        <v/>
      </c>
      <c r="H1146" s="4" t="str">
        <f>IF(F1146="","",SUMIF('Estadísticas Jugadores'!$F$2:$F$7001,F1146,'Estadísticas Jugadores'!$J$2:$J$7001))</f>
        <v/>
      </c>
      <c r="I1146" s="4" t="str">
        <f t="shared" si="88"/>
        <v/>
      </c>
      <c r="J1146" s="4" t="str">
        <f t="shared" si="89"/>
        <v/>
      </c>
    </row>
    <row r="1147" spans="1:10" ht="15" customHeight="1" x14ac:dyDescent="0.25">
      <c r="A1147" s="8" t="str">
        <f>IF(COUNT($J$2:$J$1501)&gt;=1146,1146,"")</f>
        <v/>
      </c>
      <c r="B1147" s="8" t="str">
        <f t="shared" si="85"/>
        <v/>
      </c>
      <c r="C1147" s="8" t="str">
        <f t="shared" si="86"/>
        <v/>
      </c>
      <c r="D1147" s="8" t="str">
        <f t="shared" si="87"/>
        <v/>
      </c>
      <c r="F1147" s="4" t="str">
        <f>IF(Jugadores!B1147="","",Jugadores!B1147)</f>
        <v/>
      </c>
      <c r="G1147" s="4" t="str">
        <f>IF(Jugadores!B1147="","",Jugadores!A1147)</f>
        <v/>
      </c>
      <c r="H1147" s="4" t="str">
        <f>IF(F1147="","",SUMIF('Estadísticas Jugadores'!$F$2:$F$7001,F1147,'Estadísticas Jugadores'!$J$2:$J$7001))</f>
        <v/>
      </c>
      <c r="I1147" s="4" t="str">
        <f t="shared" si="88"/>
        <v/>
      </c>
      <c r="J1147" s="4" t="str">
        <f t="shared" si="89"/>
        <v/>
      </c>
    </row>
    <row r="1148" spans="1:10" ht="15" customHeight="1" x14ac:dyDescent="0.25">
      <c r="A1148" s="8" t="str">
        <f>IF(COUNT($J$2:$J$1501)&gt;=1147,1147,"")</f>
        <v/>
      </c>
      <c r="B1148" s="8" t="str">
        <f t="shared" si="85"/>
        <v/>
      </c>
      <c r="C1148" s="8" t="str">
        <f t="shared" si="86"/>
        <v/>
      </c>
      <c r="D1148" s="8" t="str">
        <f t="shared" si="87"/>
        <v/>
      </c>
      <c r="F1148" s="4" t="str">
        <f>IF(Jugadores!B1148="","",Jugadores!B1148)</f>
        <v/>
      </c>
      <c r="G1148" s="4" t="str">
        <f>IF(Jugadores!B1148="","",Jugadores!A1148)</f>
        <v/>
      </c>
      <c r="H1148" s="4" t="str">
        <f>IF(F1148="","",SUMIF('Estadísticas Jugadores'!$F$2:$F$7001,F1148,'Estadísticas Jugadores'!$J$2:$J$7001))</f>
        <v/>
      </c>
      <c r="I1148" s="4" t="str">
        <f t="shared" si="88"/>
        <v/>
      </c>
      <c r="J1148" s="4" t="str">
        <f t="shared" si="89"/>
        <v/>
      </c>
    </row>
    <row r="1149" spans="1:10" ht="15" customHeight="1" x14ac:dyDescent="0.25">
      <c r="A1149" s="8" t="str">
        <f>IF(COUNT($J$2:$J$1501)&gt;=1148,1148,"")</f>
        <v/>
      </c>
      <c r="B1149" s="8" t="str">
        <f t="shared" si="85"/>
        <v/>
      </c>
      <c r="C1149" s="8" t="str">
        <f t="shared" si="86"/>
        <v/>
      </c>
      <c r="D1149" s="8" t="str">
        <f t="shared" si="87"/>
        <v/>
      </c>
      <c r="F1149" s="4" t="str">
        <f>IF(Jugadores!B1149="","",Jugadores!B1149)</f>
        <v/>
      </c>
      <c r="G1149" s="4" t="str">
        <f>IF(Jugadores!B1149="","",Jugadores!A1149)</f>
        <v/>
      </c>
      <c r="H1149" s="4" t="str">
        <f>IF(F1149="","",SUMIF('Estadísticas Jugadores'!$F$2:$F$7001,F1149,'Estadísticas Jugadores'!$J$2:$J$7001))</f>
        <v/>
      </c>
      <c r="I1149" s="4" t="str">
        <f t="shared" si="88"/>
        <v/>
      </c>
      <c r="J1149" s="4" t="str">
        <f t="shared" si="89"/>
        <v/>
      </c>
    </row>
    <row r="1150" spans="1:10" ht="15" customHeight="1" x14ac:dyDescent="0.25">
      <c r="A1150" s="8" t="str">
        <f>IF(COUNT($J$2:$J$1501)&gt;=1149,1149,"")</f>
        <v/>
      </c>
      <c r="B1150" s="8" t="str">
        <f t="shared" si="85"/>
        <v/>
      </c>
      <c r="C1150" s="8" t="str">
        <f t="shared" si="86"/>
        <v/>
      </c>
      <c r="D1150" s="8" t="str">
        <f t="shared" si="87"/>
        <v/>
      </c>
      <c r="F1150" s="4" t="str">
        <f>IF(Jugadores!B1150="","",Jugadores!B1150)</f>
        <v/>
      </c>
      <c r="G1150" s="4" t="str">
        <f>IF(Jugadores!B1150="","",Jugadores!A1150)</f>
        <v/>
      </c>
      <c r="H1150" s="4" t="str">
        <f>IF(F1150="","",SUMIF('Estadísticas Jugadores'!$F$2:$F$7001,F1150,'Estadísticas Jugadores'!$J$2:$J$7001))</f>
        <v/>
      </c>
      <c r="I1150" s="4" t="str">
        <f t="shared" si="88"/>
        <v/>
      </c>
      <c r="J1150" s="4" t="str">
        <f t="shared" si="89"/>
        <v/>
      </c>
    </row>
    <row r="1151" spans="1:10" ht="15" customHeight="1" x14ac:dyDescent="0.25">
      <c r="A1151" s="8" t="str">
        <f>IF(COUNT($J$2:$J$1501)&gt;=1150,1150,"")</f>
        <v/>
      </c>
      <c r="B1151" s="8" t="str">
        <f t="shared" si="85"/>
        <v/>
      </c>
      <c r="C1151" s="8" t="str">
        <f t="shared" si="86"/>
        <v/>
      </c>
      <c r="D1151" s="8" t="str">
        <f t="shared" si="87"/>
        <v/>
      </c>
      <c r="F1151" s="4" t="str">
        <f>IF(Jugadores!B1151="","",Jugadores!B1151)</f>
        <v/>
      </c>
      <c r="G1151" s="4" t="str">
        <f>IF(Jugadores!B1151="","",Jugadores!A1151)</f>
        <v/>
      </c>
      <c r="H1151" s="4" t="str">
        <f>IF(F1151="","",SUMIF('Estadísticas Jugadores'!$F$2:$F$7001,F1151,'Estadísticas Jugadores'!$J$2:$J$7001))</f>
        <v/>
      </c>
      <c r="I1151" s="4" t="str">
        <f t="shared" si="88"/>
        <v/>
      </c>
      <c r="J1151" s="4" t="str">
        <f t="shared" si="89"/>
        <v/>
      </c>
    </row>
    <row r="1152" spans="1:10" ht="15" customHeight="1" x14ac:dyDescent="0.25">
      <c r="A1152" s="8" t="str">
        <f>IF(COUNT($J$2:$J$1501)&gt;=1151,1151,"")</f>
        <v/>
      </c>
      <c r="B1152" s="8" t="str">
        <f t="shared" si="85"/>
        <v/>
      </c>
      <c r="C1152" s="8" t="str">
        <f t="shared" si="86"/>
        <v/>
      </c>
      <c r="D1152" s="8" t="str">
        <f t="shared" si="87"/>
        <v/>
      </c>
      <c r="F1152" s="4" t="str">
        <f>IF(Jugadores!B1152="","",Jugadores!B1152)</f>
        <v/>
      </c>
      <c r="G1152" s="4" t="str">
        <f>IF(Jugadores!B1152="","",Jugadores!A1152)</f>
        <v/>
      </c>
      <c r="H1152" s="4" t="str">
        <f>IF(F1152="","",SUMIF('Estadísticas Jugadores'!$F$2:$F$7001,F1152,'Estadísticas Jugadores'!$J$2:$J$7001))</f>
        <v/>
      </c>
      <c r="I1152" s="4" t="str">
        <f t="shared" si="88"/>
        <v/>
      </c>
      <c r="J1152" s="4" t="str">
        <f t="shared" si="89"/>
        <v/>
      </c>
    </row>
    <row r="1153" spans="1:10" ht="15" customHeight="1" x14ac:dyDescent="0.25">
      <c r="A1153" s="8" t="str">
        <f>IF(COUNT($J$2:$J$1501)&gt;=1152,1152,"")</f>
        <v/>
      </c>
      <c r="B1153" s="8" t="str">
        <f t="shared" si="85"/>
        <v/>
      </c>
      <c r="C1153" s="8" t="str">
        <f t="shared" si="86"/>
        <v/>
      </c>
      <c r="D1153" s="8" t="str">
        <f t="shared" si="87"/>
        <v/>
      </c>
      <c r="F1153" s="4" t="str">
        <f>IF(Jugadores!B1153="","",Jugadores!B1153)</f>
        <v/>
      </c>
      <c r="G1153" s="4" t="str">
        <f>IF(Jugadores!B1153="","",Jugadores!A1153)</f>
        <v/>
      </c>
      <c r="H1153" s="4" t="str">
        <f>IF(F1153="","",SUMIF('Estadísticas Jugadores'!$F$2:$F$7001,F1153,'Estadísticas Jugadores'!$J$2:$J$7001))</f>
        <v/>
      </c>
      <c r="I1153" s="4" t="str">
        <f t="shared" si="88"/>
        <v/>
      </c>
      <c r="J1153" s="4" t="str">
        <f t="shared" si="89"/>
        <v/>
      </c>
    </row>
    <row r="1154" spans="1:10" ht="15" customHeight="1" x14ac:dyDescent="0.25">
      <c r="A1154" s="8" t="str">
        <f>IF(COUNT($J$2:$J$1501)&gt;=1153,1153,"")</f>
        <v/>
      </c>
      <c r="B1154" s="8" t="str">
        <f t="shared" ref="B1154:B1217" si="90">IF($A1154="","",INDEX($F$2:$F$1501,MATCH($A1154,$J$2:$J$1501,0)))</f>
        <v/>
      </c>
      <c r="C1154" s="8" t="str">
        <f t="shared" ref="C1154:C1217" si="91">IF($A1154="","",INDEX($G$2:$G$1501,MATCH($A1154,$J$2:$J$1501,0)))</f>
        <v/>
      </c>
      <c r="D1154" s="8" t="str">
        <f t="shared" ref="D1154:D1217" si="92">IF($A1154="","",INDEX($H$2:$H$1501,MATCH($A1154,$J$2:$J$1501,0)))</f>
        <v/>
      </c>
      <c r="F1154" s="4" t="str">
        <f>IF(Jugadores!B1154="","",Jugadores!B1154)</f>
        <v/>
      </c>
      <c r="G1154" s="4" t="str">
        <f>IF(Jugadores!B1154="","",Jugadores!A1154)</f>
        <v/>
      </c>
      <c r="H1154" s="4" t="str">
        <f>IF(F1154="","",SUMIF('Estadísticas Jugadores'!$F$2:$F$7001,F1154,'Estadísticas Jugadores'!$J$2:$J$7001))</f>
        <v/>
      </c>
      <c r="I1154" s="4" t="str">
        <f t="shared" ref="I1154:I1217" si="93">IF(F1154="","",H1154*1000-ROW()*0.0000001)</f>
        <v/>
      </c>
      <c r="J1154" s="4" t="str">
        <f t="shared" ref="J1154:J1217" si="94">IF(F1154="","",RANK(I1154,$I$2:$I$1501))</f>
        <v/>
      </c>
    </row>
    <row r="1155" spans="1:10" ht="15" customHeight="1" x14ac:dyDescent="0.25">
      <c r="A1155" s="8" t="str">
        <f>IF(COUNT($J$2:$J$1501)&gt;=1154,1154,"")</f>
        <v/>
      </c>
      <c r="B1155" s="8" t="str">
        <f t="shared" si="90"/>
        <v/>
      </c>
      <c r="C1155" s="8" t="str">
        <f t="shared" si="91"/>
        <v/>
      </c>
      <c r="D1155" s="8" t="str">
        <f t="shared" si="92"/>
        <v/>
      </c>
      <c r="F1155" s="4" t="str">
        <f>IF(Jugadores!B1155="","",Jugadores!B1155)</f>
        <v/>
      </c>
      <c r="G1155" s="4" t="str">
        <f>IF(Jugadores!B1155="","",Jugadores!A1155)</f>
        <v/>
      </c>
      <c r="H1155" s="4" t="str">
        <f>IF(F1155="","",SUMIF('Estadísticas Jugadores'!$F$2:$F$7001,F1155,'Estadísticas Jugadores'!$J$2:$J$7001))</f>
        <v/>
      </c>
      <c r="I1155" s="4" t="str">
        <f t="shared" si="93"/>
        <v/>
      </c>
      <c r="J1155" s="4" t="str">
        <f t="shared" si="94"/>
        <v/>
      </c>
    </row>
    <row r="1156" spans="1:10" ht="15" customHeight="1" x14ac:dyDescent="0.25">
      <c r="A1156" s="8" t="str">
        <f>IF(COUNT($J$2:$J$1501)&gt;=1155,1155,"")</f>
        <v/>
      </c>
      <c r="B1156" s="8" t="str">
        <f t="shared" si="90"/>
        <v/>
      </c>
      <c r="C1156" s="8" t="str">
        <f t="shared" si="91"/>
        <v/>
      </c>
      <c r="D1156" s="8" t="str">
        <f t="shared" si="92"/>
        <v/>
      </c>
      <c r="F1156" s="4" t="str">
        <f>IF(Jugadores!B1156="","",Jugadores!B1156)</f>
        <v/>
      </c>
      <c r="G1156" s="4" t="str">
        <f>IF(Jugadores!B1156="","",Jugadores!A1156)</f>
        <v/>
      </c>
      <c r="H1156" s="4" t="str">
        <f>IF(F1156="","",SUMIF('Estadísticas Jugadores'!$F$2:$F$7001,F1156,'Estadísticas Jugadores'!$J$2:$J$7001))</f>
        <v/>
      </c>
      <c r="I1156" s="4" t="str">
        <f t="shared" si="93"/>
        <v/>
      </c>
      <c r="J1156" s="4" t="str">
        <f t="shared" si="94"/>
        <v/>
      </c>
    </row>
    <row r="1157" spans="1:10" ht="15" customHeight="1" x14ac:dyDescent="0.25">
      <c r="A1157" s="8" t="str">
        <f>IF(COUNT($J$2:$J$1501)&gt;=1156,1156,"")</f>
        <v/>
      </c>
      <c r="B1157" s="8" t="str">
        <f t="shared" si="90"/>
        <v/>
      </c>
      <c r="C1157" s="8" t="str">
        <f t="shared" si="91"/>
        <v/>
      </c>
      <c r="D1157" s="8" t="str">
        <f t="shared" si="92"/>
        <v/>
      </c>
      <c r="F1157" s="4" t="str">
        <f>IF(Jugadores!B1157="","",Jugadores!B1157)</f>
        <v/>
      </c>
      <c r="G1157" s="4" t="str">
        <f>IF(Jugadores!B1157="","",Jugadores!A1157)</f>
        <v/>
      </c>
      <c r="H1157" s="4" t="str">
        <f>IF(F1157="","",SUMIF('Estadísticas Jugadores'!$F$2:$F$7001,F1157,'Estadísticas Jugadores'!$J$2:$J$7001))</f>
        <v/>
      </c>
      <c r="I1157" s="4" t="str">
        <f t="shared" si="93"/>
        <v/>
      </c>
      <c r="J1157" s="4" t="str">
        <f t="shared" si="94"/>
        <v/>
      </c>
    </row>
    <row r="1158" spans="1:10" ht="15" customHeight="1" x14ac:dyDescent="0.25">
      <c r="A1158" s="8" t="str">
        <f>IF(COUNT($J$2:$J$1501)&gt;=1157,1157,"")</f>
        <v/>
      </c>
      <c r="B1158" s="8" t="str">
        <f t="shared" si="90"/>
        <v/>
      </c>
      <c r="C1158" s="8" t="str">
        <f t="shared" si="91"/>
        <v/>
      </c>
      <c r="D1158" s="8" t="str">
        <f t="shared" si="92"/>
        <v/>
      </c>
      <c r="F1158" s="4" t="str">
        <f>IF(Jugadores!B1158="","",Jugadores!B1158)</f>
        <v/>
      </c>
      <c r="G1158" s="4" t="str">
        <f>IF(Jugadores!B1158="","",Jugadores!A1158)</f>
        <v/>
      </c>
      <c r="H1158" s="4" t="str">
        <f>IF(F1158="","",SUMIF('Estadísticas Jugadores'!$F$2:$F$7001,F1158,'Estadísticas Jugadores'!$J$2:$J$7001))</f>
        <v/>
      </c>
      <c r="I1158" s="4" t="str">
        <f t="shared" si="93"/>
        <v/>
      </c>
      <c r="J1158" s="4" t="str">
        <f t="shared" si="94"/>
        <v/>
      </c>
    </row>
    <row r="1159" spans="1:10" ht="15" customHeight="1" x14ac:dyDescent="0.25">
      <c r="A1159" s="8" t="str">
        <f>IF(COUNT($J$2:$J$1501)&gt;=1158,1158,"")</f>
        <v/>
      </c>
      <c r="B1159" s="8" t="str">
        <f t="shared" si="90"/>
        <v/>
      </c>
      <c r="C1159" s="8" t="str">
        <f t="shared" si="91"/>
        <v/>
      </c>
      <c r="D1159" s="8" t="str">
        <f t="shared" si="92"/>
        <v/>
      </c>
      <c r="F1159" s="4" t="str">
        <f>IF(Jugadores!B1159="","",Jugadores!B1159)</f>
        <v/>
      </c>
      <c r="G1159" s="4" t="str">
        <f>IF(Jugadores!B1159="","",Jugadores!A1159)</f>
        <v/>
      </c>
      <c r="H1159" s="4" t="str">
        <f>IF(F1159="","",SUMIF('Estadísticas Jugadores'!$F$2:$F$7001,F1159,'Estadísticas Jugadores'!$J$2:$J$7001))</f>
        <v/>
      </c>
      <c r="I1159" s="4" t="str">
        <f t="shared" si="93"/>
        <v/>
      </c>
      <c r="J1159" s="4" t="str">
        <f t="shared" si="94"/>
        <v/>
      </c>
    </row>
    <row r="1160" spans="1:10" ht="15" customHeight="1" x14ac:dyDescent="0.25">
      <c r="A1160" s="8" t="str">
        <f>IF(COUNT($J$2:$J$1501)&gt;=1159,1159,"")</f>
        <v/>
      </c>
      <c r="B1160" s="8" t="str">
        <f t="shared" si="90"/>
        <v/>
      </c>
      <c r="C1160" s="8" t="str">
        <f t="shared" si="91"/>
        <v/>
      </c>
      <c r="D1160" s="8" t="str">
        <f t="shared" si="92"/>
        <v/>
      </c>
      <c r="F1160" s="4" t="str">
        <f>IF(Jugadores!B1160="","",Jugadores!B1160)</f>
        <v/>
      </c>
      <c r="G1160" s="4" t="str">
        <f>IF(Jugadores!B1160="","",Jugadores!A1160)</f>
        <v/>
      </c>
      <c r="H1160" s="4" t="str">
        <f>IF(F1160="","",SUMIF('Estadísticas Jugadores'!$F$2:$F$7001,F1160,'Estadísticas Jugadores'!$J$2:$J$7001))</f>
        <v/>
      </c>
      <c r="I1160" s="4" t="str">
        <f t="shared" si="93"/>
        <v/>
      </c>
      <c r="J1160" s="4" t="str">
        <f t="shared" si="94"/>
        <v/>
      </c>
    </row>
    <row r="1161" spans="1:10" ht="15" customHeight="1" x14ac:dyDescent="0.25">
      <c r="A1161" s="8" t="str">
        <f>IF(COUNT($J$2:$J$1501)&gt;=1160,1160,"")</f>
        <v/>
      </c>
      <c r="B1161" s="8" t="str">
        <f t="shared" si="90"/>
        <v/>
      </c>
      <c r="C1161" s="8" t="str">
        <f t="shared" si="91"/>
        <v/>
      </c>
      <c r="D1161" s="8" t="str">
        <f t="shared" si="92"/>
        <v/>
      </c>
      <c r="F1161" s="4" t="str">
        <f>IF(Jugadores!B1161="","",Jugadores!B1161)</f>
        <v/>
      </c>
      <c r="G1161" s="4" t="str">
        <f>IF(Jugadores!B1161="","",Jugadores!A1161)</f>
        <v/>
      </c>
      <c r="H1161" s="4" t="str">
        <f>IF(F1161="","",SUMIF('Estadísticas Jugadores'!$F$2:$F$7001,F1161,'Estadísticas Jugadores'!$J$2:$J$7001))</f>
        <v/>
      </c>
      <c r="I1161" s="4" t="str">
        <f t="shared" si="93"/>
        <v/>
      </c>
      <c r="J1161" s="4" t="str">
        <f t="shared" si="94"/>
        <v/>
      </c>
    </row>
    <row r="1162" spans="1:10" ht="15" customHeight="1" x14ac:dyDescent="0.25">
      <c r="A1162" s="8" t="str">
        <f>IF(COUNT($J$2:$J$1501)&gt;=1161,1161,"")</f>
        <v/>
      </c>
      <c r="B1162" s="8" t="str">
        <f t="shared" si="90"/>
        <v/>
      </c>
      <c r="C1162" s="8" t="str">
        <f t="shared" si="91"/>
        <v/>
      </c>
      <c r="D1162" s="8" t="str">
        <f t="shared" si="92"/>
        <v/>
      </c>
      <c r="F1162" s="4" t="str">
        <f>IF(Jugadores!B1162="","",Jugadores!B1162)</f>
        <v/>
      </c>
      <c r="G1162" s="4" t="str">
        <f>IF(Jugadores!B1162="","",Jugadores!A1162)</f>
        <v/>
      </c>
      <c r="H1162" s="4" t="str">
        <f>IF(F1162="","",SUMIF('Estadísticas Jugadores'!$F$2:$F$7001,F1162,'Estadísticas Jugadores'!$J$2:$J$7001))</f>
        <v/>
      </c>
      <c r="I1162" s="4" t="str">
        <f t="shared" si="93"/>
        <v/>
      </c>
      <c r="J1162" s="4" t="str">
        <f t="shared" si="94"/>
        <v/>
      </c>
    </row>
    <row r="1163" spans="1:10" ht="15" customHeight="1" x14ac:dyDescent="0.25">
      <c r="A1163" s="8" t="str">
        <f>IF(COUNT($J$2:$J$1501)&gt;=1162,1162,"")</f>
        <v/>
      </c>
      <c r="B1163" s="8" t="str">
        <f t="shared" si="90"/>
        <v/>
      </c>
      <c r="C1163" s="8" t="str">
        <f t="shared" si="91"/>
        <v/>
      </c>
      <c r="D1163" s="8" t="str">
        <f t="shared" si="92"/>
        <v/>
      </c>
      <c r="F1163" s="4" t="str">
        <f>IF(Jugadores!B1163="","",Jugadores!B1163)</f>
        <v/>
      </c>
      <c r="G1163" s="4" t="str">
        <f>IF(Jugadores!B1163="","",Jugadores!A1163)</f>
        <v/>
      </c>
      <c r="H1163" s="4" t="str">
        <f>IF(F1163="","",SUMIF('Estadísticas Jugadores'!$F$2:$F$7001,F1163,'Estadísticas Jugadores'!$J$2:$J$7001))</f>
        <v/>
      </c>
      <c r="I1163" s="4" t="str">
        <f t="shared" si="93"/>
        <v/>
      </c>
      <c r="J1163" s="4" t="str">
        <f t="shared" si="94"/>
        <v/>
      </c>
    </row>
    <row r="1164" spans="1:10" ht="15" customHeight="1" x14ac:dyDescent="0.25">
      <c r="A1164" s="8" t="str">
        <f>IF(COUNT($J$2:$J$1501)&gt;=1163,1163,"")</f>
        <v/>
      </c>
      <c r="B1164" s="8" t="str">
        <f t="shared" si="90"/>
        <v/>
      </c>
      <c r="C1164" s="8" t="str">
        <f t="shared" si="91"/>
        <v/>
      </c>
      <c r="D1164" s="8" t="str">
        <f t="shared" si="92"/>
        <v/>
      </c>
      <c r="F1164" s="4" t="str">
        <f>IF(Jugadores!B1164="","",Jugadores!B1164)</f>
        <v/>
      </c>
      <c r="G1164" s="4" t="str">
        <f>IF(Jugadores!B1164="","",Jugadores!A1164)</f>
        <v/>
      </c>
      <c r="H1164" s="4" t="str">
        <f>IF(F1164="","",SUMIF('Estadísticas Jugadores'!$F$2:$F$7001,F1164,'Estadísticas Jugadores'!$J$2:$J$7001))</f>
        <v/>
      </c>
      <c r="I1164" s="4" t="str">
        <f t="shared" si="93"/>
        <v/>
      </c>
      <c r="J1164" s="4" t="str">
        <f t="shared" si="94"/>
        <v/>
      </c>
    </row>
    <row r="1165" spans="1:10" ht="15" customHeight="1" x14ac:dyDescent="0.25">
      <c r="A1165" s="8" t="str">
        <f>IF(COUNT($J$2:$J$1501)&gt;=1164,1164,"")</f>
        <v/>
      </c>
      <c r="B1165" s="8" t="str">
        <f t="shared" si="90"/>
        <v/>
      </c>
      <c r="C1165" s="8" t="str">
        <f t="shared" si="91"/>
        <v/>
      </c>
      <c r="D1165" s="8" t="str">
        <f t="shared" si="92"/>
        <v/>
      </c>
      <c r="F1165" s="4" t="str">
        <f>IF(Jugadores!B1165="","",Jugadores!B1165)</f>
        <v/>
      </c>
      <c r="G1165" s="4" t="str">
        <f>IF(Jugadores!B1165="","",Jugadores!A1165)</f>
        <v/>
      </c>
      <c r="H1165" s="4" t="str">
        <f>IF(F1165="","",SUMIF('Estadísticas Jugadores'!$F$2:$F$7001,F1165,'Estadísticas Jugadores'!$J$2:$J$7001))</f>
        <v/>
      </c>
      <c r="I1165" s="4" t="str">
        <f t="shared" si="93"/>
        <v/>
      </c>
      <c r="J1165" s="4" t="str">
        <f t="shared" si="94"/>
        <v/>
      </c>
    </row>
    <row r="1166" spans="1:10" ht="15" customHeight="1" x14ac:dyDescent="0.25">
      <c r="A1166" s="8" t="str">
        <f>IF(COUNT($J$2:$J$1501)&gt;=1165,1165,"")</f>
        <v/>
      </c>
      <c r="B1166" s="8" t="str">
        <f t="shared" si="90"/>
        <v/>
      </c>
      <c r="C1166" s="8" t="str">
        <f t="shared" si="91"/>
        <v/>
      </c>
      <c r="D1166" s="8" t="str">
        <f t="shared" si="92"/>
        <v/>
      </c>
      <c r="F1166" s="4" t="str">
        <f>IF(Jugadores!B1166="","",Jugadores!B1166)</f>
        <v/>
      </c>
      <c r="G1166" s="4" t="str">
        <f>IF(Jugadores!B1166="","",Jugadores!A1166)</f>
        <v/>
      </c>
      <c r="H1166" s="4" t="str">
        <f>IF(F1166="","",SUMIF('Estadísticas Jugadores'!$F$2:$F$7001,F1166,'Estadísticas Jugadores'!$J$2:$J$7001))</f>
        <v/>
      </c>
      <c r="I1166" s="4" t="str">
        <f t="shared" si="93"/>
        <v/>
      </c>
      <c r="J1166" s="4" t="str">
        <f t="shared" si="94"/>
        <v/>
      </c>
    </row>
    <row r="1167" spans="1:10" ht="15" customHeight="1" x14ac:dyDescent="0.25">
      <c r="A1167" s="8" t="str">
        <f>IF(COUNT($J$2:$J$1501)&gt;=1166,1166,"")</f>
        <v/>
      </c>
      <c r="B1167" s="8" t="str">
        <f t="shared" si="90"/>
        <v/>
      </c>
      <c r="C1167" s="8" t="str">
        <f t="shared" si="91"/>
        <v/>
      </c>
      <c r="D1167" s="8" t="str">
        <f t="shared" si="92"/>
        <v/>
      </c>
      <c r="F1167" s="4" t="str">
        <f>IF(Jugadores!B1167="","",Jugadores!B1167)</f>
        <v/>
      </c>
      <c r="G1167" s="4" t="str">
        <f>IF(Jugadores!B1167="","",Jugadores!A1167)</f>
        <v/>
      </c>
      <c r="H1167" s="4" t="str">
        <f>IF(F1167="","",SUMIF('Estadísticas Jugadores'!$F$2:$F$7001,F1167,'Estadísticas Jugadores'!$J$2:$J$7001))</f>
        <v/>
      </c>
      <c r="I1167" s="4" t="str">
        <f t="shared" si="93"/>
        <v/>
      </c>
      <c r="J1167" s="4" t="str">
        <f t="shared" si="94"/>
        <v/>
      </c>
    </row>
    <row r="1168" spans="1:10" ht="15" customHeight="1" x14ac:dyDescent="0.25">
      <c r="A1168" s="8" t="str">
        <f>IF(COUNT($J$2:$J$1501)&gt;=1167,1167,"")</f>
        <v/>
      </c>
      <c r="B1168" s="8" t="str">
        <f t="shared" si="90"/>
        <v/>
      </c>
      <c r="C1168" s="8" t="str">
        <f t="shared" si="91"/>
        <v/>
      </c>
      <c r="D1168" s="8" t="str">
        <f t="shared" si="92"/>
        <v/>
      </c>
      <c r="F1168" s="4" t="str">
        <f>IF(Jugadores!B1168="","",Jugadores!B1168)</f>
        <v/>
      </c>
      <c r="G1168" s="4" t="str">
        <f>IF(Jugadores!B1168="","",Jugadores!A1168)</f>
        <v/>
      </c>
      <c r="H1168" s="4" t="str">
        <f>IF(F1168="","",SUMIF('Estadísticas Jugadores'!$F$2:$F$7001,F1168,'Estadísticas Jugadores'!$J$2:$J$7001))</f>
        <v/>
      </c>
      <c r="I1168" s="4" t="str">
        <f t="shared" si="93"/>
        <v/>
      </c>
      <c r="J1168" s="4" t="str">
        <f t="shared" si="94"/>
        <v/>
      </c>
    </row>
    <row r="1169" spans="1:10" ht="15" customHeight="1" x14ac:dyDescent="0.25">
      <c r="A1169" s="8" t="str">
        <f>IF(COUNT($J$2:$J$1501)&gt;=1168,1168,"")</f>
        <v/>
      </c>
      <c r="B1169" s="8" t="str">
        <f t="shared" si="90"/>
        <v/>
      </c>
      <c r="C1169" s="8" t="str">
        <f t="shared" si="91"/>
        <v/>
      </c>
      <c r="D1169" s="8" t="str">
        <f t="shared" si="92"/>
        <v/>
      </c>
      <c r="F1169" s="4" t="str">
        <f>IF(Jugadores!B1169="","",Jugadores!B1169)</f>
        <v/>
      </c>
      <c r="G1169" s="4" t="str">
        <f>IF(Jugadores!B1169="","",Jugadores!A1169)</f>
        <v/>
      </c>
      <c r="H1169" s="4" t="str">
        <f>IF(F1169="","",SUMIF('Estadísticas Jugadores'!$F$2:$F$7001,F1169,'Estadísticas Jugadores'!$J$2:$J$7001))</f>
        <v/>
      </c>
      <c r="I1169" s="4" t="str">
        <f t="shared" si="93"/>
        <v/>
      </c>
      <c r="J1169" s="4" t="str">
        <f t="shared" si="94"/>
        <v/>
      </c>
    </row>
    <row r="1170" spans="1:10" ht="15" customHeight="1" x14ac:dyDescent="0.25">
      <c r="A1170" s="8" t="str">
        <f>IF(COUNT($J$2:$J$1501)&gt;=1169,1169,"")</f>
        <v/>
      </c>
      <c r="B1170" s="8" t="str">
        <f t="shared" si="90"/>
        <v/>
      </c>
      <c r="C1170" s="8" t="str">
        <f t="shared" si="91"/>
        <v/>
      </c>
      <c r="D1170" s="8" t="str">
        <f t="shared" si="92"/>
        <v/>
      </c>
      <c r="F1170" s="4" t="str">
        <f>IF(Jugadores!B1170="","",Jugadores!B1170)</f>
        <v/>
      </c>
      <c r="G1170" s="4" t="str">
        <f>IF(Jugadores!B1170="","",Jugadores!A1170)</f>
        <v/>
      </c>
      <c r="H1170" s="4" t="str">
        <f>IF(F1170="","",SUMIF('Estadísticas Jugadores'!$F$2:$F$7001,F1170,'Estadísticas Jugadores'!$J$2:$J$7001))</f>
        <v/>
      </c>
      <c r="I1170" s="4" t="str">
        <f t="shared" si="93"/>
        <v/>
      </c>
      <c r="J1170" s="4" t="str">
        <f t="shared" si="94"/>
        <v/>
      </c>
    </row>
    <row r="1171" spans="1:10" ht="15" customHeight="1" x14ac:dyDescent="0.25">
      <c r="A1171" s="8" t="str">
        <f>IF(COUNT($J$2:$J$1501)&gt;=1170,1170,"")</f>
        <v/>
      </c>
      <c r="B1171" s="8" t="str">
        <f t="shared" si="90"/>
        <v/>
      </c>
      <c r="C1171" s="8" t="str">
        <f t="shared" si="91"/>
        <v/>
      </c>
      <c r="D1171" s="8" t="str">
        <f t="shared" si="92"/>
        <v/>
      </c>
      <c r="F1171" s="4" t="str">
        <f>IF(Jugadores!B1171="","",Jugadores!B1171)</f>
        <v/>
      </c>
      <c r="G1171" s="4" t="str">
        <f>IF(Jugadores!B1171="","",Jugadores!A1171)</f>
        <v/>
      </c>
      <c r="H1171" s="4" t="str">
        <f>IF(F1171="","",SUMIF('Estadísticas Jugadores'!$F$2:$F$7001,F1171,'Estadísticas Jugadores'!$J$2:$J$7001))</f>
        <v/>
      </c>
      <c r="I1171" s="4" t="str">
        <f t="shared" si="93"/>
        <v/>
      </c>
      <c r="J1171" s="4" t="str">
        <f t="shared" si="94"/>
        <v/>
      </c>
    </row>
    <row r="1172" spans="1:10" ht="15" customHeight="1" x14ac:dyDescent="0.25">
      <c r="A1172" s="8" t="str">
        <f>IF(COUNT($J$2:$J$1501)&gt;=1171,1171,"")</f>
        <v/>
      </c>
      <c r="B1172" s="8" t="str">
        <f t="shared" si="90"/>
        <v/>
      </c>
      <c r="C1172" s="8" t="str">
        <f t="shared" si="91"/>
        <v/>
      </c>
      <c r="D1172" s="8" t="str">
        <f t="shared" si="92"/>
        <v/>
      </c>
      <c r="F1172" s="4" t="str">
        <f>IF(Jugadores!B1172="","",Jugadores!B1172)</f>
        <v/>
      </c>
      <c r="G1172" s="4" t="str">
        <f>IF(Jugadores!B1172="","",Jugadores!A1172)</f>
        <v/>
      </c>
      <c r="H1172" s="4" t="str">
        <f>IF(F1172="","",SUMIF('Estadísticas Jugadores'!$F$2:$F$7001,F1172,'Estadísticas Jugadores'!$J$2:$J$7001))</f>
        <v/>
      </c>
      <c r="I1172" s="4" t="str">
        <f t="shared" si="93"/>
        <v/>
      </c>
      <c r="J1172" s="4" t="str">
        <f t="shared" si="94"/>
        <v/>
      </c>
    </row>
    <row r="1173" spans="1:10" ht="15" customHeight="1" x14ac:dyDescent="0.25">
      <c r="A1173" s="8" t="str">
        <f>IF(COUNT($J$2:$J$1501)&gt;=1172,1172,"")</f>
        <v/>
      </c>
      <c r="B1173" s="8" t="str">
        <f t="shared" si="90"/>
        <v/>
      </c>
      <c r="C1173" s="8" t="str">
        <f t="shared" si="91"/>
        <v/>
      </c>
      <c r="D1173" s="8" t="str">
        <f t="shared" si="92"/>
        <v/>
      </c>
      <c r="F1173" s="4" t="str">
        <f>IF(Jugadores!B1173="","",Jugadores!B1173)</f>
        <v/>
      </c>
      <c r="G1173" s="4" t="str">
        <f>IF(Jugadores!B1173="","",Jugadores!A1173)</f>
        <v/>
      </c>
      <c r="H1173" s="4" t="str">
        <f>IF(F1173="","",SUMIF('Estadísticas Jugadores'!$F$2:$F$7001,F1173,'Estadísticas Jugadores'!$J$2:$J$7001))</f>
        <v/>
      </c>
      <c r="I1173" s="4" t="str">
        <f t="shared" si="93"/>
        <v/>
      </c>
      <c r="J1173" s="4" t="str">
        <f t="shared" si="94"/>
        <v/>
      </c>
    </row>
    <row r="1174" spans="1:10" ht="15" customHeight="1" x14ac:dyDescent="0.25">
      <c r="A1174" s="8" t="str">
        <f>IF(COUNT($J$2:$J$1501)&gt;=1173,1173,"")</f>
        <v/>
      </c>
      <c r="B1174" s="8" t="str">
        <f t="shared" si="90"/>
        <v/>
      </c>
      <c r="C1174" s="8" t="str">
        <f t="shared" si="91"/>
        <v/>
      </c>
      <c r="D1174" s="8" t="str">
        <f t="shared" si="92"/>
        <v/>
      </c>
      <c r="F1174" s="4" t="str">
        <f>IF(Jugadores!B1174="","",Jugadores!B1174)</f>
        <v/>
      </c>
      <c r="G1174" s="4" t="str">
        <f>IF(Jugadores!B1174="","",Jugadores!A1174)</f>
        <v/>
      </c>
      <c r="H1174" s="4" t="str">
        <f>IF(F1174="","",SUMIF('Estadísticas Jugadores'!$F$2:$F$7001,F1174,'Estadísticas Jugadores'!$J$2:$J$7001))</f>
        <v/>
      </c>
      <c r="I1174" s="4" t="str">
        <f t="shared" si="93"/>
        <v/>
      </c>
      <c r="J1174" s="4" t="str">
        <f t="shared" si="94"/>
        <v/>
      </c>
    </row>
    <row r="1175" spans="1:10" ht="15" customHeight="1" x14ac:dyDescent="0.25">
      <c r="A1175" s="8" t="str">
        <f>IF(COUNT($J$2:$J$1501)&gt;=1174,1174,"")</f>
        <v/>
      </c>
      <c r="B1175" s="8" t="str">
        <f t="shared" si="90"/>
        <v/>
      </c>
      <c r="C1175" s="8" t="str">
        <f t="shared" si="91"/>
        <v/>
      </c>
      <c r="D1175" s="8" t="str">
        <f t="shared" si="92"/>
        <v/>
      </c>
      <c r="F1175" s="4" t="str">
        <f>IF(Jugadores!B1175="","",Jugadores!B1175)</f>
        <v/>
      </c>
      <c r="G1175" s="4" t="str">
        <f>IF(Jugadores!B1175="","",Jugadores!A1175)</f>
        <v/>
      </c>
      <c r="H1175" s="4" t="str">
        <f>IF(F1175="","",SUMIF('Estadísticas Jugadores'!$F$2:$F$7001,F1175,'Estadísticas Jugadores'!$J$2:$J$7001))</f>
        <v/>
      </c>
      <c r="I1175" s="4" t="str">
        <f t="shared" si="93"/>
        <v/>
      </c>
      <c r="J1175" s="4" t="str">
        <f t="shared" si="94"/>
        <v/>
      </c>
    </row>
    <row r="1176" spans="1:10" ht="15" customHeight="1" x14ac:dyDescent="0.25">
      <c r="A1176" s="8" t="str">
        <f>IF(COUNT($J$2:$J$1501)&gt;=1175,1175,"")</f>
        <v/>
      </c>
      <c r="B1176" s="8" t="str">
        <f t="shared" si="90"/>
        <v/>
      </c>
      <c r="C1176" s="8" t="str">
        <f t="shared" si="91"/>
        <v/>
      </c>
      <c r="D1176" s="8" t="str">
        <f t="shared" si="92"/>
        <v/>
      </c>
      <c r="F1176" s="4" t="str">
        <f>IF(Jugadores!B1176="","",Jugadores!B1176)</f>
        <v/>
      </c>
      <c r="G1176" s="4" t="str">
        <f>IF(Jugadores!B1176="","",Jugadores!A1176)</f>
        <v/>
      </c>
      <c r="H1176" s="4" t="str">
        <f>IF(F1176="","",SUMIF('Estadísticas Jugadores'!$F$2:$F$7001,F1176,'Estadísticas Jugadores'!$J$2:$J$7001))</f>
        <v/>
      </c>
      <c r="I1176" s="4" t="str">
        <f t="shared" si="93"/>
        <v/>
      </c>
      <c r="J1176" s="4" t="str">
        <f t="shared" si="94"/>
        <v/>
      </c>
    </row>
    <row r="1177" spans="1:10" ht="15" customHeight="1" x14ac:dyDescent="0.25">
      <c r="A1177" s="8" t="str">
        <f>IF(COUNT($J$2:$J$1501)&gt;=1176,1176,"")</f>
        <v/>
      </c>
      <c r="B1177" s="8" t="str">
        <f t="shared" si="90"/>
        <v/>
      </c>
      <c r="C1177" s="8" t="str">
        <f t="shared" si="91"/>
        <v/>
      </c>
      <c r="D1177" s="8" t="str">
        <f t="shared" si="92"/>
        <v/>
      </c>
      <c r="F1177" s="4" t="str">
        <f>IF(Jugadores!B1177="","",Jugadores!B1177)</f>
        <v/>
      </c>
      <c r="G1177" s="4" t="str">
        <f>IF(Jugadores!B1177="","",Jugadores!A1177)</f>
        <v/>
      </c>
      <c r="H1177" s="4" t="str">
        <f>IF(F1177="","",SUMIF('Estadísticas Jugadores'!$F$2:$F$7001,F1177,'Estadísticas Jugadores'!$J$2:$J$7001))</f>
        <v/>
      </c>
      <c r="I1177" s="4" t="str">
        <f t="shared" si="93"/>
        <v/>
      </c>
      <c r="J1177" s="4" t="str">
        <f t="shared" si="94"/>
        <v/>
      </c>
    </row>
    <row r="1178" spans="1:10" ht="15" customHeight="1" x14ac:dyDescent="0.25">
      <c r="A1178" s="8" t="str">
        <f>IF(COUNT($J$2:$J$1501)&gt;=1177,1177,"")</f>
        <v/>
      </c>
      <c r="B1178" s="8" t="str">
        <f t="shared" si="90"/>
        <v/>
      </c>
      <c r="C1178" s="8" t="str">
        <f t="shared" si="91"/>
        <v/>
      </c>
      <c r="D1178" s="8" t="str">
        <f t="shared" si="92"/>
        <v/>
      </c>
      <c r="F1178" s="4" t="str">
        <f>IF(Jugadores!B1178="","",Jugadores!B1178)</f>
        <v/>
      </c>
      <c r="G1178" s="4" t="str">
        <f>IF(Jugadores!B1178="","",Jugadores!A1178)</f>
        <v/>
      </c>
      <c r="H1178" s="4" t="str">
        <f>IF(F1178="","",SUMIF('Estadísticas Jugadores'!$F$2:$F$7001,F1178,'Estadísticas Jugadores'!$J$2:$J$7001))</f>
        <v/>
      </c>
      <c r="I1178" s="4" t="str">
        <f t="shared" si="93"/>
        <v/>
      </c>
      <c r="J1178" s="4" t="str">
        <f t="shared" si="94"/>
        <v/>
      </c>
    </row>
    <row r="1179" spans="1:10" ht="15" customHeight="1" x14ac:dyDescent="0.25">
      <c r="A1179" s="8" t="str">
        <f>IF(COUNT($J$2:$J$1501)&gt;=1178,1178,"")</f>
        <v/>
      </c>
      <c r="B1179" s="8" t="str">
        <f t="shared" si="90"/>
        <v/>
      </c>
      <c r="C1179" s="8" t="str">
        <f t="shared" si="91"/>
        <v/>
      </c>
      <c r="D1179" s="8" t="str">
        <f t="shared" si="92"/>
        <v/>
      </c>
      <c r="F1179" s="4" t="str">
        <f>IF(Jugadores!B1179="","",Jugadores!B1179)</f>
        <v/>
      </c>
      <c r="G1179" s="4" t="str">
        <f>IF(Jugadores!B1179="","",Jugadores!A1179)</f>
        <v/>
      </c>
      <c r="H1179" s="4" t="str">
        <f>IF(F1179="","",SUMIF('Estadísticas Jugadores'!$F$2:$F$7001,F1179,'Estadísticas Jugadores'!$J$2:$J$7001))</f>
        <v/>
      </c>
      <c r="I1179" s="4" t="str">
        <f t="shared" si="93"/>
        <v/>
      </c>
      <c r="J1179" s="4" t="str">
        <f t="shared" si="94"/>
        <v/>
      </c>
    </row>
    <row r="1180" spans="1:10" ht="15" customHeight="1" x14ac:dyDescent="0.25">
      <c r="A1180" s="8" t="str">
        <f>IF(COUNT($J$2:$J$1501)&gt;=1179,1179,"")</f>
        <v/>
      </c>
      <c r="B1180" s="8" t="str">
        <f t="shared" si="90"/>
        <v/>
      </c>
      <c r="C1180" s="8" t="str">
        <f t="shared" si="91"/>
        <v/>
      </c>
      <c r="D1180" s="8" t="str">
        <f t="shared" si="92"/>
        <v/>
      </c>
      <c r="F1180" s="4" t="str">
        <f>IF(Jugadores!B1180="","",Jugadores!B1180)</f>
        <v/>
      </c>
      <c r="G1180" s="4" t="str">
        <f>IF(Jugadores!B1180="","",Jugadores!A1180)</f>
        <v/>
      </c>
      <c r="H1180" s="4" t="str">
        <f>IF(F1180="","",SUMIF('Estadísticas Jugadores'!$F$2:$F$7001,F1180,'Estadísticas Jugadores'!$J$2:$J$7001))</f>
        <v/>
      </c>
      <c r="I1180" s="4" t="str">
        <f t="shared" si="93"/>
        <v/>
      </c>
      <c r="J1180" s="4" t="str">
        <f t="shared" si="94"/>
        <v/>
      </c>
    </row>
    <row r="1181" spans="1:10" ht="15" customHeight="1" x14ac:dyDescent="0.25">
      <c r="A1181" s="8" t="str">
        <f>IF(COUNT($J$2:$J$1501)&gt;=1180,1180,"")</f>
        <v/>
      </c>
      <c r="B1181" s="8" t="str">
        <f t="shared" si="90"/>
        <v/>
      </c>
      <c r="C1181" s="8" t="str">
        <f t="shared" si="91"/>
        <v/>
      </c>
      <c r="D1181" s="8" t="str">
        <f t="shared" si="92"/>
        <v/>
      </c>
      <c r="F1181" s="4" t="str">
        <f>IF(Jugadores!B1181="","",Jugadores!B1181)</f>
        <v/>
      </c>
      <c r="G1181" s="4" t="str">
        <f>IF(Jugadores!B1181="","",Jugadores!A1181)</f>
        <v/>
      </c>
      <c r="H1181" s="4" t="str">
        <f>IF(F1181="","",SUMIF('Estadísticas Jugadores'!$F$2:$F$7001,F1181,'Estadísticas Jugadores'!$J$2:$J$7001))</f>
        <v/>
      </c>
      <c r="I1181" s="4" t="str">
        <f t="shared" si="93"/>
        <v/>
      </c>
      <c r="J1181" s="4" t="str">
        <f t="shared" si="94"/>
        <v/>
      </c>
    </row>
    <row r="1182" spans="1:10" ht="15" customHeight="1" x14ac:dyDescent="0.25">
      <c r="A1182" s="8" t="str">
        <f>IF(COUNT($J$2:$J$1501)&gt;=1181,1181,"")</f>
        <v/>
      </c>
      <c r="B1182" s="8" t="str">
        <f t="shared" si="90"/>
        <v/>
      </c>
      <c r="C1182" s="8" t="str">
        <f t="shared" si="91"/>
        <v/>
      </c>
      <c r="D1182" s="8" t="str">
        <f t="shared" si="92"/>
        <v/>
      </c>
      <c r="F1182" s="4" t="str">
        <f>IF(Jugadores!B1182="","",Jugadores!B1182)</f>
        <v/>
      </c>
      <c r="G1182" s="4" t="str">
        <f>IF(Jugadores!B1182="","",Jugadores!A1182)</f>
        <v/>
      </c>
      <c r="H1182" s="4" t="str">
        <f>IF(F1182="","",SUMIF('Estadísticas Jugadores'!$F$2:$F$7001,F1182,'Estadísticas Jugadores'!$J$2:$J$7001))</f>
        <v/>
      </c>
      <c r="I1182" s="4" t="str">
        <f t="shared" si="93"/>
        <v/>
      </c>
      <c r="J1182" s="4" t="str">
        <f t="shared" si="94"/>
        <v/>
      </c>
    </row>
    <row r="1183" spans="1:10" ht="15" customHeight="1" x14ac:dyDescent="0.25">
      <c r="A1183" s="8" t="str">
        <f>IF(COUNT($J$2:$J$1501)&gt;=1182,1182,"")</f>
        <v/>
      </c>
      <c r="B1183" s="8" t="str">
        <f t="shared" si="90"/>
        <v/>
      </c>
      <c r="C1183" s="8" t="str">
        <f t="shared" si="91"/>
        <v/>
      </c>
      <c r="D1183" s="8" t="str">
        <f t="shared" si="92"/>
        <v/>
      </c>
      <c r="F1183" s="4" t="str">
        <f>IF(Jugadores!B1183="","",Jugadores!B1183)</f>
        <v/>
      </c>
      <c r="G1183" s="4" t="str">
        <f>IF(Jugadores!B1183="","",Jugadores!A1183)</f>
        <v/>
      </c>
      <c r="H1183" s="4" t="str">
        <f>IF(F1183="","",SUMIF('Estadísticas Jugadores'!$F$2:$F$7001,F1183,'Estadísticas Jugadores'!$J$2:$J$7001))</f>
        <v/>
      </c>
      <c r="I1183" s="4" t="str">
        <f t="shared" si="93"/>
        <v/>
      </c>
      <c r="J1183" s="4" t="str">
        <f t="shared" si="94"/>
        <v/>
      </c>
    </row>
    <row r="1184" spans="1:10" ht="15" customHeight="1" x14ac:dyDescent="0.25">
      <c r="A1184" s="8" t="str">
        <f>IF(COUNT($J$2:$J$1501)&gt;=1183,1183,"")</f>
        <v/>
      </c>
      <c r="B1184" s="8" t="str">
        <f t="shared" si="90"/>
        <v/>
      </c>
      <c r="C1184" s="8" t="str">
        <f t="shared" si="91"/>
        <v/>
      </c>
      <c r="D1184" s="8" t="str">
        <f t="shared" si="92"/>
        <v/>
      </c>
      <c r="F1184" s="4" t="str">
        <f>IF(Jugadores!B1184="","",Jugadores!B1184)</f>
        <v/>
      </c>
      <c r="G1184" s="4" t="str">
        <f>IF(Jugadores!B1184="","",Jugadores!A1184)</f>
        <v/>
      </c>
      <c r="H1184" s="4" t="str">
        <f>IF(F1184="","",SUMIF('Estadísticas Jugadores'!$F$2:$F$7001,F1184,'Estadísticas Jugadores'!$J$2:$J$7001))</f>
        <v/>
      </c>
      <c r="I1184" s="4" t="str">
        <f t="shared" si="93"/>
        <v/>
      </c>
      <c r="J1184" s="4" t="str">
        <f t="shared" si="94"/>
        <v/>
      </c>
    </row>
    <row r="1185" spans="1:10" ht="15" customHeight="1" x14ac:dyDescent="0.25">
      <c r="A1185" s="8" t="str">
        <f>IF(COUNT($J$2:$J$1501)&gt;=1184,1184,"")</f>
        <v/>
      </c>
      <c r="B1185" s="8" t="str">
        <f t="shared" si="90"/>
        <v/>
      </c>
      <c r="C1185" s="8" t="str">
        <f t="shared" si="91"/>
        <v/>
      </c>
      <c r="D1185" s="8" t="str">
        <f t="shared" si="92"/>
        <v/>
      </c>
      <c r="F1185" s="4" t="str">
        <f>IF(Jugadores!B1185="","",Jugadores!B1185)</f>
        <v/>
      </c>
      <c r="G1185" s="4" t="str">
        <f>IF(Jugadores!B1185="","",Jugadores!A1185)</f>
        <v/>
      </c>
      <c r="H1185" s="4" t="str">
        <f>IF(F1185="","",SUMIF('Estadísticas Jugadores'!$F$2:$F$7001,F1185,'Estadísticas Jugadores'!$J$2:$J$7001))</f>
        <v/>
      </c>
      <c r="I1185" s="4" t="str">
        <f t="shared" si="93"/>
        <v/>
      </c>
      <c r="J1185" s="4" t="str">
        <f t="shared" si="94"/>
        <v/>
      </c>
    </row>
    <row r="1186" spans="1:10" ht="15" customHeight="1" x14ac:dyDescent="0.25">
      <c r="A1186" s="8" t="str">
        <f>IF(COUNT($J$2:$J$1501)&gt;=1185,1185,"")</f>
        <v/>
      </c>
      <c r="B1186" s="8" t="str">
        <f t="shared" si="90"/>
        <v/>
      </c>
      <c r="C1186" s="8" t="str">
        <f t="shared" si="91"/>
        <v/>
      </c>
      <c r="D1186" s="8" t="str">
        <f t="shared" si="92"/>
        <v/>
      </c>
      <c r="F1186" s="4" t="str">
        <f>IF(Jugadores!B1186="","",Jugadores!B1186)</f>
        <v/>
      </c>
      <c r="G1186" s="4" t="str">
        <f>IF(Jugadores!B1186="","",Jugadores!A1186)</f>
        <v/>
      </c>
      <c r="H1186" s="4" t="str">
        <f>IF(F1186="","",SUMIF('Estadísticas Jugadores'!$F$2:$F$7001,F1186,'Estadísticas Jugadores'!$J$2:$J$7001))</f>
        <v/>
      </c>
      <c r="I1186" s="4" t="str">
        <f t="shared" si="93"/>
        <v/>
      </c>
      <c r="J1186" s="4" t="str">
        <f t="shared" si="94"/>
        <v/>
      </c>
    </row>
    <row r="1187" spans="1:10" ht="15" customHeight="1" x14ac:dyDescent="0.25">
      <c r="A1187" s="8" t="str">
        <f>IF(COUNT($J$2:$J$1501)&gt;=1186,1186,"")</f>
        <v/>
      </c>
      <c r="B1187" s="8" t="str">
        <f t="shared" si="90"/>
        <v/>
      </c>
      <c r="C1187" s="8" t="str">
        <f t="shared" si="91"/>
        <v/>
      </c>
      <c r="D1187" s="8" t="str">
        <f t="shared" si="92"/>
        <v/>
      </c>
      <c r="F1187" s="4" t="str">
        <f>IF(Jugadores!B1187="","",Jugadores!B1187)</f>
        <v/>
      </c>
      <c r="G1187" s="4" t="str">
        <f>IF(Jugadores!B1187="","",Jugadores!A1187)</f>
        <v/>
      </c>
      <c r="H1187" s="4" t="str">
        <f>IF(F1187="","",SUMIF('Estadísticas Jugadores'!$F$2:$F$7001,F1187,'Estadísticas Jugadores'!$J$2:$J$7001))</f>
        <v/>
      </c>
      <c r="I1187" s="4" t="str">
        <f t="shared" si="93"/>
        <v/>
      </c>
      <c r="J1187" s="4" t="str">
        <f t="shared" si="94"/>
        <v/>
      </c>
    </row>
    <row r="1188" spans="1:10" ht="15" customHeight="1" x14ac:dyDescent="0.25">
      <c r="A1188" s="8" t="str">
        <f>IF(COUNT($J$2:$J$1501)&gt;=1187,1187,"")</f>
        <v/>
      </c>
      <c r="B1188" s="8" t="str">
        <f t="shared" si="90"/>
        <v/>
      </c>
      <c r="C1188" s="8" t="str">
        <f t="shared" si="91"/>
        <v/>
      </c>
      <c r="D1188" s="8" t="str">
        <f t="shared" si="92"/>
        <v/>
      </c>
      <c r="F1188" s="4" t="str">
        <f>IF(Jugadores!B1188="","",Jugadores!B1188)</f>
        <v/>
      </c>
      <c r="G1188" s="4" t="str">
        <f>IF(Jugadores!B1188="","",Jugadores!A1188)</f>
        <v/>
      </c>
      <c r="H1188" s="4" t="str">
        <f>IF(F1188="","",SUMIF('Estadísticas Jugadores'!$F$2:$F$7001,F1188,'Estadísticas Jugadores'!$J$2:$J$7001))</f>
        <v/>
      </c>
      <c r="I1188" s="4" t="str">
        <f t="shared" si="93"/>
        <v/>
      </c>
      <c r="J1188" s="4" t="str">
        <f t="shared" si="94"/>
        <v/>
      </c>
    </row>
    <row r="1189" spans="1:10" ht="15" customHeight="1" x14ac:dyDescent="0.25">
      <c r="A1189" s="8" t="str">
        <f>IF(COUNT($J$2:$J$1501)&gt;=1188,1188,"")</f>
        <v/>
      </c>
      <c r="B1189" s="8" t="str">
        <f t="shared" si="90"/>
        <v/>
      </c>
      <c r="C1189" s="8" t="str">
        <f t="shared" si="91"/>
        <v/>
      </c>
      <c r="D1189" s="8" t="str">
        <f t="shared" si="92"/>
        <v/>
      </c>
      <c r="F1189" s="4" t="str">
        <f>IF(Jugadores!B1189="","",Jugadores!B1189)</f>
        <v/>
      </c>
      <c r="G1189" s="4" t="str">
        <f>IF(Jugadores!B1189="","",Jugadores!A1189)</f>
        <v/>
      </c>
      <c r="H1189" s="4" t="str">
        <f>IF(F1189="","",SUMIF('Estadísticas Jugadores'!$F$2:$F$7001,F1189,'Estadísticas Jugadores'!$J$2:$J$7001))</f>
        <v/>
      </c>
      <c r="I1189" s="4" t="str">
        <f t="shared" si="93"/>
        <v/>
      </c>
      <c r="J1189" s="4" t="str">
        <f t="shared" si="94"/>
        <v/>
      </c>
    </row>
    <row r="1190" spans="1:10" ht="15" customHeight="1" x14ac:dyDescent="0.25">
      <c r="A1190" s="8" t="str">
        <f>IF(COUNT($J$2:$J$1501)&gt;=1189,1189,"")</f>
        <v/>
      </c>
      <c r="B1190" s="8" t="str">
        <f t="shared" si="90"/>
        <v/>
      </c>
      <c r="C1190" s="8" t="str">
        <f t="shared" si="91"/>
        <v/>
      </c>
      <c r="D1190" s="8" t="str">
        <f t="shared" si="92"/>
        <v/>
      </c>
      <c r="F1190" s="4" t="str">
        <f>IF(Jugadores!B1190="","",Jugadores!B1190)</f>
        <v/>
      </c>
      <c r="G1190" s="4" t="str">
        <f>IF(Jugadores!B1190="","",Jugadores!A1190)</f>
        <v/>
      </c>
      <c r="H1190" s="4" t="str">
        <f>IF(F1190="","",SUMIF('Estadísticas Jugadores'!$F$2:$F$7001,F1190,'Estadísticas Jugadores'!$J$2:$J$7001))</f>
        <v/>
      </c>
      <c r="I1190" s="4" t="str">
        <f t="shared" si="93"/>
        <v/>
      </c>
      <c r="J1190" s="4" t="str">
        <f t="shared" si="94"/>
        <v/>
      </c>
    </row>
    <row r="1191" spans="1:10" ht="15" customHeight="1" x14ac:dyDescent="0.25">
      <c r="A1191" s="8" t="str">
        <f>IF(COUNT($J$2:$J$1501)&gt;=1190,1190,"")</f>
        <v/>
      </c>
      <c r="B1191" s="8" t="str">
        <f t="shared" si="90"/>
        <v/>
      </c>
      <c r="C1191" s="8" t="str">
        <f t="shared" si="91"/>
        <v/>
      </c>
      <c r="D1191" s="8" t="str">
        <f t="shared" si="92"/>
        <v/>
      </c>
      <c r="F1191" s="4" t="str">
        <f>IF(Jugadores!B1191="","",Jugadores!B1191)</f>
        <v/>
      </c>
      <c r="G1191" s="4" t="str">
        <f>IF(Jugadores!B1191="","",Jugadores!A1191)</f>
        <v/>
      </c>
      <c r="H1191" s="4" t="str">
        <f>IF(F1191="","",SUMIF('Estadísticas Jugadores'!$F$2:$F$7001,F1191,'Estadísticas Jugadores'!$J$2:$J$7001))</f>
        <v/>
      </c>
      <c r="I1191" s="4" t="str">
        <f t="shared" si="93"/>
        <v/>
      </c>
      <c r="J1191" s="4" t="str">
        <f t="shared" si="94"/>
        <v/>
      </c>
    </row>
    <row r="1192" spans="1:10" ht="15" customHeight="1" x14ac:dyDescent="0.25">
      <c r="A1192" s="8" t="str">
        <f>IF(COUNT($J$2:$J$1501)&gt;=1191,1191,"")</f>
        <v/>
      </c>
      <c r="B1192" s="8" t="str">
        <f t="shared" si="90"/>
        <v/>
      </c>
      <c r="C1192" s="8" t="str">
        <f t="shared" si="91"/>
        <v/>
      </c>
      <c r="D1192" s="8" t="str">
        <f t="shared" si="92"/>
        <v/>
      </c>
      <c r="F1192" s="4" t="str">
        <f>IF(Jugadores!B1192="","",Jugadores!B1192)</f>
        <v/>
      </c>
      <c r="G1192" s="4" t="str">
        <f>IF(Jugadores!B1192="","",Jugadores!A1192)</f>
        <v/>
      </c>
      <c r="H1192" s="4" t="str">
        <f>IF(F1192="","",SUMIF('Estadísticas Jugadores'!$F$2:$F$7001,F1192,'Estadísticas Jugadores'!$J$2:$J$7001))</f>
        <v/>
      </c>
      <c r="I1192" s="4" t="str">
        <f t="shared" si="93"/>
        <v/>
      </c>
      <c r="J1192" s="4" t="str">
        <f t="shared" si="94"/>
        <v/>
      </c>
    </row>
    <row r="1193" spans="1:10" ht="15" customHeight="1" x14ac:dyDescent="0.25">
      <c r="A1193" s="8" t="str">
        <f>IF(COUNT($J$2:$J$1501)&gt;=1192,1192,"")</f>
        <v/>
      </c>
      <c r="B1193" s="8" t="str">
        <f t="shared" si="90"/>
        <v/>
      </c>
      <c r="C1193" s="8" t="str">
        <f t="shared" si="91"/>
        <v/>
      </c>
      <c r="D1193" s="8" t="str">
        <f t="shared" si="92"/>
        <v/>
      </c>
      <c r="F1193" s="4" t="str">
        <f>IF(Jugadores!B1193="","",Jugadores!B1193)</f>
        <v/>
      </c>
      <c r="G1193" s="4" t="str">
        <f>IF(Jugadores!B1193="","",Jugadores!A1193)</f>
        <v/>
      </c>
      <c r="H1193" s="4" t="str">
        <f>IF(F1193="","",SUMIF('Estadísticas Jugadores'!$F$2:$F$7001,F1193,'Estadísticas Jugadores'!$J$2:$J$7001))</f>
        <v/>
      </c>
      <c r="I1193" s="4" t="str">
        <f t="shared" si="93"/>
        <v/>
      </c>
      <c r="J1193" s="4" t="str">
        <f t="shared" si="94"/>
        <v/>
      </c>
    </row>
    <row r="1194" spans="1:10" ht="15" customHeight="1" x14ac:dyDescent="0.25">
      <c r="A1194" s="8" t="str">
        <f>IF(COUNT($J$2:$J$1501)&gt;=1193,1193,"")</f>
        <v/>
      </c>
      <c r="B1194" s="8" t="str">
        <f t="shared" si="90"/>
        <v/>
      </c>
      <c r="C1194" s="8" t="str">
        <f t="shared" si="91"/>
        <v/>
      </c>
      <c r="D1194" s="8" t="str">
        <f t="shared" si="92"/>
        <v/>
      </c>
      <c r="F1194" s="4" t="str">
        <f>IF(Jugadores!B1194="","",Jugadores!B1194)</f>
        <v/>
      </c>
      <c r="G1194" s="4" t="str">
        <f>IF(Jugadores!B1194="","",Jugadores!A1194)</f>
        <v/>
      </c>
      <c r="H1194" s="4" t="str">
        <f>IF(F1194="","",SUMIF('Estadísticas Jugadores'!$F$2:$F$7001,F1194,'Estadísticas Jugadores'!$J$2:$J$7001))</f>
        <v/>
      </c>
      <c r="I1194" s="4" t="str">
        <f t="shared" si="93"/>
        <v/>
      </c>
      <c r="J1194" s="4" t="str">
        <f t="shared" si="94"/>
        <v/>
      </c>
    </row>
    <row r="1195" spans="1:10" ht="15" customHeight="1" x14ac:dyDescent="0.25">
      <c r="A1195" s="8" t="str">
        <f>IF(COUNT($J$2:$J$1501)&gt;=1194,1194,"")</f>
        <v/>
      </c>
      <c r="B1195" s="8" t="str">
        <f t="shared" si="90"/>
        <v/>
      </c>
      <c r="C1195" s="8" t="str">
        <f t="shared" si="91"/>
        <v/>
      </c>
      <c r="D1195" s="8" t="str">
        <f t="shared" si="92"/>
        <v/>
      </c>
      <c r="F1195" s="4" t="str">
        <f>IF(Jugadores!B1195="","",Jugadores!B1195)</f>
        <v/>
      </c>
      <c r="G1195" s="4" t="str">
        <f>IF(Jugadores!B1195="","",Jugadores!A1195)</f>
        <v/>
      </c>
      <c r="H1195" s="4" t="str">
        <f>IF(F1195="","",SUMIF('Estadísticas Jugadores'!$F$2:$F$7001,F1195,'Estadísticas Jugadores'!$J$2:$J$7001))</f>
        <v/>
      </c>
      <c r="I1195" s="4" t="str">
        <f t="shared" si="93"/>
        <v/>
      </c>
      <c r="J1195" s="4" t="str">
        <f t="shared" si="94"/>
        <v/>
      </c>
    </row>
    <row r="1196" spans="1:10" ht="15" customHeight="1" x14ac:dyDescent="0.25">
      <c r="A1196" s="8" t="str">
        <f>IF(COUNT($J$2:$J$1501)&gt;=1195,1195,"")</f>
        <v/>
      </c>
      <c r="B1196" s="8" t="str">
        <f t="shared" si="90"/>
        <v/>
      </c>
      <c r="C1196" s="8" t="str">
        <f t="shared" si="91"/>
        <v/>
      </c>
      <c r="D1196" s="8" t="str">
        <f t="shared" si="92"/>
        <v/>
      </c>
      <c r="F1196" s="4" t="str">
        <f>IF(Jugadores!B1196="","",Jugadores!B1196)</f>
        <v/>
      </c>
      <c r="G1196" s="4" t="str">
        <f>IF(Jugadores!B1196="","",Jugadores!A1196)</f>
        <v/>
      </c>
      <c r="H1196" s="4" t="str">
        <f>IF(F1196="","",SUMIF('Estadísticas Jugadores'!$F$2:$F$7001,F1196,'Estadísticas Jugadores'!$J$2:$J$7001))</f>
        <v/>
      </c>
      <c r="I1196" s="4" t="str">
        <f t="shared" si="93"/>
        <v/>
      </c>
      <c r="J1196" s="4" t="str">
        <f t="shared" si="94"/>
        <v/>
      </c>
    </row>
    <row r="1197" spans="1:10" ht="15" customHeight="1" x14ac:dyDescent="0.25">
      <c r="A1197" s="8" t="str">
        <f>IF(COUNT($J$2:$J$1501)&gt;=1196,1196,"")</f>
        <v/>
      </c>
      <c r="B1197" s="8" t="str">
        <f t="shared" si="90"/>
        <v/>
      </c>
      <c r="C1197" s="8" t="str">
        <f t="shared" si="91"/>
        <v/>
      </c>
      <c r="D1197" s="8" t="str">
        <f t="shared" si="92"/>
        <v/>
      </c>
      <c r="F1197" s="4" t="str">
        <f>IF(Jugadores!B1197="","",Jugadores!B1197)</f>
        <v/>
      </c>
      <c r="G1197" s="4" t="str">
        <f>IF(Jugadores!B1197="","",Jugadores!A1197)</f>
        <v/>
      </c>
      <c r="H1197" s="4" t="str">
        <f>IF(F1197="","",SUMIF('Estadísticas Jugadores'!$F$2:$F$7001,F1197,'Estadísticas Jugadores'!$J$2:$J$7001))</f>
        <v/>
      </c>
      <c r="I1197" s="4" t="str">
        <f t="shared" si="93"/>
        <v/>
      </c>
      <c r="J1197" s="4" t="str">
        <f t="shared" si="94"/>
        <v/>
      </c>
    </row>
    <row r="1198" spans="1:10" ht="15" customHeight="1" x14ac:dyDescent="0.25">
      <c r="A1198" s="8" t="str">
        <f>IF(COUNT($J$2:$J$1501)&gt;=1197,1197,"")</f>
        <v/>
      </c>
      <c r="B1198" s="8" t="str">
        <f t="shared" si="90"/>
        <v/>
      </c>
      <c r="C1198" s="8" t="str">
        <f t="shared" si="91"/>
        <v/>
      </c>
      <c r="D1198" s="8" t="str">
        <f t="shared" si="92"/>
        <v/>
      </c>
      <c r="F1198" s="4" t="str">
        <f>IF(Jugadores!B1198="","",Jugadores!B1198)</f>
        <v/>
      </c>
      <c r="G1198" s="4" t="str">
        <f>IF(Jugadores!B1198="","",Jugadores!A1198)</f>
        <v/>
      </c>
      <c r="H1198" s="4" t="str">
        <f>IF(F1198="","",SUMIF('Estadísticas Jugadores'!$F$2:$F$7001,F1198,'Estadísticas Jugadores'!$J$2:$J$7001))</f>
        <v/>
      </c>
      <c r="I1198" s="4" t="str">
        <f t="shared" si="93"/>
        <v/>
      </c>
      <c r="J1198" s="4" t="str">
        <f t="shared" si="94"/>
        <v/>
      </c>
    </row>
    <row r="1199" spans="1:10" ht="15" customHeight="1" x14ac:dyDescent="0.25">
      <c r="A1199" s="8" t="str">
        <f>IF(COUNT($J$2:$J$1501)&gt;=1198,1198,"")</f>
        <v/>
      </c>
      <c r="B1199" s="8" t="str">
        <f t="shared" si="90"/>
        <v/>
      </c>
      <c r="C1199" s="8" t="str">
        <f t="shared" si="91"/>
        <v/>
      </c>
      <c r="D1199" s="8" t="str">
        <f t="shared" si="92"/>
        <v/>
      </c>
      <c r="F1199" s="4" t="str">
        <f>IF(Jugadores!B1199="","",Jugadores!B1199)</f>
        <v/>
      </c>
      <c r="G1199" s="4" t="str">
        <f>IF(Jugadores!B1199="","",Jugadores!A1199)</f>
        <v/>
      </c>
      <c r="H1199" s="4" t="str">
        <f>IF(F1199="","",SUMIF('Estadísticas Jugadores'!$F$2:$F$7001,F1199,'Estadísticas Jugadores'!$J$2:$J$7001))</f>
        <v/>
      </c>
      <c r="I1199" s="4" t="str">
        <f t="shared" si="93"/>
        <v/>
      </c>
      <c r="J1199" s="4" t="str">
        <f t="shared" si="94"/>
        <v/>
      </c>
    </row>
    <row r="1200" spans="1:10" ht="15" customHeight="1" x14ac:dyDescent="0.25">
      <c r="A1200" s="8" t="str">
        <f>IF(COUNT($J$2:$J$1501)&gt;=1199,1199,"")</f>
        <v/>
      </c>
      <c r="B1200" s="8" t="str">
        <f t="shared" si="90"/>
        <v/>
      </c>
      <c r="C1200" s="8" t="str">
        <f t="shared" si="91"/>
        <v/>
      </c>
      <c r="D1200" s="8" t="str">
        <f t="shared" si="92"/>
        <v/>
      </c>
      <c r="F1200" s="4" t="str">
        <f>IF(Jugadores!B1200="","",Jugadores!B1200)</f>
        <v/>
      </c>
      <c r="G1200" s="4" t="str">
        <f>IF(Jugadores!B1200="","",Jugadores!A1200)</f>
        <v/>
      </c>
      <c r="H1200" s="4" t="str">
        <f>IF(F1200="","",SUMIF('Estadísticas Jugadores'!$F$2:$F$7001,F1200,'Estadísticas Jugadores'!$J$2:$J$7001))</f>
        <v/>
      </c>
      <c r="I1200" s="4" t="str">
        <f t="shared" si="93"/>
        <v/>
      </c>
      <c r="J1200" s="4" t="str">
        <f t="shared" si="94"/>
        <v/>
      </c>
    </row>
    <row r="1201" spans="1:10" ht="15" customHeight="1" x14ac:dyDescent="0.25">
      <c r="A1201" s="8" t="str">
        <f>IF(COUNT($J$2:$J$1501)&gt;=1200,1200,"")</f>
        <v/>
      </c>
      <c r="B1201" s="8" t="str">
        <f t="shared" si="90"/>
        <v/>
      </c>
      <c r="C1201" s="8" t="str">
        <f t="shared" si="91"/>
        <v/>
      </c>
      <c r="D1201" s="8" t="str">
        <f t="shared" si="92"/>
        <v/>
      </c>
      <c r="F1201" s="4" t="str">
        <f>IF(Jugadores!B1201="","",Jugadores!B1201)</f>
        <v/>
      </c>
      <c r="G1201" s="4" t="str">
        <f>IF(Jugadores!B1201="","",Jugadores!A1201)</f>
        <v/>
      </c>
      <c r="H1201" s="4" t="str">
        <f>IF(F1201="","",SUMIF('Estadísticas Jugadores'!$F$2:$F$7001,F1201,'Estadísticas Jugadores'!$J$2:$J$7001))</f>
        <v/>
      </c>
      <c r="I1201" s="4" t="str">
        <f t="shared" si="93"/>
        <v/>
      </c>
      <c r="J1201" s="4" t="str">
        <f t="shared" si="94"/>
        <v/>
      </c>
    </row>
    <row r="1202" spans="1:10" ht="15" customHeight="1" x14ac:dyDescent="0.25">
      <c r="A1202" s="8" t="str">
        <f>IF(COUNT($J$2:$J$1501)&gt;=1201,1201,"")</f>
        <v/>
      </c>
      <c r="B1202" s="8" t="str">
        <f t="shared" si="90"/>
        <v/>
      </c>
      <c r="C1202" s="8" t="str">
        <f t="shared" si="91"/>
        <v/>
      </c>
      <c r="D1202" s="8" t="str">
        <f t="shared" si="92"/>
        <v/>
      </c>
      <c r="F1202" s="4" t="str">
        <f>IF(Jugadores!B1202="","",Jugadores!B1202)</f>
        <v/>
      </c>
      <c r="G1202" s="4" t="str">
        <f>IF(Jugadores!B1202="","",Jugadores!A1202)</f>
        <v/>
      </c>
      <c r="H1202" s="4" t="str">
        <f>IF(F1202="","",SUMIF('Estadísticas Jugadores'!$F$2:$F$7001,F1202,'Estadísticas Jugadores'!$J$2:$J$7001))</f>
        <v/>
      </c>
      <c r="I1202" s="4" t="str">
        <f t="shared" si="93"/>
        <v/>
      </c>
      <c r="J1202" s="4" t="str">
        <f t="shared" si="94"/>
        <v/>
      </c>
    </row>
    <row r="1203" spans="1:10" ht="15" customHeight="1" x14ac:dyDescent="0.25">
      <c r="A1203" s="8" t="str">
        <f>IF(COUNT($J$2:$J$1501)&gt;=1202,1202,"")</f>
        <v/>
      </c>
      <c r="B1203" s="8" t="str">
        <f t="shared" si="90"/>
        <v/>
      </c>
      <c r="C1203" s="8" t="str">
        <f t="shared" si="91"/>
        <v/>
      </c>
      <c r="D1203" s="8" t="str">
        <f t="shared" si="92"/>
        <v/>
      </c>
      <c r="F1203" s="4" t="str">
        <f>IF(Jugadores!B1203="","",Jugadores!B1203)</f>
        <v/>
      </c>
      <c r="G1203" s="4" t="str">
        <f>IF(Jugadores!B1203="","",Jugadores!A1203)</f>
        <v/>
      </c>
      <c r="H1203" s="4" t="str">
        <f>IF(F1203="","",SUMIF('Estadísticas Jugadores'!$F$2:$F$7001,F1203,'Estadísticas Jugadores'!$J$2:$J$7001))</f>
        <v/>
      </c>
      <c r="I1203" s="4" t="str">
        <f t="shared" si="93"/>
        <v/>
      </c>
      <c r="J1203" s="4" t="str">
        <f t="shared" si="94"/>
        <v/>
      </c>
    </row>
    <row r="1204" spans="1:10" ht="15" customHeight="1" x14ac:dyDescent="0.25">
      <c r="A1204" s="8" t="str">
        <f>IF(COUNT($J$2:$J$1501)&gt;=1203,1203,"")</f>
        <v/>
      </c>
      <c r="B1204" s="8" t="str">
        <f t="shared" si="90"/>
        <v/>
      </c>
      <c r="C1204" s="8" t="str">
        <f t="shared" si="91"/>
        <v/>
      </c>
      <c r="D1204" s="8" t="str">
        <f t="shared" si="92"/>
        <v/>
      </c>
      <c r="F1204" s="4" t="str">
        <f>IF(Jugadores!B1204="","",Jugadores!B1204)</f>
        <v/>
      </c>
      <c r="G1204" s="4" t="str">
        <f>IF(Jugadores!B1204="","",Jugadores!A1204)</f>
        <v/>
      </c>
      <c r="H1204" s="4" t="str">
        <f>IF(F1204="","",SUMIF('Estadísticas Jugadores'!$F$2:$F$7001,F1204,'Estadísticas Jugadores'!$J$2:$J$7001))</f>
        <v/>
      </c>
      <c r="I1204" s="4" t="str">
        <f t="shared" si="93"/>
        <v/>
      </c>
      <c r="J1204" s="4" t="str">
        <f t="shared" si="94"/>
        <v/>
      </c>
    </row>
    <row r="1205" spans="1:10" ht="15" customHeight="1" x14ac:dyDescent="0.25">
      <c r="A1205" s="8" t="str">
        <f>IF(COUNT($J$2:$J$1501)&gt;=1204,1204,"")</f>
        <v/>
      </c>
      <c r="B1205" s="8" t="str">
        <f t="shared" si="90"/>
        <v/>
      </c>
      <c r="C1205" s="8" t="str">
        <f t="shared" si="91"/>
        <v/>
      </c>
      <c r="D1205" s="8" t="str">
        <f t="shared" si="92"/>
        <v/>
      </c>
      <c r="F1205" s="4" t="str">
        <f>IF(Jugadores!B1205="","",Jugadores!B1205)</f>
        <v/>
      </c>
      <c r="G1205" s="4" t="str">
        <f>IF(Jugadores!B1205="","",Jugadores!A1205)</f>
        <v/>
      </c>
      <c r="H1205" s="4" t="str">
        <f>IF(F1205="","",SUMIF('Estadísticas Jugadores'!$F$2:$F$7001,F1205,'Estadísticas Jugadores'!$J$2:$J$7001))</f>
        <v/>
      </c>
      <c r="I1205" s="4" t="str">
        <f t="shared" si="93"/>
        <v/>
      </c>
      <c r="J1205" s="4" t="str">
        <f t="shared" si="94"/>
        <v/>
      </c>
    </row>
    <row r="1206" spans="1:10" ht="15" customHeight="1" x14ac:dyDescent="0.25">
      <c r="A1206" s="8" t="str">
        <f>IF(COUNT($J$2:$J$1501)&gt;=1205,1205,"")</f>
        <v/>
      </c>
      <c r="B1206" s="8" t="str">
        <f t="shared" si="90"/>
        <v/>
      </c>
      <c r="C1206" s="8" t="str">
        <f t="shared" si="91"/>
        <v/>
      </c>
      <c r="D1206" s="8" t="str">
        <f t="shared" si="92"/>
        <v/>
      </c>
      <c r="F1206" s="4" t="str">
        <f>IF(Jugadores!B1206="","",Jugadores!B1206)</f>
        <v/>
      </c>
      <c r="G1206" s="4" t="str">
        <f>IF(Jugadores!B1206="","",Jugadores!A1206)</f>
        <v/>
      </c>
      <c r="H1206" s="4" t="str">
        <f>IF(F1206="","",SUMIF('Estadísticas Jugadores'!$F$2:$F$7001,F1206,'Estadísticas Jugadores'!$J$2:$J$7001))</f>
        <v/>
      </c>
      <c r="I1206" s="4" t="str">
        <f t="shared" si="93"/>
        <v/>
      </c>
      <c r="J1206" s="4" t="str">
        <f t="shared" si="94"/>
        <v/>
      </c>
    </row>
    <row r="1207" spans="1:10" ht="15" customHeight="1" x14ac:dyDescent="0.25">
      <c r="A1207" s="8" t="str">
        <f>IF(COUNT($J$2:$J$1501)&gt;=1206,1206,"")</f>
        <v/>
      </c>
      <c r="B1207" s="8" t="str">
        <f t="shared" si="90"/>
        <v/>
      </c>
      <c r="C1207" s="8" t="str">
        <f t="shared" si="91"/>
        <v/>
      </c>
      <c r="D1207" s="8" t="str">
        <f t="shared" si="92"/>
        <v/>
      </c>
      <c r="F1207" s="4" t="str">
        <f>IF(Jugadores!B1207="","",Jugadores!B1207)</f>
        <v/>
      </c>
      <c r="G1207" s="4" t="str">
        <f>IF(Jugadores!B1207="","",Jugadores!A1207)</f>
        <v/>
      </c>
      <c r="H1207" s="4" t="str">
        <f>IF(F1207="","",SUMIF('Estadísticas Jugadores'!$F$2:$F$7001,F1207,'Estadísticas Jugadores'!$J$2:$J$7001))</f>
        <v/>
      </c>
      <c r="I1207" s="4" t="str">
        <f t="shared" si="93"/>
        <v/>
      </c>
      <c r="J1207" s="4" t="str">
        <f t="shared" si="94"/>
        <v/>
      </c>
    </row>
    <row r="1208" spans="1:10" ht="15" customHeight="1" x14ac:dyDescent="0.25">
      <c r="A1208" s="8" t="str">
        <f>IF(COUNT($J$2:$J$1501)&gt;=1207,1207,"")</f>
        <v/>
      </c>
      <c r="B1208" s="8" t="str">
        <f t="shared" si="90"/>
        <v/>
      </c>
      <c r="C1208" s="8" t="str">
        <f t="shared" si="91"/>
        <v/>
      </c>
      <c r="D1208" s="8" t="str">
        <f t="shared" si="92"/>
        <v/>
      </c>
      <c r="F1208" s="4" t="str">
        <f>IF(Jugadores!B1208="","",Jugadores!B1208)</f>
        <v/>
      </c>
      <c r="G1208" s="4" t="str">
        <f>IF(Jugadores!B1208="","",Jugadores!A1208)</f>
        <v/>
      </c>
      <c r="H1208" s="4" t="str">
        <f>IF(F1208="","",SUMIF('Estadísticas Jugadores'!$F$2:$F$7001,F1208,'Estadísticas Jugadores'!$J$2:$J$7001))</f>
        <v/>
      </c>
      <c r="I1208" s="4" t="str">
        <f t="shared" si="93"/>
        <v/>
      </c>
      <c r="J1208" s="4" t="str">
        <f t="shared" si="94"/>
        <v/>
      </c>
    </row>
    <row r="1209" spans="1:10" ht="15" customHeight="1" x14ac:dyDescent="0.25">
      <c r="A1209" s="8" t="str">
        <f>IF(COUNT($J$2:$J$1501)&gt;=1208,1208,"")</f>
        <v/>
      </c>
      <c r="B1209" s="8" t="str">
        <f t="shared" si="90"/>
        <v/>
      </c>
      <c r="C1209" s="8" t="str">
        <f t="shared" si="91"/>
        <v/>
      </c>
      <c r="D1209" s="8" t="str">
        <f t="shared" si="92"/>
        <v/>
      </c>
      <c r="F1209" s="4" t="str">
        <f>IF(Jugadores!B1209="","",Jugadores!B1209)</f>
        <v/>
      </c>
      <c r="G1209" s="4" t="str">
        <f>IF(Jugadores!B1209="","",Jugadores!A1209)</f>
        <v/>
      </c>
      <c r="H1209" s="4" t="str">
        <f>IF(F1209="","",SUMIF('Estadísticas Jugadores'!$F$2:$F$7001,F1209,'Estadísticas Jugadores'!$J$2:$J$7001))</f>
        <v/>
      </c>
      <c r="I1209" s="4" t="str">
        <f t="shared" si="93"/>
        <v/>
      </c>
      <c r="J1209" s="4" t="str">
        <f t="shared" si="94"/>
        <v/>
      </c>
    </row>
    <row r="1210" spans="1:10" ht="15" customHeight="1" x14ac:dyDescent="0.25">
      <c r="A1210" s="8" t="str">
        <f>IF(COUNT($J$2:$J$1501)&gt;=1209,1209,"")</f>
        <v/>
      </c>
      <c r="B1210" s="8" t="str">
        <f t="shared" si="90"/>
        <v/>
      </c>
      <c r="C1210" s="8" t="str">
        <f t="shared" si="91"/>
        <v/>
      </c>
      <c r="D1210" s="8" t="str">
        <f t="shared" si="92"/>
        <v/>
      </c>
      <c r="F1210" s="4" t="str">
        <f>IF(Jugadores!B1210="","",Jugadores!B1210)</f>
        <v/>
      </c>
      <c r="G1210" s="4" t="str">
        <f>IF(Jugadores!B1210="","",Jugadores!A1210)</f>
        <v/>
      </c>
      <c r="H1210" s="4" t="str">
        <f>IF(F1210="","",SUMIF('Estadísticas Jugadores'!$F$2:$F$7001,F1210,'Estadísticas Jugadores'!$J$2:$J$7001))</f>
        <v/>
      </c>
      <c r="I1210" s="4" t="str">
        <f t="shared" si="93"/>
        <v/>
      </c>
      <c r="J1210" s="4" t="str">
        <f t="shared" si="94"/>
        <v/>
      </c>
    </row>
    <row r="1211" spans="1:10" ht="15" customHeight="1" x14ac:dyDescent="0.25">
      <c r="A1211" s="8" t="str">
        <f>IF(COUNT($J$2:$J$1501)&gt;=1210,1210,"")</f>
        <v/>
      </c>
      <c r="B1211" s="8" t="str">
        <f t="shared" si="90"/>
        <v/>
      </c>
      <c r="C1211" s="8" t="str">
        <f t="shared" si="91"/>
        <v/>
      </c>
      <c r="D1211" s="8" t="str">
        <f t="shared" si="92"/>
        <v/>
      </c>
      <c r="F1211" s="4" t="str">
        <f>IF(Jugadores!B1211="","",Jugadores!B1211)</f>
        <v/>
      </c>
      <c r="G1211" s="4" t="str">
        <f>IF(Jugadores!B1211="","",Jugadores!A1211)</f>
        <v/>
      </c>
      <c r="H1211" s="4" t="str">
        <f>IF(F1211="","",SUMIF('Estadísticas Jugadores'!$F$2:$F$7001,F1211,'Estadísticas Jugadores'!$J$2:$J$7001))</f>
        <v/>
      </c>
      <c r="I1211" s="4" t="str">
        <f t="shared" si="93"/>
        <v/>
      </c>
      <c r="J1211" s="4" t="str">
        <f t="shared" si="94"/>
        <v/>
      </c>
    </row>
    <row r="1212" spans="1:10" ht="15" customHeight="1" x14ac:dyDescent="0.25">
      <c r="A1212" s="8" t="str">
        <f>IF(COUNT($J$2:$J$1501)&gt;=1211,1211,"")</f>
        <v/>
      </c>
      <c r="B1212" s="8" t="str">
        <f t="shared" si="90"/>
        <v/>
      </c>
      <c r="C1212" s="8" t="str">
        <f t="shared" si="91"/>
        <v/>
      </c>
      <c r="D1212" s="8" t="str">
        <f t="shared" si="92"/>
        <v/>
      </c>
      <c r="F1212" s="4" t="str">
        <f>IF(Jugadores!B1212="","",Jugadores!B1212)</f>
        <v/>
      </c>
      <c r="G1212" s="4" t="str">
        <f>IF(Jugadores!B1212="","",Jugadores!A1212)</f>
        <v/>
      </c>
      <c r="H1212" s="4" t="str">
        <f>IF(F1212="","",SUMIF('Estadísticas Jugadores'!$F$2:$F$7001,F1212,'Estadísticas Jugadores'!$J$2:$J$7001))</f>
        <v/>
      </c>
      <c r="I1212" s="4" t="str">
        <f t="shared" si="93"/>
        <v/>
      </c>
      <c r="J1212" s="4" t="str">
        <f t="shared" si="94"/>
        <v/>
      </c>
    </row>
    <row r="1213" spans="1:10" ht="15" customHeight="1" x14ac:dyDescent="0.25">
      <c r="A1213" s="8" t="str">
        <f>IF(COUNT($J$2:$J$1501)&gt;=1212,1212,"")</f>
        <v/>
      </c>
      <c r="B1213" s="8" t="str">
        <f t="shared" si="90"/>
        <v/>
      </c>
      <c r="C1213" s="8" t="str">
        <f t="shared" si="91"/>
        <v/>
      </c>
      <c r="D1213" s="8" t="str">
        <f t="shared" si="92"/>
        <v/>
      </c>
      <c r="F1213" s="4" t="str">
        <f>IF(Jugadores!B1213="","",Jugadores!B1213)</f>
        <v/>
      </c>
      <c r="G1213" s="4" t="str">
        <f>IF(Jugadores!B1213="","",Jugadores!A1213)</f>
        <v/>
      </c>
      <c r="H1213" s="4" t="str">
        <f>IF(F1213="","",SUMIF('Estadísticas Jugadores'!$F$2:$F$7001,F1213,'Estadísticas Jugadores'!$J$2:$J$7001))</f>
        <v/>
      </c>
      <c r="I1213" s="4" t="str">
        <f t="shared" si="93"/>
        <v/>
      </c>
      <c r="J1213" s="4" t="str">
        <f t="shared" si="94"/>
        <v/>
      </c>
    </row>
    <row r="1214" spans="1:10" ht="15" customHeight="1" x14ac:dyDescent="0.25">
      <c r="A1214" s="8" t="str">
        <f>IF(COUNT($J$2:$J$1501)&gt;=1213,1213,"")</f>
        <v/>
      </c>
      <c r="B1214" s="8" t="str">
        <f t="shared" si="90"/>
        <v/>
      </c>
      <c r="C1214" s="8" t="str">
        <f t="shared" si="91"/>
        <v/>
      </c>
      <c r="D1214" s="8" t="str">
        <f t="shared" si="92"/>
        <v/>
      </c>
      <c r="F1214" s="4" t="str">
        <f>IF(Jugadores!B1214="","",Jugadores!B1214)</f>
        <v/>
      </c>
      <c r="G1214" s="4" t="str">
        <f>IF(Jugadores!B1214="","",Jugadores!A1214)</f>
        <v/>
      </c>
      <c r="H1214" s="4" t="str">
        <f>IF(F1214="","",SUMIF('Estadísticas Jugadores'!$F$2:$F$7001,F1214,'Estadísticas Jugadores'!$J$2:$J$7001))</f>
        <v/>
      </c>
      <c r="I1214" s="4" t="str">
        <f t="shared" si="93"/>
        <v/>
      </c>
      <c r="J1214" s="4" t="str">
        <f t="shared" si="94"/>
        <v/>
      </c>
    </row>
    <row r="1215" spans="1:10" ht="15" customHeight="1" x14ac:dyDescent="0.25">
      <c r="A1215" s="8" t="str">
        <f>IF(COUNT($J$2:$J$1501)&gt;=1214,1214,"")</f>
        <v/>
      </c>
      <c r="B1215" s="8" t="str">
        <f t="shared" si="90"/>
        <v/>
      </c>
      <c r="C1215" s="8" t="str">
        <f t="shared" si="91"/>
        <v/>
      </c>
      <c r="D1215" s="8" t="str">
        <f t="shared" si="92"/>
        <v/>
      </c>
      <c r="F1215" s="4" t="str">
        <f>IF(Jugadores!B1215="","",Jugadores!B1215)</f>
        <v/>
      </c>
      <c r="G1215" s="4" t="str">
        <f>IF(Jugadores!B1215="","",Jugadores!A1215)</f>
        <v/>
      </c>
      <c r="H1215" s="4" t="str">
        <f>IF(F1215="","",SUMIF('Estadísticas Jugadores'!$F$2:$F$7001,F1215,'Estadísticas Jugadores'!$J$2:$J$7001))</f>
        <v/>
      </c>
      <c r="I1215" s="4" t="str">
        <f t="shared" si="93"/>
        <v/>
      </c>
      <c r="J1215" s="4" t="str">
        <f t="shared" si="94"/>
        <v/>
      </c>
    </row>
    <row r="1216" spans="1:10" ht="15" customHeight="1" x14ac:dyDescent="0.25">
      <c r="A1216" s="8" t="str">
        <f>IF(COUNT($J$2:$J$1501)&gt;=1215,1215,"")</f>
        <v/>
      </c>
      <c r="B1216" s="8" t="str">
        <f t="shared" si="90"/>
        <v/>
      </c>
      <c r="C1216" s="8" t="str">
        <f t="shared" si="91"/>
        <v/>
      </c>
      <c r="D1216" s="8" t="str">
        <f t="shared" si="92"/>
        <v/>
      </c>
      <c r="F1216" s="4" t="str">
        <f>IF(Jugadores!B1216="","",Jugadores!B1216)</f>
        <v/>
      </c>
      <c r="G1216" s="4" t="str">
        <f>IF(Jugadores!B1216="","",Jugadores!A1216)</f>
        <v/>
      </c>
      <c r="H1216" s="4" t="str">
        <f>IF(F1216="","",SUMIF('Estadísticas Jugadores'!$F$2:$F$7001,F1216,'Estadísticas Jugadores'!$J$2:$J$7001))</f>
        <v/>
      </c>
      <c r="I1216" s="4" t="str">
        <f t="shared" si="93"/>
        <v/>
      </c>
      <c r="J1216" s="4" t="str">
        <f t="shared" si="94"/>
        <v/>
      </c>
    </row>
    <row r="1217" spans="1:10" ht="15" customHeight="1" x14ac:dyDescent="0.25">
      <c r="A1217" s="8" t="str">
        <f>IF(COUNT($J$2:$J$1501)&gt;=1216,1216,"")</f>
        <v/>
      </c>
      <c r="B1217" s="8" t="str">
        <f t="shared" si="90"/>
        <v/>
      </c>
      <c r="C1217" s="8" t="str">
        <f t="shared" si="91"/>
        <v/>
      </c>
      <c r="D1217" s="8" t="str">
        <f t="shared" si="92"/>
        <v/>
      </c>
      <c r="F1217" s="4" t="str">
        <f>IF(Jugadores!B1217="","",Jugadores!B1217)</f>
        <v/>
      </c>
      <c r="G1217" s="4" t="str">
        <f>IF(Jugadores!B1217="","",Jugadores!A1217)</f>
        <v/>
      </c>
      <c r="H1217" s="4" t="str">
        <f>IF(F1217="","",SUMIF('Estadísticas Jugadores'!$F$2:$F$7001,F1217,'Estadísticas Jugadores'!$J$2:$J$7001))</f>
        <v/>
      </c>
      <c r="I1217" s="4" t="str">
        <f t="shared" si="93"/>
        <v/>
      </c>
      <c r="J1217" s="4" t="str">
        <f t="shared" si="94"/>
        <v/>
      </c>
    </row>
    <row r="1218" spans="1:10" ht="15" customHeight="1" x14ac:dyDescent="0.25">
      <c r="A1218" s="8" t="str">
        <f>IF(COUNT($J$2:$J$1501)&gt;=1217,1217,"")</f>
        <v/>
      </c>
      <c r="B1218" s="8" t="str">
        <f t="shared" ref="B1218:B1281" si="95">IF($A1218="","",INDEX($F$2:$F$1501,MATCH($A1218,$J$2:$J$1501,0)))</f>
        <v/>
      </c>
      <c r="C1218" s="8" t="str">
        <f t="shared" ref="C1218:C1281" si="96">IF($A1218="","",INDEX($G$2:$G$1501,MATCH($A1218,$J$2:$J$1501,0)))</f>
        <v/>
      </c>
      <c r="D1218" s="8" t="str">
        <f t="shared" ref="D1218:D1281" si="97">IF($A1218="","",INDEX($H$2:$H$1501,MATCH($A1218,$J$2:$J$1501,0)))</f>
        <v/>
      </c>
      <c r="F1218" s="4" t="str">
        <f>IF(Jugadores!B1218="","",Jugadores!B1218)</f>
        <v/>
      </c>
      <c r="G1218" s="4" t="str">
        <f>IF(Jugadores!B1218="","",Jugadores!A1218)</f>
        <v/>
      </c>
      <c r="H1218" s="4" t="str">
        <f>IF(F1218="","",SUMIF('Estadísticas Jugadores'!$F$2:$F$7001,F1218,'Estadísticas Jugadores'!$J$2:$J$7001))</f>
        <v/>
      </c>
      <c r="I1218" s="4" t="str">
        <f t="shared" ref="I1218:I1281" si="98">IF(F1218="","",H1218*1000-ROW()*0.0000001)</f>
        <v/>
      </c>
      <c r="J1218" s="4" t="str">
        <f t="shared" ref="J1218:J1281" si="99">IF(F1218="","",RANK(I1218,$I$2:$I$1501))</f>
        <v/>
      </c>
    </row>
    <row r="1219" spans="1:10" ht="15" customHeight="1" x14ac:dyDescent="0.25">
      <c r="A1219" s="8" t="str">
        <f>IF(COUNT($J$2:$J$1501)&gt;=1218,1218,"")</f>
        <v/>
      </c>
      <c r="B1219" s="8" t="str">
        <f t="shared" si="95"/>
        <v/>
      </c>
      <c r="C1219" s="8" t="str">
        <f t="shared" si="96"/>
        <v/>
      </c>
      <c r="D1219" s="8" t="str">
        <f t="shared" si="97"/>
        <v/>
      </c>
      <c r="F1219" s="4" t="str">
        <f>IF(Jugadores!B1219="","",Jugadores!B1219)</f>
        <v/>
      </c>
      <c r="G1219" s="4" t="str">
        <f>IF(Jugadores!B1219="","",Jugadores!A1219)</f>
        <v/>
      </c>
      <c r="H1219" s="4" t="str">
        <f>IF(F1219="","",SUMIF('Estadísticas Jugadores'!$F$2:$F$7001,F1219,'Estadísticas Jugadores'!$J$2:$J$7001))</f>
        <v/>
      </c>
      <c r="I1219" s="4" t="str">
        <f t="shared" si="98"/>
        <v/>
      </c>
      <c r="J1219" s="4" t="str">
        <f t="shared" si="99"/>
        <v/>
      </c>
    </row>
    <row r="1220" spans="1:10" ht="15" customHeight="1" x14ac:dyDescent="0.25">
      <c r="A1220" s="8" t="str">
        <f>IF(COUNT($J$2:$J$1501)&gt;=1219,1219,"")</f>
        <v/>
      </c>
      <c r="B1220" s="8" t="str">
        <f t="shared" si="95"/>
        <v/>
      </c>
      <c r="C1220" s="8" t="str">
        <f t="shared" si="96"/>
        <v/>
      </c>
      <c r="D1220" s="8" t="str">
        <f t="shared" si="97"/>
        <v/>
      </c>
      <c r="F1220" s="4" t="str">
        <f>IF(Jugadores!B1220="","",Jugadores!B1220)</f>
        <v/>
      </c>
      <c r="G1220" s="4" t="str">
        <f>IF(Jugadores!B1220="","",Jugadores!A1220)</f>
        <v/>
      </c>
      <c r="H1220" s="4" t="str">
        <f>IF(F1220="","",SUMIF('Estadísticas Jugadores'!$F$2:$F$7001,F1220,'Estadísticas Jugadores'!$J$2:$J$7001))</f>
        <v/>
      </c>
      <c r="I1220" s="4" t="str">
        <f t="shared" si="98"/>
        <v/>
      </c>
      <c r="J1220" s="4" t="str">
        <f t="shared" si="99"/>
        <v/>
      </c>
    </row>
    <row r="1221" spans="1:10" ht="15" customHeight="1" x14ac:dyDescent="0.25">
      <c r="A1221" s="8" t="str">
        <f>IF(COUNT($J$2:$J$1501)&gt;=1220,1220,"")</f>
        <v/>
      </c>
      <c r="B1221" s="8" t="str">
        <f t="shared" si="95"/>
        <v/>
      </c>
      <c r="C1221" s="8" t="str">
        <f t="shared" si="96"/>
        <v/>
      </c>
      <c r="D1221" s="8" t="str">
        <f t="shared" si="97"/>
        <v/>
      </c>
      <c r="F1221" s="4" t="str">
        <f>IF(Jugadores!B1221="","",Jugadores!B1221)</f>
        <v/>
      </c>
      <c r="G1221" s="4" t="str">
        <f>IF(Jugadores!B1221="","",Jugadores!A1221)</f>
        <v/>
      </c>
      <c r="H1221" s="4" t="str">
        <f>IF(F1221="","",SUMIF('Estadísticas Jugadores'!$F$2:$F$7001,F1221,'Estadísticas Jugadores'!$J$2:$J$7001))</f>
        <v/>
      </c>
      <c r="I1221" s="4" t="str">
        <f t="shared" si="98"/>
        <v/>
      </c>
      <c r="J1221" s="4" t="str">
        <f t="shared" si="99"/>
        <v/>
      </c>
    </row>
    <row r="1222" spans="1:10" ht="15" customHeight="1" x14ac:dyDescent="0.25">
      <c r="A1222" s="8" t="str">
        <f>IF(COUNT($J$2:$J$1501)&gt;=1221,1221,"")</f>
        <v/>
      </c>
      <c r="B1222" s="8" t="str">
        <f t="shared" si="95"/>
        <v/>
      </c>
      <c r="C1222" s="8" t="str">
        <f t="shared" si="96"/>
        <v/>
      </c>
      <c r="D1222" s="8" t="str">
        <f t="shared" si="97"/>
        <v/>
      </c>
      <c r="F1222" s="4" t="str">
        <f>IF(Jugadores!B1222="","",Jugadores!B1222)</f>
        <v/>
      </c>
      <c r="G1222" s="4" t="str">
        <f>IF(Jugadores!B1222="","",Jugadores!A1222)</f>
        <v/>
      </c>
      <c r="H1222" s="4" t="str">
        <f>IF(F1222="","",SUMIF('Estadísticas Jugadores'!$F$2:$F$7001,F1222,'Estadísticas Jugadores'!$J$2:$J$7001))</f>
        <v/>
      </c>
      <c r="I1222" s="4" t="str">
        <f t="shared" si="98"/>
        <v/>
      </c>
      <c r="J1222" s="4" t="str">
        <f t="shared" si="99"/>
        <v/>
      </c>
    </row>
    <row r="1223" spans="1:10" ht="15" customHeight="1" x14ac:dyDescent="0.25">
      <c r="A1223" s="8" t="str">
        <f>IF(COUNT($J$2:$J$1501)&gt;=1222,1222,"")</f>
        <v/>
      </c>
      <c r="B1223" s="8" t="str">
        <f t="shared" si="95"/>
        <v/>
      </c>
      <c r="C1223" s="8" t="str">
        <f t="shared" si="96"/>
        <v/>
      </c>
      <c r="D1223" s="8" t="str">
        <f t="shared" si="97"/>
        <v/>
      </c>
      <c r="F1223" s="4" t="str">
        <f>IF(Jugadores!B1223="","",Jugadores!B1223)</f>
        <v/>
      </c>
      <c r="G1223" s="4" t="str">
        <f>IF(Jugadores!B1223="","",Jugadores!A1223)</f>
        <v/>
      </c>
      <c r="H1223" s="4" t="str">
        <f>IF(F1223="","",SUMIF('Estadísticas Jugadores'!$F$2:$F$7001,F1223,'Estadísticas Jugadores'!$J$2:$J$7001))</f>
        <v/>
      </c>
      <c r="I1223" s="4" t="str">
        <f t="shared" si="98"/>
        <v/>
      </c>
      <c r="J1223" s="4" t="str">
        <f t="shared" si="99"/>
        <v/>
      </c>
    </row>
    <row r="1224" spans="1:10" ht="15" customHeight="1" x14ac:dyDescent="0.25">
      <c r="A1224" s="8" t="str">
        <f>IF(COUNT($J$2:$J$1501)&gt;=1223,1223,"")</f>
        <v/>
      </c>
      <c r="B1224" s="8" t="str">
        <f t="shared" si="95"/>
        <v/>
      </c>
      <c r="C1224" s="8" t="str">
        <f t="shared" si="96"/>
        <v/>
      </c>
      <c r="D1224" s="8" t="str">
        <f t="shared" si="97"/>
        <v/>
      </c>
      <c r="F1224" s="4" t="str">
        <f>IF(Jugadores!B1224="","",Jugadores!B1224)</f>
        <v/>
      </c>
      <c r="G1224" s="4" t="str">
        <f>IF(Jugadores!B1224="","",Jugadores!A1224)</f>
        <v/>
      </c>
      <c r="H1224" s="4" t="str">
        <f>IF(F1224="","",SUMIF('Estadísticas Jugadores'!$F$2:$F$7001,F1224,'Estadísticas Jugadores'!$J$2:$J$7001))</f>
        <v/>
      </c>
      <c r="I1224" s="4" t="str">
        <f t="shared" si="98"/>
        <v/>
      </c>
      <c r="J1224" s="4" t="str">
        <f t="shared" si="99"/>
        <v/>
      </c>
    </row>
    <row r="1225" spans="1:10" ht="15" customHeight="1" x14ac:dyDescent="0.25">
      <c r="A1225" s="8" t="str">
        <f>IF(COUNT($J$2:$J$1501)&gt;=1224,1224,"")</f>
        <v/>
      </c>
      <c r="B1225" s="8" t="str">
        <f t="shared" si="95"/>
        <v/>
      </c>
      <c r="C1225" s="8" t="str">
        <f t="shared" si="96"/>
        <v/>
      </c>
      <c r="D1225" s="8" t="str">
        <f t="shared" si="97"/>
        <v/>
      </c>
      <c r="F1225" s="4" t="str">
        <f>IF(Jugadores!B1225="","",Jugadores!B1225)</f>
        <v/>
      </c>
      <c r="G1225" s="4" t="str">
        <f>IF(Jugadores!B1225="","",Jugadores!A1225)</f>
        <v/>
      </c>
      <c r="H1225" s="4" t="str">
        <f>IF(F1225="","",SUMIF('Estadísticas Jugadores'!$F$2:$F$7001,F1225,'Estadísticas Jugadores'!$J$2:$J$7001))</f>
        <v/>
      </c>
      <c r="I1225" s="4" t="str">
        <f t="shared" si="98"/>
        <v/>
      </c>
      <c r="J1225" s="4" t="str">
        <f t="shared" si="99"/>
        <v/>
      </c>
    </row>
    <row r="1226" spans="1:10" ht="15" customHeight="1" x14ac:dyDescent="0.25">
      <c r="A1226" s="8" t="str">
        <f>IF(COUNT($J$2:$J$1501)&gt;=1225,1225,"")</f>
        <v/>
      </c>
      <c r="B1226" s="8" t="str">
        <f t="shared" si="95"/>
        <v/>
      </c>
      <c r="C1226" s="8" t="str">
        <f t="shared" si="96"/>
        <v/>
      </c>
      <c r="D1226" s="8" t="str">
        <f t="shared" si="97"/>
        <v/>
      </c>
      <c r="F1226" s="4" t="str">
        <f>IF(Jugadores!B1226="","",Jugadores!B1226)</f>
        <v/>
      </c>
      <c r="G1226" s="4" t="str">
        <f>IF(Jugadores!B1226="","",Jugadores!A1226)</f>
        <v/>
      </c>
      <c r="H1226" s="4" t="str">
        <f>IF(F1226="","",SUMIF('Estadísticas Jugadores'!$F$2:$F$7001,F1226,'Estadísticas Jugadores'!$J$2:$J$7001))</f>
        <v/>
      </c>
      <c r="I1226" s="4" t="str">
        <f t="shared" si="98"/>
        <v/>
      </c>
      <c r="J1226" s="4" t="str">
        <f t="shared" si="99"/>
        <v/>
      </c>
    </row>
    <row r="1227" spans="1:10" ht="15" customHeight="1" x14ac:dyDescent="0.25">
      <c r="A1227" s="8" t="str">
        <f>IF(COUNT($J$2:$J$1501)&gt;=1226,1226,"")</f>
        <v/>
      </c>
      <c r="B1227" s="8" t="str">
        <f t="shared" si="95"/>
        <v/>
      </c>
      <c r="C1227" s="8" t="str">
        <f t="shared" si="96"/>
        <v/>
      </c>
      <c r="D1227" s="8" t="str">
        <f t="shared" si="97"/>
        <v/>
      </c>
      <c r="F1227" s="4" t="str">
        <f>IF(Jugadores!B1227="","",Jugadores!B1227)</f>
        <v/>
      </c>
      <c r="G1227" s="4" t="str">
        <f>IF(Jugadores!B1227="","",Jugadores!A1227)</f>
        <v/>
      </c>
      <c r="H1227" s="4" t="str">
        <f>IF(F1227="","",SUMIF('Estadísticas Jugadores'!$F$2:$F$7001,F1227,'Estadísticas Jugadores'!$J$2:$J$7001))</f>
        <v/>
      </c>
      <c r="I1227" s="4" t="str">
        <f t="shared" si="98"/>
        <v/>
      </c>
      <c r="J1227" s="4" t="str">
        <f t="shared" si="99"/>
        <v/>
      </c>
    </row>
    <row r="1228" spans="1:10" ht="15" customHeight="1" x14ac:dyDescent="0.25">
      <c r="A1228" s="8" t="str">
        <f>IF(COUNT($J$2:$J$1501)&gt;=1227,1227,"")</f>
        <v/>
      </c>
      <c r="B1228" s="8" t="str">
        <f t="shared" si="95"/>
        <v/>
      </c>
      <c r="C1228" s="8" t="str">
        <f t="shared" si="96"/>
        <v/>
      </c>
      <c r="D1228" s="8" t="str">
        <f t="shared" si="97"/>
        <v/>
      </c>
      <c r="F1228" s="4" t="str">
        <f>IF(Jugadores!B1228="","",Jugadores!B1228)</f>
        <v/>
      </c>
      <c r="G1228" s="4" t="str">
        <f>IF(Jugadores!B1228="","",Jugadores!A1228)</f>
        <v/>
      </c>
      <c r="H1228" s="4" t="str">
        <f>IF(F1228="","",SUMIF('Estadísticas Jugadores'!$F$2:$F$7001,F1228,'Estadísticas Jugadores'!$J$2:$J$7001))</f>
        <v/>
      </c>
      <c r="I1228" s="4" t="str">
        <f t="shared" si="98"/>
        <v/>
      </c>
      <c r="J1228" s="4" t="str">
        <f t="shared" si="99"/>
        <v/>
      </c>
    </row>
    <row r="1229" spans="1:10" ht="15" customHeight="1" x14ac:dyDescent="0.25">
      <c r="A1229" s="8" t="str">
        <f>IF(COUNT($J$2:$J$1501)&gt;=1228,1228,"")</f>
        <v/>
      </c>
      <c r="B1229" s="8" t="str">
        <f t="shared" si="95"/>
        <v/>
      </c>
      <c r="C1229" s="8" t="str">
        <f t="shared" si="96"/>
        <v/>
      </c>
      <c r="D1229" s="8" t="str">
        <f t="shared" si="97"/>
        <v/>
      </c>
      <c r="F1229" s="4" t="str">
        <f>IF(Jugadores!B1229="","",Jugadores!B1229)</f>
        <v/>
      </c>
      <c r="G1229" s="4" t="str">
        <f>IF(Jugadores!B1229="","",Jugadores!A1229)</f>
        <v/>
      </c>
      <c r="H1229" s="4" t="str">
        <f>IF(F1229="","",SUMIF('Estadísticas Jugadores'!$F$2:$F$7001,F1229,'Estadísticas Jugadores'!$J$2:$J$7001))</f>
        <v/>
      </c>
      <c r="I1229" s="4" t="str">
        <f t="shared" si="98"/>
        <v/>
      </c>
      <c r="J1229" s="4" t="str">
        <f t="shared" si="99"/>
        <v/>
      </c>
    </row>
    <row r="1230" spans="1:10" ht="15" customHeight="1" x14ac:dyDescent="0.25">
      <c r="A1230" s="8" t="str">
        <f>IF(COUNT($J$2:$J$1501)&gt;=1229,1229,"")</f>
        <v/>
      </c>
      <c r="B1230" s="8" t="str">
        <f t="shared" si="95"/>
        <v/>
      </c>
      <c r="C1230" s="8" t="str">
        <f t="shared" si="96"/>
        <v/>
      </c>
      <c r="D1230" s="8" t="str">
        <f t="shared" si="97"/>
        <v/>
      </c>
      <c r="F1230" s="4" t="str">
        <f>IF(Jugadores!B1230="","",Jugadores!B1230)</f>
        <v/>
      </c>
      <c r="G1230" s="4" t="str">
        <f>IF(Jugadores!B1230="","",Jugadores!A1230)</f>
        <v/>
      </c>
      <c r="H1230" s="4" t="str">
        <f>IF(F1230="","",SUMIF('Estadísticas Jugadores'!$F$2:$F$7001,F1230,'Estadísticas Jugadores'!$J$2:$J$7001))</f>
        <v/>
      </c>
      <c r="I1230" s="4" t="str">
        <f t="shared" si="98"/>
        <v/>
      </c>
      <c r="J1230" s="4" t="str">
        <f t="shared" si="99"/>
        <v/>
      </c>
    </row>
    <row r="1231" spans="1:10" ht="15" customHeight="1" x14ac:dyDescent="0.25">
      <c r="A1231" s="8" t="str">
        <f>IF(COUNT($J$2:$J$1501)&gt;=1230,1230,"")</f>
        <v/>
      </c>
      <c r="B1231" s="8" t="str">
        <f t="shared" si="95"/>
        <v/>
      </c>
      <c r="C1231" s="8" t="str">
        <f t="shared" si="96"/>
        <v/>
      </c>
      <c r="D1231" s="8" t="str">
        <f t="shared" si="97"/>
        <v/>
      </c>
      <c r="F1231" s="4" t="str">
        <f>IF(Jugadores!B1231="","",Jugadores!B1231)</f>
        <v/>
      </c>
      <c r="G1231" s="4" t="str">
        <f>IF(Jugadores!B1231="","",Jugadores!A1231)</f>
        <v/>
      </c>
      <c r="H1231" s="4" t="str">
        <f>IF(F1231="","",SUMIF('Estadísticas Jugadores'!$F$2:$F$7001,F1231,'Estadísticas Jugadores'!$J$2:$J$7001))</f>
        <v/>
      </c>
      <c r="I1231" s="4" t="str">
        <f t="shared" si="98"/>
        <v/>
      </c>
      <c r="J1231" s="4" t="str">
        <f t="shared" si="99"/>
        <v/>
      </c>
    </row>
    <row r="1232" spans="1:10" ht="15" customHeight="1" x14ac:dyDescent="0.25">
      <c r="A1232" s="8" t="str">
        <f>IF(COUNT($J$2:$J$1501)&gt;=1231,1231,"")</f>
        <v/>
      </c>
      <c r="B1232" s="8" t="str">
        <f t="shared" si="95"/>
        <v/>
      </c>
      <c r="C1232" s="8" t="str">
        <f t="shared" si="96"/>
        <v/>
      </c>
      <c r="D1232" s="8" t="str">
        <f t="shared" si="97"/>
        <v/>
      </c>
      <c r="F1232" s="4" t="str">
        <f>IF(Jugadores!B1232="","",Jugadores!B1232)</f>
        <v/>
      </c>
      <c r="G1232" s="4" t="str">
        <f>IF(Jugadores!B1232="","",Jugadores!A1232)</f>
        <v/>
      </c>
      <c r="H1232" s="4" t="str">
        <f>IF(F1232="","",SUMIF('Estadísticas Jugadores'!$F$2:$F$7001,F1232,'Estadísticas Jugadores'!$J$2:$J$7001))</f>
        <v/>
      </c>
      <c r="I1232" s="4" t="str">
        <f t="shared" si="98"/>
        <v/>
      </c>
      <c r="J1232" s="4" t="str">
        <f t="shared" si="99"/>
        <v/>
      </c>
    </row>
    <row r="1233" spans="1:10" ht="15" customHeight="1" x14ac:dyDescent="0.25">
      <c r="A1233" s="8" t="str">
        <f>IF(COUNT($J$2:$J$1501)&gt;=1232,1232,"")</f>
        <v/>
      </c>
      <c r="B1233" s="8" t="str">
        <f t="shared" si="95"/>
        <v/>
      </c>
      <c r="C1233" s="8" t="str">
        <f t="shared" si="96"/>
        <v/>
      </c>
      <c r="D1233" s="8" t="str">
        <f t="shared" si="97"/>
        <v/>
      </c>
      <c r="F1233" s="4" t="str">
        <f>IF(Jugadores!B1233="","",Jugadores!B1233)</f>
        <v/>
      </c>
      <c r="G1233" s="4" t="str">
        <f>IF(Jugadores!B1233="","",Jugadores!A1233)</f>
        <v/>
      </c>
      <c r="H1233" s="4" t="str">
        <f>IF(F1233="","",SUMIF('Estadísticas Jugadores'!$F$2:$F$7001,F1233,'Estadísticas Jugadores'!$J$2:$J$7001))</f>
        <v/>
      </c>
      <c r="I1233" s="4" t="str">
        <f t="shared" si="98"/>
        <v/>
      </c>
      <c r="J1233" s="4" t="str">
        <f t="shared" si="99"/>
        <v/>
      </c>
    </row>
    <row r="1234" spans="1:10" ht="15" customHeight="1" x14ac:dyDescent="0.25">
      <c r="A1234" s="8" t="str">
        <f>IF(COUNT($J$2:$J$1501)&gt;=1233,1233,"")</f>
        <v/>
      </c>
      <c r="B1234" s="8" t="str">
        <f t="shared" si="95"/>
        <v/>
      </c>
      <c r="C1234" s="8" t="str">
        <f t="shared" si="96"/>
        <v/>
      </c>
      <c r="D1234" s="8" t="str">
        <f t="shared" si="97"/>
        <v/>
      </c>
      <c r="F1234" s="4" t="str">
        <f>IF(Jugadores!B1234="","",Jugadores!B1234)</f>
        <v/>
      </c>
      <c r="G1234" s="4" t="str">
        <f>IF(Jugadores!B1234="","",Jugadores!A1234)</f>
        <v/>
      </c>
      <c r="H1234" s="4" t="str">
        <f>IF(F1234="","",SUMIF('Estadísticas Jugadores'!$F$2:$F$7001,F1234,'Estadísticas Jugadores'!$J$2:$J$7001))</f>
        <v/>
      </c>
      <c r="I1234" s="4" t="str">
        <f t="shared" si="98"/>
        <v/>
      </c>
      <c r="J1234" s="4" t="str">
        <f t="shared" si="99"/>
        <v/>
      </c>
    </row>
    <row r="1235" spans="1:10" ht="15" customHeight="1" x14ac:dyDescent="0.25">
      <c r="A1235" s="8" t="str">
        <f>IF(COUNT($J$2:$J$1501)&gt;=1234,1234,"")</f>
        <v/>
      </c>
      <c r="B1235" s="8" t="str">
        <f t="shared" si="95"/>
        <v/>
      </c>
      <c r="C1235" s="8" t="str">
        <f t="shared" si="96"/>
        <v/>
      </c>
      <c r="D1235" s="8" t="str">
        <f t="shared" si="97"/>
        <v/>
      </c>
      <c r="F1235" s="4" t="str">
        <f>IF(Jugadores!B1235="","",Jugadores!B1235)</f>
        <v/>
      </c>
      <c r="G1235" s="4" t="str">
        <f>IF(Jugadores!B1235="","",Jugadores!A1235)</f>
        <v/>
      </c>
      <c r="H1235" s="4" t="str">
        <f>IF(F1235="","",SUMIF('Estadísticas Jugadores'!$F$2:$F$7001,F1235,'Estadísticas Jugadores'!$J$2:$J$7001))</f>
        <v/>
      </c>
      <c r="I1235" s="4" t="str">
        <f t="shared" si="98"/>
        <v/>
      </c>
      <c r="J1235" s="4" t="str">
        <f t="shared" si="99"/>
        <v/>
      </c>
    </row>
    <row r="1236" spans="1:10" ht="15" customHeight="1" x14ac:dyDescent="0.25">
      <c r="A1236" s="8" t="str">
        <f>IF(COUNT($J$2:$J$1501)&gt;=1235,1235,"")</f>
        <v/>
      </c>
      <c r="B1236" s="8" t="str">
        <f t="shared" si="95"/>
        <v/>
      </c>
      <c r="C1236" s="8" t="str">
        <f t="shared" si="96"/>
        <v/>
      </c>
      <c r="D1236" s="8" t="str">
        <f t="shared" si="97"/>
        <v/>
      </c>
      <c r="F1236" s="4" t="str">
        <f>IF(Jugadores!B1236="","",Jugadores!B1236)</f>
        <v/>
      </c>
      <c r="G1236" s="4" t="str">
        <f>IF(Jugadores!B1236="","",Jugadores!A1236)</f>
        <v/>
      </c>
      <c r="H1236" s="4" t="str">
        <f>IF(F1236="","",SUMIF('Estadísticas Jugadores'!$F$2:$F$7001,F1236,'Estadísticas Jugadores'!$J$2:$J$7001))</f>
        <v/>
      </c>
      <c r="I1236" s="4" t="str">
        <f t="shared" si="98"/>
        <v/>
      </c>
      <c r="J1236" s="4" t="str">
        <f t="shared" si="99"/>
        <v/>
      </c>
    </row>
    <row r="1237" spans="1:10" ht="15" customHeight="1" x14ac:dyDescent="0.25">
      <c r="A1237" s="8" t="str">
        <f>IF(COUNT($J$2:$J$1501)&gt;=1236,1236,"")</f>
        <v/>
      </c>
      <c r="B1237" s="8" t="str">
        <f t="shared" si="95"/>
        <v/>
      </c>
      <c r="C1237" s="8" t="str">
        <f t="shared" si="96"/>
        <v/>
      </c>
      <c r="D1237" s="8" t="str">
        <f t="shared" si="97"/>
        <v/>
      </c>
      <c r="F1237" s="4" t="str">
        <f>IF(Jugadores!B1237="","",Jugadores!B1237)</f>
        <v/>
      </c>
      <c r="G1237" s="4" t="str">
        <f>IF(Jugadores!B1237="","",Jugadores!A1237)</f>
        <v/>
      </c>
      <c r="H1237" s="4" t="str">
        <f>IF(F1237="","",SUMIF('Estadísticas Jugadores'!$F$2:$F$7001,F1237,'Estadísticas Jugadores'!$J$2:$J$7001))</f>
        <v/>
      </c>
      <c r="I1237" s="4" t="str">
        <f t="shared" si="98"/>
        <v/>
      </c>
      <c r="J1237" s="4" t="str">
        <f t="shared" si="99"/>
        <v/>
      </c>
    </row>
    <row r="1238" spans="1:10" ht="15" customHeight="1" x14ac:dyDescent="0.25">
      <c r="A1238" s="8" t="str">
        <f>IF(COUNT($J$2:$J$1501)&gt;=1237,1237,"")</f>
        <v/>
      </c>
      <c r="B1238" s="8" t="str">
        <f t="shared" si="95"/>
        <v/>
      </c>
      <c r="C1238" s="8" t="str">
        <f t="shared" si="96"/>
        <v/>
      </c>
      <c r="D1238" s="8" t="str">
        <f t="shared" si="97"/>
        <v/>
      </c>
      <c r="F1238" s="4" t="str">
        <f>IF(Jugadores!B1238="","",Jugadores!B1238)</f>
        <v/>
      </c>
      <c r="G1238" s="4" t="str">
        <f>IF(Jugadores!B1238="","",Jugadores!A1238)</f>
        <v/>
      </c>
      <c r="H1238" s="4" t="str">
        <f>IF(F1238="","",SUMIF('Estadísticas Jugadores'!$F$2:$F$7001,F1238,'Estadísticas Jugadores'!$J$2:$J$7001))</f>
        <v/>
      </c>
      <c r="I1238" s="4" t="str">
        <f t="shared" si="98"/>
        <v/>
      </c>
      <c r="J1238" s="4" t="str">
        <f t="shared" si="99"/>
        <v/>
      </c>
    </row>
    <row r="1239" spans="1:10" ht="15" customHeight="1" x14ac:dyDescent="0.25">
      <c r="A1239" s="8" t="str">
        <f>IF(COUNT($J$2:$J$1501)&gt;=1238,1238,"")</f>
        <v/>
      </c>
      <c r="B1239" s="8" t="str">
        <f t="shared" si="95"/>
        <v/>
      </c>
      <c r="C1239" s="8" t="str">
        <f t="shared" si="96"/>
        <v/>
      </c>
      <c r="D1239" s="8" t="str">
        <f t="shared" si="97"/>
        <v/>
      </c>
      <c r="F1239" s="4" t="str">
        <f>IF(Jugadores!B1239="","",Jugadores!B1239)</f>
        <v/>
      </c>
      <c r="G1239" s="4" t="str">
        <f>IF(Jugadores!B1239="","",Jugadores!A1239)</f>
        <v/>
      </c>
      <c r="H1239" s="4" t="str">
        <f>IF(F1239="","",SUMIF('Estadísticas Jugadores'!$F$2:$F$7001,F1239,'Estadísticas Jugadores'!$J$2:$J$7001))</f>
        <v/>
      </c>
      <c r="I1239" s="4" t="str">
        <f t="shared" si="98"/>
        <v/>
      </c>
      <c r="J1239" s="4" t="str">
        <f t="shared" si="99"/>
        <v/>
      </c>
    </row>
    <row r="1240" spans="1:10" ht="15" customHeight="1" x14ac:dyDescent="0.25">
      <c r="A1240" s="8" t="str">
        <f>IF(COUNT($J$2:$J$1501)&gt;=1239,1239,"")</f>
        <v/>
      </c>
      <c r="B1240" s="8" t="str">
        <f t="shared" si="95"/>
        <v/>
      </c>
      <c r="C1240" s="8" t="str">
        <f t="shared" si="96"/>
        <v/>
      </c>
      <c r="D1240" s="8" t="str">
        <f t="shared" si="97"/>
        <v/>
      </c>
      <c r="F1240" s="4" t="str">
        <f>IF(Jugadores!B1240="","",Jugadores!B1240)</f>
        <v/>
      </c>
      <c r="G1240" s="4" t="str">
        <f>IF(Jugadores!B1240="","",Jugadores!A1240)</f>
        <v/>
      </c>
      <c r="H1240" s="4" t="str">
        <f>IF(F1240="","",SUMIF('Estadísticas Jugadores'!$F$2:$F$7001,F1240,'Estadísticas Jugadores'!$J$2:$J$7001))</f>
        <v/>
      </c>
      <c r="I1240" s="4" t="str">
        <f t="shared" si="98"/>
        <v/>
      </c>
      <c r="J1240" s="4" t="str">
        <f t="shared" si="99"/>
        <v/>
      </c>
    </row>
    <row r="1241" spans="1:10" ht="15" customHeight="1" x14ac:dyDescent="0.25">
      <c r="A1241" s="8" t="str">
        <f>IF(COUNT($J$2:$J$1501)&gt;=1240,1240,"")</f>
        <v/>
      </c>
      <c r="B1241" s="8" t="str">
        <f t="shared" si="95"/>
        <v/>
      </c>
      <c r="C1241" s="8" t="str">
        <f t="shared" si="96"/>
        <v/>
      </c>
      <c r="D1241" s="8" t="str">
        <f t="shared" si="97"/>
        <v/>
      </c>
      <c r="F1241" s="4" t="str">
        <f>IF(Jugadores!B1241="","",Jugadores!B1241)</f>
        <v/>
      </c>
      <c r="G1241" s="4" t="str">
        <f>IF(Jugadores!B1241="","",Jugadores!A1241)</f>
        <v/>
      </c>
      <c r="H1241" s="4" t="str">
        <f>IF(F1241="","",SUMIF('Estadísticas Jugadores'!$F$2:$F$7001,F1241,'Estadísticas Jugadores'!$J$2:$J$7001))</f>
        <v/>
      </c>
      <c r="I1241" s="4" t="str">
        <f t="shared" si="98"/>
        <v/>
      </c>
      <c r="J1241" s="4" t="str">
        <f t="shared" si="99"/>
        <v/>
      </c>
    </row>
    <row r="1242" spans="1:10" ht="15" customHeight="1" x14ac:dyDescent="0.25">
      <c r="A1242" s="8" t="str">
        <f>IF(COUNT($J$2:$J$1501)&gt;=1241,1241,"")</f>
        <v/>
      </c>
      <c r="B1242" s="8" t="str">
        <f t="shared" si="95"/>
        <v/>
      </c>
      <c r="C1242" s="8" t="str">
        <f t="shared" si="96"/>
        <v/>
      </c>
      <c r="D1242" s="8" t="str">
        <f t="shared" si="97"/>
        <v/>
      </c>
      <c r="F1242" s="4" t="str">
        <f>IF(Jugadores!B1242="","",Jugadores!B1242)</f>
        <v/>
      </c>
      <c r="G1242" s="4" t="str">
        <f>IF(Jugadores!B1242="","",Jugadores!A1242)</f>
        <v/>
      </c>
      <c r="H1242" s="4" t="str">
        <f>IF(F1242="","",SUMIF('Estadísticas Jugadores'!$F$2:$F$7001,F1242,'Estadísticas Jugadores'!$J$2:$J$7001))</f>
        <v/>
      </c>
      <c r="I1242" s="4" t="str">
        <f t="shared" si="98"/>
        <v/>
      </c>
      <c r="J1242" s="4" t="str">
        <f t="shared" si="99"/>
        <v/>
      </c>
    </row>
    <row r="1243" spans="1:10" ht="15" customHeight="1" x14ac:dyDescent="0.25">
      <c r="A1243" s="8" t="str">
        <f>IF(COUNT($J$2:$J$1501)&gt;=1242,1242,"")</f>
        <v/>
      </c>
      <c r="B1243" s="8" t="str">
        <f t="shared" si="95"/>
        <v/>
      </c>
      <c r="C1243" s="8" t="str">
        <f t="shared" si="96"/>
        <v/>
      </c>
      <c r="D1243" s="8" t="str">
        <f t="shared" si="97"/>
        <v/>
      </c>
      <c r="F1243" s="4" t="str">
        <f>IF(Jugadores!B1243="","",Jugadores!B1243)</f>
        <v/>
      </c>
      <c r="G1243" s="4" t="str">
        <f>IF(Jugadores!B1243="","",Jugadores!A1243)</f>
        <v/>
      </c>
      <c r="H1243" s="4" t="str">
        <f>IF(F1243="","",SUMIF('Estadísticas Jugadores'!$F$2:$F$7001,F1243,'Estadísticas Jugadores'!$J$2:$J$7001))</f>
        <v/>
      </c>
      <c r="I1243" s="4" t="str">
        <f t="shared" si="98"/>
        <v/>
      </c>
      <c r="J1243" s="4" t="str">
        <f t="shared" si="99"/>
        <v/>
      </c>
    </row>
    <row r="1244" spans="1:10" ht="15" customHeight="1" x14ac:dyDescent="0.25">
      <c r="A1244" s="8" t="str">
        <f>IF(COUNT($J$2:$J$1501)&gt;=1243,1243,"")</f>
        <v/>
      </c>
      <c r="B1244" s="8" t="str">
        <f t="shared" si="95"/>
        <v/>
      </c>
      <c r="C1244" s="8" t="str">
        <f t="shared" si="96"/>
        <v/>
      </c>
      <c r="D1244" s="8" t="str">
        <f t="shared" si="97"/>
        <v/>
      </c>
      <c r="F1244" s="4" t="str">
        <f>IF(Jugadores!B1244="","",Jugadores!B1244)</f>
        <v/>
      </c>
      <c r="G1244" s="4" t="str">
        <f>IF(Jugadores!B1244="","",Jugadores!A1244)</f>
        <v/>
      </c>
      <c r="H1244" s="4" t="str">
        <f>IF(F1244="","",SUMIF('Estadísticas Jugadores'!$F$2:$F$7001,F1244,'Estadísticas Jugadores'!$J$2:$J$7001))</f>
        <v/>
      </c>
      <c r="I1244" s="4" t="str">
        <f t="shared" si="98"/>
        <v/>
      </c>
      <c r="J1244" s="4" t="str">
        <f t="shared" si="99"/>
        <v/>
      </c>
    </row>
    <row r="1245" spans="1:10" ht="15" customHeight="1" x14ac:dyDescent="0.25">
      <c r="A1245" s="8" t="str">
        <f>IF(COUNT($J$2:$J$1501)&gt;=1244,1244,"")</f>
        <v/>
      </c>
      <c r="B1245" s="8" t="str">
        <f t="shared" si="95"/>
        <v/>
      </c>
      <c r="C1245" s="8" t="str">
        <f t="shared" si="96"/>
        <v/>
      </c>
      <c r="D1245" s="8" t="str">
        <f t="shared" si="97"/>
        <v/>
      </c>
      <c r="F1245" s="4" t="str">
        <f>IF(Jugadores!B1245="","",Jugadores!B1245)</f>
        <v/>
      </c>
      <c r="G1245" s="4" t="str">
        <f>IF(Jugadores!B1245="","",Jugadores!A1245)</f>
        <v/>
      </c>
      <c r="H1245" s="4" t="str">
        <f>IF(F1245="","",SUMIF('Estadísticas Jugadores'!$F$2:$F$7001,F1245,'Estadísticas Jugadores'!$J$2:$J$7001))</f>
        <v/>
      </c>
      <c r="I1245" s="4" t="str">
        <f t="shared" si="98"/>
        <v/>
      </c>
      <c r="J1245" s="4" t="str">
        <f t="shared" si="99"/>
        <v/>
      </c>
    </row>
    <row r="1246" spans="1:10" ht="15" customHeight="1" x14ac:dyDescent="0.25">
      <c r="A1246" s="8" t="str">
        <f>IF(COUNT($J$2:$J$1501)&gt;=1245,1245,"")</f>
        <v/>
      </c>
      <c r="B1246" s="8" t="str">
        <f t="shared" si="95"/>
        <v/>
      </c>
      <c r="C1246" s="8" t="str">
        <f t="shared" si="96"/>
        <v/>
      </c>
      <c r="D1246" s="8" t="str">
        <f t="shared" si="97"/>
        <v/>
      </c>
      <c r="F1246" s="4" t="str">
        <f>IF(Jugadores!B1246="","",Jugadores!B1246)</f>
        <v/>
      </c>
      <c r="G1246" s="4" t="str">
        <f>IF(Jugadores!B1246="","",Jugadores!A1246)</f>
        <v/>
      </c>
      <c r="H1246" s="4" t="str">
        <f>IF(F1246="","",SUMIF('Estadísticas Jugadores'!$F$2:$F$7001,F1246,'Estadísticas Jugadores'!$J$2:$J$7001))</f>
        <v/>
      </c>
      <c r="I1246" s="4" t="str">
        <f t="shared" si="98"/>
        <v/>
      </c>
      <c r="J1246" s="4" t="str">
        <f t="shared" si="99"/>
        <v/>
      </c>
    </row>
    <row r="1247" spans="1:10" ht="15" customHeight="1" x14ac:dyDescent="0.25">
      <c r="A1247" s="8" t="str">
        <f>IF(COUNT($J$2:$J$1501)&gt;=1246,1246,"")</f>
        <v/>
      </c>
      <c r="B1247" s="8" t="str">
        <f t="shared" si="95"/>
        <v/>
      </c>
      <c r="C1247" s="8" t="str">
        <f t="shared" si="96"/>
        <v/>
      </c>
      <c r="D1247" s="8" t="str">
        <f t="shared" si="97"/>
        <v/>
      </c>
      <c r="F1247" s="4" t="str">
        <f>IF(Jugadores!B1247="","",Jugadores!B1247)</f>
        <v/>
      </c>
      <c r="G1247" s="4" t="str">
        <f>IF(Jugadores!B1247="","",Jugadores!A1247)</f>
        <v/>
      </c>
      <c r="H1247" s="4" t="str">
        <f>IF(F1247="","",SUMIF('Estadísticas Jugadores'!$F$2:$F$7001,F1247,'Estadísticas Jugadores'!$J$2:$J$7001))</f>
        <v/>
      </c>
      <c r="I1247" s="4" t="str">
        <f t="shared" si="98"/>
        <v/>
      </c>
      <c r="J1247" s="4" t="str">
        <f t="shared" si="99"/>
        <v/>
      </c>
    </row>
    <row r="1248" spans="1:10" ht="15" customHeight="1" x14ac:dyDescent="0.25">
      <c r="A1248" s="8" t="str">
        <f>IF(COUNT($J$2:$J$1501)&gt;=1247,1247,"")</f>
        <v/>
      </c>
      <c r="B1248" s="8" t="str">
        <f t="shared" si="95"/>
        <v/>
      </c>
      <c r="C1248" s="8" t="str">
        <f t="shared" si="96"/>
        <v/>
      </c>
      <c r="D1248" s="8" t="str">
        <f t="shared" si="97"/>
        <v/>
      </c>
      <c r="F1248" s="4" t="str">
        <f>IF(Jugadores!B1248="","",Jugadores!B1248)</f>
        <v/>
      </c>
      <c r="G1248" s="4" t="str">
        <f>IF(Jugadores!B1248="","",Jugadores!A1248)</f>
        <v/>
      </c>
      <c r="H1248" s="4" t="str">
        <f>IF(F1248="","",SUMIF('Estadísticas Jugadores'!$F$2:$F$7001,F1248,'Estadísticas Jugadores'!$J$2:$J$7001))</f>
        <v/>
      </c>
      <c r="I1248" s="4" t="str">
        <f t="shared" si="98"/>
        <v/>
      </c>
      <c r="J1248" s="4" t="str">
        <f t="shared" si="99"/>
        <v/>
      </c>
    </row>
    <row r="1249" spans="1:10" ht="15" customHeight="1" x14ac:dyDescent="0.25">
      <c r="A1249" s="8" t="str">
        <f>IF(COUNT($J$2:$J$1501)&gt;=1248,1248,"")</f>
        <v/>
      </c>
      <c r="B1249" s="8" t="str">
        <f t="shared" si="95"/>
        <v/>
      </c>
      <c r="C1249" s="8" t="str">
        <f t="shared" si="96"/>
        <v/>
      </c>
      <c r="D1249" s="8" t="str">
        <f t="shared" si="97"/>
        <v/>
      </c>
      <c r="F1249" s="4" t="str">
        <f>IF(Jugadores!B1249="","",Jugadores!B1249)</f>
        <v/>
      </c>
      <c r="G1249" s="4" t="str">
        <f>IF(Jugadores!B1249="","",Jugadores!A1249)</f>
        <v/>
      </c>
      <c r="H1249" s="4" t="str">
        <f>IF(F1249="","",SUMIF('Estadísticas Jugadores'!$F$2:$F$7001,F1249,'Estadísticas Jugadores'!$J$2:$J$7001))</f>
        <v/>
      </c>
      <c r="I1249" s="4" t="str">
        <f t="shared" si="98"/>
        <v/>
      </c>
      <c r="J1249" s="4" t="str">
        <f t="shared" si="99"/>
        <v/>
      </c>
    </row>
    <row r="1250" spans="1:10" ht="15" customHeight="1" x14ac:dyDescent="0.25">
      <c r="A1250" s="8" t="str">
        <f>IF(COUNT($J$2:$J$1501)&gt;=1249,1249,"")</f>
        <v/>
      </c>
      <c r="B1250" s="8" t="str">
        <f t="shared" si="95"/>
        <v/>
      </c>
      <c r="C1250" s="8" t="str">
        <f t="shared" si="96"/>
        <v/>
      </c>
      <c r="D1250" s="8" t="str">
        <f t="shared" si="97"/>
        <v/>
      </c>
      <c r="F1250" s="4" t="str">
        <f>IF(Jugadores!B1250="","",Jugadores!B1250)</f>
        <v/>
      </c>
      <c r="G1250" s="4" t="str">
        <f>IF(Jugadores!B1250="","",Jugadores!A1250)</f>
        <v/>
      </c>
      <c r="H1250" s="4" t="str">
        <f>IF(F1250="","",SUMIF('Estadísticas Jugadores'!$F$2:$F$7001,F1250,'Estadísticas Jugadores'!$J$2:$J$7001))</f>
        <v/>
      </c>
      <c r="I1250" s="4" t="str">
        <f t="shared" si="98"/>
        <v/>
      </c>
      <c r="J1250" s="4" t="str">
        <f t="shared" si="99"/>
        <v/>
      </c>
    </row>
    <row r="1251" spans="1:10" ht="15" customHeight="1" x14ac:dyDescent="0.25">
      <c r="A1251" s="8" t="str">
        <f>IF(COUNT($J$2:$J$1501)&gt;=1250,1250,"")</f>
        <v/>
      </c>
      <c r="B1251" s="8" t="str">
        <f t="shared" si="95"/>
        <v/>
      </c>
      <c r="C1251" s="8" t="str">
        <f t="shared" si="96"/>
        <v/>
      </c>
      <c r="D1251" s="8" t="str">
        <f t="shared" si="97"/>
        <v/>
      </c>
      <c r="F1251" s="4" t="str">
        <f>IF(Jugadores!B1251="","",Jugadores!B1251)</f>
        <v/>
      </c>
      <c r="G1251" s="4" t="str">
        <f>IF(Jugadores!B1251="","",Jugadores!A1251)</f>
        <v/>
      </c>
      <c r="H1251" s="4" t="str">
        <f>IF(F1251="","",SUMIF('Estadísticas Jugadores'!$F$2:$F$7001,F1251,'Estadísticas Jugadores'!$J$2:$J$7001))</f>
        <v/>
      </c>
      <c r="I1251" s="4" t="str">
        <f t="shared" si="98"/>
        <v/>
      </c>
      <c r="J1251" s="4" t="str">
        <f t="shared" si="99"/>
        <v/>
      </c>
    </row>
    <row r="1252" spans="1:10" ht="15" customHeight="1" x14ac:dyDescent="0.25">
      <c r="A1252" s="8" t="str">
        <f>IF(COUNT($J$2:$J$1501)&gt;=1251,1251,"")</f>
        <v/>
      </c>
      <c r="B1252" s="8" t="str">
        <f t="shared" si="95"/>
        <v/>
      </c>
      <c r="C1252" s="8" t="str">
        <f t="shared" si="96"/>
        <v/>
      </c>
      <c r="D1252" s="8" t="str">
        <f t="shared" si="97"/>
        <v/>
      </c>
      <c r="F1252" s="4" t="str">
        <f>IF(Jugadores!B1252="","",Jugadores!B1252)</f>
        <v/>
      </c>
      <c r="G1252" s="4" t="str">
        <f>IF(Jugadores!B1252="","",Jugadores!A1252)</f>
        <v/>
      </c>
      <c r="H1252" s="4" t="str">
        <f>IF(F1252="","",SUMIF('Estadísticas Jugadores'!$F$2:$F$7001,F1252,'Estadísticas Jugadores'!$J$2:$J$7001))</f>
        <v/>
      </c>
      <c r="I1252" s="4" t="str">
        <f t="shared" si="98"/>
        <v/>
      </c>
      <c r="J1252" s="4" t="str">
        <f t="shared" si="99"/>
        <v/>
      </c>
    </row>
    <row r="1253" spans="1:10" ht="15" customHeight="1" x14ac:dyDescent="0.25">
      <c r="A1253" s="8" t="str">
        <f>IF(COUNT($J$2:$J$1501)&gt;=1252,1252,"")</f>
        <v/>
      </c>
      <c r="B1253" s="8" t="str">
        <f t="shared" si="95"/>
        <v/>
      </c>
      <c r="C1253" s="8" t="str">
        <f t="shared" si="96"/>
        <v/>
      </c>
      <c r="D1253" s="8" t="str">
        <f t="shared" si="97"/>
        <v/>
      </c>
      <c r="F1253" s="4" t="str">
        <f>IF(Jugadores!B1253="","",Jugadores!B1253)</f>
        <v/>
      </c>
      <c r="G1253" s="4" t="str">
        <f>IF(Jugadores!B1253="","",Jugadores!A1253)</f>
        <v/>
      </c>
      <c r="H1253" s="4" t="str">
        <f>IF(F1253="","",SUMIF('Estadísticas Jugadores'!$F$2:$F$7001,F1253,'Estadísticas Jugadores'!$J$2:$J$7001))</f>
        <v/>
      </c>
      <c r="I1253" s="4" t="str">
        <f t="shared" si="98"/>
        <v/>
      </c>
      <c r="J1253" s="4" t="str">
        <f t="shared" si="99"/>
        <v/>
      </c>
    </row>
    <row r="1254" spans="1:10" ht="15" customHeight="1" x14ac:dyDescent="0.25">
      <c r="A1254" s="8" t="str">
        <f>IF(COUNT($J$2:$J$1501)&gt;=1253,1253,"")</f>
        <v/>
      </c>
      <c r="B1254" s="8" t="str">
        <f t="shared" si="95"/>
        <v/>
      </c>
      <c r="C1254" s="8" t="str">
        <f t="shared" si="96"/>
        <v/>
      </c>
      <c r="D1254" s="8" t="str">
        <f t="shared" si="97"/>
        <v/>
      </c>
      <c r="F1254" s="4" t="str">
        <f>IF(Jugadores!B1254="","",Jugadores!B1254)</f>
        <v/>
      </c>
      <c r="G1254" s="4" t="str">
        <f>IF(Jugadores!B1254="","",Jugadores!A1254)</f>
        <v/>
      </c>
      <c r="H1254" s="4" t="str">
        <f>IF(F1254="","",SUMIF('Estadísticas Jugadores'!$F$2:$F$7001,F1254,'Estadísticas Jugadores'!$J$2:$J$7001))</f>
        <v/>
      </c>
      <c r="I1254" s="4" t="str">
        <f t="shared" si="98"/>
        <v/>
      </c>
      <c r="J1254" s="4" t="str">
        <f t="shared" si="99"/>
        <v/>
      </c>
    </row>
    <row r="1255" spans="1:10" ht="15" customHeight="1" x14ac:dyDescent="0.25">
      <c r="A1255" s="8" t="str">
        <f>IF(COUNT($J$2:$J$1501)&gt;=1254,1254,"")</f>
        <v/>
      </c>
      <c r="B1255" s="8" t="str">
        <f t="shared" si="95"/>
        <v/>
      </c>
      <c r="C1255" s="8" t="str">
        <f t="shared" si="96"/>
        <v/>
      </c>
      <c r="D1255" s="8" t="str">
        <f t="shared" si="97"/>
        <v/>
      </c>
      <c r="F1255" s="4" t="str">
        <f>IF(Jugadores!B1255="","",Jugadores!B1255)</f>
        <v/>
      </c>
      <c r="G1255" s="4" t="str">
        <f>IF(Jugadores!B1255="","",Jugadores!A1255)</f>
        <v/>
      </c>
      <c r="H1255" s="4" t="str">
        <f>IF(F1255="","",SUMIF('Estadísticas Jugadores'!$F$2:$F$7001,F1255,'Estadísticas Jugadores'!$J$2:$J$7001))</f>
        <v/>
      </c>
      <c r="I1255" s="4" t="str">
        <f t="shared" si="98"/>
        <v/>
      </c>
      <c r="J1255" s="4" t="str">
        <f t="shared" si="99"/>
        <v/>
      </c>
    </row>
    <row r="1256" spans="1:10" ht="15" customHeight="1" x14ac:dyDescent="0.25">
      <c r="A1256" s="8" t="str">
        <f>IF(COUNT($J$2:$J$1501)&gt;=1255,1255,"")</f>
        <v/>
      </c>
      <c r="B1256" s="8" t="str">
        <f t="shared" si="95"/>
        <v/>
      </c>
      <c r="C1256" s="8" t="str">
        <f t="shared" si="96"/>
        <v/>
      </c>
      <c r="D1256" s="8" t="str">
        <f t="shared" si="97"/>
        <v/>
      </c>
      <c r="F1256" s="4" t="str">
        <f>IF(Jugadores!B1256="","",Jugadores!B1256)</f>
        <v/>
      </c>
      <c r="G1256" s="4" t="str">
        <f>IF(Jugadores!B1256="","",Jugadores!A1256)</f>
        <v/>
      </c>
      <c r="H1256" s="4" t="str">
        <f>IF(F1256="","",SUMIF('Estadísticas Jugadores'!$F$2:$F$7001,F1256,'Estadísticas Jugadores'!$J$2:$J$7001))</f>
        <v/>
      </c>
      <c r="I1256" s="4" t="str">
        <f t="shared" si="98"/>
        <v/>
      </c>
      <c r="J1256" s="4" t="str">
        <f t="shared" si="99"/>
        <v/>
      </c>
    </row>
    <row r="1257" spans="1:10" ht="15" customHeight="1" x14ac:dyDescent="0.25">
      <c r="A1257" s="8" t="str">
        <f>IF(COUNT($J$2:$J$1501)&gt;=1256,1256,"")</f>
        <v/>
      </c>
      <c r="B1257" s="8" t="str">
        <f t="shared" si="95"/>
        <v/>
      </c>
      <c r="C1257" s="8" t="str">
        <f t="shared" si="96"/>
        <v/>
      </c>
      <c r="D1257" s="8" t="str">
        <f t="shared" si="97"/>
        <v/>
      </c>
      <c r="F1257" s="4" t="str">
        <f>IF(Jugadores!B1257="","",Jugadores!B1257)</f>
        <v/>
      </c>
      <c r="G1257" s="4" t="str">
        <f>IF(Jugadores!B1257="","",Jugadores!A1257)</f>
        <v/>
      </c>
      <c r="H1257" s="4" t="str">
        <f>IF(F1257="","",SUMIF('Estadísticas Jugadores'!$F$2:$F$7001,F1257,'Estadísticas Jugadores'!$J$2:$J$7001))</f>
        <v/>
      </c>
      <c r="I1257" s="4" t="str">
        <f t="shared" si="98"/>
        <v/>
      </c>
      <c r="J1257" s="4" t="str">
        <f t="shared" si="99"/>
        <v/>
      </c>
    </row>
    <row r="1258" spans="1:10" ht="15" customHeight="1" x14ac:dyDescent="0.25">
      <c r="A1258" s="8" t="str">
        <f>IF(COUNT($J$2:$J$1501)&gt;=1257,1257,"")</f>
        <v/>
      </c>
      <c r="B1258" s="8" t="str">
        <f t="shared" si="95"/>
        <v/>
      </c>
      <c r="C1258" s="8" t="str">
        <f t="shared" si="96"/>
        <v/>
      </c>
      <c r="D1258" s="8" t="str">
        <f t="shared" si="97"/>
        <v/>
      </c>
      <c r="F1258" s="4" t="str">
        <f>IF(Jugadores!B1258="","",Jugadores!B1258)</f>
        <v/>
      </c>
      <c r="G1258" s="4" t="str">
        <f>IF(Jugadores!B1258="","",Jugadores!A1258)</f>
        <v/>
      </c>
      <c r="H1258" s="4" t="str">
        <f>IF(F1258="","",SUMIF('Estadísticas Jugadores'!$F$2:$F$7001,F1258,'Estadísticas Jugadores'!$J$2:$J$7001))</f>
        <v/>
      </c>
      <c r="I1258" s="4" t="str">
        <f t="shared" si="98"/>
        <v/>
      </c>
      <c r="J1258" s="4" t="str">
        <f t="shared" si="99"/>
        <v/>
      </c>
    </row>
    <row r="1259" spans="1:10" ht="15" customHeight="1" x14ac:dyDescent="0.25">
      <c r="A1259" s="8" t="str">
        <f>IF(COUNT($J$2:$J$1501)&gt;=1258,1258,"")</f>
        <v/>
      </c>
      <c r="B1259" s="8" t="str">
        <f t="shared" si="95"/>
        <v/>
      </c>
      <c r="C1259" s="8" t="str">
        <f t="shared" si="96"/>
        <v/>
      </c>
      <c r="D1259" s="8" t="str">
        <f t="shared" si="97"/>
        <v/>
      </c>
      <c r="F1259" s="4" t="str">
        <f>IF(Jugadores!B1259="","",Jugadores!B1259)</f>
        <v/>
      </c>
      <c r="G1259" s="4" t="str">
        <f>IF(Jugadores!B1259="","",Jugadores!A1259)</f>
        <v/>
      </c>
      <c r="H1259" s="4" t="str">
        <f>IF(F1259="","",SUMIF('Estadísticas Jugadores'!$F$2:$F$7001,F1259,'Estadísticas Jugadores'!$J$2:$J$7001))</f>
        <v/>
      </c>
      <c r="I1259" s="4" t="str">
        <f t="shared" si="98"/>
        <v/>
      </c>
      <c r="J1259" s="4" t="str">
        <f t="shared" si="99"/>
        <v/>
      </c>
    </row>
    <row r="1260" spans="1:10" ht="15" customHeight="1" x14ac:dyDescent="0.25">
      <c r="A1260" s="8" t="str">
        <f>IF(COUNT($J$2:$J$1501)&gt;=1259,1259,"")</f>
        <v/>
      </c>
      <c r="B1260" s="8" t="str">
        <f t="shared" si="95"/>
        <v/>
      </c>
      <c r="C1260" s="8" t="str">
        <f t="shared" si="96"/>
        <v/>
      </c>
      <c r="D1260" s="8" t="str">
        <f t="shared" si="97"/>
        <v/>
      </c>
      <c r="F1260" s="4" t="str">
        <f>IF(Jugadores!B1260="","",Jugadores!B1260)</f>
        <v/>
      </c>
      <c r="G1260" s="4" t="str">
        <f>IF(Jugadores!B1260="","",Jugadores!A1260)</f>
        <v/>
      </c>
      <c r="H1260" s="4" t="str">
        <f>IF(F1260="","",SUMIF('Estadísticas Jugadores'!$F$2:$F$7001,F1260,'Estadísticas Jugadores'!$J$2:$J$7001))</f>
        <v/>
      </c>
      <c r="I1260" s="4" t="str">
        <f t="shared" si="98"/>
        <v/>
      </c>
      <c r="J1260" s="4" t="str">
        <f t="shared" si="99"/>
        <v/>
      </c>
    </row>
    <row r="1261" spans="1:10" ht="15" customHeight="1" x14ac:dyDescent="0.25">
      <c r="A1261" s="8" t="str">
        <f>IF(COUNT($J$2:$J$1501)&gt;=1260,1260,"")</f>
        <v/>
      </c>
      <c r="B1261" s="8" t="str">
        <f t="shared" si="95"/>
        <v/>
      </c>
      <c r="C1261" s="8" t="str">
        <f t="shared" si="96"/>
        <v/>
      </c>
      <c r="D1261" s="8" t="str">
        <f t="shared" si="97"/>
        <v/>
      </c>
      <c r="F1261" s="4" t="str">
        <f>IF(Jugadores!B1261="","",Jugadores!B1261)</f>
        <v/>
      </c>
      <c r="G1261" s="4" t="str">
        <f>IF(Jugadores!B1261="","",Jugadores!A1261)</f>
        <v/>
      </c>
      <c r="H1261" s="4" t="str">
        <f>IF(F1261="","",SUMIF('Estadísticas Jugadores'!$F$2:$F$7001,F1261,'Estadísticas Jugadores'!$J$2:$J$7001))</f>
        <v/>
      </c>
      <c r="I1261" s="4" t="str">
        <f t="shared" si="98"/>
        <v/>
      </c>
      <c r="J1261" s="4" t="str">
        <f t="shared" si="99"/>
        <v/>
      </c>
    </row>
    <row r="1262" spans="1:10" ht="15" customHeight="1" x14ac:dyDescent="0.25">
      <c r="A1262" s="8" t="str">
        <f>IF(COUNT($J$2:$J$1501)&gt;=1261,1261,"")</f>
        <v/>
      </c>
      <c r="B1262" s="8" t="str">
        <f t="shared" si="95"/>
        <v/>
      </c>
      <c r="C1262" s="8" t="str">
        <f t="shared" si="96"/>
        <v/>
      </c>
      <c r="D1262" s="8" t="str">
        <f t="shared" si="97"/>
        <v/>
      </c>
      <c r="F1262" s="4" t="str">
        <f>IF(Jugadores!B1262="","",Jugadores!B1262)</f>
        <v/>
      </c>
      <c r="G1262" s="4" t="str">
        <f>IF(Jugadores!B1262="","",Jugadores!A1262)</f>
        <v/>
      </c>
      <c r="H1262" s="4" t="str">
        <f>IF(F1262="","",SUMIF('Estadísticas Jugadores'!$F$2:$F$7001,F1262,'Estadísticas Jugadores'!$J$2:$J$7001))</f>
        <v/>
      </c>
      <c r="I1262" s="4" t="str">
        <f t="shared" si="98"/>
        <v/>
      </c>
      <c r="J1262" s="4" t="str">
        <f t="shared" si="99"/>
        <v/>
      </c>
    </row>
    <row r="1263" spans="1:10" ht="15" customHeight="1" x14ac:dyDescent="0.25">
      <c r="A1263" s="8" t="str">
        <f>IF(COUNT($J$2:$J$1501)&gt;=1262,1262,"")</f>
        <v/>
      </c>
      <c r="B1263" s="8" t="str">
        <f t="shared" si="95"/>
        <v/>
      </c>
      <c r="C1263" s="8" t="str">
        <f t="shared" si="96"/>
        <v/>
      </c>
      <c r="D1263" s="8" t="str">
        <f t="shared" si="97"/>
        <v/>
      </c>
      <c r="F1263" s="4" t="str">
        <f>IF(Jugadores!B1263="","",Jugadores!B1263)</f>
        <v/>
      </c>
      <c r="G1263" s="4" t="str">
        <f>IF(Jugadores!B1263="","",Jugadores!A1263)</f>
        <v/>
      </c>
      <c r="H1263" s="4" t="str">
        <f>IF(F1263="","",SUMIF('Estadísticas Jugadores'!$F$2:$F$7001,F1263,'Estadísticas Jugadores'!$J$2:$J$7001))</f>
        <v/>
      </c>
      <c r="I1263" s="4" t="str">
        <f t="shared" si="98"/>
        <v/>
      </c>
      <c r="J1263" s="4" t="str">
        <f t="shared" si="99"/>
        <v/>
      </c>
    </row>
    <row r="1264" spans="1:10" ht="15" customHeight="1" x14ac:dyDescent="0.25">
      <c r="A1264" s="8" t="str">
        <f>IF(COUNT($J$2:$J$1501)&gt;=1263,1263,"")</f>
        <v/>
      </c>
      <c r="B1264" s="8" t="str">
        <f t="shared" si="95"/>
        <v/>
      </c>
      <c r="C1264" s="8" t="str">
        <f t="shared" si="96"/>
        <v/>
      </c>
      <c r="D1264" s="8" t="str">
        <f t="shared" si="97"/>
        <v/>
      </c>
      <c r="F1264" s="4" t="str">
        <f>IF(Jugadores!B1264="","",Jugadores!B1264)</f>
        <v/>
      </c>
      <c r="G1264" s="4" t="str">
        <f>IF(Jugadores!B1264="","",Jugadores!A1264)</f>
        <v/>
      </c>
      <c r="H1264" s="4" t="str">
        <f>IF(F1264="","",SUMIF('Estadísticas Jugadores'!$F$2:$F$7001,F1264,'Estadísticas Jugadores'!$J$2:$J$7001))</f>
        <v/>
      </c>
      <c r="I1264" s="4" t="str">
        <f t="shared" si="98"/>
        <v/>
      </c>
      <c r="J1264" s="4" t="str">
        <f t="shared" si="99"/>
        <v/>
      </c>
    </row>
    <row r="1265" spans="1:10" ht="15" customHeight="1" x14ac:dyDescent="0.25">
      <c r="A1265" s="8" t="str">
        <f>IF(COUNT($J$2:$J$1501)&gt;=1264,1264,"")</f>
        <v/>
      </c>
      <c r="B1265" s="8" t="str">
        <f t="shared" si="95"/>
        <v/>
      </c>
      <c r="C1265" s="8" t="str">
        <f t="shared" si="96"/>
        <v/>
      </c>
      <c r="D1265" s="8" t="str">
        <f t="shared" si="97"/>
        <v/>
      </c>
      <c r="F1265" s="4" t="str">
        <f>IF(Jugadores!B1265="","",Jugadores!B1265)</f>
        <v/>
      </c>
      <c r="G1265" s="4" t="str">
        <f>IF(Jugadores!B1265="","",Jugadores!A1265)</f>
        <v/>
      </c>
      <c r="H1265" s="4" t="str">
        <f>IF(F1265="","",SUMIF('Estadísticas Jugadores'!$F$2:$F$7001,F1265,'Estadísticas Jugadores'!$J$2:$J$7001))</f>
        <v/>
      </c>
      <c r="I1265" s="4" t="str">
        <f t="shared" si="98"/>
        <v/>
      </c>
      <c r="J1265" s="4" t="str">
        <f t="shared" si="99"/>
        <v/>
      </c>
    </row>
    <row r="1266" spans="1:10" ht="15" customHeight="1" x14ac:dyDescent="0.25">
      <c r="A1266" s="8" t="str">
        <f>IF(COUNT($J$2:$J$1501)&gt;=1265,1265,"")</f>
        <v/>
      </c>
      <c r="B1266" s="8" t="str">
        <f t="shared" si="95"/>
        <v/>
      </c>
      <c r="C1266" s="8" t="str">
        <f t="shared" si="96"/>
        <v/>
      </c>
      <c r="D1266" s="8" t="str">
        <f t="shared" si="97"/>
        <v/>
      </c>
      <c r="F1266" s="4" t="str">
        <f>IF(Jugadores!B1266="","",Jugadores!B1266)</f>
        <v/>
      </c>
      <c r="G1266" s="4" t="str">
        <f>IF(Jugadores!B1266="","",Jugadores!A1266)</f>
        <v/>
      </c>
      <c r="H1266" s="4" t="str">
        <f>IF(F1266="","",SUMIF('Estadísticas Jugadores'!$F$2:$F$7001,F1266,'Estadísticas Jugadores'!$J$2:$J$7001))</f>
        <v/>
      </c>
      <c r="I1266" s="4" t="str">
        <f t="shared" si="98"/>
        <v/>
      </c>
      <c r="J1266" s="4" t="str">
        <f t="shared" si="99"/>
        <v/>
      </c>
    </row>
    <row r="1267" spans="1:10" ht="15" customHeight="1" x14ac:dyDescent="0.25">
      <c r="A1267" s="8" t="str">
        <f>IF(COUNT($J$2:$J$1501)&gt;=1266,1266,"")</f>
        <v/>
      </c>
      <c r="B1267" s="8" t="str">
        <f t="shared" si="95"/>
        <v/>
      </c>
      <c r="C1267" s="8" t="str">
        <f t="shared" si="96"/>
        <v/>
      </c>
      <c r="D1267" s="8" t="str">
        <f t="shared" si="97"/>
        <v/>
      </c>
      <c r="F1267" s="4" t="str">
        <f>IF(Jugadores!B1267="","",Jugadores!B1267)</f>
        <v/>
      </c>
      <c r="G1267" s="4" t="str">
        <f>IF(Jugadores!B1267="","",Jugadores!A1267)</f>
        <v/>
      </c>
      <c r="H1267" s="4" t="str">
        <f>IF(F1267="","",SUMIF('Estadísticas Jugadores'!$F$2:$F$7001,F1267,'Estadísticas Jugadores'!$J$2:$J$7001))</f>
        <v/>
      </c>
      <c r="I1267" s="4" t="str">
        <f t="shared" si="98"/>
        <v/>
      </c>
      <c r="J1267" s="4" t="str">
        <f t="shared" si="99"/>
        <v/>
      </c>
    </row>
    <row r="1268" spans="1:10" ht="15" customHeight="1" x14ac:dyDescent="0.25">
      <c r="A1268" s="8" t="str">
        <f>IF(COUNT($J$2:$J$1501)&gt;=1267,1267,"")</f>
        <v/>
      </c>
      <c r="B1268" s="8" t="str">
        <f t="shared" si="95"/>
        <v/>
      </c>
      <c r="C1268" s="8" t="str">
        <f t="shared" si="96"/>
        <v/>
      </c>
      <c r="D1268" s="8" t="str">
        <f t="shared" si="97"/>
        <v/>
      </c>
      <c r="F1268" s="4" t="str">
        <f>IF(Jugadores!B1268="","",Jugadores!B1268)</f>
        <v/>
      </c>
      <c r="G1268" s="4" t="str">
        <f>IF(Jugadores!B1268="","",Jugadores!A1268)</f>
        <v/>
      </c>
      <c r="H1268" s="4" t="str">
        <f>IF(F1268="","",SUMIF('Estadísticas Jugadores'!$F$2:$F$7001,F1268,'Estadísticas Jugadores'!$J$2:$J$7001))</f>
        <v/>
      </c>
      <c r="I1268" s="4" t="str">
        <f t="shared" si="98"/>
        <v/>
      </c>
      <c r="J1268" s="4" t="str">
        <f t="shared" si="99"/>
        <v/>
      </c>
    </row>
    <row r="1269" spans="1:10" ht="15" customHeight="1" x14ac:dyDescent="0.25">
      <c r="A1269" s="8" t="str">
        <f>IF(COUNT($J$2:$J$1501)&gt;=1268,1268,"")</f>
        <v/>
      </c>
      <c r="B1269" s="8" t="str">
        <f t="shared" si="95"/>
        <v/>
      </c>
      <c r="C1269" s="8" t="str">
        <f t="shared" si="96"/>
        <v/>
      </c>
      <c r="D1269" s="8" t="str">
        <f t="shared" si="97"/>
        <v/>
      </c>
      <c r="F1269" s="4" t="str">
        <f>IF(Jugadores!B1269="","",Jugadores!B1269)</f>
        <v/>
      </c>
      <c r="G1269" s="4" t="str">
        <f>IF(Jugadores!B1269="","",Jugadores!A1269)</f>
        <v/>
      </c>
      <c r="H1269" s="4" t="str">
        <f>IF(F1269="","",SUMIF('Estadísticas Jugadores'!$F$2:$F$7001,F1269,'Estadísticas Jugadores'!$J$2:$J$7001))</f>
        <v/>
      </c>
      <c r="I1269" s="4" t="str">
        <f t="shared" si="98"/>
        <v/>
      </c>
      <c r="J1269" s="4" t="str">
        <f t="shared" si="99"/>
        <v/>
      </c>
    </row>
    <row r="1270" spans="1:10" ht="15" customHeight="1" x14ac:dyDescent="0.25">
      <c r="A1270" s="8" t="str">
        <f>IF(COUNT($J$2:$J$1501)&gt;=1269,1269,"")</f>
        <v/>
      </c>
      <c r="B1270" s="8" t="str">
        <f t="shared" si="95"/>
        <v/>
      </c>
      <c r="C1270" s="8" t="str">
        <f t="shared" si="96"/>
        <v/>
      </c>
      <c r="D1270" s="8" t="str">
        <f t="shared" si="97"/>
        <v/>
      </c>
      <c r="F1270" s="4" t="str">
        <f>IF(Jugadores!B1270="","",Jugadores!B1270)</f>
        <v/>
      </c>
      <c r="G1270" s="4" t="str">
        <f>IF(Jugadores!B1270="","",Jugadores!A1270)</f>
        <v/>
      </c>
      <c r="H1270" s="4" t="str">
        <f>IF(F1270="","",SUMIF('Estadísticas Jugadores'!$F$2:$F$7001,F1270,'Estadísticas Jugadores'!$J$2:$J$7001))</f>
        <v/>
      </c>
      <c r="I1270" s="4" t="str">
        <f t="shared" si="98"/>
        <v/>
      </c>
      <c r="J1270" s="4" t="str">
        <f t="shared" si="99"/>
        <v/>
      </c>
    </row>
    <row r="1271" spans="1:10" ht="15" customHeight="1" x14ac:dyDescent="0.25">
      <c r="A1271" s="8" t="str">
        <f>IF(COUNT($J$2:$J$1501)&gt;=1270,1270,"")</f>
        <v/>
      </c>
      <c r="B1271" s="8" t="str">
        <f t="shared" si="95"/>
        <v/>
      </c>
      <c r="C1271" s="8" t="str">
        <f t="shared" si="96"/>
        <v/>
      </c>
      <c r="D1271" s="8" t="str">
        <f t="shared" si="97"/>
        <v/>
      </c>
      <c r="F1271" s="4" t="str">
        <f>IF(Jugadores!B1271="","",Jugadores!B1271)</f>
        <v/>
      </c>
      <c r="G1271" s="4" t="str">
        <f>IF(Jugadores!B1271="","",Jugadores!A1271)</f>
        <v/>
      </c>
      <c r="H1271" s="4" t="str">
        <f>IF(F1271="","",SUMIF('Estadísticas Jugadores'!$F$2:$F$7001,F1271,'Estadísticas Jugadores'!$J$2:$J$7001))</f>
        <v/>
      </c>
      <c r="I1271" s="4" t="str">
        <f t="shared" si="98"/>
        <v/>
      </c>
      <c r="J1271" s="4" t="str">
        <f t="shared" si="99"/>
        <v/>
      </c>
    </row>
    <row r="1272" spans="1:10" ht="15" customHeight="1" x14ac:dyDescent="0.25">
      <c r="A1272" s="8" t="str">
        <f>IF(COUNT($J$2:$J$1501)&gt;=1271,1271,"")</f>
        <v/>
      </c>
      <c r="B1272" s="8" t="str">
        <f t="shared" si="95"/>
        <v/>
      </c>
      <c r="C1272" s="8" t="str">
        <f t="shared" si="96"/>
        <v/>
      </c>
      <c r="D1272" s="8" t="str">
        <f t="shared" si="97"/>
        <v/>
      </c>
      <c r="F1272" s="4" t="str">
        <f>IF(Jugadores!B1272="","",Jugadores!B1272)</f>
        <v/>
      </c>
      <c r="G1272" s="4" t="str">
        <f>IF(Jugadores!B1272="","",Jugadores!A1272)</f>
        <v/>
      </c>
      <c r="H1272" s="4" t="str">
        <f>IF(F1272="","",SUMIF('Estadísticas Jugadores'!$F$2:$F$7001,F1272,'Estadísticas Jugadores'!$J$2:$J$7001))</f>
        <v/>
      </c>
      <c r="I1272" s="4" t="str">
        <f t="shared" si="98"/>
        <v/>
      </c>
      <c r="J1272" s="4" t="str">
        <f t="shared" si="99"/>
        <v/>
      </c>
    </row>
    <row r="1273" spans="1:10" ht="15" customHeight="1" x14ac:dyDescent="0.25">
      <c r="A1273" s="8" t="str">
        <f>IF(COUNT($J$2:$J$1501)&gt;=1272,1272,"")</f>
        <v/>
      </c>
      <c r="B1273" s="8" t="str">
        <f t="shared" si="95"/>
        <v/>
      </c>
      <c r="C1273" s="8" t="str">
        <f t="shared" si="96"/>
        <v/>
      </c>
      <c r="D1273" s="8" t="str">
        <f t="shared" si="97"/>
        <v/>
      </c>
      <c r="F1273" s="4" t="str">
        <f>IF(Jugadores!B1273="","",Jugadores!B1273)</f>
        <v/>
      </c>
      <c r="G1273" s="4" t="str">
        <f>IF(Jugadores!B1273="","",Jugadores!A1273)</f>
        <v/>
      </c>
      <c r="H1273" s="4" t="str">
        <f>IF(F1273="","",SUMIF('Estadísticas Jugadores'!$F$2:$F$7001,F1273,'Estadísticas Jugadores'!$J$2:$J$7001))</f>
        <v/>
      </c>
      <c r="I1273" s="4" t="str">
        <f t="shared" si="98"/>
        <v/>
      </c>
      <c r="J1273" s="4" t="str">
        <f t="shared" si="99"/>
        <v/>
      </c>
    </row>
    <row r="1274" spans="1:10" ht="15" customHeight="1" x14ac:dyDescent="0.25">
      <c r="A1274" s="8" t="str">
        <f>IF(COUNT($J$2:$J$1501)&gt;=1273,1273,"")</f>
        <v/>
      </c>
      <c r="B1274" s="8" t="str">
        <f t="shared" si="95"/>
        <v/>
      </c>
      <c r="C1274" s="8" t="str">
        <f t="shared" si="96"/>
        <v/>
      </c>
      <c r="D1274" s="8" t="str">
        <f t="shared" si="97"/>
        <v/>
      </c>
      <c r="F1274" s="4" t="str">
        <f>IF(Jugadores!B1274="","",Jugadores!B1274)</f>
        <v/>
      </c>
      <c r="G1274" s="4" t="str">
        <f>IF(Jugadores!B1274="","",Jugadores!A1274)</f>
        <v/>
      </c>
      <c r="H1274" s="4" t="str">
        <f>IF(F1274="","",SUMIF('Estadísticas Jugadores'!$F$2:$F$7001,F1274,'Estadísticas Jugadores'!$J$2:$J$7001))</f>
        <v/>
      </c>
      <c r="I1274" s="4" t="str">
        <f t="shared" si="98"/>
        <v/>
      </c>
      <c r="J1274" s="4" t="str">
        <f t="shared" si="99"/>
        <v/>
      </c>
    </row>
    <row r="1275" spans="1:10" ht="15" customHeight="1" x14ac:dyDescent="0.25">
      <c r="A1275" s="8" t="str">
        <f>IF(COUNT($J$2:$J$1501)&gt;=1274,1274,"")</f>
        <v/>
      </c>
      <c r="B1275" s="8" t="str">
        <f t="shared" si="95"/>
        <v/>
      </c>
      <c r="C1275" s="8" t="str">
        <f t="shared" si="96"/>
        <v/>
      </c>
      <c r="D1275" s="8" t="str">
        <f t="shared" si="97"/>
        <v/>
      </c>
      <c r="F1275" s="4" t="str">
        <f>IF(Jugadores!B1275="","",Jugadores!B1275)</f>
        <v/>
      </c>
      <c r="G1275" s="4" t="str">
        <f>IF(Jugadores!B1275="","",Jugadores!A1275)</f>
        <v/>
      </c>
      <c r="H1275" s="4" t="str">
        <f>IF(F1275="","",SUMIF('Estadísticas Jugadores'!$F$2:$F$7001,F1275,'Estadísticas Jugadores'!$J$2:$J$7001))</f>
        <v/>
      </c>
      <c r="I1275" s="4" t="str">
        <f t="shared" si="98"/>
        <v/>
      </c>
      <c r="J1275" s="4" t="str">
        <f t="shared" si="99"/>
        <v/>
      </c>
    </row>
    <row r="1276" spans="1:10" ht="15" customHeight="1" x14ac:dyDescent="0.25">
      <c r="A1276" s="8" t="str">
        <f>IF(COUNT($J$2:$J$1501)&gt;=1275,1275,"")</f>
        <v/>
      </c>
      <c r="B1276" s="8" t="str">
        <f t="shared" si="95"/>
        <v/>
      </c>
      <c r="C1276" s="8" t="str">
        <f t="shared" si="96"/>
        <v/>
      </c>
      <c r="D1276" s="8" t="str">
        <f t="shared" si="97"/>
        <v/>
      </c>
      <c r="F1276" s="4" t="str">
        <f>IF(Jugadores!B1276="","",Jugadores!B1276)</f>
        <v/>
      </c>
      <c r="G1276" s="4" t="str">
        <f>IF(Jugadores!B1276="","",Jugadores!A1276)</f>
        <v/>
      </c>
      <c r="H1276" s="4" t="str">
        <f>IF(F1276="","",SUMIF('Estadísticas Jugadores'!$F$2:$F$7001,F1276,'Estadísticas Jugadores'!$J$2:$J$7001))</f>
        <v/>
      </c>
      <c r="I1276" s="4" t="str">
        <f t="shared" si="98"/>
        <v/>
      </c>
      <c r="J1276" s="4" t="str">
        <f t="shared" si="99"/>
        <v/>
      </c>
    </row>
    <row r="1277" spans="1:10" ht="15" customHeight="1" x14ac:dyDescent="0.25">
      <c r="A1277" s="8" t="str">
        <f>IF(COUNT($J$2:$J$1501)&gt;=1276,1276,"")</f>
        <v/>
      </c>
      <c r="B1277" s="8" t="str">
        <f t="shared" si="95"/>
        <v/>
      </c>
      <c r="C1277" s="8" t="str">
        <f t="shared" si="96"/>
        <v/>
      </c>
      <c r="D1277" s="8" t="str">
        <f t="shared" si="97"/>
        <v/>
      </c>
      <c r="F1277" s="4" t="str">
        <f>IF(Jugadores!B1277="","",Jugadores!B1277)</f>
        <v/>
      </c>
      <c r="G1277" s="4" t="str">
        <f>IF(Jugadores!B1277="","",Jugadores!A1277)</f>
        <v/>
      </c>
      <c r="H1277" s="4" t="str">
        <f>IF(F1277="","",SUMIF('Estadísticas Jugadores'!$F$2:$F$7001,F1277,'Estadísticas Jugadores'!$J$2:$J$7001))</f>
        <v/>
      </c>
      <c r="I1277" s="4" t="str">
        <f t="shared" si="98"/>
        <v/>
      </c>
      <c r="J1277" s="4" t="str">
        <f t="shared" si="99"/>
        <v/>
      </c>
    </row>
    <row r="1278" spans="1:10" ht="15" customHeight="1" x14ac:dyDescent="0.25">
      <c r="A1278" s="8" t="str">
        <f>IF(COUNT($J$2:$J$1501)&gt;=1277,1277,"")</f>
        <v/>
      </c>
      <c r="B1278" s="8" t="str">
        <f t="shared" si="95"/>
        <v/>
      </c>
      <c r="C1278" s="8" t="str">
        <f t="shared" si="96"/>
        <v/>
      </c>
      <c r="D1278" s="8" t="str">
        <f t="shared" si="97"/>
        <v/>
      </c>
      <c r="F1278" s="4" t="str">
        <f>IF(Jugadores!B1278="","",Jugadores!B1278)</f>
        <v/>
      </c>
      <c r="G1278" s="4" t="str">
        <f>IF(Jugadores!B1278="","",Jugadores!A1278)</f>
        <v/>
      </c>
      <c r="H1278" s="4" t="str">
        <f>IF(F1278="","",SUMIF('Estadísticas Jugadores'!$F$2:$F$7001,F1278,'Estadísticas Jugadores'!$J$2:$J$7001))</f>
        <v/>
      </c>
      <c r="I1278" s="4" t="str">
        <f t="shared" si="98"/>
        <v/>
      </c>
      <c r="J1278" s="4" t="str">
        <f t="shared" si="99"/>
        <v/>
      </c>
    </row>
    <row r="1279" spans="1:10" ht="15" customHeight="1" x14ac:dyDescent="0.25">
      <c r="A1279" s="8" t="str">
        <f>IF(COUNT($J$2:$J$1501)&gt;=1278,1278,"")</f>
        <v/>
      </c>
      <c r="B1279" s="8" t="str">
        <f t="shared" si="95"/>
        <v/>
      </c>
      <c r="C1279" s="8" t="str">
        <f t="shared" si="96"/>
        <v/>
      </c>
      <c r="D1279" s="8" t="str">
        <f t="shared" si="97"/>
        <v/>
      </c>
      <c r="F1279" s="4" t="str">
        <f>IF(Jugadores!B1279="","",Jugadores!B1279)</f>
        <v/>
      </c>
      <c r="G1279" s="4" t="str">
        <f>IF(Jugadores!B1279="","",Jugadores!A1279)</f>
        <v/>
      </c>
      <c r="H1279" s="4" t="str">
        <f>IF(F1279="","",SUMIF('Estadísticas Jugadores'!$F$2:$F$7001,F1279,'Estadísticas Jugadores'!$J$2:$J$7001))</f>
        <v/>
      </c>
      <c r="I1279" s="4" t="str">
        <f t="shared" si="98"/>
        <v/>
      </c>
      <c r="J1279" s="4" t="str">
        <f t="shared" si="99"/>
        <v/>
      </c>
    </row>
    <row r="1280" spans="1:10" ht="15" customHeight="1" x14ac:dyDescent="0.25">
      <c r="A1280" s="8" t="str">
        <f>IF(COUNT($J$2:$J$1501)&gt;=1279,1279,"")</f>
        <v/>
      </c>
      <c r="B1280" s="8" t="str">
        <f t="shared" si="95"/>
        <v/>
      </c>
      <c r="C1280" s="8" t="str">
        <f t="shared" si="96"/>
        <v/>
      </c>
      <c r="D1280" s="8" t="str">
        <f t="shared" si="97"/>
        <v/>
      </c>
      <c r="F1280" s="4" t="str">
        <f>IF(Jugadores!B1280="","",Jugadores!B1280)</f>
        <v/>
      </c>
      <c r="G1280" s="4" t="str">
        <f>IF(Jugadores!B1280="","",Jugadores!A1280)</f>
        <v/>
      </c>
      <c r="H1280" s="4" t="str">
        <f>IF(F1280="","",SUMIF('Estadísticas Jugadores'!$F$2:$F$7001,F1280,'Estadísticas Jugadores'!$J$2:$J$7001))</f>
        <v/>
      </c>
      <c r="I1280" s="4" t="str">
        <f t="shared" si="98"/>
        <v/>
      </c>
      <c r="J1280" s="4" t="str">
        <f t="shared" si="99"/>
        <v/>
      </c>
    </row>
    <row r="1281" spans="1:10" ht="15" customHeight="1" x14ac:dyDescent="0.25">
      <c r="A1281" s="8" t="str">
        <f>IF(COUNT($J$2:$J$1501)&gt;=1280,1280,"")</f>
        <v/>
      </c>
      <c r="B1281" s="8" t="str">
        <f t="shared" si="95"/>
        <v/>
      </c>
      <c r="C1281" s="8" t="str">
        <f t="shared" si="96"/>
        <v/>
      </c>
      <c r="D1281" s="8" t="str">
        <f t="shared" si="97"/>
        <v/>
      </c>
      <c r="F1281" s="4" t="str">
        <f>IF(Jugadores!B1281="","",Jugadores!B1281)</f>
        <v/>
      </c>
      <c r="G1281" s="4" t="str">
        <f>IF(Jugadores!B1281="","",Jugadores!A1281)</f>
        <v/>
      </c>
      <c r="H1281" s="4" t="str">
        <f>IF(F1281="","",SUMIF('Estadísticas Jugadores'!$F$2:$F$7001,F1281,'Estadísticas Jugadores'!$J$2:$J$7001))</f>
        <v/>
      </c>
      <c r="I1281" s="4" t="str">
        <f t="shared" si="98"/>
        <v/>
      </c>
      <c r="J1281" s="4" t="str">
        <f t="shared" si="99"/>
        <v/>
      </c>
    </row>
    <row r="1282" spans="1:10" ht="15" customHeight="1" x14ac:dyDescent="0.25">
      <c r="A1282" s="8" t="str">
        <f>IF(COUNT($J$2:$J$1501)&gt;=1281,1281,"")</f>
        <v/>
      </c>
      <c r="B1282" s="8" t="str">
        <f t="shared" ref="B1282:B1345" si="100">IF($A1282="","",INDEX($F$2:$F$1501,MATCH($A1282,$J$2:$J$1501,0)))</f>
        <v/>
      </c>
      <c r="C1282" s="8" t="str">
        <f t="shared" ref="C1282:C1345" si="101">IF($A1282="","",INDEX($G$2:$G$1501,MATCH($A1282,$J$2:$J$1501,0)))</f>
        <v/>
      </c>
      <c r="D1282" s="8" t="str">
        <f t="shared" ref="D1282:D1345" si="102">IF($A1282="","",INDEX($H$2:$H$1501,MATCH($A1282,$J$2:$J$1501,0)))</f>
        <v/>
      </c>
      <c r="F1282" s="4" t="str">
        <f>IF(Jugadores!B1282="","",Jugadores!B1282)</f>
        <v/>
      </c>
      <c r="G1282" s="4" t="str">
        <f>IF(Jugadores!B1282="","",Jugadores!A1282)</f>
        <v/>
      </c>
      <c r="H1282" s="4" t="str">
        <f>IF(F1282="","",SUMIF('Estadísticas Jugadores'!$F$2:$F$7001,F1282,'Estadísticas Jugadores'!$J$2:$J$7001))</f>
        <v/>
      </c>
      <c r="I1282" s="4" t="str">
        <f t="shared" ref="I1282:I1345" si="103">IF(F1282="","",H1282*1000-ROW()*0.0000001)</f>
        <v/>
      </c>
      <c r="J1282" s="4" t="str">
        <f t="shared" ref="J1282:J1345" si="104">IF(F1282="","",RANK(I1282,$I$2:$I$1501))</f>
        <v/>
      </c>
    </row>
    <row r="1283" spans="1:10" ht="15" customHeight="1" x14ac:dyDescent="0.25">
      <c r="A1283" s="8" t="str">
        <f>IF(COUNT($J$2:$J$1501)&gt;=1282,1282,"")</f>
        <v/>
      </c>
      <c r="B1283" s="8" t="str">
        <f t="shared" si="100"/>
        <v/>
      </c>
      <c r="C1283" s="8" t="str">
        <f t="shared" si="101"/>
        <v/>
      </c>
      <c r="D1283" s="8" t="str">
        <f t="shared" si="102"/>
        <v/>
      </c>
      <c r="F1283" s="4" t="str">
        <f>IF(Jugadores!B1283="","",Jugadores!B1283)</f>
        <v/>
      </c>
      <c r="G1283" s="4" t="str">
        <f>IF(Jugadores!B1283="","",Jugadores!A1283)</f>
        <v/>
      </c>
      <c r="H1283" s="4" t="str">
        <f>IF(F1283="","",SUMIF('Estadísticas Jugadores'!$F$2:$F$7001,F1283,'Estadísticas Jugadores'!$J$2:$J$7001))</f>
        <v/>
      </c>
      <c r="I1283" s="4" t="str">
        <f t="shared" si="103"/>
        <v/>
      </c>
      <c r="J1283" s="4" t="str">
        <f t="shared" si="104"/>
        <v/>
      </c>
    </row>
    <row r="1284" spans="1:10" ht="15" customHeight="1" x14ac:dyDescent="0.25">
      <c r="A1284" s="8" t="str">
        <f>IF(COUNT($J$2:$J$1501)&gt;=1283,1283,"")</f>
        <v/>
      </c>
      <c r="B1284" s="8" t="str">
        <f t="shared" si="100"/>
        <v/>
      </c>
      <c r="C1284" s="8" t="str">
        <f t="shared" si="101"/>
        <v/>
      </c>
      <c r="D1284" s="8" t="str">
        <f t="shared" si="102"/>
        <v/>
      </c>
      <c r="F1284" s="4" t="str">
        <f>IF(Jugadores!B1284="","",Jugadores!B1284)</f>
        <v/>
      </c>
      <c r="G1284" s="4" t="str">
        <f>IF(Jugadores!B1284="","",Jugadores!A1284)</f>
        <v/>
      </c>
      <c r="H1284" s="4" t="str">
        <f>IF(F1284="","",SUMIF('Estadísticas Jugadores'!$F$2:$F$7001,F1284,'Estadísticas Jugadores'!$J$2:$J$7001))</f>
        <v/>
      </c>
      <c r="I1284" s="4" t="str">
        <f t="shared" si="103"/>
        <v/>
      </c>
      <c r="J1284" s="4" t="str">
        <f t="shared" si="104"/>
        <v/>
      </c>
    </row>
    <row r="1285" spans="1:10" ht="15" customHeight="1" x14ac:dyDescent="0.25">
      <c r="A1285" s="8" t="str">
        <f>IF(COUNT($J$2:$J$1501)&gt;=1284,1284,"")</f>
        <v/>
      </c>
      <c r="B1285" s="8" t="str">
        <f t="shared" si="100"/>
        <v/>
      </c>
      <c r="C1285" s="8" t="str">
        <f t="shared" si="101"/>
        <v/>
      </c>
      <c r="D1285" s="8" t="str">
        <f t="shared" si="102"/>
        <v/>
      </c>
      <c r="F1285" s="4" t="str">
        <f>IF(Jugadores!B1285="","",Jugadores!B1285)</f>
        <v/>
      </c>
      <c r="G1285" s="4" t="str">
        <f>IF(Jugadores!B1285="","",Jugadores!A1285)</f>
        <v/>
      </c>
      <c r="H1285" s="4" t="str">
        <f>IF(F1285="","",SUMIF('Estadísticas Jugadores'!$F$2:$F$7001,F1285,'Estadísticas Jugadores'!$J$2:$J$7001))</f>
        <v/>
      </c>
      <c r="I1285" s="4" t="str">
        <f t="shared" si="103"/>
        <v/>
      </c>
      <c r="J1285" s="4" t="str">
        <f t="shared" si="104"/>
        <v/>
      </c>
    </row>
    <row r="1286" spans="1:10" ht="15" customHeight="1" x14ac:dyDescent="0.25">
      <c r="A1286" s="8" t="str">
        <f>IF(COUNT($J$2:$J$1501)&gt;=1285,1285,"")</f>
        <v/>
      </c>
      <c r="B1286" s="8" t="str">
        <f t="shared" si="100"/>
        <v/>
      </c>
      <c r="C1286" s="8" t="str">
        <f t="shared" si="101"/>
        <v/>
      </c>
      <c r="D1286" s="8" t="str">
        <f t="shared" si="102"/>
        <v/>
      </c>
      <c r="F1286" s="4" t="str">
        <f>IF(Jugadores!B1286="","",Jugadores!B1286)</f>
        <v/>
      </c>
      <c r="G1286" s="4" t="str">
        <f>IF(Jugadores!B1286="","",Jugadores!A1286)</f>
        <v/>
      </c>
      <c r="H1286" s="4" t="str">
        <f>IF(F1286="","",SUMIF('Estadísticas Jugadores'!$F$2:$F$7001,F1286,'Estadísticas Jugadores'!$J$2:$J$7001))</f>
        <v/>
      </c>
      <c r="I1286" s="4" t="str">
        <f t="shared" si="103"/>
        <v/>
      </c>
      <c r="J1286" s="4" t="str">
        <f t="shared" si="104"/>
        <v/>
      </c>
    </row>
    <row r="1287" spans="1:10" ht="15" customHeight="1" x14ac:dyDescent="0.25">
      <c r="A1287" s="8" t="str">
        <f>IF(COUNT($J$2:$J$1501)&gt;=1286,1286,"")</f>
        <v/>
      </c>
      <c r="B1287" s="8" t="str">
        <f t="shared" si="100"/>
        <v/>
      </c>
      <c r="C1287" s="8" t="str">
        <f t="shared" si="101"/>
        <v/>
      </c>
      <c r="D1287" s="8" t="str">
        <f t="shared" si="102"/>
        <v/>
      </c>
      <c r="F1287" s="4" t="str">
        <f>IF(Jugadores!B1287="","",Jugadores!B1287)</f>
        <v/>
      </c>
      <c r="G1287" s="4" t="str">
        <f>IF(Jugadores!B1287="","",Jugadores!A1287)</f>
        <v/>
      </c>
      <c r="H1287" s="4" t="str">
        <f>IF(F1287="","",SUMIF('Estadísticas Jugadores'!$F$2:$F$7001,F1287,'Estadísticas Jugadores'!$J$2:$J$7001))</f>
        <v/>
      </c>
      <c r="I1287" s="4" t="str">
        <f t="shared" si="103"/>
        <v/>
      </c>
      <c r="J1287" s="4" t="str">
        <f t="shared" si="104"/>
        <v/>
      </c>
    </row>
    <row r="1288" spans="1:10" ht="15" customHeight="1" x14ac:dyDescent="0.25">
      <c r="A1288" s="8" t="str">
        <f>IF(COUNT($J$2:$J$1501)&gt;=1287,1287,"")</f>
        <v/>
      </c>
      <c r="B1288" s="8" t="str">
        <f t="shared" si="100"/>
        <v/>
      </c>
      <c r="C1288" s="8" t="str">
        <f t="shared" si="101"/>
        <v/>
      </c>
      <c r="D1288" s="8" t="str">
        <f t="shared" si="102"/>
        <v/>
      </c>
      <c r="F1288" s="4" t="str">
        <f>IF(Jugadores!B1288="","",Jugadores!B1288)</f>
        <v/>
      </c>
      <c r="G1288" s="4" t="str">
        <f>IF(Jugadores!B1288="","",Jugadores!A1288)</f>
        <v/>
      </c>
      <c r="H1288" s="4" t="str">
        <f>IF(F1288="","",SUMIF('Estadísticas Jugadores'!$F$2:$F$7001,F1288,'Estadísticas Jugadores'!$J$2:$J$7001))</f>
        <v/>
      </c>
      <c r="I1288" s="4" t="str">
        <f t="shared" si="103"/>
        <v/>
      </c>
      <c r="J1288" s="4" t="str">
        <f t="shared" si="104"/>
        <v/>
      </c>
    </row>
    <row r="1289" spans="1:10" ht="15" customHeight="1" x14ac:dyDescent="0.25">
      <c r="A1289" s="8" t="str">
        <f>IF(COUNT($J$2:$J$1501)&gt;=1288,1288,"")</f>
        <v/>
      </c>
      <c r="B1289" s="8" t="str">
        <f t="shared" si="100"/>
        <v/>
      </c>
      <c r="C1289" s="8" t="str">
        <f t="shared" si="101"/>
        <v/>
      </c>
      <c r="D1289" s="8" t="str">
        <f t="shared" si="102"/>
        <v/>
      </c>
      <c r="F1289" s="4" t="str">
        <f>IF(Jugadores!B1289="","",Jugadores!B1289)</f>
        <v/>
      </c>
      <c r="G1289" s="4" t="str">
        <f>IF(Jugadores!B1289="","",Jugadores!A1289)</f>
        <v/>
      </c>
      <c r="H1289" s="4" t="str">
        <f>IF(F1289="","",SUMIF('Estadísticas Jugadores'!$F$2:$F$7001,F1289,'Estadísticas Jugadores'!$J$2:$J$7001))</f>
        <v/>
      </c>
      <c r="I1289" s="4" t="str">
        <f t="shared" si="103"/>
        <v/>
      </c>
      <c r="J1289" s="4" t="str">
        <f t="shared" si="104"/>
        <v/>
      </c>
    </row>
    <row r="1290" spans="1:10" ht="15" customHeight="1" x14ac:dyDescent="0.25">
      <c r="A1290" s="8" t="str">
        <f>IF(COUNT($J$2:$J$1501)&gt;=1289,1289,"")</f>
        <v/>
      </c>
      <c r="B1290" s="8" t="str">
        <f t="shared" si="100"/>
        <v/>
      </c>
      <c r="C1290" s="8" t="str">
        <f t="shared" si="101"/>
        <v/>
      </c>
      <c r="D1290" s="8" t="str">
        <f t="shared" si="102"/>
        <v/>
      </c>
      <c r="F1290" s="4" t="str">
        <f>IF(Jugadores!B1290="","",Jugadores!B1290)</f>
        <v/>
      </c>
      <c r="G1290" s="4" t="str">
        <f>IF(Jugadores!B1290="","",Jugadores!A1290)</f>
        <v/>
      </c>
      <c r="H1290" s="4" t="str">
        <f>IF(F1290="","",SUMIF('Estadísticas Jugadores'!$F$2:$F$7001,F1290,'Estadísticas Jugadores'!$J$2:$J$7001))</f>
        <v/>
      </c>
      <c r="I1290" s="4" t="str">
        <f t="shared" si="103"/>
        <v/>
      </c>
      <c r="J1290" s="4" t="str">
        <f t="shared" si="104"/>
        <v/>
      </c>
    </row>
    <row r="1291" spans="1:10" ht="15" customHeight="1" x14ac:dyDescent="0.25">
      <c r="A1291" s="8" t="str">
        <f>IF(COUNT($J$2:$J$1501)&gt;=1290,1290,"")</f>
        <v/>
      </c>
      <c r="B1291" s="8" t="str">
        <f t="shared" si="100"/>
        <v/>
      </c>
      <c r="C1291" s="8" t="str">
        <f t="shared" si="101"/>
        <v/>
      </c>
      <c r="D1291" s="8" t="str">
        <f t="shared" si="102"/>
        <v/>
      </c>
      <c r="F1291" s="4" t="str">
        <f>IF(Jugadores!B1291="","",Jugadores!B1291)</f>
        <v/>
      </c>
      <c r="G1291" s="4" t="str">
        <f>IF(Jugadores!B1291="","",Jugadores!A1291)</f>
        <v/>
      </c>
      <c r="H1291" s="4" t="str">
        <f>IF(F1291="","",SUMIF('Estadísticas Jugadores'!$F$2:$F$7001,F1291,'Estadísticas Jugadores'!$J$2:$J$7001))</f>
        <v/>
      </c>
      <c r="I1291" s="4" t="str">
        <f t="shared" si="103"/>
        <v/>
      </c>
      <c r="J1291" s="4" t="str">
        <f t="shared" si="104"/>
        <v/>
      </c>
    </row>
    <row r="1292" spans="1:10" ht="15" customHeight="1" x14ac:dyDescent="0.25">
      <c r="A1292" s="8" t="str">
        <f>IF(COUNT($J$2:$J$1501)&gt;=1291,1291,"")</f>
        <v/>
      </c>
      <c r="B1292" s="8" t="str">
        <f t="shared" si="100"/>
        <v/>
      </c>
      <c r="C1292" s="8" t="str">
        <f t="shared" si="101"/>
        <v/>
      </c>
      <c r="D1292" s="8" t="str">
        <f t="shared" si="102"/>
        <v/>
      </c>
      <c r="F1292" s="4" t="str">
        <f>IF(Jugadores!B1292="","",Jugadores!B1292)</f>
        <v/>
      </c>
      <c r="G1292" s="4" t="str">
        <f>IF(Jugadores!B1292="","",Jugadores!A1292)</f>
        <v/>
      </c>
      <c r="H1292" s="4" t="str">
        <f>IF(F1292="","",SUMIF('Estadísticas Jugadores'!$F$2:$F$7001,F1292,'Estadísticas Jugadores'!$J$2:$J$7001))</f>
        <v/>
      </c>
      <c r="I1292" s="4" t="str">
        <f t="shared" si="103"/>
        <v/>
      </c>
      <c r="J1292" s="4" t="str">
        <f t="shared" si="104"/>
        <v/>
      </c>
    </row>
    <row r="1293" spans="1:10" ht="15" customHeight="1" x14ac:dyDescent="0.25">
      <c r="A1293" s="8" t="str">
        <f>IF(COUNT($J$2:$J$1501)&gt;=1292,1292,"")</f>
        <v/>
      </c>
      <c r="B1293" s="8" t="str">
        <f t="shared" si="100"/>
        <v/>
      </c>
      <c r="C1293" s="8" t="str">
        <f t="shared" si="101"/>
        <v/>
      </c>
      <c r="D1293" s="8" t="str">
        <f t="shared" si="102"/>
        <v/>
      </c>
      <c r="F1293" s="4" t="str">
        <f>IF(Jugadores!B1293="","",Jugadores!B1293)</f>
        <v/>
      </c>
      <c r="G1293" s="4" t="str">
        <f>IF(Jugadores!B1293="","",Jugadores!A1293)</f>
        <v/>
      </c>
      <c r="H1293" s="4" t="str">
        <f>IF(F1293="","",SUMIF('Estadísticas Jugadores'!$F$2:$F$7001,F1293,'Estadísticas Jugadores'!$J$2:$J$7001))</f>
        <v/>
      </c>
      <c r="I1293" s="4" t="str">
        <f t="shared" si="103"/>
        <v/>
      </c>
      <c r="J1293" s="4" t="str">
        <f t="shared" si="104"/>
        <v/>
      </c>
    </row>
    <row r="1294" spans="1:10" ht="15" customHeight="1" x14ac:dyDescent="0.25">
      <c r="A1294" s="8" t="str">
        <f>IF(COUNT($J$2:$J$1501)&gt;=1293,1293,"")</f>
        <v/>
      </c>
      <c r="B1294" s="8" t="str">
        <f t="shared" si="100"/>
        <v/>
      </c>
      <c r="C1294" s="8" t="str">
        <f t="shared" si="101"/>
        <v/>
      </c>
      <c r="D1294" s="8" t="str">
        <f t="shared" si="102"/>
        <v/>
      </c>
      <c r="F1294" s="4" t="str">
        <f>IF(Jugadores!B1294="","",Jugadores!B1294)</f>
        <v/>
      </c>
      <c r="G1294" s="4" t="str">
        <f>IF(Jugadores!B1294="","",Jugadores!A1294)</f>
        <v/>
      </c>
      <c r="H1294" s="4" t="str">
        <f>IF(F1294="","",SUMIF('Estadísticas Jugadores'!$F$2:$F$7001,F1294,'Estadísticas Jugadores'!$J$2:$J$7001))</f>
        <v/>
      </c>
      <c r="I1294" s="4" t="str">
        <f t="shared" si="103"/>
        <v/>
      </c>
      <c r="J1294" s="4" t="str">
        <f t="shared" si="104"/>
        <v/>
      </c>
    </row>
    <row r="1295" spans="1:10" ht="15" customHeight="1" x14ac:dyDescent="0.25">
      <c r="A1295" s="8" t="str">
        <f>IF(COUNT($J$2:$J$1501)&gt;=1294,1294,"")</f>
        <v/>
      </c>
      <c r="B1295" s="8" t="str">
        <f t="shared" si="100"/>
        <v/>
      </c>
      <c r="C1295" s="8" t="str">
        <f t="shared" si="101"/>
        <v/>
      </c>
      <c r="D1295" s="8" t="str">
        <f t="shared" si="102"/>
        <v/>
      </c>
      <c r="F1295" s="4" t="str">
        <f>IF(Jugadores!B1295="","",Jugadores!B1295)</f>
        <v/>
      </c>
      <c r="G1295" s="4" t="str">
        <f>IF(Jugadores!B1295="","",Jugadores!A1295)</f>
        <v/>
      </c>
      <c r="H1295" s="4" t="str">
        <f>IF(F1295="","",SUMIF('Estadísticas Jugadores'!$F$2:$F$7001,F1295,'Estadísticas Jugadores'!$J$2:$J$7001))</f>
        <v/>
      </c>
      <c r="I1295" s="4" t="str">
        <f t="shared" si="103"/>
        <v/>
      </c>
      <c r="J1295" s="4" t="str">
        <f t="shared" si="104"/>
        <v/>
      </c>
    </row>
    <row r="1296" spans="1:10" ht="15" customHeight="1" x14ac:dyDescent="0.25">
      <c r="A1296" s="8" t="str">
        <f>IF(COUNT($J$2:$J$1501)&gt;=1295,1295,"")</f>
        <v/>
      </c>
      <c r="B1296" s="8" t="str">
        <f t="shared" si="100"/>
        <v/>
      </c>
      <c r="C1296" s="8" t="str">
        <f t="shared" si="101"/>
        <v/>
      </c>
      <c r="D1296" s="8" t="str">
        <f t="shared" si="102"/>
        <v/>
      </c>
      <c r="F1296" s="4" t="str">
        <f>IF(Jugadores!B1296="","",Jugadores!B1296)</f>
        <v/>
      </c>
      <c r="G1296" s="4" t="str">
        <f>IF(Jugadores!B1296="","",Jugadores!A1296)</f>
        <v/>
      </c>
      <c r="H1296" s="4" t="str">
        <f>IF(F1296="","",SUMIF('Estadísticas Jugadores'!$F$2:$F$7001,F1296,'Estadísticas Jugadores'!$J$2:$J$7001))</f>
        <v/>
      </c>
      <c r="I1296" s="4" t="str">
        <f t="shared" si="103"/>
        <v/>
      </c>
      <c r="J1296" s="4" t="str">
        <f t="shared" si="104"/>
        <v/>
      </c>
    </row>
    <row r="1297" spans="1:10" ht="15" customHeight="1" x14ac:dyDescent="0.25">
      <c r="A1297" s="8" t="str">
        <f>IF(COUNT($J$2:$J$1501)&gt;=1296,1296,"")</f>
        <v/>
      </c>
      <c r="B1297" s="8" t="str">
        <f t="shared" si="100"/>
        <v/>
      </c>
      <c r="C1297" s="8" t="str">
        <f t="shared" si="101"/>
        <v/>
      </c>
      <c r="D1297" s="8" t="str">
        <f t="shared" si="102"/>
        <v/>
      </c>
      <c r="F1297" s="4" t="str">
        <f>IF(Jugadores!B1297="","",Jugadores!B1297)</f>
        <v/>
      </c>
      <c r="G1297" s="4" t="str">
        <f>IF(Jugadores!B1297="","",Jugadores!A1297)</f>
        <v/>
      </c>
      <c r="H1297" s="4" t="str">
        <f>IF(F1297="","",SUMIF('Estadísticas Jugadores'!$F$2:$F$7001,F1297,'Estadísticas Jugadores'!$J$2:$J$7001))</f>
        <v/>
      </c>
      <c r="I1297" s="4" t="str">
        <f t="shared" si="103"/>
        <v/>
      </c>
      <c r="J1297" s="4" t="str">
        <f t="shared" si="104"/>
        <v/>
      </c>
    </row>
    <row r="1298" spans="1:10" ht="15" customHeight="1" x14ac:dyDescent="0.25">
      <c r="A1298" s="8" t="str">
        <f>IF(COUNT($J$2:$J$1501)&gt;=1297,1297,"")</f>
        <v/>
      </c>
      <c r="B1298" s="8" t="str">
        <f t="shared" si="100"/>
        <v/>
      </c>
      <c r="C1298" s="8" t="str">
        <f t="shared" si="101"/>
        <v/>
      </c>
      <c r="D1298" s="8" t="str">
        <f t="shared" si="102"/>
        <v/>
      </c>
      <c r="F1298" s="4" t="str">
        <f>IF(Jugadores!B1298="","",Jugadores!B1298)</f>
        <v/>
      </c>
      <c r="G1298" s="4" t="str">
        <f>IF(Jugadores!B1298="","",Jugadores!A1298)</f>
        <v/>
      </c>
      <c r="H1298" s="4" t="str">
        <f>IF(F1298="","",SUMIF('Estadísticas Jugadores'!$F$2:$F$7001,F1298,'Estadísticas Jugadores'!$J$2:$J$7001))</f>
        <v/>
      </c>
      <c r="I1298" s="4" t="str">
        <f t="shared" si="103"/>
        <v/>
      </c>
      <c r="J1298" s="4" t="str">
        <f t="shared" si="104"/>
        <v/>
      </c>
    </row>
    <row r="1299" spans="1:10" ht="15" customHeight="1" x14ac:dyDescent="0.25">
      <c r="A1299" s="8" t="str">
        <f>IF(COUNT($J$2:$J$1501)&gt;=1298,1298,"")</f>
        <v/>
      </c>
      <c r="B1299" s="8" t="str">
        <f t="shared" si="100"/>
        <v/>
      </c>
      <c r="C1299" s="8" t="str">
        <f t="shared" si="101"/>
        <v/>
      </c>
      <c r="D1299" s="8" t="str">
        <f t="shared" si="102"/>
        <v/>
      </c>
      <c r="F1299" s="4" t="str">
        <f>IF(Jugadores!B1299="","",Jugadores!B1299)</f>
        <v/>
      </c>
      <c r="G1299" s="4" t="str">
        <f>IF(Jugadores!B1299="","",Jugadores!A1299)</f>
        <v/>
      </c>
      <c r="H1299" s="4" t="str">
        <f>IF(F1299="","",SUMIF('Estadísticas Jugadores'!$F$2:$F$7001,F1299,'Estadísticas Jugadores'!$J$2:$J$7001))</f>
        <v/>
      </c>
      <c r="I1299" s="4" t="str">
        <f t="shared" si="103"/>
        <v/>
      </c>
      <c r="J1299" s="4" t="str">
        <f t="shared" si="104"/>
        <v/>
      </c>
    </row>
    <row r="1300" spans="1:10" ht="15" customHeight="1" x14ac:dyDescent="0.25">
      <c r="A1300" s="8" t="str">
        <f>IF(COUNT($J$2:$J$1501)&gt;=1299,1299,"")</f>
        <v/>
      </c>
      <c r="B1300" s="8" t="str">
        <f t="shared" si="100"/>
        <v/>
      </c>
      <c r="C1300" s="8" t="str">
        <f t="shared" si="101"/>
        <v/>
      </c>
      <c r="D1300" s="8" t="str">
        <f t="shared" si="102"/>
        <v/>
      </c>
      <c r="F1300" s="4" t="str">
        <f>IF(Jugadores!B1300="","",Jugadores!B1300)</f>
        <v/>
      </c>
      <c r="G1300" s="4" t="str">
        <f>IF(Jugadores!B1300="","",Jugadores!A1300)</f>
        <v/>
      </c>
      <c r="H1300" s="4" t="str">
        <f>IF(F1300="","",SUMIF('Estadísticas Jugadores'!$F$2:$F$7001,F1300,'Estadísticas Jugadores'!$J$2:$J$7001))</f>
        <v/>
      </c>
      <c r="I1300" s="4" t="str">
        <f t="shared" si="103"/>
        <v/>
      </c>
      <c r="J1300" s="4" t="str">
        <f t="shared" si="104"/>
        <v/>
      </c>
    </row>
    <row r="1301" spans="1:10" ht="15" customHeight="1" x14ac:dyDescent="0.25">
      <c r="A1301" s="8" t="str">
        <f>IF(COUNT($J$2:$J$1501)&gt;=1300,1300,"")</f>
        <v/>
      </c>
      <c r="B1301" s="8" t="str">
        <f t="shared" si="100"/>
        <v/>
      </c>
      <c r="C1301" s="8" t="str">
        <f t="shared" si="101"/>
        <v/>
      </c>
      <c r="D1301" s="8" t="str">
        <f t="shared" si="102"/>
        <v/>
      </c>
      <c r="F1301" s="4" t="str">
        <f>IF(Jugadores!B1301="","",Jugadores!B1301)</f>
        <v/>
      </c>
      <c r="G1301" s="4" t="str">
        <f>IF(Jugadores!B1301="","",Jugadores!A1301)</f>
        <v/>
      </c>
      <c r="H1301" s="4" t="str">
        <f>IF(F1301="","",SUMIF('Estadísticas Jugadores'!$F$2:$F$7001,F1301,'Estadísticas Jugadores'!$J$2:$J$7001))</f>
        <v/>
      </c>
      <c r="I1301" s="4" t="str">
        <f t="shared" si="103"/>
        <v/>
      </c>
      <c r="J1301" s="4" t="str">
        <f t="shared" si="104"/>
        <v/>
      </c>
    </row>
    <row r="1302" spans="1:10" ht="15" customHeight="1" x14ac:dyDescent="0.25">
      <c r="A1302" s="8" t="str">
        <f>IF(COUNT($J$2:$J$1501)&gt;=1301,1301,"")</f>
        <v/>
      </c>
      <c r="B1302" s="8" t="str">
        <f t="shared" si="100"/>
        <v/>
      </c>
      <c r="C1302" s="8" t="str">
        <f t="shared" si="101"/>
        <v/>
      </c>
      <c r="D1302" s="8" t="str">
        <f t="shared" si="102"/>
        <v/>
      </c>
      <c r="F1302" s="4" t="str">
        <f>IF(Jugadores!B1302="","",Jugadores!B1302)</f>
        <v/>
      </c>
      <c r="G1302" s="4" t="str">
        <f>IF(Jugadores!B1302="","",Jugadores!A1302)</f>
        <v/>
      </c>
      <c r="H1302" s="4" t="str">
        <f>IF(F1302="","",SUMIF('Estadísticas Jugadores'!$F$2:$F$7001,F1302,'Estadísticas Jugadores'!$J$2:$J$7001))</f>
        <v/>
      </c>
      <c r="I1302" s="4" t="str">
        <f t="shared" si="103"/>
        <v/>
      </c>
      <c r="J1302" s="4" t="str">
        <f t="shared" si="104"/>
        <v/>
      </c>
    </row>
    <row r="1303" spans="1:10" ht="15" customHeight="1" x14ac:dyDescent="0.25">
      <c r="A1303" s="8" t="str">
        <f>IF(COUNT($J$2:$J$1501)&gt;=1302,1302,"")</f>
        <v/>
      </c>
      <c r="B1303" s="8" t="str">
        <f t="shared" si="100"/>
        <v/>
      </c>
      <c r="C1303" s="8" t="str">
        <f t="shared" si="101"/>
        <v/>
      </c>
      <c r="D1303" s="8" t="str">
        <f t="shared" si="102"/>
        <v/>
      </c>
      <c r="F1303" s="4" t="str">
        <f>IF(Jugadores!B1303="","",Jugadores!B1303)</f>
        <v/>
      </c>
      <c r="G1303" s="4" t="str">
        <f>IF(Jugadores!B1303="","",Jugadores!A1303)</f>
        <v/>
      </c>
      <c r="H1303" s="4" t="str">
        <f>IF(F1303="","",SUMIF('Estadísticas Jugadores'!$F$2:$F$7001,F1303,'Estadísticas Jugadores'!$J$2:$J$7001))</f>
        <v/>
      </c>
      <c r="I1303" s="4" t="str">
        <f t="shared" si="103"/>
        <v/>
      </c>
      <c r="J1303" s="4" t="str">
        <f t="shared" si="104"/>
        <v/>
      </c>
    </row>
    <row r="1304" spans="1:10" ht="15" customHeight="1" x14ac:dyDescent="0.25">
      <c r="A1304" s="8" t="str">
        <f>IF(COUNT($J$2:$J$1501)&gt;=1303,1303,"")</f>
        <v/>
      </c>
      <c r="B1304" s="8" t="str">
        <f t="shared" si="100"/>
        <v/>
      </c>
      <c r="C1304" s="8" t="str">
        <f t="shared" si="101"/>
        <v/>
      </c>
      <c r="D1304" s="8" t="str">
        <f t="shared" si="102"/>
        <v/>
      </c>
      <c r="F1304" s="4" t="str">
        <f>IF(Jugadores!B1304="","",Jugadores!B1304)</f>
        <v/>
      </c>
      <c r="G1304" s="4" t="str">
        <f>IF(Jugadores!B1304="","",Jugadores!A1304)</f>
        <v/>
      </c>
      <c r="H1304" s="4" t="str">
        <f>IF(F1304="","",SUMIF('Estadísticas Jugadores'!$F$2:$F$7001,F1304,'Estadísticas Jugadores'!$J$2:$J$7001))</f>
        <v/>
      </c>
      <c r="I1304" s="4" t="str">
        <f t="shared" si="103"/>
        <v/>
      </c>
      <c r="J1304" s="4" t="str">
        <f t="shared" si="104"/>
        <v/>
      </c>
    </row>
    <row r="1305" spans="1:10" ht="15" customHeight="1" x14ac:dyDescent="0.25">
      <c r="A1305" s="8" t="str">
        <f>IF(COUNT($J$2:$J$1501)&gt;=1304,1304,"")</f>
        <v/>
      </c>
      <c r="B1305" s="8" t="str">
        <f t="shared" si="100"/>
        <v/>
      </c>
      <c r="C1305" s="8" t="str">
        <f t="shared" si="101"/>
        <v/>
      </c>
      <c r="D1305" s="8" t="str">
        <f t="shared" si="102"/>
        <v/>
      </c>
      <c r="F1305" s="4" t="str">
        <f>IF(Jugadores!B1305="","",Jugadores!B1305)</f>
        <v/>
      </c>
      <c r="G1305" s="4" t="str">
        <f>IF(Jugadores!B1305="","",Jugadores!A1305)</f>
        <v/>
      </c>
      <c r="H1305" s="4" t="str">
        <f>IF(F1305="","",SUMIF('Estadísticas Jugadores'!$F$2:$F$7001,F1305,'Estadísticas Jugadores'!$J$2:$J$7001))</f>
        <v/>
      </c>
      <c r="I1305" s="4" t="str">
        <f t="shared" si="103"/>
        <v/>
      </c>
      <c r="J1305" s="4" t="str">
        <f t="shared" si="104"/>
        <v/>
      </c>
    </row>
    <row r="1306" spans="1:10" ht="15" customHeight="1" x14ac:dyDescent="0.25">
      <c r="A1306" s="8" t="str">
        <f>IF(COUNT($J$2:$J$1501)&gt;=1305,1305,"")</f>
        <v/>
      </c>
      <c r="B1306" s="8" t="str">
        <f t="shared" si="100"/>
        <v/>
      </c>
      <c r="C1306" s="8" t="str">
        <f t="shared" si="101"/>
        <v/>
      </c>
      <c r="D1306" s="8" t="str">
        <f t="shared" si="102"/>
        <v/>
      </c>
      <c r="F1306" s="4" t="str">
        <f>IF(Jugadores!B1306="","",Jugadores!B1306)</f>
        <v/>
      </c>
      <c r="G1306" s="4" t="str">
        <f>IF(Jugadores!B1306="","",Jugadores!A1306)</f>
        <v/>
      </c>
      <c r="H1306" s="4" t="str">
        <f>IF(F1306="","",SUMIF('Estadísticas Jugadores'!$F$2:$F$7001,F1306,'Estadísticas Jugadores'!$J$2:$J$7001))</f>
        <v/>
      </c>
      <c r="I1306" s="4" t="str">
        <f t="shared" si="103"/>
        <v/>
      </c>
      <c r="J1306" s="4" t="str">
        <f t="shared" si="104"/>
        <v/>
      </c>
    </row>
    <row r="1307" spans="1:10" ht="15" customHeight="1" x14ac:dyDescent="0.25">
      <c r="A1307" s="8" t="str">
        <f>IF(COUNT($J$2:$J$1501)&gt;=1306,1306,"")</f>
        <v/>
      </c>
      <c r="B1307" s="8" t="str">
        <f t="shared" si="100"/>
        <v/>
      </c>
      <c r="C1307" s="8" t="str">
        <f t="shared" si="101"/>
        <v/>
      </c>
      <c r="D1307" s="8" t="str">
        <f t="shared" si="102"/>
        <v/>
      </c>
      <c r="F1307" s="4" t="str">
        <f>IF(Jugadores!B1307="","",Jugadores!B1307)</f>
        <v/>
      </c>
      <c r="G1307" s="4" t="str">
        <f>IF(Jugadores!B1307="","",Jugadores!A1307)</f>
        <v/>
      </c>
      <c r="H1307" s="4" t="str">
        <f>IF(F1307="","",SUMIF('Estadísticas Jugadores'!$F$2:$F$7001,F1307,'Estadísticas Jugadores'!$J$2:$J$7001))</f>
        <v/>
      </c>
      <c r="I1307" s="4" t="str">
        <f t="shared" si="103"/>
        <v/>
      </c>
      <c r="J1307" s="4" t="str">
        <f t="shared" si="104"/>
        <v/>
      </c>
    </row>
    <row r="1308" spans="1:10" ht="15" customHeight="1" x14ac:dyDescent="0.25">
      <c r="A1308" s="8" t="str">
        <f>IF(COUNT($J$2:$J$1501)&gt;=1307,1307,"")</f>
        <v/>
      </c>
      <c r="B1308" s="8" t="str">
        <f t="shared" si="100"/>
        <v/>
      </c>
      <c r="C1308" s="8" t="str">
        <f t="shared" si="101"/>
        <v/>
      </c>
      <c r="D1308" s="8" t="str">
        <f t="shared" si="102"/>
        <v/>
      </c>
      <c r="F1308" s="4" t="str">
        <f>IF(Jugadores!B1308="","",Jugadores!B1308)</f>
        <v/>
      </c>
      <c r="G1308" s="4" t="str">
        <f>IF(Jugadores!B1308="","",Jugadores!A1308)</f>
        <v/>
      </c>
      <c r="H1308" s="4" t="str">
        <f>IF(F1308="","",SUMIF('Estadísticas Jugadores'!$F$2:$F$7001,F1308,'Estadísticas Jugadores'!$J$2:$J$7001))</f>
        <v/>
      </c>
      <c r="I1308" s="4" t="str">
        <f t="shared" si="103"/>
        <v/>
      </c>
      <c r="J1308" s="4" t="str">
        <f t="shared" si="104"/>
        <v/>
      </c>
    </row>
    <row r="1309" spans="1:10" ht="15" customHeight="1" x14ac:dyDescent="0.25">
      <c r="A1309" s="8" t="str">
        <f>IF(COUNT($J$2:$J$1501)&gt;=1308,1308,"")</f>
        <v/>
      </c>
      <c r="B1309" s="8" t="str">
        <f t="shared" si="100"/>
        <v/>
      </c>
      <c r="C1309" s="8" t="str">
        <f t="shared" si="101"/>
        <v/>
      </c>
      <c r="D1309" s="8" t="str">
        <f t="shared" si="102"/>
        <v/>
      </c>
      <c r="F1309" s="4" t="str">
        <f>IF(Jugadores!B1309="","",Jugadores!B1309)</f>
        <v/>
      </c>
      <c r="G1309" s="4" t="str">
        <f>IF(Jugadores!B1309="","",Jugadores!A1309)</f>
        <v/>
      </c>
      <c r="H1309" s="4" t="str">
        <f>IF(F1309="","",SUMIF('Estadísticas Jugadores'!$F$2:$F$7001,F1309,'Estadísticas Jugadores'!$J$2:$J$7001))</f>
        <v/>
      </c>
      <c r="I1309" s="4" t="str">
        <f t="shared" si="103"/>
        <v/>
      </c>
      <c r="J1309" s="4" t="str">
        <f t="shared" si="104"/>
        <v/>
      </c>
    </row>
    <row r="1310" spans="1:10" ht="15" customHeight="1" x14ac:dyDescent="0.25">
      <c r="A1310" s="8" t="str">
        <f>IF(COUNT($J$2:$J$1501)&gt;=1309,1309,"")</f>
        <v/>
      </c>
      <c r="B1310" s="8" t="str">
        <f t="shared" si="100"/>
        <v/>
      </c>
      <c r="C1310" s="8" t="str">
        <f t="shared" si="101"/>
        <v/>
      </c>
      <c r="D1310" s="8" t="str">
        <f t="shared" si="102"/>
        <v/>
      </c>
      <c r="F1310" s="4" t="str">
        <f>IF(Jugadores!B1310="","",Jugadores!B1310)</f>
        <v/>
      </c>
      <c r="G1310" s="4" t="str">
        <f>IF(Jugadores!B1310="","",Jugadores!A1310)</f>
        <v/>
      </c>
      <c r="H1310" s="4" t="str">
        <f>IF(F1310="","",SUMIF('Estadísticas Jugadores'!$F$2:$F$7001,F1310,'Estadísticas Jugadores'!$J$2:$J$7001))</f>
        <v/>
      </c>
      <c r="I1310" s="4" t="str">
        <f t="shared" si="103"/>
        <v/>
      </c>
      <c r="J1310" s="4" t="str">
        <f t="shared" si="104"/>
        <v/>
      </c>
    </row>
    <row r="1311" spans="1:10" ht="15" customHeight="1" x14ac:dyDescent="0.25">
      <c r="A1311" s="8" t="str">
        <f>IF(COUNT($J$2:$J$1501)&gt;=1310,1310,"")</f>
        <v/>
      </c>
      <c r="B1311" s="8" t="str">
        <f t="shared" si="100"/>
        <v/>
      </c>
      <c r="C1311" s="8" t="str">
        <f t="shared" si="101"/>
        <v/>
      </c>
      <c r="D1311" s="8" t="str">
        <f t="shared" si="102"/>
        <v/>
      </c>
      <c r="F1311" s="4" t="str">
        <f>IF(Jugadores!B1311="","",Jugadores!B1311)</f>
        <v/>
      </c>
      <c r="G1311" s="4" t="str">
        <f>IF(Jugadores!B1311="","",Jugadores!A1311)</f>
        <v/>
      </c>
      <c r="H1311" s="4" t="str">
        <f>IF(F1311="","",SUMIF('Estadísticas Jugadores'!$F$2:$F$7001,F1311,'Estadísticas Jugadores'!$J$2:$J$7001))</f>
        <v/>
      </c>
      <c r="I1311" s="4" t="str">
        <f t="shared" si="103"/>
        <v/>
      </c>
      <c r="J1311" s="4" t="str">
        <f t="shared" si="104"/>
        <v/>
      </c>
    </row>
    <row r="1312" spans="1:10" ht="15" customHeight="1" x14ac:dyDescent="0.25">
      <c r="A1312" s="8" t="str">
        <f>IF(COUNT($J$2:$J$1501)&gt;=1311,1311,"")</f>
        <v/>
      </c>
      <c r="B1312" s="8" t="str">
        <f t="shared" si="100"/>
        <v/>
      </c>
      <c r="C1312" s="8" t="str">
        <f t="shared" si="101"/>
        <v/>
      </c>
      <c r="D1312" s="8" t="str">
        <f t="shared" si="102"/>
        <v/>
      </c>
      <c r="F1312" s="4" t="str">
        <f>IF(Jugadores!B1312="","",Jugadores!B1312)</f>
        <v/>
      </c>
      <c r="G1312" s="4" t="str">
        <f>IF(Jugadores!B1312="","",Jugadores!A1312)</f>
        <v/>
      </c>
      <c r="H1312" s="4" t="str">
        <f>IF(F1312="","",SUMIF('Estadísticas Jugadores'!$F$2:$F$7001,F1312,'Estadísticas Jugadores'!$J$2:$J$7001))</f>
        <v/>
      </c>
      <c r="I1312" s="4" t="str">
        <f t="shared" si="103"/>
        <v/>
      </c>
      <c r="J1312" s="4" t="str">
        <f t="shared" si="104"/>
        <v/>
      </c>
    </row>
    <row r="1313" spans="1:10" ht="15" customHeight="1" x14ac:dyDescent="0.25">
      <c r="A1313" s="8" t="str">
        <f>IF(COUNT($J$2:$J$1501)&gt;=1312,1312,"")</f>
        <v/>
      </c>
      <c r="B1313" s="8" t="str">
        <f t="shared" si="100"/>
        <v/>
      </c>
      <c r="C1313" s="8" t="str">
        <f t="shared" si="101"/>
        <v/>
      </c>
      <c r="D1313" s="8" t="str">
        <f t="shared" si="102"/>
        <v/>
      </c>
      <c r="F1313" s="4" t="str">
        <f>IF(Jugadores!B1313="","",Jugadores!B1313)</f>
        <v/>
      </c>
      <c r="G1313" s="4" t="str">
        <f>IF(Jugadores!B1313="","",Jugadores!A1313)</f>
        <v/>
      </c>
      <c r="H1313" s="4" t="str">
        <f>IF(F1313="","",SUMIF('Estadísticas Jugadores'!$F$2:$F$7001,F1313,'Estadísticas Jugadores'!$J$2:$J$7001))</f>
        <v/>
      </c>
      <c r="I1313" s="4" t="str">
        <f t="shared" si="103"/>
        <v/>
      </c>
      <c r="J1313" s="4" t="str">
        <f t="shared" si="104"/>
        <v/>
      </c>
    </row>
    <row r="1314" spans="1:10" ht="15" customHeight="1" x14ac:dyDescent="0.25">
      <c r="A1314" s="8" t="str">
        <f>IF(COUNT($J$2:$J$1501)&gt;=1313,1313,"")</f>
        <v/>
      </c>
      <c r="B1314" s="8" t="str">
        <f t="shared" si="100"/>
        <v/>
      </c>
      <c r="C1314" s="8" t="str">
        <f t="shared" si="101"/>
        <v/>
      </c>
      <c r="D1314" s="8" t="str">
        <f t="shared" si="102"/>
        <v/>
      </c>
      <c r="F1314" s="4" t="str">
        <f>IF(Jugadores!B1314="","",Jugadores!B1314)</f>
        <v/>
      </c>
      <c r="G1314" s="4" t="str">
        <f>IF(Jugadores!B1314="","",Jugadores!A1314)</f>
        <v/>
      </c>
      <c r="H1314" s="4" t="str">
        <f>IF(F1314="","",SUMIF('Estadísticas Jugadores'!$F$2:$F$7001,F1314,'Estadísticas Jugadores'!$J$2:$J$7001))</f>
        <v/>
      </c>
      <c r="I1314" s="4" t="str">
        <f t="shared" si="103"/>
        <v/>
      </c>
      <c r="J1314" s="4" t="str">
        <f t="shared" si="104"/>
        <v/>
      </c>
    </row>
    <row r="1315" spans="1:10" ht="15" customHeight="1" x14ac:dyDescent="0.25">
      <c r="A1315" s="8" t="str">
        <f>IF(COUNT($J$2:$J$1501)&gt;=1314,1314,"")</f>
        <v/>
      </c>
      <c r="B1315" s="8" t="str">
        <f t="shared" si="100"/>
        <v/>
      </c>
      <c r="C1315" s="8" t="str">
        <f t="shared" si="101"/>
        <v/>
      </c>
      <c r="D1315" s="8" t="str">
        <f t="shared" si="102"/>
        <v/>
      </c>
      <c r="F1315" s="4" t="str">
        <f>IF(Jugadores!B1315="","",Jugadores!B1315)</f>
        <v/>
      </c>
      <c r="G1315" s="4" t="str">
        <f>IF(Jugadores!B1315="","",Jugadores!A1315)</f>
        <v/>
      </c>
      <c r="H1315" s="4" t="str">
        <f>IF(F1315="","",SUMIF('Estadísticas Jugadores'!$F$2:$F$7001,F1315,'Estadísticas Jugadores'!$J$2:$J$7001))</f>
        <v/>
      </c>
      <c r="I1315" s="4" t="str">
        <f t="shared" si="103"/>
        <v/>
      </c>
      <c r="J1315" s="4" t="str">
        <f t="shared" si="104"/>
        <v/>
      </c>
    </row>
    <row r="1316" spans="1:10" ht="15" customHeight="1" x14ac:dyDescent="0.25">
      <c r="A1316" s="8" t="str">
        <f>IF(COUNT($J$2:$J$1501)&gt;=1315,1315,"")</f>
        <v/>
      </c>
      <c r="B1316" s="8" t="str">
        <f t="shared" si="100"/>
        <v/>
      </c>
      <c r="C1316" s="8" t="str">
        <f t="shared" si="101"/>
        <v/>
      </c>
      <c r="D1316" s="8" t="str">
        <f t="shared" si="102"/>
        <v/>
      </c>
      <c r="F1316" s="4" t="str">
        <f>IF(Jugadores!B1316="","",Jugadores!B1316)</f>
        <v/>
      </c>
      <c r="G1316" s="4" t="str">
        <f>IF(Jugadores!B1316="","",Jugadores!A1316)</f>
        <v/>
      </c>
      <c r="H1316" s="4" t="str">
        <f>IF(F1316="","",SUMIF('Estadísticas Jugadores'!$F$2:$F$7001,F1316,'Estadísticas Jugadores'!$J$2:$J$7001))</f>
        <v/>
      </c>
      <c r="I1316" s="4" t="str">
        <f t="shared" si="103"/>
        <v/>
      </c>
      <c r="J1316" s="4" t="str">
        <f t="shared" si="104"/>
        <v/>
      </c>
    </row>
    <row r="1317" spans="1:10" ht="15" customHeight="1" x14ac:dyDescent="0.25">
      <c r="A1317" s="8" t="str">
        <f>IF(COUNT($J$2:$J$1501)&gt;=1316,1316,"")</f>
        <v/>
      </c>
      <c r="B1317" s="8" t="str">
        <f t="shared" si="100"/>
        <v/>
      </c>
      <c r="C1317" s="8" t="str">
        <f t="shared" si="101"/>
        <v/>
      </c>
      <c r="D1317" s="8" t="str">
        <f t="shared" si="102"/>
        <v/>
      </c>
      <c r="F1317" s="4" t="str">
        <f>IF(Jugadores!B1317="","",Jugadores!B1317)</f>
        <v/>
      </c>
      <c r="G1317" s="4" t="str">
        <f>IF(Jugadores!B1317="","",Jugadores!A1317)</f>
        <v/>
      </c>
      <c r="H1317" s="4" t="str">
        <f>IF(F1317="","",SUMIF('Estadísticas Jugadores'!$F$2:$F$7001,F1317,'Estadísticas Jugadores'!$J$2:$J$7001))</f>
        <v/>
      </c>
      <c r="I1317" s="4" t="str">
        <f t="shared" si="103"/>
        <v/>
      </c>
      <c r="J1317" s="4" t="str">
        <f t="shared" si="104"/>
        <v/>
      </c>
    </row>
    <row r="1318" spans="1:10" ht="15" customHeight="1" x14ac:dyDescent="0.25">
      <c r="A1318" s="8" t="str">
        <f>IF(COUNT($J$2:$J$1501)&gt;=1317,1317,"")</f>
        <v/>
      </c>
      <c r="B1318" s="8" t="str">
        <f t="shared" si="100"/>
        <v/>
      </c>
      <c r="C1318" s="8" t="str">
        <f t="shared" si="101"/>
        <v/>
      </c>
      <c r="D1318" s="8" t="str">
        <f t="shared" si="102"/>
        <v/>
      </c>
      <c r="F1318" s="4" t="str">
        <f>IF(Jugadores!B1318="","",Jugadores!B1318)</f>
        <v/>
      </c>
      <c r="G1318" s="4" t="str">
        <f>IF(Jugadores!B1318="","",Jugadores!A1318)</f>
        <v/>
      </c>
      <c r="H1318" s="4" t="str">
        <f>IF(F1318="","",SUMIF('Estadísticas Jugadores'!$F$2:$F$7001,F1318,'Estadísticas Jugadores'!$J$2:$J$7001))</f>
        <v/>
      </c>
      <c r="I1318" s="4" t="str">
        <f t="shared" si="103"/>
        <v/>
      </c>
      <c r="J1318" s="4" t="str">
        <f t="shared" si="104"/>
        <v/>
      </c>
    </row>
    <row r="1319" spans="1:10" ht="15" customHeight="1" x14ac:dyDescent="0.25">
      <c r="A1319" s="8" t="str">
        <f>IF(COUNT($J$2:$J$1501)&gt;=1318,1318,"")</f>
        <v/>
      </c>
      <c r="B1319" s="8" t="str">
        <f t="shared" si="100"/>
        <v/>
      </c>
      <c r="C1319" s="8" t="str">
        <f t="shared" si="101"/>
        <v/>
      </c>
      <c r="D1319" s="8" t="str">
        <f t="shared" si="102"/>
        <v/>
      </c>
      <c r="F1319" s="4" t="str">
        <f>IF(Jugadores!B1319="","",Jugadores!B1319)</f>
        <v/>
      </c>
      <c r="G1319" s="4" t="str">
        <f>IF(Jugadores!B1319="","",Jugadores!A1319)</f>
        <v/>
      </c>
      <c r="H1319" s="4" t="str">
        <f>IF(F1319="","",SUMIF('Estadísticas Jugadores'!$F$2:$F$7001,F1319,'Estadísticas Jugadores'!$J$2:$J$7001))</f>
        <v/>
      </c>
      <c r="I1319" s="4" t="str">
        <f t="shared" si="103"/>
        <v/>
      </c>
      <c r="J1319" s="4" t="str">
        <f t="shared" si="104"/>
        <v/>
      </c>
    </row>
    <row r="1320" spans="1:10" ht="15" customHeight="1" x14ac:dyDescent="0.25">
      <c r="A1320" s="8" t="str">
        <f>IF(COUNT($J$2:$J$1501)&gt;=1319,1319,"")</f>
        <v/>
      </c>
      <c r="B1320" s="8" t="str">
        <f t="shared" si="100"/>
        <v/>
      </c>
      <c r="C1320" s="8" t="str">
        <f t="shared" si="101"/>
        <v/>
      </c>
      <c r="D1320" s="8" t="str">
        <f t="shared" si="102"/>
        <v/>
      </c>
      <c r="F1320" s="4" t="str">
        <f>IF(Jugadores!B1320="","",Jugadores!B1320)</f>
        <v/>
      </c>
      <c r="G1320" s="4" t="str">
        <f>IF(Jugadores!B1320="","",Jugadores!A1320)</f>
        <v/>
      </c>
      <c r="H1320" s="4" t="str">
        <f>IF(F1320="","",SUMIF('Estadísticas Jugadores'!$F$2:$F$7001,F1320,'Estadísticas Jugadores'!$J$2:$J$7001))</f>
        <v/>
      </c>
      <c r="I1320" s="4" t="str">
        <f t="shared" si="103"/>
        <v/>
      </c>
      <c r="J1320" s="4" t="str">
        <f t="shared" si="104"/>
        <v/>
      </c>
    </row>
    <row r="1321" spans="1:10" ht="15" customHeight="1" x14ac:dyDescent="0.25">
      <c r="A1321" s="8" t="str">
        <f>IF(COUNT($J$2:$J$1501)&gt;=1320,1320,"")</f>
        <v/>
      </c>
      <c r="B1321" s="8" t="str">
        <f t="shared" si="100"/>
        <v/>
      </c>
      <c r="C1321" s="8" t="str">
        <f t="shared" si="101"/>
        <v/>
      </c>
      <c r="D1321" s="8" t="str">
        <f t="shared" si="102"/>
        <v/>
      </c>
      <c r="F1321" s="4" t="str">
        <f>IF(Jugadores!B1321="","",Jugadores!B1321)</f>
        <v/>
      </c>
      <c r="G1321" s="4" t="str">
        <f>IF(Jugadores!B1321="","",Jugadores!A1321)</f>
        <v/>
      </c>
      <c r="H1321" s="4" t="str">
        <f>IF(F1321="","",SUMIF('Estadísticas Jugadores'!$F$2:$F$7001,F1321,'Estadísticas Jugadores'!$J$2:$J$7001))</f>
        <v/>
      </c>
      <c r="I1321" s="4" t="str">
        <f t="shared" si="103"/>
        <v/>
      </c>
      <c r="J1321" s="4" t="str">
        <f t="shared" si="104"/>
        <v/>
      </c>
    </row>
    <row r="1322" spans="1:10" ht="15" customHeight="1" x14ac:dyDescent="0.25">
      <c r="A1322" s="8" t="str">
        <f>IF(COUNT($J$2:$J$1501)&gt;=1321,1321,"")</f>
        <v/>
      </c>
      <c r="B1322" s="8" t="str">
        <f t="shared" si="100"/>
        <v/>
      </c>
      <c r="C1322" s="8" t="str">
        <f t="shared" si="101"/>
        <v/>
      </c>
      <c r="D1322" s="8" t="str">
        <f t="shared" si="102"/>
        <v/>
      </c>
      <c r="F1322" s="4" t="str">
        <f>IF(Jugadores!B1322="","",Jugadores!B1322)</f>
        <v/>
      </c>
      <c r="G1322" s="4" t="str">
        <f>IF(Jugadores!B1322="","",Jugadores!A1322)</f>
        <v/>
      </c>
      <c r="H1322" s="4" t="str">
        <f>IF(F1322="","",SUMIF('Estadísticas Jugadores'!$F$2:$F$7001,F1322,'Estadísticas Jugadores'!$J$2:$J$7001))</f>
        <v/>
      </c>
      <c r="I1322" s="4" t="str">
        <f t="shared" si="103"/>
        <v/>
      </c>
      <c r="J1322" s="4" t="str">
        <f t="shared" si="104"/>
        <v/>
      </c>
    </row>
    <row r="1323" spans="1:10" ht="15" customHeight="1" x14ac:dyDescent="0.25">
      <c r="A1323" s="8" t="str">
        <f>IF(COUNT($J$2:$J$1501)&gt;=1322,1322,"")</f>
        <v/>
      </c>
      <c r="B1323" s="8" t="str">
        <f t="shared" si="100"/>
        <v/>
      </c>
      <c r="C1323" s="8" t="str">
        <f t="shared" si="101"/>
        <v/>
      </c>
      <c r="D1323" s="8" t="str">
        <f t="shared" si="102"/>
        <v/>
      </c>
      <c r="F1323" s="4" t="str">
        <f>IF(Jugadores!B1323="","",Jugadores!B1323)</f>
        <v/>
      </c>
      <c r="G1323" s="4" t="str">
        <f>IF(Jugadores!B1323="","",Jugadores!A1323)</f>
        <v/>
      </c>
      <c r="H1323" s="4" t="str">
        <f>IF(F1323="","",SUMIF('Estadísticas Jugadores'!$F$2:$F$7001,F1323,'Estadísticas Jugadores'!$J$2:$J$7001))</f>
        <v/>
      </c>
      <c r="I1323" s="4" t="str">
        <f t="shared" si="103"/>
        <v/>
      </c>
      <c r="J1323" s="4" t="str">
        <f t="shared" si="104"/>
        <v/>
      </c>
    </row>
    <row r="1324" spans="1:10" ht="15" customHeight="1" x14ac:dyDescent="0.25">
      <c r="A1324" s="8" t="str">
        <f>IF(COUNT($J$2:$J$1501)&gt;=1323,1323,"")</f>
        <v/>
      </c>
      <c r="B1324" s="8" t="str">
        <f t="shared" si="100"/>
        <v/>
      </c>
      <c r="C1324" s="8" t="str">
        <f t="shared" si="101"/>
        <v/>
      </c>
      <c r="D1324" s="8" t="str">
        <f t="shared" si="102"/>
        <v/>
      </c>
      <c r="F1324" s="4" t="str">
        <f>IF(Jugadores!B1324="","",Jugadores!B1324)</f>
        <v/>
      </c>
      <c r="G1324" s="4" t="str">
        <f>IF(Jugadores!B1324="","",Jugadores!A1324)</f>
        <v/>
      </c>
      <c r="H1324" s="4" t="str">
        <f>IF(F1324="","",SUMIF('Estadísticas Jugadores'!$F$2:$F$7001,F1324,'Estadísticas Jugadores'!$J$2:$J$7001))</f>
        <v/>
      </c>
      <c r="I1324" s="4" t="str">
        <f t="shared" si="103"/>
        <v/>
      </c>
      <c r="J1324" s="4" t="str">
        <f t="shared" si="104"/>
        <v/>
      </c>
    </row>
    <row r="1325" spans="1:10" ht="15" customHeight="1" x14ac:dyDescent="0.25">
      <c r="A1325" s="8" t="str">
        <f>IF(COUNT($J$2:$J$1501)&gt;=1324,1324,"")</f>
        <v/>
      </c>
      <c r="B1325" s="8" t="str">
        <f t="shared" si="100"/>
        <v/>
      </c>
      <c r="C1325" s="8" t="str">
        <f t="shared" si="101"/>
        <v/>
      </c>
      <c r="D1325" s="8" t="str">
        <f t="shared" si="102"/>
        <v/>
      </c>
      <c r="F1325" s="4" t="str">
        <f>IF(Jugadores!B1325="","",Jugadores!B1325)</f>
        <v/>
      </c>
      <c r="G1325" s="4" t="str">
        <f>IF(Jugadores!B1325="","",Jugadores!A1325)</f>
        <v/>
      </c>
      <c r="H1325" s="4" t="str">
        <f>IF(F1325="","",SUMIF('Estadísticas Jugadores'!$F$2:$F$7001,F1325,'Estadísticas Jugadores'!$J$2:$J$7001))</f>
        <v/>
      </c>
      <c r="I1325" s="4" t="str">
        <f t="shared" si="103"/>
        <v/>
      </c>
      <c r="J1325" s="4" t="str">
        <f t="shared" si="104"/>
        <v/>
      </c>
    </row>
    <row r="1326" spans="1:10" ht="15" customHeight="1" x14ac:dyDescent="0.25">
      <c r="A1326" s="8" t="str">
        <f>IF(COUNT($J$2:$J$1501)&gt;=1325,1325,"")</f>
        <v/>
      </c>
      <c r="B1326" s="8" t="str">
        <f t="shared" si="100"/>
        <v/>
      </c>
      <c r="C1326" s="8" t="str">
        <f t="shared" si="101"/>
        <v/>
      </c>
      <c r="D1326" s="8" t="str">
        <f t="shared" si="102"/>
        <v/>
      </c>
      <c r="F1326" s="4" t="str">
        <f>IF(Jugadores!B1326="","",Jugadores!B1326)</f>
        <v/>
      </c>
      <c r="G1326" s="4" t="str">
        <f>IF(Jugadores!B1326="","",Jugadores!A1326)</f>
        <v/>
      </c>
      <c r="H1326" s="4" t="str">
        <f>IF(F1326="","",SUMIF('Estadísticas Jugadores'!$F$2:$F$7001,F1326,'Estadísticas Jugadores'!$J$2:$J$7001))</f>
        <v/>
      </c>
      <c r="I1326" s="4" t="str">
        <f t="shared" si="103"/>
        <v/>
      </c>
      <c r="J1326" s="4" t="str">
        <f t="shared" si="104"/>
        <v/>
      </c>
    </row>
    <row r="1327" spans="1:10" ht="15" customHeight="1" x14ac:dyDescent="0.25">
      <c r="A1327" s="8" t="str">
        <f>IF(COUNT($J$2:$J$1501)&gt;=1326,1326,"")</f>
        <v/>
      </c>
      <c r="B1327" s="8" t="str">
        <f t="shared" si="100"/>
        <v/>
      </c>
      <c r="C1327" s="8" t="str">
        <f t="shared" si="101"/>
        <v/>
      </c>
      <c r="D1327" s="8" t="str">
        <f t="shared" si="102"/>
        <v/>
      </c>
      <c r="F1327" s="4" t="str">
        <f>IF(Jugadores!B1327="","",Jugadores!B1327)</f>
        <v/>
      </c>
      <c r="G1327" s="4" t="str">
        <f>IF(Jugadores!B1327="","",Jugadores!A1327)</f>
        <v/>
      </c>
      <c r="H1327" s="4" t="str">
        <f>IF(F1327="","",SUMIF('Estadísticas Jugadores'!$F$2:$F$7001,F1327,'Estadísticas Jugadores'!$J$2:$J$7001))</f>
        <v/>
      </c>
      <c r="I1327" s="4" t="str">
        <f t="shared" si="103"/>
        <v/>
      </c>
      <c r="J1327" s="4" t="str">
        <f t="shared" si="104"/>
        <v/>
      </c>
    </row>
    <row r="1328" spans="1:10" ht="15" customHeight="1" x14ac:dyDescent="0.25">
      <c r="A1328" s="8" t="str">
        <f>IF(COUNT($J$2:$J$1501)&gt;=1327,1327,"")</f>
        <v/>
      </c>
      <c r="B1328" s="8" t="str">
        <f t="shared" si="100"/>
        <v/>
      </c>
      <c r="C1328" s="8" t="str">
        <f t="shared" si="101"/>
        <v/>
      </c>
      <c r="D1328" s="8" t="str">
        <f t="shared" si="102"/>
        <v/>
      </c>
      <c r="F1328" s="4" t="str">
        <f>IF(Jugadores!B1328="","",Jugadores!B1328)</f>
        <v/>
      </c>
      <c r="G1328" s="4" t="str">
        <f>IF(Jugadores!B1328="","",Jugadores!A1328)</f>
        <v/>
      </c>
      <c r="H1328" s="4" t="str">
        <f>IF(F1328="","",SUMIF('Estadísticas Jugadores'!$F$2:$F$7001,F1328,'Estadísticas Jugadores'!$J$2:$J$7001))</f>
        <v/>
      </c>
      <c r="I1328" s="4" t="str">
        <f t="shared" si="103"/>
        <v/>
      </c>
      <c r="J1328" s="4" t="str">
        <f t="shared" si="104"/>
        <v/>
      </c>
    </row>
    <row r="1329" spans="1:10" ht="15" customHeight="1" x14ac:dyDescent="0.25">
      <c r="A1329" s="8" t="str">
        <f>IF(COUNT($J$2:$J$1501)&gt;=1328,1328,"")</f>
        <v/>
      </c>
      <c r="B1329" s="8" t="str">
        <f t="shared" si="100"/>
        <v/>
      </c>
      <c r="C1329" s="8" t="str">
        <f t="shared" si="101"/>
        <v/>
      </c>
      <c r="D1329" s="8" t="str">
        <f t="shared" si="102"/>
        <v/>
      </c>
      <c r="F1329" s="4" t="str">
        <f>IF(Jugadores!B1329="","",Jugadores!B1329)</f>
        <v/>
      </c>
      <c r="G1329" s="4" t="str">
        <f>IF(Jugadores!B1329="","",Jugadores!A1329)</f>
        <v/>
      </c>
      <c r="H1329" s="4" t="str">
        <f>IF(F1329="","",SUMIF('Estadísticas Jugadores'!$F$2:$F$7001,F1329,'Estadísticas Jugadores'!$J$2:$J$7001))</f>
        <v/>
      </c>
      <c r="I1329" s="4" t="str">
        <f t="shared" si="103"/>
        <v/>
      </c>
      <c r="J1329" s="4" t="str">
        <f t="shared" si="104"/>
        <v/>
      </c>
    </row>
    <row r="1330" spans="1:10" ht="15" customHeight="1" x14ac:dyDescent="0.25">
      <c r="A1330" s="8" t="str">
        <f>IF(COUNT($J$2:$J$1501)&gt;=1329,1329,"")</f>
        <v/>
      </c>
      <c r="B1330" s="8" t="str">
        <f t="shared" si="100"/>
        <v/>
      </c>
      <c r="C1330" s="8" t="str">
        <f t="shared" si="101"/>
        <v/>
      </c>
      <c r="D1330" s="8" t="str">
        <f t="shared" si="102"/>
        <v/>
      </c>
      <c r="F1330" s="4" t="str">
        <f>IF(Jugadores!B1330="","",Jugadores!B1330)</f>
        <v/>
      </c>
      <c r="G1330" s="4" t="str">
        <f>IF(Jugadores!B1330="","",Jugadores!A1330)</f>
        <v/>
      </c>
      <c r="H1330" s="4" t="str">
        <f>IF(F1330="","",SUMIF('Estadísticas Jugadores'!$F$2:$F$7001,F1330,'Estadísticas Jugadores'!$J$2:$J$7001))</f>
        <v/>
      </c>
      <c r="I1330" s="4" t="str">
        <f t="shared" si="103"/>
        <v/>
      </c>
      <c r="J1330" s="4" t="str">
        <f t="shared" si="104"/>
        <v/>
      </c>
    </row>
    <row r="1331" spans="1:10" ht="15" customHeight="1" x14ac:dyDescent="0.25">
      <c r="A1331" s="8" t="str">
        <f>IF(COUNT($J$2:$J$1501)&gt;=1330,1330,"")</f>
        <v/>
      </c>
      <c r="B1331" s="8" t="str">
        <f t="shared" si="100"/>
        <v/>
      </c>
      <c r="C1331" s="8" t="str">
        <f t="shared" si="101"/>
        <v/>
      </c>
      <c r="D1331" s="8" t="str">
        <f t="shared" si="102"/>
        <v/>
      </c>
      <c r="F1331" s="4" t="str">
        <f>IF(Jugadores!B1331="","",Jugadores!B1331)</f>
        <v/>
      </c>
      <c r="G1331" s="4" t="str">
        <f>IF(Jugadores!B1331="","",Jugadores!A1331)</f>
        <v/>
      </c>
      <c r="H1331" s="4" t="str">
        <f>IF(F1331="","",SUMIF('Estadísticas Jugadores'!$F$2:$F$7001,F1331,'Estadísticas Jugadores'!$J$2:$J$7001))</f>
        <v/>
      </c>
      <c r="I1331" s="4" t="str">
        <f t="shared" si="103"/>
        <v/>
      </c>
      <c r="J1331" s="4" t="str">
        <f t="shared" si="104"/>
        <v/>
      </c>
    </row>
    <row r="1332" spans="1:10" ht="15" customHeight="1" x14ac:dyDescent="0.25">
      <c r="A1332" s="8" t="str">
        <f>IF(COUNT($J$2:$J$1501)&gt;=1331,1331,"")</f>
        <v/>
      </c>
      <c r="B1332" s="8" t="str">
        <f t="shared" si="100"/>
        <v/>
      </c>
      <c r="C1332" s="8" t="str">
        <f t="shared" si="101"/>
        <v/>
      </c>
      <c r="D1332" s="8" t="str">
        <f t="shared" si="102"/>
        <v/>
      </c>
      <c r="F1332" s="4" t="str">
        <f>IF(Jugadores!B1332="","",Jugadores!B1332)</f>
        <v/>
      </c>
      <c r="G1332" s="4" t="str">
        <f>IF(Jugadores!B1332="","",Jugadores!A1332)</f>
        <v/>
      </c>
      <c r="H1332" s="4" t="str">
        <f>IF(F1332="","",SUMIF('Estadísticas Jugadores'!$F$2:$F$7001,F1332,'Estadísticas Jugadores'!$J$2:$J$7001))</f>
        <v/>
      </c>
      <c r="I1332" s="4" t="str">
        <f t="shared" si="103"/>
        <v/>
      </c>
      <c r="J1332" s="4" t="str">
        <f t="shared" si="104"/>
        <v/>
      </c>
    </row>
    <row r="1333" spans="1:10" ht="15" customHeight="1" x14ac:dyDescent="0.25">
      <c r="A1333" s="8" t="str">
        <f>IF(COUNT($J$2:$J$1501)&gt;=1332,1332,"")</f>
        <v/>
      </c>
      <c r="B1333" s="8" t="str">
        <f t="shared" si="100"/>
        <v/>
      </c>
      <c r="C1333" s="8" t="str">
        <f t="shared" si="101"/>
        <v/>
      </c>
      <c r="D1333" s="8" t="str">
        <f t="shared" si="102"/>
        <v/>
      </c>
      <c r="F1333" s="4" t="str">
        <f>IF(Jugadores!B1333="","",Jugadores!B1333)</f>
        <v/>
      </c>
      <c r="G1333" s="4" t="str">
        <f>IF(Jugadores!B1333="","",Jugadores!A1333)</f>
        <v/>
      </c>
      <c r="H1333" s="4" t="str">
        <f>IF(F1333="","",SUMIF('Estadísticas Jugadores'!$F$2:$F$7001,F1333,'Estadísticas Jugadores'!$J$2:$J$7001))</f>
        <v/>
      </c>
      <c r="I1333" s="4" t="str">
        <f t="shared" si="103"/>
        <v/>
      </c>
      <c r="J1333" s="4" t="str">
        <f t="shared" si="104"/>
        <v/>
      </c>
    </row>
    <row r="1334" spans="1:10" ht="15" customHeight="1" x14ac:dyDescent="0.25">
      <c r="A1334" s="8" t="str">
        <f>IF(COUNT($J$2:$J$1501)&gt;=1333,1333,"")</f>
        <v/>
      </c>
      <c r="B1334" s="8" t="str">
        <f t="shared" si="100"/>
        <v/>
      </c>
      <c r="C1334" s="8" t="str">
        <f t="shared" si="101"/>
        <v/>
      </c>
      <c r="D1334" s="8" t="str">
        <f t="shared" si="102"/>
        <v/>
      </c>
      <c r="F1334" s="4" t="str">
        <f>IF(Jugadores!B1334="","",Jugadores!B1334)</f>
        <v/>
      </c>
      <c r="G1334" s="4" t="str">
        <f>IF(Jugadores!B1334="","",Jugadores!A1334)</f>
        <v/>
      </c>
      <c r="H1334" s="4" t="str">
        <f>IF(F1334="","",SUMIF('Estadísticas Jugadores'!$F$2:$F$7001,F1334,'Estadísticas Jugadores'!$J$2:$J$7001))</f>
        <v/>
      </c>
      <c r="I1334" s="4" t="str">
        <f t="shared" si="103"/>
        <v/>
      </c>
      <c r="J1334" s="4" t="str">
        <f t="shared" si="104"/>
        <v/>
      </c>
    </row>
    <row r="1335" spans="1:10" ht="15" customHeight="1" x14ac:dyDescent="0.25">
      <c r="A1335" s="8" t="str">
        <f>IF(COUNT($J$2:$J$1501)&gt;=1334,1334,"")</f>
        <v/>
      </c>
      <c r="B1335" s="8" t="str">
        <f t="shared" si="100"/>
        <v/>
      </c>
      <c r="C1335" s="8" t="str">
        <f t="shared" si="101"/>
        <v/>
      </c>
      <c r="D1335" s="8" t="str">
        <f t="shared" si="102"/>
        <v/>
      </c>
      <c r="F1335" s="4" t="str">
        <f>IF(Jugadores!B1335="","",Jugadores!B1335)</f>
        <v/>
      </c>
      <c r="G1335" s="4" t="str">
        <f>IF(Jugadores!B1335="","",Jugadores!A1335)</f>
        <v/>
      </c>
      <c r="H1335" s="4" t="str">
        <f>IF(F1335="","",SUMIF('Estadísticas Jugadores'!$F$2:$F$7001,F1335,'Estadísticas Jugadores'!$J$2:$J$7001))</f>
        <v/>
      </c>
      <c r="I1335" s="4" t="str">
        <f t="shared" si="103"/>
        <v/>
      </c>
      <c r="J1335" s="4" t="str">
        <f t="shared" si="104"/>
        <v/>
      </c>
    </row>
    <row r="1336" spans="1:10" ht="15" customHeight="1" x14ac:dyDescent="0.25">
      <c r="A1336" s="8" t="str">
        <f>IF(COUNT($J$2:$J$1501)&gt;=1335,1335,"")</f>
        <v/>
      </c>
      <c r="B1336" s="8" t="str">
        <f t="shared" si="100"/>
        <v/>
      </c>
      <c r="C1336" s="8" t="str">
        <f t="shared" si="101"/>
        <v/>
      </c>
      <c r="D1336" s="8" t="str">
        <f t="shared" si="102"/>
        <v/>
      </c>
      <c r="F1336" s="4" t="str">
        <f>IF(Jugadores!B1336="","",Jugadores!B1336)</f>
        <v/>
      </c>
      <c r="G1336" s="4" t="str">
        <f>IF(Jugadores!B1336="","",Jugadores!A1336)</f>
        <v/>
      </c>
      <c r="H1336" s="4" t="str">
        <f>IF(F1336="","",SUMIF('Estadísticas Jugadores'!$F$2:$F$7001,F1336,'Estadísticas Jugadores'!$J$2:$J$7001))</f>
        <v/>
      </c>
      <c r="I1336" s="4" t="str">
        <f t="shared" si="103"/>
        <v/>
      </c>
      <c r="J1336" s="4" t="str">
        <f t="shared" si="104"/>
        <v/>
      </c>
    </row>
    <row r="1337" spans="1:10" ht="15" customHeight="1" x14ac:dyDescent="0.25">
      <c r="A1337" s="8" t="str">
        <f>IF(COUNT($J$2:$J$1501)&gt;=1336,1336,"")</f>
        <v/>
      </c>
      <c r="B1337" s="8" t="str">
        <f t="shared" si="100"/>
        <v/>
      </c>
      <c r="C1337" s="8" t="str">
        <f t="shared" si="101"/>
        <v/>
      </c>
      <c r="D1337" s="8" t="str">
        <f t="shared" si="102"/>
        <v/>
      </c>
      <c r="F1337" s="4" t="str">
        <f>IF(Jugadores!B1337="","",Jugadores!B1337)</f>
        <v/>
      </c>
      <c r="G1337" s="4" t="str">
        <f>IF(Jugadores!B1337="","",Jugadores!A1337)</f>
        <v/>
      </c>
      <c r="H1337" s="4" t="str">
        <f>IF(F1337="","",SUMIF('Estadísticas Jugadores'!$F$2:$F$7001,F1337,'Estadísticas Jugadores'!$J$2:$J$7001))</f>
        <v/>
      </c>
      <c r="I1337" s="4" t="str">
        <f t="shared" si="103"/>
        <v/>
      </c>
      <c r="J1337" s="4" t="str">
        <f t="shared" si="104"/>
        <v/>
      </c>
    </row>
    <row r="1338" spans="1:10" ht="15" customHeight="1" x14ac:dyDescent="0.25">
      <c r="A1338" s="8" t="str">
        <f>IF(COUNT($J$2:$J$1501)&gt;=1337,1337,"")</f>
        <v/>
      </c>
      <c r="B1338" s="8" t="str">
        <f t="shared" si="100"/>
        <v/>
      </c>
      <c r="C1338" s="8" t="str">
        <f t="shared" si="101"/>
        <v/>
      </c>
      <c r="D1338" s="8" t="str">
        <f t="shared" si="102"/>
        <v/>
      </c>
      <c r="F1338" s="4" t="str">
        <f>IF(Jugadores!B1338="","",Jugadores!B1338)</f>
        <v/>
      </c>
      <c r="G1338" s="4" t="str">
        <f>IF(Jugadores!B1338="","",Jugadores!A1338)</f>
        <v/>
      </c>
      <c r="H1338" s="4" t="str">
        <f>IF(F1338="","",SUMIF('Estadísticas Jugadores'!$F$2:$F$7001,F1338,'Estadísticas Jugadores'!$J$2:$J$7001))</f>
        <v/>
      </c>
      <c r="I1338" s="4" t="str">
        <f t="shared" si="103"/>
        <v/>
      </c>
      <c r="J1338" s="4" t="str">
        <f t="shared" si="104"/>
        <v/>
      </c>
    </row>
    <row r="1339" spans="1:10" ht="15" customHeight="1" x14ac:dyDescent="0.25">
      <c r="A1339" s="8" t="str">
        <f>IF(COUNT($J$2:$J$1501)&gt;=1338,1338,"")</f>
        <v/>
      </c>
      <c r="B1339" s="8" t="str">
        <f t="shared" si="100"/>
        <v/>
      </c>
      <c r="C1339" s="8" t="str">
        <f t="shared" si="101"/>
        <v/>
      </c>
      <c r="D1339" s="8" t="str">
        <f t="shared" si="102"/>
        <v/>
      </c>
      <c r="F1339" s="4" t="str">
        <f>IF(Jugadores!B1339="","",Jugadores!B1339)</f>
        <v/>
      </c>
      <c r="G1339" s="4" t="str">
        <f>IF(Jugadores!B1339="","",Jugadores!A1339)</f>
        <v/>
      </c>
      <c r="H1339" s="4" t="str">
        <f>IF(F1339="","",SUMIF('Estadísticas Jugadores'!$F$2:$F$7001,F1339,'Estadísticas Jugadores'!$J$2:$J$7001))</f>
        <v/>
      </c>
      <c r="I1339" s="4" t="str">
        <f t="shared" si="103"/>
        <v/>
      </c>
      <c r="J1339" s="4" t="str">
        <f t="shared" si="104"/>
        <v/>
      </c>
    </row>
    <row r="1340" spans="1:10" ht="15" customHeight="1" x14ac:dyDescent="0.25">
      <c r="A1340" s="8" t="str">
        <f>IF(COUNT($J$2:$J$1501)&gt;=1339,1339,"")</f>
        <v/>
      </c>
      <c r="B1340" s="8" t="str">
        <f t="shared" si="100"/>
        <v/>
      </c>
      <c r="C1340" s="8" t="str">
        <f t="shared" si="101"/>
        <v/>
      </c>
      <c r="D1340" s="8" t="str">
        <f t="shared" si="102"/>
        <v/>
      </c>
      <c r="F1340" s="4" t="str">
        <f>IF(Jugadores!B1340="","",Jugadores!B1340)</f>
        <v/>
      </c>
      <c r="G1340" s="4" t="str">
        <f>IF(Jugadores!B1340="","",Jugadores!A1340)</f>
        <v/>
      </c>
      <c r="H1340" s="4" t="str">
        <f>IF(F1340="","",SUMIF('Estadísticas Jugadores'!$F$2:$F$7001,F1340,'Estadísticas Jugadores'!$J$2:$J$7001))</f>
        <v/>
      </c>
      <c r="I1340" s="4" t="str">
        <f t="shared" si="103"/>
        <v/>
      </c>
      <c r="J1340" s="4" t="str">
        <f t="shared" si="104"/>
        <v/>
      </c>
    </row>
    <row r="1341" spans="1:10" ht="15" customHeight="1" x14ac:dyDescent="0.25">
      <c r="A1341" s="8" t="str">
        <f>IF(COUNT($J$2:$J$1501)&gt;=1340,1340,"")</f>
        <v/>
      </c>
      <c r="B1341" s="8" t="str">
        <f t="shared" si="100"/>
        <v/>
      </c>
      <c r="C1341" s="8" t="str">
        <f t="shared" si="101"/>
        <v/>
      </c>
      <c r="D1341" s="8" t="str">
        <f t="shared" si="102"/>
        <v/>
      </c>
      <c r="F1341" s="4" t="str">
        <f>IF(Jugadores!B1341="","",Jugadores!B1341)</f>
        <v/>
      </c>
      <c r="G1341" s="4" t="str">
        <f>IF(Jugadores!B1341="","",Jugadores!A1341)</f>
        <v/>
      </c>
      <c r="H1341" s="4" t="str">
        <f>IF(F1341="","",SUMIF('Estadísticas Jugadores'!$F$2:$F$7001,F1341,'Estadísticas Jugadores'!$J$2:$J$7001))</f>
        <v/>
      </c>
      <c r="I1341" s="4" t="str">
        <f t="shared" si="103"/>
        <v/>
      </c>
      <c r="J1341" s="4" t="str">
        <f t="shared" si="104"/>
        <v/>
      </c>
    </row>
    <row r="1342" spans="1:10" ht="15" customHeight="1" x14ac:dyDescent="0.25">
      <c r="A1342" s="8" t="str">
        <f>IF(COUNT($J$2:$J$1501)&gt;=1341,1341,"")</f>
        <v/>
      </c>
      <c r="B1342" s="8" t="str">
        <f t="shared" si="100"/>
        <v/>
      </c>
      <c r="C1342" s="8" t="str">
        <f t="shared" si="101"/>
        <v/>
      </c>
      <c r="D1342" s="8" t="str">
        <f t="shared" si="102"/>
        <v/>
      </c>
      <c r="F1342" s="4" t="str">
        <f>IF(Jugadores!B1342="","",Jugadores!B1342)</f>
        <v/>
      </c>
      <c r="G1342" s="4" t="str">
        <f>IF(Jugadores!B1342="","",Jugadores!A1342)</f>
        <v/>
      </c>
      <c r="H1342" s="4" t="str">
        <f>IF(F1342="","",SUMIF('Estadísticas Jugadores'!$F$2:$F$7001,F1342,'Estadísticas Jugadores'!$J$2:$J$7001))</f>
        <v/>
      </c>
      <c r="I1342" s="4" t="str">
        <f t="shared" si="103"/>
        <v/>
      </c>
      <c r="J1342" s="4" t="str">
        <f t="shared" si="104"/>
        <v/>
      </c>
    </row>
    <row r="1343" spans="1:10" ht="15" customHeight="1" x14ac:dyDescent="0.25">
      <c r="A1343" s="8" t="str">
        <f>IF(COUNT($J$2:$J$1501)&gt;=1342,1342,"")</f>
        <v/>
      </c>
      <c r="B1343" s="8" t="str">
        <f t="shared" si="100"/>
        <v/>
      </c>
      <c r="C1343" s="8" t="str">
        <f t="shared" si="101"/>
        <v/>
      </c>
      <c r="D1343" s="8" t="str">
        <f t="shared" si="102"/>
        <v/>
      </c>
      <c r="F1343" s="4" t="str">
        <f>IF(Jugadores!B1343="","",Jugadores!B1343)</f>
        <v/>
      </c>
      <c r="G1343" s="4" t="str">
        <f>IF(Jugadores!B1343="","",Jugadores!A1343)</f>
        <v/>
      </c>
      <c r="H1343" s="4" t="str">
        <f>IF(F1343="","",SUMIF('Estadísticas Jugadores'!$F$2:$F$7001,F1343,'Estadísticas Jugadores'!$J$2:$J$7001))</f>
        <v/>
      </c>
      <c r="I1343" s="4" t="str">
        <f t="shared" si="103"/>
        <v/>
      </c>
      <c r="J1343" s="4" t="str">
        <f t="shared" si="104"/>
        <v/>
      </c>
    </row>
    <row r="1344" spans="1:10" ht="15" customHeight="1" x14ac:dyDescent="0.25">
      <c r="A1344" s="8" t="str">
        <f>IF(COUNT($J$2:$J$1501)&gt;=1343,1343,"")</f>
        <v/>
      </c>
      <c r="B1344" s="8" t="str">
        <f t="shared" si="100"/>
        <v/>
      </c>
      <c r="C1344" s="8" t="str">
        <f t="shared" si="101"/>
        <v/>
      </c>
      <c r="D1344" s="8" t="str">
        <f t="shared" si="102"/>
        <v/>
      </c>
      <c r="F1344" s="4" t="str">
        <f>IF(Jugadores!B1344="","",Jugadores!B1344)</f>
        <v/>
      </c>
      <c r="G1344" s="4" t="str">
        <f>IF(Jugadores!B1344="","",Jugadores!A1344)</f>
        <v/>
      </c>
      <c r="H1344" s="4" t="str">
        <f>IF(F1344="","",SUMIF('Estadísticas Jugadores'!$F$2:$F$7001,F1344,'Estadísticas Jugadores'!$J$2:$J$7001))</f>
        <v/>
      </c>
      <c r="I1344" s="4" t="str">
        <f t="shared" si="103"/>
        <v/>
      </c>
      <c r="J1344" s="4" t="str">
        <f t="shared" si="104"/>
        <v/>
      </c>
    </row>
    <row r="1345" spans="1:10" ht="15" customHeight="1" x14ac:dyDescent="0.25">
      <c r="A1345" s="8" t="str">
        <f>IF(COUNT($J$2:$J$1501)&gt;=1344,1344,"")</f>
        <v/>
      </c>
      <c r="B1345" s="8" t="str">
        <f t="shared" si="100"/>
        <v/>
      </c>
      <c r="C1345" s="8" t="str">
        <f t="shared" si="101"/>
        <v/>
      </c>
      <c r="D1345" s="8" t="str">
        <f t="shared" si="102"/>
        <v/>
      </c>
      <c r="F1345" s="4" t="str">
        <f>IF(Jugadores!B1345="","",Jugadores!B1345)</f>
        <v/>
      </c>
      <c r="G1345" s="4" t="str">
        <f>IF(Jugadores!B1345="","",Jugadores!A1345)</f>
        <v/>
      </c>
      <c r="H1345" s="4" t="str">
        <f>IF(F1345="","",SUMIF('Estadísticas Jugadores'!$F$2:$F$7001,F1345,'Estadísticas Jugadores'!$J$2:$J$7001))</f>
        <v/>
      </c>
      <c r="I1345" s="4" t="str">
        <f t="shared" si="103"/>
        <v/>
      </c>
      <c r="J1345" s="4" t="str">
        <f t="shared" si="104"/>
        <v/>
      </c>
    </row>
    <row r="1346" spans="1:10" ht="15" customHeight="1" x14ac:dyDescent="0.25">
      <c r="A1346" s="8" t="str">
        <f>IF(COUNT($J$2:$J$1501)&gt;=1345,1345,"")</f>
        <v/>
      </c>
      <c r="B1346" s="8" t="str">
        <f t="shared" ref="B1346:B1409" si="105">IF($A1346="","",INDEX($F$2:$F$1501,MATCH($A1346,$J$2:$J$1501,0)))</f>
        <v/>
      </c>
      <c r="C1346" s="8" t="str">
        <f t="shared" ref="C1346:C1409" si="106">IF($A1346="","",INDEX($G$2:$G$1501,MATCH($A1346,$J$2:$J$1501,0)))</f>
        <v/>
      </c>
      <c r="D1346" s="8" t="str">
        <f t="shared" ref="D1346:D1409" si="107">IF($A1346="","",INDEX($H$2:$H$1501,MATCH($A1346,$J$2:$J$1501,0)))</f>
        <v/>
      </c>
      <c r="F1346" s="4" t="str">
        <f>IF(Jugadores!B1346="","",Jugadores!B1346)</f>
        <v/>
      </c>
      <c r="G1346" s="4" t="str">
        <f>IF(Jugadores!B1346="","",Jugadores!A1346)</f>
        <v/>
      </c>
      <c r="H1346" s="4" t="str">
        <f>IF(F1346="","",SUMIF('Estadísticas Jugadores'!$F$2:$F$7001,F1346,'Estadísticas Jugadores'!$J$2:$J$7001))</f>
        <v/>
      </c>
      <c r="I1346" s="4" t="str">
        <f t="shared" ref="I1346:I1409" si="108">IF(F1346="","",H1346*1000-ROW()*0.0000001)</f>
        <v/>
      </c>
      <c r="J1346" s="4" t="str">
        <f t="shared" ref="J1346:J1409" si="109">IF(F1346="","",RANK(I1346,$I$2:$I$1501))</f>
        <v/>
      </c>
    </row>
    <row r="1347" spans="1:10" ht="15" customHeight="1" x14ac:dyDescent="0.25">
      <c r="A1347" s="8" t="str">
        <f>IF(COUNT($J$2:$J$1501)&gt;=1346,1346,"")</f>
        <v/>
      </c>
      <c r="B1347" s="8" t="str">
        <f t="shared" si="105"/>
        <v/>
      </c>
      <c r="C1347" s="8" t="str">
        <f t="shared" si="106"/>
        <v/>
      </c>
      <c r="D1347" s="8" t="str">
        <f t="shared" si="107"/>
        <v/>
      </c>
      <c r="F1347" s="4" t="str">
        <f>IF(Jugadores!B1347="","",Jugadores!B1347)</f>
        <v/>
      </c>
      <c r="G1347" s="4" t="str">
        <f>IF(Jugadores!B1347="","",Jugadores!A1347)</f>
        <v/>
      </c>
      <c r="H1347" s="4" t="str">
        <f>IF(F1347="","",SUMIF('Estadísticas Jugadores'!$F$2:$F$7001,F1347,'Estadísticas Jugadores'!$J$2:$J$7001))</f>
        <v/>
      </c>
      <c r="I1347" s="4" t="str">
        <f t="shared" si="108"/>
        <v/>
      </c>
      <c r="J1347" s="4" t="str">
        <f t="shared" si="109"/>
        <v/>
      </c>
    </row>
    <row r="1348" spans="1:10" ht="15" customHeight="1" x14ac:dyDescent="0.25">
      <c r="A1348" s="8" t="str">
        <f>IF(COUNT($J$2:$J$1501)&gt;=1347,1347,"")</f>
        <v/>
      </c>
      <c r="B1348" s="8" t="str">
        <f t="shared" si="105"/>
        <v/>
      </c>
      <c r="C1348" s="8" t="str">
        <f t="shared" si="106"/>
        <v/>
      </c>
      <c r="D1348" s="8" t="str">
        <f t="shared" si="107"/>
        <v/>
      </c>
      <c r="F1348" s="4" t="str">
        <f>IF(Jugadores!B1348="","",Jugadores!B1348)</f>
        <v/>
      </c>
      <c r="G1348" s="4" t="str">
        <f>IF(Jugadores!B1348="","",Jugadores!A1348)</f>
        <v/>
      </c>
      <c r="H1348" s="4" t="str">
        <f>IF(F1348="","",SUMIF('Estadísticas Jugadores'!$F$2:$F$7001,F1348,'Estadísticas Jugadores'!$J$2:$J$7001))</f>
        <v/>
      </c>
      <c r="I1348" s="4" t="str">
        <f t="shared" si="108"/>
        <v/>
      </c>
      <c r="J1348" s="4" t="str">
        <f t="shared" si="109"/>
        <v/>
      </c>
    </row>
    <row r="1349" spans="1:10" ht="15" customHeight="1" x14ac:dyDescent="0.25">
      <c r="A1349" s="8" t="str">
        <f>IF(COUNT($J$2:$J$1501)&gt;=1348,1348,"")</f>
        <v/>
      </c>
      <c r="B1349" s="8" t="str">
        <f t="shared" si="105"/>
        <v/>
      </c>
      <c r="C1349" s="8" t="str">
        <f t="shared" si="106"/>
        <v/>
      </c>
      <c r="D1349" s="8" t="str">
        <f t="shared" si="107"/>
        <v/>
      </c>
      <c r="F1349" s="4" t="str">
        <f>IF(Jugadores!B1349="","",Jugadores!B1349)</f>
        <v/>
      </c>
      <c r="G1349" s="4" t="str">
        <f>IF(Jugadores!B1349="","",Jugadores!A1349)</f>
        <v/>
      </c>
      <c r="H1349" s="4" t="str">
        <f>IF(F1349="","",SUMIF('Estadísticas Jugadores'!$F$2:$F$7001,F1349,'Estadísticas Jugadores'!$J$2:$J$7001))</f>
        <v/>
      </c>
      <c r="I1349" s="4" t="str">
        <f t="shared" si="108"/>
        <v/>
      </c>
      <c r="J1349" s="4" t="str">
        <f t="shared" si="109"/>
        <v/>
      </c>
    </row>
    <row r="1350" spans="1:10" ht="15" customHeight="1" x14ac:dyDescent="0.25">
      <c r="A1350" s="8" t="str">
        <f>IF(COUNT($J$2:$J$1501)&gt;=1349,1349,"")</f>
        <v/>
      </c>
      <c r="B1350" s="8" t="str">
        <f t="shared" si="105"/>
        <v/>
      </c>
      <c r="C1350" s="8" t="str">
        <f t="shared" si="106"/>
        <v/>
      </c>
      <c r="D1350" s="8" t="str">
        <f t="shared" si="107"/>
        <v/>
      </c>
      <c r="F1350" s="4" t="str">
        <f>IF(Jugadores!B1350="","",Jugadores!B1350)</f>
        <v/>
      </c>
      <c r="G1350" s="4" t="str">
        <f>IF(Jugadores!B1350="","",Jugadores!A1350)</f>
        <v/>
      </c>
      <c r="H1350" s="4" t="str">
        <f>IF(F1350="","",SUMIF('Estadísticas Jugadores'!$F$2:$F$7001,F1350,'Estadísticas Jugadores'!$J$2:$J$7001))</f>
        <v/>
      </c>
      <c r="I1350" s="4" t="str">
        <f t="shared" si="108"/>
        <v/>
      </c>
      <c r="J1350" s="4" t="str">
        <f t="shared" si="109"/>
        <v/>
      </c>
    </row>
    <row r="1351" spans="1:10" ht="15" customHeight="1" x14ac:dyDescent="0.25">
      <c r="A1351" s="8" t="str">
        <f>IF(COUNT($J$2:$J$1501)&gt;=1350,1350,"")</f>
        <v/>
      </c>
      <c r="B1351" s="8" t="str">
        <f t="shared" si="105"/>
        <v/>
      </c>
      <c r="C1351" s="8" t="str">
        <f t="shared" si="106"/>
        <v/>
      </c>
      <c r="D1351" s="8" t="str">
        <f t="shared" si="107"/>
        <v/>
      </c>
      <c r="F1351" s="4" t="str">
        <f>IF(Jugadores!B1351="","",Jugadores!B1351)</f>
        <v/>
      </c>
      <c r="G1351" s="4" t="str">
        <f>IF(Jugadores!B1351="","",Jugadores!A1351)</f>
        <v/>
      </c>
      <c r="H1351" s="4" t="str">
        <f>IF(F1351="","",SUMIF('Estadísticas Jugadores'!$F$2:$F$7001,F1351,'Estadísticas Jugadores'!$J$2:$J$7001))</f>
        <v/>
      </c>
      <c r="I1351" s="4" t="str">
        <f t="shared" si="108"/>
        <v/>
      </c>
      <c r="J1351" s="4" t="str">
        <f t="shared" si="109"/>
        <v/>
      </c>
    </row>
    <row r="1352" spans="1:10" ht="15" customHeight="1" x14ac:dyDescent="0.25">
      <c r="A1352" s="8" t="str">
        <f>IF(COUNT($J$2:$J$1501)&gt;=1351,1351,"")</f>
        <v/>
      </c>
      <c r="B1352" s="8" t="str">
        <f t="shared" si="105"/>
        <v/>
      </c>
      <c r="C1352" s="8" t="str">
        <f t="shared" si="106"/>
        <v/>
      </c>
      <c r="D1352" s="8" t="str">
        <f t="shared" si="107"/>
        <v/>
      </c>
      <c r="F1352" s="4" t="str">
        <f>IF(Jugadores!B1352="","",Jugadores!B1352)</f>
        <v/>
      </c>
      <c r="G1352" s="4" t="str">
        <f>IF(Jugadores!B1352="","",Jugadores!A1352)</f>
        <v/>
      </c>
      <c r="H1352" s="4" t="str">
        <f>IF(F1352="","",SUMIF('Estadísticas Jugadores'!$F$2:$F$7001,F1352,'Estadísticas Jugadores'!$J$2:$J$7001))</f>
        <v/>
      </c>
      <c r="I1352" s="4" t="str">
        <f t="shared" si="108"/>
        <v/>
      </c>
      <c r="J1352" s="4" t="str">
        <f t="shared" si="109"/>
        <v/>
      </c>
    </row>
    <row r="1353" spans="1:10" ht="15" customHeight="1" x14ac:dyDescent="0.25">
      <c r="A1353" s="8" t="str">
        <f>IF(COUNT($J$2:$J$1501)&gt;=1352,1352,"")</f>
        <v/>
      </c>
      <c r="B1353" s="8" t="str">
        <f t="shared" si="105"/>
        <v/>
      </c>
      <c r="C1353" s="8" t="str">
        <f t="shared" si="106"/>
        <v/>
      </c>
      <c r="D1353" s="8" t="str">
        <f t="shared" si="107"/>
        <v/>
      </c>
      <c r="F1353" s="4" t="str">
        <f>IF(Jugadores!B1353="","",Jugadores!B1353)</f>
        <v/>
      </c>
      <c r="G1353" s="4" t="str">
        <f>IF(Jugadores!B1353="","",Jugadores!A1353)</f>
        <v/>
      </c>
      <c r="H1353" s="4" t="str">
        <f>IF(F1353="","",SUMIF('Estadísticas Jugadores'!$F$2:$F$7001,F1353,'Estadísticas Jugadores'!$J$2:$J$7001))</f>
        <v/>
      </c>
      <c r="I1353" s="4" t="str">
        <f t="shared" si="108"/>
        <v/>
      </c>
      <c r="J1353" s="4" t="str">
        <f t="shared" si="109"/>
        <v/>
      </c>
    </row>
    <row r="1354" spans="1:10" ht="15" customHeight="1" x14ac:dyDescent="0.25">
      <c r="A1354" s="8" t="str">
        <f>IF(COUNT($J$2:$J$1501)&gt;=1353,1353,"")</f>
        <v/>
      </c>
      <c r="B1354" s="8" t="str">
        <f t="shared" si="105"/>
        <v/>
      </c>
      <c r="C1354" s="8" t="str">
        <f t="shared" si="106"/>
        <v/>
      </c>
      <c r="D1354" s="8" t="str">
        <f t="shared" si="107"/>
        <v/>
      </c>
      <c r="F1354" s="4" t="str">
        <f>IF(Jugadores!B1354="","",Jugadores!B1354)</f>
        <v/>
      </c>
      <c r="G1354" s="4" t="str">
        <f>IF(Jugadores!B1354="","",Jugadores!A1354)</f>
        <v/>
      </c>
      <c r="H1354" s="4" t="str">
        <f>IF(F1354="","",SUMIF('Estadísticas Jugadores'!$F$2:$F$7001,F1354,'Estadísticas Jugadores'!$J$2:$J$7001))</f>
        <v/>
      </c>
      <c r="I1354" s="4" t="str">
        <f t="shared" si="108"/>
        <v/>
      </c>
      <c r="J1354" s="4" t="str">
        <f t="shared" si="109"/>
        <v/>
      </c>
    </row>
    <row r="1355" spans="1:10" ht="15" customHeight="1" x14ac:dyDescent="0.25">
      <c r="A1355" s="8" t="str">
        <f>IF(COUNT($J$2:$J$1501)&gt;=1354,1354,"")</f>
        <v/>
      </c>
      <c r="B1355" s="8" t="str">
        <f t="shared" si="105"/>
        <v/>
      </c>
      <c r="C1355" s="8" t="str">
        <f t="shared" si="106"/>
        <v/>
      </c>
      <c r="D1355" s="8" t="str">
        <f t="shared" si="107"/>
        <v/>
      </c>
      <c r="F1355" s="4" t="str">
        <f>IF(Jugadores!B1355="","",Jugadores!B1355)</f>
        <v/>
      </c>
      <c r="G1355" s="4" t="str">
        <f>IF(Jugadores!B1355="","",Jugadores!A1355)</f>
        <v/>
      </c>
      <c r="H1355" s="4" t="str">
        <f>IF(F1355="","",SUMIF('Estadísticas Jugadores'!$F$2:$F$7001,F1355,'Estadísticas Jugadores'!$J$2:$J$7001))</f>
        <v/>
      </c>
      <c r="I1355" s="4" t="str">
        <f t="shared" si="108"/>
        <v/>
      </c>
      <c r="J1355" s="4" t="str">
        <f t="shared" si="109"/>
        <v/>
      </c>
    </row>
    <row r="1356" spans="1:10" ht="15" customHeight="1" x14ac:dyDescent="0.25">
      <c r="A1356" s="8" t="str">
        <f>IF(COUNT($J$2:$J$1501)&gt;=1355,1355,"")</f>
        <v/>
      </c>
      <c r="B1356" s="8" t="str">
        <f t="shared" si="105"/>
        <v/>
      </c>
      <c r="C1356" s="8" t="str">
        <f t="shared" si="106"/>
        <v/>
      </c>
      <c r="D1356" s="8" t="str">
        <f t="shared" si="107"/>
        <v/>
      </c>
      <c r="F1356" s="4" t="str">
        <f>IF(Jugadores!B1356="","",Jugadores!B1356)</f>
        <v/>
      </c>
      <c r="G1356" s="4" t="str">
        <f>IF(Jugadores!B1356="","",Jugadores!A1356)</f>
        <v/>
      </c>
      <c r="H1356" s="4" t="str">
        <f>IF(F1356="","",SUMIF('Estadísticas Jugadores'!$F$2:$F$7001,F1356,'Estadísticas Jugadores'!$J$2:$J$7001))</f>
        <v/>
      </c>
      <c r="I1356" s="4" t="str">
        <f t="shared" si="108"/>
        <v/>
      </c>
      <c r="J1356" s="4" t="str">
        <f t="shared" si="109"/>
        <v/>
      </c>
    </row>
    <row r="1357" spans="1:10" ht="15" customHeight="1" x14ac:dyDescent="0.25">
      <c r="A1357" s="8" t="str">
        <f>IF(COUNT($J$2:$J$1501)&gt;=1356,1356,"")</f>
        <v/>
      </c>
      <c r="B1357" s="8" t="str">
        <f t="shared" si="105"/>
        <v/>
      </c>
      <c r="C1357" s="8" t="str">
        <f t="shared" si="106"/>
        <v/>
      </c>
      <c r="D1357" s="8" t="str">
        <f t="shared" si="107"/>
        <v/>
      </c>
      <c r="F1357" s="4" t="str">
        <f>IF(Jugadores!B1357="","",Jugadores!B1357)</f>
        <v/>
      </c>
      <c r="G1357" s="4" t="str">
        <f>IF(Jugadores!B1357="","",Jugadores!A1357)</f>
        <v/>
      </c>
      <c r="H1357" s="4" t="str">
        <f>IF(F1357="","",SUMIF('Estadísticas Jugadores'!$F$2:$F$7001,F1357,'Estadísticas Jugadores'!$J$2:$J$7001))</f>
        <v/>
      </c>
      <c r="I1357" s="4" t="str">
        <f t="shared" si="108"/>
        <v/>
      </c>
      <c r="J1357" s="4" t="str">
        <f t="shared" si="109"/>
        <v/>
      </c>
    </row>
    <row r="1358" spans="1:10" ht="15" customHeight="1" x14ac:dyDescent="0.25">
      <c r="A1358" s="8" t="str">
        <f>IF(COUNT($J$2:$J$1501)&gt;=1357,1357,"")</f>
        <v/>
      </c>
      <c r="B1358" s="8" t="str">
        <f t="shared" si="105"/>
        <v/>
      </c>
      <c r="C1358" s="8" t="str">
        <f t="shared" si="106"/>
        <v/>
      </c>
      <c r="D1358" s="8" t="str">
        <f t="shared" si="107"/>
        <v/>
      </c>
      <c r="F1358" s="4" t="str">
        <f>IF(Jugadores!B1358="","",Jugadores!B1358)</f>
        <v/>
      </c>
      <c r="G1358" s="4" t="str">
        <f>IF(Jugadores!B1358="","",Jugadores!A1358)</f>
        <v/>
      </c>
      <c r="H1358" s="4" t="str">
        <f>IF(F1358="","",SUMIF('Estadísticas Jugadores'!$F$2:$F$7001,F1358,'Estadísticas Jugadores'!$J$2:$J$7001))</f>
        <v/>
      </c>
      <c r="I1358" s="4" t="str">
        <f t="shared" si="108"/>
        <v/>
      </c>
      <c r="J1358" s="4" t="str">
        <f t="shared" si="109"/>
        <v/>
      </c>
    </row>
    <row r="1359" spans="1:10" ht="15" customHeight="1" x14ac:dyDescent="0.25">
      <c r="A1359" s="8" t="str">
        <f>IF(COUNT($J$2:$J$1501)&gt;=1358,1358,"")</f>
        <v/>
      </c>
      <c r="B1359" s="8" t="str">
        <f t="shared" si="105"/>
        <v/>
      </c>
      <c r="C1359" s="8" t="str">
        <f t="shared" si="106"/>
        <v/>
      </c>
      <c r="D1359" s="8" t="str">
        <f t="shared" si="107"/>
        <v/>
      </c>
      <c r="F1359" s="4" t="str">
        <f>IF(Jugadores!B1359="","",Jugadores!B1359)</f>
        <v/>
      </c>
      <c r="G1359" s="4" t="str">
        <f>IF(Jugadores!B1359="","",Jugadores!A1359)</f>
        <v/>
      </c>
      <c r="H1359" s="4" t="str">
        <f>IF(F1359="","",SUMIF('Estadísticas Jugadores'!$F$2:$F$7001,F1359,'Estadísticas Jugadores'!$J$2:$J$7001))</f>
        <v/>
      </c>
      <c r="I1359" s="4" t="str">
        <f t="shared" si="108"/>
        <v/>
      </c>
      <c r="J1359" s="4" t="str">
        <f t="shared" si="109"/>
        <v/>
      </c>
    </row>
    <row r="1360" spans="1:10" ht="15" customHeight="1" x14ac:dyDescent="0.25">
      <c r="A1360" s="8" t="str">
        <f>IF(COUNT($J$2:$J$1501)&gt;=1359,1359,"")</f>
        <v/>
      </c>
      <c r="B1360" s="8" t="str">
        <f t="shared" si="105"/>
        <v/>
      </c>
      <c r="C1360" s="8" t="str">
        <f t="shared" si="106"/>
        <v/>
      </c>
      <c r="D1360" s="8" t="str">
        <f t="shared" si="107"/>
        <v/>
      </c>
      <c r="F1360" s="4" t="str">
        <f>IF(Jugadores!B1360="","",Jugadores!B1360)</f>
        <v/>
      </c>
      <c r="G1360" s="4" t="str">
        <f>IF(Jugadores!B1360="","",Jugadores!A1360)</f>
        <v/>
      </c>
      <c r="H1360" s="4" t="str">
        <f>IF(F1360="","",SUMIF('Estadísticas Jugadores'!$F$2:$F$7001,F1360,'Estadísticas Jugadores'!$J$2:$J$7001))</f>
        <v/>
      </c>
      <c r="I1360" s="4" t="str">
        <f t="shared" si="108"/>
        <v/>
      </c>
      <c r="J1360" s="4" t="str">
        <f t="shared" si="109"/>
        <v/>
      </c>
    </row>
    <row r="1361" spans="1:10" ht="15" customHeight="1" x14ac:dyDescent="0.25">
      <c r="A1361" s="8" t="str">
        <f>IF(COUNT($J$2:$J$1501)&gt;=1360,1360,"")</f>
        <v/>
      </c>
      <c r="B1361" s="8" t="str">
        <f t="shared" si="105"/>
        <v/>
      </c>
      <c r="C1361" s="8" t="str">
        <f t="shared" si="106"/>
        <v/>
      </c>
      <c r="D1361" s="8" t="str">
        <f t="shared" si="107"/>
        <v/>
      </c>
      <c r="F1361" s="4" t="str">
        <f>IF(Jugadores!B1361="","",Jugadores!B1361)</f>
        <v/>
      </c>
      <c r="G1361" s="4" t="str">
        <f>IF(Jugadores!B1361="","",Jugadores!A1361)</f>
        <v/>
      </c>
      <c r="H1361" s="4" t="str">
        <f>IF(F1361="","",SUMIF('Estadísticas Jugadores'!$F$2:$F$7001,F1361,'Estadísticas Jugadores'!$J$2:$J$7001))</f>
        <v/>
      </c>
      <c r="I1361" s="4" t="str">
        <f t="shared" si="108"/>
        <v/>
      </c>
      <c r="J1361" s="4" t="str">
        <f t="shared" si="109"/>
        <v/>
      </c>
    </row>
    <row r="1362" spans="1:10" ht="15" customHeight="1" x14ac:dyDescent="0.25">
      <c r="A1362" s="8" t="str">
        <f>IF(COUNT($J$2:$J$1501)&gt;=1361,1361,"")</f>
        <v/>
      </c>
      <c r="B1362" s="8" t="str">
        <f t="shared" si="105"/>
        <v/>
      </c>
      <c r="C1362" s="8" t="str">
        <f t="shared" si="106"/>
        <v/>
      </c>
      <c r="D1362" s="8" t="str">
        <f t="shared" si="107"/>
        <v/>
      </c>
      <c r="F1362" s="4" t="str">
        <f>IF(Jugadores!B1362="","",Jugadores!B1362)</f>
        <v/>
      </c>
      <c r="G1362" s="4" t="str">
        <f>IF(Jugadores!B1362="","",Jugadores!A1362)</f>
        <v/>
      </c>
      <c r="H1362" s="4" t="str">
        <f>IF(F1362="","",SUMIF('Estadísticas Jugadores'!$F$2:$F$7001,F1362,'Estadísticas Jugadores'!$J$2:$J$7001))</f>
        <v/>
      </c>
      <c r="I1362" s="4" t="str">
        <f t="shared" si="108"/>
        <v/>
      </c>
      <c r="J1362" s="4" t="str">
        <f t="shared" si="109"/>
        <v/>
      </c>
    </row>
    <row r="1363" spans="1:10" ht="15" customHeight="1" x14ac:dyDescent="0.25">
      <c r="A1363" s="8" t="str">
        <f>IF(COUNT($J$2:$J$1501)&gt;=1362,1362,"")</f>
        <v/>
      </c>
      <c r="B1363" s="8" t="str">
        <f t="shared" si="105"/>
        <v/>
      </c>
      <c r="C1363" s="8" t="str">
        <f t="shared" si="106"/>
        <v/>
      </c>
      <c r="D1363" s="8" t="str">
        <f t="shared" si="107"/>
        <v/>
      </c>
      <c r="F1363" s="4" t="str">
        <f>IF(Jugadores!B1363="","",Jugadores!B1363)</f>
        <v/>
      </c>
      <c r="G1363" s="4" t="str">
        <f>IF(Jugadores!B1363="","",Jugadores!A1363)</f>
        <v/>
      </c>
      <c r="H1363" s="4" t="str">
        <f>IF(F1363="","",SUMIF('Estadísticas Jugadores'!$F$2:$F$7001,F1363,'Estadísticas Jugadores'!$J$2:$J$7001))</f>
        <v/>
      </c>
      <c r="I1363" s="4" t="str">
        <f t="shared" si="108"/>
        <v/>
      </c>
      <c r="J1363" s="4" t="str">
        <f t="shared" si="109"/>
        <v/>
      </c>
    </row>
    <row r="1364" spans="1:10" ht="15" customHeight="1" x14ac:dyDescent="0.25">
      <c r="A1364" s="8" t="str">
        <f>IF(COUNT($J$2:$J$1501)&gt;=1363,1363,"")</f>
        <v/>
      </c>
      <c r="B1364" s="8" t="str">
        <f t="shared" si="105"/>
        <v/>
      </c>
      <c r="C1364" s="8" t="str">
        <f t="shared" si="106"/>
        <v/>
      </c>
      <c r="D1364" s="8" t="str">
        <f t="shared" si="107"/>
        <v/>
      </c>
      <c r="F1364" s="4" t="str">
        <f>IF(Jugadores!B1364="","",Jugadores!B1364)</f>
        <v/>
      </c>
      <c r="G1364" s="4" t="str">
        <f>IF(Jugadores!B1364="","",Jugadores!A1364)</f>
        <v/>
      </c>
      <c r="H1364" s="4" t="str">
        <f>IF(F1364="","",SUMIF('Estadísticas Jugadores'!$F$2:$F$7001,F1364,'Estadísticas Jugadores'!$J$2:$J$7001))</f>
        <v/>
      </c>
      <c r="I1364" s="4" t="str">
        <f t="shared" si="108"/>
        <v/>
      </c>
      <c r="J1364" s="4" t="str">
        <f t="shared" si="109"/>
        <v/>
      </c>
    </row>
    <row r="1365" spans="1:10" ht="15" customHeight="1" x14ac:dyDescent="0.25">
      <c r="A1365" s="8" t="str">
        <f>IF(COUNT($J$2:$J$1501)&gt;=1364,1364,"")</f>
        <v/>
      </c>
      <c r="B1365" s="8" t="str">
        <f t="shared" si="105"/>
        <v/>
      </c>
      <c r="C1365" s="8" t="str">
        <f t="shared" si="106"/>
        <v/>
      </c>
      <c r="D1365" s="8" t="str">
        <f t="shared" si="107"/>
        <v/>
      </c>
      <c r="F1365" s="4" t="str">
        <f>IF(Jugadores!B1365="","",Jugadores!B1365)</f>
        <v/>
      </c>
      <c r="G1365" s="4" t="str">
        <f>IF(Jugadores!B1365="","",Jugadores!A1365)</f>
        <v/>
      </c>
      <c r="H1365" s="4" t="str">
        <f>IF(F1365="","",SUMIF('Estadísticas Jugadores'!$F$2:$F$7001,F1365,'Estadísticas Jugadores'!$J$2:$J$7001))</f>
        <v/>
      </c>
      <c r="I1365" s="4" t="str">
        <f t="shared" si="108"/>
        <v/>
      </c>
      <c r="J1365" s="4" t="str">
        <f t="shared" si="109"/>
        <v/>
      </c>
    </row>
    <row r="1366" spans="1:10" ht="15" customHeight="1" x14ac:dyDescent="0.25">
      <c r="A1366" s="8" t="str">
        <f>IF(COUNT($J$2:$J$1501)&gt;=1365,1365,"")</f>
        <v/>
      </c>
      <c r="B1366" s="8" t="str">
        <f t="shared" si="105"/>
        <v/>
      </c>
      <c r="C1366" s="8" t="str">
        <f t="shared" si="106"/>
        <v/>
      </c>
      <c r="D1366" s="8" t="str">
        <f t="shared" si="107"/>
        <v/>
      </c>
      <c r="F1366" s="4" t="str">
        <f>IF(Jugadores!B1366="","",Jugadores!B1366)</f>
        <v/>
      </c>
      <c r="G1366" s="4" t="str">
        <f>IF(Jugadores!B1366="","",Jugadores!A1366)</f>
        <v/>
      </c>
      <c r="H1366" s="4" t="str">
        <f>IF(F1366="","",SUMIF('Estadísticas Jugadores'!$F$2:$F$7001,F1366,'Estadísticas Jugadores'!$J$2:$J$7001))</f>
        <v/>
      </c>
      <c r="I1366" s="4" t="str">
        <f t="shared" si="108"/>
        <v/>
      </c>
      <c r="J1366" s="4" t="str">
        <f t="shared" si="109"/>
        <v/>
      </c>
    </row>
    <row r="1367" spans="1:10" ht="15" customHeight="1" x14ac:dyDescent="0.25">
      <c r="A1367" s="8" t="str">
        <f>IF(COUNT($J$2:$J$1501)&gt;=1366,1366,"")</f>
        <v/>
      </c>
      <c r="B1367" s="8" t="str">
        <f t="shared" si="105"/>
        <v/>
      </c>
      <c r="C1367" s="8" t="str">
        <f t="shared" si="106"/>
        <v/>
      </c>
      <c r="D1367" s="8" t="str">
        <f t="shared" si="107"/>
        <v/>
      </c>
      <c r="F1367" s="4" t="str">
        <f>IF(Jugadores!B1367="","",Jugadores!B1367)</f>
        <v/>
      </c>
      <c r="G1367" s="4" t="str">
        <f>IF(Jugadores!B1367="","",Jugadores!A1367)</f>
        <v/>
      </c>
      <c r="H1367" s="4" t="str">
        <f>IF(F1367="","",SUMIF('Estadísticas Jugadores'!$F$2:$F$7001,F1367,'Estadísticas Jugadores'!$J$2:$J$7001))</f>
        <v/>
      </c>
      <c r="I1367" s="4" t="str">
        <f t="shared" si="108"/>
        <v/>
      </c>
      <c r="J1367" s="4" t="str">
        <f t="shared" si="109"/>
        <v/>
      </c>
    </row>
    <row r="1368" spans="1:10" ht="15" customHeight="1" x14ac:dyDescent="0.25">
      <c r="A1368" s="8" t="str">
        <f>IF(COUNT($J$2:$J$1501)&gt;=1367,1367,"")</f>
        <v/>
      </c>
      <c r="B1368" s="8" t="str">
        <f t="shared" si="105"/>
        <v/>
      </c>
      <c r="C1368" s="8" t="str">
        <f t="shared" si="106"/>
        <v/>
      </c>
      <c r="D1368" s="8" t="str">
        <f t="shared" si="107"/>
        <v/>
      </c>
      <c r="F1368" s="4" t="str">
        <f>IF(Jugadores!B1368="","",Jugadores!B1368)</f>
        <v/>
      </c>
      <c r="G1368" s="4" t="str">
        <f>IF(Jugadores!B1368="","",Jugadores!A1368)</f>
        <v/>
      </c>
      <c r="H1368" s="4" t="str">
        <f>IF(F1368="","",SUMIF('Estadísticas Jugadores'!$F$2:$F$7001,F1368,'Estadísticas Jugadores'!$J$2:$J$7001))</f>
        <v/>
      </c>
      <c r="I1368" s="4" t="str">
        <f t="shared" si="108"/>
        <v/>
      </c>
      <c r="J1368" s="4" t="str">
        <f t="shared" si="109"/>
        <v/>
      </c>
    </row>
    <row r="1369" spans="1:10" ht="15" customHeight="1" x14ac:dyDescent="0.25">
      <c r="A1369" s="8" t="str">
        <f>IF(COUNT($J$2:$J$1501)&gt;=1368,1368,"")</f>
        <v/>
      </c>
      <c r="B1369" s="8" t="str">
        <f t="shared" si="105"/>
        <v/>
      </c>
      <c r="C1369" s="8" t="str">
        <f t="shared" si="106"/>
        <v/>
      </c>
      <c r="D1369" s="8" t="str">
        <f t="shared" si="107"/>
        <v/>
      </c>
      <c r="F1369" s="4" t="str">
        <f>IF(Jugadores!B1369="","",Jugadores!B1369)</f>
        <v/>
      </c>
      <c r="G1369" s="4" t="str">
        <f>IF(Jugadores!B1369="","",Jugadores!A1369)</f>
        <v/>
      </c>
      <c r="H1369" s="4" t="str">
        <f>IF(F1369="","",SUMIF('Estadísticas Jugadores'!$F$2:$F$7001,F1369,'Estadísticas Jugadores'!$J$2:$J$7001))</f>
        <v/>
      </c>
      <c r="I1369" s="4" t="str">
        <f t="shared" si="108"/>
        <v/>
      </c>
      <c r="J1369" s="4" t="str">
        <f t="shared" si="109"/>
        <v/>
      </c>
    </row>
    <row r="1370" spans="1:10" ht="15" customHeight="1" x14ac:dyDescent="0.25">
      <c r="A1370" s="8" t="str">
        <f>IF(COUNT($J$2:$J$1501)&gt;=1369,1369,"")</f>
        <v/>
      </c>
      <c r="B1370" s="8" t="str">
        <f t="shared" si="105"/>
        <v/>
      </c>
      <c r="C1370" s="8" t="str">
        <f t="shared" si="106"/>
        <v/>
      </c>
      <c r="D1370" s="8" t="str">
        <f t="shared" si="107"/>
        <v/>
      </c>
      <c r="F1370" s="4" t="str">
        <f>IF(Jugadores!B1370="","",Jugadores!B1370)</f>
        <v/>
      </c>
      <c r="G1370" s="4" t="str">
        <f>IF(Jugadores!B1370="","",Jugadores!A1370)</f>
        <v/>
      </c>
      <c r="H1370" s="4" t="str">
        <f>IF(F1370="","",SUMIF('Estadísticas Jugadores'!$F$2:$F$7001,F1370,'Estadísticas Jugadores'!$J$2:$J$7001))</f>
        <v/>
      </c>
      <c r="I1370" s="4" t="str">
        <f t="shared" si="108"/>
        <v/>
      </c>
      <c r="J1370" s="4" t="str">
        <f t="shared" si="109"/>
        <v/>
      </c>
    </row>
    <row r="1371" spans="1:10" ht="15" customHeight="1" x14ac:dyDescent="0.25">
      <c r="A1371" s="8" t="str">
        <f>IF(COUNT($J$2:$J$1501)&gt;=1370,1370,"")</f>
        <v/>
      </c>
      <c r="B1371" s="8" t="str">
        <f t="shared" si="105"/>
        <v/>
      </c>
      <c r="C1371" s="8" t="str">
        <f t="shared" si="106"/>
        <v/>
      </c>
      <c r="D1371" s="8" t="str">
        <f t="shared" si="107"/>
        <v/>
      </c>
      <c r="F1371" s="4" t="str">
        <f>IF(Jugadores!B1371="","",Jugadores!B1371)</f>
        <v/>
      </c>
      <c r="G1371" s="4" t="str">
        <f>IF(Jugadores!B1371="","",Jugadores!A1371)</f>
        <v/>
      </c>
      <c r="H1371" s="4" t="str">
        <f>IF(F1371="","",SUMIF('Estadísticas Jugadores'!$F$2:$F$7001,F1371,'Estadísticas Jugadores'!$J$2:$J$7001))</f>
        <v/>
      </c>
      <c r="I1371" s="4" t="str">
        <f t="shared" si="108"/>
        <v/>
      </c>
      <c r="J1371" s="4" t="str">
        <f t="shared" si="109"/>
        <v/>
      </c>
    </row>
    <row r="1372" spans="1:10" ht="15" customHeight="1" x14ac:dyDescent="0.25">
      <c r="A1372" s="8" t="str">
        <f>IF(COUNT($J$2:$J$1501)&gt;=1371,1371,"")</f>
        <v/>
      </c>
      <c r="B1372" s="8" t="str">
        <f t="shared" si="105"/>
        <v/>
      </c>
      <c r="C1372" s="8" t="str">
        <f t="shared" si="106"/>
        <v/>
      </c>
      <c r="D1372" s="8" t="str">
        <f t="shared" si="107"/>
        <v/>
      </c>
      <c r="F1372" s="4" t="str">
        <f>IF(Jugadores!B1372="","",Jugadores!B1372)</f>
        <v/>
      </c>
      <c r="G1372" s="4" t="str">
        <f>IF(Jugadores!B1372="","",Jugadores!A1372)</f>
        <v/>
      </c>
      <c r="H1372" s="4" t="str">
        <f>IF(F1372="","",SUMIF('Estadísticas Jugadores'!$F$2:$F$7001,F1372,'Estadísticas Jugadores'!$J$2:$J$7001))</f>
        <v/>
      </c>
      <c r="I1372" s="4" t="str">
        <f t="shared" si="108"/>
        <v/>
      </c>
      <c r="J1372" s="4" t="str">
        <f t="shared" si="109"/>
        <v/>
      </c>
    </row>
    <row r="1373" spans="1:10" ht="15" customHeight="1" x14ac:dyDescent="0.25">
      <c r="A1373" s="8" t="str">
        <f>IF(COUNT($J$2:$J$1501)&gt;=1372,1372,"")</f>
        <v/>
      </c>
      <c r="B1373" s="8" t="str">
        <f t="shared" si="105"/>
        <v/>
      </c>
      <c r="C1373" s="8" t="str">
        <f t="shared" si="106"/>
        <v/>
      </c>
      <c r="D1373" s="8" t="str">
        <f t="shared" si="107"/>
        <v/>
      </c>
      <c r="F1373" s="4" t="str">
        <f>IF(Jugadores!B1373="","",Jugadores!B1373)</f>
        <v/>
      </c>
      <c r="G1373" s="4" t="str">
        <f>IF(Jugadores!B1373="","",Jugadores!A1373)</f>
        <v/>
      </c>
      <c r="H1373" s="4" t="str">
        <f>IF(F1373="","",SUMIF('Estadísticas Jugadores'!$F$2:$F$7001,F1373,'Estadísticas Jugadores'!$J$2:$J$7001))</f>
        <v/>
      </c>
      <c r="I1373" s="4" t="str">
        <f t="shared" si="108"/>
        <v/>
      </c>
      <c r="J1373" s="4" t="str">
        <f t="shared" si="109"/>
        <v/>
      </c>
    </row>
    <row r="1374" spans="1:10" ht="15" customHeight="1" x14ac:dyDescent="0.25">
      <c r="A1374" s="8" t="str">
        <f>IF(COUNT($J$2:$J$1501)&gt;=1373,1373,"")</f>
        <v/>
      </c>
      <c r="B1374" s="8" t="str">
        <f t="shared" si="105"/>
        <v/>
      </c>
      <c r="C1374" s="8" t="str">
        <f t="shared" si="106"/>
        <v/>
      </c>
      <c r="D1374" s="8" t="str">
        <f t="shared" si="107"/>
        <v/>
      </c>
      <c r="F1374" s="4" t="str">
        <f>IF(Jugadores!B1374="","",Jugadores!B1374)</f>
        <v/>
      </c>
      <c r="G1374" s="4" t="str">
        <f>IF(Jugadores!B1374="","",Jugadores!A1374)</f>
        <v/>
      </c>
      <c r="H1374" s="4" t="str">
        <f>IF(F1374="","",SUMIF('Estadísticas Jugadores'!$F$2:$F$7001,F1374,'Estadísticas Jugadores'!$J$2:$J$7001))</f>
        <v/>
      </c>
      <c r="I1374" s="4" t="str">
        <f t="shared" si="108"/>
        <v/>
      </c>
      <c r="J1374" s="4" t="str">
        <f t="shared" si="109"/>
        <v/>
      </c>
    </row>
    <row r="1375" spans="1:10" ht="15" customHeight="1" x14ac:dyDescent="0.25">
      <c r="A1375" s="8" t="str">
        <f>IF(COUNT($J$2:$J$1501)&gt;=1374,1374,"")</f>
        <v/>
      </c>
      <c r="B1375" s="8" t="str">
        <f t="shared" si="105"/>
        <v/>
      </c>
      <c r="C1375" s="8" t="str">
        <f t="shared" si="106"/>
        <v/>
      </c>
      <c r="D1375" s="8" t="str">
        <f t="shared" si="107"/>
        <v/>
      </c>
      <c r="F1375" s="4" t="str">
        <f>IF(Jugadores!B1375="","",Jugadores!B1375)</f>
        <v/>
      </c>
      <c r="G1375" s="4" t="str">
        <f>IF(Jugadores!B1375="","",Jugadores!A1375)</f>
        <v/>
      </c>
      <c r="H1375" s="4" t="str">
        <f>IF(F1375="","",SUMIF('Estadísticas Jugadores'!$F$2:$F$7001,F1375,'Estadísticas Jugadores'!$J$2:$J$7001))</f>
        <v/>
      </c>
      <c r="I1375" s="4" t="str">
        <f t="shared" si="108"/>
        <v/>
      </c>
      <c r="J1375" s="4" t="str">
        <f t="shared" si="109"/>
        <v/>
      </c>
    </row>
    <row r="1376" spans="1:10" ht="15" customHeight="1" x14ac:dyDescent="0.25">
      <c r="A1376" s="8" t="str">
        <f>IF(COUNT($J$2:$J$1501)&gt;=1375,1375,"")</f>
        <v/>
      </c>
      <c r="B1376" s="8" t="str">
        <f t="shared" si="105"/>
        <v/>
      </c>
      <c r="C1376" s="8" t="str">
        <f t="shared" si="106"/>
        <v/>
      </c>
      <c r="D1376" s="8" t="str">
        <f t="shared" si="107"/>
        <v/>
      </c>
      <c r="F1376" s="4" t="str">
        <f>IF(Jugadores!B1376="","",Jugadores!B1376)</f>
        <v/>
      </c>
      <c r="G1376" s="4" t="str">
        <f>IF(Jugadores!B1376="","",Jugadores!A1376)</f>
        <v/>
      </c>
      <c r="H1376" s="4" t="str">
        <f>IF(F1376="","",SUMIF('Estadísticas Jugadores'!$F$2:$F$7001,F1376,'Estadísticas Jugadores'!$J$2:$J$7001))</f>
        <v/>
      </c>
      <c r="I1376" s="4" t="str">
        <f t="shared" si="108"/>
        <v/>
      </c>
      <c r="J1376" s="4" t="str">
        <f t="shared" si="109"/>
        <v/>
      </c>
    </row>
    <row r="1377" spans="1:10" ht="15" customHeight="1" x14ac:dyDescent="0.25">
      <c r="A1377" s="8" t="str">
        <f>IF(COUNT($J$2:$J$1501)&gt;=1376,1376,"")</f>
        <v/>
      </c>
      <c r="B1377" s="8" t="str">
        <f t="shared" si="105"/>
        <v/>
      </c>
      <c r="C1377" s="8" t="str">
        <f t="shared" si="106"/>
        <v/>
      </c>
      <c r="D1377" s="8" t="str">
        <f t="shared" si="107"/>
        <v/>
      </c>
      <c r="F1377" s="4" t="str">
        <f>IF(Jugadores!B1377="","",Jugadores!B1377)</f>
        <v/>
      </c>
      <c r="G1377" s="4" t="str">
        <f>IF(Jugadores!B1377="","",Jugadores!A1377)</f>
        <v/>
      </c>
      <c r="H1377" s="4" t="str">
        <f>IF(F1377="","",SUMIF('Estadísticas Jugadores'!$F$2:$F$7001,F1377,'Estadísticas Jugadores'!$J$2:$J$7001))</f>
        <v/>
      </c>
      <c r="I1377" s="4" t="str">
        <f t="shared" si="108"/>
        <v/>
      </c>
      <c r="J1377" s="4" t="str">
        <f t="shared" si="109"/>
        <v/>
      </c>
    </row>
    <row r="1378" spans="1:10" ht="15" customHeight="1" x14ac:dyDescent="0.25">
      <c r="A1378" s="8" t="str">
        <f>IF(COUNT($J$2:$J$1501)&gt;=1377,1377,"")</f>
        <v/>
      </c>
      <c r="B1378" s="8" t="str">
        <f t="shared" si="105"/>
        <v/>
      </c>
      <c r="C1378" s="8" t="str">
        <f t="shared" si="106"/>
        <v/>
      </c>
      <c r="D1378" s="8" t="str">
        <f t="shared" si="107"/>
        <v/>
      </c>
      <c r="F1378" s="4" t="str">
        <f>IF(Jugadores!B1378="","",Jugadores!B1378)</f>
        <v/>
      </c>
      <c r="G1378" s="4" t="str">
        <f>IF(Jugadores!B1378="","",Jugadores!A1378)</f>
        <v/>
      </c>
      <c r="H1378" s="4" t="str">
        <f>IF(F1378="","",SUMIF('Estadísticas Jugadores'!$F$2:$F$7001,F1378,'Estadísticas Jugadores'!$J$2:$J$7001))</f>
        <v/>
      </c>
      <c r="I1378" s="4" t="str">
        <f t="shared" si="108"/>
        <v/>
      </c>
      <c r="J1378" s="4" t="str">
        <f t="shared" si="109"/>
        <v/>
      </c>
    </row>
    <row r="1379" spans="1:10" ht="15" customHeight="1" x14ac:dyDescent="0.25">
      <c r="A1379" s="8" t="str">
        <f>IF(COUNT($J$2:$J$1501)&gt;=1378,1378,"")</f>
        <v/>
      </c>
      <c r="B1379" s="8" t="str">
        <f t="shared" si="105"/>
        <v/>
      </c>
      <c r="C1379" s="8" t="str">
        <f t="shared" si="106"/>
        <v/>
      </c>
      <c r="D1379" s="8" t="str">
        <f t="shared" si="107"/>
        <v/>
      </c>
      <c r="F1379" s="4" t="str">
        <f>IF(Jugadores!B1379="","",Jugadores!B1379)</f>
        <v/>
      </c>
      <c r="G1379" s="4" t="str">
        <f>IF(Jugadores!B1379="","",Jugadores!A1379)</f>
        <v/>
      </c>
      <c r="H1379" s="4" t="str">
        <f>IF(F1379="","",SUMIF('Estadísticas Jugadores'!$F$2:$F$7001,F1379,'Estadísticas Jugadores'!$J$2:$J$7001))</f>
        <v/>
      </c>
      <c r="I1379" s="4" t="str">
        <f t="shared" si="108"/>
        <v/>
      </c>
      <c r="J1379" s="4" t="str">
        <f t="shared" si="109"/>
        <v/>
      </c>
    </row>
    <row r="1380" spans="1:10" ht="15" customHeight="1" x14ac:dyDescent="0.25">
      <c r="A1380" s="8" t="str">
        <f>IF(COUNT($J$2:$J$1501)&gt;=1379,1379,"")</f>
        <v/>
      </c>
      <c r="B1380" s="8" t="str">
        <f t="shared" si="105"/>
        <v/>
      </c>
      <c r="C1380" s="8" t="str">
        <f t="shared" si="106"/>
        <v/>
      </c>
      <c r="D1380" s="8" t="str">
        <f t="shared" si="107"/>
        <v/>
      </c>
      <c r="F1380" s="4" t="str">
        <f>IF(Jugadores!B1380="","",Jugadores!B1380)</f>
        <v/>
      </c>
      <c r="G1380" s="4" t="str">
        <f>IF(Jugadores!B1380="","",Jugadores!A1380)</f>
        <v/>
      </c>
      <c r="H1380" s="4" t="str">
        <f>IF(F1380="","",SUMIF('Estadísticas Jugadores'!$F$2:$F$7001,F1380,'Estadísticas Jugadores'!$J$2:$J$7001))</f>
        <v/>
      </c>
      <c r="I1380" s="4" t="str">
        <f t="shared" si="108"/>
        <v/>
      </c>
      <c r="J1380" s="4" t="str">
        <f t="shared" si="109"/>
        <v/>
      </c>
    </row>
    <row r="1381" spans="1:10" ht="15" customHeight="1" x14ac:dyDescent="0.25">
      <c r="A1381" s="8" t="str">
        <f>IF(COUNT($J$2:$J$1501)&gt;=1380,1380,"")</f>
        <v/>
      </c>
      <c r="B1381" s="8" t="str">
        <f t="shared" si="105"/>
        <v/>
      </c>
      <c r="C1381" s="8" t="str">
        <f t="shared" si="106"/>
        <v/>
      </c>
      <c r="D1381" s="8" t="str">
        <f t="shared" si="107"/>
        <v/>
      </c>
      <c r="F1381" s="4" t="str">
        <f>IF(Jugadores!B1381="","",Jugadores!B1381)</f>
        <v/>
      </c>
      <c r="G1381" s="4" t="str">
        <f>IF(Jugadores!B1381="","",Jugadores!A1381)</f>
        <v/>
      </c>
      <c r="H1381" s="4" t="str">
        <f>IF(F1381="","",SUMIF('Estadísticas Jugadores'!$F$2:$F$7001,F1381,'Estadísticas Jugadores'!$J$2:$J$7001))</f>
        <v/>
      </c>
      <c r="I1381" s="4" t="str">
        <f t="shared" si="108"/>
        <v/>
      </c>
      <c r="J1381" s="4" t="str">
        <f t="shared" si="109"/>
        <v/>
      </c>
    </row>
    <row r="1382" spans="1:10" ht="15" customHeight="1" x14ac:dyDescent="0.25">
      <c r="A1382" s="8" t="str">
        <f>IF(COUNT($J$2:$J$1501)&gt;=1381,1381,"")</f>
        <v/>
      </c>
      <c r="B1382" s="8" t="str">
        <f t="shared" si="105"/>
        <v/>
      </c>
      <c r="C1382" s="8" t="str">
        <f t="shared" si="106"/>
        <v/>
      </c>
      <c r="D1382" s="8" t="str">
        <f t="shared" si="107"/>
        <v/>
      </c>
      <c r="F1382" s="4" t="str">
        <f>IF(Jugadores!B1382="","",Jugadores!B1382)</f>
        <v/>
      </c>
      <c r="G1382" s="4" t="str">
        <f>IF(Jugadores!B1382="","",Jugadores!A1382)</f>
        <v/>
      </c>
      <c r="H1382" s="4" t="str">
        <f>IF(F1382="","",SUMIF('Estadísticas Jugadores'!$F$2:$F$7001,F1382,'Estadísticas Jugadores'!$J$2:$J$7001))</f>
        <v/>
      </c>
      <c r="I1382" s="4" t="str">
        <f t="shared" si="108"/>
        <v/>
      </c>
      <c r="J1382" s="4" t="str">
        <f t="shared" si="109"/>
        <v/>
      </c>
    </row>
    <row r="1383" spans="1:10" ht="15" customHeight="1" x14ac:dyDescent="0.25">
      <c r="A1383" s="8" t="str">
        <f>IF(COUNT($J$2:$J$1501)&gt;=1382,1382,"")</f>
        <v/>
      </c>
      <c r="B1383" s="8" t="str">
        <f t="shared" si="105"/>
        <v/>
      </c>
      <c r="C1383" s="8" t="str">
        <f t="shared" si="106"/>
        <v/>
      </c>
      <c r="D1383" s="8" t="str">
        <f t="shared" si="107"/>
        <v/>
      </c>
      <c r="F1383" s="4" t="str">
        <f>IF(Jugadores!B1383="","",Jugadores!B1383)</f>
        <v/>
      </c>
      <c r="G1383" s="4" t="str">
        <f>IF(Jugadores!B1383="","",Jugadores!A1383)</f>
        <v/>
      </c>
      <c r="H1383" s="4" t="str">
        <f>IF(F1383="","",SUMIF('Estadísticas Jugadores'!$F$2:$F$7001,F1383,'Estadísticas Jugadores'!$J$2:$J$7001))</f>
        <v/>
      </c>
      <c r="I1383" s="4" t="str">
        <f t="shared" si="108"/>
        <v/>
      </c>
      <c r="J1383" s="4" t="str">
        <f t="shared" si="109"/>
        <v/>
      </c>
    </row>
    <row r="1384" spans="1:10" ht="15" customHeight="1" x14ac:dyDescent="0.25">
      <c r="A1384" s="8" t="str">
        <f>IF(COUNT($J$2:$J$1501)&gt;=1383,1383,"")</f>
        <v/>
      </c>
      <c r="B1384" s="8" t="str">
        <f t="shared" si="105"/>
        <v/>
      </c>
      <c r="C1384" s="8" t="str">
        <f t="shared" si="106"/>
        <v/>
      </c>
      <c r="D1384" s="8" t="str">
        <f t="shared" si="107"/>
        <v/>
      </c>
      <c r="F1384" s="4" t="str">
        <f>IF(Jugadores!B1384="","",Jugadores!B1384)</f>
        <v/>
      </c>
      <c r="G1384" s="4" t="str">
        <f>IF(Jugadores!B1384="","",Jugadores!A1384)</f>
        <v/>
      </c>
      <c r="H1384" s="4" t="str">
        <f>IF(F1384="","",SUMIF('Estadísticas Jugadores'!$F$2:$F$7001,F1384,'Estadísticas Jugadores'!$J$2:$J$7001))</f>
        <v/>
      </c>
      <c r="I1384" s="4" t="str">
        <f t="shared" si="108"/>
        <v/>
      </c>
      <c r="J1384" s="4" t="str">
        <f t="shared" si="109"/>
        <v/>
      </c>
    </row>
    <row r="1385" spans="1:10" ht="15" customHeight="1" x14ac:dyDescent="0.25">
      <c r="A1385" s="8" t="str">
        <f>IF(COUNT($J$2:$J$1501)&gt;=1384,1384,"")</f>
        <v/>
      </c>
      <c r="B1385" s="8" t="str">
        <f t="shared" si="105"/>
        <v/>
      </c>
      <c r="C1385" s="8" t="str">
        <f t="shared" si="106"/>
        <v/>
      </c>
      <c r="D1385" s="8" t="str">
        <f t="shared" si="107"/>
        <v/>
      </c>
      <c r="F1385" s="4" t="str">
        <f>IF(Jugadores!B1385="","",Jugadores!B1385)</f>
        <v/>
      </c>
      <c r="G1385" s="4" t="str">
        <f>IF(Jugadores!B1385="","",Jugadores!A1385)</f>
        <v/>
      </c>
      <c r="H1385" s="4" t="str">
        <f>IF(F1385="","",SUMIF('Estadísticas Jugadores'!$F$2:$F$7001,F1385,'Estadísticas Jugadores'!$J$2:$J$7001))</f>
        <v/>
      </c>
      <c r="I1385" s="4" t="str">
        <f t="shared" si="108"/>
        <v/>
      </c>
      <c r="J1385" s="4" t="str">
        <f t="shared" si="109"/>
        <v/>
      </c>
    </row>
    <row r="1386" spans="1:10" ht="15" customHeight="1" x14ac:dyDescent="0.25">
      <c r="A1386" s="8" t="str">
        <f>IF(COUNT($J$2:$J$1501)&gt;=1385,1385,"")</f>
        <v/>
      </c>
      <c r="B1386" s="8" t="str">
        <f t="shared" si="105"/>
        <v/>
      </c>
      <c r="C1386" s="8" t="str">
        <f t="shared" si="106"/>
        <v/>
      </c>
      <c r="D1386" s="8" t="str">
        <f t="shared" si="107"/>
        <v/>
      </c>
      <c r="F1386" s="4" t="str">
        <f>IF(Jugadores!B1386="","",Jugadores!B1386)</f>
        <v/>
      </c>
      <c r="G1386" s="4" t="str">
        <f>IF(Jugadores!B1386="","",Jugadores!A1386)</f>
        <v/>
      </c>
      <c r="H1386" s="4" t="str">
        <f>IF(F1386="","",SUMIF('Estadísticas Jugadores'!$F$2:$F$7001,F1386,'Estadísticas Jugadores'!$J$2:$J$7001))</f>
        <v/>
      </c>
      <c r="I1386" s="4" t="str">
        <f t="shared" si="108"/>
        <v/>
      </c>
      <c r="J1386" s="4" t="str">
        <f t="shared" si="109"/>
        <v/>
      </c>
    </row>
    <row r="1387" spans="1:10" ht="15" customHeight="1" x14ac:dyDescent="0.25">
      <c r="A1387" s="8" t="str">
        <f>IF(COUNT($J$2:$J$1501)&gt;=1386,1386,"")</f>
        <v/>
      </c>
      <c r="B1387" s="8" t="str">
        <f t="shared" si="105"/>
        <v/>
      </c>
      <c r="C1387" s="8" t="str">
        <f t="shared" si="106"/>
        <v/>
      </c>
      <c r="D1387" s="8" t="str">
        <f t="shared" si="107"/>
        <v/>
      </c>
      <c r="F1387" s="4" t="str">
        <f>IF(Jugadores!B1387="","",Jugadores!B1387)</f>
        <v/>
      </c>
      <c r="G1387" s="4" t="str">
        <f>IF(Jugadores!B1387="","",Jugadores!A1387)</f>
        <v/>
      </c>
      <c r="H1387" s="4" t="str">
        <f>IF(F1387="","",SUMIF('Estadísticas Jugadores'!$F$2:$F$7001,F1387,'Estadísticas Jugadores'!$J$2:$J$7001))</f>
        <v/>
      </c>
      <c r="I1387" s="4" t="str">
        <f t="shared" si="108"/>
        <v/>
      </c>
      <c r="J1387" s="4" t="str">
        <f t="shared" si="109"/>
        <v/>
      </c>
    </row>
    <row r="1388" spans="1:10" ht="15" customHeight="1" x14ac:dyDescent="0.25">
      <c r="A1388" s="8" t="str">
        <f>IF(COUNT($J$2:$J$1501)&gt;=1387,1387,"")</f>
        <v/>
      </c>
      <c r="B1388" s="8" t="str">
        <f t="shared" si="105"/>
        <v/>
      </c>
      <c r="C1388" s="8" t="str">
        <f t="shared" si="106"/>
        <v/>
      </c>
      <c r="D1388" s="8" t="str">
        <f t="shared" si="107"/>
        <v/>
      </c>
      <c r="F1388" s="4" t="str">
        <f>IF(Jugadores!B1388="","",Jugadores!B1388)</f>
        <v/>
      </c>
      <c r="G1388" s="4" t="str">
        <f>IF(Jugadores!B1388="","",Jugadores!A1388)</f>
        <v/>
      </c>
      <c r="H1388" s="4" t="str">
        <f>IF(F1388="","",SUMIF('Estadísticas Jugadores'!$F$2:$F$7001,F1388,'Estadísticas Jugadores'!$J$2:$J$7001))</f>
        <v/>
      </c>
      <c r="I1388" s="4" t="str">
        <f t="shared" si="108"/>
        <v/>
      </c>
      <c r="J1388" s="4" t="str">
        <f t="shared" si="109"/>
        <v/>
      </c>
    </row>
    <row r="1389" spans="1:10" ht="15" customHeight="1" x14ac:dyDescent="0.25">
      <c r="A1389" s="8" t="str">
        <f>IF(COUNT($J$2:$J$1501)&gt;=1388,1388,"")</f>
        <v/>
      </c>
      <c r="B1389" s="8" t="str">
        <f t="shared" si="105"/>
        <v/>
      </c>
      <c r="C1389" s="8" t="str">
        <f t="shared" si="106"/>
        <v/>
      </c>
      <c r="D1389" s="8" t="str">
        <f t="shared" si="107"/>
        <v/>
      </c>
      <c r="F1389" s="4" t="str">
        <f>IF(Jugadores!B1389="","",Jugadores!B1389)</f>
        <v/>
      </c>
      <c r="G1389" s="4" t="str">
        <f>IF(Jugadores!B1389="","",Jugadores!A1389)</f>
        <v/>
      </c>
      <c r="H1389" s="4" t="str">
        <f>IF(F1389="","",SUMIF('Estadísticas Jugadores'!$F$2:$F$7001,F1389,'Estadísticas Jugadores'!$J$2:$J$7001))</f>
        <v/>
      </c>
      <c r="I1389" s="4" t="str">
        <f t="shared" si="108"/>
        <v/>
      </c>
      <c r="J1389" s="4" t="str">
        <f t="shared" si="109"/>
        <v/>
      </c>
    </row>
    <row r="1390" spans="1:10" ht="15" customHeight="1" x14ac:dyDescent="0.25">
      <c r="A1390" s="8" t="str">
        <f>IF(COUNT($J$2:$J$1501)&gt;=1389,1389,"")</f>
        <v/>
      </c>
      <c r="B1390" s="8" t="str">
        <f t="shared" si="105"/>
        <v/>
      </c>
      <c r="C1390" s="8" t="str">
        <f t="shared" si="106"/>
        <v/>
      </c>
      <c r="D1390" s="8" t="str">
        <f t="shared" si="107"/>
        <v/>
      </c>
      <c r="F1390" s="4" t="str">
        <f>IF(Jugadores!B1390="","",Jugadores!B1390)</f>
        <v/>
      </c>
      <c r="G1390" s="4" t="str">
        <f>IF(Jugadores!B1390="","",Jugadores!A1390)</f>
        <v/>
      </c>
      <c r="H1390" s="4" t="str">
        <f>IF(F1390="","",SUMIF('Estadísticas Jugadores'!$F$2:$F$7001,F1390,'Estadísticas Jugadores'!$J$2:$J$7001))</f>
        <v/>
      </c>
      <c r="I1390" s="4" t="str">
        <f t="shared" si="108"/>
        <v/>
      </c>
      <c r="J1390" s="4" t="str">
        <f t="shared" si="109"/>
        <v/>
      </c>
    </row>
    <row r="1391" spans="1:10" ht="15" customHeight="1" x14ac:dyDescent="0.25">
      <c r="A1391" s="8" t="str">
        <f>IF(COUNT($J$2:$J$1501)&gt;=1390,1390,"")</f>
        <v/>
      </c>
      <c r="B1391" s="8" t="str">
        <f t="shared" si="105"/>
        <v/>
      </c>
      <c r="C1391" s="8" t="str">
        <f t="shared" si="106"/>
        <v/>
      </c>
      <c r="D1391" s="8" t="str">
        <f t="shared" si="107"/>
        <v/>
      </c>
      <c r="F1391" s="4" t="str">
        <f>IF(Jugadores!B1391="","",Jugadores!B1391)</f>
        <v/>
      </c>
      <c r="G1391" s="4" t="str">
        <f>IF(Jugadores!B1391="","",Jugadores!A1391)</f>
        <v/>
      </c>
      <c r="H1391" s="4" t="str">
        <f>IF(F1391="","",SUMIF('Estadísticas Jugadores'!$F$2:$F$7001,F1391,'Estadísticas Jugadores'!$J$2:$J$7001))</f>
        <v/>
      </c>
      <c r="I1391" s="4" t="str">
        <f t="shared" si="108"/>
        <v/>
      </c>
      <c r="J1391" s="4" t="str">
        <f t="shared" si="109"/>
        <v/>
      </c>
    </row>
    <row r="1392" spans="1:10" ht="15" customHeight="1" x14ac:dyDescent="0.25">
      <c r="A1392" s="8" t="str">
        <f>IF(COUNT($J$2:$J$1501)&gt;=1391,1391,"")</f>
        <v/>
      </c>
      <c r="B1392" s="8" t="str">
        <f t="shared" si="105"/>
        <v/>
      </c>
      <c r="C1392" s="8" t="str">
        <f t="shared" si="106"/>
        <v/>
      </c>
      <c r="D1392" s="8" t="str">
        <f t="shared" si="107"/>
        <v/>
      </c>
      <c r="F1392" s="4" t="str">
        <f>IF(Jugadores!B1392="","",Jugadores!B1392)</f>
        <v/>
      </c>
      <c r="G1392" s="4" t="str">
        <f>IF(Jugadores!B1392="","",Jugadores!A1392)</f>
        <v/>
      </c>
      <c r="H1392" s="4" t="str">
        <f>IF(F1392="","",SUMIF('Estadísticas Jugadores'!$F$2:$F$7001,F1392,'Estadísticas Jugadores'!$J$2:$J$7001))</f>
        <v/>
      </c>
      <c r="I1392" s="4" t="str">
        <f t="shared" si="108"/>
        <v/>
      </c>
      <c r="J1392" s="4" t="str">
        <f t="shared" si="109"/>
        <v/>
      </c>
    </row>
    <row r="1393" spans="1:10" ht="15" customHeight="1" x14ac:dyDescent="0.25">
      <c r="A1393" s="8" t="str">
        <f>IF(COUNT($J$2:$J$1501)&gt;=1392,1392,"")</f>
        <v/>
      </c>
      <c r="B1393" s="8" t="str">
        <f t="shared" si="105"/>
        <v/>
      </c>
      <c r="C1393" s="8" t="str">
        <f t="shared" si="106"/>
        <v/>
      </c>
      <c r="D1393" s="8" t="str">
        <f t="shared" si="107"/>
        <v/>
      </c>
      <c r="F1393" s="4" t="str">
        <f>IF(Jugadores!B1393="","",Jugadores!B1393)</f>
        <v/>
      </c>
      <c r="G1393" s="4" t="str">
        <f>IF(Jugadores!B1393="","",Jugadores!A1393)</f>
        <v/>
      </c>
      <c r="H1393" s="4" t="str">
        <f>IF(F1393="","",SUMIF('Estadísticas Jugadores'!$F$2:$F$7001,F1393,'Estadísticas Jugadores'!$J$2:$J$7001))</f>
        <v/>
      </c>
      <c r="I1393" s="4" t="str">
        <f t="shared" si="108"/>
        <v/>
      </c>
      <c r="J1393" s="4" t="str">
        <f t="shared" si="109"/>
        <v/>
      </c>
    </row>
    <row r="1394" spans="1:10" ht="15" customHeight="1" x14ac:dyDescent="0.25">
      <c r="A1394" s="8" t="str">
        <f>IF(COUNT($J$2:$J$1501)&gt;=1393,1393,"")</f>
        <v/>
      </c>
      <c r="B1394" s="8" t="str">
        <f t="shared" si="105"/>
        <v/>
      </c>
      <c r="C1394" s="8" t="str">
        <f t="shared" si="106"/>
        <v/>
      </c>
      <c r="D1394" s="8" t="str">
        <f t="shared" si="107"/>
        <v/>
      </c>
      <c r="F1394" s="4" t="str">
        <f>IF(Jugadores!B1394="","",Jugadores!B1394)</f>
        <v/>
      </c>
      <c r="G1394" s="4" t="str">
        <f>IF(Jugadores!B1394="","",Jugadores!A1394)</f>
        <v/>
      </c>
      <c r="H1394" s="4" t="str">
        <f>IF(F1394="","",SUMIF('Estadísticas Jugadores'!$F$2:$F$7001,F1394,'Estadísticas Jugadores'!$J$2:$J$7001))</f>
        <v/>
      </c>
      <c r="I1394" s="4" t="str">
        <f t="shared" si="108"/>
        <v/>
      </c>
      <c r="J1394" s="4" t="str">
        <f t="shared" si="109"/>
        <v/>
      </c>
    </row>
    <row r="1395" spans="1:10" ht="15" customHeight="1" x14ac:dyDescent="0.25">
      <c r="A1395" s="8" t="str">
        <f>IF(COUNT($J$2:$J$1501)&gt;=1394,1394,"")</f>
        <v/>
      </c>
      <c r="B1395" s="8" t="str">
        <f t="shared" si="105"/>
        <v/>
      </c>
      <c r="C1395" s="8" t="str">
        <f t="shared" si="106"/>
        <v/>
      </c>
      <c r="D1395" s="8" t="str">
        <f t="shared" si="107"/>
        <v/>
      </c>
      <c r="F1395" s="4" t="str">
        <f>IF(Jugadores!B1395="","",Jugadores!B1395)</f>
        <v/>
      </c>
      <c r="G1395" s="4" t="str">
        <f>IF(Jugadores!B1395="","",Jugadores!A1395)</f>
        <v/>
      </c>
      <c r="H1395" s="4" t="str">
        <f>IF(F1395="","",SUMIF('Estadísticas Jugadores'!$F$2:$F$7001,F1395,'Estadísticas Jugadores'!$J$2:$J$7001))</f>
        <v/>
      </c>
      <c r="I1395" s="4" t="str">
        <f t="shared" si="108"/>
        <v/>
      </c>
      <c r="J1395" s="4" t="str">
        <f t="shared" si="109"/>
        <v/>
      </c>
    </row>
    <row r="1396" spans="1:10" ht="15" customHeight="1" x14ac:dyDescent="0.25">
      <c r="A1396" s="8" t="str">
        <f>IF(COUNT($J$2:$J$1501)&gt;=1395,1395,"")</f>
        <v/>
      </c>
      <c r="B1396" s="8" t="str">
        <f t="shared" si="105"/>
        <v/>
      </c>
      <c r="C1396" s="8" t="str">
        <f t="shared" si="106"/>
        <v/>
      </c>
      <c r="D1396" s="8" t="str">
        <f t="shared" si="107"/>
        <v/>
      </c>
      <c r="F1396" s="4" t="str">
        <f>IF(Jugadores!B1396="","",Jugadores!B1396)</f>
        <v/>
      </c>
      <c r="G1396" s="4" t="str">
        <f>IF(Jugadores!B1396="","",Jugadores!A1396)</f>
        <v/>
      </c>
      <c r="H1396" s="4" t="str">
        <f>IF(F1396="","",SUMIF('Estadísticas Jugadores'!$F$2:$F$7001,F1396,'Estadísticas Jugadores'!$J$2:$J$7001))</f>
        <v/>
      </c>
      <c r="I1396" s="4" t="str">
        <f t="shared" si="108"/>
        <v/>
      </c>
      <c r="J1396" s="4" t="str">
        <f t="shared" si="109"/>
        <v/>
      </c>
    </row>
    <row r="1397" spans="1:10" ht="15" customHeight="1" x14ac:dyDescent="0.25">
      <c r="A1397" s="8" t="str">
        <f>IF(COUNT($J$2:$J$1501)&gt;=1396,1396,"")</f>
        <v/>
      </c>
      <c r="B1397" s="8" t="str">
        <f t="shared" si="105"/>
        <v/>
      </c>
      <c r="C1397" s="8" t="str">
        <f t="shared" si="106"/>
        <v/>
      </c>
      <c r="D1397" s="8" t="str">
        <f t="shared" si="107"/>
        <v/>
      </c>
      <c r="F1397" s="4" t="str">
        <f>IF(Jugadores!B1397="","",Jugadores!B1397)</f>
        <v/>
      </c>
      <c r="G1397" s="4" t="str">
        <f>IF(Jugadores!B1397="","",Jugadores!A1397)</f>
        <v/>
      </c>
      <c r="H1397" s="4" t="str">
        <f>IF(F1397="","",SUMIF('Estadísticas Jugadores'!$F$2:$F$7001,F1397,'Estadísticas Jugadores'!$J$2:$J$7001))</f>
        <v/>
      </c>
      <c r="I1397" s="4" t="str">
        <f t="shared" si="108"/>
        <v/>
      </c>
      <c r="J1397" s="4" t="str">
        <f t="shared" si="109"/>
        <v/>
      </c>
    </row>
    <row r="1398" spans="1:10" ht="15" customHeight="1" x14ac:dyDescent="0.25">
      <c r="A1398" s="8" t="str">
        <f>IF(COUNT($J$2:$J$1501)&gt;=1397,1397,"")</f>
        <v/>
      </c>
      <c r="B1398" s="8" t="str">
        <f t="shared" si="105"/>
        <v/>
      </c>
      <c r="C1398" s="8" t="str">
        <f t="shared" si="106"/>
        <v/>
      </c>
      <c r="D1398" s="8" t="str">
        <f t="shared" si="107"/>
        <v/>
      </c>
      <c r="F1398" s="4" t="str">
        <f>IF(Jugadores!B1398="","",Jugadores!B1398)</f>
        <v/>
      </c>
      <c r="G1398" s="4" t="str">
        <f>IF(Jugadores!B1398="","",Jugadores!A1398)</f>
        <v/>
      </c>
      <c r="H1398" s="4" t="str">
        <f>IF(F1398="","",SUMIF('Estadísticas Jugadores'!$F$2:$F$7001,F1398,'Estadísticas Jugadores'!$J$2:$J$7001))</f>
        <v/>
      </c>
      <c r="I1398" s="4" t="str">
        <f t="shared" si="108"/>
        <v/>
      </c>
      <c r="J1398" s="4" t="str">
        <f t="shared" si="109"/>
        <v/>
      </c>
    </row>
    <row r="1399" spans="1:10" ht="15" customHeight="1" x14ac:dyDescent="0.25">
      <c r="A1399" s="8" t="str">
        <f>IF(COUNT($J$2:$J$1501)&gt;=1398,1398,"")</f>
        <v/>
      </c>
      <c r="B1399" s="8" t="str">
        <f t="shared" si="105"/>
        <v/>
      </c>
      <c r="C1399" s="8" t="str">
        <f t="shared" si="106"/>
        <v/>
      </c>
      <c r="D1399" s="8" t="str">
        <f t="shared" si="107"/>
        <v/>
      </c>
      <c r="F1399" s="4" t="str">
        <f>IF(Jugadores!B1399="","",Jugadores!B1399)</f>
        <v/>
      </c>
      <c r="G1399" s="4" t="str">
        <f>IF(Jugadores!B1399="","",Jugadores!A1399)</f>
        <v/>
      </c>
      <c r="H1399" s="4" t="str">
        <f>IF(F1399="","",SUMIF('Estadísticas Jugadores'!$F$2:$F$7001,F1399,'Estadísticas Jugadores'!$J$2:$J$7001))</f>
        <v/>
      </c>
      <c r="I1399" s="4" t="str">
        <f t="shared" si="108"/>
        <v/>
      </c>
      <c r="J1399" s="4" t="str">
        <f t="shared" si="109"/>
        <v/>
      </c>
    </row>
    <row r="1400" spans="1:10" ht="15" customHeight="1" x14ac:dyDescent="0.25">
      <c r="A1400" s="8" t="str">
        <f>IF(COUNT($J$2:$J$1501)&gt;=1399,1399,"")</f>
        <v/>
      </c>
      <c r="B1400" s="8" t="str">
        <f t="shared" si="105"/>
        <v/>
      </c>
      <c r="C1400" s="8" t="str">
        <f t="shared" si="106"/>
        <v/>
      </c>
      <c r="D1400" s="8" t="str">
        <f t="shared" si="107"/>
        <v/>
      </c>
      <c r="F1400" s="4" t="str">
        <f>IF(Jugadores!B1400="","",Jugadores!B1400)</f>
        <v/>
      </c>
      <c r="G1400" s="4" t="str">
        <f>IF(Jugadores!B1400="","",Jugadores!A1400)</f>
        <v/>
      </c>
      <c r="H1400" s="4" t="str">
        <f>IF(F1400="","",SUMIF('Estadísticas Jugadores'!$F$2:$F$7001,F1400,'Estadísticas Jugadores'!$J$2:$J$7001))</f>
        <v/>
      </c>
      <c r="I1400" s="4" t="str">
        <f t="shared" si="108"/>
        <v/>
      </c>
      <c r="J1400" s="4" t="str">
        <f t="shared" si="109"/>
        <v/>
      </c>
    </row>
    <row r="1401" spans="1:10" ht="15" customHeight="1" x14ac:dyDescent="0.25">
      <c r="A1401" s="8" t="str">
        <f>IF(COUNT($J$2:$J$1501)&gt;=1400,1400,"")</f>
        <v/>
      </c>
      <c r="B1401" s="8" t="str">
        <f t="shared" si="105"/>
        <v/>
      </c>
      <c r="C1401" s="8" t="str">
        <f t="shared" si="106"/>
        <v/>
      </c>
      <c r="D1401" s="8" t="str">
        <f t="shared" si="107"/>
        <v/>
      </c>
      <c r="F1401" s="4" t="str">
        <f>IF(Jugadores!B1401="","",Jugadores!B1401)</f>
        <v/>
      </c>
      <c r="G1401" s="4" t="str">
        <f>IF(Jugadores!B1401="","",Jugadores!A1401)</f>
        <v/>
      </c>
      <c r="H1401" s="4" t="str">
        <f>IF(F1401="","",SUMIF('Estadísticas Jugadores'!$F$2:$F$7001,F1401,'Estadísticas Jugadores'!$J$2:$J$7001))</f>
        <v/>
      </c>
      <c r="I1401" s="4" t="str">
        <f t="shared" si="108"/>
        <v/>
      </c>
      <c r="J1401" s="4" t="str">
        <f t="shared" si="109"/>
        <v/>
      </c>
    </row>
    <row r="1402" spans="1:10" ht="15" customHeight="1" x14ac:dyDescent="0.25">
      <c r="A1402" s="8" t="str">
        <f>IF(COUNT($J$2:$J$1501)&gt;=1401,1401,"")</f>
        <v/>
      </c>
      <c r="B1402" s="8" t="str">
        <f t="shared" si="105"/>
        <v/>
      </c>
      <c r="C1402" s="8" t="str">
        <f t="shared" si="106"/>
        <v/>
      </c>
      <c r="D1402" s="8" t="str">
        <f t="shared" si="107"/>
        <v/>
      </c>
      <c r="F1402" s="4" t="str">
        <f>IF(Jugadores!B1402="","",Jugadores!B1402)</f>
        <v/>
      </c>
      <c r="G1402" s="4" t="str">
        <f>IF(Jugadores!B1402="","",Jugadores!A1402)</f>
        <v/>
      </c>
      <c r="H1402" s="4" t="str">
        <f>IF(F1402="","",SUMIF('Estadísticas Jugadores'!$F$2:$F$7001,F1402,'Estadísticas Jugadores'!$J$2:$J$7001))</f>
        <v/>
      </c>
      <c r="I1402" s="4" t="str">
        <f t="shared" si="108"/>
        <v/>
      </c>
      <c r="J1402" s="4" t="str">
        <f t="shared" si="109"/>
        <v/>
      </c>
    </row>
    <row r="1403" spans="1:10" ht="15" customHeight="1" x14ac:dyDescent="0.25">
      <c r="A1403" s="8" t="str">
        <f>IF(COUNT($J$2:$J$1501)&gt;=1402,1402,"")</f>
        <v/>
      </c>
      <c r="B1403" s="8" t="str">
        <f t="shared" si="105"/>
        <v/>
      </c>
      <c r="C1403" s="8" t="str">
        <f t="shared" si="106"/>
        <v/>
      </c>
      <c r="D1403" s="8" t="str">
        <f t="shared" si="107"/>
        <v/>
      </c>
      <c r="F1403" s="4" t="str">
        <f>IF(Jugadores!B1403="","",Jugadores!B1403)</f>
        <v/>
      </c>
      <c r="G1403" s="4" t="str">
        <f>IF(Jugadores!B1403="","",Jugadores!A1403)</f>
        <v/>
      </c>
      <c r="H1403" s="4" t="str">
        <f>IF(F1403="","",SUMIF('Estadísticas Jugadores'!$F$2:$F$7001,F1403,'Estadísticas Jugadores'!$J$2:$J$7001))</f>
        <v/>
      </c>
      <c r="I1403" s="4" t="str">
        <f t="shared" si="108"/>
        <v/>
      </c>
      <c r="J1403" s="4" t="str">
        <f t="shared" si="109"/>
        <v/>
      </c>
    </row>
    <row r="1404" spans="1:10" ht="15" customHeight="1" x14ac:dyDescent="0.25">
      <c r="A1404" s="8" t="str">
        <f>IF(COUNT($J$2:$J$1501)&gt;=1403,1403,"")</f>
        <v/>
      </c>
      <c r="B1404" s="8" t="str">
        <f t="shared" si="105"/>
        <v/>
      </c>
      <c r="C1404" s="8" t="str">
        <f t="shared" si="106"/>
        <v/>
      </c>
      <c r="D1404" s="8" t="str">
        <f t="shared" si="107"/>
        <v/>
      </c>
      <c r="F1404" s="4" t="str">
        <f>IF(Jugadores!B1404="","",Jugadores!B1404)</f>
        <v/>
      </c>
      <c r="G1404" s="4" t="str">
        <f>IF(Jugadores!B1404="","",Jugadores!A1404)</f>
        <v/>
      </c>
      <c r="H1404" s="4" t="str">
        <f>IF(F1404="","",SUMIF('Estadísticas Jugadores'!$F$2:$F$7001,F1404,'Estadísticas Jugadores'!$J$2:$J$7001))</f>
        <v/>
      </c>
      <c r="I1404" s="4" t="str">
        <f t="shared" si="108"/>
        <v/>
      </c>
      <c r="J1404" s="4" t="str">
        <f t="shared" si="109"/>
        <v/>
      </c>
    </row>
    <row r="1405" spans="1:10" ht="15" customHeight="1" x14ac:dyDescent="0.25">
      <c r="A1405" s="8" t="str">
        <f>IF(COUNT($J$2:$J$1501)&gt;=1404,1404,"")</f>
        <v/>
      </c>
      <c r="B1405" s="8" t="str">
        <f t="shared" si="105"/>
        <v/>
      </c>
      <c r="C1405" s="8" t="str">
        <f t="shared" si="106"/>
        <v/>
      </c>
      <c r="D1405" s="8" t="str">
        <f t="shared" si="107"/>
        <v/>
      </c>
      <c r="F1405" s="4" t="str">
        <f>IF(Jugadores!B1405="","",Jugadores!B1405)</f>
        <v/>
      </c>
      <c r="G1405" s="4" t="str">
        <f>IF(Jugadores!B1405="","",Jugadores!A1405)</f>
        <v/>
      </c>
      <c r="H1405" s="4" t="str">
        <f>IF(F1405="","",SUMIF('Estadísticas Jugadores'!$F$2:$F$7001,F1405,'Estadísticas Jugadores'!$J$2:$J$7001))</f>
        <v/>
      </c>
      <c r="I1405" s="4" t="str">
        <f t="shared" si="108"/>
        <v/>
      </c>
      <c r="J1405" s="4" t="str">
        <f t="shared" si="109"/>
        <v/>
      </c>
    </row>
    <row r="1406" spans="1:10" ht="15" customHeight="1" x14ac:dyDescent="0.25">
      <c r="A1406" s="8" t="str">
        <f>IF(COUNT($J$2:$J$1501)&gt;=1405,1405,"")</f>
        <v/>
      </c>
      <c r="B1406" s="8" t="str">
        <f t="shared" si="105"/>
        <v/>
      </c>
      <c r="C1406" s="8" t="str">
        <f t="shared" si="106"/>
        <v/>
      </c>
      <c r="D1406" s="8" t="str">
        <f t="shared" si="107"/>
        <v/>
      </c>
      <c r="F1406" s="4" t="str">
        <f>IF(Jugadores!B1406="","",Jugadores!B1406)</f>
        <v/>
      </c>
      <c r="G1406" s="4" t="str">
        <f>IF(Jugadores!B1406="","",Jugadores!A1406)</f>
        <v/>
      </c>
      <c r="H1406" s="4" t="str">
        <f>IF(F1406="","",SUMIF('Estadísticas Jugadores'!$F$2:$F$7001,F1406,'Estadísticas Jugadores'!$J$2:$J$7001))</f>
        <v/>
      </c>
      <c r="I1406" s="4" t="str">
        <f t="shared" si="108"/>
        <v/>
      </c>
      <c r="J1406" s="4" t="str">
        <f t="shared" si="109"/>
        <v/>
      </c>
    </row>
    <row r="1407" spans="1:10" ht="15" customHeight="1" x14ac:dyDescent="0.25">
      <c r="A1407" s="8" t="str">
        <f>IF(COUNT($J$2:$J$1501)&gt;=1406,1406,"")</f>
        <v/>
      </c>
      <c r="B1407" s="8" t="str">
        <f t="shared" si="105"/>
        <v/>
      </c>
      <c r="C1407" s="8" t="str">
        <f t="shared" si="106"/>
        <v/>
      </c>
      <c r="D1407" s="8" t="str">
        <f t="shared" si="107"/>
        <v/>
      </c>
      <c r="F1407" s="4" t="str">
        <f>IF(Jugadores!B1407="","",Jugadores!B1407)</f>
        <v/>
      </c>
      <c r="G1407" s="4" t="str">
        <f>IF(Jugadores!B1407="","",Jugadores!A1407)</f>
        <v/>
      </c>
      <c r="H1407" s="4" t="str">
        <f>IF(F1407="","",SUMIF('Estadísticas Jugadores'!$F$2:$F$7001,F1407,'Estadísticas Jugadores'!$J$2:$J$7001))</f>
        <v/>
      </c>
      <c r="I1407" s="4" t="str">
        <f t="shared" si="108"/>
        <v/>
      </c>
      <c r="J1407" s="4" t="str">
        <f t="shared" si="109"/>
        <v/>
      </c>
    </row>
    <row r="1408" spans="1:10" ht="15" customHeight="1" x14ac:dyDescent="0.25">
      <c r="A1408" s="8" t="str">
        <f>IF(COUNT($J$2:$J$1501)&gt;=1407,1407,"")</f>
        <v/>
      </c>
      <c r="B1408" s="8" t="str">
        <f t="shared" si="105"/>
        <v/>
      </c>
      <c r="C1408" s="8" t="str">
        <f t="shared" si="106"/>
        <v/>
      </c>
      <c r="D1408" s="8" t="str">
        <f t="shared" si="107"/>
        <v/>
      </c>
      <c r="F1408" s="4" t="str">
        <f>IF(Jugadores!B1408="","",Jugadores!B1408)</f>
        <v/>
      </c>
      <c r="G1408" s="4" t="str">
        <f>IF(Jugadores!B1408="","",Jugadores!A1408)</f>
        <v/>
      </c>
      <c r="H1408" s="4" t="str">
        <f>IF(F1408="","",SUMIF('Estadísticas Jugadores'!$F$2:$F$7001,F1408,'Estadísticas Jugadores'!$J$2:$J$7001))</f>
        <v/>
      </c>
      <c r="I1408" s="4" t="str">
        <f t="shared" si="108"/>
        <v/>
      </c>
      <c r="J1408" s="4" t="str">
        <f t="shared" si="109"/>
        <v/>
      </c>
    </row>
    <row r="1409" spans="1:10" ht="15" customHeight="1" x14ac:dyDescent="0.25">
      <c r="A1409" s="8" t="str">
        <f>IF(COUNT($J$2:$J$1501)&gt;=1408,1408,"")</f>
        <v/>
      </c>
      <c r="B1409" s="8" t="str">
        <f t="shared" si="105"/>
        <v/>
      </c>
      <c r="C1409" s="8" t="str">
        <f t="shared" si="106"/>
        <v/>
      </c>
      <c r="D1409" s="8" t="str">
        <f t="shared" si="107"/>
        <v/>
      </c>
      <c r="F1409" s="4" t="str">
        <f>IF(Jugadores!B1409="","",Jugadores!B1409)</f>
        <v/>
      </c>
      <c r="G1409" s="4" t="str">
        <f>IF(Jugadores!B1409="","",Jugadores!A1409)</f>
        <v/>
      </c>
      <c r="H1409" s="4" t="str">
        <f>IF(F1409="","",SUMIF('Estadísticas Jugadores'!$F$2:$F$7001,F1409,'Estadísticas Jugadores'!$J$2:$J$7001))</f>
        <v/>
      </c>
      <c r="I1409" s="4" t="str">
        <f t="shared" si="108"/>
        <v/>
      </c>
      <c r="J1409" s="4" t="str">
        <f t="shared" si="109"/>
        <v/>
      </c>
    </row>
    <row r="1410" spans="1:10" ht="15" customHeight="1" x14ac:dyDescent="0.25">
      <c r="A1410" s="8" t="str">
        <f>IF(COUNT($J$2:$J$1501)&gt;=1409,1409,"")</f>
        <v/>
      </c>
      <c r="B1410" s="8" t="str">
        <f t="shared" ref="B1410:B1473" si="110">IF($A1410="","",INDEX($F$2:$F$1501,MATCH($A1410,$J$2:$J$1501,0)))</f>
        <v/>
      </c>
      <c r="C1410" s="8" t="str">
        <f t="shared" ref="C1410:C1473" si="111">IF($A1410="","",INDEX($G$2:$G$1501,MATCH($A1410,$J$2:$J$1501,0)))</f>
        <v/>
      </c>
      <c r="D1410" s="8" t="str">
        <f t="shared" ref="D1410:D1473" si="112">IF($A1410="","",INDEX($H$2:$H$1501,MATCH($A1410,$J$2:$J$1501,0)))</f>
        <v/>
      </c>
      <c r="F1410" s="4" t="str">
        <f>IF(Jugadores!B1410="","",Jugadores!B1410)</f>
        <v/>
      </c>
      <c r="G1410" s="4" t="str">
        <f>IF(Jugadores!B1410="","",Jugadores!A1410)</f>
        <v/>
      </c>
      <c r="H1410" s="4" t="str">
        <f>IF(F1410="","",SUMIF('Estadísticas Jugadores'!$F$2:$F$7001,F1410,'Estadísticas Jugadores'!$J$2:$J$7001))</f>
        <v/>
      </c>
      <c r="I1410" s="4" t="str">
        <f t="shared" ref="I1410:I1473" si="113">IF(F1410="","",H1410*1000-ROW()*0.0000001)</f>
        <v/>
      </c>
      <c r="J1410" s="4" t="str">
        <f t="shared" ref="J1410:J1473" si="114">IF(F1410="","",RANK(I1410,$I$2:$I$1501))</f>
        <v/>
      </c>
    </row>
    <row r="1411" spans="1:10" ht="15" customHeight="1" x14ac:dyDescent="0.25">
      <c r="A1411" s="8" t="str">
        <f>IF(COUNT($J$2:$J$1501)&gt;=1410,1410,"")</f>
        <v/>
      </c>
      <c r="B1411" s="8" t="str">
        <f t="shared" si="110"/>
        <v/>
      </c>
      <c r="C1411" s="8" t="str">
        <f t="shared" si="111"/>
        <v/>
      </c>
      <c r="D1411" s="8" t="str">
        <f t="shared" si="112"/>
        <v/>
      </c>
      <c r="F1411" s="4" t="str">
        <f>IF(Jugadores!B1411="","",Jugadores!B1411)</f>
        <v/>
      </c>
      <c r="G1411" s="4" t="str">
        <f>IF(Jugadores!B1411="","",Jugadores!A1411)</f>
        <v/>
      </c>
      <c r="H1411" s="4" t="str">
        <f>IF(F1411="","",SUMIF('Estadísticas Jugadores'!$F$2:$F$7001,F1411,'Estadísticas Jugadores'!$J$2:$J$7001))</f>
        <v/>
      </c>
      <c r="I1411" s="4" t="str">
        <f t="shared" si="113"/>
        <v/>
      </c>
      <c r="J1411" s="4" t="str">
        <f t="shared" si="114"/>
        <v/>
      </c>
    </row>
    <row r="1412" spans="1:10" ht="15" customHeight="1" x14ac:dyDescent="0.25">
      <c r="A1412" s="8" t="str">
        <f>IF(COUNT($J$2:$J$1501)&gt;=1411,1411,"")</f>
        <v/>
      </c>
      <c r="B1412" s="8" t="str">
        <f t="shared" si="110"/>
        <v/>
      </c>
      <c r="C1412" s="8" t="str">
        <f t="shared" si="111"/>
        <v/>
      </c>
      <c r="D1412" s="8" t="str">
        <f t="shared" si="112"/>
        <v/>
      </c>
      <c r="F1412" s="4" t="str">
        <f>IF(Jugadores!B1412="","",Jugadores!B1412)</f>
        <v/>
      </c>
      <c r="G1412" s="4" t="str">
        <f>IF(Jugadores!B1412="","",Jugadores!A1412)</f>
        <v/>
      </c>
      <c r="H1412" s="4" t="str">
        <f>IF(F1412="","",SUMIF('Estadísticas Jugadores'!$F$2:$F$7001,F1412,'Estadísticas Jugadores'!$J$2:$J$7001))</f>
        <v/>
      </c>
      <c r="I1412" s="4" t="str">
        <f t="shared" si="113"/>
        <v/>
      </c>
      <c r="J1412" s="4" t="str">
        <f t="shared" si="114"/>
        <v/>
      </c>
    </row>
    <row r="1413" spans="1:10" ht="15" customHeight="1" x14ac:dyDescent="0.25">
      <c r="A1413" s="8" t="str">
        <f>IF(COUNT($J$2:$J$1501)&gt;=1412,1412,"")</f>
        <v/>
      </c>
      <c r="B1413" s="8" t="str">
        <f t="shared" si="110"/>
        <v/>
      </c>
      <c r="C1413" s="8" t="str">
        <f t="shared" si="111"/>
        <v/>
      </c>
      <c r="D1413" s="8" t="str">
        <f t="shared" si="112"/>
        <v/>
      </c>
      <c r="F1413" s="4" t="str">
        <f>IF(Jugadores!B1413="","",Jugadores!B1413)</f>
        <v/>
      </c>
      <c r="G1413" s="4" t="str">
        <f>IF(Jugadores!B1413="","",Jugadores!A1413)</f>
        <v/>
      </c>
      <c r="H1413" s="4" t="str">
        <f>IF(F1413="","",SUMIF('Estadísticas Jugadores'!$F$2:$F$7001,F1413,'Estadísticas Jugadores'!$J$2:$J$7001))</f>
        <v/>
      </c>
      <c r="I1413" s="4" t="str">
        <f t="shared" si="113"/>
        <v/>
      </c>
      <c r="J1413" s="4" t="str">
        <f t="shared" si="114"/>
        <v/>
      </c>
    </row>
    <row r="1414" spans="1:10" ht="15" customHeight="1" x14ac:dyDescent="0.25">
      <c r="A1414" s="8" t="str">
        <f>IF(COUNT($J$2:$J$1501)&gt;=1413,1413,"")</f>
        <v/>
      </c>
      <c r="B1414" s="8" t="str">
        <f t="shared" si="110"/>
        <v/>
      </c>
      <c r="C1414" s="8" t="str">
        <f t="shared" si="111"/>
        <v/>
      </c>
      <c r="D1414" s="8" t="str">
        <f t="shared" si="112"/>
        <v/>
      </c>
      <c r="F1414" s="4" t="str">
        <f>IF(Jugadores!B1414="","",Jugadores!B1414)</f>
        <v/>
      </c>
      <c r="G1414" s="4" t="str">
        <f>IF(Jugadores!B1414="","",Jugadores!A1414)</f>
        <v/>
      </c>
      <c r="H1414" s="4" t="str">
        <f>IF(F1414="","",SUMIF('Estadísticas Jugadores'!$F$2:$F$7001,F1414,'Estadísticas Jugadores'!$J$2:$J$7001))</f>
        <v/>
      </c>
      <c r="I1414" s="4" t="str">
        <f t="shared" si="113"/>
        <v/>
      </c>
      <c r="J1414" s="4" t="str">
        <f t="shared" si="114"/>
        <v/>
      </c>
    </row>
    <row r="1415" spans="1:10" ht="15" customHeight="1" x14ac:dyDescent="0.25">
      <c r="A1415" s="8" t="str">
        <f>IF(COUNT($J$2:$J$1501)&gt;=1414,1414,"")</f>
        <v/>
      </c>
      <c r="B1415" s="8" t="str">
        <f t="shared" si="110"/>
        <v/>
      </c>
      <c r="C1415" s="8" t="str">
        <f t="shared" si="111"/>
        <v/>
      </c>
      <c r="D1415" s="8" t="str">
        <f t="shared" si="112"/>
        <v/>
      </c>
      <c r="F1415" s="4" t="str">
        <f>IF(Jugadores!B1415="","",Jugadores!B1415)</f>
        <v/>
      </c>
      <c r="G1415" s="4" t="str">
        <f>IF(Jugadores!B1415="","",Jugadores!A1415)</f>
        <v/>
      </c>
      <c r="H1415" s="4" t="str">
        <f>IF(F1415="","",SUMIF('Estadísticas Jugadores'!$F$2:$F$7001,F1415,'Estadísticas Jugadores'!$J$2:$J$7001))</f>
        <v/>
      </c>
      <c r="I1415" s="4" t="str">
        <f t="shared" si="113"/>
        <v/>
      </c>
      <c r="J1415" s="4" t="str">
        <f t="shared" si="114"/>
        <v/>
      </c>
    </row>
    <row r="1416" spans="1:10" ht="15" customHeight="1" x14ac:dyDescent="0.25">
      <c r="A1416" s="8" t="str">
        <f>IF(COUNT($J$2:$J$1501)&gt;=1415,1415,"")</f>
        <v/>
      </c>
      <c r="B1416" s="8" t="str">
        <f t="shared" si="110"/>
        <v/>
      </c>
      <c r="C1416" s="8" t="str">
        <f t="shared" si="111"/>
        <v/>
      </c>
      <c r="D1416" s="8" t="str">
        <f t="shared" si="112"/>
        <v/>
      </c>
      <c r="F1416" s="4" t="str">
        <f>IF(Jugadores!B1416="","",Jugadores!B1416)</f>
        <v/>
      </c>
      <c r="G1416" s="4" t="str">
        <f>IF(Jugadores!B1416="","",Jugadores!A1416)</f>
        <v/>
      </c>
      <c r="H1416" s="4" t="str">
        <f>IF(F1416="","",SUMIF('Estadísticas Jugadores'!$F$2:$F$7001,F1416,'Estadísticas Jugadores'!$J$2:$J$7001))</f>
        <v/>
      </c>
      <c r="I1416" s="4" t="str">
        <f t="shared" si="113"/>
        <v/>
      </c>
      <c r="J1416" s="4" t="str">
        <f t="shared" si="114"/>
        <v/>
      </c>
    </row>
    <row r="1417" spans="1:10" ht="15" customHeight="1" x14ac:dyDescent="0.25">
      <c r="A1417" s="8" t="str">
        <f>IF(COUNT($J$2:$J$1501)&gt;=1416,1416,"")</f>
        <v/>
      </c>
      <c r="B1417" s="8" t="str">
        <f t="shared" si="110"/>
        <v/>
      </c>
      <c r="C1417" s="8" t="str">
        <f t="shared" si="111"/>
        <v/>
      </c>
      <c r="D1417" s="8" t="str">
        <f t="shared" si="112"/>
        <v/>
      </c>
      <c r="F1417" s="4" t="str">
        <f>IF(Jugadores!B1417="","",Jugadores!B1417)</f>
        <v/>
      </c>
      <c r="G1417" s="4" t="str">
        <f>IF(Jugadores!B1417="","",Jugadores!A1417)</f>
        <v/>
      </c>
      <c r="H1417" s="4" t="str">
        <f>IF(F1417="","",SUMIF('Estadísticas Jugadores'!$F$2:$F$7001,F1417,'Estadísticas Jugadores'!$J$2:$J$7001))</f>
        <v/>
      </c>
      <c r="I1417" s="4" t="str">
        <f t="shared" si="113"/>
        <v/>
      </c>
      <c r="J1417" s="4" t="str">
        <f t="shared" si="114"/>
        <v/>
      </c>
    </row>
    <row r="1418" spans="1:10" ht="15" customHeight="1" x14ac:dyDescent="0.25">
      <c r="A1418" s="8" t="str">
        <f>IF(COUNT($J$2:$J$1501)&gt;=1417,1417,"")</f>
        <v/>
      </c>
      <c r="B1418" s="8" t="str">
        <f t="shared" si="110"/>
        <v/>
      </c>
      <c r="C1418" s="8" t="str">
        <f t="shared" si="111"/>
        <v/>
      </c>
      <c r="D1418" s="8" t="str">
        <f t="shared" si="112"/>
        <v/>
      </c>
      <c r="F1418" s="4" t="str">
        <f>IF(Jugadores!B1418="","",Jugadores!B1418)</f>
        <v/>
      </c>
      <c r="G1418" s="4" t="str">
        <f>IF(Jugadores!B1418="","",Jugadores!A1418)</f>
        <v/>
      </c>
      <c r="H1418" s="4" t="str">
        <f>IF(F1418="","",SUMIF('Estadísticas Jugadores'!$F$2:$F$7001,F1418,'Estadísticas Jugadores'!$J$2:$J$7001))</f>
        <v/>
      </c>
      <c r="I1418" s="4" t="str">
        <f t="shared" si="113"/>
        <v/>
      </c>
      <c r="J1418" s="4" t="str">
        <f t="shared" si="114"/>
        <v/>
      </c>
    </row>
    <row r="1419" spans="1:10" ht="15" customHeight="1" x14ac:dyDescent="0.25">
      <c r="A1419" s="8" t="str">
        <f>IF(COUNT($J$2:$J$1501)&gt;=1418,1418,"")</f>
        <v/>
      </c>
      <c r="B1419" s="8" t="str">
        <f t="shared" si="110"/>
        <v/>
      </c>
      <c r="C1419" s="8" t="str">
        <f t="shared" si="111"/>
        <v/>
      </c>
      <c r="D1419" s="8" t="str">
        <f t="shared" si="112"/>
        <v/>
      </c>
      <c r="F1419" s="4" t="str">
        <f>IF(Jugadores!B1419="","",Jugadores!B1419)</f>
        <v/>
      </c>
      <c r="G1419" s="4" t="str">
        <f>IF(Jugadores!B1419="","",Jugadores!A1419)</f>
        <v/>
      </c>
      <c r="H1419" s="4" t="str">
        <f>IF(F1419="","",SUMIF('Estadísticas Jugadores'!$F$2:$F$7001,F1419,'Estadísticas Jugadores'!$J$2:$J$7001))</f>
        <v/>
      </c>
      <c r="I1419" s="4" t="str">
        <f t="shared" si="113"/>
        <v/>
      </c>
      <c r="J1419" s="4" t="str">
        <f t="shared" si="114"/>
        <v/>
      </c>
    </row>
    <row r="1420" spans="1:10" ht="15" customHeight="1" x14ac:dyDescent="0.25">
      <c r="A1420" s="8" t="str">
        <f>IF(COUNT($J$2:$J$1501)&gt;=1419,1419,"")</f>
        <v/>
      </c>
      <c r="B1420" s="8" t="str">
        <f t="shared" si="110"/>
        <v/>
      </c>
      <c r="C1420" s="8" t="str">
        <f t="shared" si="111"/>
        <v/>
      </c>
      <c r="D1420" s="8" t="str">
        <f t="shared" si="112"/>
        <v/>
      </c>
      <c r="F1420" s="4" t="str">
        <f>IF(Jugadores!B1420="","",Jugadores!B1420)</f>
        <v/>
      </c>
      <c r="G1420" s="4" t="str">
        <f>IF(Jugadores!B1420="","",Jugadores!A1420)</f>
        <v/>
      </c>
      <c r="H1420" s="4" t="str">
        <f>IF(F1420="","",SUMIF('Estadísticas Jugadores'!$F$2:$F$7001,F1420,'Estadísticas Jugadores'!$J$2:$J$7001))</f>
        <v/>
      </c>
      <c r="I1420" s="4" t="str">
        <f t="shared" si="113"/>
        <v/>
      </c>
      <c r="J1420" s="4" t="str">
        <f t="shared" si="114"/>
        <v/>
      </c>
    </row>
    <row r="1421" spans="1:10" ht="15" customHeight="1" x14ac:dyDescent="0.25">
      <c r="A1421" s="8" t="str">
        <f>IF(COUNT($J$2:$J$1501)&gt;=1420,1420,"")</f>
        <v/>
      </c>
      <c r="B1421" s="8" t="str">
        <f t="shared" si="110"/>
        <v/>
      </c>
      <c r="C1421" s="8" t="str">
        <f t="shared" si="111"/>
        <v/>
      </c>
      <c r="D1421" s="8" t="str">
        <f t="shared" si="112"/>
        <v/>
      </c>
      <c r="F1421" s="4" t="str">
        <f>IF(Jugadores!B1421="","",Jugadores!B1421)</f>
        <v/>
      </c>
      <c r="G1421" s="4" t="str">
        <f>IF(Jugadores!B1421="","",Jugadores!A1421)</f>
        <v/>
      </c>
      <c r="H1421" s="4" t="str">
        <f>IF(F1421="","",SUMIF('Estadísticas Jugadores'!$F$2:$F$7001,F1421,'Estadísticas Jugadores'!$J$2:$J$7001))</f>
        <v/>
      </c>
      <c r="I1421" s="4" t="str">
        <f t="shared" si="113"/>
        <v/>
      </c>
      <c r="J1421" s="4" t="str">
        <f t="shared" si="114"/>
        <v/>
      </c>
    </row>
    <row r="1422" spans="1:10" ht="15" customHeight="1" x14ac:dyDescent="0.25">
      <c r="A1422" s="8" t="str">
        <f>IF(COUNT($J$2:$J$1501)&gt;=1421,1421,"")</f>
        <v/>
      </c>
      <c r="B1422" s="8" t="str">
        <f t="shared" si="110"/>
        <v/>
      </c>
      <c r="C1422" s="8" t="str">
        <f t="shared" si="111"/>
        <v/>
      </c>
      <c r="D1422" s="8" t="str">
        <f t="shared" si="112"/>
        <v/>
      </c>
      <c r="F1422" s="4" t="str">
        <f>IF(Jugadores!B1422="","",Jugadores!B1422)</f>
        <v/>
      </c>
      <c r="G1422" s="4" t="str">
        <f>IF(Jugadores!B1422="","",Jugadores!A1422)</f>
        <v/>
      </c>
      <c r="H1422" s="4" t="str">
        <f>IF(F1422="","",SUMIF('Estadísticas Jugadores'!$F$2:$F$7001,F1422,'Estadísticas Jugadores'!$J$2:$J$7001))</f>
        <v/>
      </c>
      <c r="I1422" s="4" t="str">
        <f t="shared" si="113"/>
        <v/>
      </c>
      <c r="J1422" s="4" t="str">
        <f t="shared" si="114"/>
        <v/>
      </c>
    </row>
    <row r="1423" spans="1:10" ht="15" customHeight="1" x14ac:dyDescent="0.25">
      <c r="A1423" s="8" t="str">
        <f>IF(COUNT($J$2:$J$1501)&gt;=1422,1422,"")</f>
        <v/>
      </c>
      <c r="B1423" s="8" t="str">
        <f t="shared" si="110"/>
        <v/>
      </c>
      <c r="C1423" s="8" t="str">
        <f t="shared" si="111"/>
        <v/>
      </c>
      <c r="D1423" s="8" t="str">
        <f t="shared" si="112"/>
        <v/>
      </c>
      <c r="F1423" s="4" t="str">
        <f>IF(Jugadores!B1423="","",Jugadores!B1423)</f>
        <v/>
      </c>
      <c r="G1423" s="4" t="str">
        <f>IF(Jugadores!B1423="","",Jugadores!A1423)</f>
        <v/>
      </c>
      <c r="H1423" s="4" t="str">
        <f>IF(F1423="","",SUMIF('Estadísticas Jugadores'!$F$2:$F$7001,F1423,'Estadísticas Jugadores'!$J$2:$J$7001))</f>
        <v/>
      </c>
      <c r="I1423" s="4" t="str">
        <f t="shared" si="113"/>
        <v/>
      </c>
      <c r="J1423" s="4" t="str">
        <f t="shared" si="114"/>
        <v/>
      </c>
    </row>
    <row r="1424" spans="1:10" ht="15" customHeight="1" x14ac:dyDescent="0.25">
      <c r="A1424" s="8" t="str">
        <f>IF(COUNT($J$2:$J$1501)&gt;=1423,1423,"")</f>
        <v/>
      </c>
      <c r="B1424" s="8" t="str">
        <f t="shared" si="110"/>
        <v/>
      </c>
      <c r="C1424" s="8" t="str">
        <f t="shared" si="111"/>
        <v/>
      </c>
      <c r="D1424" s="8" t="str">
        <f t="shared" si="112"/>
        <v/>
      </c>
      <c r="F1424" s="4" t="str">
        <f>IF(Jugadores!B1424="","",Jugadores!B1424)</f>
        <v/>
      </c>
      <c r="G1424" s="4" t="str">
        <f>IF(Jugadores!B1424="","",Jugadores!A1424)</f>
        <v/>
      </c>
      <c r="H1424" s="4" t="str">
        <f>IF(F1424="","",SUMIF('Estadísticas Jugadores'!$F$2:$F$7001,F1424,'Estadísticas Jugadores'!$J$2:$J$7001))</f>
        <v/>
      </c>
      <c r="I1424" s="4" t="str">
        <f t="shared" si="113"/>
        <v/>
      </c>
      <c r="J1424" s="4" t="str">
        <f t="shared" si="114"/>
        <v/>
      </c>
    </row>
    <row r="1425" spans="1:10" ht="15" customHeight="1" x14ac:dyDescent="0.25">
      <c r="A1425" s="8" t="str">
        <f>IF(COUNT($J$2:$J$1501)&gt;=1424,1424,"")</f>
        <v/>
      </c>
      <c r="B1425" s="8" t="str">
        <f t="shared" si="110"/>
        <v/>
      </c>
      <c r="C1425" s="8" t="str">
        <f t="shared" si="111"/>
        <v/>
      </c>
      <c r="D1425" s="8" t="str">
        <f t="shared" si="112"/>
        <v/>
      </c>
      <c r="F1425" s="4" t="str">
        <f>IF(Jugadores!B1425="","",Jugadores!B1425)</f>
        <v/>
      </c>
      <c r="G1425" s="4" t="str">
        <f>IF(Jugadores!B1425="","",Jugadores!A1425)</f>
        <v/>
      </c>
      <c r="H1425" s="4" t="str">
        <f>IF(F1425="","",SUMIF('Estadísticas Jugadores'!$F$2:$F$7001,F1425,'Estadísticas Jugadores'!$J$2:$J$7001))</f>
        <v/>
      </c>
      <c r="I1425" s="4" t="str">
        <f t="shared" si="113"/>
        <v/>
      </c>
      <c r="J1425" s="4" t="str">
        <f t="shared" si="114"/>
        <v/>
      </c>
    </row>
    <row r="1426" spans="1:10" ht="15" customHeight="1" x14ac:dyDescent="0.25">
      <c r="A1426" s="8" t="str">
        <f>IF(COUNT($J$2:$J$1501)&gt;=1425,1425,"")</f>
        <v/>
      </c>
      <c r="B1426" s="8" t="str">
        <f t="shared" si="110"/>
        <v/>
      </c>
      <c r="C1426" s="8" t="str">
        <f t="shared" si="111"/>
        <v/>
      </c>
      <c r="D1426" s="8" t="str">
        <f t="shared" si="112"/>
        <v/>
      </c>
      <c r="F1426" s="4" t="str">
        <f>IF(Jugadores!B1426="","",Jugadores!B1426)</f>
        <v/>
      </c>
      <c r="G1426" s="4" t="str">
        <f>IF(Jugadores!B1426="","",Jugadores!A1426)</f>
        <v/>
      </c>
      <c r="H1426" s="4" t="str">
        <f>IF(F1426="","",SUMIF('Estadísticas Jugadores'!$F$2:$F$7001,F1426,'Estadísticas Jugadores'!$J$2:$J$7001))</f>
        <v/>
      </c>
      <c r="I1426" s="4" t="str">
        <f t="shared" si="113"/>
        <v/>
      </c>
      <c r="J1426" s="4" t="str">
        <f t="shared" si="114"/>
        <v/>
      </c>
    </row>
    <row r="1427" spans="1:10" ht="15" customHeight="1" x14ac:dyDescent="0.25">
      <c r="A1427" s="8" t="str">
        <f>IF(COUNT($J$2:$J$1501)&gt;=1426,1426,"")</f>
        <v/>
      </c>
      <c r="B1427" s="8" t="str">
        <f t="shared" si="110"/>
        <v/>
      </c>
      <c r="C1427" s="8" t="str">
        <f t="shared" si="111"/>
        <v/>
      </c>
      <c r="D1427" s="8" t="str">
        <f t="shared" si="112"/>
        <v/>
      </c>
      <c r="F1427" s="4" t="str">
        <f>IF(Jugadores!B1427="","",Jugadores!B1427)</f>
        <v/>
      </c>
      <c r="G1427" s="4" t="str">
        <f>IF(Jugadores!B1427="","",Jugadores!A1427)</f>
        <v/>
      </c>
      <c r="H1427" s="4" t="str">
        <f>IF(F1427="","",SUMIF('Estadísticas Jugadores'!$F$2:$F$7001,F1427,'Estadísticas Jugadores'!$J$2:$J$7001))</f>
        <v/>
      </c>
      <c r="I1427" s="4" t="str">
        <f t="shared" si="113"/>
        <v/>
      </c>
      <c r="J1427" s="4" t="str">
        <f t="shared" si="114"/>
        <v/>
      </c>
    </row>
    <row r="1428" spans="1:10" ht="15" customHeight="1" x14ac:dyDescent="0.25">
      <c r="A1428" s="8" t="str">
        <f>IF(COUNT($J$2:$J$1501)&gt;=1427,1427,"")</f>
        <v/>
      </c>
      <c r="B1428" s="8" t="str">
        <f t="shared" si="110"/>
        <v/>
      </c>
      <c r="C1428" s="8" t="str">
        <f t="shared" si="111"/>
        <v/>
      </c>
      <c r="D1428" s="8" t="str">
        <f t="shared" si="112"/>
        <v/>
      </c>
      <c r="F1428" s="4" t="str">
        <f>IF(Jugadores!B1428="","",Jugadores!B1428)</f>
        <v/>
      </c>
      <c r="G1428" s="4" t="str">
        <f>IF(Jugadores!B1428="","",Jugadores!A1428)</f>
        <v/>
      </c>
      <c r="H1428" s="4" t="str">
        <f>IF(F1428="","",SUMIF('Estadísticas Jugadores'!$F$2:$F$7001,F1428,'Estadísticas Jugadores'!$J$2:$J$7001))</f>
        <v/>
      </c>
      <c r="I1428" s="4" t="str">
        <f t="shared" si="113"/>
        <v/>
      </c>
      <c r="J1428" s="4" t="str">
        <f t="shared" si="114"/>
        <v/>
      </c>
    </row>
    <row r="1429" spans="1:10" ht="15" customHeight="1" x14ac:dyDescent="0.25">
      <c r="A1429" s="8" t="str">
        <f>IF(COUNT($J$2:$J$1501)&gt;=1428,1428,"")</f>
        <v/>
      </c>
      <c r="B1429" s="8" t="str">
        <f t="shared" si="110"/>
        <v/>
      </c>
      <c r="C1429" s="8" t="str">
        <f t="shared" si="111"/>
        <v/>
      </c>
      <c r="D1429" s="8" t="str">
        <f t="shared" si="112"/>
        <v/>
      </c>
      <c r="F1429" s="4" t="str">
        <f>IF(Jugadores!B1429="","",Jugadores!B1429)</f>
        <v/>
      </c>
      <c r="G1429" s="4" t="str">
        <f>IF(Jugadores!B1429="","",Jugadores!A1429)</f>
        <v/>
      </c>
      <c r="H1429" s="4" t="str">
        <f>IF(F1429="","",SUMIF('Estadísticas Jugadores'!$F$2:$F$7001,F1429,'Estadísticas Jugadores'!$J$2:$J$7001))</f>
        <v/>
      </c>
      <c r="I1429" s="4" t="str">
        <f t="shared" si="113"/>
        <v/>
      </c>
      <c r="J1429" s="4" t="str">
        <f t="shared" si="114"/>
        <v/>
      </c>
    </row>
    <row r="1430" spans="1:10" ht="15" customHeight="1" x14ac:dyDescent="0.25">
      <c r="A1430" s="8" t="str">
        <f>IF(COUNT($J$2:$J$1501)&gt;=1429,1429,"")</f>
        <v/>
      </c>
      <c r="B1430" s="8" t="str">
        <f t="shared" si="110"/>
        <v/>
      </c>
      <c r="C1430" s="8" t="str">
        <f t="shared" si="111"/>
        <v/>
      </c>
      <c r="D1430" s="8" t="str">
        <f t="shared" si="112"/>
        <v/>
      </c>
      <c r="F1430" s="4" t="str">
        <f>IF(Jugadores!B1430="","",Jugadores!B1430)</f>
        <v/>
      </c>
      <c r="G1430" s="4" t="str">
        <f>IF(Jugadores!B1430="","",Jugadores!A1430)</f>
        <v/>
      </c>
      <c r="H1430" s="4" t="str">
        <f>IF(F1430="","",SUMIF('Estadísticas Jugadores'!$F$2:$F$7001,F1430,'Estadísticas Jugadores'!$J$2:$J$7001))</f>
        <v/>
      </c>
      <c r="I1430" s="4" t="str">
        <f t="shared" si="113"/>
        <v/>
      </c>
      <c r="J1430" s="4" t="str">
        <f t="shared" si="114"/>
        <v/>
      </c>
    </row>
    <row r="1431" spans="1:10" ht="15" customHeight="1" x14ac:dyDescent="0.25">
      <c r="A1431" s="8" t="str">
        <f>IF(COUNT($J$2:$J$1501)&gt;=1430,1430,"")</f>
        <v/>
      </c>
      <c r="B1431" s="8" t="str">
        <f t="shared" si="110"/>
        <v/>
      </c>
      <c r="C1431" s="8" t="str">
        <f t="shared" si="111"/>
        <v/>
      </c>
      <c r="D1431" s="8" t="str">
        <f t="shared" si="112"/>
        <v/>
      </c>
      <c r="F1431" s="4" t="str">
        <f>IF(Jugadores!B1431="","",Jugadores!B1431)</f>
        <v/>
      </c>
      <c r="G1431" s="4" t="str">
        <f>IF(Jugadores!B1431="","",Jugadores!A1431)</f>
        <v/>
      </c>
      <c r="H1431" s="4" t="str">
        <f>IF(F1431="","",SUMIF('Estadísticas Jugadores'!$F$2:$F$7001,F1431,'Estadísticas Jugadores'!$J$2:$J$7001))</f>
        <v/>
      </c>
      <c r="I1431" s="4" t="str">
        <f t="shared" si="113"/>
        <v/>
      </c>
      <c r="J1431" s="4" t="str">
        <f t="shared" si="114"/>
        <v/>
      </c>
    </row>
    <row r="1432" spans="1:10" ht="15" customHeight="1" x14ac:dyDescent="0.25">
      <c r="A1432" s="8" t="str">
        <f>IF(COUNT($J$2:$J$1501)&gt;=1431,1431,"")</f>
        <v/>
      </c>
      <c r="B1432" s="8" t="str">
        <f t="shared" si="110"/>
        <v/>
      </c>
      <c r="C1432" s="8" t="str">
        <f t="shared" si="111"/>
        <v/>
      </c>
      <c r="D1432" s="8" t="str">
        <f t="shared" si="112"/>
        <v/>
      </c>
      <c r="F1432" s="4" t="str">
        <f>IF(Jugadores!B1432="","",Jugadores!B1432)</f>
        <v/>
      </c>
      <c r="G1432" s="4" t="str">
        <f>IF(Jugadores!B1432="","",Jugadores!A1432)</f>
        <v/>
      </c>
      <c r="H1432" s="4" t="str">
        <f>IF(F1432="","",SUMIF('Estadísticas Jugadores'!$F$2:$F$7001,F1432,'Estadísticas Jugadores'!$J$2:$J$7001))</f>
        <v/>
      </c>
      <c r="I1432" s="4" t="str">
        <f t="shared" si="113"/>
        <v/>
      </c>
      <c r="J1432" s="4" t="str">
        <f t="shared" si="114"/>
        <v/>
      </c>
    </row>
    <row r="1433" spans="1:10" ht="15" customHeight="1" x14ac:dyDescent="0.25">
      <c r="A1433" s="8" t="str">
        <f>IF(COUNT($J$2:$J$1501)&gt;=1432,1432,"")</f>
        <v/>
      </c>
      <c r="B1433" s="8" t="str">
        <f t="shared" si="110"/>
        <v/>
      </c>
      <c r="C1433" s="8" t="str">
        <f t="shared" si="111"/>
        <v/>
      </c>
      <c r="D1433" s="8" t="str">
        <f t="shared" si="112"/>
        <v/>
      </c>
      <c r="F1433" s="4" t="str">
        <f>IF(Jugadores!B1433="","",Jugadores!B1433)</f>
        <v/>
      </c>
      <c r="G1433" s="4" t="str">
        <f>IF(Jugadores!B1433="","",Jugadores!A1433)</f>
        <v/>
      </c>
      <c r="H1433" s="4" t="str">
        <f>IF(F1433="","",SUMIF('Estadísticas Jugadores'!$F$2:$F$7001,F1433,'Estadísticas Jugadores'!$J$2:$J$7001))</f>
        <v/>
      </c>
      <c r="I1433" s="4" t="str">
        <f t="shared" si="113"/>
        <v/>
      </c>
      <c r="J1433" s="4" t="str">
        <f t="shared" si="114"/>
        <v/>
      </c>
    </row>
    <row r="1434" spans="1:10" ht="15" customHeight="1" x14ac:dyDescent="0.25">
      <c r="A1434" s="8" t="str">
        <f>IF(COUNT($J$2:$J$1501)&gt;=1433,1433,"")</f>
        <v/>
      </c>
      <c r="B1434" s="8" t="str">
        <f t="shared" si="110"/>
        <v/>
      </c>
      <c r="C1434" s="8" t="str">
        <f t="shared" si="111"/>
        <v/>
      </c>
      <c r="D1434" s="8" t="str">
        <f t="shared" si="112"/>
        <v/>
      </c>
      <c r="F1434" s="4" t="str">
        <f>IF(Jugadores!B1434="","",Jugadores!B1434)</f>
        <v/>
      </c>
      <c r="G1434" s="4" t="str">
        <f>IF(Jugadores!B1434="","",Jugadores!A1434)</f>
        <v/>
      </c>
      <c r="H1434" s="4" t="str">
        <f>IF(F1434="","",SUMIF('Estadísticas Jugadores'!$F$2:$F$7001,F1434,'Estadísticas Jugadores'!$J$2:$J$7001))</f>
        <v/>
      </c>
      <c r="I1434" s="4" t="str">
        <f t="shared" si="113"/>
        <v/>
      </c>
      <c r="J1434" s="4" t="str">
        <f t="shared" si="114"/>
        <v/>
      </c>
    </row>
    <row r="1435" spans="1:10" ht="15" customHeight="1" x14ac:dyDescent="0.25">
      <c r="A1435" s="8" t="str">
        <f>IF(COUNT($J$2:$J$1501)&gt;=1434,1434,"")</f>
        <v/>
      </c>
      <c r="B1435" s="8" t="str">
        <f t="shared" si="110"/>
        <v/>
      </c>
      <c r="C1435" s="8" t="str">
        <f t="shared" si="111"/>
        <v/>
      </c>
      <c r="D1435" s="8" t="str">
        <f t="shared" si="112"/>
        <v/>
      </c>
      <c r="F1435" s="4" t="str">
        <f>IF(Jugadores!B1435="","",Jugadores!B1435)</f>
        <v/>
      </c>
      <c r="G1435" s="4" t="str">
        <f>IF(Jugadores!B1435="","",Jugadores!A1435)</f>
        <v/>
      </c>
      <c r="H1435" s="4" t="str">
        <f>IF(F1435="","",SUMIF('Estadísticas Jugadores'!$F$2:$F$7001,F1435,'Estadísticas Jugadores'!$J$2:$J$7001))</f>
        <v/>
      </c>
      <c r="I1435" s="4" t="str">
        <f t="shared" si="113"/>
        <v/>
      </c>
      <c r="J1435" s="4" t="str">
        <f t="shared" si="114"/>
        <v/>
      </c>
    </row>
    <row r="1436" spans="1:10" ht="15" customHeight="1" x14ac:dyDescent="0.25">
      <c r="A1436" s="8" t="str">
        <f>IF(COUNT($J$2:$J$1501)&gt;=1435,1435,"")</f>
        <v/>
      </c>
      <c r="B1436" s="8" t="str">
        <f t="shared" si="110"/>
        <v/>
      </c>
      <c r="C1436" s="8" t="str">
        <f t="shared" si="111"/>
        <v/>
      </c>
      <c r="D1436" s="8" t="str">
        <f t="shared" si="112"/>
        <v/>
      </c>
      <c r="F1436" s="4" t="str">
        <f>IF(Jugadores!B1436="","",Jugadores!B1436)</f>
        <v/>
      </c>
      <c r="G1436" s="4" t="str">
        <f>IF(Jugadores!B1436="","",Jugadores!A1436)</f>
        <v/>
      </c>
      <c r="H1436" s="4" t="str">
        <f>IF(F1436="","",SUMIF('Estadísticas Jugadores'!$F$2:$F$7001,F1436,'Estadísticas Jugadores'!$J$2:$J$7001))</f>
        <v/>
      </c>
      <c r="I1436" s="4" t="str">
        <f t="shared" si="113"/>
        <v/>
      </c>
      <c r="J1436" s="4" t="str">
        <f t="shared" si="114"/>
        <v/>
      </c>
    </row>
    <row r="1437" spans="1:10" ht="15" customHeight="1" x14ac:dyDescent="0.25">
      <c r="A1437" s="8" t="str">
        <f>IF(COUNT($J$2:$J$1501)&gt;=1436,1436,"")</f>
        <v/>
      </c>
      <c r="B1437" s="8" t="str">
        <f t="shared" si="110"/>
        <v/>
      </c>
      <c r="C1437" s="8" t="str">
        <f t="shared" si="111"/>
        <v/>
      </c>
      <c r="D1437" s="8" t="str">
        <f t="shared" si="112"/>
        <v/>
      </c>
      <c r="F1437" s="4" t="str">
        <f>IF(Jugadores!B1437="","",Jugadores!B1437)</f>
        <v/>
      </c>
      <c r="G1437" s="4" t="str">
        <f>IF(Jugadores!B1437="","",Jugadores!A1437)</f>
        <v/>
      </c>
      <c r="H1437" s="4" t="str">
        <f>IF(F1437="","",SUMIF('Estadísticas Jugadores'!$F$2:$F$7001,F1437,'Estadísticas Jugadores'!$J$2:$J$7001))</f>
        <v/>
      </c>
      <c r="I1437" s="4" t="str">
        <f t="shared" si="113"/>
        <v/>
      </c>
      <c r="J1437" s="4" t="str">
        <f t="shared" si="114"/>
        <v/>
      </c>
    </row>
    <row r="1438" spans="1:10" ht="15" customHeight="1" x14ac:dyDescent="0.25">
      <c r="A1438" s="8" t="str">
        <f>IF(COUNT($J$2:$J$1501)&gt;=1437,1437,"")</f>
        <v/>
      </c>
      <c r="B1438" s="8" t="str">
        <f t="shared" si="110"/>
        <v/>
      </c>
      <c r="C1438" s="8" t="str">
        <f t="shared" si="111"/>
        <v/>
      </c>
      <c r="D1438" s="8" t="str">
        <f t="shared" si="112"/>
        <v/>
      </c>
      <c r="F1438" s="4" t="str">
        <f>IF(Jugadores!B1438="","",Jugadores!B1438)</f>
        <v/>
      </c>
      <c r="G1438" s="4" t="str">
        <f>IF(Jugadores!B1438="","",Jugadores!A1438)</f>
        <v/>
      </c>
      <c r="H1438" s="4" t="str">
        <f>IF(F1438="","",SUMIF('Estadísticas Jugadores'!$F$2:$F$7001,F1438,'Estadísticas Jugadores'!$J$2:$J$7001))</f>
        <v/>
      </c>
      <c r="I1438" s="4" t="str">
        <f t="shared" si="113"/>
        <v/>
      </c>
      <c r="J1438" s="4" t="str">
        <f t="shared" si="114"/>
        <v/>
      </c>
    </row>
    <row r="1439" spans="1:10" ht="15" customHeight="1" x14ac:dyDescent="0.25">
      <c r="A1439" s="8" t="str">
        <f>IF(COUNT($J$2:$J$1501)&gt;=1438,1438,"")</f>
        <v/>
      </c>
      <c r="B1439" s="8" t="str">
        <f t="shared" si="110"/>
        <v/>
      </c>
      <c r="C1439" s="8" t="str">
        <f t="shared" si="111"/>
        <v/>
      </c>
      <c r="D1439" s="8" t="str">
        <f t="shared" si="112"/>
        <v/>
      </c>
      <c r="F1439" s="4" t="str">
        <f>IF(Jugadores!B1439="","",Jugadores!B1439)</f>
        <v/>
      </c>
      <c r="G1439" s="4" t="str">
        <f>IF(Jugadores!B1439="","",Jugadores!A1439)</f>
        <v/>
      </c>
      <c r="H1439" s="4" t="str">
        <f>IF(F1439="","",SUMIF('Estadísticas Jugadores'!$F$2:$F$7001,F1439,'Estadísticas Jugadores'!$J$2:$J$7001))</f>
        <v/>
      </c>
      <c r="I1439" s="4" t="str">
        <f t="shared" si="113"/>
        <v/>
      </c>
      <c r="J1439" s="4" t="str">
        <f t="shared" si="114"/>
        <v/>
      </c>
    </row>
    <row r="1440" spans="1:10" ht="15" customHeight="1" x14ac:dyDescent="0.25">
      <c r="A1440" s="8" t="str">
        <f>IF(COUNT($J$2:$J$1501)&gt;=1439,1439,"")</f>
        <v/>
      </c>
      <c r="B1440" s="8" t="str">
        <f t="shared" si="110"/>
        <v/>
      </c>
      <c r="C1440" s="8" t="str">
        <f t="shared" si="111"/>
        <v/>
      </c>
      <c r="D1440" s="8" t="str">
        <f t="shared" si="112"/>
        <v/>
      </c>
      <c r="F1440" s="4" t="str">
        <f>IF(Jugadores!B1440="","",Jugadores!B1440)</f>
        <v/>
      </c>
      <c r="G1440" s="4" t="str">
        <f>IF(Jugadores!B1440="","",Jugadores!A1440)</f>
        <v/>
      </c>
      <c r="H1440" s="4" t="str">
        <f>IF(F1440="","",SUMIF('Estadísticas Jugadores'!$F$2:$F$7001,F1440,'Estadísticas Jugadores'!$J$2:$J$7001))</f>
        <v/>
      </c>
      <c r="I1440" s="4" t="str">
        <f t="shared" si="113"/>
        <v/>
      </c>
      <c r="J1440" s="4" t="str">
        <f t="shared" si="114"/>
        <v/>
      </c>
    </row>
    <row r="1441" spans="1:10" ht="15" customHeight="1" x14ac:dyDescent="0.25">
      <c r="A1441" s="8" t="str">
        <f>IF(COUNT($J$2:$J$1501)&gt;=1440,1440,"")</f>
        <v/>
      </c>
      <c r="B1441" s="8" t="str">
        <f t="shared" si="110"/>
        <v/>
      </c>
      <c r="C1441" s="8" t="str">
        <f t="shared" si="111"/>
        <v/>
      </c>
      <c r="D1441" s="8" t="str">
        <f t="shared" si="112"/>
        <v/>
      </c>
      <c r="F1441" s="4" t="str">
        <f>IF(Jugadores!B1441="","",Jugadores!B1441)</f>
        <v/>
      </c>
      <c r="G1441" s="4" t="str">
        <f>IF(Jugadores!B1441="","",Jugadores!A1441)</f>
        <v/>
      </c>
      <c r="H1441" s="4" t="str">
        <f>IF(F1441="","",SUMIF('Estadísticas Jugadores'!$F$2:$F$7001,F1441,'Estadísticas Jugadores'!$J$2:$J$7001))</f>
        <v/>
      </c>
      <c r="I1441" s="4" t="str">
        <f t="shared" si="113"/>
        <v/>
      </c>
      <c r="J1441" s="4" t="str">
        <f t="shared" si="114"/>
        <v/>
      </c>
    </row>
    <row r="1442" spans="1:10" ht="15" customHeight="1" x14ac:dyDescent="0.25">
      <c r="A1442" s="8" t="str">
        <f>IF(COUNT($J$2:$J$1501)&gt;=1441,1441,"")</f>
        <v/>
      </c>
      <c r="B1442" s="8" t="str">
        <f t="shared" si="110"/>
        <v/>
      </c>
      <c r="C1442" s="8" t="str">
        <f t="shared" si="111"/>
        <v/>
      </c>
      <c r="D1442" s="8" t="str">
        <f t="shared" si="112"/>
        <v/>
      </c>
      <c r="F1442" s="4" t="str">
        <f>IF(Jugadores!B1442="","",Jugadores!B1442)</f>
        <v/>
      </c>
      <c r="G1442" s="4" t="str">
        <f>IF(Jugadores!B1442="","",Jugadores!A1442)</f>
        <v/>
      </c>
      <c r="H1442" s="4" t="str">
        <f>IF(F1442="","",SUMIF('Estadísticas Jugadores'!$F$2:$F$7001,F1442,'Estadísticas Jugadores'!$J$2:$J$7001))</f>
        <v/>
      </c>
      <c r="I1442" s="4" t="str">
        <f t="shared" si="113"/>
        <v/>
      </c>
      <c r="J1442" s="4" t="str">
        <f t="shared" si="114"/>
        <v/>
      </c>
    </row>
    <row r="1443" spans="1:10" ht="15" customHeight="1" x14ac:dyDescent="0.25">
      <c r="A1443" s="8" t="str">
        <f>IF(COUNT($J$2:$J$1501)&gt;=1442,1442,"")</f>
        <v/>
      </c>
      <c r="B1443" s="8" t="str">
        <f t="shared" si="110"/>
        <v/>
      </c>
      <c r="C1443" s="8" t="str">
        <f t="shared" si="111"/>
        <v/>
      </c>
      <c r="D1443" s="8" t="str">
        <f t="shared" si="112"/>
        <v/>
      </c>
      <c r="F1443" s="4" t="str">
        <f>IF(Jugadores!B1443="","",Jugadores!B1443)</f>
        <v/>
      </c>
      <c r="G1443" s="4" t="str">
        <f>IF(Jugadores!B1443="","",Jugadores!A1443)</f>
        <v/>
      </c>
      <c r="H1443" s="4" t="str">
        <f>IF(F1443="","",SUMIF('Estadísticas Jugadores'!$F$2:$F$7001,F1443,'Estadísticas Jugadores'!$J$2:$J$7001))</f>
        <v/>
      </c>
      <c r="I1443" s="4" t="str">
        <f t="shared" si="113"/>
        <v/>
      </c>
      <c r="J1443" s="4" t="str">
        <f t="shared" si="114"/>
        <v/>
      </c>
    </row>
    <row r="1444" spans="1:10" ht="15" customHeight="1" x14ac:dyDescent="0.25">
      <c r="A1444" s="8" t="str">
        <f>IF(COUNT($J$2:$J$1501)&gt;=1443,1443,"")</f>
        <v/>
      </c>
      <c r="B1444" s="8" t="str">
        <f t="shared" si="110"/>
        <v/>
      </c>
      <c r="C1444" s="8" t="str">
        <f t="shared" si="111"/>
        <v/>
      </c>
      <c r="D1444" s="8" t="str">
        <f t="shared" si="112"/>
        <v/>
      </c>
      <c r="F1444" s="4" t="str">
        <f>IF(Jugadores!B1444="","",Jugadores!B1444)</f>
        <v/>
      </c>
      <c r="G1444" s="4" t="str">
        <f>IF(Jugadores!B1444="","",Jugadores!A1444)</f>
        <v/>
      </c>
      <c r="H1444" s="4" t="str">
        <f>IF(F1444="","",SUMIF('Estadísticas Jugadores'!$F$2:$F$7001,F1444,'Estadísticas Jugadores'!$J$2:$J$7001))</f>
        <v/>
      </c>
      <c r="I1444" s="4" t="str">
        <f t="shared" si="113"/>
        <v/>
      </c>
      <c r="J1444" s="4" t="str">
        <f t="shared" si="114"/>
        <v/>
      </c>
    </row>
    <row r="1445" spans="1:10" ht="15" customHeight="1" x14ac:dyDescent="0.25">
      <c r="A1445" s="8" t="str">
        <f>IF(COUNT($J$2:$J$1501)&gt;=1444,1444,"")</f>
        <v/>
      </c>
      <c r="B1445" s="8" t="str">
        <f t="shared" si="110"/>
        <v/>
      </c>
      <c r="C1445" s="8" t="str">
        <f t="shared" si="111"/>
        <v/>
      </c>
      <c r="D1445" s="8" t="str">
        <f t="shared" si="112"/>
        <v/>
      </c>
      <c r="F1445" s="4" t="str">
        <f>IF(Jugadores!B1445="","",Jugadores!B1445)</f>
        <v/>
      </c>
      <c r="G1445" s="4" t="str">
        <f>IF(Jugadores!B1445="","",Jugadores!A1445)</f>
        <v/>
      </c>
      <c r="H1445" s="4" t="str">
        <f>IF(F1445="","",SUMIF('Estadísticas Jugadores'!$F$2:$F$7001,F1445,'Estadísticas Jugadores'!$J$2:$J$7001))</f>
        <v/>
      </c>
      <c r="I1445" s="4" t="str">
        <f t="shared" si="113"/>
        <v/>
      </c>
      <c r="J1445" s="4" t="str">
        <f t="shared" si="114"/>
        <v/>
      </c>
    </row>
    <row r="1446" spans="1:10" ht="15" customHeight="1" x14ac:dyDescent="0.25">
      <c r="A1446" s="8" t="str">
        <f>IF(COUNT($J$2:$J$1501)&gt;=1445,1445,"")</f>
        <v/>
      </c>
      <c r="B1446" s="8" t="str">
        <f t="shared" si="110"/>
        <v/>
      </c>
      <c r="C1446" s="8" t="str">
        <f t="shared" si="111"/>
        <v/>
      </c>
      <c r="D1446" s="8" t="str">
        <f t="shared" si="112"/>
        <v/>
      </c>
      <c r="F1446" s="4" t="str">
        <f>IF(Jugadores!B1446="","",Jugadores!B1446)</f>
        <v/>
      </c>
      <c r="G1446" s="4" t="str">
        <f>IF(Jugadores!B1446="","",Jugadores!A1446)</f>
        <v/>
      </c>
      <c r="H1446" s="4" t="str">
        <f>IF(F1446="","",SUMIF('Estadísticas Jugadores'!$F$2:$F$7001,F1446,'Estadísticas Jugadores'!$J$2:$J$7001))</f>
        <v/>
      </c>
      <c r="I1446" s="4" t="str">
        <f t="shared" si="113"/>
        <v/>
      </c>
      <c r="J1446" s="4" t="str">
        <f t="shared" si="114"/>
        <v/>
      </c>
    </row>
    <row r="1447" spans="1:10" ht="15" customHeight="1" x14ac:dyDescent="0.25">
      <c r="A1447" s="8" t="str">
        <f>IF(COUNT($J$2:$J$1501)&gt;=1446,1446,"")</f>
        <v/>
      </c>
      <c r="B1447" s="8" t="str">
        <f t="shared" si="110"/>
        <v/>
      </c>
      <c r="C1447" s="8" t="str">
        <f t="shared" si="111"/>
        <v/>
      </c>
      <c r="D1447" s="8" t="str">
        <f t="shared" si="112"/>
        <v/>
      </c>
      <c r="F1447" s="4" t="str">
        <f>IF(Jugadores!B1447="","",Jugadores!B1447)</f>
        <v/>
      </c>
      <c r="G1447" s="4" t="str">
        <f>IF(Jugadores!B1447="","",Jugadores!A1447)</f>
        <v/>
      </c>
      <c r="H1447" s="4" t="str">
        <f>IF(F1447="","",SUMIF('Estadísticas Jugadores'!$F$2:$F$7001,F1447,'Estadísticas Jugadores'!$J$2:$J$7001))</f>
        <v/>
      </c>
      <c r="I1447" s="4" t="str">
        <f t="shared" si="113"/>
        <v/>
      </c>
      <c r="J1447" s="4" t="str">
        <f t="shared" si="114"/>
        <v/>
      </c>
    </row>
    <row r="1448" spans="1:10" ht="15" customHeight="1" x14ac:dyDescent="0.25">
      <c r="A1448" s="8" t="str">
        <f>IF(COUNT($J$2:$J$1501)&gt;=1447,1447,"")</f>
        <v/>
      </c>
      <c r="B1448" s="8" t="str">
        <f t="shared" si="110"/>
        <v/>
      </c>
      <c r="C1448" s="8" t="str">
        <f t="shared" si="111"/>
        <v/>
      </c>
      <c r="D1448" s="8" t="str">
        <f t="shared" si="112"/>
        <v/>
      </c>
      <c r="F1448" s="4" t="str">
        <f>IF(Jugadores!B1448="","",Jugadores!B1448)</f>
        <v/>
      </c>
      <c r="G1448" s="4" t="str">
        <f>IF(Jugadores!B1448="","",Jugadores!A1448)</f>
        <v/>
      </c>
      <c r="H1448" s="4" t="str">
        <f>IF(F1448="","",SUMIF('Estadísticas Jugadores'!$F$2:$F$7001,F1448,'Estadísticas Jugadores'!$J$2:$J$7001))</f>
        <v/>
      </c>
      <c r="I1448" s="4" t="str">
        <f t="shared" si="113"/>
        <v/>
      </c>
      <c r="J1448" s="4" t="str">
        <f t="shared" si="114"/>
        <v/>
      </c>
    </row>
    <row r="1449" spans="1:10" ht="15" customHeight="1" x14ac:dyDescent="0.25">
      <c r="A1449" s="8" t="str">
        <f>IF(COUNT($J$2:$J$1501)&gt;=1448,1448,"")</f>
        <v/>
      </c>
      <c r="B1449" s="8" t="str">
        <f t="shared" si="110"/>
        <v/>
      </c>
      <c r="C1449" s="8" t="str">
        <f t="shared" si="111"/>
        <v/>
      </c>
      <c r="D1449" s="8" t="str">
        <f t="shared" si="112"/>
        <v/>
      </c>
      <c r="F1449" s="4" t="str">
        <f>IF(Jugadores!B1449="","",Jugadores!B1449)</f>
        <v/>
      </c>
      <c r="G1449" s="4" t="str">
        <f>IF(Jugadores!B1449="","",Jugadores!A1449)</f>
        <v/>
      </c>
      <c r="H1449" s="4" t="str">
        <f>IF(F1449="","",SUMIF('Estadísticas Jugadores'!$F$2:$F$7001,F1449,'Estadísticas Jugadores'!$J$2:$J$7001))</f>
        <v/>
      </c>
      <c r="I1449" s="4" t="str">
        <f t="shared" si="113"/>
        <v/>
      </c>
      <c r="J1449" s="4" t="str">
        <f t="shared" si="114"/>
        <v/>
      </c>
    </row>
    <row r="1450" spans="1:10" ht="15" customHeight="1" x14ac:dyDescent="0.25">
      <c r="A1450" s="8" t="str">
        <f>IF(COUNT($J$2:$J$1501)&gt;=1449,1449,"")</f>
        <v/>
      </c>
      <c r="B1450" s="8" t="str">
        <f t="shared" si="110"/>
        <v/>
      </c>
      <c r="C1450" s="8" t="str">
        <f t="shared" si="111"/>
        <v/>
      </c>
      <c r="D1450" s="8" t="str">
        <f t="shared" si="112"/>
        <v/>
      </c>
      <c r="F1450" s="4" t="str">
        <f>IF(Jugadores!B1450="","",Jugadores!B1450)</f>
        <v/>
      </c>
      <c r="G1450" s="4" t="str">
        <f>IF(Jugadores!B1450="","",Jugadores!A1450)</f>
        <v/>
      </c>
      <c r="H1450" s="4" t="str">
        <f>IF(F1450="","",SUMIF('Estadísticas Jugadores'!$F$2:$F$7001,F1450,'Estadísticas Jugadores'!$J$2:$J$7001))</f>
        <v/>
      </c>
      <c r="I1450" s="4" t="str">
        <f t="shared" si="113"/>
        <v/>
      </c>
      <c r="J1450" s="4" t="str">
        <f t="shared" si="114"/>
        <v/>
      </c>
    </row>
    <row r="1451" spans="1:10" ht="15" customHeight="1" x14ac:dyDescent="0.25">
      <c r="A1451" s="8" t="str">
        <f>IF(COUNT($J$2:$J$1501)&gt;=1450,1450,"")</f>
        <v/>
      </c>
      <c r="B1451" s="8" t="str">
        <f t="shared" si="110"/>
        <v/>
      </c>
      <c r="C1451" s="8" t="str">
        <f t="shared" si="111"/>
        <v/>
      </c>
      <c r="D1451" s="8" t="str">
        <f t="shared" si="112"/>
        <v/>
      </c>
      <c r="F1451" s="4" t="str">
        <f>IF(Jugadores!B1451="","",Jugadores!B1451)</f>
        <v/>
      </c>
      <c r="G1451" s="4" t="str">
        <f>IF(Jugadores!B1451="","",Jugadores!A1451)</f>
        <v/>
      </c>
      <c r="H1451" s="4" t="str">
        <f>IF(F1451="","",SUMIF('Estadísticas Jugadores'!$F$2:$F$7001,F1451,'Estadísticas Jugadores'!$J$2:$J$7001))</f>
        <v/>
      </c>
      <c r="I1451" s="4" t="str">
        <f t="shared" si="113"/>
        <v/>
      </c>
      <c r="J1451" s="4" t="str">
        <f t="shared" si="114"/>
        <v/>
      </c>
    </row>
    <row r="1452" spans="1:10" ht="15" customHeight="1" x14ac:dyDescent="0.25">
      <c r="A1452" s="8" t="str">
        <f>IF(COUNT($J$2:$J$1501)&gt;=1451,1451,"")</f>
        <v/>
      </c>
      <c r="B1452" s="8" t="str">
        <f t="shared" si="110"/>
        <v/>
      </c>
      <c r="C1452" s="8" t="str">
        <f t="shared" si="111"/>
        <v/>
      </c>
      <c r="D1452" s="8" t="str">
        <f t="shared" si="112"/>
        <v/>
      </c>
      <c r="F1452" s="4" t="str">
        <f>IF(Jugadores!B1452="","",Jugadores!B1452)</f>
        <v/>
      </c>
      <c r="G1452" s="4" t="str">
        <f>IF(Jugadores!B1452="","",Jugadores!A1452)</f>
        <v/>
      </c>
      <c r="H1452" s="4" t="str">
        <f>IF(F1452="","",SUMIF('Estadísticas Jugadores'!$F$2:$F$7001,F1452,'Estadísticas Jugadores'!$J$2:$J$7001))</f>
        <v/>
      </c>
      <c r="I1452" s="4" t="str">
        <f t="shared" si="113"/>
        <v/>
      </c>
      <c r="J1452" s="4" t="str">
        <f t="shared" si="114"/>
        <v/>
      </c>
    </row>
    <row r="1453" spans="1:10" ht="15" customHeight="1" x14ac:dyDescent="0.25">
      <c r="A1453" s="8" t="str">
        <f>IF(COUNT($J$2:$J$1501)&gt;=1452,1452,"")</f>
        <v/>
      </c>
      <c r="B1453" s="8" t="str">
        <f t="shared" si="110"/>
        <v/>
      </c>
      <c r="C1453" s="8" t="str">
        <f t="shared" si="111"/>
        <v/>
      </c>
      <c r="D1453" s="8" t="str">
        <f t="shared" si="112"/>
        <v/>
      </c>
      <c r="F1453" s="4" t="str">
        <f>IF(Jugadores!B1453="","",Jugadores!B1453)</f>
        <v/>
      </c>
      <c r="G1453" s="4" t="str">
        <f>IF(Jugadores!B1453="","",Jugadores!A1453)</f>
        <v/>
      </c>
      <c r="H1453" s="4" t="str">
        <f>IF(F1453="","",SUMIF('Estadísticas Jugadores'!$F$2:$F$7001,F1453,'Estadísticas Jugadores'!$J$2:$J$7001))</f>
        <v/>
      </c>
      <c r="I1453" s="4" t="str">
        <f t="shared" si="113"/>
        <v/>
      </c>
      <c r="J1453" s="4" t="str">
        <f t="shared" si="114"/>
        <v/>
      </c>
    </row>
    <row r="1454" spans="1:10" ht="15" customHeight="1" x14ac:dyDescent="0.25">
      <c r="A1454" s="8" t="str">
        <f>IF(COUNT($J$2:$J$1501)&gt;=1453,1453,"")</f>
        <v/>
      </c>
      <c r="B1454" s="8" t="str">
        <f t="shared" si="110"/>
        <v/>
      </c>
      <c r="C1454" s="8" t="str">
        <f t="shared" si="111"/>
        <v/>
      </c>
      <c r="D1454" s="8" t="str">
        <f t="shared" si="112"/>
        <v/>
      </c>
      <c r="F1454" s="4" t="str">
        <f>IF(Jugadores!B1454="","",Jugadores!B1454)</f>
        <v/>
      </c>
      <c r="G1454" s="4" t="str">
        <f>IF(Jugadores!B1454="","",Jugadores!A1454)</f>
        <v/>
      </c>
      <c r="H1454" s="4" t="str">
        <f>IF(F1454="","",SUMIF('Estadísticas Jugadores'!$F$2:$F$7001,F1454,'Estadísticas Jugadores'!$J$2:$J$7001))</f>
        <v/>
      </c>
      <c r="I1454" s="4" t="str">
        <f t="shared" si="113"/>
        <v/>
      </c>
      <c r="J1454" s="4" t="str">
        <f t="shared" si="114"/>
        <v/>
      </c>
    </row>
    <row r="1455" spans="1:10" ht="15" customHeight="1" x14ac:dyDescent="0.25">
      <c r="A1455" s="8" t="str">
        <f>IF(COUNT($J$2:$J$1501)&gt;=1454,1454,"")</f>
        <v/>
      </c>
      <c r="B1455" s="8" t="str">
        <f t="shared" si="110"/>
        <v/>
      </c>
      <c r="C1455" s="8" t="str">
        <f t="shared" si="111"/>
        <v/>
      </c>
      <c r="D1455" s="8" t="str">
        <f t="shared" si="112"/>
        <v/>
      </c>
      <c r="F1455" s="4" t="str">
        <f>IF(Jugadores!B1455="","",Jugadores!B1455)</f>
        <v/>
      </c>
      <c r="G1455" s="4" t="str">
        <f>IF(Jugadores!B1455="","",Jugadores!A1455)</f>
        <v/>
      </c>
      <c r="H1455" s="4" t="str">
        <f>IF(F1455="","",SUMIF('Estadísticas Jugadores'!$F$2:$F$7001,F1455,'Estadísticas Jugadores'!$J$2:$J$7001))</f>
        <v/>
      </c>
      <c r="I1455" s="4" t="str">
        <f t="shared" si="113"/>
        <v/>
      </c>
      <c r="J1455" s="4" t="str">
        <f t="shared" si="114"/>
        <v/>
      </c>
    </row>
    <row r="1456" spans="1:10" ht="15" customHeight="1" x14ac:dyDescent="0.25">
      <c r="A1456" s="8" t="str">
        <f>IF(COUNT($J$2:$J$1501)&gt;=1455,1455,"")</f>
        <v/>
      </c>
      <c r="B1456" s="8" t="str">
        <f t="shared" si="110"/>
        <v/>
      </c>
      <c r="C1456" s="8" t="str">
        <f t="shared" si="111"/>
        <v/>
      </c>
      <c r="D1456" s="8" t="str">
        <f t="shared" si="112"/>
        <v/>
      </c>
      <c r="F1456" s="4" t="str">
        <f>IF(Jugadores!B1456="","",Jugadores!B1456)</f>
        <v/>
      </c>
      <c r="G1456" s="4" t="str">
        <f>IF(Jugadores!B1456="","",Jugadores!A1456)</f>
        <v/>
      </c>
      <c r="H1456" s="4" t="str">
        <f>IF(F1456="","",SUMIF('Estadísticas Jugadores'!$F$2:$F$7001,F1456,'Estadísticas Jugadores'!$J$2:$J$7001))</f>
        <v/>
      </c>
      <c r="I1456" s="4" t="str">
        <f t="shared" si="113"/>
        <v/>
      </c>
      <c r="J1456" s="4" t="str">
        <f t="shared" si="114"/>
        <v/>
      </c>
    </row>
    <row r="1457" spans="1:10" ht="15" customHeight="1" x14ac:dyDescent="0.25">
      <c r="A1457" s="8" t="str">
        <f>IF(COUNT($J$2:$J$1501)&gt;=1456,1456,"")</f>
        <v/>
      </c>
      <c r="B1457" s="8" t="str">
        <f t="shared" si="110"/>
        <v/>
      </c>
      <c r="C1457" s="8" t="str">
        <f t="shared" si="111"/>
        <v/>
      </c>
      <c r="D1457" s="8" t="str">
        <f t="shared" si="112"/>
        <v/>
      </c>
      <c r="F1457" s="4" t="str">
        <f>IF(Jugadores!B1457="","",Jugadores!B1457)</f>
        <v/>
      </c>
      <c r="G1457" s="4" t="str">
        <f>IF(Jugadores!B1457="","",Jugadores!A1457)</f>
        <v/>
      </c>
      <c r="H1457" s="4" t="str">
        <f>IF(F1457="","",SUMIF('Estadísticas Jugadores'!$F$2:$F$7001,F1457,'Estadísticas Jugadores'!$J$2:$J$7001))</f>
        <v/>
      </c>
      <c r="I1457" s="4" t="str">
        <f t="shared" si="113"/>
        <v/>
      </c>
      <c r="J1457" s="4" t="str">
        <f t="shared" si="114"/>
        <v/>
      </c>
    </row>
    <row r="1458" spans="1:10" ht="15" customHeight="1" x14ac:dyDescent="0.25">
      <c r="A1458" s="8" t="str">
        <f>IF(COUNT($J$2:$J$1501)&gt;=1457,1457,"")</f>
        <v/>
      </c>
      <c r="B1458" s="8" t="str">
        <f t="shared" si="110"/>
        <v/>
      </c>
      <c r="C1458" s="8" t="str">
        <f t="shared" si="111"/>
        <v/>
      </c>
      <c r="D1458" s="8" t="str">
        <f t="shared" si="112"/>
        <v/>
      </c>
      <c r="F1458" s="4" t="str">
        <f>IF(Jugadores!B1458="","",Jugadores!B1458)</f>
        <v/>
      </c>
      <c r="G1458" s="4" t="str">
        <f>IF(Jugadores!B1458="","",Jugadores!A1458)</f>
        <v/>
      </c>
      <c r="H1458" s="4" t="str">
        <f>IF(F1458="","",SUMIF('Estadísticas Jugadores'!$F$2:$F$7001,F1458,'Estadísticas Jugadores'!$J$2:$J$7001))</f>
        <v/>
      </c>
      <c r="I1458" s="4" t="str">
        <f t="shared" si="113"/>
        <v/>
      </c>
      <c r="J1458" s="4" t="str">
        <f t="shared" si="114"/>
        <v/>
      </c>
    </row>
    <row r="1459" spans="1:10" ht="15" customHeight="1" x14ac:dyDescent="0.25">
      <c r="A1459" s="8" t="str">
        <f>IF(COUNT($J$2:$J$1501)&gt;=1458,1458,"")</f>
        <v/>
      </c>
      <c r="B1459" s="8" t="str">
        <f t="shared" si="110"/>
        <v/>
      </c>
      <c r="C1459" s="8" t="str">
        <f t="shared" si="111"/>
        <v/>
      </c>
      <c r="D1459" s="8" t="str">
        <f t="shared" si="112"/>
        <v/>
      </c>
      <c r="F1459" s="4" t="str">
        <f>IF(Jugadores!B1459="","",Jugadores!B1459)</f>
        <v/>
      </c>
      <c r="G1459" s="4" t="str">
        <f>IF(Jugadores!B1459="","",Jugadores!A1459)</f>
        <v/>
      </c>
      <c r="H1459" s="4" t="str">
        <f>IF(F1459="","",SUMIF('Estadísticas Jugadores'!$F$2:$F$7001,F1459,'Estadísticas Jugadores'!$J$2:$J$7001))</f>
        <v/>
      </c>
      <c r="I1459" s="4" t="str">
        <f t="shared" si="113"/>
        <v/>
      </c>
      <c r="J1459" s="4" t="str">
        <f t="shared" si="114"/>
        <v/>
      </c>
    </row>
    <row r="1460" spans="1:10" ht="15" customHeight="1" x14ac:dyDescent="0.25">
      <c r="A1460" s="8" t="str">
        <f>IF(COUNT($J$2:$J$1501)&gt;=1459,1459,"")</f>
        <v/>
      </c>
      <c r="B1460" s="8" t="str">
        <f t="shared" si="110"/>
        <v/>
      </c>
      <c r="C1460" s="8" t="str">
        <f t="shared" si="111"/>
        <v/>
      </c>
      <c r="D1460" s="8" t="str">
        <f t="shared" si="112"/>
        <v/>
      </c>
      <c r="F1460" s="4" t="str">
        <f>IF(Jugadores!B1460="","",Jugadores!B1460)</f>
        <v/>
      </c>
      <c r="G1460" s="4" t="str">
        <f>IF(Jugadores!B1460="","",Jugadores!A1460)</f>
        <v/>
      </c>
      <c r="H1460" s="4" t="str">
        <f>IF(F1460="","",SUMIF('Estadísticas Jugadores'!$F$2:$F$7001,F1460,'Estadísticas Jugadores'!$J$2:$J$7001))</f>
        <v/>
      </c>
      <c r="I1460" s="4" t="str">
        <f t="shared" si="113"/>
        <v/>
      </c>
      <c r="J1460" s="4" t="str">
        <f t="shared" si="114"/>
        <v/>
      </c>
    </row>
    <row r="1461" spans="1:10" ht="15" customHeight="1" x14ac:dyDescent="0.25">
      <c r="A1461" s="8" t="str">
        <f>IF(COUNT($J$2:$J$1501)&gt;=1460,1460,"")</f>
        <v/>
      </c>
      <c r="B1461" s="8" t="str">
        <f t="shared" si="110"/>
        <v/>
      </c>
      <c r="C1461" s="8" t="str">
        <f t="shared" si="111"/>
        <v/>
      </c>
      <c r="D1461" s="8" t="str">
        <f t="shared" si="112"/>
        <v/>
      </c>
      <c r="F1461" s="4" t="str">
        <f>IF(Jugadores!B1461="","",Jugadores!B1461)</f>
        <v/>
      </c>
      <c r="G1461" s="4" t="str">
        <f>IF(Jugadores!B1461="","",Jugadores!A1461)</f>
        <v/>
      </c>
      <c r="H1461" s="4" t="str">
        <f>IF(F1461="","",SUMIF('Estadísticas Jugadores'!$F$2:$F$7001,F1461,'Estadísticas Jugadores'!$J$2:$J$7001))</f>
        <v/>
      </c>
      <c r="I1461" s="4" t="str">
        <f t="shared" si="113"/>
        <v/>
      </c>
      <c r="J1461" s="4" t="str">
        <f t="shared" si="114"/>
        <v/>
      </c>
    </row>
    <row r="1462" spans="1:10" ht="15" customHeight="1" x14ac:dyDescent="0.25">
      <c r="A1462" s="8" t="str">
        <f>IF(COUNT($J$2:$J$1501)&gt;=1461,1461,"")</f>
        <v/>
      </c>
      <c r="B1462" s="8" t="str">
        <f t="shared" si="110"/>
        <v/>
      </c>
      <c r="C1462" s="8" t="str">
        <f t="shared" si="111"/>
        <v/>
      </c>
      <c r="D1462" s="8" t="str">
        <f t="shared" si="112"/>
        <v/>
      </c>
      <c r="F1462" s="4" t="str">
        <f>IF(Jugadores!B1462="","",Jugadores!B1462)</f>
        <v/>
      </c>
      <c r="G1462" s="4" t="str">
        <f>IF(Jugadores!B1462="","",Jugadores!A1462)</f>
        <v/>
      </c>
      <c r="H1462" s="4" t="str">
        <f>IF(F1462="","",SUMIF('Estadísticas Jugadores'!$F$2:$F$7001,F1462,'Estadísticas Jugadores'!$J$2:$J$7001))</f>
        <v/>
      </c>
      <c r="I1462" s="4" t="str">
        <f t="shared" si="113"/>
        <v/>
      </c>
      <c r="J1462" s="4" t="str">
        <f t="shared" si="114"/>
        <v/>
      </c>
    </row>
    <row r="1463" spans="1:10" ht="15" customHeight="1" x14ac:dyDescent="0.25">
      <c r="A1463" s="8" t="str">
        <f>IF(COUNT($J$2:$J$1501)&gt;=1462,1462,"")</f>
        <v/>
      </c>
      <c r="B1463" s="8" t="str">
        <f t="shared" si="110"/>
        <v/>
      </c>
      <c r="C1463" s="8" t="str">
        <f t="shared" si="111"/>
        <v/>
      </c>
      <c r="D1463" s="8" t="str">
        <f t="shared" si="112"/>
        <v/>
      </c>
      <c r="F1463" s="4" t="str">
        <f>IF(Jugadores!B1463="","",Jugadores!B1463)</f>
        <v/>
      </c>
      <c r="G1463" s="4" t="str">
        <f>IF(Jugadores!B1463="","",Jugadores!A1463)</f>
        <v/>
      </c>
      <c r="H1463" s="4" t="str">
        <f>IF(F1463="","",SUMIF('Estadísticas Jugadores'!$F$2:$F$7001,F1463,'Estadísticas Jugadores'!$J$2:$J$7001))</f>
        <v/>
      </c>
      <c r="I1463" s="4" t="str">
        <f t="shared" si="113"/>
        <v/>
      </c>
      <c r="J1463" s="4" t="str">
        <f t="shared" si="114"/>
        <v/>
      </c>
    </row>
    <row r="1464" spans="1:10" ht="15" customHeight="1" x14ac:dyDescent="0.25">
      <c r="A1464" s="8" t="str">
        <f>IF(COUNT($J$2:$J$1501)&gt;=1463,1463,"")</f>
        <v/>
      </c>
      <c r="B1464" s="8" t="str">
        <f t="shared" si="110"/>
        <v/>
      </c>
      <c r="C1464" s="8" t="str">
        <f t="shared" si="111"/>
        <v/>
      </c>
      <c r="D1464" s="8" t="str">
        <f t="shared" si="112"/>
        <v/>
      </c>
      <c r="F1464" s="4" t="str">
        <f>IF(Jugadores!B1464="","",Jugadores!B1464)</f>
        <v/>
      </c>
      <c r="G1464" s="4" t="str">
        <f>IF(Jugadores!B1464="","",Jugadores!A1464)</f>
        <v/>
      </c>
      <c r="H1464" s="4" t="str">
        <f>IF(F1464="","",SUMIF('Estadísticas Jugadores'!$F$2:$F$7001,F1464,'Estadísticas Jugadores'!$J$2:$J$7001))</f>
        <v/>
      </c>
      <c r="I1464" s="4" t="str">
        <f t="shared" si="113"/>
        <v/>
      </c>
      <c r="J1464" s="4" t="str">
        <f t="shared" si="114"/>
        <v/>
      </c>
    </row>
    <row r="1465" spans="1:10" ht="15" customHeight="1" x14ac:dyDescent="0.25">
      <c r="A1465" s="8" t="str">
        <f>IF(COUNT($J$2:$J$1501)&gt;=1464,1464,"")</f>
        <v/>
      </c>
      <c r="B1465" s="8" t="str">
        <f t="shared" si="110"/>
        <v/>
      </c>
      <c r="C1465" s="8" t="str">
        <f t="shared" si="111"/>
        <v/>
      </c>
      <c r="D1465" s="8" t="str">
        <f t="shared" si="112"/>
        <v/>
      </c>
      <c r="F1465" s="4" t="str">
        <f>IF(Jugadores!B1465="","",Jugadores!B1465)</f>
        <v/>
      </c>
      <c r="G1465" s="4" t="str">
        <f>IF(Jugadores!B1465="","",Jugadores!A1465)</f>
        <v/>
      </c>
      <c r="H1465" s="4" t="str">
        <f>IF(F1465="","",SUMIF('Estadísticas Jugadores'!$F$2:$F$7001,F1465,'Estadísticas Jugadores'!$J$2:$J$7001))</f>
        <v/>
      </c>
      <c r="I1465" s="4" t="str">
        <f t="shared" si="113"/>
        <v/>
      </c>
      <c r="J1465" s="4" t="str">
        <f t="shared" si="114"/>
        <v/>
      </c>
    </row>
    <row r="1466" spans="1:10" ht="15" customHeight="1" x14ac:dyDescent="0.25">
      <c r="A1466" s="8" t="str">
        <f>IF(COUNT($J$2:$J$1501)&gt;=1465,1465,"")</f>
        <v/>
      </c>
      <c r="B1466" s="8" t="str">
        <f t="shared" si="110"/>
        <v/>
      </c>
      <c r="C1466" s="8" t="str">
        <f t="shared" si="111"/>
        <v/>
      </c>
      <c r="D1466" s="8" t="str">
        <f t="shared" si="112"/>
        <v/>
      </c>
      <c r="F1466" s="4" t="str">
        <f>IF(Jugadores!B1466="","",Jugadores!B1466)</f>
        <v/>
      </c>
      <c r="G1466" s="4" t="str">
        <f>IF(Jugadores!B1466="","",Jugadores!A1466)</f>
        <v/>
      </c>
      <c r="H1466" s="4" t="str">
        <f>IF(F1466="","",SUMIF('Estadísticas Jugadores'!$F$2:$F$7001,F1466,'Estadísticas Jugadores'!$J$2:$J$7001))</f>
        <v/>
      </c>
      <c r="I1466" s="4" t="str">
        <f t="shared" si="113"/>
        <v/>
      </c>
      <c r="J1466" s="4" t="str">
        <f t="shared" si="114"/>
        <v/>
      </c>
    </row>
    <row r="1467" spans="1:10" ht="15" customHeight="1" x14ac:dyDescent="0.25">
      <c r="A1467" s="8" t="str">
        <f>IF(COUNT($J$2:$J$1501)&gt;=1466,1466,"")</f>
        <v/>
      </c>
      <c r="B1467" s="8" t="str">
        <f t="shared" si="110"/>
        <v/>
      </c>
      <c r="C1467" s="8" t="str">
        <f t="shared" si="111"/>
        <v/>
      </c>
      <c r="D1467" s="8" t="str">
        <f t="shared" si="112"/>
        <v/>
      </c>
      <c r="F1467" s="4" t="str">
        <f>IF(Jugadores!B1467="","",Jugadores!B1467)</f>
        <v/>
      </c>
      <c r="G1467" s="4" t="str">
        <f>IF(Jugadores!B1467="","",Jugadores!A1467)</f>
        <v/>
      </c>
      <c r="H1467" s="4" t="str">
        <f>IF(F1467="","",SUMIF('Estadísticas Jugadores'!$F$2:$F$7001,F1467,'Estadísticas Jugadores'!$J$2:$J$7001))</f>
        <v/>
      </c>
      <c r="I1467" s="4" t="str">
        <f t="shared" si="113"/>
        <v/>
      </c>
      <c r="J1467" s="4" t="str">
        <f t="shared" si="114"/>
        <v/>
      </c>
    </row>
    <row r="1468" spans="1:10" ht="15" customHeight="1" x14ac:dyDescent="0.25">
      <c r="A1468" s="8" t="str">
        <f>IF(COUNT($J$2:$J$1501)&gt;=1467,1467,"")</f>
        <v/>
      </c>
      <c r="B1468" s="8" t="str">
        <f t="shared" si="110"/>
        <v/>
      </c>
      <c r="C1468" s="8" t="str">
        <f t="shared" si="111"/>
        <v/>
      </c>
      <c r="D1468" s="8" t="str">
        <f t="shared" si="112"/>
        <v/>
      </c>
      <c r="F1468" s="4" t="str">
        <f>IF(Jugadores!B1468="","",Jugadores!B1468)</f>
        <v/>
      </c>
      <c r="G1468" s="4" t="str">
        <f>IF(Jugadores!B1468="","",Jugadores!A1468)</f>
        <v/>
      </c>
      <c r="H1468" s="4" t="str">
        <f>IF(F1468="","",SUMIF('Estadísticas Jugadores'!$F$2:$F$7001,F1468,'Estadísticas Jugadores'!$J$2:$J$7001))</f>
        <v/>
      </c>
      <c r="I1468" s="4" t="str">
        <f t="shared" si="113"/>
        <v/>
      </c>
      <c r="J1468" s="4" t="str">
        <f t="shared" si="114"/>
        <v/>
      </c>
    </row>
    <row r="1469" spans="1:10" ht="15" customHeight="1" x14ac:dyDescent="0.25">
      <c r="A1469" s="8" t="str">
        <f>IF(COUNT($J$2:$J$1501)&gt;=1468,1468,"")</f>
        <v/>
      </c>
      <c r="B1469" s="8" t="str">
        <f t="shared" si="110"/>
        <v/>
      </c>
      <c r="C1469" s="8" t="str">
        <f t="shared" si="111"/>
        <v/>
      </c>
      <c r="D1469" s="8" t="str">
        <f t="shared" si="112"/>
        <v/>
      </c>
      <c r="F1469" s="4" t="str">
        <f>IF(Jugadores!B1469="","",Jugadores!B1469)</f>
        <v/>
      </c>
      <c r="G1469" s="4" t="str">
        <f>IF(Jugadores!B1469="","",Jugadores!A1469)</f>
        <v/>
      </c>
      <c r="H1469" s="4" t="str">
        <f>IF(F1469="","",SUMIF('Estadísticas Jugadores'!$F$2:$F$7001,F1469,'Estadísticas Jugadores'!$J$2:$J$7001))</f>
        <v/>
      </c>
      <c r="I1469" s="4" t="str">
        <f t="shared" si="113"/>
        <v/>
      </c>
      <c r="J1469" s="4" t="str">
        <f t="shared" si="114"/>
        <v/>
      </c>
    </row>
    <row r="1470" spans="1:10" ht="15" customHeight="1" x14ac:dyDescent="0.25">
      <c r="A1470" s="8" t="str">
        <f>IF(COUNT($J$2:$J$1501)&gt;=1469,1469,"")</f>
        <v/>
      </c>
      <c r="B1470" s="8" t="str">
        <f t="shared" si="110"/>
        <v/>
      </c>
      <c r="C1470" s="8" t="str">
        <f t="shared" si="111"/>
        <v/>
      </c>
      <c r="D1470" s="8" t="str">
        <f t="shared" si="112"/>
        <v/>
      </c>
      <c r="F1470" s="4" t="str">
        <f>IF(Jugadores!B1470="","",Jugadores!B1470)</f>
        <v/>
      </c>
      <c r="G1470" s="4" t="str">
        <f>IF(Jugadores!B1470="","",Jugadores!A1470)</f>
        <v/>
      </c>
      <c r="H1470" s="4" t="str">
        <f>IF(F1470="","",SUMIF('Estadísticas Jugadores'!$F$2:$F$7001,F1470,'Estadísticas Jugadores'!$J$2:$J$7001))</f>
        <v/>
      </c>
      <c r="I1470" s="4" t="str">
        <f t="shared" si="113"/>
        <v/>
      </c>
      <c r="J1470" s="4" t="str">
        <f t="shared" si="114"/>
        <v/>
      </c>
    </row>
    <row r="1471" spans="1:10" ht="15" customHeight="1" x14ac:dyDescent="0.25">
      <c r="A1471" s="8" t="str">
        <f>IF(COUNT($J$2:$J$1501)&gt;=1470,1470,"")</f>
        <v/>
      </c>
      <c r="B1471" s="8" t="str">
        <f t="shared" si="110"/>
        <v/>
      </c>
      <c r="C1471" s="8" t="str">
        <f t="shared" si="111"/>
        <v/>
      </c>
      <c r="D1471" s="8" t="str">
        <f t="shared" si="112"/>
        <v/>
      </c>
      <c r="F1471" s="4" t="str">
        <f>IF(Jugadores!B1471="","",Jugadores!B1471)</f>
        <v/>
      </c>
      <c r="G1471" s="4" t="str">
        <f>IF(Jugadores!B1471="","",Jugadores!A1471)</f>
        <v/>
      </c>
      <c r="H1471" s="4" t="str">
        <f>IF(F1471="","",SUMIF('Estadísticas Jugadores'!$F$2:$F$7001,F1471,'Estadísticas Jugadores'!$J$2:$J$7001))</f>
        <v/>
      </c>
      <c r="I1471" s="4" t="str">
        <f t="shared" si="113"/>
        <v/>
      </c>
      <c r="J1471" s="4" t="str">
        <f t="shared" si="114"/>
        <v/>
      </c>
    </row>
    <row r="1472" spans="1:10" ht="15" customHeight="1" x14ac:dyDescent="0.25">
      <c r="A1472" s="8" t="str">
        <f>IF(COUNT($J$2:$J$1501)&gt;=1471,1471,"")</f>
        <v/>
      </c>
      <c r="B1472" s="8" t="str">
        <f t="shared" si="110"/>
        <v/>
      </c>
      <c r="C1472" s="8" t="str">
        <f t="shared" si="111"/>
        <v/>
      </c>
      <c r="D1472" s="8" t="str">
        <f t="shared" si="112"/>
        <v/>
      </c>
      <c r="F1472" s="4" t="str">
        <f>IF(Jugadores!B1472="","",Jugadores!B1472)</f>
        <v/>
      </c>
      <c r="G1472" s="4" t="str">
        <f>IF(Jugadores!B1472="","",Jugadores!A1472)</f>
        <v/>
      </c>
      <c r="H1472" s="4" t="str">
        <f>IF(F1472="","",SUMIF('Estadísticas Jugadores'!$F$2:$F$7001,F1472,'Estadísticas Jugadores'!$J$2:$J$7001))</f>
        <v/>
      </c>
      <c r="I1472" s="4" t="str">
        <f t="shared" si="113"/>
        <v/>
      </c>
      <c r="J1472" s="4" t="str">
        <f t="shared" si="114"/>
        <v/>
      </c>
    </row>
    <row r="1473" spans="1:10" ht="15" customHeight="1" x14ac:dyDescent="0.25">
      <c r="A1473" s="8" t="str">
        <f>IF(COUNT($J$2:$J$1501)&gt;=1472,1472,"")</f>
        <v/>
      </c>
      <c r="B1473" s="8" t="str">
        <f t="shared" si="110"/>
        <v/>
      </c>
      <c r="C1473" s="8" t="str">
        <f t="shared" si="111"/>
        <v/>
      </c>
      <c r="D1473" s="8" t="str">
        <f t="shared" si="112"/>
        <v/>
      </c>
      <c r="F1473" s="4" t="str">
        <f>IF(Jugadores!B1473="","",Jugadores!B1473)</f>
        <v/>
      </c>
      <c r="G1473" s="4" t="str">
        <f>IF(Jugadores!B1473="","",Jugadores!A1473)</f>
        <v/>
      </c>
      <c r="H1473" s="4" t="str">
        <f>IF(F1473="","",SUMIF('Estadísticas Jugadores'!$F$2:$F$7001,F1473,'Estadísticas Jugadores'!$J$2:$J$7001))</f>
        <v/>
      </c>
      <c r="I1473" s="4" t="str">
        <f t="shared" si="113"/>
        <v/>
      </c>
      <c r="J1473" s="4" t="str">
        <f t="shared" si="114"/>
        <v/>
      </c>
    </row>
    <row r="1474" spans="1:10" ht="15" customHeight="1" x14ac:dyDescent="0.25">
      <c r="A1474" s="8" t="str">
        <f>IF(COUNT($J$2:$J$1501)&gt;=1473,1473,"")</f>
        <v/>
      </c>
      <c r="B1474" s="8" t="str">
        <f t="shared" ref="B1474:B1501" si="115">IF($A1474="","",INDEX($F$2:$F$1501,MATCH($A1474,$J$2:$J$1501,0)))</f>
        <v/>
      </c>
      <c r="C1474" s="8" t="str">
        <f t="shared" ref="C1474:C1501" si="116">IF($A1474="","",INDEX($G$2:$G$1501,MATCH($A1474,$J$2:$J$1501,0)))</f>
        <v/>
      </c>
      <c r="D1474" s="8" t="str">
        <f t="shared" ref="D1474:D1501" si="117">IF($A1474="","",INDEX($H$2:$H$1501,MATCH($A1474,$J$2:$J$1501,0)))</f>
        <v/>
      </c>
      <c r="F1474" s="4" t="str">
        <f>IF(Jugadores!B1474="","",Jugadores!B1474)</f>
        <v/>
      </c>
      <c r="G1474" s="4" t="str">
        <f>IF(Jugadores!B1474="","",Jugadores!A1474)</f>
        <v/>
      </c>
      <c r="H1474" s="4" t="str">
        <f>IF(F1474="","",SUMIF('Estadísticas Jugadores'!$F$2:$F$7001,F1474,'Estadísticas Jugadores'!$J$2:$J$7001))</f>
        <v/>
      </c>
      <c r="I1474" s="4" t="str">
        <f t="shared" ref="I1474:I1501" si="118">IF(F1474="","",H1474*1000-ROW()*0.0000001)</f>
        <v/>
      </c>
      <c r="J1474" s="4" t="str">
        <f t="shared" ref="J1474:J1501" si="119">IF(F1474="","",RANK(I1474,$I$2:$I$1501))</f>
        <v/>
      </c>
    </row>
    <row r="1475" spans="1:10" ht="15" customHeight="1" x14ac:dyDescent="0.25">
      <c r="A1475" s="8" t="str">
        <f>IF(COUNT($J$2:$J$1501)&gt;=1474,1474,"")</f>
        <v/>
      </c>
      <c r="B1475" s="8" t="str">
        <f t="shared" si="115"/>
        <v/>
      </c>
      <c r="C1475" s="8" t="str">
        <f t="shared" si="116"/>
        <v/>
      </c>
      <c r="D1475" s="8" t="str">
        <f t="shared" si="117"/>
        <v/>
      </c>
      <c r="F1475" s="4" t="str">
        <f>IF(Jugadores!B1475="","",Jugadores!B1475)</f>
        <v/>
      </c>
      <c r="G1475" s="4" t="str">
        <f>IF(Jugadores!B1475="","",Jugadores!A1475)</f>
        <v/>
      </c>
      <c r="H1475" s="4" t="str">
        <f>IF(F1475="","",SUMIF('Estadísticas Jugadores'!$F$2:$F$7001,F1475,'Estadísticas Jugadores'!$J$2:$J$7001))</f>
        <v/>
      </c>
      <c r="I1475" s="4" t="str">
        <f t="shared" si="118"/>
        <v/>
      </c>
      <c r="J1475" s="4" t="str">
        <f t="shared" si="119"/>
        <v/>
      </c>
    </row>
    <row r="1476" spans="1:10" ht="15" customHeight="1" x14ac:dyDescent="0.25">
      <c r="A1476" s="8" t="str">
        <f>IF(COUNT($J$2:$J$1501)&gt;=1475,1475,"")</f>
        <v/>
      </c>
      <c r="B1476" s="8" t="str">
        <f t="shared" si="115"/>
        <v/>
      </c>
      <c r="C1476" s="8" t="str">
        <f t="shared" si="116"/>
        <v/>
      </c>
      <c r="D1476" s="8" t="str">
        <f t="shared" si="117"/>
        <v/>
      </c>
      <c r="F1476" s="4" t="str">
        <f>IF(Jugadores!B1476="","",Jugadores!B1476)</f>
        <v/>
      </c>
      <c r="G1476" s="4" t="str">
        <f>IF(Jugadores!B1476="","",Jugadores!A1476)</f>
        <v/>
      </c>
      <c r="H1476" s="4" t="str">
        <f>IF(F1476="","",SUMIF('Estadísticas Jugadores'!$F$2:$F$7001,F1476,'Estadísticas Jugadores'!$J$2:$J$7001))</f>
        <v/>
      </c>
      <c r="I1476" s="4" t="str">
        <f t="shared" si="118"/>
        <v/>
      </c>
      <c r="J1476" s="4" t="str">
        <f t="shared" si="119"/>
        <v/>
      </c>
    </row>
    <row r="1477" spans="1:10" ht="15" customHeight="1" x14ac:dyDescent="0.25">
      <c r="A1477" s="8" t="str">
        <f>IF(COUNT($J$2:$J$1501)&gt;=1476,1476,"")</f>
        <v/>
      </c>
      <c r="B1477" s="8" t="str">
        <f t="shared" si="115"/>
        <v/>
      </c>
      <c r="C1477" s="8" t="str">
        <f t="shared" si="116"/>
        <v/>
      </c>
      <c r="D1477" s="8" t="str">
        <f t="shared" si="117"/>
        <v/>
      </c>
      <c r="F1477" s="4" t="str">
        <f>IF(Jugadores!B1477="","",Jugadores!B1477)</f>
        <v/>
      </c>
      <c r="G1477" s="4" t="str">
        <f>IF(Jugadores!B1477="","",Jugadores!A1477)</f>
        <v/>
      </c>
      <c r="H1477" s="4" t="str">
        <f>IF(F1477="","",SUMIF('Estadísticas Jugadores'!$F$2:$F$7001,F1477,'Estadísticas Jugadores'!$J$2:$J$7001))</f>
        <v/>
      </c>
      <c r="I1477" s="4" t="str">
        <f t="shared" si="118"/>
        <v/>
      </c>
      <c r="J1477" s="4" t="str">
        <f t="shared" si="119"/>
        <v/>
      </c>
    </row>
    <row r="1478" spans="1:10" ht="15" customHeight="1" x14ac:dyDescent="0.25">
      <c r="A1478" s="8" t="str">
        <f>IF(COUNT($J$2:$J$1501)&gt;=1477,1477,"")</f>
        <v/>
      </c>
      <c r="B1478" s="8" t="str">
        <f t="shared" si="115"/>
        <v/>
      </c>
      <c r="C1478" s="8" t="str">
        <f t="shared" si="116"/>
        <v/>
      </c>
      <c r="D1478" s="8" t="str">
        <f t="shared" si="117"/>
        <v/>
      </c>
      <c r="F1478" s="4" t="str">
        <f>IF(Jugadores!B1478="","",Jugadores!B1478)</f>
        <v/>
      </c>
      <c r="G1478" s="4" t="str">
        <f>IF(Jugadores!B1478="","",Jugadores!A1478)</f>
        <v/>
      </c>
      <c r="H1478" s="4" t="str">
        <f>IF(F1478="","",SUMIF('Estadísticas Jugadores'!$F$2:$F$7001,F1478,'Estadísticas Jugadores'!$J$2:$J$7001))</f>
        <v/>
      </c>
      <c r="I1478" s="4" t="str">
        <f t="shared" si="118"/>
        <v/>
      </c>
      <c r="J1478" s="4" t="str">
        <f t="shared" si="119"/>
        <v/>
      </c>
    </row>
    <row r="1479" spans="1:10" ht="15" customHeight="1" x14ac:dyDescent="0.25">
      <c r="A1479" s="8" t="str">
        <f>IF(COUNT($J$2:$J$1501)&gt;=1478,1478,"")</f>
        <v/>
      </c>
      <c r="B1479" s="8" t="str">
        <f t="shared" si="115"/>
        <v/>
      </c>
      <c r="C1479" s="8" t="str">
        <f t="shared" si="116"/>
        <v/>
      </c>
      <c r="D1479" s="8" t="str">
        <f t="shared" si="117"/>
        <v/>
      </c>
      <c r="F1479" s="4" t="str">
        <f>IF(Jugadores!B1479="","",Jugadores!B1479)</f>
        <v/>
      </c>
      <c r="G1479" s="4" t="str">
        <f>IF(Jugadores!B1479="","",Jugadores!A1479)</f>
        <v/>
      </c>
      <c r="H1479" s="4" t="str">
        <f>IF(F1479="","",SUMIF('Estadísticas Jugadores'!$F$2:$F$7001,F1479,'Estadísticas Jugadores'!$J$2:$J$7001))</f>
        <v/>
      </c>
      <c r="I1479" s="4" t="str">
        <f t="shared" si="118"/>
        <v/>
      </c>
      <c r="J1479" s="4" t="str">
        <f t="shared" si="119"/>
        <v/>
      </c>
    </row>
    <row r="1480" spans="1:10" ht="15" customHeight="1" x14ac:dyDescent="0.25">
      <c r="A1480" s="8" t="str">
        <f>IF(COUNT($J$2:$J$1501)&gt;=1479,1479,"")</f>
        <v/>
      </c>
      <c r="B1480" s="8" t="str">
        <f t="shared" si="115"/>
        <v/>
      </c>
      <c r="C1480" s="8" t="str">
        <f t="shared" si="116"/>
        <v/>
      </c>
      <c r="D1480" s="8" t="str">
        <f t="shared" si="117"/>
        <v/>
      </c>
      <c r="F1480" s="4" t="str">
        <f>IF(Jugadores!B1480="","",Jugadores!B1480)</f>
        <v/>
      </c>
      <c r="G1480" s="4" t="str">
        <f>IF(Jugadores!B1480="","",Jugadores!A1480)</f>
        <v/>
      </c>
      <c r="H1480" s="4" t="str">
        <f>IF(F1480="","",SUMIF('Estadísticas Jugadores'!$F$2:$F$7001,F1480,'Estadísticas Jugadores'!$J$2:$J$7001))</f>
        <v/>
      </c>
      <c r="I1480" s="4" t="str">
        <f t="shared" si="118"/>
        <v/>
      </c>
      <c r="J1480" s="4" t="str">
        <f t="shared" si="119"/>
        <v/>
      </c>
    </row>
    <row r="1481" spans="1:10" ht="15" customHeight="1" x14ac:dyDescent="0.25">
      <c r="A1481" s="8" t="str">
        <f>IF(COUNT($J$2:$J$1501)&gt;=1480,1480,"")</f>
        <v/>
      </c>
      <c r="B1481" s="8" t="str">
        <f t="shared" si="115"/>
        <v/>
      </c>
      <c r="C1481" s="8" t="str">
        <f t="shared" si="116"/>
        <v/>
      </c>
      <c r="D1481" s="8" t="str">
        <f t="shared" si="117"/>
        <v/>
      </c>
      <c r="F1481" s="4" t="str">
        <f>IF(Jugadores!B1481="","",Jugadores!B1481)</f>
        <v/>
      </c>
      <c r="G1481" s="4" t="str">
        <f>IF(Jugadores!B1481="","",Jugadores!A1481)</f>
        <v/>
      </c>
      <c r="H1481" s="4" t="str">
        <f>IF(F1481="","",SUMIF('Estadísticas Jugadores'!$F$2:$F$7001,F1481,'Estadísticas Jugadores'!$J$2:$J$7001))</f>
        <v/>
      </c>
      <c r="I1481" s="4" t="str">
        <f t="shared" si="118"/>
        <v/>
      </c>
      <c r="J1481" s="4" t="str">
        <f t="shared" si="119"/>
        <v/>
      </c>
    </row>
    <row r="1482" spans="1:10" ht="15" customHeight="1" x14ac:dyDescent="0.25">
      <c r="A1482" s="8" t="str">
        <f>IF(COUNT($J$2:$J$1501)&gt;=1481,1481,"")</f>
        <v/>
      </c>
      <c r="B1482" s="8" t="str">
        <f t="shared" si="115"/>
        <v/>
      </c>
      <c r="C1482" s="8" t="str">
        <f t="shared" si="116"/>
        <v/>
      </c>
      <c r="D1482" s="8" t="str">
        <f t="shared" si="117"/>
        <v/>
      </c>
      <c r="F1482" s="4" t="str">
        <f>IF(Jugadores!B1482="","",Jugadores!B1482)</f>
        <v/>
      </c>
      <c r="G1482" s="4" t="str">
        <f>IF(Jugadores!B1482="","",Jugadores!A1482)</f>
        <v/>
      </c>
      <c r="H1482" s="4" t="str">
        <f>IF(F1482="","",SUMIF('Estadísticas Jugadores'!$F$2:$F$7001,F1482,'Estadísticas Jugadores'!$J$2:$J$7001))</f>
        <v/>
      </c>
      <c r="I1482" s="4" t="str">
        <f t="shared" si="118"/>
        <v/>
      </c>
      <c r="J1482" s="4" t="str">
        <f t="shared" si="119"/>
        <v/>
      </c>
    </row>
    <row r="1483" spans="1:10" ht="15" customHeight="1" x14ac:dyDescent="0.25">
      <c r="A1483" s="8" t="str">
        <f>IF(COUNT($J$2:$J$1501)&gt;=1482,1482,"")</f>
        <v/>
      </c>
      <c r="B1483" s="8" t="str">
        <f t="shared" si="115"/>
        <v/>
      </c>
      <c r="C1483" s="8" t="str">
        <f t="shared" si="116"/>
        <v/>
      </c>
      <c r="D1483" s="8" t="str">
        <f t="shared" si="117"/>
        <v/>
      </c>
      <c r="F1483" s="4" t="str">
        <f>IF(Jugadores!B1483="","",Jugadores!B1483)</f>
        <v/>
      </c>
      <c r="G1483" s="4" t="str">
        <f>IF(Jugadores!B1483="","",Jugadores!A1483)</f>
        <v/>
      </c>
      <c r="H1483" s="4" t="str">
        <f>IF(F1483="","",SUMIF('Estadísticas Jugadores'!$F$2:$F$7001,F1483,'Estadísticas Jugadores'!$J$2:$J$7001))</f>
        <v/>
      </c>
      <c r="I1483" s="4" t="str">
        <f t="shared" si="118"/>
        <v/>
      </c>
      <c r="J1483" s="4" t="str">
        <f t="shared" si="119"/>
        <v/>
      </c>
    </row>
    <row r="1484" spans="1:10" ht="15" customHeight="1" x14ac:dyDescent="0.25">
      <c r="A1484" s="8" t="str">
        <f>IF(COUNT($J$2:$J$1501)&gt;=1483,1483,"")</f>
        <v/>
      </c>
      <c r="B1484" s="8" t="str">
        <f t="shared" si="115"/>
        <v/>
      </c>
      <c r="C1484" s="8" t="str">
        <f t="shared" si="116"/>
        <v/>
      </c>
      <c r="D1484" s="8" t="str">
        <f t="shared" si="117"/>
        <v/>
      </c>
      <c r="F1484" s="4" t="str">
        <f>IF(Jugadores!B1484="","",Jugadores!B1484)</f>
        <v/>
      </c>
      <c r="G1484" s="4" t="str">
        <f>IF(Jugadores!B1484="","",Jugadores!A1484)</f>
        <v/>
      </c>
      <c r="H1484" s="4" t="str">
        <f>IF(F1484="","",SUMIF('Estadísticas Jugadores'!$F$2:$F$7001,F1484,'Estadísticas Jugadores'!$J$2:$J$7001))</f>
        <v/>
      </c>
      <c r="I1484" s="4" t="str">
        <f t="shared" si="118"/>
        <v/>
      </c>
      <c r="J1484" s="4" t="str">
        <f t="shared" si="119"/>
        <v/>
      </c>
    </row>
    <row r="1485" spans="1:10" ht="15" customHeight="1" x14ac:dyDescent="0.25">
      <c r="A1485" s="8" t="str">
        <f>IF(COUNT($J$2:$J$1501)&gt;=1484,1484,"")</f>
        <v/>
      </c>
      <c r="B1485" s="8" t="str">
        <f t="shared" si="115"/>
        <v/>
      </c>
      <c r="C1485" s="8" t="str">
        <f t="shared" si="116"/>
        <v/>
      </c>
      <c r="D1485" s="8" t="str">
        <f t="shared" si="117"/>
        <v/>
      </c>
      <c r="F1485" s="4" t="str">
        <f>IF(Jugadores!B1485="","",Jugadores!B1485)</f>
        <v/>
      </c>
      <c r="G1485" s="4" t="str">
        <f>IF(Jugadores!B1485="","",Jugadores!A1485)</f>
        <v/>
      </c>
      <c r="H1485" s="4" t="str">
        <f>IF(F1485="","",SUMIF('Estadísticas Jugadores'!$F$2:$F$7001,F1485,'Estadísticas Jugadores'!$J$2:$J$7001))</f>
        <v/>
      </c>
      <c r="I1485" s="4" t="str">
        <f t="shared" si="118"/>
        <v/>
      </c>
      <c r="J1485" s="4" t="str">
        <f t="shared" si="119"/>
        <v/>
      </c>
    </row>
    <row r="1486" spans="1:10" ht="15" customHeight="1" x14ac:dyDescent="0.25">
      <c r="A1486" s="8" t="str">
        <f>IF(COUNT($J$2:$J$1501)&gt;=1485,1485,"")</f>
        <v/>
      </c>
      <c r="B1486" s="8" t="str">
        <f t="shared" si="115"/>
        <v/>
      </c>
      <c r="C1486" s="8" t="str">
        <f t="shared" si="116"/>
        <v/>
      </c>
      <c r="D1486" s="8" t="str">
        <f t="shared" si="117"/>
        <v/>
      </c>
      <c r="F1486" s="4" t="str">
        <f>IF(Jugadores!B1486="","",Jugadores!B1486)</f>
        <v/>
      </c>
      <c r="G1486" s="4" t="str">
        <f>IF(Jugadores!B1486="","",Jugadores!A1486)</f>
        <v/>
      </c>
      <c r="H1486" s="4" t="str">
        <f>IF(F1486="","",SUMIF('Estadísticas Jugadores'!$F$2:$F$7001,F1486,'Estadísticas Jugadores'!$J$2:$J$7001))</f>
        <v/>
      </c>
      <c r="I1486" s="4" t="str">
        <f t="shared" si="118"/>
        <v/>
      </c>
      <c r="J1486" s="4" t="str">
        <f t="shared" si="119"/>
        <v/>
      </c>
    </row>
    <row r="1487" spans="1:10" ht="15" customHeight="1" x14ac:dyDescent="0.25">
      <c r="A1487" s="8" t="str">
        <f>IF(COUNT($J$2:$J$1501)&gt;=1486,1486,"")</f>
        <v/>
      </c>
      <c r="B1487" s="8" t="str">
        <f t="shared" si="115"/>
        <v/>
      </c>
      <c r="C1487" s="8" t="str">
        <f t="shared" si="116"/>
        <v/>
      </c>
      <c r="D1487" s="8" t="str">
        <f t="shared" si="117"/>
        <v/>
      </c>
      <c r="F1487" s="4" t="str">
        <f>IF(Jugadores!B1487="","",Jugadores!B1487)</f>
        <v/>
      </c>
      <c r="G1487" s="4" t="str">
        <f>IF(Jugadores!B1487="","",Jugadores!A1487)</f>
        <v/>
      </c>
      <c r="H1487" s="4" t="str">
        <f>IF(F1487="","",SUMIF('Estadísticas Jugadores'!$F$2:$F$7001,F1487,'Estadísticas Jugadores'!$J$2:$J$7001))</f>
        <v/>
      </c>
      <c r="I1487" s="4" t="str">
        <f t="shared" si="118"/>
        <v/>
      </c>
      <c r="J1487" s="4" t="str">
        <f t="shared" si="119"/>
        <v/>
      </c>
    </row>
    <row r="1488" spans="1:10" ht="15" customHeight="1" x14ac:dyDescent="0.25">
      <c r="A1488" s="8" t="str">
        <f>IF(COUNT($J$2:$J$1501)&gt;=1487,1487,"")</f>
        <v/>
      </c>
      <c r="B1488" s="8" t="str">
        <f t="shared" si="115"/>
        <v/>
      </c>
      <c r="C1488" s="8" t="str">
        <f t="shared" si="116"/>
        <v/>
      </c>
      <c r="D1488" s="8" t="str">
        <f t="shared" si="117"/>
        <v/>
      </c>
      <c r="F1488" s="4" t="str">
        <f>IF(Jugadores!B1488="","",Jugadores!B1488)</f>
        <v/>
      </c>
      <c r="G1488" s="4" t="str">
        <f>IF(Jugadores!B1488="","",Jugadores!A1488)</f>
        <v/>
      </c>
      <c r="H1488" s="4" t="str">
        <f>IF(F1488="","",SUMIF('Estadísticas Jugadores'!$F$2:$F$7001,F1488,'Estadísticas Jugadores'!$J$2:$J$7001))</f>
        <v/>
      </c>
      <c r="I1488" s="4" t="str">
        <f t="shared" si="118"/>
        <v/>
      </c>
      <c r="J1488" s="4" t="str">
        <f t="shared" si="119"/>
        <v/>
      </c>
    </row>
    <row r="1489" spans="1:10" ht="15" customHeight="1" x14ac:dyDescent="0.25">
      <c r="A1489" s="8" t="str">
        <f>IF(COUNT($J$2:$J$1501)&gt;=1488,1488,"")</f>
        <v/>
      </c>
      <c r="B1489" s="8" t="str">
        <f t="shared" si="115"/>
        <v/>
      </c>
      <c r="C1489" s="8" t="str">
        <f t="shared" si="116"/>
        <v/>
      </c>
      <c r="D1489" s="8" t="str">
        <f t="shared" si="117"/>
        <v/>
      </c>
      <c r="F1489" s="4" t="str">
        <f>IF(Jugadores!B1489="","",Jugadores!B1489)</f>
        <v/>
      </c>
      <c r="G1489" s="4" t="str">
        <f>IF(Jugadores!B1489="","",Jugadores!A1489)</f>
        <v/>
      </c>
      <c r="H1489" s="4" t="str">
        <f>IF(F1489="","",SUMIF('Estadísticas Jugadores'!$F$2:$F$7001,F1489,'Estadísticas Jugadores'!$J$2:$J$7001))</f>
        <v/>
      </c>
      <c r="I1489" s="4" t="str">
        <f t="shared" si="118"/>
        <v/>
      </c>
      <c r="J1489" s="4" t="str">
        <f t="shared" si="119"/>
        <v/>
      </c>
    </row>
    <row r="1490" spans="1:10" ht="15" customHeight="1" x14ac:dyDescent="0.25">
      <c r="A1490" s="8" t="str">
        <f>IF(COUNT($J$2:$J$1501)&gt;=1489,1489,"")</f>
        <v/>
      </c>
      <c r="B1490" s="8" t="str">
        <f t="shared" si="115"/>
        <v/>
      </c>
      <c r="C1490" s="8" t="str">
        <f t="shared" si="116"/>
        <v/>
      </c>
      <c r="D1490" s="8" t="str">
        <f t="shared" si="117"/>
        <v/>
      </c>
      <c r="F1490" s="4" t="str">
        <f>IF(Jugadores!B1490="","",Jugadores!B1490)</f>
        <v/>
      </c>
      <c r="G1490" s="4" t="str">
        <f>IF(Jugadores!B1490="","",Jugadores!A1490)</f>
        <v/>
      </c>
      <c r="H1490" s="4" t="str">
        <f>IF(F1490="","",SUMIF('Estadísticas Jugadores'!$F$2:$F$7001,F1490,'Estadísticas Jugadores'!$J$2:$J$7001))</f>
        <v/>
      </c>
      <c r="I1490" s="4" t="str">
        <f t="shared" si="118"/>
        <v/>
      </c>
      <c r="J1490" s="4" t="str">
        <f t="shared" si="119"/>
        <v/>
      </c>
    </row>
    <row r="1491" spans="1:10" ht="15" customHeight="1" x14ac:dyDescent="0.25">
      <c r="A1491" s="8" t="str">
        <f>IF(COUNT($J$2:$J$1501)&gt;=1490,1490,"")</f>
        <v/>
      </c>
      <c r="B1491" s="8" t="str">
        <f t="shared" si="115"/>
        <v/>
      </c>
      <c r="C1491" s="8" t="str">
        <f t="shared" si="116"/>
        <v/>
      </c>
      <c r="D1491" s="8" t="str">
        <f t="shared" si="117"/>
        <v/>
      </c>
      <c r="F1491" s="4" t="str">
        <f>IF(Jugadores!B1491="","",Jugadores!B1491)</f>
        <v/>
      </c>
      <c r="G1491" s="4" t="str">
        <f>IF(Jugadores!B1491="","",Jugadores!A1491)</f>
        <v/>
      </c>
      <c r="H1491" s="4" t="str">
        <f>IF(F1491="","",SUMIF('Estadísticas Jugadores'!$F$2:$F$7001,F1491,'Estadísticas Jugadores'!$J$2:$J$7001))</f>
        <v/>
      </c>
      <c r="I1491" s="4" t="str">
        <f t="shared" si="118"/>
        <v/>
      </c>
      <c r="J1491" s="4" t="str">
        <f t="shared" si="119"/>
        <v/>
      </c>
    </row>
    <row r="1492" spans="1:10" ht="15" customHeight="1" x14ac:dyDescent="0.25">
      <c r="A1492" s="8" t="str">
        <f>IF(COUNT($J$2:$J$1501)&gt;=1491,1491,"")</f>
        <v/>
      </c>
      <c r="B1492" s="8" t="str">
        <f t="shared" si="115"/>
        <v/>
      </c>
      <c r="C1492" s="8" t="str">
        <f t="shared" si="116"/>
        <v/>
      </c>
      <c r="D1492" s="8" t="str">
        <f t="shared" si="117"/>
        <v/>
      </c>
      <c r="F1492" s="4" t="str">
        <f>IF(Jugadores!B1492="","",Jugadores!B1492)</f>
        <v/>
      </c>
      <c r="G1492" s="4" t="str">
        <f>IF(Jugadores!B1492="","",Jugadores!A1492)</f>
        <v/>
      </c>
      <c r="H1492" s="4" t="str">
        <f>IF(F1492="","",SUMIF('Estadísticas Jugadores'!$F$2:$F$7001,F1492,'Estadísticas Jugadores'!$J$2:$J$7001))</f>
        <v/>
      </c>
      <c r="I1492" s="4" t="str">
        <f t="shared" si="118"/>
        <v/>
      </c>
      <c r="J1492" s="4" t="str">
        <f t="shared" si="119"/>
        <v/>
      </c>
    </row>
    <row r="1493" spans="1:10" ht="15" customHeight="1" x14ac:dyDescent="0.25">
      <c r="A1493" s="8" t="str">
        <f>IF(COUNT($J$2:$J$1501)&gt;=1492,1492,"")</f>
        <v/>
      </c>
      <c r="B1493" s="8" t="str">
        <f t="shared" si="115"/>
        <v/>
      </c>
      <c r="C1493" s="8" t="str">
        <f t="shared" si="116"/>
        <v/>
      </c>
      <c r="D1493" s="8" t="str">
        <f t="shared" si="117"/>
        <v/>
      </c>
      <c r="F1493" s="4" t="str">
        <f>IF(Jugadores!B1493="","",Jugadores!B1493)</f>
        <v/>
      </c>
      <c r="G1493" s="4" t="str">
        <f>IF(Jugadores!B1493="","",Jugadores!A1493)</f>
        <v/>
      </c>
      <c r="H1493" s="4" t="str">
        <f>IF(F1493="","",SUMIF('Estadísticas Jugadores'!$F$2:$F$7001,F1493,'Estadísticas Jugadores'!$J$2:$J$7001))</f>
        <v/>
      </c>
      <c r="I1493" s="4" t="str">
        <f t="shared" si="118"/>
        <v/>
      </c>
      <c r="J1493" s="4" t="str">
        <f t="shared" si="119"/>
        <v/>
      </c>
    </row>
    <row r="1494" spans="1:10" ht="15" customHeight="1" x14ac:dyDescent="0.25">
      <c r="A1494" s="8" t="str">
        <f>IF(COUNT($J$2:$J$1501)&gt;=1493,1493,"")</f>
        <v/>
      </c>
      <c r="B1494" s="8" t="str">
        <f t="shared" si="115"/>
        <v/>
      </c>
      <c r="C1494" s="8" t="str">
        <f t="shared" si="116"/>
        <v/>
      </c>
      <c r="D1494" s="8" t="str">
        <f t="shared" si="117"/>
        <v/>
      </c>
      <c r="F1494" s="4" t="str">
        <f>IF(Jugadores!B1494="","",Jugadores!B1494)</f>
        <v/>
      </c>
      <c r="G1494" s="4" t="str">
        <f>IF(Jugadores!B1494="","",Jugadores!A1494)</f>
        <v/>
      </c>
      <c r="H1494" s="4" t="str">
        <f>IF(F1494="","",SUMIF('Estadísticas Jugadores'!$F$2:$F$7001,F1494,'Estadísticas Jugadores'!$J$2:$J$7001))</f>
        <v/>
      </c>
      <c r="I1494" s="4" t="str">
        <f t="shared" si="118"/>
        <v/>
      </c>
      <c r="J1494" s="4" t="str">
        <f t="shared" si="119"/>
        <v/>
      </c>
    </row>
    <row r="1495" spans="1:10" ht="15" customHeight="1" x14ac:dyDescent="0.25">
      <c r="A1495" s="8" t="str">
        <f>IF(COUNT($J$2:$J$1501)&gt;=1494,1494,"")</f>
        <v/>
      </c>
      <c r="B1495" s="8" t="str">
        <f t="shared" si="115"/>
        <v/>
      </c>
      <c r="C1495" s="8" t="str">
        <f t="shared" si="116"/>
        <v/>
      </c>
      <c r="D1495" s="8" t="str">
        <f t="shared" si="117"/>
        <v/>
      </c>
      <c r="F1495" s="4" t="str">
        <f>IF(Jugadores!B1495="","",Jugadores!B1495)</f>
        <v/>
      </c>
      <c r="G1495" s="4" t="str">
        <f>IF(Jugadores!B1495="","",Jugadores!A1495)</f>
        <v/>
      </c>
      <c r="H1495" s="4" t="str">
        <f>IF(F1495="","",SUMIF('Estadísticas Jugadores'!$F$2:$F$7001,F1495,'Estadísticas Jugadores'!$J$2:$J$7001))</f>
        <v/>
      </c>
      <c r="I1495" s="4" t="str">
        <f t="shared" si="118"/>
        <v/>
      </c>
      <c r="J1495" s="4" t="str">
        <f t="shared" si="119"/>
        <v/>
      </c>
    </row>
    <row r="1496" spans="1:10" ht="15" customHeight="1" x14ac:dyDescent="0.25">
      <c r="A1496" s="8" t="str">
        <f>IF(COUNT($J$2:$J$1501)&gt;=1495,1495,"")</f>
        <v/>
      </c>
      <c r="B1496" s="8" t="str">
        <f t="shared" si="115"/>
        <v/>
      </c>
      <c r="C1496" s="8" t="str">
        <f t="shared" si="116"/>
        <v/>
      </c>
      <c r="D1496" s="8" t="str">
        <f t="shared" si="117"/>
        <v/>
      </c>
      <c r="F1496" s="4" t="str">
        <f>IF(Jugadores!B1496="","",Jugadores!B1496)</f>
        <v/>
      </c>
      <c r="G1496" s="4" t="str">
        <f>IF(Jugadores!B1496="","",Jugadores!A1496)</f>
        <v/>
      </c>
      <c r="H1496" s="4" t="str">
        <f>IF(F1496="","",SUMIF('Estadísticas Jugadores'!$F$2:$F$7001,F1496,'Estadísticas Jugadores'!$J$2:$J$7001))</f>
        <v/>
      </c>
      <c r="I1496" s="4" t="str">
        <f t="shared" si="118"/>
        <v/>
      </c>
      <c r="J1496" s="4" t="str">
        <f t="shared" si="119"/>
        <v/>
      </c>
    </row>
    <row r="1497" spans="1:10" ht="15" customHeight="1" x14ac:dyDescent="0.25">
      <c r="A1497" s="8" t="str">
        <f>IF(COUNT($J$2:$J$1501)&gt;=1496,1496,"")</f>
        <v/>
      </c>
      <c r="B1497" s="8" t="str">
        <f t="shared" si="115"/>
        <v/>
      </c>
      <c r="C1497" s="8" t="str">
        <f t="shared" si="116"/>
        <v/>
      </c>
      <c r="D1497" s="8" t="str">
        <f t="shared" si="117"/>
        <v/>
      </c>
      <c r="F1497" s="4" t="str">
        <f>IF(Jugadores!B1497="","",Jugadores!B1497)</f>
        <v/>
      </c>
      <c r="G1497" s="4" t="str">
        <f>IF(Jugadores!B1497="","",Jugadores!A1497)</f>
        <v/>
      </c>
      <c r="H1497" s="4" t="str">
        <f>IF(F1497="","",SUMIF('Estadísticas Jugadores'!$F$2:$F$7001,F1497,'Estadísticas Jugadores'!$J$2:$J$7001))</f>
        <v/>
      </c>
      <c r="I1497" s="4" t="str">
        <f t="shared" si="118"/>
        <v/>
      </c>
      <c r="J1497" s="4" t="str">
        <f t="shared" si="119"/>
        <v/>
      </c>
    </row>
    <row r="1498" spans="1:10" ht="15" customHeight="1" x14ac:dyDescent="0.25">
      <c r="A1498" s="8" t="str">
        <f>IF(COUNT($J$2:$J$1501)&gt;=1497,1497,"")</f>
        <v/>
      </c>
      <c r="B1498" s="8" t="str">
        <f t="shared" si="115"/>
        <v/>
      </c>
      <c r="C1498" s="8" t="str">
        <f t="shared" si="116"/>
        <v/>
      </c>
      <c r="D1498" s="8" t="str">
        <f t="shared" si="117"/>
        <v/>
      </c>
      <c r="F1498" s="4" t="str">
        <f>IF(Jugadores!B1498="","",Jugadores!B1498)</f>
        <v/>
      </c>
      <c r="G1498" s="4" t="str">
        <f>IF(Jugadores!B1498="","",Jugadores!A1498)</f>
        <v/>
      </c>
      <c r="H1498" s="4" t="str">
        <f>IF(F1498="","",SUMIF('Estadísticas Jugadores'!$F$2:$F$7001,F1498,'Estadísticas Jugadores'!$J$2:$J$7001))</f>
        <v/>
      </c>
      <c r="I1498" s="4" t="str">
        <f t="shared" si="118"/>
        <v/>
      </c>
      <c r="J1498" s="4" t="str">
        <f t="shared" si="119"/>
        <v/>
      </c>
    </row>
    <row r="1499" spans="1:10" ht="15" customHeight="1" x14ac:dyDescent="0.25">
      <c r="A1499" s="8" t="str">
        <f>IF(COUNT($J$2:$J$1501)&gt;=1498,1498,"")</f>
        <v/>
      </c>
      <c r="B1499" s="8" t="str">
        <f t="shared" si="115"/>
        <v/>
      </c>
      <c r="C1499" s="8" t="str">
        <f t="shared" si="116"/>
        <v/>
      </c>
      <c r="D1499" s="8" t="str">
        <f t="shared" si="117"/>
        <v/>
      </c>
      <c r="F1499" s="4" t="str">
        <f>IF(Jugadores!B1499="","",Jugadores!B1499)</f>
        <v/>
      </c>
      <c r="G1499" s="4" t="str">
        <f>IF(Jugadores!B1499="","",Jugadores!A1499)</f>
        <v/>
      </c>
      <c r="H1499" s="4" t="str">
        <f>IF(F1499="","",SUMIF('Estadísticas Jugadores'!$F$2:$F$7001,F1499,'Estadísticas Jugadores'!$J$2:$J$7001))</f>
        <v/>
      </c>
      <c r="I1499" s="4" t="str">
        <f t="shared" si="118"/>
        <v/>
      </c>
      <c r="J1499" s="4" t="str">
        <f t="shared" si="119"/>
        <v/>
      </c>
    </row>
    <row r="1500" spans="1:10" ht="15" customHeight="1" x14ac:dyDescent="0.25">
      <c r="A1500" s="8" t="str">
        <f>IF(COUNT($J$2:$J$1501)&gt;=1499,1499,"")</f>
        <v/>
      </c>
      <c r="B1500" s="8" t="str">
        <f t="shared" si="115"/>
        <v/>
      </c>
      <c r="C1500" s="8" t="str">
        <f t="shared" si="116"/>
        <v/>
      </c>
      <c r="D1500" s="8" t="str">
        <f t="shared" si="117"/>
        <v/>
      </c>
      <c r="F1500" s="4" t="str">
        <f>IF(Jugadores!B1500="","",Jugadores!B1500)</f>
        <v/>
      </c>
      <c r="G1500" s="4" t="str">
        <f>IF(Jugadores!B1500="","",Jugadores!A1500)</f>
        <v/>
      </c>
      <c r="H1500" s="4" t="str">
        <f>IF(F1500="","",SUMIF('Estadísticas Jugadores'!$F$2:$F$7001,F1500,'Estadísticas Jugadores'!$J$2:$J$7001))</f>
        <v/>
      </c>
      <c r="I1500" s="4" t="str">
        <f t="shared" si="118"/>
        <v/>
      </c>
      <c r="J1500" s="4" t="str">
        <f t="shared" si="119"/>
        <v/>
      </c>
    </row>
    <row r="1501" spans="1:10" ht="15" customHeight="1" x14ac:dyDescent="0.25">
      <c r="A1501" s="8" t="str">
        <f>IF(COUNT($J$2:$J$1501)&gt;=1500,1500,"")</f>
        <v/>
      </c>
      <c r="B1501" s="8" t="str">
        <f t="shared" si="115"/>
        <v/>
      </c>
      <c r="C1501" s="8" t="str">
        <f t="shared" si="116"/>
        <v/>
      </c>
      <c r="D1501" s="8" t="str">
        <f t="shared" si="117"/>
        <v/>
      </c>
      <c r="F1501" s="4" t="str">
        <f>IF(Jugadores!B1501="","",Jugadores!B1501)</f>
        <v/>
      </c>
      <c r="G1501" s="4" t="str">
        <f>IF(Jugadores!B1501="","",Jugadores!A1501)</f>
        <v/>
      </c>
      <c r="H1501" s="4" t="str">
        <f>IF(F1501="","",SUMIF('Estadísticas Jugadores'!$F$2:$F$7001,F1501,'Estadísticas Jugadores'!$J$2:$J$7001))</f>
        <v/>
      </c>
      <c r="I1501" s="4" t="str">
        <f t="shared" si="118"/>
        <v/>
      </c>
      <c r="J1501" s="4" t="str">
        <f t="shared" si="11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01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10" defaultColWidth="9.140625" defaultRowHeight="15" x14ac:dyDescent="0.25"/>
  <cols>
    <col min="1" max="4" width="30.7109375" style="8" customWidth="1"/>
    <col min="5" max="5" width="10" style="7" customWidth="1"/>
    <col min="6" max="6" width="22" style="7" hidden="1" customWidth="1"/>
    <col min="7" max="7" width="16" style="7" hidden="1" customWidth="1"/>
    <col min="8" max="10" width="13" style="7" hidden="1" customWidth="1"/>
  </cols>
  <sheetData>
    <row r="1" spans="1:10" ht="15" customHeight="1" x14ac:dyDescent="0.25">
      <c r="A1" s="1" t="s">
        <v>63</v>
      </c>
      <c r="B1" s="1" t="s">
        <v>77</v>
      </c>
      <c r="C1" s="1" t="s">
        <v>64</v>
      </c>
      <c r="D1" s="1" t="s">
        <v>16</v>
      </c>
      <c r="F1" s="2" t="s">
        <v>75</v>
      </c>
      <c r="G1" s="2"/>
      <c r="H1" s="5" t="s">
        <v>75</v>
      </c>
    </row>
    <row r="2" spans="1:10" ht="15" customHeight="1" x14ac:dyDescent="0.25">
      <c r="A2" s="8">
        <f>IF(COUNT($J$2:$J$1501)&gt;=1,1,"")</f>
        <v>1</v>
      </c>
      <c r="B2" s="8" t="str">
        <f t="shared" ref="B2:B65" si="0">IF($A2="","",INDEX($F$2:$F$1501,MATCH($A2,$J$2:$J$1501,0)))</f>
        <v>Orellano Luca</v>
      </c>
      <c r="C2" s="8" t="str">
        <f t="shared" ref="C2:C65" si="1">IF($A2="","",INDEX($G$2:$G$1501,MATCH($A2,$J$2:$J$1501,0)))</f>
        <v>Monterrey</v>
      </c>
      <c r="D2" s="8">
        <f t="shared" ref="D2:D65" si="2">IF($A2="","",INDEX($H$2:$H$1501,MATCH($A2,$J$2:$J$1501,0)))</f>
        <v>4</v>
      </c>
      <c r="F2" s="4" t="str">
        <f>IF(Jugadores!B2="","",Jugadores!B2)</f>
        <v>Camacho Cesar</v>
      </c>
      <c r="G2" s="4" t="str">
        <f>IF(Jugadores!B2="","",Jugadores!A2)</f>
        <v>Pachuca</v>
      </c>
      <c r="H2" s="4">
        <f>IF(F2="","",SUMIF('Estadísticas Jugadores'!$F$2:$F$7001,F2,'Estadísticas Jugadores'!$L$2:$L$7001))</f>
        <v>0</v>
      </c>
      <c r="I2" s="4">
        <f t="shared" ref="I2:I65" si="3">IF(F2="","",H2*1000-ROW()*0.0000001)</f>
        <v>-1.9999999999999999E-7</v>
      </c>
      <c r="J2" s="4">
        <f t="shared" ref="J2:J65" si="4">IF(F2="","",RANK(I2,$I$2:$I$1501))</f>
        <v>53</v>
      </c>
    </row>
    <row r="3" spans="1:10" ht="15" customHeight="1" x14ac:dyDescent="0.25">
      <c r="A3" s="8">
        <f>IF(COUNT($J$2:$J$1501)&gt;=2,2,"")</f>
        <v>2</v>
      </c>
      <c r="B3" s="8" t="str">
        <f t="shared" si="0"/>
        <v>Rondón Salomon</v>
      </c>
      <c r="C3" s="8" t="str">
        <f t="shared" si="1"/>
        <v>Pachuca</v>
      </c>
      <c r="D3" s="8">
        <f t="shared" si="2"/>
        <v>3</v>
      </c>
      <c r="F3" s="4" t="str">
        <f>IF(Jugadores!B3="","",Jugadores!B3)</f>
        <v>Eulogio Jose</v>
      </c>
      <c r="G3" s="4" t="str">
        <f>IF(Jugadores!B3="","",Jugadores!A3)</f>
        <v>Pachuca</v>
      </c>
      <c r="H3" s="4">
        <f>IF(F3="","",SUMIF('Estadísticas Jugadores'!$F$2:$F$7001,F3,'Estadísticas Jugadores'!$L$2:$L$7001))</f>
        <v>0</v>
      </c>
      <c r="I3" s="4">
        <f t="shared" si="3"/>
        <v>-2.9999999999999999E-7</v>
      </c>
      <c r="J3" s="4">
        <f t="shared" si="4"/>
        <v>54</v>
      </c>
    </row>
    <row r="4" spans="1:10" ht="15" customHeight="1" x14ac:dyDescent="0.25">
      <c r="A4" s="8">
        <f>IF(COUNT($J$2:$J$1501)&gt;=3,3,"")</f>
        <v>3</v>
      </c>
      <c r="B4" s="8" t="str">
        <f t="shared" si="0"/>
        <v>Ocampos Lucas</v>
      </c>
      <c r="C4" s="8" t="str">
        <f t="shared" si="1"/>
        <v>Monterrey</v>
      </c>
      <c r="D4" s="8">
        <f t="shared" si="2"/>
        <v>3</v>
      </c>
      <c r="F4" s="4" t="str">
        <f>IF(Jugadores!B4="","",Jugadores!B4)</f>
        <v>Moreno Carlos</v>
      </c>
      <c r="G4" s="4" t="str">
        <f>IF(Jugadores!B4="","",Jugadores!A4)</f>
        <v>Pachuca</v>
      </c>
      <c r="H4" s="4">
        <f>IF(F4="","",SUMIF('Estadísticas Jugadores'!$F$2:$F$7001,F4,'Estadísticas Jugadores'!$L$2:$L$7001))</f>
        <v>0</v>
      </c>
      <c r="I4" s="4">
        <f t="shared" si="3"/>
        <v>-3.9999999999999998E-7</v>
      </c>
      <c r="J4" s="4">
        <f t="shared" si="4"/>
        <v>55</v>
      </c>
    </row>
    <row r="5" spans="1:10" ht="15" customHeight="1" x14ac:dyDescent="0.25">
      <c r="A5" s="8">
        <f>IF(COUNT($J$2:$J$1501)&gt;=4,4,"")</f>
        <v>4</v>
      </c>
      <c r="B5" s="8" t="str">
        <f t="shared" si="0"/>
        <v>Rotondi Carlos</v>
      </c>
      <c r="C5" s="8" t="str">
        <f t="shared" si="1"/>
        <v>Cruz Azul</v>
      </c>
      <c r="D5" s="8">
        <f t="shared" si="2"/>
        <v>3</v>
      </c>
      <c r="F5" s="4" t="str">
        <f>IF(Jugadores!B5="","",Jugadores!B5)</f>
        <v>Barreto Sergio Damian</v>
      </c>
      <c r="G5" s="4" t="str">
        <f>IF(Jugadores!B5="","",Jugadores!A5)</f>
        <v>Pachuca</v>
      </c>
      <c r="H5" s="4">
        <f>IF(F5="","",SUMIF('Estadísticas Jugadores'!$F$2:$F$7001,F5,'Estadísticas Jugadores'!$L$2:$L$7001))</f>
        <v>0</v>
      </c>
      <c r="I5" s="4">
        <f t="shared" si="3"/>
        <v>-4.9999999999999998E-7</v>
      </c>
      <c r="J5" s="4">
        <f t="shared" si="4"/>
        <v>56</v>
      </c>
    </row>
    <row r="6" spans="1:10" ht="15" customHeight="1" x14ac:dyDescent="0.25">
      <c r="A6" s="8">
        <f>IF(COUNT($J$2:$J$1501)&gt;=5,5,"")</f>
        <v>5</v>
      </c>
      <c r="B6" s="8" t="str">
        <f t="shared" si="0"/>
        <v>Maestro Ignacio</v>
      </c>
      <c r="C6" s="8" t="str">
        <f t="shared" si="1"/>
        <v>Puebla</v>
      </c>
      <c r="D6" s="8">
        <f t="shared" si="2"/>
        <v>3</v>
      </c>
      <c r="F6" s="4" t="str">
        <f>IF(Jugadores!B6="","",Jugadores!B6)</f>
        <v>Berlanga Jorge</v>
      </c>
      <c r="G6" s="4" t="str">
        <f>IF(Jugadores!B6="","",Jugadores!A6)</f>
        <v>Pachuca</v>
      </c>
      <c r="H6" s="4">
        <f>IF(F6="","",SUMIF('Estadísticas Jugadores'!$F$2:$F$7001,F6,'Estadísticas Jugadores'!$L$2:$L$7001))</f>
        <v>0</v>
      </c>
      <c r="I6" s="4">
        <f t="shared" si="3"/>
        <v>-5.9999999999999997E-7</v>
      </c>
      <c r="J6" s="4">
        <f t="shared" si="4"/>
        <v>57</v>
      </c>
    </row>
    <row r="7" spans="1:10" ht="15" customHeight="1" x14ac:dyDescent="0.25">
      <c r="A7" s="8">
        <f>IF(COUNT($J$2:$J$1501)&gt;=6,6,"")</f>
        <v>6</v>
      </c>
      <c r="B7" s="8" t="str">
        <f t="shared" si="0"/>
        <v>Llorente Rafa</v>
      </c>
      <c r="C7" s="8" t="str">
        <f t="shared" si="1"/>
        <v>Atlético de San Luis</v>
      </c>
      <c r="D7" s="8">
        <f t="shared" si="2"/>
        <v>3</v>
      </c>
      <c r="F7" s="4" t="str">
        <f>IF(Jugadores!B7="","",Jugadores!B7)</f>
        <v>Collazo David</v>
      </c>
      <c r="G7" s="4" t="str">
        <f>IF(Jugadores!B7="","",Jugadores!A7)</f>
        <v>Pachuca</v>
      </c>
      <c r="H7" s="4">
        <f>IF(F7="","",SUMIF('Estadísticas Jugadores'!$F$2:$F$7001,F7,'Estadísticas Jugadores'!$L$2:$L$7001))</f>
        <v>0</v>
      </c>
      <c r="I7" s="4">
        <f t="shared" si="3"/>
        <v>-6.9999999999999997E-7</v>
      </c>
      <c r="J7" s="4">
        <f t="shared" si="4"/>
        <v>58</v>
      </c>
    </row>
    <row r="8" spans="1:10" ht="15" customHeight="1" x14ac:dyDescent="0.25">
      <c r="A8" s="8">
        <f>IF(COUNT($J$2:$J$1501)&gt;=7,7,"")</f>
        <v>7</v>
      </c>
      <c r="B8" s="8" t="str">
        <f t="shared" si="0"/>
        <v>Gomez Alejandro</v>
      </c>
      <c r="C8" s="8" t="str">
        <f t="shared" si="1"/>
        <v>Tijuana</v>
      </c>
      <c r="D8" s="8">
        <f t="shared" si="2"/>
        <v>2</v>
      </c>
      <c r="F8" s="4" t="str">
        <f>IF(Jugadores!B8="","",Jugadores!B8)</f>
        <v>Eduardo Bauermann</v>
      </c>
      <c r="G8" s="4" t="str">
        <f>IF(Jugadores!B8="","",Jugadores!A8)</f>
        <v>Pachuca</v>
      </c>
      <c r="H8" s="4">
        <f>IF(F8="","",SUMIF('Estadísticas Jugadores'!$F$2:$F$7001,F8,'Estadísticas Jugadores'!$L$2:$L$7001))</f>
        <v>0</v>
      </c>
      <c r="I8" s="4">
        <f t="shared" si="3"/>
        <v>-7.9999999999999996E-7</v>
      </c>
      <c r="J8" s="4">
        <f t="shared" si="4"/>
        <v>59</v>
      </c>
    </row>
    <row r="9" spans="1:10" ht="15" customHeight="1" x14ac:dyDescent="0.25">
      <c r="A9" s="8">
        <f>IF(COUNT($J$2:$J$1501)&gt;=8,8,"")</f>
        <v>8</v>
      </c>
      <c r="B9" s="8" t="str">
        <f t="shared" si="0"/>
        <v>El Ghezouani Mourad</v>
      </c>
      <c r="C9" s="8" t="str">
        <f t="shared" si="1"/>
        <v>Tijuana</v>
      </c>
      <c r="D9" s="8">
        <f t="shared" si="2"/>
        <v>2</v>
      </c>
      <c r="F9" s="4" t="str">
        <f>IF(Jugadores!B9="","",Jugadores!B9)</f>
        <v>Gamez Juan</v>
      </c>
      <c r="G9" s="4" t="str">
        <f>IF(Jugadores!B9="","",Jugadores!A9)</f>
        <v>Pachuca</v>
      </c>
      <c r="H9" s="4">
        <f>IF(F9="","",SUMIF('Estadísticas Jugadores'!$F$2:$F$7001,F9,'Estadísticas Jugadores'!$L$2:$L$7001))</f>
        <v>0</v>
      </c>
      <c r="I9" s="4">
        <f t="shared" si="3"/>
        <v>-8.9999999999999996E-7</v>
      </c>
      <c r="J9" s="4">
        <f t="shared" si="4"/>
        <v>60</v>
      </c>
    </row>
    <row r="10" spans="1:10" ht="15" customHeight="1" x14ac:dyDescent="0.25">
      <c r="A10" s="8">
        <f>IF(COUNT($J$2:$J$1501)&gt;=9,9,"")</f>
        <v>9</v>
      </c>
      <c r="B10" s="8" t="str">
        <f t="shared" si="0"/>
        <v>Castro Nicolas</v>
      </c>
      <c r="C10" s="8" t="str">
        <f t="shared" si="1"/>
        <v>Toluca</v>
      </c>
      <c r="D10" s="8">
        <f t="shared" si="2"/>
        <v>2</v>
      </c>
      <c r="F10" s="4" t="str">
        <f>IF(Jugadores!B10="","",Jugadores!B10)</f>
        <v>Isais Mauricio</v>
      </c>
      <c r="G10" s="4" t="str">
        <f>IF(Jugadores!B10="","",Jugadores!A10)</f>
        <v>Pachuca</v>
      </c>
      <c r="H10" s="4">
        <f>IF(F10="","",SUMIF('Estadísticas Jugadores'!$F$2:$F$7001,F10,'Estadísticas Jugadores'!$L$2:$L$7001))</f>
        <v>0</v>
      </c>
      <c r="I10" s="4">
        <f t="shared" si="3"/>
        <v>-9.9999999999999995E-7</v>
      </c>
      <c r="J10" s="4">
        <f t="shared" si="4"/>
        <v>61</v>
      </c>
    </row>
    <row r="11" spans="1:10" ht="15" customHeight="1" x14ac:dyDescent="0.25">
      <c r="A11" s="8">
        <f>IF(COUNT($J$2:$J$1501)&gt;=10,10,"")</f>
        <v>10</v>
      </c>
      <c r="B11" s="8" t="str">
        <f t="shared" si="0"/>
        <v>Diaz Price Jorge</v>
      </c>
      <c r="C11" s="8" t="str">
        <f t="shared" si="1"/>
        <v>Toluca</v>
      </c>
      <c r="D11" s="8">
        <f t="shared" si="2"/>
        <v>2</v>
      </c>
      <c r="F11" s="4" t="str">
        <f>IF(Jugadores!B11="","",Jugadores!B11)</f>
        <v>Lopez Abutro Rene</v>
      </c>
      <c r="G11" s="4" t="str">
        <f>IF(Jugadores!B11="","",Jugadores!A11)</f>
        <v>Pachuca</v>
      </c>
      <c r="H11" s="4">
        <f>IF(F11="","",SUMIF('Estadísticas Jugadores'!$F$2:$F$7001,F11,'Estadísticas Jugadores'!$L$2:$L$7001))</f>
        <v>0</v>
      </c>
      <c r="I11" s="4">
        <f t="shared" si="3"/>
        <v>-1.1000000000000001E-6</v>
      </c>
      <c r="J11" s="4">
        <f t="shared" si="4"/>
        <v>62</v>
      </c>
    </row>
    <row r="12" spans="1:10" ht="15" customHeight="1" x14ac:dyDescent="0.25">
      <c r="A12" s="8">
        <f>IF(COUNT($J$2:$J$1501)&gt;=11,11,"")</f>
        <v>11</v>
      </c>
      <c r="B12" s="8" t="str">
        <f t="shared" si="0"/>
        <v>Helinho</v>
      </c>
      <c r="C12" s="8" t="str">
        <f t="shared" si="1"/>
        <v>Toluca</v>
      </c>
      <c r="D12" s="8">
        <f t="shared" si="2"/>
        <v>2</v>
      </c>
      <c r="F12" s="4" t="str">
        <f>IF(Jugadores!B12="","",Jugadores!B12)</f>
        <v>Mozo Alan</v>
      </c>
      <c r="G12" s="4" t="str">
        <f>IF(Jugadores!B12="","",Jugadores!A12)</f>
        <v>Pachuca</v>
      </c>
      <c r="H12" s="4">
        <f>IF(F12="","",SUMIF('Estadísticas Jugadores'!$F$2:$F$7001,F12,'Estadísticas Jugadores'!$L$2:$L$7001))</f>
        <v>0</v>
      </c>
      <c r="I12" s="4">
        <f t="shared" si="3"/>
        <v>-1.1999999999999999E-6</v>
      </c>
      <c r="J12" s="4">
        <f t="shared" si="4"/>
        <v>63</v>
      </c>
    </row>
    <row r="13" spans="1:10" ht="15" customHeight="1" x14ac:dyDescent="0.25">
      <c r="A13" s="8">
        <f>IF(COUNT($J$2:$J$1501)&gt;=12,12,"")</f>
        <v>12</v>
      </c>
      <c r="B13" s="8" t="str">
        <f t="shared" si="0"/>
        <v>Vega Alexis</v>
      </c>
      <c r="C13" s="8" t="str">
        <f t="shared" si="1"/>
        <v>Toluca</v>
      </c>
      <c r="D13" s="8">
        <f t="shared" si="2"/>
        <v>2</v>
      </c>
      <c r="F13" s="4" t="str">
        <f>IF(Jugadores!B13="","",Jugadores!B13)</f>
        <v>Sanchez Carlos</v>
      </c>
      <c r="G13" s="4" t="str">
        <f>IF(Jugadores!B13="","",Jugadores!A13)</f>
        <v>Pachuca</v>
      </c>
      <c r="H13" s="4">
        <f>IF(F13="","",SUMIF('Estadísticas Jugadores'!$F$2:$F$7001,F13,'Estadísticas Jugadores'!$L$2:$L$7001))</f>
        <v>0</v>
      </c>
      <c r="I13" s="4">
        <f t="shared" si="3"/>
        <v>-1.2999999999999998E-6</v>
      </c>
      <c r="J13" s="4">
        <f t="shared" si="4"/>
        <v>64</v>
      </c>
    </row>
    <row r="14" spans="1:10" ht="15" customHeight="1" x14ac:dyDescent="0.25">
      <c r="A14" s="8">
        <f>IF(COUNT($J$2:$J$1501)&gt;=13,13,"")</f>
        <v>13</v>
      </c>
      <c r="B14" s="8" t="str">
        <f t="shared" si="0"/>
        <v>Torres Óliver</v>
      </c>
      <c r="C14" s="8" t="str">
        <f t="shared" si="1"/>
        <v>Monterrey</v>
      </c>
      <c r="D14" s="8">
        <f t="shared" si="2"/>
        <v>2</v>
      </c>
      <c r="F14" s="4" t="str">
        <f>IF(Jugadores!B14="","",Jugadores!B14)</f>
        <v>Sánchez Moñino Edwin</v>
      </c>
      <c r="G14" s="4" t="str">
        <f>IF(Jugadores!B14="","",Jugadores!A14)</f>
        <v>Pachuca</v>
      </c>
      <c r="H14" s="4">
        <f>IF(F14="","",SUMIF('Estadísticas Jugadores'!$F$2:$F$7001,F14,'Estadísticas Jugadores'!$L$2:$L$7001))</f>
        <v>0</v>
      </c>
      <c r="I14" s="4">
        <f t="shared" si="3"/>
        <v>-1.3999999999999999E-6</v>
      </c>
      <c r="J14" s="4">
        <f t="shared" si="4"/>
        <v>65</v>
      </c>
    </row>
    <row r="15" spans="1:10" ht="15" customHeight="1" x14ac:dyDescent="0.25">
      <c r="A15" s="8">
        <f>IF(COUNT($J$2:$J$1501)&gt;=14,14,"")</f>
        <v>14</v>
      </c>
      <c r="B15" s="8" t="str">
        <f t="shared" si="0"/>
        <v>Márquez Jeremy</v>
      </c>
      <c r="C15" s="8" t="str">
        <f t="shared" si="1"/>
        <v>Cruz Azul</v>
      </c>
      <c r="D15" s="8">
        <f t="shared" si="2"/>
        <v>2</v>
      </c>
      <c r="F15" s="4" t="str">
        <f>IF(Jugadores!B15="","",Jugadores!B15)</f>
        <v>Venegas Moreno Francisco Eduardo</v>
      </c>
      <c r="G15" s="4" t="str">
        <f>IF(Jugadores!B15="","",Jugadores!A15)</f>
        <v>Pachuca</v>
      </c>
      <c r="H15" s="4">
        <f>IF(F15="","",SUMIF('Estadísticas Jugadores'!$F$2:$F$7001,F15,'Estadísticas Jugadores'!$L$2:$L$7001))</f>
        <v>1</v>
      </c>
      <c r="I15" s="4">
        <f t="shared" si="3"/>
        <v>999.99999849999995</v>
      </c>
      <c r="J15" s="4">
        <f t="shared" si="4"/>
        <v>21</v>
      </c>
    </row>
    <row r="16" spans="1:10" ht="15" customHeight="1" x14ac:dyDescent="0.25">
      <c r="A16" s="8">
        <f>IF(COUNT($J$2:$J$1501)&gt;=15,15,"")</f>
        <v>15</v>
      </c>
      <c r="B16" s="8" t="str">
        <f t="shared" si="0"/>
        <v>Fernández Gabriel</v>
      </c>
      <c r="C16" s="8" t="str">
        <f t="shared" si="1"/>
        <v>Cruz Azul</v>
      </c>
      <c r="D16" s="8">
        <f t="shared" si="2"/>
        <v>2</v>
      </c>
      <c r="F16" s="4" t="str">
        <f>IF(Jugadores!B16="","",Jugadores!B16)</f>
        <v>Alvarez Gaël</v>
      </c>
      <c r="G16" s="4" t="str">
        <f>IF(Jugadores!B16="","",Jugadores!A16)</f>
        <v>Pachuca</v>
      </c>
      <c r="H16" s="4">
        <f>IF(F16="","",SUMIF('Estadísticas Jugadores'!$F$2:$F$7001,F16,'Estadísticas Jugadores'!$L$2:$L$7001))</f>
        <v>0</v>
      </c>
      <c r="I16" s="4">
        <f t="shared" si="3"/>
        <v>-1.5999999999999999E-6</v>
      </c>
      <c r="J16" s="4">
        <f t="shared" si="4"/>
        <v>66</v>
      </c>
    </row>
    <row r="17" spans="1:10" ht="15" customHeight="1" x14ac:dyDescent="0.25">
      <c r="A17" s="8">
        <f>IF(COUNT($J$2:$J$1501)&gt;=16,16,"")</f>
        <v>16</v>
      </c>
      <c r="B17" s="8" t="str">
        <f t="shared" si="0"/>
        <v>Ibáñez Nicolás</v>
      </c>
      <c r="C17" s="8" t="str">
        <f t="shared" si="1"/>
        <v>Cruz Azul</v>
      </c>
      <c r="D17" s="8">
        <f t="shared" si="2"/>
        <v>2</v>
      </c>
      <c r="F17" s="4" t="str">
        <f>IF(Jugadores!B17="","",Jugadores!B17)</f>
        <v>Bautista Alan</v>
      </c>
      <c r="G17" s="4" t="str">
        <f>IF(Jugadores!B17="","",Jugadores!A17)</f>
        <v>Pachuca</v>
      </c>
      <c r="H17" s="4">
        <f>IF(F17="","",SUMIF('Estadísticas Jugadores'!$F$2:$F$7001,F17,'Estadísticas Jugadores'!$L$2:$L$7001))</f>
        <v>0</v>
      </c>
      <c r="I17" s="4">
        <f t="shared" si="3"/>
        <v>-1.6999999999999998E-6</v>
      </c>
      <c r="J17" s="4">
        <f t="shared" si="4"/>
        <v>67</v>
      </c>
    </row>
    <row r="18" spans="1:10" ht="15" customHeight="1" x14ac:dyDescent="0.25">
      <c r="A18" s="8">
        <f>IF(COUNT($J$2:$J$1501)&gt;=17,17,"")</f>
        <v>17</v>
      </c>
      <c r="B18" s="8" t="str">
        <f t="shared" si="0"/>
        <v>Gonzalez Arturo</v>
      </c>
      <c r="C18" s="8" t="str">
        <f t="shared" si="1"/>
        <v>Atlas</v>
      </c>
      <c r="D18" s="8">
        <f t="shared" si="2"/>
        <v>2</v>
      </c>
      <c r="F18" s="4" t="str">
        <f>IF(Jugadores!B18="","",Jugadores!B18)</f>
        <v>Contreras Ari</v>
      </c>
      <c r="G18" s="4" t="str">
        <f>IF(Jugadores!B18="","",Jugadores!A18)</f>
        <v>Pachuca</v>
      </c>
      <c r="H18" s="4">
        <f>IF(F18="","",SUMIF('Estadísticas Jugadores'!$F$2:$F$7001,F18,'Estadísticas Jugadores'!$L$2:$L$7001))</f>
        <v>0</v>
      </c>
      <c r="I18" s="4">
        <f t="shared" si="3"/>
        <v>-1.7999999999999999E-6</v>
      </c>
      <c r="J18" s="4">
        <f t="shared" si="4"/>
        <v>68</v>
      </c>
    </row>
    <row r="19" spans="1:10" ht="15" customHeight="1" x14ac:dyDescent="0.25">
      <c r="A19" s="8">
        <f>IF(COUNT($J$2:$J$1501)&gt;=18,18,"")</f>
        <v>18</v>
      </c>
      <c r="B19" s="8" t="str">
        <f t="shared" si="0"/>
        <v>Carranza Julian</v>
      </c>
      <c r="C19" s="8" t="str">
        <f t="shared" si="1"/>
        <v>Necaxa</v>
      </c>
      <c r="D19" s="8">
        <f t="shared" si="2"/>
        <v>2</v>
      </c>
      <c r="F19" s="4" t="str">
        <f>IF(Jugadores!B19="","",Jugadores!B19)</f>
        <v>Montiel Elias</v>
      </c>
      <c r="G19" s="4" t="str">
        <f>IF(Jugadores!B19="","",Jugadores!A19)</f>
        <v>Pachuca</v>
      </c>
      <c r="H19" s="4">
        <f>IF(F19="","",SUMIF('Estadísticas Jugadores'!$F$2:$F$7001,F19,'Estadísticas Jugadores'!$L$2:$L$7001))</f>
        <v>1</v>
      </c>
      <c r="I19" s="4">
        <f t="shared" si="3"/>
        <v>999.99999809999997</v>
      </c>
      <c r="J19" s="4">
        <f t="shared" si="4"/>
        <v>22</v>
      </c>
    </row>
    <row r="20" spans="1:10" ht="15" customHeight="1" x14ac:dyDescent="0.25">
      <c r="A20" s="8">
        <f>IF(COUNT($J$2:$J$1501)&gt;=19,19,"")</f>
        <v>19</v>
      </c>
      <c r="B20" s="8" t="str">
        <f t="shared" si="0"/>
        <v>Raphael Veiga</v>
      </c>
      <c r="C20" s="8" t="str">
        <f t="shared" si="1"/>
        <v>Club América</v>
      </c>
      <c r="D20" s="8">
        <f t="shared" si="2"/>
        <v>2</v>
      </c>
      <c r="F20" s="4" t="str">
        <f>IF(Jugadores!B20="","",Jugadores!B20)</f>
        <v>Pizarro Rodolfo</v>
      </c>
      <c r="G20" s="4" t="str">
        <f>IF(Jugadores!B20="","",Jugadores!A20)</f>
        <v>Pachuca</v>
      </c>
      <c r="H20" s="4">
        <f>IF(F20="","",SUMIF('Estadísticas Jugadores'!$F$2:$F$7001,F20,'Estadísticas Jugadores'!$L$2:$L$7001))</f>
        <v>0</v>
      </c>
      <c r="I20" s="4">
        <f t="shared" si="3"/>
        <v>-1.9999999999999999E-6</v>
      </c>
      <c r="J20" s="4">
        <f t="shared" si="4"/>
        <v>69</v>
      </c>
    </row>
    <row r="21" spans="1:10" ht="15" customHeight="1" x14ac:dyDescent="0.25">
      <c r="A21" s="8">
        <f>IF(COUNT($J$2:$J$1501)&gt;=20,20,"")</f>
        <v>20</v>
      </c>
      <c r="B21" s="8" t="str">
        <f t="shared" si="0"/>
        <v>Violante Isaias</v>
      </c>
      <c r="C21" s="8" t="str">
        <f t="shared" si="1"/>
        <v>Club América</v>
      </c>
      <c r="D21" s="8">
        <f t="shared" si="2"/>
        <v>2</v>
      </c>
      <c r="F21" s="4" t="str">
        <f>IF(Jugadores!B21="","",Jugadores!B21)</f>
        <v>Rivera Christian</v>
      </c>
      <c r="G21" s="4" t="str">
        <f>IF(Jugadores!B21="","",Jugadores!A21)</f>
        <v>Pachuca</v>
      </c>
      <c r="H21" s="4">
        <f>IF(F21="","",SUMIF('Estadísticas Jugadores'!$F$2:$F$7001,F21,'Estadísticas Jugadores'!$L$2:$L$7001))</f>
        <v>0</v>
      </c>
      <c r="I21" s="4">
        <f t="shared" si="3"/>
        <v>-2.0999999999999998E-6</v>
      </c>
      <c r="J21" s="4">
        <f t="shared" si="4"/>
        <v>70</v>
      </c>
    </row>
    <row r="22" spans="1:10" ht="15" customHeight="1" x14ac:dyDescent="0.25">
      <c r="A22" s="8">
        <f>IF(COUNT($J$2:$J$1501)&gt;=21,21,"")</f>
        <v>21</v>
      </c>
      <c r="B22" s="8" t="str">
        <f t="shared" si="0"/>
        <v>Venegas Moreno Francisco Eduardo</v>
      </c>
      <c r="C22" s="8" t="str">
        <f t="shared" si="1"/>
        <v>Pachuca</v>
      </c>
      <c r="D22" s="8">
        <f t="shared" si="2"/>
        <v>1</v>
      </c>
      <c r="F22" s="4" t="str">
        <f>IF(Jugadores!B22="","",Jugadores!B22)</f>
        <v>Rodriguez Sergio</v>
      </c>
      <c r="G22" s="4" t="str">
        <f>IF(Jugadores!B22="","",Jugadores!A22)</f>
        <v>Pachuca</v>
      </c>
      <c r="H22" s="4">
        <f>IF(F22="","",SUMIF('Estadísticas Jugadores'!$F$2:$F$7001,F22,'Estadísticas Jugadores'!$L$2:$L$7001))</f>
        <v>0</v>
      </c>
      <c r="I22" s="4">
        <f t="shared" si="3"/>
        <v>-2.2000000000000001E-6</v>
      </c>
      <c r="J22" s="4">
        <f t="shared" si="4"/>
        <v>71</v>
      </c>
    </row>
    <row r="23" spans="1:10" ht="15" customHeight="1" x14ac:dyDescent="0.25">
      <c r="A23" s="8">
        <f>IF(COUNT($J$2:$J$1501)&gt;=22,22,"")</f>
        <v>22</v>
      </c>
      <c r="B23" s="8" t="str">
        <f t="shared" si="0"/>
        <v>Montiel Elias</v>
      </c>
      <c r="C23" s="8" t="str">
        <f t="shared" si="1"/>
        <v>Pachuca</v>
      </c>
      <c r="D23" s="8">
        <f t="shared" si="2"/>
        <v>1</v>
      </c>
      <c r="F23" s="4" t="str">
        <f>IF(Jugadores!B23="","",Jugadores!B23)</f>
        <v>Alcaraz Adrián</v>
      </c>
      <c r="G23" s="4" t="str">
        <f>IF(Jugadores!B23="","",Jugadores!A23)</f>
        <v>Pachuca</v>
      </c>
      <c r="H23" s="4">
        <f>IF(F23="","",SUMIF('Estadísticas Jugadores'!$F$2:$F$7001,F23,'Estadísticas Jugadores'!$L$2:$L$7001))</f>
        <v>0</v>
      </c>
      <c r="I23" s="4">
        <f t="shared" si="3"/>
        <v>-2.3E-6</v>
      </c>
      <c r="J23" s="4">
        <f t="shared" si="4"/>
        <v>72</v>
      </c>
    </row>
    <row r="24" spans="1:10" ht="15" customHeight="1" x14ac:dyDescent="0.25">
      <c r="A24" s="8">
        <f>IF(COUNT($J$2:$J$1501)&gt;=23,23,"")</f>
        <v>23</v>
      </c>
      <c r="B24" s="8" t="str">
        <f t="shared" si="0"/>
        <v>Arciga Ramiro</v>
      </c>
      <c r="C24" s="8" t="str">
        <f t="shared" si="1"/>
        <v>Tijuana</v>
      </c>
      <c r="D24" s="8">
        <f t="shared" si="2"/>
        <v>1</v>
      </c>
      <c r="F24" s="4" t="str">
        <f>IF(Jugadores!B24="","",Jugadores!B24)</f>
        <v>Dominguez Alexei</v>
      </c>
      <c r="G24" s="4" t="str">
        <f>IF(Jugadores!B24="","",Jugadores!A24)</f>
        <v>Pachuca</v>
      </c>
      <c r="H24" s="4">
        <f>IF(F24="","",SUMIF('Estadísticas Jugadores'!$F$2:$F$7001,F24,'Estadísticas Jugadores'!$L$2:$L$7001))</f>
        <v>0</v>
      </c>
      <c r="I24" s="4">
        <f t="shared" si="3"/>
        <v>-2.3999999999999999E-6</v>
      </c>
      <c r="J24" s="4">
        <f t="shared" si="4"/>
        <v>73</v>
      </c>
    </row>
    <row r="25" spans="1:10" ht="15" customHeight="1" x14ac:dyDescent="0.25">
      <c r="A25" s="8">
        <f>IF(COUNT($J$2:$J$1501)&gt;=24,24,"")</f>
        <v>24</v>
      </c>
      <c r="B25" s="8" t="str">
        <f t="shared" si="0"/>
        <v>Padilla Nanitamo</v>
      </c>
      <c r="C25" s="8" t="str">
        <f t="shared" si="1"/>
        <v>Tijuana</v>
      </c>
      <c r="D25" s="8">
        <f t="shared" si="2"/>
        <v>1</v>
      </c>
      <c r="F25" s="4" t="str">
        <f>IF(Jugadores!B25="","",Jugadores!B25)</f>
        <v>Hernandez Cristobal</v>
      </c>
      <c r="G25" s="4" t="str">
        <f>IF(Jugadores!B25="","",Jugadores!A25)</f>
        <v>Pachuca</v>
      </c>
      <c r="H25" s="4">
        <f>IF(F25="","",SUMIF('Estadísticas Jugadores'!$F$2:$F$7001,F25,'Estadísticas Jugadores'!$L$2:$L$7001))</f>
        <v>0</v>
      </c>
      <c r="I25" s="4">
        <f t="shared" si="3"/>
        <v>-2.4999999999999998E-6</v>
      </c>
      <c r="J25" s="4">
        <f t="shared" si="4"/>
        <v>74</v>
      </c>
    </row>
    <row r="26" spans="1:10" ht="15" customHeight="1" x14ac:dyDescent="0.25">
      <c r="A26" s="8">
        <f>IF(COUNT($J$2:$J$1501)&gt;=25,25,"")</f>
        <v>25</v>
      </c>
      <c r="B26" s="8" t="str">
        <f t="shared" si="0"/>
        <v>Gallardo Jesus</v>
      </c>
      <c r="C26" s="8" t="str">
        <f t="shared" si="1"/>
        <v>Toluca</v>
      </c>
      <c r="D26" s="8">
        <f t="shared" si="2"/>
        <v>1</v>
      </c>
      <c r="F26" s="4" t="str">
        <f>IF(Jugadores!B26="","",Jugadores!B26)</f>
        <v>Hernández Illian</v>
      </c>
      <c r="G26" s="4" t="str">
        <f>IF(Jugadores!B26="","",Jugadores!A26)</f>
        <v>Pachuca</v>
      </c>
      <c r="H26" s="4">
        <f>IF(F26="","",SUMIF('Estadísticas Jugadores'!$F$2:$F$7001,F26,'Estadísticas Jugadores'!$L$2:$L$7001))</f>
        <v>0</v>
      </c>
      <c r="I26" s="4">
        <f t="shared" si="3"/>
        <v>-2.5999999999999997E-6</v>
      </c>
      <c r="J26" s="4">
        <f t="shared" si="4"/>
        <v>75</v>
      </c>
    </row>
    <row r="27" spans="1:10" ht="15" customHeight="1" x14ac:dyDescent="0.25">
      <c r="A27" s="8">
        <f>IF(COUNT($J$2:$J$1501)&gt;=26,26,"")</f>
        <v>26</v>
      </c>
      <c r="B27" s="8" t="str">
        <f t="shared" si="0"/>
        <v>Corona Jesús Manuel</v>
      </c>
      <c r="C27" s="8" t="str">
        <f t="shared" si="1"/>
        <v>Monterrey</v>
      </c>
      <c r="D27" s="8">
        <f t="shared" si="2"/>
        <v>1</v>
      </c>
      <c r="F27" s="4" t="str">
        <f>IF(Jugadores!B27="","",Jugadores!B27)</f>
        <v>Idrissi Oussama</v>
      </c>
      <c r="G27" s="4" t="str">
        <f>IF(Jugadores!B27="","",Jugadores!A27)</f>
        <v>Pachuca</v>
      </c>
      <c r="H27" s="4">
        <f>IF(F27="","",SUMIF('Estadísticas Jugadores'!$F$2:$F$7001,F27,'Estadísticas Jugadores'!$L$2:$L$7001))</f>
        <v>0</v>
      </c>
      <c r="I27" s="4">
        <f t="shared" si="3"/>
        <v>-2.7E-6</v>
      </c>
      <c r="J27" s="4">
        <f t="shared" si="4"/>
        <v>76</v>
      </c>
    </row>
    <row r="28" spans="1:10" ht="15" customHeight="1" x14ac:dyDescent="0.25">
      <c r="A28" s="8">
        <f>IF(COUNT($J$2:$J$1501)&gt;=27,27,"")</f>
        <v>27</v>
      </c>
      <c r="B28" s="8" t="str">
        <f t="shared" si="0"/>
        <v>Rossi Diego</v>
      </c>
      <c r="C28" s="8" t="str">
        <f t="shared" si="1"/>
        <v>Monterrey</v>
      </c>
      <c r="D28" s="8">
        <f t="shared" si="2"/>
        <v>1</v>
      </c>
      <c r="F28" s="4" t="str">
        <f>IF(Jugadores!B28="","",Jugadores!B28)</f>
        <v>Kenedy</v>
      </c>
      <c r="G28" s="4" t="str">
        <f>IF(Jugadores!B28="","",Jugadores!A28)</f>
        <v>Pachuca</v>
      </c>
      <c r="H28" s="4">
        <f>IF(F28="","",SUMIF('Estadísticas Jugadores'!$F$2:$F$7001,F28,'Estadísticas Jugadores'!$L$2:$L$7001))</f>
        <v>0</v>
      </c>
      <c r="I28" s="4">
        <f t="shared" si="3"/>
        <v>-2.7999999999999999E-6</v>
      </c>
      <c r="J28" s="4">
        <f t="shared" si="4"/>
        <v>77</v>
      </c>
    </row>
    <row r="29" spans="1:10" ht="15" customHeight="1" x14ac:dyDescent="0.25">
      <c r="A29" s="8">
        <f>IF(COUNT($J$2:$J$1501)&gt;=28,28,"")</f>
        <v>28</v>
      </c>
      <c r="B29" s="8" t="str">
        <f t="shared" si="0"/>
        <v>Piovi Gonzalo</v>
      </c>
      <c r="C29" s="8" t="str">
        <f t="shared" si="1"/>
        <v>Cruz Azul</v>
      </c>
      <c r="D29" s="8">
        <f t="shared" si="2"/>
        <v>1</v>
      </c>
      <c r="F29" s="4" t="str">
        <f>IF(Jugadores!B29="","",Jugadores!B29)</f>
        <v>Mendez Daniel</v>
      </c>
      <c r="G29" s="4" t="str">
        <f>IF(Jugadores!B29="","",Jugadores!A29)</f>
        <v>Pachuca</v>
      </c>
      <c r="H29" s="4">
        <f>IF(F29="","",SUMIF('Estadísticas Jugadores'!$F$2:$F$7001,F29,'Estadísticas Jugadores'!$L$2:$L$7001))</f>
        <v>0</v>
      </c>
      <c r="I29" s="4">
        <f t="shared" si="3"/>
        <v>-2.8999999999999998E-6</v>
      </c>
      <c r="J29" s="4">
        <f t="shared" si="4"/>
        <v>78</v>
      </c>
    </row>
    <row r="30" spans="1:10" ht="15" customHeight="1" x14ac:dyDescent="0.25">
      <c r="A30" s="8">
        <f>IF(COUNT($J$2:$J$1501)&gt;=29,29,"")</f>
        <v>29</v>
      </c>
      <c r="B30" s="8" t="str">
        <f t="shared" si="0"/>
        <v>Rocha Aldo</v>
      </c>
      <c r="C30" s="8" t="str">
        <f t="shared" si="1"/>
        <v>Atlas</v>
      </c>
      <c r="D30" s="8">
        <f t="shared" si="2"/>
        <v>1</v>
      </c>
      <c r="F30" s="4" t="str">
        <f>IF(Jugadores!B30="","",Jugadores!B30)</f>
        <v>Ramirez Jonatan</v>
      </c>
      <c r="G30" s="4" t="str">
        <f>IF(Jugadores!B30="","",Jugadores!A30)</f>
        <v>Pachuca</v>
      </c>
      <c r="H30" s="4">
        <f>IF(F30="","",SUMIF('Estadísticas Jugadores'!$F$2:$F$7001,F30,'Estadísticas Jugadores'!$L$2:$L$7001))</f>
        <v>0</v>
      </c>
      <c r="I30" s="4">
        <f t="shared" si="3"/>
        <v>-3.0000000000000001E-6</v>
      </c>
      <c r="J30" s="4">
        <f t="shared" si="4"/>
        <v>79</v>
      </c>
    </row>
    <row r="31" spans="1:10" ht="15" customHeight="1" x14ac:dyDescent="0.25">
      <c r="A31" s="8">
        <f>IF(COUNT($J$2:$J$1501)&gt;=30,30,"")</f>
        <v>30</v>
      </c>
      <c r="B31" s="8" t="str">
        <f t="shared" si="0"/>
        <v>Duk</v>
      </c>
      <c r="C31" s="8" t="str">
        <f t="shared" si="1"/>
        <v>Atlas</v>
      </c>
      <c r="D31" s="8">
        <f t="shared" si="2"/>
        <v>1</v>
      </c>
      <c r="F31" s="4" t="str">
        <f>IF(Jugadores!B31="","",Jugadores!B31)</f>
        <v>Rondón Salomon</v>
      </c>
      <c r="G31" s="4" t="str">
        <f>IF(Jugadores!B31="","",Jugadores!A31)</f>
        <v>Pachuca</v>
      </c>
      <c r="H31" s="4">
        <f>IF(F31="","",SUMIF('Estadísticas Jugadores'!$F$2:$F$7001,F31,'Estadísticas Jugadores'!$L$2:$L$7001))</f>
        <v>3</v>
      </c>
      <c r="I31" s="4">
        <f t="shared" si="3"/>
        <v>2999.9999969</v>
      </c>
      <c r="J31" s="4">
        <f t="shared" si="4"/>
        <v>2</v>
      </c>
    </row>
    <row r="32" spans="1:10" ht="15" customHeight="1" x14ac:dyDescent="0.25">
      <c r="A32" s="8">
        <f>IF(COUNT($J$2:$J$1501)&gt;=31,31,"")</f>
        <v>31</v>
      </c>
      <c r="B32" s="8" t="str">
        <f t="shared" si="0"/>
        <v>Pedroza Misael</v>
      </c>
      <c r="C32" s="8" t="str">
        <f t="shared" si="1"/>
        <v>Necaxa</v>
      </c>
      <c r="D32" s="8">
        <f t="shared" si="2"/>
        <v>1</v>
      </c>
      <c r="F32" s="4" t="str">
        <f>IF(Jugadores!B32="","",Jugadores!B32)</f>
        <v>Vallejo Nicolas</v>
      </c>
      <c r="G32" s="4" t="str">
        <f>IF(Jugadores!B32="","",Jugadores!A32)</f>
        <v>Pachuca</v>
      </c>
      <c r="H32" s="4">
        <f>IF(F32="","",SUMIF('Estadísticas Jugadores'!$F$2:$F$7001,F32,'Estadísticas Jugadores'!$L$2:$L$7001))</f>
        <v>0</v>
      </c>
      <c r="I32" s="4">
        <f t="shared" si="3"/>
        <v>-3.1999999999999999E-6</v>
      </c>
      <c r="J32" s="4">
        <f t="shared" si="4"/>
        <v>80</v>
      </c>
    </row>
    <row r="33" spans="1:10" ht="15" customHeight="1" x14ac:dyDescent="0.25">
      <c r="A33" s="8">
        <f>IF(COUNT($J$2:$J$1501)&gt;=32,32,"")</f>
        <v>32</v>
      </c>
      <c r="B33" s="8" t="str">
        <f t="shared" si="0"/>
        <v>Martin Henry</v>
      </c>
      <c r="C33" s="8" t="str">
        <f t="shared" si="1"/>
        <v>Club América</v>
      </c>
      <c r="D33" s="8">
        <f t="shared" si="2"/>
        <v>1</v>
      </c>
      <c r="F33" s="4" t="str">
        <f>IF(Jugadores!B33="","",Jugadores!B33)</f>
        <v>Hernández Jorge</v>
      </c>
      <c r="G33" s="4" t="str">
        <f>IF(Jugadores!B33="","",Jugadores!A33)</f>
        <v>Tijuana</v>
      </c>
      <c r="H33" s="4">
        <f>IF(F33="","",SUMIF('Estadísticas Jugadores'!$F$2:$F$7001,F33,'Estadísticas Jugadores'!$L$2:$L$7001))</f>
        <v>0</v>
      </c>
      <c r="I33" s="4">
        <f t="shared" si="3"/>
        <v>-3.2999999999999997E-6</v>
      </c>
      <c r="J33" s="4">
        <f t="shared" si="4"/>
        <v>81</v>
      </c>
    </row>
    <row r="34" spans="1:10" ht="15" customHeight="1" x14ac:dyDescent="0.25">
      <c r="A34" s="8">
        <f>IF(COUNT($J$2:$J$1501)&gt;=33,33,"")</f>
        <v>33</v>
      </c>
      <c r="B34" s="8" t="str">
        <f t="shared" si="0"/>
        <v>Herrera Alberto</v>
      </c>
      <c r="C34" s="8" t="str">
        <f t="shared" si="1"/>
        <v>Puebla</v>
      </c>
      <c r="D34" s="8">
        <f t="shared" si="2"/>
        <v>1</v>
      </c>
      <c r="F34" s="4" t="str">
        <f>IF(Jugadores!B34="","",Jugadores!B34)</f>
        <v>Rodríguez Antonio</v>
      </c>
      <c r="G34" s="4" t="str">
        <f>IF(Jugadores!B34="","",Jugadores!A34)</f>
        <v>Tijuana</v>
      </c>
      <c r="H34" s="4">
        <f>IF(F34="","",SUMIF('Estadísticas Jugadores'!$F$2:$F$7001,F34,'Estadísticas Jugadores'!$L$2:$L$7001))</f>
        <v>0</v>
      </c>
      <c r="I34" s="4">
        <f t="shared" si="3"/>
        <v>-3.3999999999999996E-6</v>
      </c>
      <c r="J34" s="4">
        <f t="shared" si="4"/>
        <v>82</v>
      </c>
    </row>
    <row r="35" spans="1:10" ht="15" customHeight="1" x14ac:dyDescent="0.25">
      <c r="A35" s="8">
        <f>IF(COUNT($J$2:$J$1501)&gt;=34,34,"")</f>
        <v>34</v>
      </c>
      <c r="B35" s="8" t="str">
        <f t="shared" si="0"/>
        <v>Gomez Emiliano</v>
      </c>
      <c r="C35" s="8" t="str">
        <f t="shared" si="1"/>
        <v>Puebla</v>
      </c>
      <c r="D35" s="8">
        <f t="shared" si="2"/>
        <v>1</v>
      </c>
      <c r="F35" s="4" t="str">
        <f>IF(Jugadores!B35="","",Jugadores!B35)</f>
        <v>Bilbao Arteta Unai</v>
      </c>
      <c r="G35" s="4" t="str">
        <f>IF(Jugadores!B35="","",Jugadores!A35)</f>
        <v>Tijuana</v>
      </c>
      <c r="H35" s="4">
        <f>IF(F35="","",SUMIF('Estadísticas Jugadores'!$F$2:$F$7001,F35,'Estadísticas Jugadores'!$L$2:$L$7001))</f>
        <v>0</v>
      </c>
      <c r="I35" s="4">
        <f t="shared" si="3"/>
        <v>-3.4999999999999999E-6</v>
      </c>
      <c r="J35" s="4">
        <f t="shared" si="4"/>
        <v>83</v>
      </c>
    </row>
    <row r="36" spans="1:10" ht="15" customHeight="1" x14ac:dyDescent="0.25">
      <c r="A36" s="8">
        <f>IF(COUNT($J$2:$J$1501)&gt;=35,35,"")</f>
        <v>35</v>
      </c>
      <c r="B36" s="8" t="str">
        <f t="shared" si="0"/>
        <v>Aguirre Eduardo</v>
      </c>
      <c r="C36" s="8" t="str">
        <f t="shared" si="1"/>
        <v>Santos Laguna</v>
      </c>
      <c r="D36" s="8">
        <f t="shared" si="2"/>
        <v>1</v>
      </c>
      <c r="F36" s="4" t="str">
        <f>IF(Jugadores!B36="","",Jugadores!B36)</f>
        <v>Cordero Vega Alan</v>
      </c>
      <c r="G36" s="4" t="str">
        <f>IF(Jugadores!B36="","",Jugadores!A36)</f>
        <v>Tijuana</v>
      </c>
      <c r="H36" s="4">
        <f>IF(F36="","",SUMIF('Estadísticas Jugadores'!$F$2:$F$7001,F36,'Estadísticas Jugadores'!$L$2:$L$7001))</f>
        <v>0</v>
      </c>
      <c r="I36" s="4">
        <f t="shared" si="3"/>
        <v>-3.5999999999999998E-6</v>
      </c>
      <c r="J36" s="4">
        <f t="shared" si="4"/>
        <v>84</v>
      </c>
    </row>
    <row r="37" spans="1:10" ht="15" customHeight="1" x14ac:dyDescent="0.25">
      <c r="A37" s="8">
        <f>IF(COUNT($J$2:$J$1501)&gt;=36,36,"")</f>
        <v>36</v>
      </c>
      <c r="B37" s="8" t="str">
        <f t="shared" si="0"/>
        <v>Di Yorio Lucas</v>
      </c>
      <c r="C37" s="8" t="str">
        <f t="shared" si="1"/>
        <v>Santos Laguna</v>
      </c>
      <c r="D37" s="8">
        <f t="shared" si="2"/>
        <v>1</v>
      </c>
      <c r="F37" s="4" t="str">
        <f>IF(Jugadores!B37="","",Jugadores!B37)</f>
        <v>Fernández Rafael</v>
      </c>
      <c r="G37" s="4" t="str">
        <f>IF(Jugadores!B37="","",Jugadores!A37)</f>
        <v>Tijuana</v>
      </c>
      <c r="H37" s="4">
        <f>IF(F37="","",SUMIF('Estadísticas Jugadores'!$F$2:$F$7001,F37,'Estadísticas Jugadores'!$L$2:$L$7001))</f>
        <v>0</v>
      </c>
      <c r="I37" s="4">
        <f t="shared" si="3"/>
        <v>-3.6999999999999997E-6</v>
      </c>
      <c r="J37" s="4">
        <f t="shared" si="4"/>
        <v>85</v>
      </c>
    </row>
    <row r="38" spans="1:10" ht="15" customHeight="1" x14ac:dyDescent="0.25">
      <c r="A38" s="8">
        <f>IF(COUNT($J$2:$J$1501)&gt;=37,37,"")</f>
        <v>37</v>
      </c>
      <c r="B38" s="8" t="str">
        <f t="shared" si="0"/>
        <v>Gonzalez Diego</v>
      </c>
      <c r="C38" s="8" t="str">
        <f t="shared" si="1"/>
        <v>Santos Laguna</v>
      </c>
      <c r="D38" s="8">
        <f t="shared" si="2"/>
        <v>1</v>
      </c>
      <c r="F38" s="4" t="str">
        <f>IF(Jugadores!B38="","",Jugadores!B38)</f>
        <v>Gomez Alejandro</v>
      </c>
      <c r="G38" s="4" t="str">
        <f>IF(Jugadores!B38="","",Jugadores!A38)</f>
        <v>Tijuana</v>
      </c>
      <c r="H38" s="4">
        <f>IF(F38="","",SUMIF('Estadísticas Jugadores'!$F$2:$F$7001,F38,'Estadísticas Jugadores'!$L$2:$L$7001))</f>
        <v>2</v>
      </c>
      <c r="I38" s="4">
        <f t="shared" si="3"/>
        <v>1999.9999961999999</v>
      </c>
      <c r="J38" s="4">
        <f t="shared" si="4"/>
        <v>7</v>
      </c>
    </row>
    <row r="39" spans="1:10" ht="15" customHeight="1" x14ac:dyDescent="0.25">
      <c r="A39" s="8">
        <f>IF(COUNT($J$2:$J$1501)&gt;=38,38,"")</f>
        <v>38</v>
      </c>
      <c r="B39" s="8" t="str">
        <f t="shared" si="0"/>
        <v>Salles-Lamonge Sebastien</v>
      </c>
      <c r="C39" s="8" t="str">
        <f t="shared" si="1"/>
        <v>Atlético de San Luis</v>
      </c>
      <c r="D39" s="8">
        <f t="shared" si="2"/>
        <v>1</v>
      </c>
      <c r="F39" s="4" t="str">
        <f>IF(Jugadores!B39="","",Jugadores!B39)</f>
        <v>Manzanarez Oscar</v>
      </c>
      <c r="G39" s="4" t="str">
        <f>IF(Jugadores!B39="","",Jugadores!A39)</f>
        <v>Tijuana</v>
      </c>
      <c r="H39" s="4">
        <f>IF(F39="","",SUMIF('Estadísticas Jugadores'!$F$2:$F$7001,F39,'Estadísticas Jugadores'!$L$2:$L$7001))</f>
        <v>0</v>
      </c>
      <c r="I39" s="4">
        <f t="shared" si="3"/>
        <v>-3.8999999999999999E-6</v>
      </c>
      <c r="J39" s="4">
        <f t="shared" si="4"/>
        <v>86</v>
      </c>
    </row>
    <row r="40" spans="1:10" ht="15" customHeight="1" x14ac:dyDescent="0.25">
      <c r="A40" s="8">
        <f>IF(COUNT($J$2:$J$1501)&gt;=39,39,"")</f>
        <v>39</v>
      </c>
      <c r="B40" s="8" t="str">
        <f t="shared" si="0"/>
        <v>Beltran Cruz Fernando</v>
      </c>
      <c r="C40" s="8" t="str">
        <f t="shared" si="1"/>
        <v>León</v>
      </c>
      <c r="D40" s="8">
        <f t="shared" si="2"/>
        <v>1</v>
      </c>
      <c r="F40" s="4" t="str">
        <f>IF(Jugadores!B40="","",Jugadores!B40)</f>
        <v>Ortiz Orozco Pablo Nicolas</v>
      </c>
      <c r="G40" s="4" t="str">
        <f>IF(Jugadores!B40="","",Jugadores!A40)</f>
        <v>Tijuana</v>
      </c>
      <c r="H40" s="4">
        <f>IF(F40="","",SUMIF('Estadísticas Jugadores'!$F$2:$F$7001,F40,'Estadísticas Jugadores'!$L$2:$L$7001))</f>
        <v>0</v>
      </c>
      <c r="I40" s="4">
        <f t="shared" si="3"/>
        <v>-3.9999999999999998E-6</v>
      </c>
      <c r="J40" s="4">
        <f t="shared" si="4"/>
        <v>87</v>
      </c>
    </row>
    <row r="41" spans="1:10" ht="15" customHeight="1" x14ac:dyDescent="0.25">
      <c r="A41" s="8">
        <f>IF(COUNT($J$2:$J$1501)&gt;=40,40,"")</f>
        <v>40</v>
      </c>
      <c r="B41" s="8" t="str">
        <f t="shared" si="0"/>
        <v>Alvarado Alfonso</v>
      </c>
      <c r="C41" s="8" t="str">
        <f t="shared" si="1"/>
        <v>León</v>
      </c>
      <c r="D41" s="8">
        <f t="shared" si="2"/>
        <v>1</v>
      </c>
      <c r="F41" s="4" t="str">
        <f>IF(Jugadores!B41="","",Jugadores!B41)</f>
        <v>Porozo Jackson</v>
      </c>
      <c r="G41" s="4" t="str">
        <f>IF(Jugadores!B41="","",Jugadores!A41)</f>
        <v>Tijuana</v>
      </c>
      <c r="H41" s="4">
        <f>IF(F41="","",SUMIF('Estadísticas Jugadores'!$F$2:$F$7001,F41,'Estadísticas Jugadores'!$L$2:$L$7001))</f>
        <v>0</v>
      </c>
      <c r="I41" s="4">
        <f t="shared" si="3"/>
        <v>-4.0999999999999997E-6</v>
      </c>
      <c r="J41" s="4">
        <f t="shared" si="4"/>
        <v>88</v>
      </c>
    </row>
    <row r="42" spans="1:10" ht="15" customHeight="1" x14ac:dyDescent="0.25">
      <c r="A42" s="8">
        <f>IF(COUNT($J$2:$J$1501)&gt;=41,41,"")</f>
        <v>41</v>
      </c>
      <c r="B42" s="8" t="str">
        <f t="shared" si="0"/>
        <v>Cambindo Abonia Diber Armando</v>
      </c>
      <c r="C42" s="8" t="str">
        <f t="shared" si="1"/>
        <v>León</v>
      </c>
      <c r="D42" s="8">
        <f t="shared" si="2"/>
        <v>1</v>
      </c>
      <c r="F42" s="4" t="str">
        <f>IF(Jugadores!B42="","",Jugadores!B42)</f>
        <v>Arciga Ramiro</v>
      </c>
      <c r="G42" s="4" t="str">
        <f>IF(Jugadores!B42="","",Jugadores!A42)</f>
        <v>Tijuana</v>
      </c>
      <c r="H42" s="4">
        <f>IF(F42="","",SUMIF('Estadísticas Jugadores'!$F$2:$F$7001,F42,'Estadísticas Jugadores'!$L$2:$L$7001))</f>
        <v>1</v>
      </c>
      <c r="I42" s="4">
        <f t="shared" si="3"/>
        <v>999.99999579999997</v>
      </c>
      <c r="J42" s="4">
        <f t="shared" si="4"/>
        <v>23</v>
      </c>
    </row>
    <row r="43" spans="1:10" ht="15" customHeight="1" x14ac:dyDescent="0.25">
      <c r="A43" s="8">
        <f>IF(COUNT($J$2:$J$1501)&gt;=42,42,"")</f>
        <v>42</v>
      </c>
      <c r="B43" s="8" t="str">
        <f t="shared" si="0"/>
        <v>Cortizo Jordi</v>
      </c>
      <c r="C43" s="8" t="str">
        <f t="shared" si="1"/>
        <v>León</v>
      </c>
      <c r="D43" s="8">
        <f t="shared" si="2"/>
        <v>1</v>
      </c>
      <c r="F43" s="4" t="str">
        <f>IF(Jugadores!B43="","",Jugadores!B43)</f>
        <v>Boya Frank</v>
      </c>
      <c r="G43" s="4" t="str">
        <f>IF(Jugadores!B43="","",Jugadores!A43)</f>
        <v>Tijuana</v>
      </c>
      <c r="H43" s="4">
        <f>IF(F43="","",SUMIF('Estadísticas Jugadores'!$F$2:$F$7001,F43,'Estadísticas Jugadores'!$L$2:$L$7001))</f>
        <v>0</v>
      </c>
      <c r="I43" s="4">
        <f t="shared" si="3"/>
        <v>-4.2999999999999995E-6</v>
      </c>
      <c r="J43" s="4">
        <f t="shared" si="4"/>
        <v>89</v>
      </c>
    </row>
    <row r="44" spans="1:10" ht="15" customHeight="1" x14ac:dyDescent="0.25">
      <c r="A44" s="8">
        <f>IF(COUNT($J$2:$J$1501)&gt;=43,43,"")</f>
        <v>43</v>
      </c>
      <c r="B44" s="8" t="str">
        <f t="shared" si="0"/>
        <v>Diaz Ismael</v>
      </c>
      <c r="C44" s="8" t="str">
        <f t="shared" si="1"/>
        <v>León</v>
      </c>
      <c r="D44" s="8">
        <f t="shared" si="2"/>
        <v>1</v>
      </c>
      <c r="F44" s="4" t="str">
        <f>IF(Jugadores!B44="","",Jugadores!B44)</f>
        <v>Escamilla Kevin</v>
      </c>
      <c r="G44" s="4" t="str">
        <f>IF(Jugadores!B44="","",Jugadores!A44)</f>
        <v>Tijuana</v>
      </c>
      <c r="H44" s="4">
        <f>IF(F44="","",SUMIF('Estadísticas Jugadores'!$F$2:$F$7001,F44,'Estadísticas Jugadores'!$L$2:$L$7001))</f>
        <v>0</v>
      </c>
      <c r="I44" s="4">
        <f t="shared" si="3"/>
        <v>-4.4000000000000002E-6</v>
      </c>
      <c r="J44" s="4">
        <f t="shared" si="4"/>
        <v>90</v>
      </c>
    </row>
    <row r="45" spans="1:10" ht="15" customHeight="1" x14ac:dyDescent="0.25">
      <c r="A45" s="8">
        <f>IF(COUNT($J$2:$J$1501)&gt;=44,44,"")</f>
        <v>44</v>
      </c>
      <c r="B45" s="8" t="str">
        <f t="shared" si="0"/>
        <v>Pizzuto Eugenio</v>
      </c>
      <c r="C45" s="8" t="str">
        <f t="shared" si="1"/>
        <v>Atlante</v>
      </c>
      <c r="D45" s="8">
        <f t="shared" si="2"/>
        <v>1</v>
      </c>
      <c r="F45" s="4" t="str">
        <f>IF(Jugadores!B45="","",Jugadores!B45)</f>
        <v>Gonzalez Joban</v>
      </c>
      <c r="G45" s="4" t="str">
        <f>IF(Jugadores!B45="","",Jugadores!A45)</f>
        <v>Tijuana</v>
      </c>
      <c r="H45" s="4">
        <f>IF(F45="","",SUMIF('Estadísticas Jugadores'!$F$2:$F$7001,F45,'Estadísticas Jugadores'!$L$2:$L$7001))</f>
        <v>0</v>
      </c>
      <c r="I45" s="4">
        <f t="shared" si="3"/>
        <v>-4.5000000000000001E-6</v>
      </c>
      <c r="J45" s="4">
        <f t="shared" si="4"/>
        <v>91</v>
      </c>
    </row>
    <row r="46" spans="1:10" ht="15" customHeight="1" x14ac:dyDescent="0.25">
      <c r="A46" s="8">
        <f>IF(COUNT($J$2:$J$1501)&gt;=45,45,"")</f>
        <v>45</v>
      </c>
      <c r="B46" s="8" t="str">
        <f t="shared" si="0"/>
        <v>Calzadilla Luis</v>
      </c>
      <c r="C46" s="8" t="str">
        <f t="shared" si="1"/>
        <v>Atlante</v>
      </c>
      <c r="D46" s="8">
        <f t="shared" si="2"/>
        <v>1</v>
      </c>
      <c r="F46" s="4" t="str">
        <f>IF(Jugadores!B46="","",Jugadores!B46)</f>
        <v>Mora Gilberto</v>
      </c>
      <c r="G46" s="4" t="str">
        <f>IF(Jugadores!B46="","",Jugadores!A46)</f>
        <v>Tijuana</v>
      </c>
      <c r="H46" s="4">
        <f>IF(F46="","",SUMIF('Estadísticas Jugadores'!$F$2:$F$7001,F46,'Estadísticas Jugadores'!$L$2:$L$7001))</f>
        <v>0</v>
      </c>
      <c r="I46" s="4">
        <f t="shared" si="3"/>
        <v>-4.6E-6</v>
      </c>
      <c r="J46" s="4">
        <f t="shared" si="4"/>
        <v>92</v>
      </c>
    </row>
    <row r="47" spans="1:10" ht="15" customHeight="1" x14ac:dyDescent="0.25">
      <c r="A47" s="8">
        <f>IF(COUNT($J$2:$J$1501)&gt;=46,46,"")</f>
        <v>46</v>
      </c>
      <c r="B47" s="8" t="str">
        <f t="shared" si="0"/>
        <v>Puente Luis</v>
      </c>
      <c r="C47" s="8" t="str">
        <f t="shared" si="1"/>
        <v>Atlante</v>
      </c>
      <c r="D47" s="8">
        <f t="shared" si="2"/>
        <v>1</v>
      </c>
      <c r="F47" s="4" t="str">
        <f>IF(Jugadores!B47="","",Jugadores!B47)</f>
        <v>Orduno Jesús</v>
      </c>
      <c r="G47" s="4" t="str">
        <f>IF(Jugadores!B47="","",Jugadores!A47)</f>
        <v>Tijuana</v>
      </c>
      <c r="H47" s="4">
        <f>IF(F47="","",SUMIF('Estadísticas Jugadores'!$F$2:$F$7001,F47,'Estadísticas Jugadores'!$L$2:$L$7001))</f>
        <v>0</v>
      </c>
      <c r="I47" s="4">
        <f t="shared" si="3"/>
        <v>-4.6999999999999999E-6</v>
      </c>
      <c r="J47" s="4">
        <f t="shared" si="4"/>
        <v>93</v>
      </c>
    </row>
    <row r="48" spans="1:10" ht="15" customHeight="1" x14ac:dyDescent="0.25">
      <c r="A48" s="8">
        <f>IF(COUNT($J$2:$J$1501)&gt;=47,47,"")</f>
        <v>47</v>
      </c>
      <c r="B48" s="8" t="str">
        <f t="shared" si="0"/>
        <v>Avila Ali</v>
      </c>
      <c r="C48" s="8" t="str">
        <f t="shared" si="1"/>
        <v>Querétaro</v>
      </c>
      <c r="D48" s="8">
        <f t="shared" si="2"/>
        <v>1</v>
      </c>
      <c r="F48" s="4" t="str">
        <f>IF(Jugadores!B48="","",Jugadores!B48)</f>
        <v>Padilla German</v>
      </c>
      <c r="G48" s="4" t="str">
        <f>IF(Jugadores!B48="","",Jugadores!A48)</f>
        <v>Tijuana</v>
      </c>
      <c r="H48" s="4">
        <f>IF(F48="","",SUMIF('Estadísticas Jugadores'!$F$2:$F$7001,F48,'Estadísticas Jugadores'!$L$2:$L$7001))</f>
        <v>0</v>
      </c>
      <c r="I48" s="4">
        <f t="shared" si="3"/>
        <v>-4.7999999999999998E-6</v>
      </c>
      <c r="J48" s="4">
        <f t="shared" si="4"/>
        <v>94</v>
      </c>
    </row>
    <row r="49" spans="1:10" ht="15" customHeight="1" x14ac:dyDescent="0.25">
      <c r="A49" s="8">
        <f>IF(COUNT($J$2:$J$1501)&gt;=48,48,"")</f>
        <v>48</v>
      </c>
      <c r="B49" s="8" t="str">
        <f t="shared" si="0"/>
        <v>Brunetta Juan Francisco</v>
      </c>
      <c r="C49" s="8" t="str">
        <f t="shared" si="1"/>
        <v>Tigres UANL</v>
      </c>
      <c r="D49" s="8">
        <f t="shared" si="2"/>
        <v>1</v>
      </c>
      <c r="F49" s="4" t="str">
        <f>IF(Jugadores!B49="","",Jugadores!B49)</f>
        <v>Padilla Nanitamo</v>
      </c>
      <c r="G49" s="4" t="str">
        <f>IF(Jugadores!B49="","",Jugadores!A49)</f>
        <v>Tijuana</v>
      </c>
      <c r="H49" s="4">
        <f>IF(F49="","",SUMIF('Estadísticas Jugadores'!$F$2:$F$7001,F49,'Estadísticas Jugadores'!$L$2:$L$7001))</f>
        <v>1</v>
      </c>
      <c r="I49" s="4">
        <f t="shared" si="3"/>
        <v>999.99999509999998</v>
      </c>
      <c r="J49" s="4">
        <f t="shared" si="4"/>
        <v>24</v>
      </c>
    </row>
    <row r="50" spans="1:10" ht="15" customHeight="1" x14ac:dyDescent="0.25">
      <c r="A50" s="8">
        <f>IF(COUNT($J$2:$J$1501)&gt;=49,49,"")</f>
        <v>49</v>
      </c>
      <c r="B50" s="8" t="str">
        <f t="shared" si="0"/>
        <v>Herrera Ozziel</v>
      </c>
      <c r="C50" s="8" t="str">
        <f t="shared" si="1"/>
        <v>Tigres UANL</v>
      </c>
      <c r="D50" s="8">
        <f t="shared" si="2"/>
        <v>1</v>
      </c>
      <c r="F50" s="4" t="str">
        <f>IF(Jugadores!B50="","",Jugadores!B50)</f>
        <v>Perez Aldahir</v>
      </c>
      <c r="G50" s="4" t="str">
        <f>IF(Jugadores!B50="","",Jugadores!A50)</f>
        <v>Tijuana</v>
      </c>
      <c r="H50" s="4">
        <f>IF(F50="","",SUMIF('Estadísticas Jugadores'!$F$2:$F$7001,F50,'Estadísticas Jugadores'!$L$2:$L$7001))</f>
        <v>0</v>
      </c>
      <c r="I50" s="4">
        <f t="shared" si="3"/>
        <v>-4.9999999999999996E-6</v>
      </c>
      <c r="J50" s="4">
        <f t="shared" si="4"/>
        <v>95</v>
      </c>
    </row>
    <row r="51" spans="1:10" ht="15" customHeight="1" x14ac:dyDescent="0.25">
      <c r="A51" s="8">
        <f>IF(COUNT($J$2:$J$1501)&gt;=50,50,"")</f>
        <v>50</v>
      </c>
      <c r="B51" s="8" t="str">
        <f t="shared" si="0"/>
        <v>Gonzalez Bryan</v>
      </c>
      <c r="C51" s="8" t="str">
        <f t="shared" si="1"/>
        <v>Guadalajara</v>
      </c>
      <c r="D51" s="8">
        <f t="shared" si="2"/>
        <v>1</v>
      </c>
      <c r="F51" s="4" t="str">
        <f>IF(Jugadores!B51="","",Jugadores!B51)</f>
        <v>Preciado Quintero Adonis Stalin</v>
      </c>
      <c r="G51" s="4" t="str">
        <f>IF(Jugadores!B51="","",Jugadores!A51)</f>
        <v>Tijuana</v>
      </c>
      <c r="H51" s="4">
        <f>IF(F51="","",SUMIF('Estadísticas Jugadores'!$F$2:$F$7001,F51,'Estadísticas Jugadores'!$L$2:$L$7001))</f>
        <v>0</v>
      </c>
      <c r="I51" s="4">
        <f t="shared" si="3"/>
        <v>-5.0999999999999995E-6</v>
      </c>
      <c r="J51" s="4">
        <f t="shared" si="4"/>
        <v>96</v>
      </c>
    </row>
    <row r="52" spans="1:10" ht="15" customHeight="1" x14ac:dyDescent="0.25">
      <c r="A52" s="8">
        <f>IF(COUNT($J$2:$J$1501)&gt;=51,51,"")</f>
        <v>51</v>
      </c>
      <c r="B52" s="8" t="str">
        <f t="shared" si="0"/>
        <v>Alvarado Roberto</v>
      </c>
      <c r="C52" s="8" t="str">
        <f t="shared" si="1"/>
        <v>Guadalajara</v>
      </c>
      <c r="D52" s="8">
        <f t="shared" si="2"/>
        <v>1</v>
      </c>
      <c r="F52" s="4" t="str">
        <f>IF(Jugadores!B52="","",Jugadores!B52)</f>
        <v>Rivero Ignacio</v>
      </c>
      <c r="G52" s="4" t="str">
        <f>IF(Jugadores!B52="","",Jugadores!A52)</f>
        <v>Tijuana</v>
      </c>
      <c r="H52" s="4">
        <f>IF(F52="","",SUMIF('Estadísticas Jugadores'!$F$2:$F$7001,F52,'Estadísticas Jugadores'!$L$2:$L$7001))</f>
        <v>0</v>
      </c>
      <c r="I52" s="4">
        <f t="shared" si="3"/>
        <v>-5.1999999999999993E-6</v>
      </c>
      <c r="J52" s="4">
        <f t="shared" si="4"/>
        <v>97</v>
      </c>
    </row>
    <row r="53" spans="1:10" ht="15" customHeight="1" x14ac:dyDescent="0.25">
      <c r="A53" s="8">
        <f>IF(COUNT($J$2:$J$1501)&gt;=52,52,"")</f>
        <v>52</v>
      </c>
      <c r="B53" s="8" t="str">
        <f t="shared" si="0"/>
        <v>Garcia Stanley</v>
      </c>
      <c r="C53" s="8" t="str">
        <f t="shared" si="1"/>
        <v>Pumas UNAM</v>
      </c>
      <c r="D53" s="8">
        <f t="shared" si="2"/>
        <v>1</v>
      </c>
      <c r="F53" s="4" t="str">
        <f>IF(Jugadores!B53="","",Jugadores!B53)</f>
        <v>Tona Ivan</v>
      </c>
      <c r="G53" s="4" t="str">
        <f>IF(Jugadores!B53="","",Jugadores!A53)</f>
        <v>Tijuana</v>
      </c>
      <c r="H53" s="4">
        <f>IF(F53="","",SUMIF('Estadísticas Jugadores'!$F$2:$F$7001,F53,'Estadísticas Jugadores'!$L$2:$L$7001))</f>
        <v>0</v>
      </c>
      <c r="I53" s="4">
        <f t="shared" si="3"/>
        <v>-5.3000000000000001E-6</v>
      </c>
      <c r="J53" s="4">
        <f t="shared" si="4"/>
        <v>98</v>
      </c>
    </row>
    <row r="54" spans="1:10" ht="15" customHeight="1" x14ac:dyDescent="0.25">
      <c r="A54" s="8">
        <f>IF(COUNT($J$2:$J$1501)&gt;=53,53,"")</f>
        <v>53</v>
      </c>
      <c r="B54" s="8" t="str">
        <f t="shared" si="0"/>
        <v>Camacho Cesar</v>
      </c>
      <c r="C54" s="8" t="str">
        <f t="shared" si="1"/>
        <v>Pachuca</v>
      </c>
      <c r="D54" s="8">
        <f t="shared" si="2"/>
        <v>0</v>
      </c>
      <c r="F54" s="4" t="str">
        <f>IF(Jugadores!B54="","",Jugadores!B54)</f>
        <v>Zapata Angel</v>
      </c>
      <c r="G54" s="4" t="str">
        <f>IF(Jugadores!B54="","",Jugadores!A54)</f>
        <v>Tijuana</v>
      </c>
      <c r="H54" s="4">
        <f>IF(F54="","",SUMIF('Estadísticas Jugadores'!$F$2:$F$7001,F54,'Estadísticas Jugadores'!$L$2:$L$7001))</f>
        <v>0</v>
      </c>
      <c r="I54" s="4">
        <f t="shared" si="3"/>
        <v>-5.4E-6</v>
      </c>
      <c r="J54" s="4">
        <f t="shared" si="4"/>
        <v>99</v>
      </c>
    </row>
    <row r="55" spans="1:10" ht="15" customHeight="1" x14ac:dyDescent="0.25">
      <c r="A55" s="8">
        <f>IF(COUNT($J$2:$J$1501)&gt;=54,54,"")</f>
        <v>54</v>
      </c>
      <c r="B55" s="8" t="str">
        <f t="shared" si="0"/>
        <v>Eulogio Jose</v>
      </c>
      <c r="C55" s="8" t="str">
        <f t="shared" si="1"/>
        <v>Pachuca</v>
      </c>
      <c r="D55" s="8">
        <f t="shared" si="2"/>
        <v>0</v>
      </c>
      <c r="F55" s="4" t="str">
        <f>IF(Jugadores!B55="","",Jugadores!B55)</f>
        <v>Abreu Diego</v>
      </c>
      <c r="G55" s="4" t="str">
        <f>IF(Jugadores!B55="","",Jugadores!A55)</f>
        <v>Tijuana</v>
      </c>
      <c r="H55" s="4">
        <f>IF(F55="","",SUMIF('Estadísticas Jugadores'!$F$2:$F$7001,F55,'Estadísticas Jugadores'!$L$2:$L$7001))</f>
        <v>0</v>
      </c>
      <c r="I55" s="4">
        <f t="shared" si="3"/>
        <v>-5.4999999999999999E-6</v>
      </c>
      <c r="J55" s="4">
        <f t="shared" si="4"/>
        <v>100</v>
      </c>
    </row>
    <row r="56" spans="1:10" ht="15" customHeight="1" x14ac:dyDescent="0.25">
      <c r="A56" s="8">
        <f>IF(COUNT($J$2:$J$1501)&gt;=55,55,"")</f>
        <v>55</v>
      </c>
      <c r="B56" s="8" t="str">
        <f t="shared" si="0"/>
        <v>Moreno Carlos</v>
      </c>
      <c r="C56" s="8" t="str">
        <f t="shared" si="1"/>
        <v>Pachuca</v>
      </c>
      <c r="D56" s="8">
        <f t="shared" si="2"/>
        <v>0</v>
      </c>
      <c r="F56" s="4" t="str">
        <f>IF(Jugadores!B56="","",Jugadores!B56)</f>
        <v>El Ghezouani Mourad</v>
      </c>
      <c r="G56" s="4" t="str">
        <f>IF(Jugadores!B56="","",Jugadores!A56)</f>
        <v>Tijuana</v>
      </c>
      <c r="H56" s="4">
        <f>IF(F56="","",SUMIF('Estadísticas Jugadores'!$F$2:$F$7001,F56,'Estadísticas Jugadores'!$L$2:$L$7001))</f>
        <v>2</v>
      </c>
      <c r="I56" s="4">
        <f t="shared" si="3"/>
        <v>1999.9999944000001</v>
      </c>
      <c r="J56" s="4">
        <f t="shared" si="4"/>
        <v>8</v>
      </c>
    </row>
    <row r="57" spans="1:10" ht="15" customHeight="1" x14ac:dyDescent="0.25">
      <c r="A57" s="8">
        <f>IF(COUNT($J$2:$J$1501)&gt;=56,56,"")</f>
        <v>56</v>
      </c>
      <c r="B57" s="8" t="str">
        <f t="shared" si="0"/>
        <v>Barreto Sergio Damian</v>
      </c>
      <c r="C57" s="8" t="str">
        <f t="shared" si="1"/>
        <v>Pachuca</v>
      </c>
      <c r="D57" s="8">
        <f t="shared" si="2"/>
        <v>0</v>
      </c>
      <c r="F57" s="4" t="str">
        <f>IF(Jugadores!B57="","",Jugadores!B57)</f>
        <v>Leyva Christian</v>
      </c>
      <c r="G57" s="4" t="str">
        <f>IF(Jugadores!B57="","",Jugadores!A57)</f>
        <v>Tijuana</v>
      </c>
      <c r="H57" s="4">
        <f>IF(F57="","",SUMIF('Estadísticas Jugadores'!$F$2:$F$7001,F57,'Estadísticas Jugadores'!$L$2:$L$7001))</f>
        <v>0</v>
      </c>
      <c r="I57" s="4">
        <f t="shared" si="3"/>
        <v>-5.6999999999999996E-6</v>
      </c>
      <c r="J57" s="4">
        <f t="shared" si="4"/>
        <v>101</v>
      </c>
    </row>
    <row r="58" spans="1:10" ht="15" customHeight="1" x14ac:dyDescent="0.25">
      <c r="A58" s="8">
        <f>IF(COUNT($J$2:$J$1501)&gt;=57,57,"")</f>
        <v>57</v>
      </c>
      <c r="B58" s="8" t="str">
        <f t="shared" si="0"/>
        <v>Berlanga Jorge</v>
      </c>
      <c r="C58" s="8" t="str">
        <f t="shared" si="1"/>
        <v>Pachuca</v>
      </c>
      <c r="D58" s="8">
        <f t="shared" si="2"/>
        <v>0</v>
      </c>
      <c r="F58" s="4" t="str">
        <f>IF(Jugadores!B58="","",Jugadores!B58)</f>
        <v>Magallon Alejandro</v>
      </c>
      <c r="G58" s="4" t="str">
        <f>IF(Jugadores!B58="","",Jugadores!A58)</f>
        <v>Tijuana</v>
      </c>
      <c r="H58" s="4">
        <f>IF(F58="","",SUMIF('Estadísticas Jugadores'!$F$2:$F$7001,F58,'Estadísticas Jugadores'!$L$2:$L$7001))</f>
        <v>0</v>
      </c>
      <c r="I58" s="4">
        <f t="shared" si="3"/>
        <v>-5.7999999999999995E-6</v>
      </c>
      <c r="J58" s="4">
        <f t="shared" si="4"/>
        <v>102</v>
      </c>
    </row>
    <row r="59" spans="1:10" ht="15" customHeight="1" x14ac:dyDescent="0.25">
      <c r="A59" s="8">
        <f>IF(COUNT($J$2:$J$1501)&gt;=58,58,"")</f>
        <v>58</v>
      </c>
      <c r="B59" s="8" t="str">
        <f t="shared" si="0"/>
        <v>Collazo David</v>
      </c>
      <c r="C59" s="8" t="str">
        <f t="shared" si="1"/>
        <v>Pachuca</v>
      </c>
      <c r="D59" s="8">
        <f t="shared" si="2"/>
        <v>0</v>
      </c>
      <c r="F59" s="4" t="str">
        <f>IF(Jugadores!B59="","",Jugadores!B59)</f>
        <v>Martinez Josef</v>
      </c>
      <c r="G59" s="4" t="str">
        <f>IF(Jugadores!B59="","",Jugadores!A59)</f>
        <v>Tijuana</v>
      </c>
      <c r="H59" s="4">
        <f>IF(F59="","",SUMIF('Estadísticas Jugadores'!$F$2:$F$7001,F59,'Estadísticas Jugadores'!$L$2:$L$7001))</f>
        <v>0</v>
      </c>
      <c r="I59" s="4">
        <f t="shared" si="3"/>
        <v>-5.8999999999999994E-6</v>
      </c>
      <c r="J59" s="4">
        <f t="shared" si="4"/>
        <v>103</v>
      </c>
    </row>
    <row r="60" spans="1:10" ht="15" customHeight="1" x14ac:dyDescent="0.25">
      <c r="A60" s="8">
        <f>IF(COUNT($J$2:$J$1501)&gt;=59,59,"")</f>
        <v>59</v>
      </c>
      <c r="B60" s="8" t="str">
        <f t="shared" si="0"/>
        <v>Eduardo Bauermann</v>
      </c>
      <c r="C60" s="8" t="str">
        <f t="shared" si="1"/>
        <v>Pachuca</v>
      </c>
      <c r="D60" s="8">
        <f t="shared" si="2"/>
        <v>0</v>
      </c>
      <c r="F60" s="4" t="str">
        <f>IF(Jugadores!B60="","",Jugadores!B60)</f>
        <v>Garcia Palomera Luis Manuel</v>
      </c>
      <c r="G60" s="4" t="str">
        <f>IF(Jugadores!B60="","",Jugadores!A60)</f>
        <v>Toluca</v>
      </c>
      <c r="H60" s="4">
        <f>IF(F60="","",SUMIF('Estadísticas Jugadores'!$F$2:$F$7001,F60,'Estadísticas Jugadores'!$L$2:$L$7001))</f>
        <v>0</v>
      </c>
      <c r="I60" s="4">
        <f t="shared" si="3"/>
        <v>-6.0000000000000002E-6</v>
      </c>
      <c r="J60" s="4">
        <f t="shared" si="4"/>
        <v>104</v>
      </c>
    </row>
    <row r="61" spans="1:10" ht="15" customHeight="1" x14ac:dyDescent="0.25">
      <c r="A61" s="8">
        <f>IF(COUNT($J$2:$J$1501)&gt;=60,60,"")</f>
        <v>60</v>
      </c>
      <c r="B61" s="8" t="str">
        <f t="shared" si="0"/>
        <v>Gamez Juan</v>
      </c>
      <c r="C61" s="8" t="str">
        <f t="shared" si="1"/>
        <v>Pachuca</v>
      </c>
      <c r="D61" s="8">
        <f t="shared" si="2"/>
        <v>0</v>
      </c>
      <c r="F61" s="4" t="str">
        <f>IF(Jugadores!B61="","",Jugadores!B61)</f>
        <v>Gonzalez Duran Hugo Alfonso</v>
      </c>
      <c r="G61" s="4" t="str">
        <f>IF(Jugadores!B61="","",Jugadores!A61)</f>
        <v>Toluca</v>
      </c>
      <c r="H61" s="4">
        <f>IF(F61="","",SUMIF('Estadísticas Jugadores'!$F$2:$F$7001,F61,'Estadísticas Jugadores'!$L$2:$L$7001))</f>
        <v>0</v>
      </c>
      <c r="I61" s="4">
        <f t="shared" si="3"/>
        <v>-6.1E-6</v>
      </c>
      <c r="J61" s="4">
        <f t="shared" si="4"/>
        <v>105</v>
      </c>
    </row>
    <row r="62" spans="1:10" ht="15" customHeight="1" x14ac:dyDescent="0.25">
      <c r="A62" s="8">
        <f>IF(COUNT($J$2:$J$1501)&gt;=61,61,"")</f>
        <v>61</v>
      </c>
      <c r="B62" s="8" t="str">
        <f t="shared" si="0"/>
        <v>Isais Mauricio</v>
      </c>
      <c r="C62" s="8" t="str">
        <f t="shared" si="1"/>
        <v>Pachuca</v>
      </c>
      <c r="D62" s="8">
        <f t="shared" si="2"/>
        <v>0</v>
      </c>
      <c r="F62" s="4" t="str">
        <f>IF(Jugadores!B62="","",Jugadores!B62)</f>
        <v>Aceves Sebastian</v>
      </c>
      <c r="G62" s="4" t="str">
        <f>IF(Jugadores!B62="","",Jugadores!A62)</f>
        <v>Toluca</v>
      </c>
      <c r="H62" s="4">
        <f>IF(F62="","",SUMIF('Estadísticas Jugadores'!$F$2:$F$7001,F62,'Estadísticas Jugadores'!$L$2:$L$7001))</f>
        <v>0</v>
      </c>
      <c r="I62" s="4">
        <f t="shared" si="3"/>
        <v>-6.1999999999999999E-6</v>
      </c>
      <c r="J62" s="4">
        <f t="shared" si="4"/>
        <v>106</v>
      </c>
    </row>
    <row r="63" spans="1:10" ht="15" customHeight="1" x14ac:dyDescent="0.25">
      <c r="A63" s="8">
        <f>IF(COUNT($J$2:$J$1501)&gt;=62,62,"")</f>
        <v>62</v>
      </c>
      <c r="B63" s="8" t="str">
        <f t="shared" si="0"/>
        <v>Lopez Abutro Rene</v>
      </c>
      <c r="C63" s="8" t="str">
        <f t="shared" si="1"/>
        <v>Pachuca</v>
      </c>
      <c r="D63" s="8">
        <f t="shared" si="2"/>
        <v>0</v>
      </c>
      <c r="F63" s="4" t="str">
        <f>IF(Jugadores!B63="","",Jugadores!B63)</f>
        <v>Barbosa Diego</v>
      </c>
      <c r="G63" s="4" t="str">
        <f>IF(Jugadores!B63="","",Jugadores!A63)</f>
        <v>Toluca</v>
      </c>
      <c r="H63" s="4">
        <f>IF(F63="","",SUMIF('Estadísticas Jugadores'!$F$2:$F$7001,F63,'Estadísticas Jugadores'!$L$2:$L$7001))</f>
        <v>0</v>
      </c>
      <c r="I63" s="4">
        <f t="shared" si="3"/>
        <v>-6.2999999999999998E-6</v>
      </c>
      <c r="J63" s="4">
        <f t="shared" si="4"/>
        <v>107</v>
      </c>
    </row>
    <row r="64" spans="1:10" ht="15" customHeight="1" x14ac:dyDescent="0.25">
      <c r="A64" s="8">
        <f>IF(COUNT($J$2:$J$1501)&gt;=63,63,"")</f>
        <v>63</v>
      </c>
      <c r="B64" s="8" t="str">
        <f t="shared" si="0"/>
        <v>Mozo Alan</v>
      </c>
      <c r="C64" s="8" t="str">
        <f t="shared" si="1"/>
        <v>Pachuca</v>
      </c>
      <c r="D64" s="8">
        <f t="shared" si="2"/>
        <v>0</v>
      </c>
      <c r="F64" s="4" t="str">
        <f>IF(Jugadores!B64="","",Jugadores!B64)</f>
        <v>Briseno Antonio</v>
      </c>
      <c r="G64" s="4" t="str">
        <f>IF(Jugadores!B64="","",Jugadores!A64)</f>
        <v>Toluca</v>
      </c>
      <c r="H64" s="4">
        <f>IF(F64="","",SUMIF('Estadísticas Jugadores'!$F$2:$F$7001,F64,'Estadísticas Jugadores'!$L$2:$L$7001))</f>
        <v>0</v>
      </c>
      <c r="I64" s="4">
        <f t="shared" si="3"/>
        <v>-6.3999999999999997E-6</v>
      </c>
      <c r="J64" s="4">
        <f t="shared" si="4"/>
        <v>108</v>
      </c>
    </row>
    <row r="65" spans="1:10" ht="15" customHeight="1" x14ac:dyDescent="0.25">
      <c r="A65" s="8">
        <f>IF(COUNT($J$2:$J$1501)&gt;=64,64,"")</f>
        <v>64</v>
      </c>
      <c r="B65" s="8" t="str">
        <f t="shared" si="0"/>
        <v>Sanchez Carlos</v>
      </c>
      <c r="C65" s="8" t="str">
        <f t="shared" si="1"/>
        <v>Pachuca</v>
      </c>
      <c r="D65" s="8">
        <f t="shared" si="2"/>
        <v>0</v>
      </c>
      <c r="F65" s="4" t="str">
        <f>IF(Jugadores!B65="","",Jugadores!B65)</f>
        <v>Bruno Méndez</v>
      </c>
      <c r="G65" s="4" t="str">
        <f>IF(Jugadores!B65="","",Jugadores!A65)</f>
        <v>Toluca</v>
      </c>
      <c r="H65" s="4">
        <f>IF(F65="","",SUMIF('Estadísticas Jugadores'!$F$2:$F$7001,F65,'Estadísticas Jugadores'!$L$2:$L$7001))</f>
        <v>0</v>
      </c>
      <c r="I65" s="4">
        <f t="shared" si="3"/>
        <v>-6.4999999999999996E-6</v>
      </c>
      <c r="J65" s="4">
        <f t="shared" si="4"/>
        <v>109</v>
      </c>
    </row>
    <row r="66" spans="1:10" ht="15" customHeight="1" x14ac:dyDescent="0.25">
      <c r="A66" s="8">
        <f>IF(COUNT($J$2:$J$1501)&gt;=65,65,"")</f>
        <v>65</v>
      </c>
      <c r="B66" s="8" t="str">
        <f t="shared" ref="B66:B129" si="5">IF($A66="","",INDEX($F$2:$F$1501,MATCH($A66,$J$2:$J$1501,0)))</f>
        <v>Sánchez Moñino Edwin</v>
      </c>
      <c r="C66" s="8" t="str">
        <f t="shared" ref="C66:C129" si="6">IF($A66="","",INDEX($G$2:$G$1501,MATCH($A66,$J$2:$J$1501,0)))</f>
        <v>Pachuca</v>
      </c>
      <c r="D66" s="8">
        <f t="shared" ref="D66:D129" si="7">IF($A66="","",INDEX($H$2:$H$1501,MATCH($A66,$J$2:$J$1501,0)))</f>
        <v>0</v>
      </c>
      <c r="F66" s="4" t="str">
        <f>IF(Jugadores!B66="","",Jugadores!B66)</f>
        <v>Gallardo Jesus</v>
      </c>
      <c r="G66" s="4" t="str">
        <f>IF(Jugadores!B66="","",Jugadores!A66)</f>
        <v>Toluca</v>
      </c>
      <c r="H66" s="4">
        <f>IF(F66="","",SUMIF('Estadísticas Jugadores'!$F$2:$F$7001,F66,'Estadísticas Jugadores'!$L$2:$L$7001))</f>
        <v>1</v>
      </c>
      <c r="I66" s="4">
        <f t="shared" ref="I66:I129" si="8">IF(F66="","",H66*1000-ROW()*0.0000001)</f>
        <v>999.99999339999999</v>
      </c>
      <c r="J66" s="4">
        <f t="shared" ref="J66:J129" si="9">IF(F66="","",RANK(I66,$I$2:$I$1501))</f>
        <v>25</v>
      </c>
    </row>
    <row r="67" spans="1:10" ht="15" customHeight="1" x14ac:dyDescent="0.25">
      <c r="A67" s="8">
        <f>IF(COUNT($J$2:$J$1501)&gt;=66,66,"")</f>
        <v>66</v>
      </c>
      <c r="B67" s="8" t="str">
        <f t="shared" si="5"/>
        <v>Alvarez Gaël</v>
      </c>
      <c r="C67" s="8" t="str">
        <f t="shared" si="6"/>
        <v>Pachuca</v>
      </c>
      <c r="D67" s="8">
        <f t="shared" si="7"/>
        <v>0</v>
      </c>
      <c r="F67" s="4" t="str">
        <f>IF(Jugadores!B67="","",Jugadores!B67)</f>
        <v>Garcia Caprizo Brian Alberto</v>
      </c>
      <c r="G67" s="4" t="str">
        <f>IF(Jugadores!B67="","",Jugadores!A67)</f>
        <v>Toluca</v>
      </c>
      <c r="H67" s="4">
        <f>IF(F67="","",SUMIF('Estadísticas Jugadores'!$F$2:$F$7001,F67,'Estadísticas Jugadores'!$L$2:$L$7001))</f>
        <v>0</v>
      </c>
      <c r="I67" s="4">
        <f t="shared" si="8"/>
        <v>-6.6999999999999994E-6</v>
      </c>
      <c r="J67" s="4">
        <f t="shared" si="9"/>
        <v>110</v>
      </c>
    </row>
    <row r="68" spans="1:10" ht="15" customHeight="1" x14ac:dyDescent="0.25">
      <c r="A68" s="8">
        <f>IF(COUNT($J$2:$J$1501)&gt;=67,67,"")</f>
        <v>67</v>
      </c>
      <c r="B68" s="8" t="str">
        <f t="shared" si="5"/>
        <v>Bautista Alan</v>
      </c>
      <c r="C68" s="8" t="str">
        <f t="shared" si="6"/>
        <v>Pachuca</v>
      </c>
      <c r="D68" s="8">
        <f t="shared" si="7"/>
        <v>0</v>
      </c>
      <c r="F68" s="4" t="str">
        <f>IF(Jugadores!B68="","",Jugadores!B68)</f>
        <v>Luan</v>
      </c>
      <c r="G68" s="4" t="str">
        <f>IF(Jugadores!B68="","",Jugadores!A68)</f>
        <v>Toluca</v>
      </c>
      <c r="H68" s="4">
        <f>IF(F68="","",SUMIF('Estadísticas Jugadores'!$F$2:$F$7001,F68,'Estadísticas Jugadores'!$L$2:$L$7001))</f>
        <v>0</v>
      </c>
      <c r="I68" s="4">
        <f t="shared" si="8"/>
        <v>-6.7999999999999993E-6</v>
      </c>
      <c r="J68" s="4">
        <f t="shared" si="9"/>
        <v>111</v>
      </c>
    </row>
    <row r="69" spans="1:10" ht="15" customHeight="1" x14ac:dyDescent="0.25">
      <c r="A69" s="8">
        <f>IF(COUNT($J$2:$J$1501)&gt;=68,68,"")</f>
        <v>68</v>
      </c>
      <c r="B69" s="8" t="str">
        <f t="shared" si="5"/>
        <v>Contreras Ari</v>
      </c>
      <c r="C69" s="8" t="str">
        <f t="shared" si="6"/>
        <v>Pachuca</v>
      </c>
      <c r="D69" s="8">
        <f t="shared" si="7"/>
        <v>0</v>
      </c>
      <c r="F69" s="4" t="str">
        <f>IF(Jugadores!B69="","",Jugadores!B69)</f>
        <v>Orta Erick</v>
      </c>
      <c r="G69" s="4" t="str">
        <f>IF(Jugadores!B69="","",Jugadores!A69)</f>
        <v>Toluca</v>
      </c>
      <c r="H69" s="4">
        <f>IF(F69="","",SUMIF('Estadísticas Jugadores'!$F$2:$F$7001,F69,'Estadísticas Jugadores'!$L$2:$L$7001))</f>
        <v>0</v>
      </c>
      <c r="I69" s="4">
        <f t="shared" si="8"/>
        <v>-6.9E-6</v>
      </c>
      <c r="J69" s="4">
        <f t="shared" si="9"/>
        <v>112</v>
      </c>
    </row>
    <row r="70" spans="1:10" ht="15" customHeight="1" x14ac:dyDescent="0.25">
      <c r="A70" s="8">
        <f>IF(COUNT($J$2:$J$1501)&gt;=69,69,"")</f>
        <v>69</v>
      </c>
      <c r="B70" s="8" t="str">
        <f t="shared" si="5"/>
        <v>Pizarro Rodolfo</v>
      </c>
      <c r="C70" s="8" t="str">
        <f t="shared" si="6"/>
        <v>Pachuca</v>
      </c>
      <c r="D70" s="8">
        <f t="shared" si="7"/>
        <v>0</v>
      </c>
      <c r="F70" s="4" t="str">
        <f>IF(Jugadores!B70="","",Jugadores!B70)</f>
        <v>Pereira Federico</v>
      </c>
      <c r="G70" s="4" t="str">
        <f>IF(Jugadores!B70="","",Jugadores!A70)</f>
        <v>Toluca</v>
      </c>
      <c r="H70" s="4">
        <f>IF(F70="","",SUMIF('Estadísticas Jugadores'!$F$2:$F$7001,F70,'Estadísticas Jugadores'!$L$2:$L$7001))</f>
        <v>0</v>
      </c>
      <c r="I70" s="4">
        <f t="shared" si="8"/>
        <v>-6.9999999999999999E-6</v>
      </c>
      <c r="J70" s="4">
        <f t="shared" si="9"/>
        <v>113</v>
      </c>
    </row>
    <row r="71" spans="1:10" ht="15" customHeight="1" x14ac:dyDescent="0.25">
      <c r="A71" s="8">
        <f>IF(COUNT($J$2:$J$1501)&gt;=70,70,"")</f>
        <v>70</v>
      </c>
      <c r="B71" s="8" t="str">
        <f t="shared" si="5"/>
        <v>Rivera Christian</v>
      </c>
      <c r="C71" s="8" t="str">
        <f t="shared" si="6"/>
        <v>Pachuca</v>
      </c>
      <c r="D71" s="8">
        <f t="shared" si="7"/>
        <v>0</v>
      </c>
      <c r="F71" s="4" t="str">
        <f>IF(Jugadores!B71="","",Jugadores!B71)</f>
        <v>Simon Santiago</v>
      </c>
      <c r="G71" s="4" t="str">
        <f>IF(Jugadores!B71="","",Jugadores!A71)</f>
        <v>Toluca</v>
      </c>
      <c r="H71" s="4">
        <f>IF(F71="","",SUMIF('Estadísticas Jugadores'!$F$2:$F$7001,F71,'Estadísticas Jugadores'!$L$2:$L$7001))</f>
        <v>0</v>
      </c>
      <c r="I71" s="4">
        <f t="shared" si="8"/>
        <v>-7.0999999999999998E-6</v>
      </c>
      <c r="J71" s="4">
        <f t="shared" si="9"/>
        <v>114</v>
      </c>
    </row>
    <row r="72" spans="1:10" ht="15" customHeight="1" x14ac:dyDescent="0.25">
      <c r="A72" s="8">
        <f>IF(COUNT($J$2:$J$1501)&gt;=71,71,"")</f>
        <v>71</v>
      </c>
      <c r="B72" s="8" t="str">
        <f t="shared" si="5"/>
        <v>Rodriguez Sergio</v>
      </c>
      <c r="C72" s="8" t="str">
        <f t="shared" si="6"/>
        <v>Pachuca</v>
      </c>
      <c r="D72" s="8">
        <f t="shared" si="7"/>
        <v>0</v>
      </c>
      <c r="F72" s="4" t="str">
        <f>IF(Jugadores!B72="","",Jugadores!B72)</f>
        <v>del Villar Everardo</v>
      </c>
      <c r="G72" s="4" t="str">
        <f>IF(Jugadores!B72="","",Jugadores!A72)</f>
        <v>Toluca</v>
      </c>
      <c r="H72" s="4">
        <f>IF(F72="","",SUMIF('Estadísticas Jugadores'!$F$2:$F$7001,F72,'Estadísticas Jugadores'!$L$2:$L$7001))</f>
        <v>0</v>
      </c>
      <c r="I72" s="4">
        <f t="shared" si="8"/>
        <v>-7.1999999999999997E-6</v>
      </c>
      <c r="J72" s="4">
        <f t="shared" si="9"/>
        <v>115</v>
      </c>
    </row>
    <row r="73" spans="1:10" ht="15" customHeight="1" x14ac:dyDescent="0.25">
      <c r="A73" s="8">
        <f>IF(COUNT($J$2:$J$1501)&gt;=72,72,"")</f>
        <v>72</v>
      </c>
      <c r="B73" s="8" t="str">
        <f t="shared" si="5"/>
        <v>Alcaraz Adrián</v>
      </c>
      <c r="C73" s="8" t="str">
        <f t="shared" si="6"/>
        <v>Pachuca</v>
      </c>
      <c r="D73" s="8">
        <f t="shared" si="7"/>
        <v>0</v>
      </c>
      <c r="F73" s="4" t="str">
        <f>IF(Jugadores!B73="","",Jugadores!B73)</f>
        <v>Angulo Jesus</v>
      </c>
      <c r="G73" s="4" t="str">
        <f>IF(Jugadores!B73="","",Jugadores!A73)</f>
        <v>Toluca</v>
      </c>
      <c r="H73" s="4">
        <f>IF(F73="","",SUMIF('Estadísticas Jugadores'!$F$2:$F$7001,F73,'Estadísticas Jugadores'!$L$2:$L$7001))</f>
        <v>0</v>
      </c>
      <c r="I73" s="4">
        <f t="shared" si="8"/>
        <v>-7.2999999999999996E-6</v>
      </c>
      <c r="J73" s="4">
        <f t="shared" si="9"/>
        <v>116</v>
      </c>
    </row>
    <row r="74" spans="1:10" ht="15" customHeight="1" x14ac:dyDescent="0.25">
      <c r="A74" s="8">
        <f>IF(COUNT($J$2:$J$1501)&gt;=73,73,"")</f>
        <v>73</v>
      </c>
      <c r="B74" s="8" t="str">
        <f t="shared" si="5"/>
        <v>Dominguez Alexei</v>
      </c>
      <c r="C74" s="8" t="str">
        <f t="shared" si="6"/>
        <v>Pachuca</v>
      </c>
      <c r="D74" s="8">
        <f t="shared" si="7"/>
        <v>0</v>
      </c>
      <c r="F74" s="4" t="str">
        <f>IF(Jugadores!B74="","",Jugadores!B74)</f>
        <v>Arce Juarez Fernando David</v>
      </c>
      <c r="G74" s="4" t="str">
        <f>IF(Jugadores!B74="","",Jugadores!A74)</f>
        <v>Toluca</v>
      </c>
      <c r="H74" s="4">
        <f>IF(F74="","",SUMIF('Estadísticas Jugadores'!$F$2:$F$7001,F74,'Estadísticas Jugadores'!$L$2:$L$7001))</f>
        <v>0</v>
      </c>
      <c r="I74" s="4">
        <f t="shared" si="8"/>
        <v>-7.3999999999999995E-6</v>
      </c>
      <c r="J74" s="4">
        <f t="shared" si="9"/>
        <v>117</v>
      </c>
    </row>
    <row r="75" spans="1:10" ht="15" customHeight="1" x14ac:dyDescent="0.25">
      <c r="A75" s="8">
        <f>IF(COUNT($J$2:$J$1501)&gt;=74,74,"")</f>
        <v>74</v>
      </c>
      <c r="B75" s="8" t="str">
        <f t="shared" si="5"/>
        <v>Hernandez Cristobal</v>
      </c>
      <c r="C75" s="8" t="str">
        <f t="shared" si="6"/>
        <v>Pachuca</v>
      </c>
      <c r="D75" s="8">
        <f t="shared" si="7"/>
        <v>0</v>
      </c>
      <c r="F75" s="4" t="str">
        <f>IF(Jugadores!B75="","",Jugadores!B75)</f>
        <v>Castro Nicolas</v>
      </c>
      <c r="G75" s="4" t="str">
        <f>IF(Jugadores!B75="","",Jugadores!A75)</f>
        <v>Toluca</v>
      </c>
      <c r="H75" s="4">
        <f>IF(F75="","",SUMIF('Estadísticas Jugadores'!$F$2:$F$7001,F75,'Estadísticas Jugadores'!$L$2:$L$7001))</f>
        <v>2</v>
      </c>
      <c r="I75" s="4">
        <f t="shared" si="8"/>
        <v>1999.9999925</v>
      </c>
      <c r="J75" s="4">
        <f t="shared" si="9"/>
        <v>9</v>
      </c>
    </row>
    <row r="76" spans="1:10" ht="15" customHeight="1" x14ac:dyDescent="0.25">
      <c r="A76" s="8">
        <f>IF(COUNT($J$2:$J$1501)&gt;=75,75,"")</f>
        <v>75</v>
      </c>
      <c r="B76" s="8" t="str">
        <f t="shared" si="5"/>
        <v>Hernández Illian</v>
      </c>
      <c r="C76" s="8" t="str">
        <f t="shared" si="6"/>
        <v>Pachuca</v>
      </c>
      <c r="D76" s="8">
        <f t="shared" si="7"/>
        <v>0</v>
      </c>
      <c r="F76" s="4" t="str">
        <f>IF(Jugadores!B76="","",Jugadores!B76)</f>
        <v>Gutiérrez Érick</v>
      </c>
      <c r="G76" s="4" t="str">
        <f>IF(Jugadores!B76="","",Jugadores!A76)</f>
        <v>Toluca</v>
      </c>
      <c r="H76" s="4">
        <f>IF(F76="","",SUMIF('Estadísticas Jugadores'!$F$2:$F$7001,F76,'Estadísticas Jugadores'!$L$2:$L$7001))</f>
        <v>0</v>
      </c>
      <c r="I76" s="4">
        <f t="shared" si="8"/>
        <v>-7.6000000000000001E-6</v>
      </c>
      <c r="J76" s="4">
        <f t="shared" si="9"/>
        <v>118</v>
      </c>
    </row>
    <row r="77" spans="1:10" ht="15" customHeight="1" x14ac:dyDescent="0.25">
      <c r="A77" s="8">
        <f>IF(COUNT($J$2:$J$1501)&gt;=76,76,"")</f>
        <v>76</v>
      </c>
      <c r="B77" s="8" t="str">
        <f t="shared" si="5"/>
        <v>Idrissi Oussama</v>
      </c>
      <c r="C77" s="8" t="str">
        <f t="shared" si="6"/>
        <v>Pachuca</v>
      </c>
      <c r="D77" s="8">
        <f t="shared" si="7"/>
        <v>0</v>
      </c>
      <c r="F77" s="4" t="str">
        <f>IF(Jugadores!B77="","",Jugadores!B77)</f>
        <v>Guzmán Víctor Alfonso</v>
      </c>
      <c r="G77" s="4" t="str">
        <f>IF(Jugadores!B77="","",Jugadores!A77)</f>
        <v>Toluca</v>
      </c>
      <c r="H77" s="4">
        <f>IF(F77="","",SUMIF('Estadísticas Jugadores'!$F$2:$F$7001,F77,'Estadísticas Jugadores'!$L$2:$L$7001))</f>
        <v>0</v>
      </c>
      <c r="I77" s="4">
        <f t="shared" si="8"/>
        <v>-7.6999999999999991E-6</v>
      </c>
      <c r="J77" s="4">
        <f t="shared" si="9"/>
        <v>119</v>
      </c>
    </row>
    <row r="78" spans="1:10" ht="15" customHeight="1" x14ac:dyDescent="0.25">
      <c r="A78" s="8">
        <f>IF(COUNT($J$2:$J$1501)&gt;=77,77,"")</f>
        <v>77</v>
      </c>
      <c r="B78" s="8" t="str">
        <f t="shared" si="5"/>
        <v>Kenedy</v>
      </c>
      <c r="C78" s="8" t="str">
        <f t="shared" si="6"/>
        <v>Pachuca</v>
      </c>
      <c r="D78" s="8">
        <f t="shared" si="7"/>
        <v>0</v>
      </c>
      <c r="F78" s="4" t="str">
        <f>IF(Jugadores!B78="","",Jugadores!B78)</f>
        <v>Navarrete Luis</v>
      </c>
      <c r="G78" s="4" t="str">
        <f>IF(Jugadores!B78="","",Jugadores!A78)</f>
        <v>Toluca</v>
      </c>
      <c r="H78" s="4">
        <f>IF(F78="","",SUMIF('Estadísticas Jugadores'!$F$2:$F$7001,F78,'Estadísticas Jugadores'!$L$2:$L$7001))</f>
        <v>0</v>
      </c>
      <c r="I78" s="4">
        <f t="shared" si="8"/>
        <v>-7.7999999999999999E-6</v>
      </c>
      <c r="J78" s="4">
        <f t="shared" si="9"/>
        <v>120</v>
      </c>
    </row>
    <row r="79" spans="1:10" ht="15" customHeight="1" x14ac:dyDescent="0.25">
      <c r="A79" s="8">
        <f>IF(COUNT($J$2:$J$1501)&gt;=78,78,"")</f>
        <v>78</v>
      </c>
      <c r="B79" s="8" t="str">
        <f t="shared" si="5"/>
        <v>Mendez Daniel</v>
      </c>
      <c r="C79" s="8" t="str">
        <f t="shared" si="6"/>
        <v>Pachuca</v>
      </c>
      <c r="D79" s="8">
        <f t="shared" si="7"/>
        <v>0</v>
      </c>
      <c r="F79" s="4" t="str">
        <f>IF(Jugadores!B79="","",Jugadores!B79)</f>
        <v>Romero Franco</v>
      </c>
      <c r="G79" s="4" t="str">
        <f>IF(Jugadores!B79="","",Jugadores!A79)</f>
        <v>Toluca</v>
      </c>
      <c r="H79" s="4">
        <f>IF(F79="","",SUMIF('Estadísticas Jugadores'!$F$2:$F$7001,F79,'Estadísticas Jugadores'!$L$2:$L$7001))</f>
        <v>0</v>
      </c>
      <c r="I79" s="4">
        <f t="shared" si="8"/>
        <v>-7.8999999999999989E-6</v>
      </c>
      <c r="J79" s="4">
        <f t="shared" si="9"/>
        <v>121</v>
      </c>
    </row>
    <row r="80" spans="1:10" ht="15" customHeight="1" x14ac:dyDescent="0.25">
      <c r="A80" s="8">
        <f>IF(COUNT($J$2:$J$1501)&gt;=79,79,"")</f>
        <v>79</v>
      </c>
      <c r="B80" s="8" t="str">
        <f t="shared" si="5"/>
        <v>Ramirez Jonatan</v>
      </c>
      <c r="C80" s="8" t="str">
        <f t="shared" si="6"/>
        <v>Pachuca</v>
      </c>
      <c r="D80" s="8">
        <f t="shared" si="7"/>
        <v>0</v>
      </c>
      <c r="F80" s="4" t="str">
        <f>IF(Jugadores!B80="","",Jugadores!B80)</f>
        <v>Ruiz Marcel</v>
      </c>
      <c r="G80" s="4" t="str">
        <f>IF(Jugadores!B80="","",Jugadores!A80)</f>
        <v>Toluca</v>
      </c>
      <c r="H80" s="4">
        <f>IF(F80="","",SUMIF('Estadísticas Jugadores'!$F$2:$F$7001,F80,'Estadísticas Jugadores'!$L$2:$L$7001))</f>
        <v>0</v>
      </c>
      <c r="I80" s="4">
        <f t="shared" si="8"/>
        <v>-7.9999999999999996E-6</v>
      </c>
      <c r="J80" s="4">
        <f t="shared" si="9"/>
        <v>122</v>
      </c>
    </row>
    <row r="81" spans="1:10" ht="15" customHeight="1" x14ac:dyDescent="0.25">
      <c r="A81" s="8">
        <f>IF(COUNT($J$2:$J$1501)&gt;=80,80,"")</f>
        <v>80</v>
      </c>
      <c r="B81" s="8" t="str">
        <f t="shared" si="5"/>
        <v>Vallejo Nicolas</v>
      </c>
      <c r="C81" s="8" t="str">
        <f t="shared" si="6"/>
        <v>Pachuca</v>
      </c>
      <c r="D81" s="8">
        <f t="shared" si="7"/>
        <v>0</v>
      </c>
      <c r="F81" s="4" t="str">
        <f>IF(Jugadores!B81="","",Jugadores!B81)</f>
        <v>Alvarez Alek</v>
      </c>
      <c r="G81" s="4" t="str">
        <f>IF(Jugadores!B81="","",Jugadores!A81)</f>
        <v>Toluca</v>
      </c>
      <c r="H81" s="4">
        <f>IF(F81="","",SUMIF('Estadísticas Jugadores'!$F$2:$F$7001,F81,'Estadísticas Jugadores'!$L$2:$L$7001))</f>
        <v>0</v>
      </c>
      <c r="I81" s="4">
        <f t="shared" si="8"/>
        <v>-8.1000000000000004E-6</v>
      </c>
      <c r="J81" s="4">
        <f t="shared" si="9"/>
        <v>123</v>
      </c>
    </row>
    <row r="82" spans="1:10" ht="15" customHeight="1" x14ac:dyDescent="0.25">
      <c r="A82" s="8">
        <f>IF(COUNT($J$2:$J$1501)&gt;=81,81,"")</f>
        <v>81</v>
      </c>
      <c r="B82" s="8" t="str">
        <f t="shared" si="5"/>
        <v>Hernández Jorge</v>
      </c>
      <c r="C82" s="8" t="str">
        <f t="shared" si="6"/>
        <v>Tijuana</v>
      </c>
      <c r="D82" s="8">
        <f t="shared" si="7"/>
        <v>0</v>
      </c>
      <c r="F82" s="4" t="str">
        <f>IF(Jugadores!B82="","",Jugadores!B82)</f>
        <v>Carrillo Carlos</v>
      </c>
      <c r="G82" s="4" t="str">
        <f>IF(Jugadores!B82="","",Jugadores!A82)</f>
        <v>Toluca</v>
      </c>
      <c r="H82" s="4">
        <f>IF(F82="","",SUMIF('Estadísticas Jugadores'!$F$2:$F$7001,F82,'Estadísticas Jugadores'!$L$2:$L$7001))</f>
        <v>0</v>
      </c>
      <c r="I82" s="4">
        <f t="shared" si="8"/>
        <v>-8.1999999999999994E-6</v>
      </c>
      <c r="J82" s="4">
        <f t="shared" si="9"/>
        <v>124</v>
      </c>
    </row>
    <row r="83" spans="1:10" ht="15" customHeight="1" x14ac:dyDescent="0.25">
      <c r="A83" s="8">
        <f>IF(COUNT($J$2:$J$1501)&gt;=82,82,"")</f>
        <v>82</v>
      </c>
      <c r="B83" s="8" t="str">
        <f t="shared" si="5"/>
        <v>Rodríguez Antonio</v>
      </c>
      <c r="C83" s="8" t="str">
        <f t="shared" si="6"/>
        <v>Tijuana</v>
      </c>
      <c r="D83" s="8">
        <f t="shared" si="7"/>
        <v>0</v>
      </c>
      <c r="F83" s="4" t="str">
        <f>IF(Jugadores!B83="","",Jugadores!B83)</f>
        <v>Diaz Price Jorge</v>
      </c>
      <c r="G83" s="4" t="str">
        <f>IF(Jugadores!B83="","",Jugadores!A83)</f>
        <v>Toluca</v>
      </c>
      <c r="H83" s="4">
        <f>IF(F83="","",SUMIF('Estadísticas Jugadores'!$F$2:$F$7001,F83,'Estadísticas Jugadores'!$L$2:$L$7001))</f>
        <v>2</v>
      </c>
      <c r="I83" s="4">
        <f t="shared" si="8"/>
        <v>1999.9999917</v>
      </c>
      <c r="J83" s="4">
        <f t="shared" si="9"/>
        <v>10</v>
      </c>
    </row>
    <row r="84" spans="1:10" ht="15" customHeight="1" x14ac:dyDescent="0.25">
      <c r="A84" s="8">
        <f>IF(COUNT($J$2:$J$1501)&gt;=83,83,"")</f>
        <v>83</v>
      </c>
      <c r="B84" s="8" t="str">
        <f t="shared" si="5"/>
        <v>Bilbao Arteta Unai</v>
      </c>
      <c r="C84" s="8" t="str">
        <f t="shared" si="6"/>
        <v>Tijuana</v>
      </c>
      <c r="D84" s="8">
        <f t="shared" si="7"/>
        <v>0</v>
      </c>
      <c r="F84" s="4" t="str">
        <f>IF(Jugadores!B84="","",Jugadores!B84)</f>
        <v>Estrada Jose</v>
      </c>
      <c r="G84" s="4" t="str">
        <f>IF(Jugadores!B84="","",Jugadores!A84)</f>
        <v>Toluca</v>
      </c>
      <c r="H84" s="4">
        <f>IF(F84="","",SUMIF('Estadísticas Jugadores'!$F$2:$F$7001,F84,'Estadísticas Jugadores'!$L$2:$L$7001))</f>
        <v>0</v>
      </c>
      <c r="I84" s="4">
        <f t="shared" si="8"/>
        <v>-8.3999999999999992E-6</v>
      </c>
      <c r="J84" s="4">
        <f t="shared" si="9"/>
        <v>125</v>
      </c>
    </row>
    <row r="85" spans="1:10" ht="15" customHeight="1" x14ac:dyDescent="0.25">
      <c r="A85" s="8">
        <f>IF(COUNT($J$2:$J$1501)&gt;=84,84,"")</f>
        <v>84</v>
      </c>
      <c r="B85" s="8" t="str">
        <f t="shared" si="5"/>
        <v>Cordero Vega Alan</v>
      </c>
      <c r="C85" s="8" t="str">
        <f t="shared" si="6"/>
        <v>Tijuana</v>
      </c>
      <c r="D85" s="8">
        <f t="shared" si="7"/>
        <v>0</v>
      </c>
      <c r="F85" s="4" t="str">
        <f>IF(Jugadores!B85="","",Jugadores!B85)</f>
        <v>Helinho</v>
      </c>
      <c r="G85" s="4" t="str">
        <f>IF(Jugadores!B85="","",Jugadores!A85)</f>
        <v>Toluca</v>
      </c>
      <c r="H85" s="4">
        <f>IF(F85="","",SUMIF('Estadísticas Jugadores'!$F$2:$F$7001,F85,'Estadísticas Jugadores'!$L$2:$L$7001))</f>
        <v>2</v>
      </c>
      <c r="I85" s="4">
        <f t="shared" si="8"/>
        <v>1999.9999915000001</v>
      </c>
      <c r="J85" s="4">
        <f t="shared" si="9"/>
        <v>11</v>
      </c>
    </row>
    <row r="86" spans="1:10" ht="15" customHeight="1" x14ac:dyDescent="0.25">
      <c r="A86" s="8">
        <f>IF(COUNT($J$2:$J$1501)&gt;=85,85,"")</f>
        <v>85</v>
      </c>
      <c r="B86" s="8" t="str">
        <f t="shared" si="5"/>
        <v>Fernández Rafael</v>
      </c>
      <c r="C86" s="8" t="str">
        <f t="shared" si="6"/>
        <v>Tijuana</v>
      </c>
      <c r="D86" s="8">
        <f t="shared" si="7"/>
        <v>0</v>
      </c>
      <c r="F86" s="4" t="str">
        <f>IF(Jugadores!B86="","",Jugadores!B86)</f>
        <v>Paulinho</v>
      </c>
      <c r="G86" s="4" t="str">
        <f>IF(Jugadores!B86="","",Jugadores!A86)</f>
        <v>Toluca</v>
      </c>
      <c r="H86" s="4">
        <f>IF(F86="","",SUMIF('Estadísticas Jugadores'!$F$2:$F$7001,F86,'Estadísticas Jugadores'!$L$2:$L$7001))</f>
        <v>0</v>
      </c>
      <c r="I86" s="4">
        <f t="shared" si="8"/>
        <v>-8.599999999999999E-6</v>
      </c>
      <c r="J86" s="4">
        <f t="shared" si="9"/>
        <v>126</v>
      </c>
    </row>
    <row r="87" spans="1:10" ht="15" customHeight="1" x14ac:dyDescent="0.25">
      <c r="A87" s="8">
        <f>IF(COUNT($J$2:$J$1501)&gt;=86,86,"")</f>
        <v>86</v>
      </c>
      <c r="B87" s="8" t="str">
        <f t="shared" si="5"/>
        <v>Manzanarez Oscar</v>
      </c>
      <c r="C87" s="8" t="str">
        <f t="shared" si="6"/>
        <v>Tijuana</v>
      </c>
      <c r="D87" s="8">
        <f t="shared" si="7"/>
        <v>0</v>
      </c>
      <c r="F87" s="4" t="str">
        <f>IF(Jugadores!B87="","",Jugadores!B87)</f>
        <v>Pérez Pavel</v>
      </c>
      <c r="G87" s="4" t="str">
        <f>IF(Jugadores!B87="","",Jugadores!A87)</f>
        <v>Toluca</v>
      </c>
      <c r="H87" s="4">
        <f>IF(F87="","",SUMIF('Estadísticas Jugadores'!$F$2:$F$7001,F87,'Estadísticas Jugadores'!$L$2:$L$7001))</f>
        <v>0</v>
      </c>
      <c r="I87" s="4">
        <f t="shared" si="8"/>
        <v>-8.6999999999999997E-6</v>
      </c>
      <c r="J87" s="4">
        <f t="shared" si="9"/>
        <v>127</v>
      </c>
    </row>
    <row r="88" spans="1:10" ht="15" customHeight="1" x14ac:dyDescent="0.25">
      <c r="A88" s="8">
        <f>IF(COUNT($J$2:$J$1501)&gt;=87,87,"")</f>
        <v>87</v>
      </c>
      <c r="B88" s="8" t="str">
        <f t="shared" si="5"/>
        <v>Ortiz Orozco Pablo Nicolas</v>
      </c>
      <c r="C88" s="8" t="str">
        <f t="shared" si="6"/>
        <v>Tijuana</v>
      </c>
      <c r="D88" s="8">
        <f t="shared" si="7"/>
        <v>0</v>
      </c>
      <c r="F88" s="4" t="str">
        <f>IF(Jugadores!B88="","",Jugadores!B88)</f>
        <v>Rossi Franco</v>
      </c>
      <c r="G88" s="4" t="str">
        <f>IF(Jugadores!B88="","",Jugadores!A88)</f>
        <v>Toluca</v>
      </c>
      <c r="H88" s="4">
        <f>IF(F88="","",SUMIF('Estadísticas Jugadores'!$F$2:$F$7001,F88,'Estadísticas Jugadores'!$L$2:$L$7001))</f>
        <v>0</v>
      </c>
      <c r="I88" s="4">
        <f t="shared" si="8"/>
        <v>-8.8000000000000004E-6</v>
      </c>
      <c r="J88" s="4">
        <f t="shared" si="9"/>
        <v>128</v>
      </c>
    </row>
    <row r="89" spans="1:10" ht="15" customHeight="1" x14ac:dyDescent="0.25">
      <c r="A89" s="8">
        <f>IF(COUNT($J$2:$J$1501)&gt;=88,88,"")</f>
        <v>88</v>
      </c>
      <c r="B89" s="8" t="str">
        <f t="shared" si="5"/>
        <v>Porozo Jackson</v>
      </c>
      <c r="C89" s="8" t="str">
        <f t="shared" si="6"/>
        <v>Tijuana</v>
      </c>
      <c r="D89" s="8">
        <f t="shared" si="7"/>
        <v>0</v>
      </c>
      <c r="F89" s="4" t="str">
        <f>IF(Jugadores!B89="","",Jugadores!B89)</f>
        <v>Vega Alexis</v>
      </c>
      <c r="G89" s="4" t="str">
        <f>IF(Jugadores!B89="","",Jugadores!A89)</f>
        <v>Toluca</v>
      </c>
      <c r="H89" s="4">
        <f>IF(F89="","",SUMIF('Estadísticas Jugadores'!$F$2:$F$7001,F89,'Estadísticas Jugadores'!$L$2:$L$7001))</f>
        <v>2</v>
      </c>
      <c r="I89" s="4">
        <f t="shared" si="8"/>
        <v>1999.9999911</v>
      </c>
      <c r="J89" s="4">
        <f t="shared" si="9"/>
        <v>12</v>
      </c>
    </row>
    <row r="90" spans="1:10" ht="15" customHeight="1" x14ac:dyDescent="0.25">
      <c r="A90" s="8">
        <f>IF(COUNT($J$2:$J$1501)&gt;=89,89,"")</f>
        <v>89</v>
      </c>
      <c r="B90" s="8" t="str">
        <f t="shared" si="5"/>
        <v>Boya Frank</v>
      </c>
      <c r="C90" s="8" t="str">
        <f t="shared" si="6"/>
        <v>Tijuana</v>
      </c>
      <c r="D90" s="8">
        <f t="shared" si="7"/>
        <v>0</v>
      </c>
      <c r="F90" s="4" t="str">
        <f>IF(Jugadores!B90="","",Jugadores!B90)</f>
        <v>Virgen Oswaldo</v>
      </c>
      <c r="G90" s="4" t="str">
        <f>IF(Jugadores!B90="","",Jugadores!A90)</f>
        <v>Toluca</v>
      </c>
      <c r="H90" s="4">
        <f>IF(F90="","",SUMIF('Estadísticas Jugadores'!$F$2:$F$7001,F90,'Estadísticas Jugadores'!$L$2:$L$7001))</f>
        <v>0</v>
      </c>
      <c r="I90" s="4">
        <f t="shared" si="8"/>
        <v>-9.0000000000000002E-6</v>
      </c>
      <c r="J90" s="4">
        <f t="shared" si="9"/>
        <v>129</v>
      </c>
    </row>
    <row r="91" spans="1:10" ht="15" customHeight="1" x14ac:dyDescent="0.25">
      <c r="A91" s="8">
        <f>IF(COUNT($J$2:$J$1501)&gt;=90,90,"")</f>
        <v>90</v>
      </c>
      <c r="B91" s="8" t="str">
        <f t="shared" si="5"/>
        <v>Escamilla Kevin</v>
      </c>
      <c r="C91" s="8" t="str">
        <f t="shared" si="6"/>
        <v>Tijuana</v>
      </c>
      <c r="D91" s="8">
        <f t="shared" si="7"/>
        <v>0</v>
      </c>
      <c r="F91" s="4" t="str">
        <f>IF(Jugadores!B91="","",Jugadores!B91)</f>
        <v>Cardenas Luis</v>
      </c>
      <c r="G91" s="4" t="str">
        <f>IF(Jugadores!B91="","",Jugadores!A91)</f>
        <v>Monterrey</v>
      </c>
      <c r="H91" s="4">
        <f>IF(F91="","",SUMIF('Estadísticas Jugadores'!$F$2:$F$7001,F91,'Estadísticas Jugadores'!$L$2:$L$7001))</f>
        <v>0</v>
      </c>
      <c r="I91" s="4">
        <f t="shared" si="8"/>
        <v>-9.0999999999999993E-6</v>
      </c>
      <c r="J91" s="4">
        <f t="shared" si="9"/>
        <v>130</v>
      </c>
    </row>
    <row r="92" spans="1:10" ht="15" customHeight="1" x14ac:dyDescent="0.25">
      <c r="A92" s="8">
        <f>IF(COUNT($J$2:$J$1501)&gt;=91,91,"")</f>
        <v>91</v>
      </c>
      <c r="B92" s="8" t="str">
        <f t="shared" si="5"/>
        <v>Gonzalez Joban</v>
      </c>
      <c r="C92" s="8" t="str">
        <f t="shared" si="6"/>
        <v>Tijuana</v>
      </c>
      <c r="D92" s="8">
        <f t="shared" si="7"/>
        <v>0</v>
      </c>
      <c r="F92" s="4" t="str">
        <f>IF(Jugadores!B92="","",Jugadores!B92)</f>
        <v>Cuneo Kevin</v>
      </c>
      <c r="G92" s="4" t="str">
        <f>IF(Jugadores!B92="","",Jugadores!A92)</f>
        <v>Monterrey</v>
      </c>
      <c r="H92" s="4">
        <f>IF(F92="","",SUMIF('Estadísticas Jugadores'!$F$2:$F$7001,F92,'Estadísticas Jugadores'!$L$2:$L$7001))</f>
        <v>0</v>
      </c>
      <c r="I92" s="4">
        <f t="shared" si="8"/>
        <v>-9.2E-6</v>
      </c>
      <c r="J92" s="4">
        <f t="shared" si="9"/>
        <v>131</v>
      </c>
    </row>
    <row r="93" spans="1:10" ht="15" customHeight="1" x14ac:dyDescent="0.25">
      <c r="A93" s="8">
        <f>IF(COUNT($J$2:$J$1501)&gt;=92,92,"")</f>
        <v>92</v>
      </c>
      <c r="B93" s="8" t="str">
        <f t="shared" si="5"/>
        <v>Mora Gilberto</v>
      </c>
      <c r="C93" s="8" t="str">
        <f t="shared" si="6"/>
        <v>Tijuana</v>
      </c>
      <c r="D93" s="8">
        <f t="shared" si="7"/>
        <v>0</v>
      </c>
      <c r="F93" s="4" t="str">
        <f>IF(Jugadores!B93="","",Jugadores!B93)</f>
        <v>Mele Santiago</v>
      </c>
      <c r="G93" s="4" t="str">
        <f>IF(Jugadores!B93="","",Jugadores!A93)</f>
        <v>Monterrey</v>
      </c>
      <c r="H93" s="4">
        <f>IF(F93="","",SUMIF('Estadísticas Jugadores'!$F$2:$F$7001,F93,'Estadísticas Jugadores'!$L$2:$L$7001))</f>
        <v>0</v>
      </c>
      <c r="I93" s="4">
        <f t="shared" si="8"/>
        <v>-9.299999999999999E-6</v>
      </c>
      <c r="J93" s="4">
        <f t="shared" si="9"/>
        <v>132</v>
      </c>
    </row>
    <row r="94" spans="1:10" ht="15" customHeight="1" x14ac:dyDescent="0.25">
      <c r="A94" s="8">
        <f>IF(COUNT($J$2:$J$1501)&gt;=93,93,"")</f>
        <v>93</v>
      </c>
      <c r="B94" s="8" t="str">
        <f t="shared" si="5"/>
        <v>Orduno Jesús</v>
      </c>
      <c r="C94" s="8" t="str">
        <f t="shared" si="6"/>
        <v>Tijuana</v>
      </c>
      <c r="D94" s="8">
        <f t="shared" si="7"/>
        <v>0</v>
      </c>
      <c r="F94" s="4" t="str">
        <f>IF(Jugadores!B94="","",Jugadores!B94)</f>
        <v>Perez Santiago</v>
      </c>
      <c r="G94" s="4" t="str">
        <f>IF(Jugadores!B94="","",Jugadores!A94)</f>
        <v>Monterrey</v>
      </c>
      <c r="H94" s="4">
        <f>IF(F94="","",SUMIF('Estadísticas Jugadores'!$F$2:$F$7001,F94,'Estadísticas Jugadores'!$L$2:$L$7001))</f>
        <v>0</v>
      </c>
      <c r="I94" s="4">
        <f t="shared" si="8"/>
        <v>-9.3999999999999998E-6</v>
      </c>
      <c r="J94" s="4">
        <f t="shared" si="9"/>
        <v>133</v>
      </c>
    </row>
    <row r="95" spans="1:10" ht="15" customHeight="1" x14ac:dyDescent="0.25">
      <c r="A95" s="8">
        <f>IF(COUNT($J$2:$J$1501)&gt;=94,94,"")</f>
        <v>94</v>
      </c>
      <c r="B95" s="8" t="str">
        <f t="shared" si="5"/>
        <v>Padilla German</v>
      </c>
      <c r="C95" s="8" t="str">
        <f t="shared" si="6"/>
        <v>Tijuana</v>
      </c>
      <c r="D95" s="8">
        <f t="shared" si="7"/>
        <v>0</v>
      </c>
      <c r="F95" s="4" t="str">
        <f>IF(Jugadores!B95="","",Jugadores!B95)</f>
        <v>Ramos Cesar</v>
      </c>
      <c r="G95" s="4" t="str">
        <f>IF(Jugadores!B95="","",Jugadores!A95)</f>
        <v>Monterrey</v>
      </c>
      <c r="H95" s="4">
        <f>IF(F95="","",SUMIF('Estadísticas Jugadores'!$F$2:$F$7001,F95,'Estadísticas Jugadores'!$L$2:$L$7001))</f>
        <v>0</v>
      </c>
      <c r="I95" s="4">
        <f t="shared" si="8"/>
        <v>-9.4999999999999988E-6</v>
      </c>
      <c r="J95" s="4">
        <f t="shared" si="9"/>
        <v>134</v>
      </c>
    </row>
    <row r="96" spans="1:10" ht="15" customHeight="1" x14ac:dyDescent="0.25">
      <c r="A96" s="8">
        <f>IF(COUNT($J$2:$J$1501)&gt;=95,95,"")</f>
        <v>95</v>
      </c>
      <c r="B96" s="8" t="str">
        <f t="shared" si="5"/>
        <v>Perez Aldahir</v>
      </c>
      <c r="C96" s="8" t="str">
        <f t="shared" si="6"/>
        <v>Tijuana</v>
      </c>
      <c r="D96" s="8">
        <f t="shared" si="7"/>
        <v>0</v>
      </c>
      <c r="F96" s="4" t="str">
        <f>IF(Jugadores!B96="","",Jugadores!B96)</f>
        <v>Aceves Alonso</v>
      </c>
      <c r="G96" s="4" t="str">
        <f>IF(Jugadores!B96="","",Jugadores!A96)</f>
        <v>Monterrey</v>
      </c>
      <c r="H96" s="4">
        <f>IF(F96="","",SUMIF('Estadísticas Jugadores'!$F$2:$F$7001,F96,'Estadísticas Jugadores'!$L$2:$L$7001))</f>
        <v>0</v>
      </c>
      <c r="I96" s="4">
        <f t="shared" si="8"/>
        <v>-9.5999999999999996E-6</v>
      </c>
      <c r="J96" s="4">
        <f t="shared" si="9"/>
        <v>135</v>
      </c>
    </row>
    <row r="97" spans="1:10" ht="15" customHeight="1" x14ac:dyDescent="0.25">
      <c r="A97" s="8">
        <f>IF(COUNT($J$2:$J$1501)&gt;=96,96,"")</f>
        <v>96</v>
      </c>
      <c r="B97" s="8" t="str">
        <f t="shared" si="5"/>
        <v>Preciado Quintero Adonis Stalin</v>
      </c>
      <c r="C97" s="8" t="str">
        <f t="shared" si="6"/>
        <v>Tijuana</v>
      </c>
      <c r="D97" s="8">
        <f t="shared" si="7"/>
        <v>0</v>
      </c>
      <c r="F97" s="4" t="str">
        <f>IF(Jugadores!B97="","",Jugadores!B97)</f>
        <v>Aguirre Erick</v>
      </c>
      <c r="G97" s="4" t="str">
        <f>IF(Jugadores!B97="","",Jugadores!A97)</f>
        <v>Monterrey</v>
      </c>
      <c r="H97" s="4">
        <f>IF(F97="","",SUMIF('Estadísticas Jugadores'!$F$2:$F$7001,F97,'Estadísticas Jugadores'!$L$2:$L$7001))</f>
        <v>0</v>
      </c>
      <c r="I97" s="4">
        <f t="shared" si="8"/>
        <v>-9.7000000000000003E-6</v>
      </c>
      <c r="J97" s="4">
        <f t="shared" si="9"/>
        <v>136</v>
      </c>
    </row>
    <row r="98" spans="1:10" ht="15" customHeight="1" x14ac:dyDescent="0.25">
      <c r="A98" s="8">
        <f>IF(COUNT($J$2:$J$1501)&gt;=97,97,"")</f>
        <v>97</v>
      </c>
      <c r="B98" s="8" t="str">
        <f t="shared" si="5"/>
        <v>Rivero Ignacio</v>
      </c>
      <c r="C98" s="8" t="str">
        <f t="shared" si="6"/>
        <v>Tijuana</v>
      </c>
      <c r="D98" s="8">
        <f t="shared" si="7"/>
        <v>0</v>
      </c>
      <c r="F98" s="4" t="str">
        <f>IF(Jugadores!B98="","",Jugadores!B98)</f>
        <v>Arteaga Gerardo</v>
      </c>
      <c r="G98" s="4" t="str">
        <f>IF(Jugadores!B98="","",Jugadores!A98)</f>
        <v>Monterrey</v>
      </c>
      <c r="H98" s="4">
        <f>IF(F98="","",SUMIF('Estadísticas Jugadores'!$F$2:$F$7001,F98,'Estadísticas Jugadores'!$L$2:$L$7001))</f>
        <v>0</v>
      </c>
      <c r="I98" s="4">
        <f t="shared" si="8"/>
        <v>-9.7999999999999993E-6</v>
      </c>
      <c r="J98" s="4">
        <f t="shared" si="9"/>
        <v>137</v>
      </c>
    </row>
    <row r="99" spans="1:10" ht="15" customHeight="1" x14ac:dyDescent="0.25">
      <c r="A99" s="8">
        <f>IF(COUNT($J$2:$J$1501)&gt;=98,98,"")</f>
        <v>98</v>
      </c>
      <c r="B99" s="8" t="str">
        <f t="shared" si="5"/>
        <v>Tona Ivan</v>
      </c>
      <c r="C99" s="8" t="str">
        <f t="shared" si="6"/>
        <v>Tijuana</v>
      </c>
      <c r="D99" s="8">
        <f t="shared" si="7"/>
        <v>0</v>
      </c>
      <c r="F99" s="4" t="str">
        <f>IF(Jugadores!B99="","",Jugadores!B99)</f>
        <v>Bustos Cesar</v>
      </c>
      <c r="G99" s="4" t="str">
        <f>IF(Jugadores!B99="","",Jugadores!A99)</f>
        <v>Monterrey</v>
      </c>
      <c r="H99" s="4">
        <f>IF(F99="","",SUMIF('Estadísticas Jugadores'!$F$2:$F$7001,F99,'Estadísticas Jugadores'!$L$2:$L$7001))</f>
        <v>0</v>
      </c>
      <c r="I99" s="4">
        <f t="shared" si="8"/>
        <v>-9.9000000000000001E-6</v>
      </c>
      <c r="J99" s="4">
        <f t="shared" si="9"/>
        <v>138</v>
      </c>
    </row>
    <row r="100" spans="1:10" ht="15" customHeight="1" x14ac:dyDescent="0.25">
      <c r="A100" s="8">
        <f>IF(COUNT($J$2:$J$1501)&gt;=99,99,"")</f>
        <v>99</v>
      </c>
      <c r="B100" s="8" t="str">
        <f t="shared" si="5"/>
        <v>Zapata Angel</v>
      </c>
      <c r="C100" s="8" t="str">
        <f t="shared" si="6"/>
        <v>Tijuana</v>
      </c>
      <c r="D100" s="8">
        <f t="shared" si="7"/>
        <v>0</v>
      </c>
      <c r="F100" s="4" t="str">
        <f>IF(Jugadores!B100="","",Jugadores!B100)</f>
        <v>Casillas Javier</v>
      </c>
      <c r="G100" s="4" t="str">
        <f>IF(Jugadores!B100="","",Jugadores!A100)</f>
        <v>Monterrey</v>
      </c>
      <c r="H100" s="4">
        <f>IF(F100="","",SUMIF('Estadísticas Jugadores'!$F$2:$F$7001,F100,'Estadísticas Jugadores'!$L$2:$L$7001))</f>
        <v>0</v>
      </c>
      <c r="I100" s="4">
        <f t="shared" si="8"/>
        <v>-9.9999999999999991E-6</v>
      </c>
      <c r="J100" s="4">
        <f t="shared" si="9"/>
        <v>139</v>
      </c>
    </row>
    <row r="101" spans="1:10" ht="15" customHeight="1" x14ac:dyDescent="0.25">
      <c r="A101" s="8">
        <f>IF(COUNT($J$2:$J$1501)&gt;=100,100,"")</f>
        <v>100</v>
      </c>
      <c r="B101" s="8" t="str">
        <f t="shared" si="5"/>
        <v>Abreu Diego</v>
      </c>
      <c r="C101" s="8" t="str">
        <f t="shared" si="6"/>
        <v>Tijuana</v>
      </c>
      <c r="D101" s="8">
        <f t="shared" si="7"/>
        <v>0</v>
      </c>
      <c r="F101" s="4" t="str">
        <f>IF(Jugadores!B101="","",Jugadores!B101)</f>
        <v>Chavez Ricardo</v>
      </c>
      <c r="G101" s="4" t="str">
        <f>IF(Jugadores!B101="","",Jugadores!A101)</f>
        <v>Monterrey</v>
      </c>
      <c r="H101" s="4">
        <f>IF(F101="","",SUMIF('Estadísticas Jugadores'!$F$2:$F$7001,F101,'Estadísticas Jugadores'!$L$2:$L$7001))</f>
        <v>0</v>
      </c>
      <c r="I101" s="4">
        <f t="shared" si="8"/>
        <v>-1.01E-5</v>
      </c>
      <c r="J101" s="4">
        <f t="shared" si="9"/>
        <v>140</v>
      </c>
    </row>
    <row r="102" spans="1:10" ht="15" customHeight="1" x14ac:dyDescent="0.25">
      <c r="A102" s="8">
        <f>IF(COUNT($J$2:$J$1501)&gt;=101,101,"")</f>
        <v>101</v>
      </c>
      <c r="B102" s="8" t="str">
        <f t="shared" si="5"/>
        <v>Leyva Christian</v>
      </c>
      <c r="C102" s="8" t="str">
        <f t="shared" si="6"/>
        <v>Tijuana</v>
      </c>
      <c r="D102" s="8">
        <f t="shared" si="7"/>
        <v>0</v>
      </c>
      <c r="F102" s="4" t="str">
        <f>IF(Jugadores!B102="","",Jugadores!B102)</f>
        <v>Frayde Carlos</v>
      </c>
      <c r="G102" s="4" t="str">
        <f>IF(Jugadores!B102="","",Jugadores!A102)</f>
        <v>Monterrey</v>
      </c>
      <c r="H102" s="4">
        <f>IF(F102="","",SUMIF('Estadísticas Jugadores'!$F$2:$F$7001,F102,'Estadísticas Jugadores'!$L$2:$L$7001))</f>
        <v>0</v>
      </c>
      <c r="I102" s="4">
        <f t="shared" si="8"/>
        <v>-1.0199999999999999E-5</v>
      </c>
      <c r="J102" s="4">
        <f t="shared" si="9"/>
        <v>141</v>
      </c>
    </row>
    <row r="103" spans="1:10" ht="15" customHeight="1" x14ac:dyDescent="0.25">
      <c r="A103" s="8">
        <f>IF(COUNT($J$2:$J$1501)&gt;=102,102,"")</f>
        <v>102</v>
      </c>
      <c r="B103" s="8" t="str">
        <f t="shared" si="5"/>
        <v>Magallon Alejandro</v>
      </c>
      <c r="C103" s="8" t="str">
        <f t="shared" si="6"/>
        <v>Tijuana</v>
      </c>
      <c r="D103" s="8">
        <f t="shared" si="7"/>
        <v>0</v>
      </c>
      <c r="F103" s="4" t="str">
        <f>IF(Jugadores!B103="","",Jugadores!B103)</f>
        <v>Garcia Diego</v>
      </c>
      <c r="G103" s="4" t="str">
        <f>IF(Jugadores!B103="","",Jugadores!A103)</f>
        <v>Monterrey</v>
      </c>
      <c r="H103" s="4">
        <f>IF(F103="","",SUMIF('Estadísticas Jugadores'!$F$2:$F$7001,F103,'Estadísticas Jugadores'!$L$2:$L$7001))</f>
        <v>0</v>
      </c>
      <c r="I103" s="4">
        <f t="shared" si="8"/>
        <v>-1.03E-5</v>
      </c>
      <c r="J103" s="4">
        <f t="shared" si="9"/>
        <v>142</v>
      </c>
    </row>
    <row r="104" spans="1:10" ht="15" customHeight="1" x14ac:dyDescent="0.25">
      <c r="A104" s="8">
        <f>IF(COUNT($J$2:$J$1501)&gt;=103,103,"")</f>
        <v>103</v>
      </c>
      <c r="B104" s="8" t="str">
        <f t="shared" si="5"/>
        <v>Martinez Josef</v>
      </c>
      <c r="C104" s="8" t="str">
        <f t="shared" si="6"/>
        <v>Tijuana</v>
      </c>
      <c r="D104" s="8">
        <f t="shared" si="7"/>
        <v>0</v>
      </c>
      <c r="F104" s="4" t="str">
        <f>IF(Jugadores!B104="","",Jugadores!B104)</f>
        <v>Guzman Victor</v>
      </c>
      <c r="G104" s="4" t="str">
        <f>IF(Jugadores!B104="","",Jugadores!A104)</f>
        <v>Monterrey</v>
      </c>
      <c r="H104" s="4">
        <f>IF(F104="","",SUMIF('Estadísticas Jugadores'!$F$2:$F$7001,F104,'Estadísticas Jugadores'!$L$2:$L$7001))</f>
        <v>0</v>
      </c>
      <c r="I104" s="4">
        <f t="shared" si="8"/>
        <v>-1.0399999999999999E-5</v>
      </c>
      <c r="J104" s="4">
        <f t="shared" si="9"/>
        <v>143</v>
      </c>
    </row>
    <row r="105" spans="1:10" ht="15" customHeight="1" x14ac:dyDescent="0.25">
      <c r="A105" s="8">
        <f>IF(COUNT($J$2:$J$1501)&gt;=104,104,"")</f>
        <v>104</v>
      </c>
      <c r="B105" s="8" t="str">
        <f t="shared" si="5"/>
        <v>Garcia Palomera Luis Manuel</v>
      </c>
      <c r="C105" s="8" t="str">
        <f t="shared" si="6"/>
        <v>Toluca</v>
      </c>
      <c r="D105" s="8">
        <f t="shared" si="7"/>
        <v>0</v>
      </c>
      <c r="F105" s="4" t="str">
        <f>IF(Jugadores!B105="","",Jugadores!B105)</f>
        <v>Medina Stefan</v>
      </c>
      <c r="G105" s="4" t="str">
        <f>IF(Jugadores!B105="","",Jugadores!A105)</f>
        <v>Monterrey</v>
      </c>
      <c r="H105" s="4">
        <f>IF(F105="","",SUMIF('Estadísticas Jugadores'!$F$2:$F$7001,F105,'Estadísticas Jugadores'!$L$2:$L$7001))</f>
        <v>0</v>
      </c>
      <c r="I105" s="4">
        <f t="shared" si="8"/>
        <v>-1.0499999999999999E-5</v>
      </c>
      <c r="J105" s="4">
        <f t="shared" si="9"/>
        <v>144</v>
      </c>
    </row>
    <row r="106" spans="1:10" ht="15" customHeight="1" x14ac:dyDescent="0.25">
      <c r="A106" s="8">
        <f>IF(COUNT($J$2:$J$1501)&gt;=105,105,"")</f>
        <v>105</v>
      </c>
      <c r="B106" s="8" t="str">
        <f t="shared" si="5"/>
        <v>Gonzalez Duran Hugo Alfonso</v>
      </c>
      <c r="C106" s="8" t="str">
        <f t="shared" si="6"/>
        <v>Toluca</v>
      </c>
      <c r="D106" s="8">
        <f t="shared" si="7"/>
        <v>0</v>
      </c>
      <c r="F106" s="4" t="str">
        <f>IF(Jugadores!B106="","",Jugadores!B106)</f>
        <v>Reyes Luis</v>
      </c>
      <c r="G106" s="4" t="str">
        <f>IF(Jugadores!B106="","",Jugadores!A106)</f>
        <v>Monterrey</v>
      </c>
      <c r="H106" s="4">
        <f>IF(F106="","",SUMIF('Estadísticas Jugadores'!$F$2:$F$7001,F106,'Estadísticas Jugadores'!$L$2:$L$7001))</f>
        <v>0</v>
      </c>
      <c r="I106" s="4">
        <f t="shared" si="8"/>
        <v>-1.06E-5</v>
      </c>
      <c r="J106" s="4">
        <f t="shared" si="9"/>
        <v>145</v>
      </c>
    </row>
    <row r="107" spans="1:10" ht="15" customHeight="1" x14ac:dyDescent="0.25">
      <c r="A107" s="8">
        <f>IF(COUNT($J$2:$J$1501)&gt;=106,106,"")</f>
        <v>106</v>
      </c>
      <c r="B107" s="8" t="str">
        <f t="shared" si="5"/>
        <v>Aceves Sebastian</v>
      </c>
      <c r="C107" s="8" t="str">
        <f t="shared" si="6"/>
        <v>Toluca</v>
      </c>
      <c r="D107" s="8">
        <f t="shared" si="7"/>
        <v>0</v>
      </c>
      <c r="F107" s="4" t="str">
        <f>IF(Jugadores!B107="","",Jugadores!B107)</f>
        <v>Salcedo Carlos</v>
      </c>
      <c r="G107" s="4" t="str">
        <f>IF(Jugadores!B107="","",Jugadores!A107)</f>
        <v>Monterrey</v>
      </c>
      <c r="H107" s="4">
        <f>IF(F107="","",SUMIF('Estadísticas Jugadores'!$F$2:$F$7001,F107,'Estadísticas Jugadores'!$L$2:$L$7001))</f>
        <v>0</v>
      </c>
      <c r="I107" s="4">
        <f t="shared" si="8"/>
        <v>-1.0699999999999999E-5</v>
      </c>
      <c r="J107" s="4">
        <f t="shared" si="9"/>
        <v>146</v>
      </c>
    </row>
    <row r="108" spans="1:10" ht="15" customHeight="1" x14ac:dyDescent="0.25">
      <c r="A108" s="8">
        <f>IF(COUNT($J$2:$J$1501)&gt;=107,107,"")</f>
        <v>107</v>
      </c>
      <c r="B108" s="8" t="str">
        <f t="shared" si="5"/>
        <v>Barbosa Diego</v>
      </c>
      <c r="C108" s="8" t="str">
        <f t="shared" si="6"/>
        <v>Toluca</v>
      </c>
      <c r="D108" s="8">
        <f t="shared" si="7"/>
        <v>0</v>
      </c>
      <c r="F108" s="4" t="str">
        <f>IF(Jugadores!B108="","",Jugadores!B108)</f>
        <v>Ambriz Fidel</v>
      </c>
      <c r="G108" s="4" t="str">
        <f>IF(Jugadores!B108="","",Jugadores!A108)</f>
        <v>Monterrey</v>
      </c>
      <c r="H108" s="4">
        <f>IF(F108="","",SUMIF('Estadísticas Jugadores'!$F$2:$F$7001,F108,'Estadísticas Jugadores'!$L$2:$L$7001))</f>
        <v>0</v>
      </c>
      <c r="I108" s="4">
        <f t="shared" si="8"/>
        <v>-1.08E-5</v>
      </c>
      <c r="J108" s="4">
        <f t="shared" si="9"/>
        <v>147</v>
      </c>
    </row>
    <row r="109" spans="1:10" ht="15" customHeight="1" x14ac:dyDescent="0.25">
      <c r="A109" s="8">
        <f>IF(COUNT($J$2:$J$1501)&gt;=108,108,"")</f>
        <v>108</v>
      </c>
      <c r="B109" s="8" t="str">
        <f t="shared" si="5"/>
        <v>Briseno Antonio</v>
      </c>
      <c r="C109" s="8" t="str">
        <f t="shared" si="6"/>
        <v>Toluca</v>
      </c>
      <c r="D109" s="8">
        <f t="shared" si="7"/>
        <v>0</v>
      </c>
      <c r="F109" s="4" t="str">
        <f>IF(Jugadores!B109="","",Jugadores!B109)</f>
        <v>Dominguez Joel</v>
      </c>
      <c r="G109" s="4" t="str">
        <f>IF(Jugadores!B109="","",Jugadores!A109)</f>
        <v>Monterrey</v>
      </c>
      <c r="H109" s="4">
        <f>IF(F109="","",SUMIF('Estadísticas Jugadores'!$F$2:$F$7001,F109,'Estadísticas Jugadores'!$L$2:$L$7001))</f>
        <v>0</v>
      </c>
      <c r="I109" s="4">
        <f t="shared" si="8"/>
        <v>-1.0899999999999999E-5</v>
      </c>
      <c r="J109" s="4">
        <f t="shared" si="9"/>
        <v>148</v>
      </c>
    </row>
    <row r="110" spans="1:10" ht="15" customHeight="1" x14ac:dyDescent="0.25">
      <c r="A110" s="8">
        <f>IF(COUNT($J$2:$J$1501)&gt;=109,109,"")</f>
        <v>109</v>
      </c>
      <c r="B110" s="8" t="str">
        <f t="shared" si="5"/>
        <v>Bruno Méndez</v>
      </c>
      <c r="C110" s="8" t="str">
        <f t="shared" si="6"/>
        <v>Toluca</v>
      </c>
      <c r="D110" s="8">
        <f t="shared" si="7"/>
        <v>0</v>
      </c>
      <c r="F110" s="4" t="str">
        <f>IF(Jugadores!B110="","",Jugadores!B110)</f>
        <v>Fimbres Iker</v>
      </c>
      <c r="G110" s="4" t="str">
        <f>IF(Jugadores!B110="","",Jugadores!A110)</f>
        <v>Monterrey</v>
      </c>
      <c r="H110" s="4">
        <f>IF(F110="","",SUMIF('Estadísticas Jugadores'!$F$2:$F$7001,F110,'Estadísticas Jugadores'!$L$2:$L$7001))</f>
        <v>0</v>
      </c>
      <c r="I110" s="4">
        <f t="shared" si="8"/>
        <v>-1.1E-5</v>
      </c>
      <c r="J110" s="4">
        <f t="shared" si="9"/>
        <v>149</v>
      </c>
    </row>
    <row r="111" spans="1:10" ht="15" customHeight="1" x14ac:dyDescent="0.25">
      <c r="A111" s="8">
        <f>IF(COUNT($J$2:$J$1501)&gt;=110,110,"")</f>
        <v>110</v>
      </c>
      <c r="B111" s="8" t="str">
        <f t="shared" si="5"/>
        <v>Garcia Caprizo Brian Alberto</v>
      </c>
      <c r="C111" s="8" t="str">
        <f t="shared" si="6"/>
        <v>Toluca</v>
      </c>
      <c r="D111" s="8">
        <f t="shared" si="7"/>
        <v>0</v>
      </c>
      <c r="F111" s="4" t="str">
        <f>IF(Jugadores!B111="","",Jugadores!B111)</f>
        <v>Galvez Omar</v>
      </c>
      <c r="G111" s="4" t="str">
        <f>IF(Jugadores!B111="","",Jugadores!A111)</f>
        <v>Monterrey</v>
      </c>
      <c r="H111" s="4">
        <f>IF(F111="","",SUMIF('Estadísticas Jugadores'!$F$2:$F$7001,F111,'Estadísticas Jugadores'!$L$2:$L$7001))</f>
        <v>0</v>
      </c>
      <c r="I111" s="4">
        <f t="shared" si="8"/>
        <v>-1.1099999999999999E-5</v>
      </c>
      <c r="J111" s="4">
        <f t="shared" si="9"/>
        <v>150</v>
      </c>
    </row>
    <row r="112" spans="1:10" ht="15" customHeight="1" x14ac:dyDescent="0.25">
      <c r="A112" s="8">
        <f>IF(COUNT($J$2:$J$1501)&gt;=111,111,"")</f>
        <v>111</v>
      </c>
      <c r="B112" s="8" t="str">
        <f t="shared" si="5"/>
        <v>Luan</v>
      </c>
      <c r="C112" s="8" t="str">
        <f t="shared" si="6"/>
        <v>Toluca</v>
      </c>
      <c r="D112" s="8">
        <f t="shared" si="7"/>
        <v>0</v>
      </c>
      <c r="F112" s="4" t="str">
        <f>IF(Jugadores!B112="","",Jugadores!B112)</f>
        <v>Garza Cesar</v>
      </c>
      <c r="G112" s="4" t="str">
        <f>IF(Jugadores!B112="","",Jugadores!A112)</f>
        <v>Monterrey</v>
      </c>
      <c r="H112" s="4">
        <f>IF(F112="","",SUMIF('Estadísticas Jugadores'!$F$2:$F$7001,F112,'Estadísticas Jugadores'!$L$2:$L$7001))</f>
        <v>0</v>
      </c>
      <c r="I112" s="4">
        <f t="shared" si="8"/>
        <v>-1.1199999999999999E-5</v>
      </c>
      <c r="J112" s="4">
        <f t="shared" si="9"/>
        <v>151</v>
      </c>
    </row>
    <row r="113" spans="1:10" ht="15" customHeight="1" x14ac:dyDescent="0.25">
      <c r="A113" s="8">
        <f>IF(COUNT($J$2:$J$1501)&gt;=112,112,"")</f>
        <v>112</v>
      </c>
      <c r="B113" s="8" t="str">
        <f t="shared" si="5"/>
        <v>Orta Erick</v>
      </c>
      <c r="C113" s="8" t="str">
        <f t="shared" si="6"/>
        <v>Toluca</v>
      </c>
      <c r="D113" s="8">
        <f t="shared" si="7"/>
        <v>0</v>
      </c>
      <c r="F113" s="4" t="str">
        <f>IF(Jugadores!B113="","",Jugadores!B113)</f>
        <v>Pineda Orbelín</v>
      </c>
      <c r="G113" s="4" t="str">
        <f>IF(Jugadores!B113="","",Jugadores!A113)</f>
        <v>Monterrey</v>
      </c>
      <c r="H113" s="4">
        <f>IF(F113="","",SUMIF('Estadísticas Jugadores'!$F$2:$F$7001,F113,'Estadísticas Jugadores'!$L$2:$L$7001))</f>
        <v>0</v>
      </c>
      <c r="I113" s="4">
        <f t="shared" si="8"/>
        <v>-1.13E-5</v>
      </c>
      <c r="J113" s="4">
        <f t="shared" si="9"/>
        <v>152</v>
      </c>
    </row>
    <row r="114" spans="1:10" ht="15" customHeight="1" x14ac:dyDescent="0.25">
      <c r="A114" s="8">
        <f>IF(COUNT($J$2:$J$1501)&gt;=113,113,"")</f>
        <v>113</v>
      </c>
      <c r="B114" s="8" t="str">
        <f t="shared" si="5"/>
        <v>Pereira Federico</v>
      </c>
      <c r="C114" s="8" t="str">
        <f t="shared" si="6"/>
        <v>Toluca</v>
      </c>
      <c r="D114" s="8">
        <f t="shared" si="7"/>
        <v>0</v>
      </c>
      <c r="F114" s="4" t="str">
        <f>IF(Jugadores!B114="","",Jugadores!B114)</f>
        <v>Reyes Bermudez Cristian Isaac</v>
      </c>
      <c r="G114" s="4" t="str">
        <f>IF(Jugadores!B114="","",Jugadores!A114)</f>
        <v>Monterrey</v>
      </c>
      <c r="H114" s="4">
        <f>IF(F114="","",SUMIF('Estadísticas Jugadores'!$F$2:$F$7001,F114,'Estadísticas Jugadores'!$L$2:$L$7001))</f>
        <v>0</v>
      </c>
      <c r="I114" s="4">
        <f t="shared" si="8"/>
        <v>-1.1399999999999999E-5</v>
      </c>
      <c r="J114" s="4">
        <f t="shared" si="9"/>
        <v>153</v>
      </c>
    </row>
    <row r="115" spans="1:10" ht="15" customHeight="1" x14ac:dyDescent="0.25">
      <c r="A115" s="8">
        <f>IF(COUNT($J$2:$J$1501)&gt;=114,114,"")</f>
        <v>114</v>
      </c>
      <c r="B115" s="8" t="str">
        <f t="shared" si="5"/>
        <v>Simon Santiago</v>
      </c>
      <c r="C115" s="8" t="str">
        <f t="shared" si="6"/>
        <v>Toluca</v>
      </c>
      <c r="D115" s="8">
        <f t="shared" si="7"/>
        <v>0</v>
      </c>
      <c r="F115" s="4" t="str">
        <f>IF(Jugadores!B115="","",Jugadores!B115)</f>
        <v>Rodriguez Jorge</v>
      </c>
      <c r="G115" s="4" t="str">
        <f>IF(Jugadores!B115="","",Jugadores!A115)</f>
        <v>Monterrey</v>
      </c>
      <c r="H115" s="4">
        <f>IF(F115="","",SUMIF('Estadísticas Jugadores'!$F$2:$F$7001,F115,'Estadísticas Jugadores'!$L$2:$L$7001))</f>
        <v>0</v>
      </c>
      <c r="I115" s="4">
        <f t="shared" si="8"/>
        <v>-1.15E-5</v>
      </c>
      <c r="J115" s="4">
        <f t="shared" si="9"/>
        <v>154</v>
      </c>
    </row>
    <row r="116" spans="1:10" ht="15" customHeight="1" x14ac:dyDescent="0.25">
      <c r="A116" s="8">
        <f>IF(COUNT($J$2:$J$1501)&gt;=115,115,"")</f>
        <v>115</v>
      </c>
      <c r="B116" s="8" t="str">
        <f t="shared" si="5"/>
        <v>del Villar Everardo</v>
      </c>
      <c r="C116" s="8" t="str">
        <f t="shared" si="6"/>
        <v>Toluca</v>
      </c>
      <c r="D116" s="8">
        <f t="shared" si="7"/>
        <v>0</v>
      </c>
      <c r="F116" s="4" t="str">
        <f>IF(Jugadores!B116="","",Jugadores!B116)</f>
        <v>Rodriguez Sebastian</v>
      </c>
      <c r="G116" s="4" t="str">
        <f>IF(Jugadores!B116="","",Jugadores!A116)</f>
        <v>Monterrey</v>
      </c>
      <c r="H116" s="4">
        <f>IF(F116="","",SUMIF('Estadísticas Jugadores'!$F$2:$F$7001,F116,'Estadísticas Jugadores'!$L$2:$L$7001))</f>
        <v>0</v>
      </c>
      <c r="I116" s="4">
        <f t="shared" si="8"/>
        <v>-1.1599999999999999E-5</v>
      </c>
      <c r="J116" s="4">
        <f t="shared" si="9"/>
        <v>155</v>
      </c>
    </row>
    <row r="117" spans="1:10" ht="15" customHeight="1" x14ac:dyDescent="0.25">
      <c r="A117" s="8">
        <f>IF(COUNT($J$2:$J$1501)&gt;=116,116,"")</f>
        <v>116</v>
      </c>
      <c r="B117" s="8" t="str">
        <f t="shared" si="5"/>
        <v>Angulo Jesus</v>
      </c>
      <c r="C117" s="8" t="str">
        <f t="shared" si="6"/>
        <v>Toluca</v>
      </c>
      <c r="D117" s="8">
        <f t="shared" si="7"/>
        <v>0</v>
      </c>
      <c r="F117" s="4" t="str">
        <f>IF(Jugadores!B117="","",Jugadores!B117)</f>
        <v>Rojas Allen</v>
      </c>
      <c r="G117" s="4" t="str">
        <f>IF(Jugadores!B117="","",Jugadores!A117)</f>
        <v>Monterrey</v>
      </c>
      <c r="H117" s="4">
        <f>IF(F117="","",SUMIF('Estadísticas Jugadores'!$F$2:$F$7001,F117,'Estadísticas Jugadores'!$L$2:$L$7001))</f>
        <v>0</v>
      </c>
      <c r="I117" s="4">
        <f t="shared" si="8"/>
        <v>-1.17E-5</v>
      </c>
      <c r="J117" s="4">
        <f t="shared" si="9"/>
        <v>156</v>
      </c>
    </row>
    <row r="118" spans="1:10" ht="15" customHeight="1" x14ac:dyDescent="0.25">
      <c r="A118" s="8">
        <f>IF(COUNT($J$2:$J$1501)&gt;=117,117,"")</f>
        <v>117</v>
      </c>
      <c r="B118" s="8" t="str">
        <f t="shared" si="5"/>
        <v>Arce Juarez Fernando David</v>
      </c>
      <c r="C118" s="8" t="str">
        <f t="shared" si="6"/>
        <v>Toluca</v>
      </c>
      <c r="D118" s="8">
        <f t="shared" si="7"/>
        <v>0</v>
      </c>
      <c r="F118" s="4" t="str">
        <f>IF(Jugadores!B118="","",Jugadores!B118)</f>
        <v>Torres Óliver</v>
      </c>
      <c r="G118" s="4" t="str">
        <f>IF(Jugadores!B118="","",Jugadores!A118)</f>
        <v>Monterrey</v>
      </c>
      <c r="H118" s="4">
        <f>IF(F118="","",SUMIF('Estadísticas Jugadores'!$F$2:$F$7001,F118,'Estadísticas Jugadores'!$L$2:$L$7001))</f>
        <v>2</v>
      </c>
      <c r="I118" s="4">
        <f t="shared" si="8"/>
        <v>1999.9999882</v>
      </c>
      <c r="J118" s="4">
        <f t="shared" si="9"/>
        <v>13</v>
      </c>
    </row>
    <row r="119" spans="1:10" ht="15" customHeight="1" x14ac:dyDescent="0.25">
      <c r="A119" s="8">
        <f>IF(COUNT($J$2:$J$1501)&gt;=118,118,"")</f>
        <v>118</v>
      </c>
      <c r="B119" s="8" t="str">
        <f t="shared" si="5"/>
        <v>Gutiérrez Érick</v>
      </c>
      <c r="C119" s="8" t="str">
        <f t="shared" si="6"/>
        <v>Toluca</v>
      </c>
      <c r="D119" s="8">
        <f t="shared" si="7"/>
        <v>0</v>
      </c>
      <c r="F119" s="4" t="str">
        <f>IF(Jugadores!B119="","",Jugadores!B119)</f>
        <v>Urias Alejandro</v>
      </c>
      <c r="G119" s="4" t="str">
        <f>IF(Jugadores!B119="","",Jugadores!A119)</f>
        <v>Monterrey</v>
      </c>
      <c r="H119" s="4">
        <f>IF(F119="","",SUMIF('Estadísticas Jugadores'!$F$2:$F$7001,F119,'Estadísticas Jugadores'!$L$2:$L$7001))</f>
        <v>0</v>
      </c>
      <c r="I119" s="4">
        <f t="shared" si="8"/>
        <v>-1.19E-5</v>
      </c>
      <c r="J119" s="4">
        <f t="shared" si="9"/>
        <v>157</v>
      </c>
    </row>
    <row r="120" spans="1:10" ht="15" customHeight="1" x14ac:dyDescent="0.25">
      <c r="A120" s="8">
        <f>IF(COUNT($J$2:$J$1501)&gt;=119,119,"")</f>
        <v>119</v>
      </c>
      <c r="B120" s="8" t="str">
        <f t="shared" si="5"/>
        <v>Guzmán Víctor Alfonso</v>
      </c>
      <c r="C120" s="8" t="str">
        <f t="shared" si="6"/>
        <v>Toluca</v>
      </c>
      <c r="D120" s="8">
        <f t="shared" si="7"/>
        <v>0</v>
      </c>
      <c r="F120" s="4" t="str">
        <f>IF(Jugadores!B120="","",Jugadores!B120)</f>
        <v>Corona Jesús Manuel</v>
      </c>
      <c r="G120" s="4" t="str">
        <f>IF(Jugadores!B120="","",Jugadores!A120)</f>
        <v>Monterrey</v>
      </c>
      <c r="H120" s="4">
        <f>IF(F120="","",SUMIF('Estadísticas Jugadores'!$F$2:$F$7001,F120,'Estadísticas Jugadores'!$L$2:$L$7001))</f>
        <v>1</v>
      </c>
      <c r="I120" s="4">
        <f t="shared" si="8"/>
        <v>999.99998800000003</v>
      </c>
      <c r="J120" s="4">
        <f t="shared" si="9"/>
        <v>26</v>
      </c>
    </row>
    <row r="121" spans="1:10" ht="15" customHeight="1" x14ac:dyDescent="0.25">
      <c r="A121" s="8">
        <f>IF(COUNT($J$2:$J$1501)&gt;=120,120,"")</f>
        <v>120</v>
      </c>
      <c r="B121" s="8" t="str">
        <f t="shared" si="5"/>
        <v>Navarrete Luis</v>
      </c>
      <c r="C121" s="8" t="str">
        <f t="shared" si="6"/>
        <v>Toluca</v>
      </c>
      <c r="D121" s="8">
        <f t="shared" si="7"/>
        <v>0</v>
      </c>
      <c r="F121" s="4" t="str">
        <f>IF(Jugadores!B121="","",Jugadores!B121)</f>
        <v>Djurdjevic Uros</v>
      </c>
      <c r="G121" s="4" t="str">
        <f>IF(Jugadores!B121="","",Jugadores!A121)</f>
        <v>Monterrey</v>
      </c>
      <c r="H121" s="4">
        <f>IF(F121="","",SUMIF('Estadísticas Jugadores'!$F$2:$F$7001,F121,'Estadísticas Jugadores'!$L$2:$L$7001))</f>
        <v>0</v>
      </c>
      <c r="I121" s="4">
        <f t="shared" si="8"/>
        <v>-1.2099999999999999E-5</v>
      </c>
      <c r="J121" s="4">
        <f t="shared" si="9"/>
        <v>158</v>
      </c>
    </row>
    <row r="122" spans="1:10" ht="15" customHeight="1" x14ac:dyDescent="0.25">
      <c r="A122" s="8">
        <f>IF(COUNT($J$2:$J$1501)&gt;=121,121,"")</f>
        <v>121</v>
      </c>
      <c r="B122" s="8" t="str">
        <f t="shared" si="5"/>
        <v>Romero Franco</v>
      </c>
      <c r="C122" s="8" t="str">
        <f t="shared" si="6"/>
        <v>Toluca</v>
      </c>
      <c r="D122" s="8">
        <f t="shared" si="7"/>
        <v>0</v>
      </c>
      <c r="F122" s="4" t="str">
        <f>IF(Jugadores!B122="","",Jugadores!B122)</f>
        <v>Ocampos Lucas</v>
      </c>
      <c r="G122" s="4" t="str">
        <f>IF(Jugadores!B122="","",Jugadores!A122)</f>
        <v>Monterrey</v>
      </c>
      <c r="H122" s="4">
        <f>IF(F122="","",SUMIF('Estadísticas Jugadores'!$F$2:$F$7001,F122,'Estadísticas Jugadores'!$L$2:$L$7001))</f>
        <v>3</v>
      </c>
      <c r="I122" s="4">
        <f t="shared" si="8"/>
        <v>2999.9999877999999</v>
      </c>
      <c r="J122" s="4">
        <f t="shared" si="9"/>
        <v>3</v>
      </c>
    </row>
    <row r="123" spans="1:10" ht="15" customHeight="1" x14ac:dyDescent="0.25">
      <c r="A123" s="8">
        <f>IF(COUNT($J$2:$J$1501)&gt;=122,122,"")</f>
        <v>122</v>
      </c>
      <c r="B123" s="8" t="str">
        <f t="shared" si="5"/>
        <v>Ruiz Marcel</v>
      </c>
      <c r="C123" s="8" t="str">
        <f t="shared" si="6"/>
        <v>Toluca</v>
      </c>
      <c r="D123" s="8">
        <f t="shared" si="7"/>
        <v>0</v>
      </c>
      <c r="F123" s="4" t="str">
        <f>IF(Jugadores!B123="","",Jugadores!B123)</f>
        <v>Orellano Luca</v>
      </c>
      <c r="G123" s="4" t="str">
        <f>IF(Jugadores!B123="","",Jugadores!A123)</f>
        <v>Monterrey</v>
      </c>
      <c r="H123" s="4">
        <f>IF(F123="","",SUMIF('Estadísticas Jugadores'!$F$2:$F$7001,F123,'Estadísticas Jugadores'!$L$2:$L$7001))</f>
        <v>4</v>
      </c>
      <c r="I123" s="4">
        <f t="shared" si="8"/>
        <v>3999.9999877</v>
      </c>
      <c r="J123" s="4">
        <f t="shared" si="9"/>
        <v>1</v>
      </c>
    </row>
    <row r="124" spans="1:10" ht="15" customHeight="1" x14ac:dyDescent="0.25">
      <c r="A124" s="8">
        <f>IF(COUNT($J$2:$J$1501)&gt;=123,123,"")</f>
        <v>123</v>
      </c>
      <c r="B124" s="8" t="str">
        <f t="shared" si="5"/>
        <v>Alvarez Alek</v>
      </c>
      <c r="C124" s="8" t="str">
        <f t="shared" si="6"/>
        <v>Toluca</v>
      </c>
      <c r="D124" s="8">
        <f t="shared" si="7"/>
        <v>0</v>
      </c>
      <c r="F124" s="4" t="str">
        <f>IF(Jugadores!B124="","",Jugadores!B124)</f>
        <v>Rossi Diego</v>
      </c>
      <c r="G124" s="4" t="str">
        <f>IF(Jugadores!B124="","",Jugadores!A124)</f>
        <v>Monterrey</v>
      </c>
      <c r="H124" s="4">
        <f>IF(F124="","",SUMIF('Estadísticas Jugadores'!$F$2:$F$7001,F124,'Estadísticas Jugadores'!$L$2:$L$7001))</f>
        <v>1</v>
      </c>
      <c r="I124" s="4">
        <f t="shared" si="8"/>
        <v>999.99998760000005</v>
      </c>
      <c r="J124" s="4">
        <f t="shared" si="9"/>
        <v>27</v>
      </c>
    </row>
    <row r="125" spans="1:10" ht="15" customHeight="1" x14ac:dyDescent="0.25">
      <c r="A125" s="8">
        <f>IF(COUNT($J$2:$J$1501)&gt;=124,124,"")</f>
        <v>124</v>
      </c>
      <c r="B125" s="8" t="str">
        <f t="shared" si="5"/>
        <v>Carrillo Carlos</v>
      </c>
      <c r="C125" s="8" t="str">
        <f t="shared" si="6"/>
        <v>Toluca</v>
      </c>
      <c r="D125" s="8">
        <f t="shared" si="7"/>
        <v>0</v>
      </c>
      <c r="F125" s="4" t="str">
        <f>IF(Jugadores!B125="","",Jugadores!B125)</f>
        <v>de la Rosa Roberto</v>
      </c>
      <c r="G125" s="4" t="str">
        <f>IF(Jugadores!B125="","",Jugadores!A125)</f>
        <v>Monterrey</v>
      </c>
      <c r="H125" s="4">
        <f>IF(F125="","",SUMIF('Estadísticas Jugadores'!$F$2:$F$7001,F125,'Estadísticas Jugadores'!$L$2:$L$7001))</f>
        <v>0</v>
      </c>
      <c r="I125" s="4">
        <f t="shared" si="8"/>
        <v>-1.2499999999999999E-5</v>
      </c>
      <c r="J125" s="4">
        <f t="shared" si="9"/>
        <v>159</v>
      </c>
    </row>
    <row r="126" spans="1:10" ht="15" customHeight="1" x14ac:dyDescent="0.25">
      <c r="A126" s="8">
        <f>IF(COUNT($J$2:$J$1501)&gt;=125,125,"")</f>
        <v>125</v>
      </c>
      <c r="B126" s="8" t="str">
        <f t="shared" si="5"/>
        <v>Estrada Jose</v>
      </c>
      <c r="C126" s="8" t="str">
        <f t="shared" si="6"/>
        <v>Toluca</v>
      </c>
      <c r="D126" s="8">
        <f t="shared" si="7"/>
        <v>0</v>
      </c>
      <c r="F126" s="4" t="str">
        <f>IF(Jugadores!B126="","",Jugadores!B126)</f>
        <v>Gudino Portillo Andres Guillermo</v>
      </c>
      <c r="G126" s="4" t="str">
        <f>IF(Jugadores!B126="","",Jugadores!A126)</f>
        <v>Cruz Azul</v>
      </c>
      <c r="H126" s="4">
        <f>IF(F126="","",SUMIF('Estadísticas Jugadores'!$F$2:$F$7001,F126,'Estadísticas Jugadores'!$L$2:$L$7001))</f>
        <v>0</v>
      </c>
      <c r="I126" s="4">
        <f t="shared" si="8"/>
        <v>-1.26E-5</v>
      </c>
      <c r="J126" s="4">
        <f t="shared" si="9"/>
        <v>160</v>
      </c>
    </row>
    <row r="127" spans="1:10" ht="15" customHeight="1" x14ac:dyDescent="0.25">
      <c r="A127" s="8">
        <f>IF(COUNT($J$2:$J$1501)&gt;=126,126,"")</f>
        <v>126</v>
      </c>
      <c r="B127" s="8" t="str">
        <f t="shared" si="5"/>
        <v>Paulinho</v>
      </c>
      <c r="C127" s="8" t="str">
        <f t="shared" si="6"/>
        <v>Toluca</v>
      </c>
      <c r="D127" s="8">
        <f t="shared" si="7"/>
        <v>0</v>
      </c>
      <c r="F127" s="4" t="str">
        <f>IF(Jugadores!B127="","",Jugadores!B127)</f>
        <v>Mier Kevin</v>
      </c>
      <c r="G127" s="4" t="str">
        <f>IF(Jugadores!B127="","",Jugadores!A127)</f>
        <v>Cruz Azul</v>
      </c>
      <c r="H127" s="4">
        <f>IF(F127="","",SUMIF('Estadísticas Jugadores'!$F$2:$F$7001,F127,'Estadísticas Jugadores'!$L$2:$L$7001))</f>
        <v>0</v>
      </c>
      <c r="I127" s="4">
        <f t="shared" si="8"/>
        <v>-1.2699999999999999E-5</v>
      </c>
      <c r="J127" s="4">
        <f t="shared" si="9"/>
        <v>161</v>
      </c>
    </row>
    <row r="128" spans="1:10" ht="15" customHeight="1" x14ac:dyDescent="0.25">
      <c r="A128" s="8">
        <f>IF(COUNT($J$2:$J$1501)&gt;=127,127,"")</f>
        <v>127</v>
      </c>
      <c r="B128" s="8" t="str">
        <f t="shared" si="5"/>
        <v>Pérez Pavel</v>
      </c>
      <c r="C128" s="8" t="str">
        <f t="shared" si="6"/>
        <v>Toluca</v>
      </c>
      <c r="D128" s="8">
        <f t="shared" si="7"/>
        <v>0</v>
      </c>
      <c r="F128" s="4" t="str">
        <f>IF(Jugadores!B128="","",Jugadores!B128)</f>
        <v>Ochoa Emmanuel</v>
      </c>
      <c r="G128" s="4" t="str">
        <f>IF(Jugadores!B128="","",Jugadores!A128)</f>
        <v>Cruz Azul</v>
      </c>
      <c r="H128" s="4">
        <f>IF(F128="","",SUMIF('Estadísticas Jugadores'!$F$2:$F$7001,F128,'Estadísticas Jugadores'!$L$2:$L$7001))</f>
        <v>0</v>
      </c>
      <c r="I128" s="4">
        <f t="shared" si="8"/>
        <v>-1.2799999999999999E-5</v>
      </c>
      <c r="J128" s="4">
        <f t="shared" si="9"/>
        <v>162</v>
      </c>
    </row>
    <row r="129" spans="1:10" ht="15" customHeight="1" x14ac:dyDescent="0.25">
      <c r="A129" s="8">
        <f>IF(COUNT($J$2:$J$1501)&gt;=128,128,"")</f>
        <v>128</v>
      </c>
      <c r="B129" s="8" t="str">
        <f t="shared" si="5"/>
        <v>Rossi Franco</v>
      </c>
      <c r="C129" s="8" t="str">
        <f t="shared" si="6"/>
        <v>Toluca</v>
      </c>
      <c r="D129" s="8">
        <f t="shared" si="7"/>
        <v>0</v>
      </c>
      <c r="F129" s="4" t="str">
        <f>IF(Jugadores!B129="","",Jugadores!B129)</f>
        <v>Salgado Bruno</v>
      </c>
      <c r="G129" s="4" t="str">
        <f>IF(Jugadores!B129="","",Jugadores!A129)</f>
        <v>Cruz Azul</v>
      </c>
      <c r="H129" s="4">
        <f>IF(F129="","",SUMIF('Estadísticas Jugadores'!$F$2:$F$7001,F129,'Estadísticas Jugadores'!$L$2:$L$7001))</f>
        <v>0</v>
      </c>
      <c r="I129" s="4">
        <f t="shared" si="8"/>
        <v>-1.29E-5</v>
      </c>
      <c r="J129" s="4">
        <f t="shared" si="9"/>
        <v>163</v>
      </c>
    </row>
    <row r="130" spans="1:10" ht="15" customHeight="1" x14ac:dyDescent="0.25">
      <c r="A130" s="8">
        <f>IF(COUNT($J$2:$J$1501)&gt;=129,129,"")</f>
        <v>129</v>
      </c>
      <c r="B130" s="8" t="str">
        <f t="shared" ref="B130:B193" si="10">IF($A130="","",INDEX($F$2:$F$1501,MATCH($A130,$J$2:$J$1501,0)))</f>
        <v>Virgen Oswaldo</v>
      </c>
      <c r="C130" s="8" t="str">
        <f t="shared" ref="C130:C193" si="11">IF($A130="","",INDEX($G$2:$G$1501,MATCH($A130,$J$2:$J$1501,0)))</f>
        <v>Toluca</v>
      </c>
      <c r="D130" s="8">
        <f t="shared" ref="D130:D193" si="12">IF($A130="","",INDEX($H$2:$H$1501,MATCH($A130,$J$2:$J$1501,0)))</f>
        <v>0</v>
      </c>
      <c r="F130" s="4" t="str">
        <f>IF(Jugadores!B130="","",Jugadores!B130)</f>
        <v>Campos Omar</v>
      </c>
      <c r="G130" s="4" t="str">
        <f>IF(Jugadores!B130="","",Jugadores!A130)</f>
        <v>Cruz Azul</v>
      </c>
      <c r="H130" s="4">
        <f>IF(F130="","",SUMIF('Estadísticas Jugadores'!$F$2:$F$7001,F130,'Estadísticas Jugadores'!$L$2:$L$7001))</f>
        <v>0</v>
      </c>
      <c r="I130" s="4">
        <f t="shared" ref="I130:I193" si="13">IF(F130="","",H130*1000-ROW()*0.0000001)</f>
        <v>-1.2999999999999999E-5</v>
      </c>
      <c r="J130" s="4">
        <f t="shared" ref="J130:J193" si="14">IF(F130="","",RANK(I130,$I$2:$I$1501))</f>
        <v>164</v>
      </c>
    </row>
    <row r="131" spans="1:10" ht="15" customHeight="1" x14ac:dyDescent="0.25">
      <c r="A131" s="8">
        <f>IF(COUNT($J$2:$J$1501)&gt;=130,130,"")</f>
        <v>130</v>
      </c>
      <c r="B131" s="8" t="str">
        <f t="shared" si="10"/>
        <v>Cardenas Luis</v>
      </c>
      <c r="C131" s="8" t="str">
        <f t="shared" si="11"/>
        <v>Monterrey</v>
      </c>
      <c r="D131" s="8">
        <f t="shared" si="12"/>
        <v>0</v>
      </c>
      <c r="F131" s="4" t="str">
        <f>IF(Jugadores!B131="","",Jugadores!B131)</f>
        <v>Diaz Josue</v>
      </c>
      <c r="G131" s="4" t="str">
        <f>IF(Jugadores!B131="","",Jugadores!A131)</f>
        <v>Cruz Azul</v>
      </c>
      <c r="H131" s="4">
        <f>IF(F131="","",SUMIF('Estadísticas Jugadores'!$F$2:$F$7001,F131,'Estadísticas Jugadores'!$L$2:$L$7001))</f>
        <v>0</v>
      </c>
      <c r="I131" s="4">
        <f t="shared" si="13"/>
        <v>-1.31E-5</v>
      </c>
      <c r="J131" s="4">
        <f t="shared" si="14"/>
        <v>165</v>
      </c>
    </row>
    <row r="132" spans="1:10" ht="15" customHeight="1" x14ac:dyDescent="0.25">
      <c r="A132" s="8">
        <f>IF(COUNT($J$2:$J$1501)&gt;=131,131,"")</f>
        <v>131</v>
      </c>
      <c r="B132" s="8" t="str">
        <f t="shared" si="10"/>
        <v>Cuneo Kevin</v>
      </c>
      <c r="C132" s="8" t="str">
        <f t="shared" si="11"/>
        <v>Monterrey</v>
      </c>
      <c r="D132" s="8">
        <f t="shared" si="12"/>
        <v>0</v>
      </c>
      <c r="F132" s="4" t="str">
        <f>IF(Jugadores!B132="","",Jugadores!B132)</f>
        <v>Ditta Willer</v>
      </c>
      <c r="G132" s="4" t="str">
        <f>IF(Jugadores!B132="","",Jugadores!A132)</f>
        <v>Cruz Azul</v>
      </c>
      <c r="H132" s="4">
        <f>IF(F132="","",SUMIF('Estadísticas Jugadores'!$F$2:$F$7001,F132,'Estadísticas Jugadores'!$L$2:$L$7001))</f>
        <v>0</v>
      </c>
      <c r="I132" s="4">
        <f t="shared" si="13"/>
        <v>-1.3199999999999999E-5</v>
      </c>
      <c r="J132" s="4">
        <f t="shared" si="14"/>
        <v>166</v>
      </c>
    </row>
    <row r="133" spans="1:10" ht="15" customHeight="1" x14ac:dyDescent="0.25">
      <c r="A133" s="8">
        <f>IF(COUNT($J$2:$J$1501)&gt;=132,132,"")</f>
        <v>132</v>
      </c>
      <c r="B133" s="8" t="str">
        <f t="shared" si="10"/>
        <v>Mele Santiago</v>
      </c>
      <c r="C133" s="8" t="str">
        <f t="shared" si="11"/>
        <v>Monterrey</v>
      </c>
      <c r="D133" s="8">
        <f t="shared" si="12"/>
        <v>0</v>
      </c>
      <c r="F133" s="4" t="str">
        <f>IF(Jugadores!B133="","",Jugadores!B133)</f>
        <v>Jimenez Cristian</v>
      </c>
      <c r="G133" s="4" t="str">
        <f>IF(Jugadores!B133="","",Jugadores!A133)</f>
        <v>Cruz Azul</v>
      </c>
      <c r="H133" s="4">
        <f>IF(F133="","",SUMIF('Estadísticas Jugadores'!$F$2:$F$7001,F133,'Estadísticas Jugadores'!$L$2:$L$7001))</f>
        <v>0</v>
      </c>
      <c r="I133" s="4">
        <f t="shared" si="13"/>
        <v>-1.33E-5</v>
      </c>
      <c r="J133" s="4">
        <f t="shared" si="14"/>
        <v>167</v>
      </c>
    </row>
    <row r="134" spans="1:10" ht="15" customHeight="1" x14ac:dyDescent="0.25">
      <c r="A134" s="8">
        <f>IF(COUNT($J$2:$J$1501)&gt;=133,133,"")</f>
        <v>133</v>
      </c>
      <c r="B134" s="8" t="str">
        <f t="shared" si="10"/>
        <v>Perez Santiago</v>
      </c>
      <c r="C134" s="8" t="str">
        <f t="shared" si="11"/>
        <v>Monterrey</v>
      </c>
      <c r="D134" s="8">
        <f t="shared" si="12"/>
        <v>0</v>
      </c>
      <c r="F134" s="4" t="str">
        <f>IF(Jugadores!B134="","",Jugadores!B134)</f>
        <v>Montes Alan</v>
      </c>
      <c r="G134" s="4" t="str">
        <f>IF(Jugadores!B134="","",Jugadores!A134)</f>
        <v>Cruz Azul</v>
      </c>
      <c r="H134" s="4">
        <f>IF(F134="","",SUMIF('Estadísticas Jugadores'!$F$2:$F$7001,F134,'Estadísticas Jugadores'!$L$2:$L$7001))</f>
        <v>0</v>
      </c>
      <c r="I134" s="4">
        <f t="shared" si="13"/>
        <v>-1.3399999999999999E-5</v>
      </c>
      <c r="J134" s="4">
        <f t="shared" si="14"/>
        <v>168</v>
      </c>
    </row>
    <row r="135" spans="1:10" ht="15" customHeight="1" x14ac:dyDescent="0.25">
      <c r="A135" s="8">
        <f>IF(COUNT($J$2:$J$1501)&gt;=134,134,"")</f>
        <v>134</v>
      </c>
      <c r="B135" s="8" t="str">
        <f t="shared" si="10"/>
        <v>Ramos Cesar</v>
      </c>
      <c r="C135" s="8" t="str">
        <f t="shared" si="11"/>
        <v>Monterrey</v>
      </c>
      <c r="D135" s="8">
        <f t="shared" si="12"/>
        <v>0</v>
      </c>
      <c r="F135" s="4" t="str">
        <f>IF(Jugadores!B135="","",Jugadores!B135)</f>
        <v>Orozco Jesus</v>
      </c>
      <c r="G135" s="4" t="str">
        <f>IF(Jugadores!B135="","",Jugadores!A135)</f>
        <v>Cruz Azul</v>
      </c>
      <c r="H135" s="4">
        <f>IF(F135="","",SUMIF('Estadísticas Jugadores'!$F$2:$F$7001,F135,'Estadísticas Jugadores'!$L$2:$L$7001))</f>
        <v>0</v>
      </c>
      <c r="I135" s="4">
        <f t="shared" si="13"/>
        <v>-1.3499999999999999E-5</v>
      </c>
      <c r="J135" s="4">
        <f t="shared" si="14"/>
        <v>169</v>
      </c>
    </row>
    <row r="136" spans="1:10" ht="15" customHeight="1" x14ac:dyDescent="0.25">
      <c r="A136" s="8">
        <f>IF(COUNT($J$2:$J$1501)&gt;=135,135,"")</f>
        <v>135</v>
      </c>
      <c r="B136" s="8" t="str">
        <f t="shared" si="10"/>
        <v>Aceves Alonso</v>
      </c>
      <c r="C136" s="8" t="str">
        <f t="shared" si="11"/>
        <v>Monterrey</v>
      </c>
      <c r="D136" s="8">
        <f t="shared" si="12"/>
        <v>0</v>
      </c>
      <c r="F136" s="4" t="str">
        <f>IF(Jugadores!B136="","",Jugadores!B136)</f>
        <v>Piovi Gonzalo</v>
      </c>
      <c r="G136" s="4" t="str">
        <f>IF(Jugadores!B136="","",Jugadores!A136)</f>
        <v>Cruz Azul</v>
      </c>
      <c r="H136" s="4">
        <f>IF(F136="","",SUMIF('Estadísticas Jugadores'!$F$2:$F$7001,F136,'Estadísticas Jugadores'!$L$2:$L$7001))</f>
        <v>1</v>
      </c>
      <c r="I136" s="4">
        <f t="shared" si="13"/>
        <v>999.99998640000001</v>
      </c>
      <c r="J136" s="4">
        <f t="shared" si="14"/>
        <v>28</v>
      </c>
    </row>
    <row r="137" spans="1:10" ht="15" customHeight="1" x14ac:dyDescent="0.25">
      <c r="A137" s="8">
        <f>IF(COUNT($J$2:$J$1501)&gt;=136,136,"")</f>
        <v>136</v>
      </c>
      <c r="B137" s="8" t="str">
        <f t="shared" si="10"/>
        <v>Aguirre Erick</v>
      </c>
      <c r="C137" s="8" t="str">
        <f t="shared" si="11"/>
        <v>Monterrey</v>
      </c>
      <c r="D137" s="8">
        <f t="shared" si="12"/>
        <v>0</v>
      </c>
      <c r="F137" s="4" t="str">
        <f>IF(Jugadores!B137="","",Jugadores!B137)</f>
        <v>Ramirez Diego</v>
      </c>
      <c r="G137" s="4" t="str">
        <f>IF(Jugadores!B137="","",Jugadores!A137)</f>
        <v>Cruz Azul</v>
      </c>
      <c r="H137" s="4">
        <f>IF(F137="","",SUMIF('Estadísticas Jugadores'!$F$2:$F$7001,F137,'Estadísticas Jugadores'!$L$2:$L$7001))</f>
        <v>0</v>
      </c>
      <c r="I137" s="4">
        <f t="shared" si="13"/>
        <v>-1.3699999999999999E-5</v>
      </c>
      <c r="J137" s="4">
        <f t="shared" si="14"/>
        <v>170</v>
      </c>
    </row>
    <row r="138" spans="1:10" ht="15" customHeight="1" x14ac:dyDescent="0.25">
      <c r="A138" s="8">
        <f>IF(COUNT($J$2:$J$1501)&gt;=137,137,"")</f>
        <v>137</v>
      </c>
      <c r="B138" s="8" t="str">
        <f t="shared" si="10"/>
        <v>Arteaga Gerardo</v>
      </c>
      <c r="C138" s="8" t="str">
        <f t="shared" si="11"/>
        <v>Monterrey</v>
      </c>
      <c r="D138" s="8">
        <f t="shared" si="12"/>
        <v>0</v>
      </c>
      <c r="F138" s="4" t="str">
        <f>IF(Jugadores!B138="","",Jugadores!B138)</f>
        <v>Rodarte Jorge</v>
      </c>
      <c r="G138" s="4" t="str">
        <f>IF(Jugadores!B138="","",Jugadores!A138)</f>
        <v>Cruz Azul</v>
      </c>
      <c r="H138" s="4">
        <f>IF(F138="","",SUMIF('Estadísticas Jugadores'!$F$2:$F$7001,F138,'Estadísticas Jugadores'!$L$2:$L$7001))</f>
        <v>0</v>
      </c>
      <c r="I138" s="4">
        <f t="shared" si="13"/>
        <v>-1.38E-5</v>
      </c>
      <c r="J138" s="4">
        <f t="shared" si="14"/>
        <v>171</v>
      </c>
    </row>
    <row r="139" spans="1:10" ht="15" customHeight="1" x14ac:dyDescent="0.25">
      <c r="A139" s="8">
        <f>IF(COUNT($J$2:$J$1501)&gt;=138,138,"")</f>
        <v>138</v>
      </c>
      <c r="B139" s="8" t="str">
        <f t="shared" si="10"/>
        <v>Bustos Cesar</v>
      </c>
      <c r="C139" s="8" t="str">
        <f t="shared" si="11"/>
        <v>Monterrey</v>
      </c>
      <c r="D139" s="8">
        <f t="shared" si="12"/>
        <v>0</v>
      </c>
      <c r="F139" s="4" t="str">
        <f>IF(Jugadores!B139="","",Jugadores!B139)</f>
        <v>Rubio Raymundo</v>
      </c>
      <c r="G139" s="4" t="str">
        <f>IF(Jugadores!B139="","",Jugadores!A139)</f>
        <v>Cruz Azul</v>
      </c>
      <c r="H139" s="4">
        <f>IF(F139="","",SUMIF('Estadísticas Jugadores'!$F$2:$F$7001,F139,'Estadísticas Jugadores'!$L$2:$L$7001))</f>
        <v>0</v>
      </c>
      <c r="I139" s="4">
        <f t="shared" si="13"/>
        <v>-1.3899999999999999E-5</v>
      </c>
      <c r="J139" s="4">
        <f t="shared" si="14"/>
        <v>172</v>
      </c>
    </row>
    <row r="140" spans="1:10" ht="15" customHeight="1" x14ac:dyDescent="0.25">
      <c r="A140" s="8">
        <f>IF(COUNT($J$2:$J$1501)&gt;=139,139,"")</f>
        <v>139</v>
      </c>
      <c r="B140" s="8" t="str">
        <f t="shared" si="10"/>
        <v>Casillas Javier</v>
      </c>
      <c r="C140" s="8" t="str">
        <f t="shared" si="11"/>
        <v>Monterrey</v>
      </c>
      <c r="D140" s="8">
        <f t="shared" si="12"/>
        <v>0</v>
      </c>
      <c r="F140" s="4" t="str">
        <f>IF(Jugadores!B140="","",Jugadores!B140)</f>
        <v>Garcia Amaury</v>
      </c>
      <c r="G140" s="4" t="str">
        <f>IF(Jugadores!B140="","",Jugadores!A140)</f>
        <v>Cruz Azul</v>
      </c>
      <c r="H140" s="4">
        <f>IF(F140="","",SUMIF('Estadísticas Jugadores'!$F$2:$F$7001,F140,'Estadísticas Jugadores'!$L$2:$L$7001))</f>
        <v>0</v>
      </c>
      <c r="I140" s="4">
        <f t="shared" si="13"/>
        <v>-1.4E-5</v>
      </c>
      <c r="J140" s="4">
        <f t="shared" si="14"/>
        <v>173</v>
      </c>
    </row>
    <row r="141" spans="1:10" ht="15" customHeight="1" x14ac:dyDescent="0.25">
      <c r="A141" s="8">
        <f>IF(COUNT($J$2:$J$1501)&gt;=140,140,"")</f>
        <v>140</v>
      </c>
      <c r="B141" s="8" t="str">
        <f t="shared" si="10"/>
        <v>Chavez Ricardo</v>
      </c>
      <c r="C141" s="8" t="str">
        <f t="shared" si="11"/>
        <v>Monterrey</v>
      </c>
      <c r="D141" s="8">
        <f t="shared" si="12"/>
        <v>0</v>
      </c>
      <c r="F141" s="4" t="str">
        <f>IF(Jugadores!B141="","",Jugadores!B141)</f>
        <v>Gonzalez Rogelio</v>
      </c>
      <c r="G141" s="4" t="str">
        <f>IF(Jugadores!B141="","",Jugadores!A141)</f>
        <v>Cruz Azul</v>
      </c>
      <c r="H141" s="4">
        <f>IF(F141="","",SUMIF('Estadísticas Jugadores'!$F$2:$F$7001,F141,'Estadísticas Jugadores'!$L$2:$L$7001))</f>
        <v>0</v>
      </c>
      <c r="I141" s="4">
        <f t="shared" si="13"/>
        <v>-1.4099999999999999E-5</v>
      </c>
      <c r="J141" s="4">
        <f t="shared" si="14"/>
        <v>174</v>
      </c>
    </row>
    <row r="142" spans="1:10" ht="15" customHeight="1" x14ac:dyDescent="0.25">
      <c r="A142" s="8">
        <f>IF(COUNT($J$2:$J$1501)&gt;=141,141,"")</f>
        <v>141</v>
      </c>
      <c r="B142" s="8" t="str">
        <f t="shared" si="10"/>
        <v>Frayde Carlos</v>
      </c>
      <c r="C142" s="8" t="str">
        <f t="shared" si="11"/>
        <v>Monterrey</v>
      </c>
      <c r="D142" s="8">
        <f t="shared" si="12"/>
        <v>0</v>
      </c>
      <c r="F142" s="4" t="str">
        <f>IF(Jugadores!B142="","",Jugadores!B142)</f>
        <v>León Cristhian</v>
      </c>
      <c r="G142" s="4" t="str">
        <f>IF(Jugadores!B142="","",Jugadores!A142)</f>
        <v>Cruz Azul</v>
      </c>
      <c r="H142" s="4">
        <f>IF(F142="","",SUMIF('Estadísticas Jugadores'!$F$2:$F$7001,F142,'Estadísticas Jugadores'!$L$2:$L$7001))</f>
        <v>0</v>
      </c>
      <c r="I142" s="4">
        <f t="shared" si="13"/>
        <v>-1.42E-5</v>
      </c>
      <c r="J142" s="4">
        <f t="shared" si="14"/>
        <v>175</v>
      </c>
    </row>
    <row r="143" spans="1:10" ht="15" customHeight="1" x14ac:dyDescent="0.25">
      <c r="A143" s="8">
        <f>IF(COUNT($J$2:$J$1501)&gt;=142,142,"")</f>
        <v>142</v>
      </c>
      <c r="B143" s="8" t="str">
        <f t="shared" si="10"/>
        <v>Garcia Diego</v>
      </c>
      <c r="C143" s="8" t="str">
        <f t="shared" si="11"/>
        <v>Monterrey</v>
      </c>
      <c r="D143" s="8">
        <f t="shared" si="12"/>
        <v>0</v>
      </c>
      <c r="F143" s="4" t="str">
        <f>IF(Jugadores!B143="","",Jugadores!B143)</f>
        <v>Lira Erik</v>
      </c>
      <c r="G143" s="4" t="str">
        <f>IF(Jugadores!B143="","",Jugadores!A143)</f>
        <v>Cruz Azul</v>
      </c>
      <c r="H143" s="4">
        <f>IF(F143="","",SUMIF('Estadísticas Jugadores'!$F$2:$F$7001,F143,'Estadísticas Jugadores'!$L$2:$L$7001))</f>
        <v>0</v>
      </c>
      <c r="I143" s="4">
        <f t="shared" si="13"/>
        <v>-1.4299999999999999E-5</v>
      </c>
      <c r="J143" s="4">
        <f t="shared" si="14"/>
        <v>176</v>
      </c>
    </row>
    <row r="144" spans="1:10" ht="15" customHeight="1" x14ac:dyDescent="0.25">
      <c r="A144" s="8">
        <f>IF(COUNT($J$2:$J$1501)&gt;=143,143,"")</f>
        <v>143</v>
      </c>
      <c r="B144" s="8" t="str">
        <f t="shared" si="10"/>
        <v>Guzman Victor</v>
      </c>
      <c r="C144" s="8" t="str">
        <f t="shared" si="11"/>
        <v>Monterrey</v>
      </c>
      <c r="D144" s="8">
        <f t="shared" si="12"/>
        <v>0</v>
      </c>
      <c r="F144" s="4" t="str">
        <f>IF(Jugadores!B144="","",Jugadores!B144)</f>
        <v>Martínez Ariel</v>
      </c>
      <c r="G144" s="4" t="str">
        <f>IF(Jugadores!B144="","",Jugadores!A144)</f>
        <v>Cruz Azul</v>
      </c>
      <c r="H144" s="4">
        <f>IF(F144="","",SUMIF('Estadísticas Jugadores'!$F$2:$F$7001,F144,'Estadísticas Jugadores'!$L$2:$L$7001))</f>
        <v>0</v>
      </c>
      <c r="I144" s="4">
        <f t="shared" si="13"/>
        <v>-1.4399999999999999E-5</v>
      </c>
      <c r="J144" s="4">
        <f t="shared" si="14"/>
        <v>177</v>
      </c>
    </row>
    <row r="145" spans="1:10" ht="15" customHeight="1" x14ac:dyDescent="0.25">
      <c r="A145" s="8">
        <f>IF(COUNT($J$2:$J$1501)&gt;=144,144,"")</f>
        <v>144</v>
      </c>
      <c r="B145" s="8" t="str">
        <f t="shared" si="10"/>
        <v>Medina Stefan</v>
      </c>
      <c r="C145" s="8" t="str">
        <f t="shared" si="11"/>
        <v>Monterrey</v>
      </c>
      <c r="D145" s="8">
        <f t="shared" si="12"/>
        <v>0</v>
      </c>
      <c r="F145" s="4" t="str">
        <f>IF(Jugadores!B145="","",Jugadores!B145)</f>
        <v>Montano Andres</v>
      </c>
      <c r="G145" s="4" t="str">
        <f>IF(Jugadores!B145="","",Jugadores!A145)</f>
        <v>Cruz Azul</v>
      </c>
      <c r="H145" s="4">
        <f>IF(F145="","",SUMIF('Estadísticas Jugadores'!$F$2:$F$7001,F145,'Estadísticas Jugadores'!$L$2:$L$7001))</f>
        <v>0</v>
      </c>
      <c r="I145" s="4">
        <f t="shared" si="13"/>
        <v>-1.45E-5</v>
      </c>
      <c r="J145" s="4">
        <f t="shared" si="14"/>
        <v>178</v>
      </c>
    </row>
    <row r="146" spans="1:10" ht="15" customHeight="1" x14ac:dyDescent="0.25">
      <c r="A146" s="8">
        <f>IF(COUNT($J$2:$J$1501)&gt;=145,145,"")</f>
        <v>145</v>
      </c>
      <c r="B146" s="8" t="str">
        <f t="shared" si="10"/>
        <v>Reyes Luis</v>
      </c>
      <c r="C146" s="8" t="str">
        <f t="shared" si="11"/>
        <v>Monterrey</v>
      </c>
      <c r="D146" s="8">
        <f t="shared" si="12"/>
        <v>0</v>
      </c>
      <c r="F146" s="4" t="str">
        <f>IF(Jugadores!B146="","",Jugadores!B146)</f>
        <v>Márquez Jeremy</v>
      </c>
      <c r="G146" s="4" t="str">
        <f>IF(Jugadores!B146="","",Jugadores!A146)</f>
        <v>Cruz Azul</v>
      </c>
      <c r="H146" s="4">
        <f>IF(F146="","",SUMIF('Estadísticas Jugadores'!$F$2:$F$7001,F146,'Estadísticas Jugadores'!$L$2:$L$7001))</f>
        <v>2</v>
      </c>
      <c r="I146" s="4">
        <f t="shared" si="13"/>
        <v>1999.9999854</v>
      </c>
      <c r="J146" s="4">
        <f t="shared" si="14"/>
        <v>14</v>
      </c>
    </row>
    <row r="147" spans="1:10" ht="15" customHeight="1" x14ac:dyDescent="0.25">
      <c r="A147" s="8">
        <f>IF(COUNT($J$2:$J$1501)&gt;=146,146,"")</f>
        <v>146</v>
      </c>
      <c r="B147" s="8" t="str">
        <f t="shared" si="10"/>
        <v>Salcedo Carlos</v>
      </c>
      <c r="C147" s="8" t="str">
        <f t="shared" si="11"/>
        <v>Monterrey</v>
      </c>
      <c r="D147" s="8">
        <f t="shared" si="12"/>
        <v>0</v>
      </c>
      <c r="F147" s="4" t="str">
        <f>IF(Jugadores!B147="","",Jugadores!B147)</f>
        <v>Palavecino Agustin</v>
      </c>
      <c r="G147" s="4" t="str">
        <f>IF(Jugadores!B147="","",Jugadores!A147)</f>
        <v>Cruz Azul</v>
      </c>
      <c r="H147" s="4">
        <f>IF(F147="","",SUMIF('Estadísticas Jugadores'!$F$2:$F$7001,F147,'Estadísticas Jugadores'!$L$2:$L$7001))</f>
        <v>0</v>
      </c>
      <c r="I147" s="4">
        <f t="shared" si="13"/>
        <v>-1.47E-5</v>
      </c>
      <c r="J147" s="4">
        <f t="shared" si="14"/>
        <v>179</v>
      </c>
    </row>
    <row r="148" spans="1:10" ht="15" customHeight="1" x14ac:dyDescent="0.25">
      <c r="A148" s="8">
        <f>IF(COUNT($J$2:$J$1501)&gt;=147,147,"")</f>
        <v>147</v>
      </c>
      <c r="B148" s="8" t="str">
        <f t="shared" si="10"/>
        <v>Ambriz Fidel</v>
      </c>
      <c r="C148" s="8" t="str">
        <f t="shared" si="11"/>
        <v>Monterrey</v>
      </c>
      <c r="D148" s="8">
        <f t="shared" si="12"/>
        <v>0</v>
      </c>
      <c r="F148" s="4" t="str">
        <f>IF(Jugadores!B148="","",Jugadores!B148)</f>
        <v>Paradela Jose</v>
      </c>
      <c r="G148" s="4" t="str">
        <f>IF(Jugadores!B148="","",Jugadores!A148)</f>
        <v>Cruz Azul</v>
      </c>
      <c r="H148" s="4">
        <f>IF(F148="","",SUMIF('Estadísticas Jugadores'!$F$2:$F$7001,F148,'Estadísticas Jugadores'!$L$2:$L$7001))</f>
        <v>0</v>
      </c>
      <c r="I148" s="4">
        <f t="shared" si="13"/>
        <v>-1.4799999999999999E-5</v>
      </c>
      <c r="J148" s="4">
        <f t="shared" si="14"/>
        <v>180</v>
      </c>
    </row>
    <row r="149" spans="1:10" ht="15" customHeight="1" x14ac:dyDescent="0.25">
      <c r="A149" s="8">
        <f>IF(COUNT($J$2:$J$1501)&gt;=148,148,"")</f>
        <v>148</v>
      </c>
      <c r="B149" s="8" t="str">
        <f t="shared" si="10"/>
        <v>Dominguez Joel</v>
      </c>
      <c r="C149" s="8" t="str">
        <f t="shared" si="11"/>
        <v>Monterrey</v>
      </c>
      <c r="D149" s="8">
        <f t="shared" si="12"/>
        <v>0</v>
      </c>
      <c r="F149" s="4" t="str">
        <f>IF(Jugadores!B149="","",Jugadores!B149)</f>
        <v>Ramirez Jacobo</v>
      </c>
      <c r="G149" s="4" t="str">
        <f>IF(Jugadores!B149="","",Jugadores!A149)</f>
        <v>Cruz Azul</v>
      </c>
      <c r="H149" s="4">
        <f>IF(F149="","",SUMIF('Estadísticas Jugadores'!$F$2:$F$7001,F149,'Estadísticas Jugadores'!$L$2:$L$7001))</f>
        <v>0</v>
      </c>
      <c r="I149" s="4">
        <f t="shared" si="13"/>
        <v>-1.49E-5</v>
      </c>
      <c r="J149" s="4">
        <f t="shared" si="14"/>
        <v>181</v>
      </c>
    </row>
    <row r="150" spans="1:10" ht="15" customHeight="1" x14ac:dyDescent="0.25">
      <c r="A150" s="8">
        <f>IF(COUNT($J$2:$J$1501)&gt;=149,149,"")</f>
        <v>149</v>
      </c>
      <c r="B150" s="8" t="str">
        <f t="shared" si="10"/>
        <v>Fimbres Iker</v>
      </c>
      <c r="C150" s="8" t="str">
        <f t="shared" si="11"/>
        <v>Monterrey</v>
      </c>
      <c r="D150" s="8">
        <f t="shared" si="12"/>
        <v>0</v>
      </c>
      <c r="F150" s="4" t="str">
        <f>IF(Jugadores!B150="","",Jugadores!B150)</f>
        <v>Rodriguez Carlos</v>
      </c>
      <c r="G150" s="4" t="str">
        <f>IF(Jugadores!B150="","",Jugadores!A150)</f>
        <v>Cruz Azul</v>
      </c>
      <c r="H150" s="4">
        <f>IF(F150="","",SUMIF('Estadísticas Jugadores'!$F$2:$F$7001,F150,'Estadísticas Jugadores'!$L$2:$L$7001))</f>
        <v>0</v>
      </c>
      <c r="I150" s="4">
        <f t="shared" si="13"/>
        <v>-1.4999999999999999E-5</v>
      </c>
      <c r="J150" s="4">
        <f t="shared" si="14"/>
        <v>182</v>
      </c>
    </row>
    <row r="151" spans="1:10" ht="15" customHeight="1" x14ac:dyDescent="0.25">
      <c r="A151" s="8">
        <f>IF(COUNT($J$2:$J$1501)&gt;=150,150,"")</f>
        <v>150</v>
      </c>
      <c r="B151" s="8" t="str">
        <f t="shared" si="10"/>
        <v>Galvez Omar</v>
      </c>
      <c r="C151" s="8" t="str">
        <f t="shared" si="11"/>
        <v>Monterrey</v>
      </c>
      <c r="D151" s="8">
        <f t="shared" si="12"/>
        <v>0</v>
      </c>
      <c r="F151" s="4" t="str">
        <f>IF(Jugadores!B151="","",Jugadores!B151)</f>
        <v>Sanchez Emmanuel</v>
      </c>
      <c r="G151" s="4" t="str">
        <f>IF(Jugadores!B151="","",Jugadores!A151)</f>
        <v>Cruz Azul</v>
      </c>
      <c r="H151" s="4">
        <f>IF(F151="","",SUMIF('Estadísticas Jugadores'!$F$2:$F$7001,F151,'Estadísticas Jugadores'!$L$2:$L$7001))</f>
        <v>0</v>
      </c>
      <c r="I151" s="4">
        <f t="shared" si="13"/>
        <v>-1.5099999999999999E-5</v>
      </c>
      <c r="J151" s="4">
        <f t="shared" si="14"/>
        <v>183</v>
      </c>
    </row>
    <row r="152" spans="1:10" ht="15" customHeight="1" x14ac:dyDescent="0.25">
      <c r="A152" s="8">
        <f>IF(COUNT($J$2:$J$1501)&gt;=151,151,"")</f>
        <v>151</v>
      </c>
      <c r="B152" s="8" t="str">
        <f t="shared" si="10"/>
        <v>Garza Cesar</v>
      </c>
      <c r="C152" s="8" t="str">
        <f t="shared" si="11"/>
        <v>Monterrey</v>
      </c>
      <c r="D152" s="8">
        <f t="shared" si="12"/>
        <v>0</v>
      </c>
      <c r="F152" s="4" t="str">
        <f>IF(Jugadores!B152="","",Jugadores!B152)</f>
        <v>Silva Ivan</v>
      </c>
      <c r="G152" s="4" t="str">
        <f>IF(Jugadores!B152="","",Jugadores!A152)</f>
        <v>Cruz Azul</v>
      </c>
      <c r="H152" s="4">
        <f>IF(F152="","",SUMIF('Estadísticas Jugadores'!$F$2:$F$7001,F152,'Estadísticas Jugadores'!$L$2:$L$7001))</f>
        <v>0</v>
      </c>
      <c r="I152" s="4">
        <f t="shared" si="13"/>
        <v>-1.52E-5</v>
      </c>
      <c r="J152" s="4">
        <f t="shared" si="14"/>
        <v>184</v>
      </c>
    </row>
    <row r="153" spans="1:10" ht="15" customHeight="1" x14ac:dyDescent="0.25">
      <c r="A153" s="8">
        <f>IF(COUNT($J$2:$J$1501)&gt;=152,152,"")</f>
        <v>152</v>
      </c>
      <c r="B153" s="8" t="str">
        <f t="shared" si="10"/>
        <v>Pineda Orbelín</v>
      </c>
      <c r="C153" s="8" t="str">
        <f t="shared" si="11"/>
        <v>Monterrey</v>
      </c>
      <c r="D153" s="8">
        <f t="shared" si="12"/>
        <v>0</v>
      </c>
      <c r="F153" s="4" t="str">
        <f>IF(Jugadores!B153="","",Jugadores!B153)</f>
        <v>Valdez Diego</v>
      </c>
      <c r="G153" s="4" t="str">
        <f>IF(Jugadores!B153="","",Jugadores!A153)</f>
        <v>Cruz Azul</v>
      </c>
      <c r="H153" s="4">
        <f>IF(F153="","",SUMIF('Estadísticas Jugadores'!$F$2:$F$7001,F153,'Estadísticas Jugadores'!$L$2:$L$7001))</f>
        <v>0</v>
      </c>
      <c r="I153" s="4">
        <f t="shared" si="13"/>
        <v>-1.5299999999999999E-5</v>
      </c>
      <c r="J153" s="4">
        <f t="shared" si="14"/>
        <v>185</v>
      </c>
    </row>
    <row r="154" spans="1:10" ht="15" customHeight="1" x14ac:dyDescent="0.25">
      <c r="A154" s="8">
        <f>IF(COUNT($J$2:$J$1501)&gt;=153,153,"")</f>
        <v>153</v>
      </c>
      <c r="B154" s="8" t="str">
        <f t="shared" si="10"/>
        <v>Reyes Bermudez Cristian Isaac</v>
      </c>
      <c r="C154" s="8" t="str">
        <f t="shared" si="11"/>
        <v>Monterrey</v>
      </c>
      <c r="D154" s="8">
        <f t="shared" si="12"/>
        <v>0</v>
      </c>
      <c r="F154" s="4" t="str">
        <f>IF(Jugadores!B154="","",Jugadores!B154)</f>
        <v>Velázquez Karol</v>
      </c>
      <c r="G154" s="4" t="str">
        <f>IF(Jugadores!B154="","",Jugadores!A154)</f>
        <v>Cruz Azul</v>
      </c>
      <c r="H154" s="4">
        <f>IF(F154="","",SUMIF('Estadísticas Jugadores'!$F$2:$F$7001,F154,'Estadísticas Jugadores'!$L$2:$L$7001))</f>
        <v>0</v>
      </c>
      <c r="I154" s="4">
        <f t="shared" si="13"/>
        <v>-1.5399999999999998E-5</v>
      </c>
      <c r="J154" s="4">
        <f t="shared" si="14"/>
        <v>186</v>
      </c>
    </row>
    <row r="155" spans="1:10" ht="15" customHeight="1" x14ac:dyDescent="0.25">
      <c r="A155" s="8">
        <f>IF(COUNT($J$2:$J$1501)&gt;=154,154,"")</f>
        <v>154</v>
      </c>
      <c r="B155" s="8" t="str">
        <f t="shared" si="10"/>
        <v>Rodriguez Jorge</v>
      </c>
      <c r="C155" s="8" t="str">
        <f t="shared" si="11"/>
        <v>Monterrey</v>
      </c>
      <c r="D155" s="8">
        <f t="shared" si="12"/>
        <v>0</v>
      </c>
      <c r="F155" s="4" t="str">
        <f>IF(Jugadores!B155="","",Jugadores!B155)</f>
        <v>Calero Juan</v>
      </c>
      <c r="G155" s="4" t="str">
        <f>IF(Jugadores!B155="","",Jugadores!A155)</f>
        <v>Cruz Azul</v>
      </c>
      <c r="H155" s="4">
        <f>IF(F155="","",SUMIF('Estadísticas Jugadores'!$F$2:$F$7001,F155,'Estadísticas Jugadores'!$L$2:$L$7001))</f>
        <v>0</v>
      </c>
      <c r="I155" s="4">
        <f t="shared" si="13"/>
        <v>-1.5500000000000001E-5</v>
      </c>
      <c r="J155" s="4">
        <f t="shared" si="14"/>
        <v>187</v>
      </c>
    </row>
    <row r="156" spans="1:10" ht="15" customHeight="1" x14ac:dyDescent="0.25">
      <c r="A156" s="8">
        <f>IF(COUNT($J$2:$J$1501)&gt;=155,155,"")</f>
        <v>155</v>
      </c>
      <c r="B156" s="8" t="str">
        <f t="shared" si="10"/>
        <v>Rodriguez Sebastian</v>
      </c>
      <c r="C156" s="8" t="str">
        <f t="shared" si="11"/>
        <v>Monterrey</v>
      </c>
      <c r="D156" s="8">
        <f t="shared" si="12"/>
        <v>0</v>
      </c>
      <c r="F156" s="4" t="str">
        <f>IF(Jugadores!B156="","",Jugadores!B156)</f>
        <v>Ebere Christian</v>
      </c>
      <c r="G156" s="4" t="str">
        <f>IF(Jugadores!B156="","",Jugadores!A156)</f>
        <v>Cruz Azul</v>
      </c>
      <c r="H156" s="4">
        <f>IF(F156="","",SUMIF('Estadísticas Jugadores'!$F$2:$F$7001,F156,'Estadísticas Jugadores'!$L$2:$L$7001))</f>
        <v>0</v>
      </c>
      <c r="I156" s="4">
        <f t="shared" si="13"/>
        <v>-1.56E-5</v>
      </c>
      <c r="J156" s="4">
        <f t="shared" si="14"/>
        <v>188</v>
      </c>
    </row>
    <row r="157" spans="1:10" ht="15" customHeight="1" x14ac:dyDescent="0.25">
      <c r="A157" s="8">
        <f>IF(COUNT($J$2:$J$1501)&gt;=156,156,"")</f>
        <v>156</v>
      </c>
      <c r="B157" s="8" t="str">
        <f t="shared" si="10"/>
        <v>Rojas Allen</v>
      </c>
      <c r="C157" s="8" t="str">
        <f t="shared" si="11"/>
        <v>Monterrey</v>
      </c>
      <c r="D157" s="8">
        <f t="shared" si="12"/>
        <v>0</v>
      </c>
      <c r="F157" s="4" t="str">
        <f>IF(Jugadores!B157="","",Jugadores!B157)</f>
        <v>Fernández Gabriel</v>
      </c>
      <c r="G157" s="4" t="str">
        <f>IF(Jugadores!B157="","",Jugadores!A157)</f>
        <v>Cruz Azul</v>
      </c>
      <c r="H157" s="4">
        <f>IF(F157="","",SUMIF('Estadísticas Jugadores'!$F$2:$F$7001,F157,'Estadísticas Jugadores'!$L$2:$L$7001))</f>
        <v>2</v>
      </c>
      <c r="I157" s="4">
        <f t="shared" si="13"/>
        <v>1999.9999843000001</v>
      </c>
      <c r="J157" s="4">
        <f t="shared" si="14"/>
        <v>15</v>
      </c>
    </row>
    <row r="158" spans="1:10" ht="15" customHeight="1" x14ac:dyDescent="0.25">
      <c r="A158" s="8">
        <f>IF(COUNT($J$2:$J$1501)&gt;=157,157,"")</f>
        <v>157</v>
      </c>
      <c r="B158" s="8" t="str">
        <f t="shared" si="10"/>
        <v>Urias Alejandro</v>
      </c>
      <c r="C158" s="8" t="str">
        <f t="shared" si="11"/>
        <v>Monterrey</v>
      </c>
      <c r="D158" s="8">
        <f t="shared" si="12"/>
        <v>0</v>
      </c>
      <c r="F158" s="4" t="str">
        <f>IF(Jugadores!B158="","",Jugadores!B158)</f>
        <v>Gamboa Bryan</v>
      </c>
      <c r="G158" s="4" t="str">
        <f>IF(Jugadores!B158="","",Jugadores!A158)</f>
        <v>Cruz Azul</v>
      </c>
      <c r="H158" s="4">
        <f>IF(F158="","",SUMIF('Estadísticas Jugadores'!$F$2:$F$7001,F158,'Estadísticas Jugadores'!$L$2:$L$7001))</f>
        <v>0</v>
      </c>
      <c r="I158" s="4">
        <f t="shared" si="13"/>
        <v>-1.5799999999999998E-5</v>
      </c>
      <c r="J158" s="4">
        <f t="shared" si="14"/>
        <v>189</v>
      </c>
    </row>
    <row r="159" spans="1:10" ht="15" customHeight="1" x14ac:dyDescent="0.25">
      <c r="A159" s="8">
        <f>IF(COUNT($J$2:$J$1501)&gt;=158,158,"")</f>
        <v>158</v>
      </c>
      <c r="B159" s="8" t="str">
        <f t="shared" si="10"/>
        <v>Djurdjevic Uros</v>
      </c>
      <c r="C159" s="8" t="str">
        <f t="shared" si="11"/>
        <v>Monterrey</v>
      </c>
      <c r="D159" s="8">
        <f t="shared" si="12"/>
        <v>0</v>
      </c>
      <c r="F159" s="4" t="str">
        <f>IF(Jugadores!B159="","",Jugadores!B159)</f>
        <v>Ibáñez Nicolás</v>
      </c>
      <c r="G159" s="4" t="str">
        <f>IF(Jugadores!B159="","",Jugadores!A159)</f>
        <v>Cruz Azul</v>
      </c>
      <c r="H159" s="4">
        <f>IF(F159="","",SUMIF('Estadísticas Jugadores'!$F$2:$F$7001,F159,'Estadísticas Jugadores'!$L$2:$L$7001))</f>
        <v>2</v>
      </c>
      <c r="I159" s="4">
        <f t="shared" si="13"/>
        <v>1999.9999840999999</v>
      </c>
      <c r="J159" s="4">
        <f t="shared" si="14"/>
        <v>16</v>
      </c>
    </row>
    <row r="160" spans="1:10" ht="15" customHeight="1" x14ac:dyDescent="0.25">
      <c r="A160" s="8">
        <f>IF(COUNT($J$2:$J$1501)&gt;=159,159,"")</f>
        <v>159</v>
      </c>
      <c r="B160" s="8" t="str">
        <f t="shared" si="10"/>
        <v>de la Rosa Roberto</v>
      </c>
      <c r="C160" s="8" t="str">
        <f t="shared" si="11"/>
        <v>Monterrey</v>
      </c>
      <c r="D160" s="8">
        <f t="shared" si="12"/>
        <v>0</v>
      </c>
      <c r="F160" s="4" t="str">
        <f>IF(Jugadores!B160="","",Jugadores!B160)</f>
        <v>Levy Mateo</v>
      </c>
      <c r="G160" s="4" t="str">
        <f>IF(Jugadores!B160="","",Jugadores!A160)</f>
        <v>Cruz Azul</v>
      </c>
      <c r="H160" s="4">
        <f>IF(F160="","",SUMIF('Estadísticas Jugadores'!$F$2:$F$7001,F160,'Estadísticas Jugadores'!$L$2:$L$7001))</f>
        <v>0</v>
      </c>
      <c r="I160" s="4">
        <f t="shared" si="13"/>
        <v>-1.5999999999999999E-5</v>
      </c>
      <c r="J160" s="4">
        <f t="shared" si="14"/>
        <v>190</v>
      </c>
    </row>
    <row r="161" spans="1:10" ht="15" customHeight="1" x14ac:dyDescent="0.25">
      <c r="A161" s="8">
        <f>IF(COUNT($J$2:$J$1501)&gt;=160,160,"")</f>
        <v>160</v>
      </c>
      <c r="B161" s="8" t="str">
        <f t="shared" si="10"/>
        <v>Gudino Portillo Andres Guillermo</v>
      </c>
      <c r="C161" s="8" t="str">
        <f t="shared" si="11"/>
        <v>Cruz Azul</v>
      </c>
      <c r="D161" s="8">
        <f t="shared" si="12"/>
        <v>0</v>
      </c>
      <c r="F161" s="4" t="str">
        <f>IF(Jugadores!B161="","",Jugadores!B161)</f>
        <v>Morales Amaury</v>
      </c>
      <c r="G161" s="4" t="str">
        <f>IF(Jugadores!B161="","",Jugadores!A161)</f>
        <v>Cruz Azul</v>
      </c>
      <c r="H161" s="4">
        <f>IF(F161="","",SUMIF('Estadísticas Jugadores'!$F$2:$F$7001,F161,'Estadísticas Jugadores'!$L$2:$L$7001))</f>
        <v>0</v>
      </c>
      <c r="I161" s="4">
        <f t="shared" si="13"/>
        <v>-1.6099999999999998E-5</v>
      </c>
      <c r="J161" s="4">
        <f t="shared" si="14"/>
        <v>191</v>
      </c>
    </row>
    <row r="162" spans="1:10" ht="15" customHeight="1" x14ac:dyDescent="0.25">
      <c r="A162" s="8">
        <f>IF(COUNT($J$2:$J$1501)&gt;=161,161,"")</f>
        <v>161</v>
      </c>
      <c r="B162" s="8" t="str">
        <f t="shared" si="10"/>
        <v>Mier Kevin</v>
      </c>
      <c r="C162" s="8" t="str">
        <f t="shared" si="11"/>
        <v>Cruz Azul</v>
      </c>
      <c r="D162" s="8">
        <f t="shared" si="12"/>
        <v>0</v>
      </c>
      <c r="F162" s="4" t="str">
        <f>IF(Jugadores!B162="","",Jugadores!B162)</f>
        <v>Romero Luka</v>
      </c>
      <c r="G162" s="4" t="str">
        <f>IF(Jugadores!B162="","",Jugadores!A162)</f>
        <v>Cruz Azul</v>
      </c>
      <c r="H162" s="4">
        <f>IF(F162="","",SUMIF('Estadísticas Jugadores'!$F$2:$F$7001,F162,'Estadísticas Jugadores'!$L$2:$L$7001))</f>
        <v>0</v>
      </c>
      <c r="I162" s="4">
        <f t="shared" si="13"/>
        <v>-1.6200000000000001E-5</v>
      </c>
      <c r="J162" s="4">
        <f t="shared" si="14"/>
        <v>192</v>
      </c>
    </row>
    <row r="163" spans="1:10" ht="15" customHeight="1" x14ac:dyDescent="0.25">
      <c r="A163" s="8">
        <f>IF(COUNT($J$2:$J$1501)&gt;=162,162,"")</f>
        <v>162</v>
      </c>
      <c r="B163" s="8" t="str">
        <f t="shared" si="10"/>
        <v>Ochoa Emmanuel</v>
      </c>
      <c r="C163" s="8" t="str">
        <f t="shared" si="11"/>
        <v>Cruz Azul</v>
      </c>
      <c r="D163" s="8">
        <f t="shared" si="12"/>
        <v>0</v>
      </c>
      <c r="F163" s="4" t="str">
        <f>IF(Jugadores!B163="","",Jugadores!B163)</f>
        <v>Rotondi Carlos</v>
      </c>
      <c r="G163" s="4" t="str">
        <f>IF(Jugadores!B163="","",Jugadores!A163)</f>
        <v>Cruz Azul</v>
      </c>
      <c r="H163" s="4">
        <f>IF(F163="","",SUMIF('Estadísticas Jugadores'!$F$2:$F$7001,F163,'Estadísticas Jugadores'!$L$2:$L$7001))</f>
        <v>3</v>
      </c>
      <c r="I163" s="4">
        <f t="shared" si="13"/>
        <v>2999.9999837</v>
      </c>
      <c r="J163" s="4">
        <f t="shared" si="14"/>
        <v>4</v>
      </c>
    </row>
    <row r="164" spans="1:10" ht="15" customHeight="1" x14ac:dyDescent="0.25">
      <c r="A164" s="8">
        <f>IF(COUNT($J$2:$J$1501)&gt;=163,163,"")</f>
        <v>163</v>
      </c>
      <c r="B164" s="8" t="str">
        <f t="shared" si="10"/>
        <v>Salgado Bruno</v>
      </c>
      <c r="C164" s="8" t="str">
        <f t="shared" si="11"/>
        <v>Cruz Azul</v>
      </c>
      <c r="D164" s="8">
        <f t="shared" si="12"/>
        <v>0</v>
      </c>
      <c r="F164" s="4" t="str">
        <f>IF(Jugadores!B164="","",Jugadores!B164)</f>
        <v>Hernandez Luis</v>
      </c>
      <c r="G164" s="4" t="str">
        <f>IF(Jugadores!B164="","",Jugadores!A164)</f>
        <v>Atlas</v>
      </c>
      <c r="H164" s="4">
        <f>IF(F164="","",SUMIF('Estadísticas Jugadores'!$F$2:$F$7001,F164,'Estadísticas Jugadores'!$L$2:$L$7001))</f>
        <v>0</v>
      </c>
      <c r="I164" s="4">
        <f t="shared" si="13"/>
        <v>-1.6399999999999999E-5</v>
      </c>
      <c r="J164" s="4">
        <f t="shared" si="14"/>
        <v>193</v>
      </c>
    </row>
    <row r="165" spans="1:10" ht="15" customHeight="1" x14ac:dyDescent="0.25">
      <c r="A165" s="8">
        <f>IF(COUNT($J$2:$J$1501)&gt;=164,164,"")</f>
        <v>164</v>
      </c>
      <c r="B165" s="8" t="str">
        <f t="shared" si="10"/>
        <v>Campos Omar</v>
      </c>
      <c r="C165" s="8" t="str">
        <f t="shared" si="11"/>
        <v>Cruz Azul</v>
      </c>
      <c r="D165" s="8">
        <f t="shared" si="12"/>
        <v>0</v>
      </c>
      <c r="F165" s="4" t="str">
        <f>IF(Jugadores!B165="","",Jugadores!B165)</f>
        <v>Sanchez Antonio</v>
      </c>
      <c r="G165" s="4" t="str">
        <f>IF(Jugadores!B165="","",Jugadores!A165)</f>
        <v>Atlas</v>
      </c>
      <c r="H165" s="4">
        <f>IF(F165="","",SUMIF('Estadísticas Jugadores'!$F$2:$F$7001,F165,'Estadísticas Jugadores'!$L$2:$L$7001))</f>
        <v>0</v>
      </c>
      <c r="I165" s="4">
        <f t="shared" si="13"/>
        <v>-1.6499999999999998E-5</v>
      </c>
      <c r="J165" s="4">
        <f t="shared" si="14"/>
        <v>194</v>
      </c>
    </row>
    <row r="166" spans="1:10" ht="15" customHeight="1" x14ac:dyDescent="0.25">
      <c r="A166" s="8">
        <f>IF(COUNT($J$2:$J$1501)&gt;=165,165,"")</f>
        <v>165</v>
      </c>
      <c r="B166" s="8" t="str">
        <f t="shared" si="10"/>
        <v>Diaz Josue</v>
      </c>
      <c r="C166" s="8" t="str">
        <f t="shared" si="11"/>
        <v>Cruz Azul</v>
      </c>
      <c r="D166" s="8">
        <f t="shared" si="12"/>
        <v>0</v>
      </c>
      <c r="F166" s="4" t="str">
        <f>IF(Jugadores!B166="","",Jugadores!B166)</f>
        <v>Vargas Camilo</v>
      </c>
      <c r="G166" s="4" t="str">
        <f>IF(Jugadores!B166="","",Jugadores!A166)</f>
        <v>Atlas</v>
      </c>
      <c r="H166" s="4">
        <f>IF(F166="","",SUMIF('Estadísticas Jugadores'!$F$2:$F$7001,F166,'Estadísticas Jugadores'!$L$2:$L$7001))</f>
        <v>0</v>
      </c>
      <c r="I166" s="4">
        <f t="shared" si="13"/>
        <v>-1.66E-5</v>
      </c>
      <c r="J166" s="4">
        <f t="shared" si="14"/>
        <v>195</v>
      </c>
    </row>
    <row r="167" spans="1:10" ht="15" customHeight="1" x14ac:dyDescent="0.25">
      <c r="A167" s="8">
        <f>IF(COUNT($J$2:$J$1501)&gt;=166,166,"")</f>
        <v>166</v>
      </c>
      <c r="B167" s="8" t="str">
        <f t="shared" si="10"/>
        <v>Ditta Willer</v>
      </c>
      <c r="C167" s="8" t="str">
        <f t="shared" si="11"/>
        <v>Cruz Azul</v>
      </c>
      <c r="D167" s="8">
        <f t="shared" si="12"/>
        <v>0</v>
      </c>
      <c r="F167" s="4" t="str">
        <f>IF(Jugadores!B167="","",Jugadores!B167)</f>
        <v>Aguirre Ledesma Gaddi</v>
      </c>
      <c r="G167" s="4" t="str">
        <f>IF(Jugadores!B167="","",Jugadores!A167)</f>
        <v>Atlas</v>
      </c>
      <c r="H167" s="4">
        <f>IF(F167="","",SUMIF('Estadísticas Jugadores'!$F$2:$F$7001,F167,'Estadísticas Jugadores'!$L$2:$L$7001))</f>
        <v>0</v>
      </c>
      <c r="I167" s="4">
        <f t="shared" si="13"/>
        <v>-1.6699999999999999E-5</v>
      </c>
      <c r="J167" s="4">
        <f t="shared" si="14"/>
        <v>196</v>
      </c>
    </row>
    <row r="168" spans="1:10" ht="15" customHeight="1" x14ac:dyDescent="0.25">
      <c r="A168" s="8">
        <f>IF(COUNT($J$2:$J$1501)&gt;=167,167,"")</f>
        <v>167</v>
      </c>
      <c r="B168" s="8" t="str">
        <f t="shared" si="10"/>
        <v>Jimenez Cristian</v>
      </c>
      <c r="C168" s="8" t="str">
        <f t="shared" si="11"/>
        <v>Cruz Azul</v>
      </c>
      <c r="D168" s="8">
        <f t="shared" si="12"/>
        <v>0</v>
      </c>
      <c r="F168" s="4" t="str">
        <f>IF(Jugadores!B168="","",Jugadores!B168)</f>
        <v>Capasso Manuel</v>
      </c>
      <c r="G168" s="4" t="str">
        <f>IF(Jugadores!B168="","",Jugadores!A168)</f>
        <v>Atlas</v>
      </c>
      <c r="H168" s="4">
        <f>IF(F168="","",SUMIF('Estadísticas Jugadores'!$F$2:$F$7001,F168,'Estadísticas Jugadores'!$L$2:$L$7001))</f>
        <v>0</v>
      </c>
      <c r="I168" s="4">
        <f t="shared" si="13"/>
        <v>-1.6799999999999998E-5</v>
      </c>
      <c r="J168" s="4">
        <f t="shared" si="14"/>
        <v>197</v>
      </c>
    </row>
    <row r="169" spans="1:10" ht="15" customHeight="1" x14ac:dyDescent="0.25">
      <c r="A169" s="8">
        <f>IF(COUNT($J$2:$J$1501)&gt;=168,168,"")</f>
        <v>168</v>
      </c>
      <c r="B169" s="8" t="str">
        <f t="shared" si="10"/>
        <v>Montes Alan</v>
      </c>
      <c r="C169" s="8" t="str">
        <f t="shared" si="11"/>
        <v>Cruz Azul</v>
      </c>
      <c r="D169" s="8">
        <f t="shared" si="12"/>
        <v>0</v>
      </c>
      <c r="F169" s="4" t="str">
        <f>IF(Jugadores!B169="","",Jugadores!B169)</f>
        <v>Gustavo Ferrareis</v>
      </c>
      <c r="G169" s="4" t="str">
        <f>IF(Jugadores!B169="","",Jugadores!A169)</f>
        <v>Atlas</v>
      </c>
      <c r="H169" s="4">
        <f>IF(F169="","",SUMIF('Estadísticas Jugadores'!$F$2:$F$7001,F169,'Estadísticas Jugadores'!$L$2:$L$7001))</f>
        <v>0</v>
      </c>
      <c r="I169" s="4">
        <f t="shared" si="13"/>
        <v>-1.6900000000000001E-5</v>
      </c>
      <c r="J169" s="4">
        <f t="shared" si="14"/>
        <v>198</v>
      </c>
    </row>
    <row r="170" spans="1:10" ht="15" customHeight="1" x14ac:dyDescent="0.25">
      <c r="A170" s="8">
        <f>IF(COUNT($J$2:$J$1501)&gt;=169,169,"")</f>
        <v>169</v>
      </c>
      <c r="B170" s="8" t="str">
        <f t="shared" si="10"/>
        <v>Orozco Jesus</v>
      </c>
      <c r="C170" s="8" t="str">
        <f t="shared" si="11"/>
        <v>Cruz Azul</v>
      </c>
      <c r="D170" s="8">
        <f t="shared" si="12"/>
        <v>0</v>
      </c>
      <c r="F170" s="4" t="str">
        <f>IF(Jugadores!B170="","",Jugadores!B170)</f>
        <v>Lozano Jose</v>
      </c>
      <c r="G170" s="4" t="str">
        <f>IF(Jugadores!B170="","",Jugadores!A170)</f>
        <v>Atlas</v>
      </c>
      <c r="H170" s="4">
        <f>IF(F170="","",SUMIF('Estadísticas Jugadores'!$F$2:$F$7001,F170,'Estadísticas Jugadores'!$L$2:$L$7001))</f>
        <v>0</v>
      </c>
      <c r="I170" s="4">
        <f t="shared" si="13"/>
        <v>-1.7E-5</v>
      </c>
      <c r="J170" s="4">
        <f t="shared" si="14"/>
        <v>199</v>
      </c>
    </row>
    <row r="171" spans="1:10" ht="15" customHeight="1" x14ac:dyDescent="0.25">
      <c r="A171" s="8">
        <f>IF(COUNT($J$2:$J$1501)&gt;=170,170,"")</f>
        <v>170</v>
      </c>
      <c r="B171" s="8" t="str">
        <f t="shared" si="10"/>
        <v>Ramirez Diego</v>
      </c>
      <c r="C171" s="8" t="str">
        <f t="shared" si="11"/>
        <v>Cruz Azul</v>
      </c>
      <c r="D171" s="8">
        <f t="shared" si="12"/>
        <v>0</v>
      </c>
      <c r="F171" s="4" t="str">
        <f>IF(Jugadores!B171="","",Jugadores!B171)</f>
        <v>Mora Adrián</v>
      </c>
      <c r="G171" s="4" t="str">
        <f>IF(Jugadores!B171="","",Jugadores!A171)</f>
        <v>Atlas</v>
      </c>
      <c r="H171" s="4">
        <f>IF(F171="","",SUMIF('Estadísticas Jugadores'!$F$2:$F$7001,F171,'Estadísticas Jugadores'!$L$2:$L$7001))</f>
        <v>0</v>
      </c>
      <c r="I171" s="4">
        <f t="shared" si="13"/>
        <v>-1.7099999999999999E-5</v>
      </c>
      <c r="J171" s="4">
        <f t="shared" si="14"/>
        <v>200</v>
      </c>
    </row>
    <row r="172" spans="1:10" ht="15" customHeight="1" x14ac:dyDescent="0.25">
      <c r="A172" s="8">
        <f>IF(COUNT($J$2:$J$1501)&gt;=171,171,"")</f>
        <v>171</v>
      </c>
      <c r="B172" s="8" t="str">
        <f t="shared" si="10"/>
        <v>Rodarte Jorge</v>
      </c>
      <c r="C172" s="8" t="str">
        <f t="shared" si="11"/>
        <v>Cruz Azul</v>
      </c>
      <c r="D172" s="8">
        <f t="shared" si="12"/>
        <v>0</v>
      </c>
      <c r="F172" s="4" t="str">
        <f>IF(Jugadores!B172="","",Jugadores!B172)</f>
        <v>Pier Roberto</v>
      </c>
      <c r="G172" s="4" t="str">
        <f>IF(Jugadores!B172="","",Jugadores!A172)</f>
        <v>Atlas</v>
      </c>
      <c r="H172" s="4">
        <f>IF(F172="","",SUMIF('Estadísticas Jugadores'!$F$2:$F$7001,F172,'Estadísticas Jugadores'!$L$2:$L$7001))</f>
        <v>0</v>
      </c>
      <c r="I172" s="4">
        <f t="shared" si="13"/>
        <v>-1.7199999999999998E-5</v>
      </c>
      <c r="J172" s="4">
        <f t="shared" si="14"/>
        <v>201</v>
      </c>
    </row>
    <row r="173" spans="1:10" ht="15" customHeight="1" x14ac:dyDescent="0.25">
      <c r="A173" s="8">
        <f>IF(COUNT($J$2:$J$1501)&gt;=172,172,"")</f>
        <v>172</v>
      </c>
      <c r="B173" s="8" t="str">
        <f t="shared" si="10"/>
        <v>Rubio Raymundo</v>
      </c>
      <c r="C173" s="8" t="str">
        <f t="shared" si="11"/>
        <v>Cruz Azul</v>
      </c>
      <c r="D173" s="8">
        <f t="shared" si="12"/>
        <v>0</v>
      </c>
      <c r="F173" s="4" t="str">
        <f>IF(Jugadores!B173="","",Jugadores!B173)</f>
        <v>Rodriguez Jorge</v>
      </c>
      <c r="G173" s="4" t="str">
        <f>IF(Jugadores!B173="","",Jugadores!A173)</f>
        <v>Atlas</v>
      </c>
      <c r="H173" s="4">
        <f>IF(F173="","",SUMIF('Estadísticas Jugadores'!$F$2:$F$7001,F173,'Estadísticas Jugadores'!$L$2:$L$7001))</f>
        <v>0</v>
      </c>
      <c r="I173" s="4">
        <f t="shared" si="13"/>
        <v>-1.73E-5</v>
      </c>
      <c r="J173" s="4">
        <f t="shared" si="14"/>
        <v>202</v>
      </c>
    </row>
    <row r="174" spans="1:10" ht="15" customHeight="1" x14ac:dyDescent="0.25">
      <c r="A174" s="8">
        <f>IF(COUNT($J$2:$J$1501)&gt;=173,173,"")</f>
        <v>173</v>
      </c>
      <c r="B174" s="8" t="str">
        <f t="shared" si="10"/>
        <v>Garcia Amaury</v>
      </c>
      <c r="C174" s="8" t="str">
        <f t="shared" si="11"/>
        <v>Cruz Azul</v>
      </c>
      <c r="D174" s="8">
        <f t="shared" si="12"/>
        <v>0</v>
      </c>
      <c r="F174" s="4" t="str">
        <f>IF(Jugadores!B174="","",Jugadores!B174)</f>
        <v>San Martin Jorge</v>
      </c>
      <c r="G174" s="4" t="str">
        <f>IF(Jugadores!B174="","",Jugadores!A174)</f>
        <v>Atlas</v>
      </c>
      <c r="H174" s="4">
        <f>IF(F174="","",SUMIF('Estadísticas Jugadores'!$F$2:$F$7001,F174,'Estadísticas Jugadores'!$L$2:$L$7001))</f>
        <v>0</v>
      </c>
      <c r="I174" s="4">
        <f t="shared" si="13"/>
        <v>-1.7399999999999999E-5</v>
      </c>
      <c r="J174" s="4">
        <f t="shared" si="14"/>
        <v>203</v>
      </c>
    </row>
    <row r="175" spans="1:10" ht="15" customHeight="1" x14ac:dyDescent="0.25">
      <c r="A175" s="8">
        <f>IF(COUNT($J$2:$J$1501)&gt;=174,174,"")</f>
        <v>174</v>
      </c>
      <c r="B175" s="8" t="str">
        <f t="shared" si="10"/>
        <v>Gonzalez Rogelio</v>
      </c>
      <c r="C175" s="8" t="str">
        <f t="shared" si="11"/>
        <v>Cruz Azul</v>
      </c>
      <c r="D175" s="8">
        <f t="shared" si="12"/>
        <v>0</v>
      </c>
      <c r="F175" s="4" t="str">
        <f>IF(Jugadores!B175="","",Jugadores!B175)</f>
        <v>Schlegel Rodrigo</v>
      </c>
      <c r="G175" s="4" t="str">
        <f>IF(Jugadores!B175="","",Jugadores!A175)</f>
        <v>Atlas</v>
      </c>
      <c r="H175" s="4">
        <f>IF(F175="","",SUMIF('Estadísticas Jugadores'!$F$2:$F$7001,F175,'Estadísticas Jugadores'!$L$2:$L$7001))</f>
        <v>0</v>
      </c>
      <c r="I175" s="4">
        <f t="shared" si="13"/>
        <v>-1.7499999999999998E-5</v>
      </c>
      <c r="J175" s="4">
        <f t="shared" si="14"/>
        <v>204</v>
      </c>
    </row>
    <row r="176" spans="1:10" ht="15" customHeight="1" x14ac:dyDescent="0.25">
      <c r="A176" s="8">
        <f>IF(COUNT($J$2:$J$1501)&gt;=175,175,"")</f>
        <v>175</v>
      </c>
      <c r="B176" s="8" t="str">
        <f t="shared" si="10"/>
        <v>León Cristhian</v>
      </c>
      <c r="C176" s="8" t="str">
        <f t="shared" si="11"/>
        <v>Cruz Azul</v>
      </c>
      <c r="D176" s="8">
        <f t="shared" si="12"/>
        <v>0</v>
      </c>
      <c r="F176" s="4" t="str">
        <f>IF(Jugadores!B176="","",Jugadores!B176)</f>
        <v>Sánchez Jorge</v>
      </c>
      <c r="G176" s="4" t="str">
        <f>IF(Jugadores!B176="","",Jugadores!A176)</f>
        <v>Atlas</v>
      </c>
      <c r="H176" s="4">
        <f>IF(F176="","",SUMIF('Estadísticas Jugadores'!$F$2:$F$7001,F176,'Estadísticas Jugadores'!$L$2:$L$7001))</f>
        <v>0</v>
      </c>
      <c r="I176" s="4">
        <f t="shared" si="13"/>
        <v>-1.7600000000000001E-5</v>
      </c>
      <c r="J176" s="4">
        <f t="shared" si="14"/>
        <v>205</v>
      </c>
    </row>
    <row r="177" spans="1:10" ht="15" customHeight="1" x14ac:dyDescent="0.25">
      <c r="A177" s="8">
        <f>IF(COUNT($J$2:$J$1501)&gt;=176,176,"")</f>
        <v>176</v>
      </c>
      <c r="B177" s="8" t="str">
        <f t="shared" si="10"/>
        <v>Lira Erik</v>
      </c>
      <c r="C177" s="8" t="str">
        <f t="shared" si="11"/>
        <v>Cruz Azul</v>
      </c>
      <c r="D177" s="8">
        <f t="shared" si="12"/>
        <v>0</v>
      </c>
      <c r="F177" s="4" t="str">
        <f>IF(Jugadores!B177="","",Jugadores!B177)</f>
        <v>Valenzuela Milton</v>
      </c>
      <c r="G177" s="4" t="str">
        <f>IF(Jugadores!B177="","",Jugadores!A177)</f>
        <v>Atlas</v>
      </c>
      <c r="H177" s="4">
        <f>IF(F177="","",SUMIF('Estadísticas Jugadores'!$F$2:$F$7001,F177,'Estadísticas Jugadores'!$L$2:$L$7001))</f>
        <v>0</v>
      </c>
      <c r="I177" s="4">
        <f t="shared" si="13"/>
        <v>-1.77E-5</v>
      </c>
      <c r="J177" s="4">
        <f t="shared" si="14"/>
        <v>206</v>
      </c>
    </row>
    <row r="178" spans="1:10" ht="15" customHeight="1" x14ac:dyDescent="0.25">
      <c r="A178" s="8">
        <f>IF(COUNT($J$2:$J$1501)&gt;=177,177,"")</f>
        <v>177</v>
      </c>
      <c r="B178" s="8" t="str">
        <f t="shared" si="10"/>
        <v>Martínez Ariel</v>
      </c>
      <c r="C178" s="8" t="str">
        <f t="shared" si="11"/>
        <v>Cruz Azul</v>
      </c>
      <c r="D178" s="8">
        <f t="shared" si="12"/>
        <v>0</v>
      </c>
      <c r="F178" s="4" t="str">
        <f>IF(Jugadores!B178="","",Jugadores!B178)</f>
        <v>Blanco Luis</v>
      </c>
      <c r="G178" s="4" t="str">
        <f>IF(Jugadores!B178="","",Jugadores!A178)</f>
        <v>Atlas</v>
      </c>
      <c r="H178" s="4">
        <f>IF(F178="","",SUMIF('Estadísticas Jugadores'!$F$2:$F$7001,F178,'Estadísticas Jugadores'!$L$2:$L$7001))</f>
        <v>0</v>
      </c>
      <c r="I178" s="4">
        <f t="shared" si="13"/>
        <v>-1.7799999999999999E-5</v>
      </c>
      <c r="J178" s="4">
        <f t="shared" si="14"/>
        <v>207</v>
      </c>
    </row>
    <row r="179" spans="1:10" ht="15" customHeight="1" x14ac:dyDescent="0.25">
      <c r="A179" s="8">
        <f>IF(COUNT($J$2:$J$1501)&gt;=178,178,"")</f>
        <v>178</v>
      </c>
      <c r="B179" s="8" t="str">
        <f t="shared" si="10"/>
        <v>Montano Andres</v>
      </c>
      <c r="C179" s="8" t="str">
        <f t="shared" si="11"/>
        <v>Cruz Azul</v>
      </c>
      <c r="D179" s="8">
        <f t="shared" si="12"/>
        <v>0</v>
      </c>
      <c r="F179" s="4" t="str">
        <f>IF(Jugadores!B179="","",Jugadores!B179)</f>
        <v>Esteves Luis</v>
      </c>
      <c r="G179" s="4" t="str">
        <f>IF(Jugadores!B179="","",Jugadores!A179)</f>
        <v>Atlas</v>
      </c>
      <c r="H179" s="4">
        <f>IF(F179="","",SUMIF('Estadísticas Jugadores'!$F$2:$F$7001,F179,'Estadísticas Jugadores'!$L$2:$L$7001))</f>
        <v>0</v>
      </c>
      <c r="I179" s="4">
        <f t="shared" si="13"/>
        <v>-1.7899999999999998E-5</v>
      </c>
      <c r="J179" s="4">
        <f t="shared" si="14"/>
        <v>208</v>
      </c>
    </row>
    <row r="180" spans="1:10" ht="15" customHeight="1" x14ac:dyDescent="0.25">
      <c r="A180" s="8">
        <f>IF(COUNT($J$2:$J$1501)&gt;=179,179,"")</f>
        <v>179</v>
      </c>
      <c r="B180" s="8" t="str">
        <f t="shared" si="10"/>
        <v>Palavecino Agustin</v>
      </c>
      <c r="C180" s="8" t="str">
        <f t="shared" si="11"/>
        <v>Cruz Azul</v>
      </c>
      <c r="D180" s="8">
        <f t="shared" si="12"/>
        <v>0</v>
      </c>
      <c r="F180" s="4" t="str">
        <f>IF(Jugadores!B180="","",Jugadores!B180)</f>
        <v>Guillen Jesús</v>
      </c>
      <c r="G180" s="4" t="str">
        <f>IF(Jugadores!B180="","",Jugadores!A180)</f>
        <v>Atlas</v>
      </c>
      <c r="H180" s="4">
        <f>IF(F180="","",SUMIF('Estadísticas Jugadores'!$F$2:$F$7001,F180,'Estadísticas Jugadores'!$L$2:$L$7001))</f>
        <v>0</v>
      </c>
      <c r="I180" s="4">
        <f t="shared" si="13"/>
        <v>-1.8E-5</v>
      </c>
      <c r="J180" s="4">
        <f t="shared" si="14"/>
        <v>209</v>
      </c>
    </row>
    <row r="181" spans="1:10" ht="15" customHeight="1" x14ac:dyDescent="0.25">
      <c r="A181" s="8">
        <f>IF(COUNT($J$2:$J$1501)&gt;=180,180,"")</f>
        <v>180</v>
      </c>
      <c r="B181" s="8" t="str">
        <f t="shared" si="10"/>
        <v>Paradela Jose</v>
      </c>
      <c r="C181" s="8" t="str">
        <f t="shared" si="11"/>
        <v>Cruz Azul</v>
      </c>
      <c r="D181" s="8">
        <f t="shared" si="12"/>
        <v>0</v>
      </c>
      <c r="F181" s="4" t="str">
        <f>IF(Jugadores!B181="","",Jugadores!B181)</f>
        <v>Hernandez Sergio</v>
      </c>
      <c r="G181" s="4" t="str">
        <f>IF(Jugadores!B181="","",Jugadores!A181)</f>
        <v>Atlas</v>
      </c>
      <c r="H181" s="4">
        <f>IF(F181="","",SUMIF('Estadísticas Jugadores'!$F$2:$F$7001,F181,'Estadísticas Jugadores'!$L$2:$L$7001))</f>
        <v>0</v>
      </c>
      <c r="I181" s="4">
        <f t="shared" si="13"/>
        <v>-1.8099999999999999E-5</v>
      </c>
      <c r="J181" s="4">
        <f t="shared" si="14"/>
        <v>210</v>
      </c>
    </row>
    <row r="182" spans="1:10" ht="15" customHeight="1" x14ac:dyDescent="0.25">
      <c r="A182" s="8">
        <f>IF(COUNT($J$2:$J$1501)&gt;=181,181,"")</f>
        <v>181</v>
      </c>
      <c r="B182" s="8" t="str">
        <f t="shared" si="10"/>
        <v>Ramirez Jacobo</v>
      </c>
      <c r="C182" s="8" t="str">
        <f t="shared" si="11"/>
        <v>Cruz Azul</v>
      </c>
      <c r="D182" s="8">
        <f t="shared" si="12"/>
        <v>0</v>
      </c>
      <c r="F182" s="4" t="str">
        <f>IF(Jugadores!B182="","",Jugadores!B182)</f>
        <v>Ramirez Paulo</v>
      </c>
      <c r="G182" s="4" t="str">
        <f>IF(Jugadores!B182="","",Jugadores!A182)</f>
        <v>Atlas</v>
      </c>
      <c r="H182" s="4">
        <f>IF(F182="","",SUMIF('Estadísticas Jugadores'!$F$2:$F$7001,F182,'Estadísticas Jugadores'!$L$2:$L$7001))</f>
        <v>0</v>
      </c>
      <c r="I182" s="4">
        <f t="shared" si="13"/>
        <v>-1.8199999999999999E-5</v>
      </c>
      <c r="J182" s="4">
        <f t="shared" si="14"/>
        <v>211</v>
      </c>
    </row>
    <row r="183" spans="1:10" ht="15" customHeight="1" x14ac:dyDescent="0.25">
      <c r="A183" s="8">
        <f>IF(COUNT($J$2:$J$1501)&gt;=182,182,"")</f>
        <v>182</v>
      </c>
      <c r="B183" s="8" t="str">
        <f t="shared" si="10"/>
        <v>Rodriguez Carlos</v>
      </c>
      <c r="C183" s="8" t="str">
        <f t="shared" si="11"/>
        <v>Cruz Azul</v>
      </c>
      <c r="D183" s="8">
        <f t="shared" si="12"/>
        <v>0</v>
      </c>
      <c r="F183" s="4" t="str">
        <f>IF(Jugadores!B183="","",Jugadores!B183)</f>
        <v>Rios De Alba Victor Hugo</v>
      </c>
      <c r="G183" s="4" t="str">
        <f>IF(Jugadores!B183="","",Jugadores!A183)</f>
        <v>Atlas</v>
      </c>
      <c r="H183" s="4">
        <f>IF(F183="","",SUMIF('Estadísticas Jugadores'!$F$2:$F$7001,F183,'Estadísticas Jugadores'!$L$2:$L$7001))</f>
        <v>0</v>
      </c>
      <c r="I183" s="4">
        <f t="shared" si="13"/>
        <v>-1.8299999999999998E-5</v>
      </c>
      <c r="J183" s="4">
        <f t="shared" si="14"/>
        <v>212</v>
      </c>
    </row>
    <row r="184" spans="1:10" ht="15" customHeight="1" x14ac:dyDescent="0.25">
      <c r="A184" s="8">
        <f>IF(COUNT($J$2:$J$1501)&gt;=183,183,"")</f>
        <v>183</v>
      </c>
      <c r="B184" s="8" t="str">
        <f t="shared" si="10"/>
        <v>Sanchez Emmanuel</v>
      </c>
      <c r="C184" s="8" t="str">
        <f t="shared" si="11"/>
        <v>Cruz Azul</v>
      </c>
      <c r="D184" s="8">
        <f t="shared" si="12"/>
        <v>0</v>
      </c>
      <c r="F184" s="4" t="str">
        <f>IF(Jugadores!B184="","",Jugadores!B184)</f>
        <v>Rocha Aldo</v>
      </c>
      <c r="G184" s="4" t="str">
        <f>IF(Jugadores!B184="","",Jugadores!A184)</f>
        <v>Atlas</v>
      </c>
      <c r="H184" s="4">
        <f>IF(F184="","",SUMIF('Estadísticas Jugadores'!$F$2:$F$7001,F184,'Estadísticas Jugadores'!$L$2:$L$7001))</f>
        <v>1</v>
      </c>
      <c r="I184" s="4">
        <f t="shared" si="13"/>
        <v>999.99998159999996</v>
      </c>
      <c r="J184" s="4">
        <f t="shared" si="14"/>
        <v>29</v>
      </c>
    </row>
    <row r="185" spans="1:10" ht="15" customHeight="1" x14ac:dyDescent="0.25">
      <c r="A185" s="8">
        <f>IF(COUNT($J$2:$J$1501)&gt;=184,184,"")</f>
        <v>184</v>
      </c>
      <c r="B185" s="8" t="str">
        <f t="shared" si="10"/>
        <v>Silva Ivan</v>
      </c>
      <c r="C185" s="8" t="str">
        <f t="shared" si="11"/>
        <v>Cruz Azul</v>
      </c>
      <c r="D185" s="8">
        <f t="shared" si="12"/>
        <v>0</v>
      </c>
      <c r="F185" s="4" t="str">
        <f>IF(Jugadores!B185="","",Jugadores!B185)</f>
        <v>Serrato Jesus</v>
      </c>
      <c r="G185" s="4" t="str">
        <f>IF(Jugadores!B185="","",Jugadores!A185)</f>
        <v>Atlas</v>
      </c>
      <c r="H185" s="4">
        <f>IF(F185="","",SUMIF('Estadísticas Jugadores'!$F$2:$F$7001,F185,'Estadísticas Jugadores'!$L$2:$L$7001))</f>
        <v>0</v>
      </c>
      <c r="I185" s="4">
        <f t="shared" si="13"/>
        <v>-1.8499999999999999E-5</v>
      </c>
      <c r="J185" s="4">
        <f t="shared" si="14"/>
        <v>213</v>
      </c>
    </row>
    <row r="186" spans="1:10" ht="15" customHeight="1" x14ac:dyDescent="0.25">
      <c r="A186" s="8">
        <f>IF(COUNT($J$2:$J$1501)&gt;=185,185,"")</f>
        <v>185</v>
      </c>
      <c r="B186" s="8" t="str">
        <f t="shared" si="10"/>
        <v>Valdez Diego</v>
      </c>
      <c r="C186" s="8" t="str">
        <f t="shared" si="11"/>
        <v>Cruz Azul</v>
      </c>
      <c r="D186" s="8">
        <f t="shared" si="12"/>
        <v>0</v>
      </c>
      <c r="F186" s="4" t="str">
        <f>IF(Jugadores!B186="","",Jugadores!B186)</f>
        <v>Zaldivar Valverde Edgar</v>
      </c>
      <c r="G186" s="4" t="str">
        <f>IF(Jugadores!B186="","",Jugadores!A186)</f>
        <v>Atlas</v>
      </c>
      <c r="H186" s="4">
        <f>IF(F186="","",SUMIF('Estadísticas Jugadores'!$F$2:$F$7001,F186,'Estadísticas Jugadores'!$L$2:$L$7001))</f>
        <v>0</v>
      </c>
      <c r="I186" s="4">
        <f t="shared" si="13"/>
        <v>-1.8599999999999998E-5</v>
      </c>
      <c r="J186" s="4">
        <f t="shared" si="14"/>
        <v>214</v>
      </c>
    </row>
    <row r="187" spans="1:10" ht="15" customHeight="1" x14ac:dyDescent="0.25">
      <c r="A187" s="8">
        <f>IF(COUNT($J$2:$J$1501)&gt;=186,186,"")</f>
        <v>186</v>
      </c>
      <c r="B187" s="8" t="str">
        <f t="shared" si="10"/>
        <v>Velázquez Karol</v>
      </c>
      <c r="C187" s="8" t="str">
        <f t="shared" si="11"/>
        <v>Cruz Azul</v>
      </c>
      <c r="D187" s="8">
        <f t="shared" si="12"/>
        <v>0</v>
      </c>
      <c r="F187" s="4" t="str">
        <f>IF(Jugadores!B187="","",Jugadores!B187)</f>
        <v>Duk</v>
      </c>
      <c r="G187" s="4" t="str">
        <f>IF(Jugadores!B187="","",Jugadores!A187)</f>
        <v>Atlas</v>
      </c>
      <c r="H187" s="4">
        <f>IF(F187="","",SUMIF('Estadísticas Jugadores'!$F$2:$F$7001,F187,'Estadísticas Jugadores'!$L$2:$L$7001))</f>
        <v>1</v>
      </c>
      <c r="I187" s="4">
        <f t="shared" si="13"/>
        <v>999.99998129999994</v>
      </c>
      <c r="J187" s="4">
        <f t="shared" si="14"/>
        <v>30</v>
      </c>
    </row>
    <row r="188" spans="1:10" ht="15" customHeight="1" x14ac:dyDescent="0.25">
      <c r="A188" s="8">
        <f>IF(COUNT($J$2:$J$1501)&gt;=187,187,"")</f>
        <v>187</v>
      </c>
      <c r="B188" s="8" t="str">
        <f t="shared" si="10"/>
        <v>Calero Juan</v>
      </c>
      <c r="C188" s="8" t="str">
        <f t="shared" si="11"/>
        <v>Cruz Azul</v>
      </c>
      <c r="D188" s="8">
        <f t="shared" si="12"/>
        <v>0</v>
      </c>
      <c r="F188" s="4" t="str">
        <f>IF(Jugadores!B188="","",Jugadores!B188)</f>
        <v>Gamboa Luis</v>
      </c>
      <c r="G188" s="4" t="str">
        <f>IF(Jugadores!B188="","",Jugadores!A188)</f>
        <v>Atlas</v>
      </c>
      <c r="H188" s="4">
        <f>IF(F188="","",SUMIF('Estadísticas Jugadores'!$F$2:$F$7001,F188,'Estadísticas Jugadores'!$L$2:$L$7001))</f>
        <v>0</v>
      </c>
      <c r="I188" s="4">
        <f t="shared" si="13"/>
        <v>-1.88E-5</v>
      </c>
      <c r="J188" s="4">
        <f t="shared" si="14"/>
        <v>215</v>
      </c>
    </row>
    <row r="189" spans="1:10" ht="15" customHeight="1" x14ac:dyDescent="0.25">
      <c r="A189" s="8">
        <f>IF(COUNT($J$2:$J$1501)&gt;=188,188,"")</f>
        <v>188</v>
      </c>
      <c r="B189" s="8" t="str">
        <f t="shared" si="10"/>
        <v>Ebere Christian</v>
      </c>
      <c r="C189" s="8" t="str">
        <f t="shared" si="11"/>
        <v>Cruz Azul</v>
      </c>
      <c r="D189" s="8">
        <f t="shared" si="12"/>
        <v>0</v>
      </c>
      <c r="F189" s="4" t="str">
        <f>IF(Jugadores!B189="","",Jugadores!B189)</f>
        <v>García Mateo Ezequiel</v>
      </c>
      <c r="G189" s="4" t="str">
        <f>IF(Jugadores!B189="","",Jugadores!A189)</f>
        <v>Atlas</v>
      </c>
      <c r="H189" s="4">
        <f>IF(F189="","",SUMIF('Estadísticas Jugadores'!$F$2:$F$7001,F189,'Estadísticas Jugadores'!$L$2:$L$7001))</f>
        <v>0</v>
      </c>
      <c r="I189" s="4">
        <f t="shared" si="13"/>
        <v>-1.8899999999999999E-5</v>
      </c>
      <c r="J189" s="4">
        <f t="shared" si="14"/>
        <v>216</v>
      </c>
    </row>
    <row r="190" spans="1:10" ht="15" customHeight="1" x14ac:dyDescent="0.25">
      <c r="A190" s="8">
        <f>IF(COUNT($J$2:$J$1501)&gt;=189,189,"")</f>
        <v>189</v>
      </c>
      <c r="B190" s="8" t="str">
        <f t="shared" si="10"/>
        <v>Gamboa Bryan</v>
      </c>
      <c r="C190" s="8" t="str">
        <f t="shared" si="11"/>
        <v>Cruz Azul</v>
      </c>
      <c r="D190" s="8">
        <f t="shared" si="12"/>
        <v>0</v>
      </c>
      <c r="F190" s="4" t="str">
        <f>IF(Jugadores!B190="","",Jugadores!B190)</f>
        <v>Gonzalez Arturo</v>
      </c>
      <c r="G190" s="4" t="str">
        <f>IF(Jugadores!B190="","",Jugadores!A190)</f>
        <v>Atlas</v>
      </c>
      <c r="H190" s="4">
        <f>IF(F190="","",SUMIF('Estadísticas Jugadores'!$F$2:$F$7001,F190,'Estadísticas Jugadores'!$L$2:$L$7001))</f>
        <v>2</v>
      </c>
      <c r="I190" s="4">
        <f t="shared" si="13"/>
        <v>1999.9999809999999</v>
      </c>
      <c r="J190" s="4">
        <f t="shared" si="14"/>
        <v>17</v>
      </c>
    </row>
    <row r="191" spans="1:10" ht="15" customHeight="1" x14ac:dyDescent="0.25">
      <c r="A191" s="8">
        <f>IF(COUNT($J$2:$J$1501)&gt;=190,190,"")</f>
        <v>190</v>
      </c>
      <c r="B191" s="8" t="str">
        <f t="shared" si="10"/>
        <v>Levy Mateo</v>
      </c>
      <c r="C191" s="8" t="str">
        <f t="shared" si="11"/>
        <v>Cruz Azul</v>
      </c>
      <c r="D191" s="8">
        <f t="shared" si="12"/>
        <v>0</v>
      </c>
      <c r="F191" s="4" t="str">
        <f>IF(Jugadores!B191="","",Jugadores!B191)</f>
        <v>Martin Jose</v>
      </c>
      <c r="G191" s="4" t="str">
        <f>IF(Jugadores!B191="","",Jugadores!A191)</f>
        <v>Atlas</v>
      </c>
      <c r="H191" s="4">
        <f>IF(F191="","",SUMIF('Estadísticas Jugadores'!$F$2:$F$7001,F191,'Estadísticas Jugadores'!$L$2:$L$7001))</f>
        <v>0</v>
      </c>
      <c r="I191" s="4">
        <f t="shared" si="13"/>
        <v>-1.91E-5</v>
      </c>
      <c r="J191" s="4">
        <f t="shared" si="14"/>
        <v>217</v>
      </c>
    </row>
    <row r="192" spans="1:10" ht="15" customHeight="1" x14ac:dyDescent="0.25">
      <c r="A192" s="8">
        <f>IF(COUNT($J$2:$J$1501)&gt;=191,191,"")</f>
        <v>191</v>
      </c>
      <c r="B192" s="8" t="str">
        <f t="shared" si="10"/>
        <v>Morales Amaury</v>
      </c>
      <c r="C192" s="8" t="str">
        <f t="shared" si="11"/>
        <v>Cruz Azul</v>
      </c>
      <c r="D192" s="8">
        <f t="shared" si="12"/>
        <v>0</v>
      </c>
      <c r="F192" s="4" t="str">
        <f>IF(Jugadores!B192="","",Jugadores!B192)</f>
        <v>Mmaee Ryan</v>
      </c>
      <c r="G192" s="4" t="str">
        <f>IF(Jugadores!B192="","",Jugadores!A192)</f>
        <v>Atlas</v>
      </c>
      <c r="H192" s="4">
        <f>IF(F192="","",SUMIF('Estadísticas Jugadores'!$F$2:$F$7001,F192,'Estadísticas Jugadores'!$L$2:$L$7001))</f>
        <v>0</v>
      </c>
      <c r="I192" s="4">
        <f t="shared" si="13"/>
        <v>-1.9199999999999999E-5</v>
      </c>
      <c r="J192" s="4">
        <f t="shared" si="14"/>
        <v>218</v>
      </c>
    </row>
    <row r="193" spans="1:10" ht="15" customHeight="1" x14ac:dyDescent="0.25">
      <c r="A193" s="8">
        <f>IF(COUNT($J$2:$J$1501)&gt;=192,192,"")</f>
        <v>192</v>
      </c>
      <c r="B193" s="8" t="str">
        <f t="shared" si="10"/>
        <v>Romero Luka</v>
      </c>
      <c r="C193" s="8" t="str">
        <f t="shared" si="11"/>
        <v>Cruz Azul</v>
      </c>
      <c r="D193" s="8">
        <f t="shared" si="12"/>
        <v>0</v>
      </c>
      <c r="F193" s="4" t="str">
        <f>IF(Jugadores!B193="","",Jugadores!B193)</f>
        <v>Rodriguez Agustin</v>
      </c>
      <c r="G193" s="4" t="str">
        <f>IF(Jugadores!B193="","",Jugadores!A193)</f>
        <v>Atlas</v>
      </c>
      <c r="H193" s="4">
        <f>IF(F193="","",SUMIF('Estadísticas Jugadores'!$F$2:$F$7001,F193,'Estadísticas Jugadores'!$L$2:$L$7001))</f>
        <v>0</v>
      </c>
      <c r="I193" s="4">
        <f t="shared" si="13"/>
        <v>-1.9299999999999998E-5</v>
      </c>
      <c r="J193" s="4">
        <f t="shared" si="14"/>
        <v>219</v>
      </c>
    </row>
    <row r="194" spans="1:10" ht="15" customHeight="1" x14ac:dyDescent="0.25">
      <c r="A194" s="8">
        <f>IF(COUNT($J$2:$J$1501)&gt;=193,193,"")</f>
        <v>193</v>
      </c>
      <c r="B194" s="8" t="str">
        <f t="shared" ref="B194:B257" si="15">IF($A194="","",INDEX($F$2:$F$1501,MATCH($A194,$J$2:$J$1501,0)))</f>
        <v>Hernandez Luis</v>
      </c>
      <c r="C194" s="8" t="str">
        <f t="shared" ref="C194:C257" si="16">IF($A194="","",INDEX($G$2:$G$1501,MATCH($A194,$J$2:$J$1501,0)))</f>
        <v>Atlas</v>
      </c>
      <c r="D194" s="8">
        <f t="shared" ref="D194:D257" si="17">IF($A194="","",INDEX($H$2:$H$1501,MATCH($A194,$J$2:$J$1501,0)))</f>
        <v>0</v>
      </c>
      <c r="F194" s="4" t="str">
        <f>IF(Jugadores!B194="","",Jugadores!B194)</f>
        <v>del Prete Gustavo</v>
      </c>
      <c r="G194" s="4" t="str">
        <f>IF(Jugadores!B194="","",Jugadores!A194)</f>
        <v>Atlas</v>
      </c>
      <c r="H194" s="4">
        <f>IF(F194="","",SUMIF('Estadísticas Jugadores'!$F$2:$F$7001,F194,'Estadísticas Jugadores'!$L$2:$L$7001))</f>
        <v>0</v>
      </c>
      <c r="I194" s="4">
        <f t="shared" ref="I194:I257" si="18">IF(F194="","",H194*1000-ROW()*0.0000001)</f>
        <v>-1.9400000000000001E-5</v>
      </c>
      <c r="J194" s="4">
        <f t="shared" ref="J194:J257" si="19">IF(F194="","",RANK(I194,$I$2:$I$1501))</f>
        <v>220</v>
      </c>
    </row>
    <row r="195" spans="1:10" ht="15" customHeight="1" x14ac:dyDescent="0.25">
      <c r="A195" s="8">
        <f>IF(COUNT($J$2:$J$1501)&gt;=194,194,"")</f>
        <v>194</v>
      </c>
      <c r="B195" s="8" t="str">
        <f t="shared" si="15"/>
        <v>Sanchez Antonio</v>
      </c>
      <c r="C195" s="8" t="str">
        <f t="shared" si="16"/>
        <v>Atlas</v>
      </c>
      <c r="D195" s="8">
        <f t="shared" si="17"/>
        <v>0</v>
      </c>
      <c r="F195" s="4" t="str">
        <f>IF(Jugadores!B195="","",Jugadores!B195)</f>
        <v>Andrade Christopher</v>
      </c>
      <c r="G195" s="4" t="str">
        <f>IF(Jugadores!B195="","",Jugadores!A195)</f>
        <v>Necaxa</v>
      </c>
      <c r="H195" s="4">
        <f>IF(F195="","",SUMIF('Estadísticas Jugadores'!$F$2:$F$7001,F195,'Estadísticas Jugadores'!$L$2:$L$7001))</f>
        <v>0</v>
      </c>
      <c r="I195" s="4">
        <f t="shared" si="18"/>
        <v>-1.95E-5</v>
      </c>
      <c r="J195" s="4">
        <f t="shared" si="19"/>
        <v>221</v>
      </c>
    </row>
    <row r="196" spans="1:10" ht="15" customHeight="1" x14ac:dyDescent="0.25">
      <c r="A196" s="8">
        <f>IF(COUNT($J$2:$J$1501)&gt;=195,195,"")</f>
        <v>195</v>
      </c>
      <c r="B196" s="8" t="str">
        <f t="shared" si="15"/>
        <v>Vargas Camilo</v>
      </c>
      <c r="C196" s="8" t="str">
        <f t="shared" si="16"/>
        <v>Atlas</v>
      </c>
      <c r="D196" s="8">
        <f t="shared" si="17"/>
        <v>0</v>
      </c>
      <c r="F196" s="4" t="str">
        <f>IF(Jugadores!B196="","",Jugadores!B196)</f>
        <v>Jimenez Luis</v>
      </c>
      <c r="G196" s="4" t="str">
        <f>IF(Jugadores!B196="","",Jugadores!A196)</f>
        <v>Necaxa</v>
      </c>
      <c r="H196" s="4">
        <f>IF(F196="","",SUMIF('Estadísticas Jugadores'!$F$2:$F$7001,F196,'Estadísticas Jugadores'!$L$2:$L$7001))</f>
        <v>0</v>
      </c>
      <c r="I196" s="4">
        <f t="shared" si="18"/>
        <v>-1.9599999999999999E-5</v>
      </c>
      <c r="J196" s="4">
        <f t="shared" si="19"/>
        <v>222</v>
      </c>
    </row>
    <row r="197" spans="1:10" ht="15" customHeight="1" x14ac:dyDescent="0.25">
      <c r="A197" s="8">
        <f>IF(COUNT($J$2:$J$1501)&gt;=196,196,"")</f>
        <v>196</v>
      </c>
      <c r="B197" s="8" t="str">
        <f t="shared" si="15"/>
        <v>Aguirre Ledesma Gaddi</v>
      </c>
      <c r="C197" s="8" t="str">
        <f t="shared" si="16"/>
        <v>Atlas</v>
      </c>
      <c r="D197" s="8">
        <f t="shared" si="17"/>
        <v>0</v>
      </c>
      <c r="F197" s="4" t="str">
        <f>IF(Jugadores!B197="","",Jugadores!B197)</f>
        <v>Alonso Ricardo</v>
      </c>
      <c r="G197" s="4" t="str">
        <f>IF(Jugadores!B197="","",Jugadores!A197)</f>
        <v>Necaxa</v>
      </c>
      <c r="H197" s="4">
        <f>IF(F197="","",SUMIF('Estadísticas Jugadores'!$F$2:$F$7001,F197,'Estadísticas Jugadores'!$L$2:$L$7001))</f>
        <v>0</v>
      </c>
      <c r="I197" s="4">
        <f t="shared" si="18"/>
        <v>-1.9699999999999998E-5</v>
      </c>
      <c r="J197" s="4">
        <f t="shared" si="19"/>
        <v>223</v>
      </c>
    </row>
    <row r="198" spans="1:10" ht="15" customHeight="1" x14ac:dyDescent="0.25">
      <c r="A198" s="8">
        <f>IF(COUNT($J$2:$J$1501)&gt;=197,197,"")</f>
        <v>197</v>
      </c>
      <c r="B198" s="8" t="str">
        <f t="shared" si="15"/>
        <v>Capasso Manuel</v>
      </c>
      <c r="C198" s="8" t="str">
        <f t="shared" si="16"/>
        <v>Atlas</v>
      </c>
      <c r="D198" s="8">
        <f t="shared" si="17"/>
        <v>0</v>
      </c>
      <c r="F198" s="4" t="str">
        <f>IF(Jugadores!B198="","",Jugadores!B198)</f>
        <v>Martinez Emilio</v>
      </c>
      <c r="G198" s="4" t="str">
        <f>IF(Jugadores!B198="","",Jugadores!A198)</f>
        <v>Necaxa</v>
      </c>
      <c r="H198" s="4">
        <f>IF(F198="","",SUMIF('Estadísticas Jugadores'!$F$2:$F$7001,F198,'Estadísticas Jugadores'!$L$2:$L$7001))</f>
        <v>0</v>
      </c>
      <c r="I198" s="4">
        <f t="shared" si="18"/>
        <v>-1.98E-5</v>
      </c>
      <c r="J198" s="4">
        <f t="shared" si="19"/>
        <v>224</v>
      </c>
    </row>
    <row r="199" spans="1:10" ht="15" customHeight="1" x14ac:dyDescent="0.25">
      <c r="A199" s="8">
        <f>IF(COUNT($J$2:$J$1501)&gt;=198,198,"")</f>
        <v>198</v>
      </c>
      <c r="B199" s="8" t="str">
        <f t="shared" si="15"/>
        <v>Gustavo Ferrareis</v>
      </c>
      <c r="C199" s="8" t="str">
        <f t="shared" si="16"/>
        <v>Atlas</v>
      </c>
      <c r="D199" s="8">
        <f t="shared" si="17"/>
        <v>0</v>
      </c>
      <c r="F199" s="4" t="str">
        <f>IF(Jugadores!B199="","",Jugadores!B199)</f>
        <v>Martinez Raul</v>
      </c>
      <c r="G199" s="4" t="str">
        <f>IF(Jugadores!B199="","",Jugadores!A199)</f>
        <v>Necaxa</v>
      </c>
      <c r="H199" s="4">
        <f>IF(F199="","",SUMIF('Estadísticas Jugadores'!$F$2:$F$7001,F199,'Estadísticas Jugadores'!$L$2:$L$7001))</f>
        <v>0</v>
      </c>
      <c r="I199" s="4">
        <f t="shared" si="18"/>
        <v>-1.9899999999999999E-5</v>
      </c>
      <c r="J199" s="4">
        <f t="shared" si="19"/>
        <v>225</v>
      </c>
    </row>
    <row r="200" spans="1:10" ht="15" customHeight="1" x14ac:dyDescent="0.25">
      <c r="A200" s="8">
        <f>IF(COUNT($J$2:$J$1501)&gt;=199,199,"")</f>
        <v>199</v>
      </c>
      <c r="B200" s="8" t="str">
        <f t="shared" si="15"/>
        <v>Lozano Jose</v>
      </c>
      <c r="C200" s="8" t="str">
        <f t="shared" si="16"/>
        <v>Atlas</v>
      </c>
      <c r="D200" s="8">
        <f t="shared" si="17"/>
        <v>0</v>
      </c>
      <c r="F200" s="4" t="str">
        <f>IF(Jugadores!B200="","",Jugadores!B200)</f>
        <v>Mendez Francisco</v>
      </c>
      <c r="G200" s="4" t="str">
        <f>IF(Jugadores!B200="","",Jugadores!A200)</f>
        <v>Necaxa</v>
      </c>
      <c r="H200" s="4">
        <f>IF(F200="","",SUMIF('Estadísticas Jugadores'!$F$2:$F$7001,F200,'Estadísticas Jugadores'!$L$2:$L$7001))</f>
        <v>0</v>
      </c>
      <c r="I200" s="4">
        <f t="shared" si="18"/>
        <v>-1.9999999999999998E-5</v>
      </c>
      <c r="J200" s="4">
        <f t="shared" si="19"/>
        <v>226</v>
      </c>
    </row>
    <row r="201" spans="1:10" ht="15" customHeight="1" x14ac:dyDescent="0.25">
      <c r="A201" s="8">
        <f>IF(COUNT($J$2:$J$1501)&gt;=200,200,"")</f>
        <v>200</v>
      </c>
      <c r="B201" s="8" t="str">
        <f t="shared" si="15"/>
        <v>Mora Adrián</v>
      </c>
      <c r="C201" s="8" t="str">
        <f t="shared" si="16"/>
        <v>Atlas</v>
      </c>
      <c r="D201" s="8">
        <f t="shared" si="17"/>
        <v>0</v>
      </c>
      <c r="F201" s="4" t="str">
        <f>IF(Jugadores!B201="","",Jugadores!B201)</f>
        <v>Ochoa Diego</v>
      </c>
      <c r="G201" s="4" t="str">
        <f>IF(Jugadores!B201="","",Jugadores!A201)</f>
        <v>Necaxa</v>
      </c>
      <c r="H201" s="4">
        <f>IF(F201="","",SUMIF('Estadísticas Jugadores'!$F$2:$F$7001,F201,'Estadísticas Jugadores'!$L$2:$L$7001))</f>
        <v>0</v>
      </c>
      <c r="I201" s="4">
        <f t="shared" si="18"/>
        <v>-2.0100000000000001E-5</v>
      </c>
      <c r="J201" s="4">
        <f t="shared" si="19"/>
        <v>227</v>
      </c>
    </row>
    <row r="202" spans="1:10" ht="15" customHeight="1" x14ac:dyDescent="0.25">
      <c r="A202" s="8">
        <f>IF(COUNT($J$2:$J$1501)&gt;=201,201,"")</f>
        <v>201</v>
      </c>
      <c r="B202" s="8" t="str">
        <f t="shared" si="15"/>
        <v>Pier Roberto</v>
      </c>
      <c r="C202" s="8" t="str">
        <f t="shared" si="16"/>
        <v>Atlas</v>
      </c>
      <c r="D202" s="8">
        <f t="shared" si="17"/>
        <v>0</v>
      </c>
      <c r="F202" s="4" t="str">
        <f>IF(Jugadores!B202="","",Jugadores!B202)</f>
        <v>Oliveros Agustin</v>
      </c>
      <c r="G202" s="4" t="str">
        <f>IF(Jugadores!B202="","",Jugadores!A202)</f>
        <v>Necaxa</v>
      </c>
      <c r="H202" s="4">
        <f>IF(F202="","",SUMIF('Estadísticas Jugadores'!$F$2:$F$7001,F202,'Estadísticas Jugadores'!$L$2:$L$7001))</f>
        <v>0</v>
      </c>
      <c r="I202" s="4">
        <f t="shared" si="18"/>
        <v>-2.02E-5</v>
      </c>
      <c r="J202" s="4">
        <f t="shared" si="19"/>
        <v>228</v>
      </c>
    </row>
    <row r="203" spans="1:10" ht="15" customHeight="1" x14ac:dyDescent="0.25">
      <c r="A203" s="8">
        <f>IF(COUNT($J$2:$J$1501)&gt;=202,202,"")</f>
        <v>202</v>
      </c>
      <c r="B203" s="8" t="str">
        <f t="shared" si="15"/>
        <v>Rodriguez Jorge</v>
      </c>
      <c r="C203" s="8" t="str">
        <f t="shared" si="16"/>
        <v>Atlas</v>
      </c>
      <c r="D203" s="8">
        <f t="shared" si="17"/>
        <v>0</v>
      </c>
      <c r="F203" s="4" t="str">
        <f>IF(Jugadores!B203="","",Jugadores!B203)</f>
        <v>Pena Alexis</v>
      </c>
      <c r="G203" s="4" t="str">
        <f>IF(Jugadores!B203="","",Jugadores!A203)</f>
        <v>Necaxa</v>
      </c>
      <c r="H203" s="4">
        <f>IF(F203="","",SUMIF('Estadísticas Jugadores'!$F$2:$F$7001,F203,'Estadísticas Jugadores'!$L$2:$L$7001))</f>
        <v>0</v>
      </c>
      <c r="I203" s="4">
        <f t="shared" si="18"/>
        <v>-2.0299999999999999E-5</v>
      </c>
      <c r="J203" s="4">
        <f t="shared" si="19"/>
        <v>229</v>
      </c>
    </row>
    <row r="204" spans="1:10" ht="15" customHeight="1" x14ac:dyDescent="0.25">
      <c r="A204" s="8">
        <f>IF(COUNT($J$2:$J$1501)&gt;=203,203,"")</f>
        <v>203</v>
      </c>
      <c r="B204" s="8" t="str">
        <f t="shared" si="15"/>
        <v>San Martin Jorge</v>
      </c>
      <c r="C204" s="8" t="str">
        <f t="shared" si="16"/>
        <v>Atlas</v>
      </c>
      <c r="D204" s="8">
        <f t="shared" si="17"/>
        <v>0</v>
      </c>
      <c r="F204" s="4" t="str">
        <f>IF(Jugadores!B204="","",Jugadores!B204)</f>
        <v>Vargas Carlos</v>
      </c>
      <c r="G204" s="4" t="str">
        <f>IF(Jugadores!B204="","",Jugadores!A204)</f>
        <v>Necaxa</v>
      </c>
      <c r="H204" s="4">
        <f>IF(F204="","",SUMIF('Estadísticas Jugadores'!$F$2:$F$7001,F204,'Estadísticas Jugadores'!$L$2:$L$7001))</f>
        <v>0</v>
      </c>
      <c r="I204" s="4">
        <f t="shared" si="18"/>
        <v>-2.0399999999999998E-5</v>
      </c>
      <c r="J204" s="4">
        <f t="shared" si="19"/>
        <v>230</v>
      </c>
    </row>
    <row r="205" spans="1:10" ht="15" customHeight="1" x14ac:dyDescent="0.25">
      <c r="A205" s="8">
        <f>IF(COUNT($J$2:$J$1501)&gt;=204,204,"")</f>
        <v>204</v>
      </c>
      <c r="B205" s="8" t="str">
        <f t="shared" si="15"/>
        <v>Schlegel Rodrigo</v>
      </c>
      <c r="C205" s="8" t="str">
        <f t="shared" si="16"/>
        <v>Atlas</v>
      </c>
      <c r="D205" s="8">
        <f t="shared" si="17"/>
        <v>0</v>
      </c>
      <c r="F205" s="4" t="str">
        <f>IF(Jugadores!B205="","",Jugadores!B205)</f>
        <v>Zaleta Oropeza Mauro Aldair</v>
      </c>
      <c r="G205" s="4" t="str">
        <f>IF(Jugadores!B205="","",Jugadores!A205)</f>
        <v>Necaxa</v>
      </c>
      <c r="H205" s="4">
        <f>IF(F205="","",SUMIF('Estadísticas Jugadores'!$F$2:$F$7001,F205,'Estadísticas Jugadores'!$L$2:$L$7001))</f>
        <v>0</v>
      </c>
      <c r="I205" s="4">
        <f t="shared" si="18"/>
        <v>-2.05E-5</v>
      </c>
      <c r="J205" s="4">
        <f t="shared" si="19"/>
        <v>231</v>
      </c>
    </row>
    <row r="206" spans="1:10" ht="15" customHeight="1" x14ac:dyDescent="0.25">
      <c r="A206" s="8">
        <f>IF(COUNT($J$2:$J$1501)&gt;=205,205,"")</f>
        <v>205</v>
      </c>
      <c r="B206" s="8" t="str">
        <f t="shared" si="15"/>
        <v>Sánchez Jorge</v>
      </c>
      <c r="C206" s="8" t="str">
        <f t="shared" si="16"/>
        <v>Atlas</v>
      </c>
      <c r="D206" s="8">
        <f t="shared" si="17"/>
        <v>0</v>
      </c>
      <c r="F206" s="4" t="str">
        <f>IF(Jugadores!B206="","",Jugadores!B206)</f>
        <v>Cortez Rogelio</v>
      </c>
      <c r="G206" s="4" t="str">
        <f>IF(Jugadores!B206="","",Jugadores!A206)</f>
        <v>Necaxa</v>
      </c>
      <c r="H206" s="4">
        <f>IF(F206="","",SUMIF('Estadísticas Jugadores'!$F$2:$F$7001,F206,'Estadísticas Jugadores'!$L$2:$L$7001))</f>
        <v>0</v>
      </c>
      <c r="I206" s="4">
        <f t="shared" si="18"/>
        <v>-2.0599999999999999E-5</v>
      </c>
      <c r="J206" s="4">
        <f t="shared" si="19"/>
        <v>232</v>
      </c>
    </row>
    <row r="207" spans="1:10" ht="15" customHeight="1" x14ac:dyDescent="0.25">
      <c r="A207" s="8">
        <f>IF(COUNT($J$2:$J$1501)&gt;=206,206,"")</f>
        <v>206</v>
      </c>
      <c r="B207" s="8" t="str">
        <f t="shared" si="15"/>
        <v>Valenzuela Milton</v>
      </c>
      <c r="C207" s="8" t="str">
        <f t="shared" si="16"/>
        <v>Atlas</v>
      </c>
      <c r="D207" s="8">
        <f t="shared" si="17"/>
        <v>0</v>
      </c>
      <c r="F207" s="4" t="str">
        <f>IF(Jugadores!B207="","",Jugadores!B207)</f>
        <v>Espindola Matias</v>
      </c>
      <c r="G207" s="4" t="str">
        <f>IF(Jugadores!B207="","",Jugadores!A207)</f>
        <v>Necaxa</v>
      </c>
      <c r="H207" s="4">
        <f>IF(F207="","",SUMIF('Estadísticas Jugadores'!$F$2:$F$7001,F207,'Estadísticas Jugadores'!$L$2:$L$7001))</f>
        <v>0</v>
      </c>
      <c r="I207" s="4">
        <f t="shared" si="18"/>
        <v>-2.0699999999999998E-5</v>
      </c>
      <c r="J207" s="4">
        <f t="shared" si="19"/>
        <v>233</v>
      </c>
    </row>
    <row r="208" spans="1:10" ht="15" customHeight="1" x14ac:dyDescent="0.25">
      <c r="A208" s="8">
        <f>IF(COUNT($J$2:$J$1501)&gt;=207,207,"")</f>
        <v>207</v>
      </c>
      <c r="B208" s="8" t="str">
        <f t="shared" si="15"/>
        <v>Blanco Luis</v>
      </c>
      <c r="C208" s="8" t="str">
        <f t="shared" si="16"/>
        <v>Atlas</v>
      </c>
      <c r="D208" s="8">
        <f t="shared" si="17"/>
        <v>0</v>
      </c>
      <c r="F208" s="4" t="str">
        <f>IF(Jugadores!B208="","",Jugadores!B208)</f>
        <v>Faravelli Lorenzo</v>
      </c>
      <c r="G208" s="4" t="str">
        <f>IF(Jugadores!B208="","",Jugadores!A208)</f>
        <v>Necaxa</v>
      </c>
      <c r="H208" s="4">
        <f>IF(F208="","",SUMIF('Estadísticas Jugadores'!$F$2:$F$7001,F208,'Estadísticas Jugadores'!$L$2:$L$7001))</f>
        <v>0</v>
      </c>
      <c r="I208" s="4">
        <f t="shared" si="18"/>
        <v>-2.0799999999999997E-5</v>
      </c>
      <c r="J208" s="4">
        <f t="shared" si="19"/>
        <v>234</v>
      </c>
    </row>
    <row r="209" spans="1:10" ht="15" customHeight="1" x14ac:dyDescent="0.25">
      <c r="A209" s="8">
        <f>IF(COUNT($J$2:$J$1501)&gt;=208,208,"")</f>
        <v>208</v>
      </c>
      <c r="B209" s="8" t="str">
        <f t="shared" si="15"/>
        <v>Esteves Luis</v>
      </c>
      <c r="C209" s="8" t="str">
        <f t="shared" si="16"/>
        <v>Atlas</v>
      </c>
      <c r="D209" s="8">
        <f t="shared" si="17"/>
        <v>0</v>
      </c>
      <c r="F209" s="4" t="str">
        <f>IF(Jugadores!B209="","",Jugadores!B209)</f>
        <v>Ibarra Luis</v>
      </c>
      <c r="G209" s="4" t="str">
        <f>IF(Jugadores!B209="","",Jugadores!A209)</f>
        <v>Necaxa</v>
      </c>
      <c r="H209" s="4">
        <f>IF(F209="","",SUMIF('Estadísticas Jugadores'!$F$2:$F$7001,F209,'Estadísticas Jugadores'!$L$2:$L$7001))</f>
        <v>0</v>
      </c>
      <c r="I209" s="4">
        <f t="shared" si="18"/>
        <v>-2.09E-5</v>
      </c>
      <c r="J209" s="4">
        <f t="shared" si="19"/>
        <v>235</v>
      </c>
    </row>
    <row r="210" spans="1:10" ht="15" customHeight="1" x14ac:dyDescent="0.25">
      <c r="A210" s="8">
        <f>IF(COUNT($J$2:$J$1501)&gt;=209,209,"")</f>
        <v>209</v>
      </c>
      <c r="B210" s="8" t="str">
        <f t="shared" si="15"/>
        <v>Guillen Jesús</v>
      </c>
      <c r="C210" s="8" t="str">
        <f t="shared" si="16"/>
        <v>Atlas</v>
      </c>
      <c r="D210" s="8">
        <f t="shared" si="17"/>
        <v>0</v>
      </c>
      <c r="F210" s="4" t="str">
        <f>IF(Jugadores!B210="","",Jugadores!B210)</f>
        <v>Leyva Danny</v>
      </c>
      <c r="G210" s="4" t="str">
        <f>IF(Jugadores!B210="","",Jugadores!A210)</f>
        <v>Necaxa</v>
      </c>
      <c r="H210" s="4">
        <f>IF(F210="","",SUMIF('Estadísticas Jugadores'!$F$2:$F$7001,F210,'Estadísticas Jugadores'!$L$2:$L$7001))</f>
        <v>0</v>
      </c>
      <c r="I210" s="4">
        <f t="shared" si="18"/>
        <v>-2.0999999999999999E-5</v>
      </c>
      <c r="J210" s="4">
        <f t="shared" si="19"/>
        <v>236</v>
      </c>
    </row>
    <row r="211" spans="1:10" ht="15" customHeight="1" x14ac:dyDescent="0.25">
      <c r="A211" s="8">
        <f>IF(COUNT($J$2:$J$1501)&gt;=210,210,"")</f>
        <v>210</v>
      </c>
      <c r="B211" s="8" t="str">
        <f t="shared" si="15"/>
        <v>Hernandez Sergio</v>
      </c>
      <c r="C211" s="8" t="str">
        <f t="shared" si="16"/>
        <v>Atlas</v>
      </c>
      <c r="D211" s="8">
        <f t="shared" si="17"/>
        <v>0</v>
      </c>
      <c r="F211" s="4" t="str">
        <f>IF(Jugadores!B211="","",Jugadores!B211)</f>
        <v>Moreno Arath</v>
      </c>
      <c r="G211" s="4" t="str">
        <f>IF(Jugadores!B211="","",Jugadores!A211)</f>
        <v>Necaxa</v>
      </c>
      <c r="H211" s="4">
        <f>IF(F211="","",SUMIF('Estadísticas Jugadores'!$F$2:$F$7001,F211,'Estadísticas Jugadores'!$L$2:$L$7001))</f>
        <v>0</v>
      </c>
      <c r="I211" s="4">
        <f t="shared" si="18"/>
        <v>-2.1099999999999998E-5</v>
      </c>
      <c r="J211" s="4">
        <f t="shared" si="19"/>
        <v>237</v>
      </c>
    </row>
    <row r="212" spans="1:10" ht="15" customHeight="1" x14ac:dyDescent="0.25">
      <c r="A212" s="8">
        <f>IF(COUNT($J$2:$J$1501)&gt;=211,211,"")</f>
        <v>211</v>
      </c>
      <c r="B212" s="8" t="str">
        <f t="shared" si="15"/>
        <v>Ramirez Paulo</v>
      </c>
      <c r="C212" s="8" t="str">
        <f t="shared" si="16"/>
        <v>Atlas</v>
      </c>
      <c r="D212" s="8">
        <f t="shared" si="17"/>
        <v>0</v>
      </c>
      <c r="F212" s="4" t="str">
        <f>IF(Jugadores!B212="","",Jugadores!B212)</f>
        <v>Palacios Joshua</v>
      </c>
      <c r="G212" s="4" t="str">
        <f>IF(Jugadores!B212="","",Jugadores!A212)</f>
        <v>Necaxa</v>
      </c>
      <c r="H212" s="4">
        <f>IF(F212="","",SUMIF('Estadísticas Jugadores'!$F$2:$F$7001,F212,'Estadísticas Jugadores'!$L$2:$L$7001))</f>
        <v>0</v>
      </c>
      <c r="I212" s="4">
        <f t="shared" si="18"/>
        <v>-2.12E-5</v>
      </c>
      <c r="J212" s="4">
        <f t="shared" si="19"/>
        <v>238</v>
      </c>
    </row>
    <row r="213" spans="1:10" ht="15" customHeight="1" x14ac:dyDescent="0.25">
      <c r="A213" s="8">
        <f>IF(COUNT($J$2:$J$1501)&gt;=212,212,"")</f>
        <v>212</v>
      </c>
      <c r="B213" s="8" t="str">
        <f t="shared" si="15"/>
        <v>Rios De Alba Victor Hugo</v>
      </c>
      <c r="C213" s="8" t="str">
        <f t="shared" si="16"/>
        <v>Atlas</v>
      </c>
      <c r="D213" s="8">
        <f t="shared" si="17"/>
        <v>0</v>
      </c>
      <c r="F213" s="4" t="str">
        <f>IF(Jugadores!B213="","",Jugadores!B213)</f>
        <v>Pedraza Pedro</v>
      </c>
      <c r="G213" s="4" t="str">
        <f>IF(Jugadores!B213="","",Jugadores!A213)</f>
        <v>Necaxa</v>
      </c>
      <c r="H213" s="4">
        <f>IF(F213="","",SUMIF('Estadísticas Jugadores'!$F$2:$F$7001,F213,'Estadísticas Jugadores'!$L$2:$L$7001))</f>
        <v>0</v>
      </c>
      <c r="I213" s="4">
        <f t="shared" si="18"/>
        <v>-2.1299999999999999E-5</v>
      </c>
      <c r="J213" s="4">
        <f t="shared" si="19"/>
        <v>239</v>
      </c>
    </row>
    <row r="214" spans="1:10" ht="15" customHeight="1" x14ac:dyDescent="0.25">
      <c r="A214" s="8">
        <f>IF(COUNT($J$2:$J$1501)&gt;=213,213,"")</f>
        <v>213</v>
      </c>
      <c r="B214" s="8" t="str">
        <f t="shared" si="15"/>
        <v>Serrato Jesus</v>
      </c>
      <c r="C214" s="8" t="str">
        <f t="shared" si="16"/>
        <v>Atlas</v>
      </c>
      <c r="D214" s="8">
        <f t="shared" si="17"/>
        <v>0</v>
      </c>
      <c r="F214" s="4" t="str">
        <f>IF(Jugadores!B214="","",Jugadores!B214)</f>
        <v>Ruiz Javier</v>
      </c>
      <c r="G214" s="4" t="str">
        <f>IF(Jugadores!B214="","",Jugadores!A214)</f>
        <v>Necaxa</v>
      </c>
      <c r="H214" s="4">
        <f>IF(F214="","",SUMIF('Estadísticas Jugadores'!$F$2:$F$7001,F214,'Estadísticas Jugadores'!$L$2:$L$7001))</f>
        <v>0</v>
      </c>
      <c r="I214" s="4">
        <f t="shared" si="18"/>
        <v>-2.1399999999999998E-5</v>
      </c>
      <c r="J214" s="4">
        <f t="shared" si="19"/>
        <v>240</v>
      </c>
    </row>
    <row r="215" spans="1:10" ht="15" customHeight="1" x14ac:dyDescent="0.25">
      <c r="A215" s="8">
        <f>IF(COUNT($J$2:$J$1501)&gt;=214,214,"")</f>
        <v>214</v>
      </c>
      <c r="B215" s="8" t="str">
        <f t="shared" si="15"/>
        <v>Zaldivar Valverde Edgar</v>
      </c>
      <c r="C215" s="8" t="str">
        <f t="shared" si="16"/>
        <v>Atlas</v>
      </c>
      <c r="D215" s="8">
        <f t="shared" si="17"/>
        <v>0</v>
      </c>
      <c r="F215" s="4" t="str">
        <f>IF(Jugadores!B215="","",Jugadores!B215)</f>
        <v>Tello Israel</v>
      </c>
      <c r="G215" s="4" t="str">
        <f>IF(Jugadores!B215="","",Jugadores!A215)</f>
        <v>Necaxa</v>
      </c>
      <c r="H215" s="4">
        <f>IF(F215="","",SUMIF('Estadísticas Jugadores'!$F$2:$F$7001,F215,'Estadísticas Jugadores'!$L$2:$L$7001))</f>
        <v>0</v>
      </c>
      <c r="I215" s="4">
        <f t="shared" si="18"/>
        <v>-2.1499999999999997E-5</v>
      </c>
      <c r="J215" s="4">
        <f t="shared" si="19"/>
        <v>241</v>
      </c>
    </row>
    <row r="216" spans="1:10" ht="15" customHeight="1" x14ac:dyDescent="0.25">
      <c r="A216" s="8">
        <f>IF(COUNT($J$2:$J$1501)&gt;=215,215,"")</f>
        <v>215</v>
      </c>
      <c r="B216" s="8" t="str">
        <f t="shared" si="15"/>
        <v>Gamboa Luis</v>
      </c>
      <c r="C216" s="8" t="str">
        <f t="shared" si="16"/>
        <v>Atlas</v>
      </c>
      <c r="D216" s="8">
        <f t="shared" si="17"/>
        <v>0</v>
      </c>
      <c r="F216" s="4" t="str">
        <f>IF(Jugadores!B216="","",Jugadores!B216)</f>
        <v>Torres Patino Juan Pablo</v>
      </c>
      <c r="G216" s="4" t="str">
        <f>IF(Jugadores!B216="","",Jugadores!A216)</f>
        <v>Necaxa</v>
      </c>
      <c r="H216" s="4">
        <f>IF(F216="","",SUMIF('Estadísticas Jugadores'!$F$2:$F$7001,F216,'Estadísticas Jugadores'!$L$2:$L$7001))</f>
        <v>0</v>
      </c>
      <c r="I216" s="4">
        <f t="shared" si="18"/>
        <v>-2.16E-5</v>
      </c>
      <c r="J216" s="4">
        <f t="shared" si="19"/>
        <v>242</v>
      </c>
    </row>
    <row r="217" spans="1:10" ht="15" customHeight="1" x14ac:dyDescent="0.25">
      <c r="A217" s="8">
        <f>IF(COUNT($J$2:$J$1501)&gt;=216,216,"")</f>
        <v>216</v>
      </c>
      <c r="B217" s="8" t="str">
        <f t="shared" si="15"/>
        <v>García Mateo Ezequiel</v>
      </c>
      <c r="C217" s="8" t="str">
        <f t="shared" si="16"/>
        <v>Atlas</v>
      </c>
      <c r="D217" s="8">
        <f t="shared" si="17"/>
        <v>0</v>
      </c>
      <c r="F217" s="4" t="str">
        <f>IF(Jugadores!B217="","",Jugadores!B217)</f>
        <v>Carranza Julian</v>
      </c>
      <c r="G217" s="4" t="str">
        <f>IF(Jugadores!B217="","",Jugadores!A217)</f>
        <v>Necaxa</v>
      </c>
      <c r="H217" s="4">
        <f>IF(F217="","",SUMIF('Estadísticas Jugadores'!$F$2:$F$7001,F217,'Estadísticas Jugadores'!$L$2:$L$7001))</f>
        <v>2</v>
      </c>
      <c r="I217" s="4">
        <f t="shared" si="18"/>
        <v>1999.9999783000001</v>
      </c>
      <c r="J217" s="4">
        <f t="shared" si="19"/>
        <v>18</v>
      </c>
    </row>
    <row r="218" spans="1:10" ht="15" customHeight="1" x14ac:dyDescent="0.25">
      <c r="A218" s="8">
        <f>IF(COUNT($J$2:$J$1501)&gt;=217,217,"")</f>
        <v>217</v>
      </c>
      <c r="B218" s="8" t="str">
        <f t="shared" si="15"/>
        <v>Martin Jose</v>
      </c>
      <c r="C218" s="8" t="str">
        <f t="shared" si="16"/>
        <v>Atlas</v>
      </c>
      <c r="D218" s="8">
        <f t="shared" si="17"/>
        <v>0</v>
      </c>
      <c r="F218" s="4" t="str">
        <f>IF(Jugadores!B218="","",Jugadores!B218)</f>
        <v>Marquez Gomez Daniel</v>
      </c>
      <c r="G218" s="4" t="str">
        <f>IF(Jugadores!B218="","",Jugadores!A218)</f>
        <v>Necaxa</v>
      </c>
      <c r="H218" s="4">
        <f>IF(F218="","",SUMIF('Estadísticas Jugadores'!$F$2:$F$7001,F218,'Estadísticas Jugadores'!$L$2:$L$7001))</f>
        <v>0</v>
      </c>
      <c r="I218" s="4">
        <f t="shared" si="18"/>
        <v>-2.1799999999999998E-5</v>
      </c>
      <c r="J218" s="4">
        <f t="shared" si="19"/>
        <v>243</v>
      </c>
    </row>
    <row r="219" spans="1:10" ht="15" customHeight="1" x14ac:dyDescent="0.25">
      <c r="A219" s="8">
        <f>IF(COUNT($J$2:$J$1501)&gt;=218,218,"")</f>
        <v>218</v>
      </c>
      <c r="B219" s="8" t="str">
        <f t="shared" si="15"/>
        <v>Mmaee Ryan</v>
      </c>
      <c r="C219" s="8" t="str">
        <f t="shared" si="16"/>
        <v>Atlas</v>
      </c>
      <c r="D219" s="8">
        <f t="shared" si="17"/>
        <v>0</v>
      </c>
      <c r="F219" s="4" t="str">
        <f>IF(Jugadores!B219="","",Jugadores!B219)</f>
        <v>Monreal Ricardo</v>
      </c>
      <c r="G219" s="4" t="str">
        <f>IF(Jugadores!B219="","",Jugadores!A219)</f>
        <v>Necaxa</v>
      </c>
      <c r="H219" s="4">
        <f>IF(F219="","",SUMIF('Estadísticas Jugadores'!$F$2:$F$7001,F219,'Estadísticas Jugadores'!$L$2:$L$7001))</f>
        <v>0</v>
      </c>
      <c r="I219" s="4">
        <f t="shared" si="18"/>
        <v>-2.19E-5</v>
      </c>
      <c r="J219" s="4">
        <f t="shared" si="19"/>
        <v>244</v>
      </c>
    </row>
    <row r="220" spans="1:10" ht="15" customHeight="1" x14ac:dyDescent="0.25">
      <c r="A220" s="8">
        <f>IF(COUNT($J$2:$J$1501)&gt;=219,219,"")</f>
        <v>219</v>
      </c>
      <c r="B220" s="8" t="str">
        <f t="shared" si="15"/>
        <v>Rodriguez Agustin</v>
      </c>
      <c r="C220" s="8" t="str">
        <f t="shared" si="16"/>
        <v>Atlas</v>
      </c>
      <c r="D220" s="8">
        <f t="shared" si="17"/>
        <v>0</v>
      </c>
      <c r="F220" s="4" t="str">
        <f>IF(Jugadores!B220="","",Jugadores!B220)</f>
        <v>Pedroza Misael</v>
      </c>
      <c r="G220" s="4" t="str">
        <f>IF(Jugadores!B220="","",Jugadores!A220)</f>
        <v>Necaxa</v>
      </c>
      <c r="H220" s="4">
        <f>IF(F220="","",SUMIF('Estadísticas Jugadores'!$F$2:$F$7001,F220,'Estadísticas Jugadores'!$L$2:$L$7001))</f>
        <v>1</v>
      </c>
      <c r="I220" s="4">
        <f t="shared" si="18"/>
        <v>999.99997800000006</v>
      </c>
      <c r="J220" s="4">
        <f t="shared" si="19"/>
        <v>31</v>
      </c>
    </row>
    <row r="221" spans="1:10" ht="15" customHeight="1" x14ac:dyDescent="0.25">
      <c r="A221" s="8">
        <f>IF(COUNT($J$2:$J$1501)&gt;=220,220,"")</f>
        <v>220</v>
      </c>
      <c r="B221" s="8" t="str">
        <f t="shared" si="15"/>
        <v>del Prete Gustavo</v>
      </c>
      <c r="C221" s="8" t="str">
        <f t="shared" si="16"/>
        <v>Atlas</v>
      </c>
      <c r="D221" s="8">
        <f t="shared" si="17"/>
        <v>0</v>
      </c>
      <c r="F221" s="4" t="str">
        <f>IF(Jugadores!B221="","",Jugadores!B221)</f>
        <v>Rodriguez Emilio</v>
      </c>
      <c r="G221" s="4" t="str">
        <f>IF(Jugadores!B221="","",Jugadores!A221)</f>
        <v>Necaxa</v>
      </c>
      <c r="H221" s="4">
        <f>IF(F221="","",SUMIF('Estadísticas Jugadores'!$F$2:$F$7001,F221,'Estadísticas Jugadores'!$L$2:$L$7001))</f>
        <v>0</v>
      </c>
      <c r="I221" s="4">
        <f t="shared" si="18"/>
        <v>-2.2099999999999998E-5</v>
      </c>
      <c r="J221" s="4">
        <f t="shared" si="19"/>
        <v>245</v>
      </c>
    </row>
    <row r="222" spans="1:10" ht="15" customHeight="1" x14ac:dyDescent="0.25">
      <c r="A222" s="8">
        <f>IF(COUNT($J$2:$J$1501)&gt;=221,221,"")</f>
        <v>221</v>
      </c>
      <c r="B222" s="8" t="str">
        <f t="shared" si="15"/>
        <v>Andrade Christopher</v>
      </c>
      <c r="C222" s="8" t="str">
        <f t="shared" si="16"/>
        <v>Necaxa</v>
      </c>
      <c r="D222" s="8">
        <f t="shared" si="17"/>
        <v>0</v>
      </c>
      <c r="F222" s="4" t="str">
        <f>IF(Jugadores!B222="","",Jugadores!B222)</f>
        <v>Rosero Kevin</v>
      </c>
      <c r="G222" s="4" t="str">
        <f>IF(Jugadores!B222="","",Jugadores!A222)</f>
        <v>Necaxa</v>
      </c>
      <c r="H222" s="4">
        <f>IF(F222="","",SUMIF('Estadísticas Jugadores'!$F$2:$F$7001,F222,'Estadísticas Jugadores'!$L$2:$L$7001))</f>
        <v>0</v>
      </c>
      <c r="I222" s="4">
        <f t="shared" si="18"/>
        <v>-2.2199999999999998E-5</v>
      </c>
      <c r="J222" s="4">
        <f t="shared" si="19"/>
        <v>246</v>
      </c>
    </row>
    <row r="223" spans="1:10" ht="15" customHeight="1" x14ac:dyDescent="0.25">
      <c r="A223" s="8">
        <f>IF(COUNT($J$2:$J$1501)&gt;=222,222,"")</f>
        <v>222</v>
      </c>
      <c r="B223" s="8" t="str">
        <f t="shared" si="15"/>
        <v>Jimenez Luis</v>
      </c>
      <c r="C223" s="8" t="str">
        <f t="shared" si="16"/>
        <v>Necaxa</v>
      </c>
      <c r="D223" s="8">
        <f t="shared" si="17"/>
        <v>0</v>
      </c>
      <c r="F223" s="4" t="str">
        <f>IF(Jugadores!B223="","",Jugadores!B223)</f>
        <v>Valencia Juan</v>
      </c>
      <c r="G223" s="4" t="str">
        <f>IF(Jugadores!B223="","",Jugadores!A223)</f>
        <v>Necaxa</v>
      </c>
      <c r="H223" s="4">
        <f>IF(F223="","",SUMIF('Estadísticas Jugadores'!$F$2:$F$7001,F223,'Estadísticas Jugadores'!$L$2:$L$7001))</f>
        <v>0</v>
      </c>
      <c r="I223" s="4">
        <f t="shared" si="18"/>
        <v>-2.23E-5</v>
      </c>
      <c r="J223" s="4">
        <f t="shared" si="19"/>
        <v>247</v>
      </c>
    </row>
    <row r="224" spans="1:10" ht="15" customHeight="1" x14ac:dyDescent="0.25">
      <c r="A224" s="8">
        <f>IF(COUNT($J$2:$J$1501)&gt;=223,223,"")</f>
        <v>223</v>
      </c>
      <c r="B224" s="8" t="str">
        <f t="shared" si="15"/>
        <v>Alonso Ricardo</v>
      </c>
      <c r="C224" s="8" t="str">
        <f t="shared" si="16"/>
        <v>Necaxa</v>
      </c>
      <c r="D224" s="8">
        <f t="shared" si="17"/>
        <v>0</v>
      </c>
      <c r="F224" s="4" t="str">
        <f>IF(Jugadores!B224="","",Jugadores!B224)</f>
        <v>Cota Rodolfo</v>
      </c>
      <c r="G224" s="4" t="str">
        <f>IF(Jugadores!B224="","",Jugadores!A224)</f>
        <v>Club América</v>
      </c>
      <c r="H224" s="4">
        <f>IF(F224="","",SUMIF('Estadísticas Jugadores'!$F$2:$F$7001,F224,'Estadísticas Jugadores'!$L$2:$L$7001))</f>
        <v>0</v>
      </c>
      <c r="I224" s="4">
        <f t="shared" si="18"/>
        <v>-2.2399999999999999E-5</v>
      </c>
      <c r="J224" s="4">
        <f t="shared" si="19"/>
        <v>248</v>
      </c>
    </row>
    <row r="225" spans="1:10" ht="15" customHeight="1" x14ac:dyDescent="0.25">
      <c r="A225" s="8">
        <f>IF(COUNT($J$2:$J$1501)&gt;=224,224,"")</f>
        <v>224</v>
      </c>
      <c r="B225" s="8" t="str">
        <f t="shared" si="15"/>
        <v>Martinez Emilio</v>
      </c>
      <c r="C225" s="8" t="str">
        <f t="shared" si="16"/>
        <v>Necaxa</v>
      </c>
      <c r="D225" s="8">
        <f t="shared" si="17"/>
        <v>0</v>
      </c>
      <c r="F225" s="4" t="str">
        <f>IF(Jugadores!B225="","",Jugadores!B225)</f>
        <v>Lugo Cesar</v>
      </c>
      <c r="G225" s="4" t="str">
        <f>IF(Jugadores!B225="","",Jugadores!A225)</f>
        <v>Club América</v>
      </c>
      <c r="H225" s="4">
        <f>IF(F225="","",SUMIF('Estadísticas Jugadores'!$F$2:$F$7001,F225,'Estadísticas Jugadores'!$L$2:$L$7001))</f>
        <v>0</v>
      </c>
      <c r="I225" s="4">
        <f t="shared" si="18"/>
        <v>-2.2499999999999998E-5</v>
      </c>
      <c r="J225" s="4">
        <f t="shared" si="19"/>
        <v>249</v>
      </c>
    </row>
    <row r="226" spans="1:10" ht="15" customHeight="1" x14ac:dyDescent="0.25">
      <c r="A226" s="8">
        <f>IF(COUNT($J$2:$J$1501)&gt;=225,225,"")</f>
        <v>225</v>
      </c>
      <c r="B226" s="8" t="str">
        <f t="shared" si="15"/>
        <v>Martinez Raul</v>
      </c>
      <c r="C226" s="8" t="str">
        <f t="shared" si="16"/>
        <v>Necaxa</v>
      </c>
      <c r="D226" s="8">
        <f t="shared" si="17"/>
        <v>0</v>
      </c>
      <c r="F226" s="4" t="str">
        <f>IF(Jugadores!B226="","",Jugadores!B226)</f>
        <v>Malagon Luis</v>
      </c>
      <c r="G226" s="4" t="str">
        <f>IF(Jugadores!B226="","",Jugadores!A226)</f>
        <v>Club América</v>
      </c>
      <c r="H226" s="4">
        <f>IF(F226="","",SUMIF('Estadísticas Jugadores'!$F$2:$F$7001,F226,'Estadísticas Jugadores'!$L$2:$L$7001))</f>
        <v>0</v>
      </c>
      <c r="I226" s="4">
        <f t="shared" si="18"/>
        <v>-2.26E-5</v>
      </c>
      <c r="J226" s="4">
        <f t="shared" si="19"/>
        <v>250</v>
      </c>
    </row>
    <row r="227" spans="1:10" ht="15" customHeight="1" x14ac:dyDescent="0.25">
      <c r="A227" s="8">
        <f>IF(COUNT($J$2:$J$1501)&gt;=226,226,"")</f>
        <v>226</v>
      </c>
      <c r="B227" s="8" t="str">
        <f t="shared" si="15"/>
        <v>Mendez Francisco</v>
      </c>
      <c r="C227" s="8" t="str">
        <f t="shared" si="16"/>
        <v>Necaxa</v>
      </c>
      <c r="D227" s="8">
        <f t="shared" si="17"/>
        <v>0</v>
      </c>
      <c r="F227" s="4" t="str">
        <f>IF(Jugadores!B227="","",Jugadores!B227)</f>
        <v>Tapia Fernando</v>
      </c>
      <c r="G227" s="4" t="str">
        <f>IF(Jugadores!B227="","",Jugadores!A227)</f>
        <v>Club América</v>
      </c>
      <c r="H227" s="4">
        <f>IF(F227="","",SUMIF('Estadísticas Jugadores'!$F$2:$F$7001,F227,'Estadísticas Jugadores'!$L$2:$L$7001))</f>
        <v>0</v>
      </c>
      <c r="I227" s="4">
        <f t="shared" si="18"/>
        <v>-2.27E-5</v>
      </c>
      <c r="J227" s="4">
        <f t="shared" si="19"/>
        <v>251</v>
      </c>
    </row>
    <row r="228" spans="1:10" ht="15" customHeight="1" x14ac:dyDescent="0.25">
      <c r="A228" s="8">
        <f>IF(COUNT($J$2:$J$1501)&gt;=227,227,"")</f>
        <v>227</v>
      </c>
      <c r="B228" s="8" t="str">
        <f t="shared" si="15"/>
        <v>Ochoa Diego</v>
      </c>
      <c r="C228" s="8" t="str">
        <f t="shared" si="16"/>
        <v>Necaxa</v>
      </c>
      <c r="D228" s="8">
        <f t="shared" si="17"/>
        <v>0</v>
      </c>
      <c r="F228" s="4" t="str">
        <f>IF(Jugadores!B228="","",Jugadores!B228)</f>
        <v>Alvarez Kevin</v>
      </c>
      <c r="G228" s="4" t="str">
        <f>IF(Jugadores!B228="","",Jugadores!A228)</f>
        <v>Club América</v>
      </c>
      <c r="H228" s="4">
        <f>IF(F228="","",SUMIF('Estadísticas Jugadores'!$F$2:$F$7001,F228,'Estadísticas Jugadores'!$L$2:$L$7001))</f>
        <v>0</v>
      </c>
      <c r="I228" s="4">
        <f t="shared" si="18"/>
        <v>-2.2799999999999999E-5</v>
      </c>
      <c r="J228" s="4">
        <f t="shared" si="19"/>
        <v>252</v>
      </c>
    </row>
    <row r="229" spans="1:10" ht="15" customHeight="1" x14ac:dyDescent="0.25">
      <c r="A229" s="8">
        <f>IF(COUNT($J$2:$J$1501)&gt;=228,228,"")</f>
        <v>228</v>
      </c>
      <c r="B229" s="8" t="str">
        <f t="shared" si="15"/>
        <v>Oliveros Agustin</v>
      </c>
      <c r="C229" s="8" t="str">
        <f t="shared" si="16"/>
        <v>Necaxa</v>
      </c>
      <c r="D229" s="8">
        <f t="shared" si="17"/>
        <v>0</v>
      </c>
      <c r="F229" s="4" t="str">
        <f>IF(Jugadores!B229="","",Jugadores!B229)</f>
        <v>Araujo Munoz Andres Marioni</v>
      </c>
      <c r="G229" s="4" t="str">
        <f>IF(Jugadores!B229="","",Jugadores!A229)</f>
        <v>Club América</v>
      </c>
      <c r="H229" s="4">
        <f>IF(F229="","",SUMIF('Estadísticas Jugadores'!$F$2:$F$7001,F229,'Estadísticas Jugadores'!$L$2:$L$7001))</f>
        <v>0</v>
      </c>
      <c r="I229" s="4">
        <f t="shared" si="18"/>
        <v>-2.2899999999999998E-5</v>
      </c>
      <c r="J229" s="4">
        <f t="shared" si="19"/>
        <v>253</v>
      </c>
    </row>
    <row r="230" spans="1:10" ht="15" customHeight="1" x14ac:dyDescent="0.25">
      <c r="A230" s="8">
        <f>IF(COUNT($J$2:$J$1501)&gt;=229,229,"")</f>
        <v>229</v>
      </c>
      <c r="B230" s="8" t="str">
        <f t="shared" si="15"/>
        <v>Pena Alexis</v>
      </c>
      <c r="C230" s="8" t="str">
        <f t="shared" si="16"/>
        <v>Necaxa</v>
      </c>
      <c r="D230" s="8">
        <f t="shared" si="17"/>
        <v>0</v>
      </c>
      <c r="F230" s="4" t="str">
        <f>IF(Jugadores!B230="","",Jugadores!B230)</f>
        <v>Borja Cristian</v>
      </c>
      <c r="G230" s="4" t="str">
        <f>IF(Jugadores!B230="","",Jugadores!A230)</f>
        <v>Club América</v>
      </c>
      <c r="H230" s="4">
        <f>IF(F230="","",SUMIF('Estadísticas Jugadores'!$F$2:$F$7001,F230,'Estadísticas Jugadores'!$L$2:$L$7001))</f>
        <v>0</v>
      </c>
      <c r="I230" s="4">
        <f t="shared" si="18"/>
        <v>-2.3E-5</v>
      </c>
      <c r="J230" s="4">
        <f t="shared" si="19"/>
        <v>254</v>
      </c>
    </row>
    <row r="231" spans="1:10" ht="15" customHeight="1" x14ac:dyDescent="0.25">
      <c r="A231" s="8">
        <f>IF(COUNT($J$2:$J$1501)&gt;=230,230,"")</f>
        <v>230</v>
      </c>
      <c r="B231" s="8" t="str">
        <f t="shared" si="15"/>
        <v>Vargas Carlos</v>
      </c>
      <c r="C231" s="8" t="str">
        <f t="shared" si="16"/>
        <v>Necaxa</v>
      </c>
      <c r="D231" s="8">
        <f t="shared" si="17"/>
        <v>0</v>
      </c>
      <c r="F231" s="4" t="str">
        <f>IF(Jugadores!B231="","",Jugadores!B231)</f>
        <v>Caceres Sebastian</v>
      </c>
      <c r="G231" s="4" t="str">
        <f>IF(Jugadores!B231="","",Jugadores!A231)</f>
        <v>Club América</v>
      </c>
      <c r="H231" s="4">
        <f>IF(F231="","",SUMIF('Estadísticas Jugadores'!$F$2:$F$7001,F231,'Estadísticas Jugadores'!$L$2:$L$7001))</f>
        <v>0</v>
      </c>
      <c r="I231" s="4">
        <f t="shared" si="18"/>
        <v>-2.3099999999999999E-5</v>
      </c>
      <c r="J231" s="4">
        <f t="shared" si="19"/>
        <v>255</v>
      </c>
    </row>
    <row r="232" spans="1:10" ht="15" customHeight="1" x14ac:dyDescent="0.25">
      <c r="A232" s="8">
        <f>IF(COUNT($J$2:$J$1501)&gt;=231,231,"")</f>
        <v>231</v>
      </c>
      <c r="B232" s="8" t="str">
        <f t="shared" si="15"/>
        <v>Zaleta Oropeza Mauro Aldair</v>
      </c>
      <c r="C232" s="8" t="str">
        <f t="shared" si="16"/>
        <v>Necaxa</v>
      </c>
      <c r="D232" s="8">
        <f t="shared" si="17"/>
        <v>0</v>
      </c>
      <c r="F232" s="4" t="str">
        <f>IF(Jugadores!B232="","",Jugadores!B232)</f>
        <v>Espinosa Dovat Thiago Nahuel</v>
      </c>
      <c r="G232" s="4" t="str">
        <f>IF(Jugadores!B232="","",Jugadores!A232)</f>
        <v>Club América</v>
      </c>
      <c r="H232" s="4">
        <f>IF(F232="","",SUMIF('Estadísticas Jugadores'!$F$2:$F$7001,F232,'Estadísticas Jugadores'!$L$2:$L$7001))</f>
        <v>0</v>
      </c>
      <c r="I232" s="4">
        <f t="shared" si="18"/>
        <v>-2.3199999999999998E-5</v>
      </c>
      <c r="J232" s="4">
        <f t="shared" si="19"/>
        <v>256</v>
      </c>
    </row>
    <row r="233" spans="1:10" ht="15" customHeight="1" x14ac:dyDescent="0.25">
      <c r="A233" s="8">
        <f>IF(COUNT($J$2:$J$1501)&gt;=232,232,"")</f>
        <v>232</v>
      </c>
      <c r="B233" s="8" t="str">
        <f t="shared" si="15"/>
        <v>Cortez Rogelio</v>
      </c>
      <c r="C233" s="8" t="str">
        <f t="shared" si="16"/>
        <v>Necaxa</v>
      </c>
      <c r="D233" s="8">
        <f t="shared" si="17"/>
        <v>0</v>
      </c>
      <c r="F233" s="4" t="str">
        <f>IF(Jugadores!B233="","",Jugadores!B233)</f>
        <v>Espinoza Dagoberto</v>
      </c>
      <c r="G233" s="4" t="str">
        <f>IF(Jugadores!B233="","",Jugadores!A233)</f>
        <v>Club América</v>
      </c>
      <c r="H233" s="4">
        <f>IF(F233="","",SUMIF('Estadísticas Jugadores'!$F$2:$F$7001,F233,'Estadísticas Jugadores'!$L$2:$L$7001))</f>
        <v>0</v>
      </c>
      <c r="I233" s="4">
        <f t="shared" si="18"/>
        <v>-2.3300000000000001E-5</v>
      </c>
      <c r="J233" s="4">
        <f t="shared" si="19"/>
        <v>257</v>
      </c>
    </row>
    <row r="234" spans="1:10" ht="15" customHeight="1" x14ac:dyDescent="0.25">
      <c r="A234" s="8">
        <f>IF(COUNT($J$2:$J$1501)&gt;=233,233,"")</f>
        <v>233</v>
      </c>
      <c r="B234" s="8" t="str">
        <f t="shared" si="15"/>
        <v>Espindola Matias</v>
      </c>
      <c r="C234" s="8" t="str">
        <f t="shared" si="16"/>
        <v>Necaxa</v>
      </c>
      <c r="D234" s="8">
        <f t="shared" si="17"/>
        <v>0</v>
      </c>
      <c r="F234" s="4" t="str">
        <f>IF(Jugadores!B234="","",Jugadores!B234)</f>
        <v>Juarez Ramon</v>
      </c>
      <c r="G234" s="4" t="str">
        <f>IF(Jugadores!B234="","",Jugadores!A234)</f>
        <v>Club América</v>
      </c>
      <c r="H234" s="4">
        <f>IF(F234="","",SUMIF('Estadísticas Jugadores'!$F$2:$F$7001,F234,'Estadísticas Jugadores'!$L$2:$L$7001))</f>
        <v>0</v>
      </c>
      <c r="I234" s="4">
        <f t="shared" si="18"/>
        <v>-2.34E-5</v>
      </c>
      <c r="J234" s="4">
        <f t="shared" si="19"/>
        <v>258</v>
      </c>
    </row>
    <row r="235" spans="1:10" ht="15" customHeight="1" x14ac:dyDescent="0.25">
      <c r="A235" s="8">
        <f>IF(COUNT($J$2:$J$1501)&gt;=234,234,"")</f>
        <v>234</v>
      </c>
      <c r="B235" s="8" t="str">
        <f t="shared" si="15"/>
        <v>Faravelli Lorenzo</v>
      </c>
      <c r="C235" s="8" t="str">
        <f t="shared" si="16"/>
        <v>Necaxa</v>
      </c>
      <c r="D235" s="8">
        <f t="shared" si="17"/>
        <v>0</v>
      </c>
      <c r="F235" s="4" t="str">
        <f>IF(Jugadores!B235="","",Jugadores!B235)</f>
        <v>Mejáa Aaron</v>
      </c>
      <c r="G235" s="4" t="str">
        <f>IF(Jugadores!B235="","",Jugadores!A235)</f>
        <v>Club América</v>
      </c>
      <c r="H235" s="4">
        <f>IF(F235="","",SUMIF('Estadísticas Jugadores'!$F$2:$F$7001,F235,'Estadísticas Jugadores'!$L$2:$L$7001))</f>
        <v>0</v>
      </c>
      <c r="I235" s="4">
        <f t="shared" si="18"/>
        <v>-2.3499999999999999E-5</v>
      </c>
      <c r="J235" s="4">
        <f t="shared" si="19"/>
        <v>259</v>
      </c>
    </row>
    <row r="236" spans="1:10" ht="15" customHeight="1" x14ac:dyDescent="0.25">
      <c r="A236" s="8">
        <f>IF(COUNT($J$2:$J$1501)&gt;=235,235,"")</f>
        <v>235</v>
      </c>
      <c r="B236" s="8" t="str">
        <f t="shared" si="15"/>
        <v>Ibarra Luis</v>
      </c>
      <c r="C236" s="8" t="str">
        <f t="shared" si="16"/>
        <v>Necaxa</v>
      </c>
      <c r="D236" s="8">
        <f t="shared" si="17"/>
        <v>0</v>
      </c>
      <c r="F236" s="4" t="str">
        <f>IF(Jugadores!B236="","",Jugadores!B236)</f>
        <v>Reyes Israel</v>
      </c>
      <c r="G236" s="4" t="str">
        <f>IF(Jugadores!B236="","",Jugadores!A236)</f>
        <v>Club América</v>
      </c>
      <c r="H236" s="4">
        <f>IF(F236="","",SUMIF('Estadísticas Jugadores'!$F$2:$F$7001,F236,'Estadísticas Jugadores'!$L$2:$L$7001))</f>
        <v>0</v>
      </c>
      <c r="I236" s="4">
        <f t="shared" si="18"/>
        <v>-2.3599999999999998E-5</v>
      </c>
      <c r="J236" s="4">
        <f t="shared" si="19"/>
        <v>260</v>
      </c>
    </row>
    <row r="237" spans="1:10" ht="15" customHeight="1" x14ac:dyDescent="0.25">
      <c r="A237" s="8">
        <f>IF(COUNT($J$2:$J$1501)&gt;=236,236,"")</f>
        <v>236</v>
      </c>
      <c r="B237" s="8" t="str">
        <f t="shared" si="15"/>
        <v>Leyva Danny</v>
      </c>
      <c r="C237" s="8" t="str">
        <f t="shared" si="16"/>
        <v>Necaxa</v>
      </c>
      <c r="D237" s="8">
        <f t="shared" si="17"/>
        <v>0</v>
      </c>
      <c r="F237" s="4" t="str">
        <f>IF(Jugadores!B237="","",Jugadores!B237)</f>
        <v>Rossano Franco</v>
      </c>
      <c r="G237" s="4" t="str">
        <f>IF(Jugadores!B237="","",Jugadores!A237)</f>
        <v>Club América</v>
      </c>
      <c r="H237" s="4">
        <f>IF(F237="","",SUMIF('Estadísticas Jugadores'!$F$2:$F$7001,F237,'Estadísticas Jugadores'!$L$2:$L$7001))</f>
        <v>0</v>
      </c>
      <c r="I237" s="4">
        <f t="shared" si="18"/>
        <v>-2.37E-5</v>
      </c>
      <c r="J237" s="4">
        <f t="shared" si="19"/>
        <v>261</v>
      </c>
    </row>
    <row r="238" spans="1:10" ht="15" customHeight="1" x14ac:dyDescent="0.25">
      <c r="A238" s="8">
        <f>IF(COUNT($J$2:$J$1501)&gt;=237,237,"")</f>
        <v>237</v>
      </c>
      <c r="B238" s="8" t="str">
        <f t="shared" si="15"/>
        <v>Moreno Arath</v>
      </c>
      <c r="C238" s="8" t="str">
        <f t="shared" si="16"/>
        <v>Necaxa</v>
      </c>
      <c r="D238" s="8">
        <f t="shared" si="17"/>
        <v>0</v>
      </c>
      <c r="F238" s="4" t="str">
        <f>IF(Jugadores!B238="","",Jugadores!B238)</f>
        <v>Vazquez Miguel</v>
      </c>
      <c r="G238" s="4" t="str">
        <f>IF(Jugadores!B238="","",Jugadores!A238)</f>
        <v>Club América</v>
      </c>
      <c r="H238" s="4">
        <f>IF(F238="","",SUMIF('Estadísticas Jugadores'!$F$2:$F$7001,F238,'Estadísticas Jugadores'!$L$2:$L$7001))</f>
        <v>0</v>
      </c>
      <c r="I238" s="4">
        <f t="shared" si="18"/>
        <v>-2.3799999999999999E-5</v>
      </c>
      <c r="J238" s="4">
        <f t="shared" si="19"/>
        <v>262</v>
      </c>
    </row>
    <row r="239" spans="1:10" ht="15" customHeight="1" x14ac:dyDescent="0.25">
      <c r="A239" s="8">
        <f>IF(COUNT($J$2:$J$1501)&gt;=238,238,"")</f>
        <v>238</v>
      </c>
      <c r="B239" s="8" t="str">
        <f t="shared" si="15"/>
        <v>Palacios Joshua</v>
      </c>
      <c r="C239" s="8" t="str">
        <f t="shared" si="16"/>
        <v>Necaxa</v>
      </c>
      <c r="D239" s="8">
        <f t="shared" si="17"/>
        <v>0</v>
      </c>
      <c r="F239" s="4" t="str">
        <f>IF(Jugadores!B239="","",Jugadores!B239)</f>
        <v>Arriaga Diego</v>
      </c>
      <c r="G239" s="4" t="str">
        <f>IF(Jugadores!B239="","",Jugadores!A239)</f>
        <v>Club América</v>
      </c>
      <c r="H239" s="4">
        <f>IF(F239="","",SUMIF('Estadísticas Jugadores'!$F$2:$F$7001,F239,'Estadísticas Jugadores'!$L$2:$L$7001))</f>
        <v>0</v>
      </c>
      <c r="I239" s="4">
        <f t="shared" si="18"/>
        <v>-2.3899999999999998E-5</v>
      </c>
      <c r="J239" s="4">
        <f t="shared" si="19"/>
        <v>263</v>
      </c>
    </row>
    <row r="240" spans="1:10" ht="15" customHeight="1" x14ac:dyDescent="0.25">
      <c r="A240" s="8">
        <f>IF(COUNT($J$2:$J$1501)&gt;=239,239,"")</f>
        <v>239</v>
      </c>
      <c r="B240" s="8" t="str">
        <f t="shared" si="15"/>
        <v>Pedraza Pedro</v>
      </c>
      <c r="C240" s="8" t="str">
        <f t="shared" si="16"/>
        <v>Necaxa</v>
      </c>
      <c r="D240" s="8">
        <f t="shared" si="17"/>
        <v>0</v>
      </c>
      <c r="F240" s="4" t="str">
        <f>IF(Jugadores!B240="","",Jugadores!B240)</f>
        <v>Cervantes Martin del Campo Alan Jhosue</v>
      </c>
      <c r="G240" s="4" t="str">
        <f>IF(Jugadores!B240="","",Jugadores!A240)</f>
        <v>Club América</v>
      </c>
      <c r="H240" s="4">
        <f>IF(F240="","",SUMIF('Estadísticas Jugadores'!$F$2:$F$7001,F240,'Estadísticas Jugadores'!$L$2:$L$7001))</f>
        <v>0</v>
      </c>
      <c r="I240" s="4">
        <f t="shared" si="18"/>
        <v>-2.4000000000000001E-5</v>
      </c>
      <c r="J240" s="4">
        <f t="shared" si="19"/>
        <v>264</v>
      </c>
    </row>
    <row r="241" spans="1:10" ht="15" customHeight="1" x14ac:dyDescent="0.25">
      <c r="A241" s="8">
        <f>IF(COUNT($J$2:$J$1501)&gt;=240,240,"")</f>
        <v>240</v>
      </c>
      <c r="B241" s="8" t="str">
        <f t="shared" si="15"/>
        <v>Ruiz Javier</v>
      </c>
      <c r="C241" s="8" t="str">
        <f t="shared" si="16"/>
        <v>Necaxa</v>
      </c>
      <c r="D241" s="8">
        <f t="shared" si="17"/>
        <v>0</v>
      </c>
      <c r="F241" s="4" t="str">
        <f>IF(Jugadores!B241="","",Jugadores!B241)</f>
        <v>Gutierrez Torres Alexis Hazael</v>
      </c>
      <c r="G241" s="4" t="str">
        <f>IF(Jugadores!B241="","",Jugadores!A241)</f>
        <v>Club América</v>
      </c>
      <c r="H241" s="4">
        <f>IF(F241="","",SUMIF('Estadísticas Jugadores'!$F$2:$F$7001,F241,'Estadísticas Jugadores'!$L$2:$L$7001))</f>
        <v>0</v>
      </c>
      <c r="I241" s="4">
        <f t="shared" si="18"/>
        <v>-2.41E-5</v>
      </c>
      <c r="J241" s="4">
        <f t="shared" si="19"/>
        <v>265</v>
      </c>
    </row>
    <row r="242" spans="1:10" ht="15" customHeight="1" x14ac:dyDescent="0.25">
      <c r="A242" s="8">
        <f>IF(COUNT($J$2:$J$1501)&gt;=241,241,"")</f>
        <v>241</v>
      </c>
      <c r="B242" s="8" t="str">
        <f t="shared" si="15"/>
        <v>Tello Israel</v>
      </c>
      <c r="C242" s="8" t="str">
        <f t="shared" si="16"/>
        <v>Necaxa</v>
      </c>
      <c r="D242" s="8">
        <f t="shared" si="17"/>
        <v>0</v>
      </c>
      <c r="F242" s="4" t="str">
        <f>IF(Jugadores!B242="","",Jugadores!B242)</f>
        <v>Icaro</v>
      </c>
      <c r="G242" s="4" t="str">
        <f>IF(Jugadores!B242="","",Jugadores!A242)</f>
        <v>Club América</v>
      </c>
      <c r="H242" s="4">
        <f>IF(F242="","",SUMIF('Estadísticas Jugadores'!$F$2:$F$7001,F242,'Estadísticas Jugadores'!$L$2:$L$7001))</f>
        <v>0</v>
      </c>
      <c r="I242" s="4">
        <f t="shared" si="18"/>
        <v>-2.4199999999999999E-5</v>
      </c>
      <c r="J242" s="4">
        <f t="shared" si="19"/>
        <v>266</v>
      </c>
    </row>
    <row r="243" spans="1:10" ht="15" customHeight="1" x14ac:dyDescent="0.25">
      <c r="A243" s="8">
        <f>IF(COUNT($J$2:$J$1501)&gt;=242,242,"")</f>
        <v>242</v>
      </c>
      <c r="B243" s="8" t="str">
        <f t="shared" si="15"/>
        <v>Torres Patino Juan Pablo</v>
      </c>
      <c r="C243" s="8" t="str">
        <f t="shared" si="16"/>
        <v>Necaxa</v>
      </c>
      <c r="D243" s="8">
        <f t="shared" si="17"/>
        <v>0</v>
      </c>
      <c r="F243" s="4" t="str">
        <f>IF(Jugadores!B243="","",Jugadores!B243)</f>
        <v>Lima</v>
      </c>
      <c r="G243" s="4" t="str">
        <f>IF(Jugadores!B243="","",Jugadores!A243)</f>
        <v>Club América</v>
      </c>
      <c r="H243" s="4">
        <f>IF(F243="","",SUMIF('Estadísticas Jugadores'!$F$2:$F$7001,F243,'Estadísticas Jugadores'!$L$2:$L$7001))</f>
        <v>0</v>
      </c>
      <c r="I243" s="4">
        <f t="shared" si="18"/>
        <v>-2.4299999999999998E-5</v>
      </c>
      <c r="J243" s="4">
        <f t="shared" si="19"/>
        <v>267</v>
      </c>
    </row>
    <row r="244" spans="1:10" ht="15" customHeight="1" x14ac:dyDescent="0.25">
      <c r="A244" s="8">
        <f>IF(COUNT($J$2:$J$1501)&gt;=243,243,"")</f>
        <v>243</v>
      </c>
      <c r="B244" s="8" t="str">
        <f t="shared" si="15"/>
        <v>Marquez Gomez Daniel</v>
      </c>
      <c r="C244" s="8" t="str">
        <f t="shared" si="16"/>
        <v>Necaxa</v>
      </c>
      <c r="D244" s="8">
        <f t="shared" si="17"/>
        <v>0</v>
      </c>
      <c r="F244" s="4" t="str">
        <f>IF(Jugadores!B244="","",Jugadores!B244)</f>
        <v>Naveda Santiago</v>
      </c>
      <c r="G244" s="4" t="str">
        <f>IF(Jugadores!B244="","",Jugadores!A244)</f>
        <v>Club América</v>
      </c>
      <c r="H244" s="4">
        <f>IF(F244="","",SUMIF('Estadísticas Jugadores'!$F$2:$F$7001,F244,'Estadísticas Jugadores'!$L$2:$L$7001))</f>
        <v>0</v>
      </c>
      <c r="I244" s="4">
        <f t="shared" si="18"/>
        <v>-2.44E-5</v>
      </c>
      <c r="J244" s="4">
        <f t="shared" si="19"/>
        <v>268</v>
      </c>
    </row>
    <row r="245" spans="1:10" ht="15" customHeight="1" x14ac:dyDescent="0.25">
      <c r="A245" s="8">
        <f>IF(COUNT($J$2:$J$1501)&gt;=244,244,"")</f>
        <v>244</v>
      </c>
      <c r="B245" s="8" t="str">
        <f t="shared" si="15"/>
        <v>Monreal Ricardo</v>
      </c>
      <c r="C245" s="8" t="str">
        <f t="shared" si="16"/>
        <v>Necaxa</v>
      </c>
      <c r="D245" s="8">
        <f t="shared" si="17"/>
        <v>0</v>
      </c>
      <c r="F245" s="4" t="str">
        <f>IF(Jugadores!B245="","",Jugadores!B245)</f>
        <v>Raphael Veiga</v>
      </c>
      <c r="G245" s="4" t="str">
        <f>IF(Jugadores!B245="","",Jugadores!A245)</f>
        <v>Club América</v>
      </c>
      <c r="H245" s="4">
        <f>IF(F245="","",SUMIF('Estadísticas Jugadores'!$F$2:$F$7001,F245,'Estadísticas Jugadores'!$L$2:$L$7001))</f>
        <v>2</v>
      </c>
      <c r="I245" s="4">
        <f t="shared" si="18"/>
        <v>1999.9999754999999</v>
      </c>
      <c r="J245" s="4">
        <f t="shared" si="19"/>
        <v>19</v>
      </c>
    </row>
    <row r="246" spans="1:10" ht="15" customHeight="1" x14ac:dyDescent="0.25">
      <c r="A246" s="8">
        <f>IF(COUNT($J$2:$J$1501)&gt;=245,245,"")</f>
        <v>245</v>
      </c>
      <c r="B246" s="8" t="str">
        <f t="shared" si="15"/>
        <v>Rodriguez Emilio</v>
      </c>
      <c r="C246" s="8" t="str">
        <f t="shared" si="16"/>
        <v>Necaxa</v>
      </c>
      <c r="D246" s="8">
        <f t="shared" si="17"/>
        <v>0</v>
      </c>
      <c r="F246" s="4" t="str">
        <f>IF(Jugadores!B246="","",Jugadores!B246)</f>
        <v>Rodrigo Dourado</v>
      </c>
      <c r="G246" s="4" t="str">
        <f>IF(Jugadores!B246="","",Jugadores!A246)</f>
        <v>Club América</v>
      </c>
      <c r="H246" s="4">
        <f>IF(F246="","",SUMIF('Estadísticas Jugadores'!$F$2:$F$7001,F246,'Estadísticas Jugadores'!$L$2:$L$7001))</f>
        <v>0</v>
      </c>
      <c r="I246" s="4">
        <f t="shared" si="18"/>
        <v>-2.4599999999999998E-5</v>
      </c>
      <c r="J246" s="4">
        <f t="shared" si="19"/>
        <v>269</v>
      </c>
    </row>
    <row r="247" spans="1:10" ht="15" customHeight="1" x14ac:dyDescent="0.25">
      <c r="A247" s="8">
        <f>IF(COUNT($J$2:$J$1501)&gt;=246,246,"")</f>
        <v>246</v>
      </c>
      <c r="B247" s="8" t="str">
        <f t="shared" si="15"/>
        <v>Rosero Kevin</v>
      </c>
      <c r="C247" s="8" t="str">
        <f t="shared" si="16"/>
        <v>Necaxa</v>
      </c>
      <c r="D247" s="8">
        <f t="shared" si="17"/>
        <v>0</v>
      </c>
      <c r="F247" s="4" t="str">
        <f>IF(Jugadores!B247="","",Jugadores!B247)</f>
        <v>Sánchez Erick</v>
      </c>
      <c r="G247" s="4" t="str">
        <f>IF(Jugadores!B247="","",Jugadores!A247)</f>
        <v>Club América</v>
      </c>
      <c r="H247" s="4">
        <f>IF(F247="","",SUMIF('Estadísticas Jugadores'!$F$2:$F$7001,F247,'Estadísticas Jugadores'!$L$2:$L$7001))</f>
        <v>0</v>
      </c>
      <c r="I247" s="4">
        <f t="shared" si="18"/>
        <v>-2.4699999999999997E-5</v>
      </c>
      <c r="J247" s="4">
        <f t="shared" si="19"/>
        <v>270</v>
      </c>
    </row>
    <row r="248" spans="1:10" ht="15" customHeight="1" x14ac:dyDescent="0.25">
      <c r="A248" s="8">
        <f>IF(COUNT($J$2:$J$1501)&gt;=247,247,"")</f>
        <v>247</v>
      </c>
      <c r="B248" s="8" t="str">
        <f t="shared" si="15"/>
        <v>Valencia Juan</v>
      </c>
      <c r="C248" s="8" t="str">
        <f t="shared" si="16"/>
        <v>Necaxa</v>
      </c>
      <c r="D248" s="8">
        <f t="shared" si="17"/>
        <v>0</v>
      </c>
      <c r="F248" s="4" t="str">
        <f>IF(Jugadores!B248="","",Jugadores!B248)</f>
        <v>dos Santos Jonathan</v>
      </c>
      <c r="G248" s="4" t="str">
        <f>IF(Jugadores!B248="","",Jugadores!A248)</f>
        <v>Club América</v>
      </c>
      <c r="H248" s="4">
        <f>IF(F248="","",SUMIF('Estadísticas Jugadores'!$F$2:$F$7001,F248,'Estadísticas Jugadores'!$L$2:$L$7001))</f>
        <v>0</v>
      </c>
      <c r="I248" s="4">
        <f t="shared" si="18"/>
        <v>-2.48E-5</v>
      </c>
      <c r="J248" s="4">
        <f t="shared" si="19"/>
        <v>271</v>
      </c>
    </row>
    <row r="249" spans="1:10" ht="15" customHeight="1" x14ac:dyDescent="0.25">
      <c r="A249" s="8">
        <f>IF(COUNT($J$2:$J$1501)&gt;=248,248,"")</f>
        <v>248</v>
      </c>
      <c r="B249" s="8" t="str">
        <f t="shared" si="15"/>
        <v>Cota Rodolfo</v>
      </c>
      <c r="C249" s="8" t="str">
        <f t="shared" si="16"/>
        <v>Club América</v>
      </c>
      <c r="D249" s="8">
        <f t="shared" si="17"/>
        <v>0</v>
      </c>
      <c r="F249" s="4" t="str">
        <f>IF(Jugadores!B249="","",Jugadores!B249)</f>
        <v>Cárdenas Alejandro</v>
      </c>
      <c r="G249" s="4" t="str">
        <f>IF(Jugadores!B249="","",Jugadores!A249)</f>
        <v>Club América</v>
      </c>
      <c r="H249" s="4">
        <f>IF(F249="","",SUMIF('Estadísticas Jugadores'!$F$2:$F$7001,F249,'Estadísticas Jugadores'!$L$2:$L$7001))</f>
        <v>0</v>
      </c>
      <c r="I249" s="4">
        <f t="shared" si="18"/>
        <v>-2.4899999999999999E-5</v>
      </c>
      <c r="J249" s="4">
        <f t="shared" si="19"/>
        <v>272</v>
      </c>
    </row>
    <row r="250" spans="1:10" ht="15" customHeight="1" x14ac:dyDescent="0.25">
      <c r="A250" s="8">
        <f>IF(COUNT($J$2:$J$1501)&gt;=249,249,"")</f>
        <v>249</v>
      </c>
      <c r="B250" s="8" t="str">
        <f t="shared" si="15"/>
        <v>Lugo Cesar</v>
      </c>
      <c r="C250" s="8" t="str">
        <f t="shared" si="16"/>
        <v>Club América</v>
      </c>
      <c r="D250" s="8">
        <f t="shared" si="17"/>
        <v>0</v>
      </c>
      <c r="F250" s="4" t="str">
        <f>IF(Jugadores!B250="","",Jugadores!B250)</f>
        <v>Davila Victor</v>
      </c>
      <c r="G250" s="4" t="str">
        <f>IF(Jugadores!B250="","",Jugadores!A250)</f>
        <v>Club América</v>
      </c>
      <c r="H250" s="4">
        <f>IF(F250="","",SUMIF('Estadísticas Jugadores'!$F$2:$F$7001,F250,'Estadísticas Jugadores'!$L$2:$L$7001))</f>
        <v>0</v>
      </c>
      <c r="I250" s="4">
        <f t="shared" si="18"/>
        <v>-2.4999999999999998E-5</v>
      </c>
      <c r="J250" s="4">
        <f t="shared" si="19"/>
        <v>273</v>
      </c>
    </row>
    <row r="251" spans="1:10" ht="15" customHeight="1" x14ac:dyDescent="0.25">
      <c r="A251" s="8">
        <f>IF(COUNT($J$2:$J$1501)&gt;=250,250,"")</f>
        <v>250</v>
      </c>
      <c r="B251" s="8" t="str">
        <f t="shared" si="15"/>
        <v>Malagon Luis</v>
      </c>
      <c r="C251" s="8" t="str">
        <f t="shared" si="16"/>
        <v>Club América</v>
      </c>
      <c r="D251" s="8">
        <f t="shared" si="17"/>
        <v>0</v>
      </c>
      <c r="F251" s="4" t="str">
        <f>IF(Jugadores!B251="","",Jugadores!B251)</f>
        <v>Lozano Esteban</v>
      </c>
      <c r="G251" s="4" t="str">
        <f>IF(Jugadores!B251="","",Jugadores!A251)</f>
        <v>Club América</v>
      </c>
      <c r="H251" s="4">
        <f>IF(F251="","",SUMIF('Estadísticas Jugadores'!$F$2:$F$7001,F251,'Estadísticas Jugadores'!$L$2:$L$7001))</f>
        <v>0</v>
      </c>
      <c r="I251" s="4">
        <f t="shared" si="18"/>
        <v>-2.51E-5</v>
      </c>
      <c r="J251" s="4">
        <f t="shared" si="19"/>
        <v>274</v>
      </c>
    </row>
    <row r="252" spans="1:10" ht="15" customHeight="1" x14ac:dyDescent="0.25">
      <c r="A252" s="8">
        <f>IF(COUNT($J$2:$J$1501)&gt;=251,251,"")</f>
        <v>251</v>
      </c>
      <c r="B252" s="8" t="str">
        <f t="shared" si="15"/>
        <v>Tapia Fernando</v>
      </c>
      <c r="C252" s="8" t="str">
        <f t="shared" si="16"/>
        <v>Club América</v>
      </c>
      <c r="D252" s="8">
        <f t="shared" si="17"/>
        <v>0</v>
      </c>
      <c r="F252" s="4" t="str">
        <f>IF(Jugadores!B252="","",Jugadores!B252)</f>
        <v>Martin Henry</v>
      </c>
      <c r="G252" s="4" t="str">
        <f>IF(Jugadores!B252="","",Jugadores!A252)</f>
        <v>Club América</v>
      </c>
      <c r="H252" s="4">
        <f>IF(F252="","",SUMIF('Estadísticas Jugadores'!$F$2:$F$7001,F252,'Estadísticas Jugadores'!$L$2:$L$7001))</f>
        <v>1</v>
      </c>
      <c r="I252" s="4">
        <f t="shared" si="18"/>
        <v>999.99997480000002</v>
      </c>
      <c r="J252" s="4">
        <f t="shared" si="19"/>
        <v>32</v>
      </c>
    </row>
    <row r="253" spans="1:10" ht="15" customHeight="1" x14ac:dyDescent="0.25">
      <c r="A253" s="8">
        <f>IF(COUNT($J$2:$J$1501)&gt;=252,252,"")</f>
        <v>252</v>
      </c>
      <c r="B253" s="8" t="str">
        <f t="shared" si="15"/>
        <v>Alvarez Kevin</v>
      </c>
      <c r="C253" s="8" t="str">
        <f t="shared" si="16"/>
        <v>Club América</v>
      </c>
      <c r="D253" s="8">
        <f t="shared" si="17"/>
        <v>0</v>
      </c>
      <c r="F253" s="4" t="str">
        <f>IF(Jugadores!B253="","",Jugadores!B253)</f>
        <v>Rodriguez Brian</v>
      </c>
      <c r="G253" s="4" t="str">
        <f>IF(Jugadores!B253="","",Jugadores!A253)</f>
        <v>Club América</v>
      </c>
      <c r="H253" s="4">
        <f>IF(F253="","",SUMIF('Estadísticas Jugadores'!$F$2:$F$7001,F253,'Estadísticas Jugadores'!$L$2:$L$7001))</f>
        <v>0</v>
      </c>
      <c r="I253" s="4">
        <f t="shared" si="18"/>
        <v>-2.5299999999999998E-5</v>
      </c>
      <c r="J253" s="4">
        <f t="shared" si="19"/>
        <v>275</v>
      </c>
    </row>
    <row r="254" spans="1:10" ht="15" customHeight="1" x14ac:dyDescent="0.25">
      <c r="A254" s="8">
        <f>IF(COUNT($J$2:$J$1501)&gt;=253,253,"")</f>
        <v>253</v>
      </c>
      <c r="B254" s="8" t="str">
        <f t="shared" si="15"/>
        <v>Araujo Munoz Andres Marioni</v>
      </c>
      <c r="C254" s="8" t="str">
        <f t="shared" si="16"/>
        <v>Club América</v>
      </c>
      <c r="D254" s="8">
        <f t="shared" si="17"/>
        <v>0</v>
      </c>
      <c r="F254" s="4" t="str">
        <f>IF(Jugadores!B254="","",Jugadores!B254)</f>
        <v>Salas Patricio</v>
      </c>
      <c r="G254" s="4" t="str">
        <f>IF(Jugadores!B254="","",Jugadores!A254)</f>
        <v>Club América</v>
      </c>
      <c r="H254" s="4">
        <f>IF(F254="","",SUMIF('Estadísticas Jugadores'!$F$2:$F$7001,F254,'Estadísticas Jugadores'!$L$2:$L$7001))</f>
        <v>0</v>
      </c>
      <c r="I254" s="4">
        <f t="shared" si="18"/>
        <v>-2.5399999999999997E-5</v>
      </c>
      <c r="J254" s="4">
        <f t="shared" si="19"/>
        <v>276</v>
      </c>
    </row>
    <row r="255" spans="1:10" ht="15" customHeight="1" x14ac:dyDescent="0.25">
      <c r="A255" s="8">
        <f>IF(COUNT($J$2:$J$1501)&gt;=254,254,"")</f>
        <v>254</v>
      </c>
      <c r="B255" s="8" t="str">
        <f t="shared" si="15"/>
        <v>Borja Cristian</v>
      </c>
      <c r="C255" s="8" t="str">
        <f t="shared" si="16"/>
        <v>Club América</v>
      </c>
      <c r="D255" s="8">
        <f t="shared" si="17"/>
        <v>0</v>
      </c>
      <c r="F255" s="4" t="str">
        <f>IF(Jugadores!B255="","",Jugadores!B255)</f>
        <v>Violante Isaias</v>
      </c>
      <c r="G255" s="4" t="str">
        <f>IF(Jugadores!B255="","",Jugadores!A255)</f>
        <v>Club América</v>
      </c>
      <c r="H255" s="4">
        <f>IF(F255="","",SUMIF('Estadísticas Jugadores'!$F$2:$F$7001,F255,'Estadísticas Jugadores'!$L$2:$L$7001))</f>
        <v>2</v>
      </c>
      <c r="I255" s="4">
        <f t="shared" si="18"/>
        <v>1999.9999745</v>
      </c>
      <c r="J255" s="4">
        <f t="shared" si="19"/>
        <v>20</v>
      </c>
    </row>
    <row r="256" spans="1:10" ht="15" customHeight="1" x14ac:dyDescent="0.25">
      <c r="A256" s="8">
        <f>IF(COUNT($J$2:$J$1501)&gt;=255,255,"")</f>
        <v>255</v>
      </c>
      <c r="B256" s="8" t="str">
        <f t="shared" si="15"/>
        <v>Caceres Sebastian</v>
      </c>
      <c r="C256" s="8" t="str">
        <f t="shared" si="16"/>
        <v>Club América</v>
      </c>
      <c r="D256" s="8">
        <f t="shared" si="17"/>
        <v>0</v>
      </c>
      <c r="F256" s="4" t="str">
        <f>IF(Jugadores!B256="","",Jugadores!B256)</f>
        <v>Zendejas Alex</v>
      </c>
      <c r="G256" s="4" t="str">
        <f>IF(Jugadores!B256="","",Jugadores!A256)</f>
        <v>Club América</v>
      </c>
      <c r="H256" s="4">
        <f>IF(F256="","",SUMIF('Estadísticas Jugadores'!$F$2:$F$7001,F256,'Estadísticas Jugadores'!$L$2:$L$7001))</f>
        <v>0</v>
      </c>
      <c r="I256" s="4">
        <f t="shared" si="18"/>
        <v>-2.5599999999999999E-5</v>
      </c>
      <c r="J256" s="4">
        <f t="shared" si="19"/>
        <v>277</v>
      </c>
    </row>
    <row r="257" spans="1:10" ht="15" customHeight="1" x14ac:dyDescent="0.25">
      <c r="A257" s="8">
        <f>IF(COUNT($J$2:$J$1501)&gt;=256,256,"")</f>
        <v>256</v>
      </c>
      <c r="B257" s="8" t="str">
        <f t="shared" si="15"/>
        <v>Espinosa Dovat Thiago Nahuel</v>
      </c>
      <c r="C257" s="8" t="str">
        <f t="shared" si="16"/>
        <v>Club América</v>
      </c>
      <c r="D257" s="8">
        <f t="shared" si="17"/>
        <v>0</v>
      </c>
      <c r="F257" s="4" t="str">
        <f>IF(Jugadores!B257="","",Jugadores!B257)</f>
        <v>Zúñiga Jose</v>
      </c>
      <c r="G257" s="4" t="str">
        <f>IF(Jugadores!B257="","",Jugadores!A257)</f>
        <v>Club América</v>
      </c>
      <c r="H257" s="4">
        <f>IF(F257="","",SUMIF('Estadísticas Jugadores'!$F$2:$F$7001,F257,'Estadísticas Jugadores'!$L$2:$L$7001))</f>
        <v>0</v>
      </c>
      <c r="I257" s="4">
        <f t="shared" si="18"/>
        <v>-2.5699999999999998E-5</v>
      </c>
      <c r="J257" s="4">
        <f t="shared" si="19"/>
        <v>278</v>
      </c>
    </row>
    <row r="258" spans="1:10" ht="15" customHeight="1" x14ac:dyDescent="0.25">
      <c r="A258" s="8">
        <f>IF(COUNT($J$2:$J$1501)&gt;=257,257,"")</f>
        <v>257</v>
      </c>
      <c r="B258" s="8" t="str">
        <f t="shared" ref="B258:B321" si="20">IF($A258="","",INDEX($F$2:$F$1501,MATCH($A258,$J$2:$J$1501,0)))</f>
        <v>Espinoza Dagoberto</v>
      </c>
      <c r="C258" s="8" t="str">
        <f t="shared" ref="C258:C321" si="21">IF($A258="","",INDEX($G$2:$G$1501,MATCH($A258,$J$2:$J$1501,0)))</f>
        <v>Club América</v>
      </c>
      <c r="D258" s="8">
        <f t="shared" ref="D258:D321" si="22">IF($A258="","",INDEX($H$2:$H$1501,MATCH($A258,$J$2:$J$1501,0)))</f>
        <v>0</v>
      </c>
      <c r="F258" s="4" t="str">
        <f>IF(Jugadores!B258="","",Jugadores!B258)</f>
        <v>Gutierrez Daniel</v>
      </c>
      <c r="G258" s="4" t="str">
        <f>IF(Jugadores!B258="","",Jugadores!A258)</f>
        <v>Puebla</v>
      </c>
      <c r="H258" s="4">
        <f>IF(F258="","",SUMIF('Estadísticas Jugadores'!$F$2:$F$7001,F258,'Estadísticas Jugadores'!$L$2:$L$7001))</f>
        <v>0</v>
      </c>
      <c r="I258" s="4">
        <f t="shared" ref="I258:I321" si="23">IF(F258="","",H258*1000-ROW()*0.0000001)</f>
        <v>-2.58E-5</v>
      </c>
      <c r="J258" s="4">
        <f t="shared" ref="J258:J321" si="24">IF(F258="","",RANK(I258,$I$2:$I$1501))</f>
        <v>279</v>
      </c>
    </row>
    <row r="259" spans="1:10" ht="15" customHeight="1" x14ac:dyDescent="0.25">
      <c r="A259" s="8">
        <f>IF(COUNT($J$2:$J$1501)&gt;=258,258,"")</f>
        <v>258</v>
      </c>
      <c r="B259" s="8" t="str">
        <f t="shared" si="20"/>
        <v>Juarez Ramon</v>
      </c>
      <c r="C259" s="8" t="str">
        <f t="shared" si="21"/>
        <v>Club América</v>
      </c>
      <c r="D259" s="8">
        <f t="shared" si="22"/>
        <v>0</v>
      </c>
      <c r="F259" s="4" t="str">
        <f>IF(Jugadores!B259="","",Jugadores!B259)</f>
        <v>Rodríguez Jesus Ivan</v>
      </c>
      <c r="G259" s="4" t="str">
        <f>IF(Jugadores!B259="","",Jugadores!A259)</f>
        <v>Puebla</v>
      </c>
      <c r="H259" s="4">
        <f>IF(F259="","",SUMIF('Estadísticas Jugadores'!$F$2:$F$7001,F259,'Estadísticas Jugadores'!$L$2:$L$7001))</f>
        <v>0</v>
      </c>
      <c r="I259" s="4">
        <f t="shared" si="23"/>
        <v>-2.5899999999999999E-5</v>
      </c>
      <c r="J259" s="4">
        <f t="shared" si="24"/>
        <v>280</v>
      </c>
    </row>
    <row r="260" spans="1:10" ht="15" customHeight="1" x14ac:dyDescent="0.25">
      <c r="A260" s="8">
        <f>IF(COUNT($J$2:$J$1501)&gt;=259,259,"")</f>
        <v>259</v>
      </c>
      <c r="B260" s="8" t="str">
        <f t="shared" si="20"/>
        <v>Mejáa Aaron</v>
      </c>
      <c r="C260" s="8" t="str">
        <f t="shared" si="21"/>
        <v>Club América</v>
      </c>
      <c r="D260" s="8">
        <f t="shared" si="22"/>
        <v>0</v>
      </c>
      <c r="F260" s="4" t="str">
        <f>IF(Jugadores!B260="","",Jugadores!B260)</f>
        <v>Almada Facundo Ezequiel</v>
      </c>
      <c r="G260" s="4" t="str">
        <f>IF(Jugadores!B260="","",Jugadores!A260)</f>
        <v>Puebla</v>
      </c>
      <c r="H260" s="4">
        <f>IF(F260="","",SUMIF('Estadísticas Jugadores'!$F$2:$F$7001,F260,'Estadísticas Jugadores'!$L$2:$L$7001))</f>
        <v>0</v>
      </c>
      <c r="I260" s="4">
        <f t="shared" si="23"/>
        <v>-2.5999999999999998E-5</v>
      </c>
      <c r="J260" s="4">
        <f t="shared" si="24"/>
        <v>281</v>
      </c>
    </row>
    <row r="261" spans="1:10" ht="15" customHeight="1" x14ac:dyDescent="0.25">
      <c r="A261" s="8">
        <f>IF(COUNT($J$2:$J$1501)&gt;=260,260,"")</f>
        <v>260</v>
      </c>
      <c r="B261" s="8" t="str">
        <f t="shared" si="20"/>
        <v>Reyes Israel</v>
      </c>
      <c r="C261" s="8" t="str">
        <f t="shared" si="21"/>
        <v>Club América</v>
      </c>
      <c r="D261" s="8">
        <f t="shared" si="22"/>
        <v>0</v>
      </c>
      <c r="F261" s="4" t="str">
        <f>IF(Jugadores!B261="","",Jugadores!B261)</f>
        <v>Leyva Angel</v>
      </c>
      <c r="G261" s="4" t="str">
        <f>IF(Jugadores!B261="","",Jugadores!A261)</f>
        <v>Puebla</v>
      </c>
      <c r="H261" s="4">
        <f>IF(F261="","",SUMIF('Estadísticas Jugadores'!$F$2:$F$7001,F261,'Estadísticas Jugadores'!$L$2:$L$7001))</f>
        <v>0</v>
      </c>
      <c r="I261" s="4">
        <f t="shared" si="23"/>
        <v>-2.6099999999999997E-5</v>
      </c>
      <c r="J261" s="4">
        <f t="shared" si="24"/>
        <v>282</v>
      </c>
    </row>
    <row r="262" spans="1:10" ht="15" customHeight="1" x14ac:dyDescent="0.25">
      <c r="A262" s="8">
        <f>IF(COUNT($J$2:$J$1501)&gt;=261,261,"")</f>
        <v>261</v>
      </c>
      <c r="B262" s="8" t="str">
        <f t="shared" si="20"/>
        <v>Rossano Franco</v>
      </c>
      <c r="C262" s="8" t="str">
        <f t="shared" si="21"/>
        <v>Club América</v>
      </c>
      <c r="D262" s="8">
        <f t="shared" si="22"/>
        <v>0</v>
      </c>
      <c r="F262" s="4" t="str">
        <f>IF(Jugadores!B262="","",Jugadores!B262)</f>
        <v>Moreno Iker</v>
      </c>
      <c r="G262" s="4" t="str">
        <f>IF(Jugadores!B262="","",Jugadores!A262)</f>
        <v>Puebla</v>
      </c>
      <c r="H262" s="4">
        <f>IF(F262="","",SUMIF('Estadísticas Jugadores'!$F$2:$F$7001,F262,'Estadísticas Jugadores'!$L$2:$L$7001))</f>
        <v>0</v>
      </c>
      <c r="I262" s="4">
        <f t="shared" si="23"/>
        <v>-2.62E-5</v>
      </c>
      <c r="J262" s="4">
        <f t="shared" si="24"/>
        <v>283</v>
      </c>
    </row>
    <row r="263" spans="1:10" ht="15" customHeight="1" x14ac:dyDescent="0.25">
      <c r="A263" s="8">
        <f>IF(COUNT($J$2:$J$1501)&gt;=262,262,"")</f>
        <v>262</v>
      </c>
      <c r="B263" s="8" t="str">
        <f t="shared" si="20"/>
        <v>Vazquez Miguel</v>
      </c>
      <c r="C263" s="8" t="str">
        <f t="shared" si="21"/>
        <v>Club América</v>
      </c>
      <c r="D263" s="8">
        <f t="shared" si="22"/>
        <v>0</v>
      </c>
      <c r="F263" s="4" t="str">
        <f>IF(Jugadores!B263="","",Jugadores!B263)</f>
        <v>Navarro Eduardo</v>
      </c>
      <c r="G263" s="4" t="str">
        <f>IF(Jugadores!B263="","",Jugadores!A263)</f>
        <v>Puebla</v>
      </c>
      <c r="H263" s="4">
        <f>IF(F263="","",SUMIF('Estadísticas Jugadores'!$F$2:$F$7001,F263,'Estadísticas Jugadores'!$L$2:$L$7001))</f>
        <v>0</v>
      </c>
      <c r="I263" s="4">
        <f t="shared" si="23"/>
        <v>-2.6299999999999999E-5</v>
      </c>
      <c r="J263" s="4">
        <f t="shared" si="24"/>
        <v>284</v>
      </c>
    </row>
    <row r="264" spans="1:10" ht="15" customHeight="1" x14ac:dyDescent="0.25">
      <c r="A264" s="8">
        <f>IF(COUNT($J$2:$J$1501)&gt;=263,263,"")</f>
        <v>263</v>
      </c>
      <c r="B264" s="8" t="str">
        <f t="shared" si="20"/>
        <v>Arriaga Diego</v>
      </c>
      <c r="C264" s="8" t="str">
        <f t="shared" si="21"/>
        <v>Club América</v>
      </c>
      <c r="D264" s="8">
        <f t="shared" si="22"/>
        <v>0</v>
      </c>
      <c r="F264" s="4" t="str">
        <f>IF(Jugadores!B264="","",Jugadores!B264)</f>
        <v>Pachuca Martinez Jose Rodrigo</v>
      </c>
      <c r="G264" s="4" t="str">
        <f>IF(Jugadores!B264="","",Jugadores!A264)</f>
        <v>Puebla</v>
      </c>
      <c r="H264" s="4">
        <f>IF(F264="","",SUMIF('Estadísticas Jugadores'!$F$2:$F$7001,F264,'Estadísticas Jugadores'!$L$2:$L$7001))</f>
        <v>0</v>
      </c>
      <c r="I264" s="4">
        <f t="shared" si="23"/>
        <v>-2.6399999999999998E-5</v>
      </c>
      <c r="J264" s="4">
        <f t="shared" si="24"/>
        <v>285</v>
      </c>
    </row>
    <row r="265" spans="1:10" ht="15" customHeight="1" x14ac:dyDescent="0.25">
      <c r="A265" s="8">
        <f>IF(COUNT($J$2:$J$1501)&gt;=264,264,"")</f>
        <v>264</v>
      </c>
      <c r="B265" s="8" t="str">
        <f t="shared" si="20"/>
        <v>Cervantes Martin del Campo Alan Jhosue</v>
      </c>
      <c r="C265" s="8" t="str">
        <f t="shared" si="21"/>
        <v>Club América</v>
      </c>
      <c r="D265" s="8">
        <f t="shared" si="22"/>
        <v>0</v>
      </c>
      <c r="F265" s="4" t="str">
        <f>IF(Jugadores!B265="","",Jugadores!B265)</f>
        <v>Vargas Juan</v>
      </c>
      <c r="G265" s="4" t="str">
        <f>IF(Jugadores!B265="","",Jugadores!A265)</f>
        <v>Puebla</v>
      </c>
      <c r="H265" s="4">
        <f>IF(F265="","",SUMIF('Estadísticas Jugadores'!$F$2:$F$7001,F265,'Estadísticas Jugadores'!$L$2:$L$7001))</f>
        <v>0</v>
      </c>
      <c r="I265" s="4">
        <f t="shared" si="23"/>
        <v>-2.65E-5</v>
      </c>
      <c r="J265" s="4">
        <f t="shared" si="24"/>
        <v>286</v>
      </c>
    </row>
    <row r="266" spans="1:10" ht="15" customHeight="1" x14ac:dyDescent="0.25">
      <c r="A266" s="8">
        <f>IF(COUNT($J$2:$J$1501)&gt;=265,265,"")</f>
        <v>265</v>
      </c>
      <c r="B266" s="8" t="str">
        <f t="shared" si="20"/>
        <v>Gutierrez Torres Alexis Hazael</v>
      </c>
      <c r="C266" s="8" t="str">
        <f t="shared" si="21"/>
        <v>Club América</v>
      </c>
      <c r="D266" s="8">
        <f t="shared" si="22"/>
        <v>0</v>
      </c>
      <c r="F266" s="4" t="str">
        <f>IF(Jugadores!B266="","",Jugadores!B266)</f>
        <v>Villa Oscar</v>
      </c>
      <c r="G266" s="4" t="str">
        <f>IF(Jugadores!B266="","",Jugadores!A266)</f>
        <v>Puebla</v>
      </c>
      <c r="H266" s="4">
        <f>IF(F266="","",SUMIF('Estadísticas Jugadores'!$F$2:$F$7001,F266,'Estadísticas Jugadores'!$L$2:$L$7001))</f>
        <v>0</v>
      </c>
      <c r="I266" s="4">
        <f t="shared" si="23"/>
        <v>-2.6599999999999999E-5</v>
      </c>
      <c r="J266" s="4">
        <f t="shared" si="24"/>
        <v>287</v>
      </c>
    </row>
    <row r="267" spans="1:10" ht="15" customHeight="1" x14ac:dyDescent="0.25">
      <c r="A267" s="8">
        <f>IF(COUNT($J$2:$J$1501)&gt;=266,266,"")</f>
        <v>266</v>
      </c>
      <c r="B267" s="8" t="str">
        <f t="shared" si="20"/>
        <v>Icaro</v>
      </c>
      <c r="C267" s="8" t="str">
        <f t="shared" si="21"/>
        <v>Club América</v>
      </c>
      <c r="D267" s="8">
        <f t="shared" si="22"/>
        <v>0</v>
      </c>
      <c r="F267" s="4" t="str">
        <f>IF(Jugadores!B267="","",Jugadores!B267)</f>
        <v>Baltazar Carlos</v>
      </c>
      <c r="G267" s="4" t="str">
        <f>IF(Jugadores!B267="","",Jugadores!A267)</f>
        <v>Puebla</v>
      </c>
      <c r="H267" s="4">
        <f>IF(F267="","",SUMIF('Estadísticas Jugadores'!$F$2:$F$7001,F267,'Estadísticas Jugadores'!$L$2:$L$7001))</f>
        <v>0</v>
      </c>
      <c r="I267" s="4">
        <f t="shared" si="23"/>
        <v>-2.6699999999999998E-5</v>
      </c>
      <c r="J267" s="4">
        <f t="shared" si="24"/>
        <v>288</v>
      </c>
    </row>
    <row r="268" spans="1:10" ht="15" customHeight="1" x14ac:dyDescent="0.25">
      <c r="A268" s="8">
        <f>IF(COUNT($J$2:$J$1501)&gt;=267,267,"")</f>
        <v>267</v>
      </c>
      <c r="B268" s="8" t="str">
        <f t="shared" si="20"/>
        <v>Lima</v>
      </c>
      <c r="C268" s="8" t="str">
        <f t="shared" si="21"/>
        <v>Club América</v>
      </c>
      <c r="D268" s="8">
        <f t="shared" si="22"/>
        <v>0</v>
      </c>
      <c r="F268" s="4" t="str">
        <f>IF(Jugadores!B268="","",Jugadores!B268)</f>
        <v>Castillo Raul</v>
      </c>
      <c r="G268" s="4" t="str">
        <f>IF(Jugadores!B268="","",Jugadores!A268)</f>
        <v>Puebla</v>
      </c>
      <c r="H268" s="4">
        <f>IF(F268="","",SUMIF('Estadísticas Jugadores'!$F$2:$F$7001,F268,'Estadísticas Jugadores'!$L$2:$L$7001))</f>
        <v>0</v>
      </c>
      <c r="I268" s="4">
        <f t="shared" si="23"/>
        <v>-2.6799999999999998E-5</v>
      </c>
      <c r="J268" s="4">
        <f t="shared" si="24"/>
        <v>289</v>
      </c>
    </row>
    <row r="269" spans="1:10" ht="15" customHeight="1" x14ac:dyDescent="0.25">
      <c r="A269" s="8">
        <f>IF(COUNT($J$2:$J$1501)&gt;=268,268,"")</f>
        <v>268</v>
      </c>
      <c r="B269" s="8" t="str">
        <f t="shared" si="20"/>
        <v>Naveda Santiago</v>
      </c>
      <c r="C269" s="8" t="str">
        <f t="shared" si="21"/>
        <v>Club América</v>
      </c>
      <c r="D269" s="8">
        <f t="shared" si="22"/>
        <v>0</v>
      </c>
      <c r="F269" s="4" t="str">
        <f>IF(Jugadores!B269="","",Jugadores!B269)</f>
        <v>Gonzalez Owen</v>
      </c>
      <c r="G269" s="4" t="str">
        <f>IF(Jugadores!B269="","",Jugadores!A269)</f>
        <v>Puebla</v>
      </c>
      <c r="H269" s="4">
        <f>IF(F269="","",SUMIF('Estadísticas Jugadores'!$F$2:$F$7001,F269,'Estadísticas Jugadores'!$L$2:$L$7001))</f>
        <v>0</v>
      </c>
      <c r="I269" s="4">
        <f t="shared" si="23"/>
        <v>-2.69E-5</v>
      </c>
      <c r="J269" s="4">
        <f t="shared" si="24"/>
        <v>290</v>
      </c>
    </row>
    <row r="270" spans="1:10" ht="15" customHeight="1" x14ac:dyDescent="0.25">
      <c r="A270" s="8">
        <f>IF(COUNT($J$2:$J$1501)&gt;=269,269,"")</f>
        <v>269</v>
      </c>
      <c r="B270" s="8" t="str">
        <f t="shared" si="20"/>
        <v>Rodrigo Dourado</v>
      </c>
      <c r="C270" s="8" t="str">
        <f t="shared" si="21"/>
        <v>Club América</v>
      </c>
      <c r="D270" s="8">
        <f t="shared" si="22"/>
        <v>0</v>
      </c>
      <c r="F270" s="4" t="str">
        <f>IF(Jugadores!B270="","",Jugadores!B270)</f>
        <v>Herrera Alberto</v>
      </c>
      <c r="G270" s="4" t="str">
        <f>IF(Jugadores!B270="","",Jugadores!A270)</f>
        <v>Puebla</v>
      </c>
      <c r="H270" s="4">
        <f>IF(F270="","",SUMIF('Estadísticas Jugadores'!$F$2:$F$7001,F270,'Estadísticas Jugadores'!$L$2:$L$7001))</f>
        <v>1</v>
      </c>
      <c r="I270" s="4">
        <f t="shared" si="23"/>
        <v>999.99997299999995</v>
      </c>
      <c r="J270" s="4">
        <f t="shared" si="24"/>
        <v>33</v>
      </c>
    </row>
    <row r="271" spans="1:10" ht="15" customHeight="1" x14ac:dyDescent="0.25">
      <c r="A271" s="8">
        <f>IF(COUNT($J$2:$J$1501)&gt;=270,270,"")</f>
        <v>270</v>
      </c>
      <c r="B271" s="8" t="str">
        <f t="shared" si="20"/>
        <v>Sánchez Erick</v>
      </c>
      <c r="C271" s="8" t="str">
        <f t="shared" si="21"/>
        <v>Club América</v>
      </c>
      <c r="D271" s="8">
        <f t="shared" si="22"/>
        <v>0</v>
      </c>
      <c r="F271" s="4" t="str">
        <f>IF(Jugadores!B271="","",Jugadores!B271)</f>
        <v>Lucas Camilo</v>
      </c>
      <c r="G271" s="4" t="str">
        <f>IF(Jugadores!B271="","",Jugadores!A271)</f>
        <v>Puebla</v>
      </c>
      <c r="H271" s="4">
        <f>IF(F271="","",SUMIF('Estadísticas Jugadores'!$F$2:$F$7001,F271,'Estadísticas Jugadores'!$L$2:$L$7001))</f>
        <v>0</v>
      </c>
      <c r="I271" s="4">
        <f t="shared" si="23"/>
        <v>-2.7099999999999998E-5</v>
      </c>
      <c r="J271" s="4">
        <f t="shared" si="24"/>
        <v>291</v>
      </c>
    </row>
    <row r="272" spans="1:10" ht="15" customHeight="1" x14ac:dyDescent="0.25">
      <c r="A272" s="8">
        <f>IF(COUNT($J$2:$J$1501)&gt;=271,271,"")</f>
        <v>271</v>
      </c>
      <c r="B272" s="8" t="str">
        <f t="shared" si="20"/>
        <v>dos Santos Jonathan</v>
      </c>
      <c r="C272" s="8" t="str">
        <f t="shared" si="21"/>
        <v>Club América</v>
      </c>
      <c r="D272" s="8">
        <f t="shared" si="22"/>
        <v>0</v>
      </c>
      <c r="F272" s="4" t="str">
        <f>IF(Jugadores!B272="","",Jugadores!B272)</f>
        <v>Organista Orozco Alejandro</v>
      </c>
      <c r="G272" s="4" t="str">
        <f>IF(Jugadores!B272="","",Jugadores!A272)</f>
        <v>Puebla</v>
      </c>
      <c r="H272" s="4">
        <f>IF(F272="","",SUMIF('Estadísticas Jugadores'!$F$2:$F$7001,F272,'Estadísticas Jugadores'!$L$2:$L$7001))</f>
        <v>0</v>
      </c>
      <c r="I272" s="4">
        <f t="shared" si="23"/>
        <v>-2.7199999999999997E-5</v>
      </c>
      <c r="J272" s="4">
        <f t="shared" si="24"/>
        <v>292</v>
      </c>
    </row>
    <row r="273" spans="1:10" ht="15" customHeight="1" x14ac:dyDescent="0.25">
      <c r="A273" s="8">
        <f>IF(COUNT($J$2:$J$1501)&gt;=272,272,"")</f>
        <v>272</v>
      </c>
      <c r="B273" s="8" t="str">
        <f t="shared" si="20"/>
        <v>Cárdenas Alejandro</v>
      </c>
      <c r="C273" s="8" t="str">
        <f t="shared" si="21"/>
        <v>Club América</v>
      </c>
      <c r="D273" s="8">
        <f t="shared" si="22"/>
        <v>0</v>
      </c>
      <c r="F273" s="4" t="str">
        <f>IF(Jugadores!B273="","",Jugadores!B273)</f>
        <v>Ramirez Alonso</v>
      </c>
      <c r="G273" s="4" t="str">
        <f>IF(Jugadores!B273="","",Jugadores!A273)</f>
        <v>Puebla</v>
      </c>
      <c r="H273" s="4">
        <f>IF(F273="","",SUMIF('Estadísticas Jugadores'!$F$2:$F$7001,F273,'Estadísticas Jugadores'!$L$2:$L$7001))</f>
        <v>0</v>
      </c>
      <c r="I273" s="4">
        <f t="shared" si="23"/>
        <v>-2.73E-5</v>
      </c>
      <c r="J273" s="4">
        <f t="shared" si="24"/>
        <v>293</v>
      </c>
    </row>
    <row r="274" spans="1:10" ht="15" customHeight="1" x14ac:dyDescent="0.25">
      <c r="A274" s="8">
        <f>IF(COUNT($J$2:$J$1501)&gt;=273,273,"")</f>
        <v>273</v>
      </c>
      <c r="B274" s="8" t="str">
        <f t="shared" si="20"/>
        <v>Davila Victor</v>
      </c>
      <c r="C274" s="8" t="str">
        <f t="shared" si="21"/>
        <v>Club América</v>
      </c>
      <c r="D274" s="8">
        <f t="shared" si="22"/>
        <v>0</v>
      </c>
      <c r="F274" s="4" t="str">
        <f>IF(Jugadores!B274="","",Jugadores!B274)</f>
        <v>Sanabria Sergio</v>
      </c>
      <c r="G274" s="4" t="str">
        <f>IF(Jugadores!B274="","",Jugadores!A274)</f>
        <v>Puebla</v>
      </c>
      <c r="H274" s="4">
        <f>IF(F274="","",SUMIF('Estadísticas Jugadores'!$F$2:$F$7001,F274,'Estadísticas Jugadores'!$L$2:$L$7001))</f>
        <v>0</v>
      </c>
      <c r="I274" s="4">
        <f t="shared" si="23"/>
        <v>-2.7399999999999999E-5</v>
      </c>
      <c r="J274" s="4">
        <f t="shared" si="24"/>
        <v>294</v>
      </c>
    </row>
    <row r="275" spans="1:10" ht="15" customHeight="1" x14ac:dyDescent="0.25">
      <c r="A275" s="8">
        <f>IF(COUNT($J$2:$J$1501)&gt;=274,274,"")</f>
        <v>274</v>
      </c>
      <c r="B275" s="8" t="str">
        <f t="shared" si="20"/>
        <v>Lozano Esteban</v>
      </c>
      <c r="C275" s="8" t="str">
        <f t="shared" si="21"/>
        <v>Club América</v>
      </c>
      <c r="D275" s="8">
        <f t="shared" si="22"/>
        <v>0</v>
      </c>
      <c r="F275" s="4" t="str">
        <f>IF(Jugadores!B275="","",Jugadores!B275)</f>
        <v>Tomas Mathias</v>
      </c>
      <c r="G275" s="4" t="str">
        <f>IF(Jugadores!B275="","",Jugadores!A275)</f>
        <v>Puebla</v>
      </c>
      <c r="H275" s="4">
        <f>IF(F275="","",SUMIF('Estadísticas Jugadores'!$F$2:$F$7001,F275,'Estadísticas Jugadores'!$L$2:$L$7001))</f>
        <v>0</v>
      </c>
      <c r="I275" s="4">
        <f t="shared" si="23"/>
        <v>-2.7499999999999998E-5</v>
      </c>
      <c r="J275" s="4">
        <f t="shared" si="24"/>
        <v>295</v>
      </c>
    </row>
    <row r="276" spans="1:10" ht="15" customHeight="1" x14ac:dyDescent="0.25">
      <c r="A276" s="8">
        <f>IF(COUNT($J$2:$J$1501)&gt;=275,275,"")</f>
        <v>275</v>
      </c>
      <c r="B276" s="8" t="str">
        <f t="shared" si="20"/>
        <v>Rodriguez Brian</v>
      </c>
      <c r="C276" s="8" t="str">
        <f t="shared" si="21"/>
        <v>Club América</v>
      </c>
      <c r="D276" s="8">
        <f t="shared" si="22"/>
        <v>0</v>
      </c>
      <c r="F276" s="4" t="str">
        <f>IF(Jugadores!B276="","",Jugadores!B276)</f>
        <v>de la Rosa Alvaro</v>
      </c>
      <c r="G276" s="4" t="str">
        <f>IF(Jugadores!B276="","",Jugadores!A276)</f>
        <v>Puebla</v>
      </c>
      <c r="H276" s="4">
        <f>IF(F276="","",SUMIF('Estadísticas Jugadores'!$F$2:$F$7001,F276,'Estadísticas Jugadores'!$L$2:$L$7001))</f>
        <v>0</v>
      </c>
      <c r="I276" s="4">
        <f t="shared" si="23"/>
        <v>-2.76E-5</v>
      </c>
      <c r="J276" s="4">
        <f t="shared" si="24"/>
        <v>296</v>
      </c>
    </row>
    <row r="277" spans="1:10" ht="15" customHeight="1" x14ac:dyDescent="0.25">
      <c r="A277" s="8">
        <f>IF(COUNT($J$2:$J$1501)&gt;=276,276,"")</f>
        <v>276</v>
      </c>
      <c r="B277" s="8" t="str">
        <f t="shared" si="20"/>
        <v>Salas Patricio</v>
      </c>
      <c r="C277" s="8" t="str">
        <f t="shared" si="21"/>
        <v>Club América</v>
      </c>
      <c r="D277" s="8">
        <f t="shared" si="22"/>
        <v>0</v>
      </c>
      <c r="F277" s="4" t="str">
        <f>IF(Jugadores!B277="","",Jugadores!B277)</f>
        <v>Garnica Brayan</v>
      </c>
      <c r="G277" s="4" t="str">
        <f>IF(Jugadores!B277="","",Jugadores!A277)</f>
        <v>Puebla</v>
      </c>
      <c r="H277" s="4">
        <f>IF(F277="","",SUMIF('Estadísticas Jugadores'!$F$2:$F$7001,F277,'Estadísticas Jugadores'!$L$2:$L$7001))</f>
        <v>0</v>
      </c>
      <c r="I277" s="4">
        <f t="shared" si="23"/>
        <v>-2.7699999999999999E-5</v>
      </c>
      <c r="J277" s="4">
        <f t="shared" si="24"/>
        <v>297</v>
      </c>
    </row>
    <row r="278" spans="1:10" ht="15" customHeight="1" x14ac:dyDescent="0.25">
      <c r="A278" s="8">
        <f>IF(COUNT($J$2:$J$1501)&gt;=277,277,"")</f>
        <v>277</v>
      </c>
      <c r="B278" s="8" t="str">
        <f t="shared" si="20"/>
        <v>Zendejas Alex</v>
      </c>
      <c r="C278" s="8" t="str">
        <f t="shared" si="21"/>
        <v>Club América</v>
      </c>
      <c r="D278" s="8">
        <f t="shared" si="22"/>
        <v>0</v>
      </c>
      <c r="F278" s="4" t="str">
        <f>IF(Jugadores!B278="","",Jugadores!B278)</f>
        <v>Gomez Emiliano</v>
      </c>
      <c r="G278" s="4" t="str">
        <f>IF(Jugadores!B278="","",Jugadores!A278)</f>
        <v>Puebla</v>
      </c>
      <c r="H278" s="4">
        <f>IF(F278="","",SUMIF('Estadísticas Jugadores'!$F$2:$F$7001,F278,'Estadísticas Jugadores'!$L$2:$L$7001))</f>
        <v>1</v>
      </c>
      <c r="I278" s="4">
        <f t="shared" si="23"/>
        <v>999.9999722</v>
      </c>
      <c r="J278" s="4">
        <f t="shared" si="24"/>
        <v>34</v>
      </c>
    </row>
    <row r="279" spans="1:10" ht="15" customHeight="1" x14ac:dyDescent="0.25">
      <c r="A279" s="8">
        <f>IF(COUNT($J$2:$J$1501)&gt;=278,278,"")</f>
        <v>278</v>
      </c>
      <c r="B279" s="8" t="str">
        <f t="shared" si="20"/>
        <v>Zúñiga Jose</v>
      </c>
      <c r="C279" s="8" t="str">
        <f t="shared" si="21"/>
        <v>Club América</v>
      </c>
      <c r="D279" s="8">
        <f t="shared" si="22"/>
        <v>0</v>
      </c>
      <c r="F279" s="4" t="str">
        <f>IF(Jugadores!B279="","",Jugadores!B279)</f>
        <v>Hernández Luifer</v>
      </c>
      <c r="G279" s="4" t="str">
        <f>IF(Jugadores!B279="","",Jugadores!A279)</f>
        <v>Puebla</v>
      </c>
      <c r="H279" s="4">
        <f>IF(F279="","",SUMIF('Estadísticas Jugadores'!$F$2:$F$7001,F279,'Estadísticas Jugadores'!$L$2:$L$7001))</f>
        <v>0</v>
      </c>
      <c r="I279" s="4">
        <f t="shared" si="23"/>
        <v>-2.7899999999999997E-5</v>
      </c>
      <c r="J279" s="4">
        <f t="shared" si="24"/>
        <v>298</v>
      </c>
    </row>
    <row r="280" spans="1:10" ht="15" customHeight="1" x14ac:dyDescent="0.25">
      <c r="A280" s="8">
        <f>IF(COUNT($J$2:$J$1501)&gt;=279,279,"")</f>
        <v>279</v>
      </c>
      <c r="B280" s="8" t="str">
        <f t="shared" si="20"/>
        <v>Gutierrez Daniel</v>
      </c>
      <c r="C280" s="8" t="str">
        <f t="shared" si="21"/>
        <v>Puebla</v>
      </c>
      <c r="D280" s="8">
        <f t="shared" si="22"/>
        <v>0</v>
      </c>
      <c r="F280" s="4" t="str">
        <f>IF(Jugadores!B280="","",Jugadores!B280)</f>
        <v>Maestro Ignacio</v>
      </c>
      <c r="G280" s="4" t="str">
        <f>IF(Jugadores!B280="","",Jugadores!A280)</f>
        <v>Puebla</v>
      </c>
      <c r="H280" s="4">
        <f>IF(F280="","",SUMIF('Estadísticas Jugadores'!$F$2:$F$7001,F280,'Estadísticas Jugadores'!$L$2:$L$7001))</f>
        <v>3</v>
      </c>
      <c r="I280" s="4">
        <f t="shared" si="23"/>
        <v>2999.9999720000001</v>
      </c>
      <c r="J280" s="4">
        <f t="shared" si="24"/>
        <v>5</v>
      </c>
    </row>
    <row r="281" spans="1:10" ht="15" customHeight="1" x14ac:dyDescent="0.25">
      <c r="A281" s="8">
        <f>IF(COUNT($J$2:$J$1501)&gt;=280,280,"")</f>
        <v>280</v>
      </c>
      <c r="B281" s="8" t="str">
        <f t="shared" si="20"/>
        <v>Rodríguez Jesus Ivan</v>
      </c>
      <c r="C281" s="8" t="str">
        <f t="shared" si="21"/>
        <v>Puebla</v>
      </c>
      <c r="D281" s="8">
        <f t="shared" si="22"/>
        <v>0</v>
      </c>
      <c r="F281" s="4" t="str">
        <f>IF(Jugadores!B281="","",Jugadores!B281)</f>
        <v>Monarrez Ochoa Fernando</v>
      </c>
      <c r="G281" s="4" t="str">
        <f>IF(Jugadores!B281="","",Jugadores!A281)</f>
        <v>Puebla</v>
      </c>
      <c r="H281" s="4">
        <f>IF(F281="","",SUMIF('Estadísticas Jugadores'!$F$2:$F$7001,F281,'Estadísticas Jugadores'!$L$2:$L$7001))</f>
        <v>0</v>
      </c>
      <c r="I281" s="4">
        <f t="shared" si="23"/>
        <v>-2.8099999999999999E-5</v>
      </c>
      <c r="J281" s="4">
        <f t="shared" si="24"/>
        <v>299</v>
      </c>
    </row>
    <row r="282" spans="1:10" ht="15" customHeight="1" x14ac:dyDescent="0.25">
      <c r="A282" s="8">
        <f>IF(COUNT($J$2:$J$1501)&gt;=281,281,"")</f>
        <v>281</v>
      </c>
      <c r="B282" s="8" t="str">
        <f t="shared" si="20"/>
        <v>Almada Facundo Ezequiel</v>
      </c>
      <c r="C282" s="8" t="str">
        <f t="shared" si="21"/>
        <v>Puebla</v>
      </c>
      <c r="D282" s="8">
        <f t="shared" si="22"/>
        <v>0</v>
      </c>
      <c r="F282" s="4" t="str">
        <f>IF(Jugadores!B282="","",Jugadores!B282)</f>
        <v>Moreno Villegas Omar Fernando</v>
      </c>
      <c r="G282" s="4" t="str">
        <f>IF(Jugadores!B282="","",Jugadores!A282)</f>
        <v>Puebla</v>
      </c>
      <c r="H282" s="4">
        <f>IF(F282="","",SUMIF('Estadísticas Jugadores'!$F$2:$F$7001,F282,'Estadísticas Jugadores'!$L$2:$L$7001))</f>
        <v>0</v>
      </c>
      <c r="I282" s="4">
        <f t="shared" si="23"/>
        <v>-2.8199999999999998E-5</v>
      </c>
      <c r="J282" s="4">
        <f t="shared" si="24"/>
        <v>300</v>
      </c>
    </row>
    <row r="283" spans="1:10" ht="15" customHeight="1" x14ac:dyDescent="0.25">
      <c r="A283" s="8">
        <f>IF(COUNT($J$2:$J$1501)&gt;=282,282,"")</f>
        <v>282</v>
      </c>
      <c r="B283" s="8" t="str">
        <f t="shared" si="20"/>
        <v>Leyva Angel</v>
      </c>
      <c r="C283" s="8" t="str">
        <f t="shared" si="21"/>
        <v>Puebla</v>
      </c>
      <c r="D283" s="8">
        <f t="shared" si="22"/>
        <v>0</v>
      </c>
      <c r="F283" s="4" t="str">
        <f>IF(Jugadores!B283="","",Jugadores!B283)</f>
        <v>Mustre Eduardo</v>
      </c>
      <c r="G283" s="4" t="str">
        <f>IF(Jugadores!B283="","",Jugadores!A283)</f>
        <v>Puebla</v>
      </c>
      <c r="H283" s="4">
        <f>IF(F283="","",SUMIF('Estadísticas Jugadores'!$F$2:$F$7001,F283,'Estadísticas Jugadores'!$L$2:$L$7001))</f>
        <v>0</v>
      </c>
      <c r="I283" s="4">
        <f t="shared" si="23"/>
        <v>-2.83E-5</v>
      </c>
      <c r="J283" s="4">
        <f t="shared" si="24"/>
        <v>301</v>
      </c>
    </row>
    <row r="284" spans="1:10" ht="15" customHeight="1" x14ac:dyDescent="0.25">
      <c r="A284" s="8">
        <f>IF(COUNT($J$2:$J$1501)&gt;=283,283,"")</f>
        <v>283</v>
      </c>
      <c r="B284" s="8" t="str">
        <f t="shared" si="20"/>
        <v>Moreno Iker</v>
      </c>
      <c r="C284" s="8" t="str">
        <f t="shared" si="21"/>
        <v>Puebla</v>
      </c>
      <c r="D284" s="8">
        <f t="shared" si="22"/>
        <v>0</v>
      </c>
      <c r="F284" s="4" t="str">
        <f>IF(Jugadores!B284="","",Jugadores!B284)</f>
        <v>Perez Arez</v>
      </c>
      <c r="G284" s="4" t="str">
        <f>IF(Jugadores!B284="","",Jugadores!A284)</f>
        <v>Puebla</v>
      </c>
      <c r="H284" s="4">
        <f>IF(F284="","",SUMIF('Estadísticas Jugadores'!$F$2:$F$7001,F284,'Estadísticas Jugadores'!$L$2:$L$7001))</f>
        <v>0</v>
      </c>
      <c r="I284" s="4">
        <f t="shared" si="23"/>
        <v>-2.8399999999999999E-5</v>
      </c>
      <c r="J284" s="4">
        <f t="shared" si="24"/>
        <v>302</v>
      </c>
    </row>
    <row r="285" spans="1:10" ht="15" customHeight="1" x14ac:dyDescent="0.25">
      <c r="A285" s="8">
        <f>IF(COUNT($J$2:$J$1501)&gt;=284,284,"")</f>
        <v>284</v>
      </c>
      <c r="B285" s="8" t="str">
        <f t="shared" si="20"/>
        <v>Navarro Eduardo</v>
      </c>
      <c r="C285" s="8" t="str">
        <f t="shared" si="21"/>
        <v>Puebla</v>
      </c>
      <c r="D285" s="8">
        <f t="shared" si="22"/>
        <v>0</v>
      </c>
      <c r="F285" s="4" t="str">
        <f>IF(Jugadores!B285="","",Jugadores!B285)</f>
        <v>Velasco Kevin</v>
      </c>
      <c r="G285" s="4" t="str">
        <f>IF(Jugadores!B285="","",Jugadores!A285)</f>
        <v>Puebla</v>
      </c>
      <c r="H285" s="4">
        <f>IF(F285="","",SUMIF('Estadísticas Jugadores'!$F$2:$F$7001,F285,'Estadísticas Jugadores'!$L$2:$L$7001))</f>
        <v>0</v>
      </c>
      <c r="I285" s="4">
        <f t="shared" si="23"/>
        <v>-2.8499999999999998E-5</v>
      </c>
      <c r="J285" s="4">
        <f t="shared" si="24"/>
        <v>303</v>
      </c>
    </row>
    <row r="286" spans="1:10" ht="15" customHeight="1" x14ac:dyDescent="0.25">
      <c r="A286" s="8">
        <f>IF(COUNT($J$2:$J$1501)&gt;=285,285,"")</f>
        <v>285</v>
      </c>
      <c r="B286" s="8" t="str">
        <f t="shared" si="20"/>
        <v>Pachuca Martinez Jose Rodrigo</v>
      </c>
      <c r="C286" s="8" t="str">
        <f t="shared" si="21"/>
        <v>Puebla</v>
      </c>
      <c r="D286" s="8">
        <f t="shared" si="22"/>
        <v>0</v>
      </c>
      <c r="F286" s="4" t="str">
        <f>IF(Jugadores!B286="","",Jugadores!B286)</f>
        <v>Acevedo Carlos</v>
      </c>
      <c r="G286" s="4" t="str">
        <f>IF(Jugadores!B286="","",Jugadores!A286)</f>
        <v>Santos Laguna</v>
      </c>
      <c r="H286" s="4">
        <f>IF(F286="","",SUMIF('Estadísticas Jugadores'!$F$2:$F$7001,F286,'Estadísticas Jugadores'!$L$2:$L$7001))</f>
        <v>0</v>
      </c>
      <c r="I286" s="4">
        <f t="shared" si="23"/>
        <v>-2.8599999999999997E-5</v>
      </c>
      <c r="J286" s="4">
        <f t="shared" si="24"/>
        <v>304</v>
      </c>
    </row>
    <row r="287" spans="1:10" ht="15" customHeight="1" x14ac:dyDescent="0.25">
      <c r="A287" s="8">
        <f>IF(COUNT($J$2:$J$1501)&gt;=286,286,"")</f>
        <v>286</v>
      </c>
      <c r="B287" s="8" t="str">
        <f t="shared" si="20"/>
        <v>Vargas Juan</v>
      </c>
      <c r="C287" s="8" t="str">
        <f t="shared" si="21"/>
        <v>Puebla</v>
      </c>
      <c r="D287" s="8">
        <f t="shared" si="22"/>
        <v>0</v>
      </c>
      <c r="F287" s="4" t="str">
        <f>IF(Jugadores!B287="","",Jugadores!B287)</f>
        <v>Holguin Hector</v>
      </c>
      <c r="G287" s="4" t="str">
        <f>IF(Jugadores!B287="","",Jugadores!A287)</f>
        <v>Santos Laguna</v>
      </c>
      <c r="H287" s="4">
        <f>IF(F287="","",SUMIF('Estadísticas Jugadores'!$F$2:$F$7001,F287,'Estadísticas Jugadores'!$L$2:$L$7001))</f>
        <v>0</v>
      </c>
      <c r="I287" s="4">
        <f t="shared" si="23"/>
        <v>-2.87E-5</v>
      </c>
      <c r="J287" s="4">
        <f t="shared" si="24"/>
        <v>305</v>
      </c>
    </row>
    <row r="288" spans="1:10" ht="15" customHeight="1" x14ac:dyDescent="0.25">
      <c r="A288" s="8">
        <f>IF(COUNT($J$2:$J$1501)&gt;=287,287,"")</f>
        <v>287</v>
      </c>
      <c r="B288" s="8" t="str">
        <f t="shared" si="20"/>
        <v>Villa Oscar</v>
      </c>
      <c r="C288" s="8" t="str">
        <f t="shared" si="21"/>
        <v>Puebla</v>
      </c>
      <c r="D288" s="8">
        <f t="shared" si="22"/>
        <v>0</v>
      </c>
      <c r="F288" s="4" t="str">
        <f>IF(Jugadores!B288="","",Jugadores!B288)</f>
        <v>Abella Jose</v>
      </c>
      <c r="G288" s="4" t="str">
        <f>IF(Jugadores!B288="","",Jugadores!A288)</f>
        <v>Santos Laguna</v>
      </c>
      <c r="H288" s="4">
        <f>IF(F288="","",SUMIF('Estadísticas Jugadores'!$F$2:$F$7001,F288,'Estadísticas Jugadores'!$L$2:$L$7001))</f>
        <v>0</v>
      </c>
      <c r="I288" s="4">
        <f t="shared" si="23"/>
        <v>-2.8799999999999999E-5</v>
      </c>
      <c r="J288" s="4">
        <f t="shared" si="24"/>
        <v>306</v>
      </c>
    </row>
    <row r="289" spans="1:10" ht="15" customHeight="1" x14ac:dyDescent="0.25">
      <c r="A289" s="8">
        <f>IF(COUNT($J$2:$J$1501)&gt;=288,288,"")</f>
        <v>288</v>
      </c>
      <c r="B289" s="8" t="str">
        <f t="shared" si="20"/>
        <v>Baltazar Carlos</v>
      </c>
      <c r="C289" s="8" t="str">
        <f t="shared" si="21"/>
        <v>Puebla</v>
      </c>
      <c r="D289" s="8">
        <f t="shared" si="22"/>
        <v>0</v>
      </c>
      <c r="F289" s="4" t="str">
        <f>IF(Jugadores!B289="","",Jugadores!B289)</f>
        <v>Amione Bruno</v>
      </c>
      <c r="G289" s="4" t="str">
        <f>IF(Jugadores!B289="","",Jugadores!A289)</f>
        <v>Santos Laguna</v>
      </c>
      <c r="H289" s="4">
        <f>IF(F289="","",SUMIF('Estadísticas Jugadores'!$F$2:$F$7001,F289,'Estadísticas Jugadores'!$L$2:$L$7001))</f>
        <v>0</v>
      </c>
      <c r="I289" s="4">
        <f t="shared" si="23"/>
        <v>-2.8899999999999998E-5</v>
      </c>
      <c r="J289" s="4">
        <f t="shared" si="24"/>
        <v>307</v>
      </c>
    </row>
    <row r="290" spans="1:10" ht="15" customHeight="1" x14ac:dyDescent="0.25">
      <c r="A290" s="8">
        <f>IF(COUNT($J$2:$J$1501)&gt;=289,289,"")</f>
        <v>289</v>
      </c>
      <c r="B290" s="8" t="str">
        <f t="shared" si="20"/>
        <v>Castillo Raul</v>
      </c>
      <c r="C290" s="8" t="str">
        <f t="shared" si="21"/>
        <v>Puebla</v>
      </c>
      <c r="D290" s="8">
        <f t="shared" si="22"/>
        <v>0</v>
      </c>
      <c r="F290" s="4" t="str">
        <f>IF(Jugadores!B290="","",Jugadores!B290)</f>
        <v>Cuevas Mauricio</v>
      </c>
      <c r="G290" s="4" t="str">
        <f>IF(Jugadores!B290="","",Jugadores!A290)</f>
        <v>Santos Laguna</v>
      </c>
      <c r="H290" s="4">
        <f>IF(F290="","",SUMIF('Estadísticas Jugadores'!$F$2:$F$7001,F290,'Estadísticas Jugadores'!$L$2:$L$7001))</f>
        <v>0</v>
      </c>
      <c r="I290" s="4">
        <f t="shared" si="23"/>
        <v>-2.9E-5</v>
      </c>
      <c r="J290" s="4">
        <f t="shared" si="24"/>
        <v>308</v>
      </c>
    </row>
    <row r="291" spans="1:10" ht="15" customHeight="1" x14ac:dyDescent="0.25">
      <c r="A291" s="8">
        <f>IF(COUNT($J$2:$J$1501)&gt;=290,290,"")</f>
        <v>290</v>
      </c>
      <c r="B291" s="8" t="str">
        <f t="shared" si="20"/>
        <v>Gonzalez Owen</v>
      </c>
      <c r="C291" s="8" t="str">
        <f t="shared" si="21"/>
        <v>Puebla</v>
      </c>
      <c r="D291" s="8">
        <f t="shared" si="22"/>
        <v>0</v>
      </c>
      <c r="F291" s="4" t="str">
        <f>IF(Jugadores!B291="","",Jugadores!B291)</f>
        <v>Echeverria Emmanuel</v>
      </c>
      <c r="G291" s="4" t="str">
        <f>IF(Jugadores!B291="","",Jugadores!A291)</f>
        <v>Santos Laguna</v>
      </c>
      <c r="H291" s="4">
        <f>IF(F291="","",SUMIF('Estadísticas Jugadores'!$F$2:$F$7001,F291,'Estadísticas Jugadores'!$L$2:$L$7001))</f>
        <v>0</v>
      </c>
      <c r="I291" s="4">
        <f t="shared" si="23"/>
        <v>-2.9099999999999999E-5</v>
      </c>
      <c r="J291" s="4">
        <f t="shared" si="24"/>
        <v>309</v>
      </c>
    </row>
    <row r="292" spans="1:10" ht="15" customHeight="1" x14ac:dyDescent="0.25">
      <c r="A292" s="8">
        <f>IF(COUNT($J$2:$J$1501)&gt;=291,291,"")</f>
        <v>291</v>
      </c>
      <c r="B292" s="8" t="str">
        <f t="shared" si="20"/>
        <v>Lucas Camilo</v>
      </c>
      <c r="C292" s="8" t="str">
        <f t="shared" si="21"/>
        <v>Puebla</v>
      </c>
      <c r="D292" s="8">
        <f t="shared" si="22"/>
        <v>0</v>
      </c>
      <c r="F292" s="4" t="str">
        <f>IF(Jugadores!B292="","",Jugadores!B292)</f>
        <v>Echilvestre Juan</v>
      </c>
      <c r="G292" s="4" t="str">
        <f>IF(Jugadores!B292="","",Jugadores!A292)</f>
        <v>Santos Laguna</v>
      </c>
      <c r="H292" s="4">
        <f>IF(F292="","",SUMIF('Estadísticas Jugadores'!$F$2:$F$7001,F292,'Estadísticas Jugadores'!$L$2:$L$7001))</f>
        <v>0</v>
      </c>
      <c r="I292" s="4">
        <f t="shared" si="23"/>
        <v>-2.9199999999999998E-5</v>
      </c>
      <c r="J292" s="4">
        <f t="shared" si="24"/>
        <v>310</v>
      </c>
    </row>
    <row r="293" spans="1:10" ht="15" customHeight="1" x14ac:dyDescent="0.25">
      <c r="A293" s="8">
        <f>IF(COUNT($J$2:$J$1501)&gt;=292,292,"")</f>
        <v>292</v>
      </c>
      <c r="B293" s="8" t="str">
        <f t="shared" si="20"/>
        <v>Organista Orozco Alejandro</v>
      </c>
      <c r="C293" s="8" t="str">
        <f t="shared" si="21"/>
        <v>Puebla</v>
      </c>
      <c r="D293" s="8">
        <f t="shared" si="22"/>
        <v>0</v>
      </c>
      <c r="F293" s="4" t="str">
        <f>IF(Jugadores!B293="","",Jugadores!B293)</f>
        <v>Orona Zavala Efrain</v>
      </c>
      <c r="G293" s="4" t="str">
        <f>IF(Jugadores!B293="","",Jugadores!A293)</f>
        <v>Santos Laguna</v>
      </c>
      <c r="H293" s="4">
        <f>IF(F293="","",SUMIF('Estadísticas Jugadores'!$F$2:$F$7001,F293,'Estadísticas Jugadores'!$L$2:$L$7001))</f>
        <v>0</v>
      </c>
      <c r="I293" s="4">
        <f t="shared" si="23"/>
        <v>-2.9299999999999997E-5</v>
      </c>
      <c r="J293" s="4">
        <f t="shared" si="24"/>
        <v>311</v>
      </c>
    </row>
    <row r="294" spans="1:10" ht="15" customHeight="1" x14ac:dyDescent="0.25">
      <c r="A294" s="8">
        <f>IF(COUNT($J$2:$J$1501)&gt;=293,293,"")</f>
        <v>293</v>
      </c>
      <c r="B294" s="8" t="str">
        <f t="shared" si="20"/>
        <v>Ramirez Alonso</v>
      </c>
      <c r="C294" s="8" t="str">
        <f t="shared" si="21"/>
        <v>Puebla</v>
      </c>
      <c r="D294" s="8">
        <f t="shared" si="22"/>
        <v>0</v>
      </c>
      <c r="F294" s="4" t="str">
        <f>IF(Jugadores!B294="","",Jugadores!B294)</f>
        <v>Pardo Franco</v>
      </c>
      <c r="G294" s="4" t="str">
        <f>IF(Jugadores!B294="","",Jugadores!A294)</f>
        <v>Santos Laguna</v>
      </c>
      <c r="H294" s="4">
        <f>IF(F294="","",SUMIF('Estadísticas Jugadores'!$F$2:$F$7001,F294,'Estadísticas Jugadores'!$L$2:$L$7001))</f>
        <v>0</v>
      </c>
      <c r="I294" s="4">
        <f t="shared" si="23"/>
        <v>-2.94E-5</v>
      </c>
      <c r="J294" s="4">
        <f t="shared" si="24"/>
        <v>312</v>
      </c>
    </row>
    <row r="295" spans="1:10" ht="15" customHeight="1" x14ac:dyDescent="0.25">
      <c r="A295" s="8">
        <f>IF(COUNT($J$2:$J$1501)&gt;=294,294,"")</f>
        <v>294</v>
      </c>
      <c r="B295" s="8" t="str">
        <f t="shared" si="20"/>
        <v>Sanabria Sergio</v>
      </c>
      <c r="C295" s="8" t="str">
        <f t="shared" si="21"/>
        <v>Puebla</v>
      </c>
      <c r="D295" s="8">
        <f t="shared" si="22"/>
        <v>0</v>
      </c>
      <c r="F295" s="4" t="str">
        <f>IF(Jugadores!B295="","",Jugadores!B295)</f>
        <v>Perez Jonathan</v>
      </c>
      <c r="G295" s="4" t="str">
        <f>IF(Jugadores!B295="","",Jugadores!A295)</f>
        <v>Santos Laguna</v>
      </c>
      <c r="H295" s="4">
        <f>IF(F295="","",SUMIF('Estadísticas Jugadores'!$F$2:$F$7001,F295,'Estadísticas Jugadores'!$L$2:$L$7001))</f>
        <v>0</v>
      </c>
      <c r="I295" s="4">
        <f t="shared" si="23"/>
        <v>-2.9499999999999999E-5</v>
      </c>
      <c r="J295" s="4">
        <f t="shared" si="24"/>
        <v>313</v>
      </c>
    </row>
    <row r="296" spans="1:10" ht="15" customHeight="1" x14ac:dyDescent="0.25">
      <c r="A296" s="8">
        <f>IF(COUNT($J$2:$J$1501)&gt;=295,295,"")</f>
        <v>295</v>
      </c>
      <c r="B296" s="8" t="str">
        <f t="shared" si="20"/>
        <v>Tomas Mathias</v>
      </c>
      <c r="C296" s="8" t="str">
        <f t="shared" si="21"/>
        <v>Puebla</v>
      </c>
      <c r="D296" s="8">
        <f t="shared" si="22"/>
        <v>0</v>
      </c>
      <c r="F296" s="4" t="str">
        <f>IF(Jugadores!B296="","",Jugadores!B296)</f>
        <v>Picon Kevin</v>
      </c>
      <c r="G296" s="4" t="str">
        <f>IF(Jugadores!B296="","",Jugadores!A296)</f>
        <v>Santos Laguna</v>
      </c>
      <c r="H296" s="4">
        <f>IF(F296="","",SUMIF('Estadísticas Jugadores'!$F$2:$F$7001,F296,'Estadísticas Jugadores'!$L$2:$L$7001))</f>
        <v>0</v>
      </c>
      <c r="I296" s="4">
        <f t="shared" si="23"/>
        <v>-2.9599999999999998E-5</v>
      </c>
      <c r="J296" s="4">
        <f t="shared" si="24"/>
        <v>314</v>
      </c>
    </row>
    <row r="297" spans="1:10" ht="15" customHeight="1" x14ac:dyDescent="0.25">
      <c r="A297" s="8">
        <f>IF(COUNT($J$2:$J$1501)&gt;=296,296,"")</f>
        <v>296</v>
      </c>
      <c r="B297" s="8" t="str">
        <f t="shared" si="20"/>
        <v>de la Rosa Alvaro</v>
      </c>
      <c r="C297" s="8" t="str">
        <f t="shared" si="21"/>
        <v>Puebla</v>
      </c>
      <c r="D297" s="8">
        <f t="shared" si="22"/>
        <v>0</v>
      </c>
      <c r="F297" s="4" t="str">
        <f>IF(Jugadores!B297="","",Jugadores!B297)</f>
        <v>Sanchez Filipe</v>
      </c>
      <c r="G297" s="4" t="str">
        <f>IF(Jugadores!B297="","",Jugadores!A297)</f>
        <v>Santos Laguna</v>
      </c>
      <c r="H297" s="4">
        <f>IF(F297="","",SUMIF('Estadísticas Jugadores'!$F$2:$F$7001,F297,'Estadísticas Jugadores'!$L$2:$L$7001))</f>
        <v>0</v>
      </c>
      <c r="I297" s="4">
        <f t="shared" si="23"/>
        <v>-2.97E-5</v>
      </c>
      <c r="J297" s="4">
        <f t="shared" si="24"/>
        <v>315</v>
      </c>
    </row>
    <row r="298" spans="1:10" ht="15" customHeight="1" x14ac:dyDescent="0.25">
      <c r="A298" s="8">
        <f>IF(COUNT($J$2:$J$1501)&gt;=297,297,"")</f>
        <v>297</v>
      </c>
      <c r="B298" s="8" t="str">
        <f t="shared" si="20"/>
        <v>Garnica Brayan</v>
      </c>
      <c r="C298" s="8" t="str">
        <f t="shared" si="21"/>
        <v>Puebla</v>
      </c>
      <c r="D298" s="8">
        <f t="shared" si="22"/>
        <v>0</v>
      </c>
      <c r="F298" s="4" t="str">
        <f>IF(Jugadores!B298="","",Jugadores!B298)</f>
        <v>Bullaude Ezequiel</v>
      </c>
      <c r="G298" s="4" t="str">
        <f>IF(Jugadores!B298="","",Jugadores!A298)</f>
        <v>Santos Laguna</v>
      </c>
      <c r="H298" s="4">
        <f>IF(F298="","",SUMIF('Estadísticas Jugadores'!$F$2:$F$7001,F298,'Estadísticas Jugadores'!$L$2:$L$7001))</f>
        <v>0</v>
      </c>
      <c r="I298" s="4">
        <f t="shared" si="23"/>
        <v>-2.9799999999999999E-5</v>
      </c>
      <c r="J298" s="4">
        <f t="shared" si="24"/>
        <v>316</v>
      </c>
    </row>
    <row r="299" spans="1:10" ht="15" customHeight="1" x14ac:dyDescent="0.25">
      <c r="A299" s="8">
        <f>IF(COUNT($J$2:$J$1501)&gt;=298,298,"")</f>
        <v>298</v>
      </c>
      <c r="B299" s="8" t="str">
        <f t="shared" si="20"/>
        <v>Hernández Luifer</v>
      </c>
      <c r="C299" s="8" t="str">
        <f t="shared" si="21"/>
        <v>Puebla</v>
      </c>
      <c r="D299" s="8">
        <f t="shared" si="22"/>
        <v>0</v>
      </c>
      <c r="F299" s="4" t="str">
        <f>IF(Jugadores!B299="","",Jugadores!B299)</f>
        <v>Cedillo Nelson</v>
      </c>
      <c r="G299" s="4" t="str">
        <f>IF(Jugadores!B299="","",Jugadores!A299)</f>
        <v>Santos Laguna</v>
      </c>
      <c r="H299" s="4">
        <f>IF(F299="","",SUMIF('Estadísticas Jugadores'!$F$2:$F$7001,F299,'Estadísticas Jugadores'!$L$2:$L$7001))</f>
        <v>0</v>
      </c>
      <c r="I299" s="4">
        <f t="shared" si="23"/>
        <v>-2.9899999999999998E-5</v>
      </c>
      <c r="J299" s="4">
        <f t="shared" si="24"/>
        <v>317</v>
      </c>
    </row>
    <row r="300" spans="1:10" ht="15" customHeight="1" x14ac:dyDescent="0.25">
      <c r="A300" s="8">
        <f>IF(COUNT($J$2:$J$1501)&gt;=299,299,"")</f>
        <v>299</v>
      </c>
      <c r="B300" s="8" t="str">
        <f t="shared" si="20"/>
        <v>Monarrez Ochoa Fernando</v>
      </c>
      <c r="C300" s="8" t="str">
        <f t="shared" si="21"/>
        <v>Puebla</v>
      </c>
      <c r="D300" s="8">
        <f t="shared" si="22"/>
        <v>0</v>
      </c>
      <c r="F300" s="4" t="str">
        <f>IF(Jugadores!B300="","",Jugadores!B300)</f>
        <v>Gomez Luis</v>
      </c>
      <c r="G300" s="4" t="str">
        <f>IF(Jugadores!B300="","",Jugadores!A300)</f>
        <v>Santos Laguna</v>
      </c>
      <c r="H300" s="4">
        <f>IF(F300="","",SUMIF('Estadísticas Jugadores'!$F$2:$F$7001,F300,'Estadísticas Jugadores'!$L$2:$L$7001))</f>
        <v>0</v>
      </c>
      <c r="I300" s="4">
        <f t="shared" si="23"/>
        <v>-2.9999999999999997E-5</v>
      </c>
      <c r="J300" s="4">
        <f t="shared" si="24"/>
        <v>318</v>
      </c>
    </row>
    <row r="301" spans="1:10" ht="15" customHeight="1" x14ac:dyDescent="0.25">
      <c r="A301" s="8">
        <f>IF(COUNT($J$2:$J$1501)&gt;=300,300,"")</f>
        <v>300</v>
      </c>
      <c r="B301" s="8" t="str">
        <f t="shared" si="20"/>
        <v>Moreno Villegas Omar Fernando</v>
      </c>
      <c r="C301" s="8" t="str">
        <f t="shared" si="21"/>
        <v>Puebla</v>
      </c>
      <c r="D301" s="8">
        <f t="shared" si="22"/>
        <v>0</v>
      </c>
      <c r="F301" s="4" t="str">
        <f>IF(Jugadores!B301="","",Jugadores!B301)</f>
        <v>Gruezo Carlos</v>
      </c>
      <c r="G301" s="4" t="str">
        <f>IF(Jugadores!B301="","",Jugadores!A301)</f>
        <v>Santos Laguna</v>
      </c>
      <c r="H301" s="4">
        <f>IF(F301="","",SUMIF('Estadísticas Jugadores'!$F$2:$F$7001,F301,'Estadísticas Jugadores'!$L$2:$L$7001))</f>
        <v>0</v>
      </c>
      <c r="I301" s="4">
        <f t="shared" si="23"/>
        <v>-3.01E-5</v>
      </c>
      <c r="J301" s="4">
        <f t="shared" si="24"/>
        <v>319</v>
      </c>
    </row>
    <row r="302" spans="1:10" ht="15" customHeight="1" x14ac:dyDescent="0.25">
      <c r="A302" s="8">
        <f>IF(COUNT($J$2:$J$1501)&gt;=301,301,"")</f>
        <v>301</v>
      </c>
      <c r="B302" s="8" t="str">
        <f t="shared" si="20"/>
        <v>Mustre Eduardo</v>
      </c>
      <c r="C302" s="8" t="str">
        <f t="shared" si="21"/>
        <v>Puebla</v>
      </c>
      <c r="D302" s="8">
        <f t="shared" si="22"/>
        <v>0</v>
      </c>
      <c r="F302" s="4" t="str">
        <f>IF(Jugadores!B302="","",Jugadores!B302)</f>
        <v>Guemez Javier</v>
      </c>
      <c r="G302" s="4" t="str">
        <f>IF(Jugadores!B302="","",Jugadores!A302)</f>
        <v>Santos Laguna</v>
      </c>
      <c r="H302" s="4">
        <f>IF(F302="","",SUMIF('Estadísticas Jugadores'!$F$2:$F$7001,F302,'Estadísticas Jugadores'!$L$2:$L$7001))</f>
        <v>0</v>
      </c>
      <c r="I302" s="4">
        <f t="shared" si="23"/>
        <v>-3.0199999999999999E-5</v>
      </c>
      <c r="J302" s="4">
        <f t="shared" si="24"/>
        <v>320</v>
      </c>
    </row>
    <row r="303" spans="1:10" ht="15" customHeight="1" x14ac:dyDescent="0.25">
      <c r="A303" s="8">
        <f>IF(COUNT($J$2:$J$1501)&gt;=302,302,"")</f>
        <v>302</v>
      </c>
      <c r="B303" s="8" t="str">
        <f t="shared" si="20"/>
        <v>Perez Arez</v>
      </c>
      <c r="C303" s="8" t="str">
        <f t="shared" si="21"/>
        <v>Puebla</v>
      </c>
      <c r="D303" s="8">
        <f t="shared" si="22"/>
        <v>0</v>
      </c>
      <c r="F303" s="4" t="str">
        <f>IF(Jugadores!B303="","",Jugadores!B303)</f>
        <v>López Aldo</v>
      </c>
      <c r="G303" s="4" t="str">
        <f>IF(Jugadores!B303="","",Jugadores!A303)</f>
        <v>Santos Laguna</v>
      </c>
      <c r="H303" s="4">
        <f>IF(F303="","",SUMIF('Estadísticas Jugadores'!$F$2:$F$7001,F303,'Estadísticas Jugadores'!$L$2:$L$7001))</f>
        <v>0</v>
      </c>
      <c r="I303" s="4">
        <f t="shared" si="23"/>
        <v>-3.0299999999999998E-5</v>
      </c>
      <c r="J303" s="4">
        <f t="shared" si="24"/>
        <v>321</v>
      </c>
    </row>
    <row r="304" spans="1:10" ht="15" customHeight="1" x14ac:dyDescent="0.25">
      <c r="A304" s="8">
        <f>IF(COUNT($J$2:$J$1501)&gt;=303,303,"")</f>
        <v>303</v>
      </c>
      <c r="B304" s="8" t="str">
        <f t="shared" si="20"/>
        <v>Velasco Kevin</v>
      </c>
      <c r="C304" s="8" t="str">
        <f t="shared" si="21"/>
        <v>Puebla</v>
      </c>
      <c r="D304" s="8">
        <f t="shared" si="22"/>
        <v>0</v>
      </c>
      <c r="F304" s="4" t="str">
        <f>IF(Jugadores!B304="","",Jugadores!B304)</f>
        <v>Mancha Joshua</v>
      </c>
      <c r="G304" s="4" t="str">
        <f>IF(Jugadores!B304="","",Jugadores!A304)</f>
        <v>Santos Laguna</v>
      </c>
      <c r="H304" s="4">
        <f>IF(F304="","",SUMIF('Estadísticas Jugadores'!$F$2:$F$7001,F304,'Estadísticas Jugadores'!$L$2:$L$7001))</f>
        <v>0</v>
      </c>
      <c r="I304" s="4">
        <f t="shared" si="23"/>
        <v>-3.04E-5</v>
      </c>
      <c r="J304" s="4">
        <f t="shared" si="24"/>
        <v>322</v>
      </c>
    </row>
    <row r="305" spans="1:10" ht="15" customHeight="1" x14ac:dyDescent="0.25">
      <c r="A305" s="8">
        <f>IF(COUNT($J$2:$J$1501)&gt;=304,304,"")</f>
        <v>304</v>
      </c>
      <c r="B305" s="8" t="str">
        <f t="shared" si="20"/>
        <v>Acevedo Carlos</v>
      </c>
      <c r="C305" s="8" t="str">
        <f t="shared" si="21"/>
        <v>Santos Laguna</v>
      </c>
      <c r="D305" s="8">
        <f t="shared" si="22"/>
        <v>0</v>
      </c>
      <c r="F305" s="4" t="str">
        <f>IF(Jugadores!B305="","",Jugadores!B305)</f>
        <v>Mariscal Murra Salvador</v>
      </c>
      <c r="G305" s="4" t="str">
        <f>IF(Jugadores!B305="","",Jugadores!A305)</f>
        <v>Santos Laguna</v>
      </c>
      <c r="H305" s="4">
        <f>IF(F305="","",SUMIF('Estadísticas Jugadores'!$F$2:$F$7001,F305,'Estadísticas Jugadores'!$L$2:$L$7001))</f>
        <v>0</v>
      </c>
      <c r="I305" s="4">
        <f t="shared" si="23"/>
        <v>-3.0499999999999999E-5</v>
      </c>
      <c r="J305" s="4">
        <f t="shared" si="24"/>
        <v>323</v>
      </c>
    </row>
    <row r="306" spans="1:10" ht="15" customHeight="1" x14ac:dyDescent="0.25">
      <c r="A306" s="8">
        <f>IF(COUNT($J$2:$J$1501)&gt;=305,305,"")</f>
        <v>305</v>
      </c>
      <c r="B306" s="8" t="str">
        <f t="shared" si="20"/>
        <v>Holguin Hector</v>
      </c>
      <c r="C306" s="8" t="str">
        <f t="shared" si="21"/>
        <v>Santos Laguna</v>
      </c>
      <c r="D306" s="8">
        <f t="shared" si="22"/>
        <v>0</v>
      </c>
      <c r="F306" s="4" t="str">
        <f>IF(Jugadores!B306="","",Jugadores!B306)</f>
        <v>Ulloa Jose</v>
      </c>
      <c r="G306" s="4" t="str">
        <f>IF(Jugadores!B306="","",Jugadores!A306)</f>
        <v>Santos Laguna</v>
      </c>
      <c r="H306" s="4">
        <f>IF(F306="","",SUMIF('Estadísticas Jugadores'!$F$2:$F$7001,F306,'Estadísticas Jugadores'!$L$2:$L$7001))</f>
        <v>0</v>
      </c>
      <c r="I306" s="4">
        <f t="shared" si="23"/>
        <v>-3.0599999999999998E-5</v>
      </c>
      <c r="J306" s="4">
        <f t="shared" si="24"/>
        <v>324</v>
      </c>
    </row>
    <row r="307" spans="1:10" ht="15" customHeight="1" x14ac:dyDescent="0.25">
      <c r="A307" s="8">
        <f>IF(COUNT($J$2:$J$1501)&gt;=306,306,"")</f>
        <v>306</v>
      </c>
      <c r="B307" s="8" t="str">
        <f t="shared" si="20"/>
        <v>Abella Jose</v>
      </c>
      <c r="C307" s="8" t="str">
        <f t="shared" si="21"/>
        <v>Santos Laguna</v>
      </c>
      <c r="D307" s="8">
        <f t="shared" si="22"/>
        <v>0</v>
      </c>
      <c r="F307" s="4" t="str">
        <f>IF(Jugadores!B307="","",Jugadores!B307)</f>
        <v>Villalba Francisco</v>
      </c>
      <c r="G307" s="4" t="str">
        <f>IF(Jugadores!B307="","",Jugadores!A307)</f>
        <v>Santos Laguna</v>
      </c>
      <c r="H307" s="4">
        <f>IF(F307="","",SUMIF('Estadísticas Jugadores'!$F$2:$F$7001,F307,'Estadísticas Jugadores'!$L$2:$L$7001))</f>
        <v>0</v>
      </c>
      <c r="I307" s="4">
        <f t="shared" si="23"/>
        <v>-3.0700000000000001E-5</v>
      </c>
      <c r="J307" s="4">
        <f t="shared" si="24"/>
        <v>325</v>
      </c>
    </row>
    <row r="308" spans="1:10" ht="15" customHeight="1" x14ac:dyDescent="0.25">
      <c r="A308" s="8">
        <f>IF(COUNT($J$2:$J$1501)&gt;=307,307,"")</f>
        <v>307</v>
      </c>
      <c r="B308" s="8" t="str">
        <f t="shared" si="20"/>
        <v>Amione Bruno</v>
      </c>
      <c r="C308" s="8" t="str">
        <f t="shared" si="21"/>
        <v>Santos Laguna</v>
      </c>
      <c r="D308" s="8">
        <f t="shared" si="22"/>
        <v>0</v>
      </c>
      <c r="F308" s="4" t="str">
        <f>IF(Jugadores!B308="","",Jugadores!B308)</f>
        <v>Aguirre Eduardo</v>
      </c>
      <c r="G308" s="4" t="str">
        <f>IF(Jugadores!B308="","",Jugadores!A308)</f>
        <v>Santos Laguna</v>
      </c>
      <c r="H308" s="4">
        <f>IF(F308="","",SUMIF('Estadísticas Jugadores'!$F$2:$F$7001,F308,'Estadísticas Jugadores'!$L$2:$L$7001))</f>
        <v>1</v>
      </c>
      <c r="I308" s="4">
        <f t="shared" si="23"/>
        <v>999.99996920000001</v>
      </c>
      <c r="J308" s="4">
        <f t="shared" si="24"/>
        <v>35</v>
      </c>
    </row>
    <row r="309" spans="1:10" ht="15" customHeight="1" x14ac:dyDescent="0.25">
      <c r="A309" s="8">
        <f>IF(COUNT($J$2:$J$1501)&gt;=308,308,"")</f>
        <v>308</v>
      </c>
      <c r="B309" s="8" t="str">
        <f t="shared" si="20"/>
        <v>Cuevas Mauricio</v>
      </c>
      <c r="C309" s="8" t="str">
        <f t="shared" si="21"/>
        <v>Santos Laguna</v>
      </c>
      <c r="D309" s="8">
        <f t="shared" si="22"/>
        <v>0</v>
      </c>
      <c r="F309" s="4" t="str">
        <f>IF(Jugadores!B309="","",Jugadores!B309)</f>
        <v>Di Yorio Lucas</v>
      </c>
      <c r="G309" s="4" t="str">
        <f>IF(Jugadores!B309="","",Jugadores!A309)</f>
        <v>Santos Laguna</v>
      </c>
      <c r="H309" s="4">
        <f>IF(F309="","",SUMIF('Estadísticas Jugadores'!$F$2:$F$7001,F309,'Estadísticas Jugadores'!$L$2:$L$7001))</f>
        <v>1</v>
      </c>
      <c r="I309" s="4">
        <f t="shared" si="23"/>
        <v>999.99996910000004</v>
      </c>
      <c r="J309" s="4">
        <f t="shared" si="24"/>
        <v>36</v>
      </c>
    </row>
    <row r="310" spans="1:10" ht="15" customHeight="1" x14ac:dyDescent="0.25">
      <c r="A310" s="8">
        <f>IF(COUNT($J$2:$J$1501)&gt;=309,309,"")</f>
        <v>309</v>
      </c>
      <c r="B310" s="8" t="str">
        <f t="shared" si="20"/>
        <v>Echeverria Emmanuel</v>
      </c>
      <c r="C310" s="8" t="str">
        <f t="shared" si="21"/>
        <v>Santos Laguna</v>
      </c>
      <c r="D310" s="8">
        <f t="shared" si="22"/>
        <v>0</v>
      </c>
      <c r="F310" s="4" t="str">
        <f>IF(Jugadores!B310="","",Jugadores!B310)</f>
        <v>Gonzalez Diego</v>
      </c>
      <c r="G310" s="4" t="str">
        <f>IF(Jugadores!B310="","",Jugadores!A310)</f>
        <v>Santos Laguna</v>
      </c>
      <c r="H310" s="4">
        <f>IF(F310="","",SUMIF('Estadísticas Jugadores'!$F$2:$F$7001,F310,'Estadísticas Jugadores'!$L$2:$L$7001))</f>
        <v>1</v>
      </c>
      <c r="I310" s="4">
        <f t="shared" si="23"/>
        <v>999.99996899999996</v>
      </c>
      <c r="J310" s="4">
        <f t="shared" si="24"/>
        <v>37</v>
      </c>
    </row>
    <row r="311" spans="1:10" ht="15" customHeight="1" x14ac:dyDescent="0.25">
      <c r="A311" s="8">
        <f>IF(COUNT($J$2:$J$1501)&gt;=310,310,"")</f>
        <v>310</v>
      </c>
      <c r="B311" s="8" t="str">
        <f t="shared" si="20"/>
        <v>Echilvestre Juan</v>
      </c>
      <c r="C311" s="8" t="str">
        <f t="shared" si="21"/>
        <v>Santos Laguna</v>
      </c>
      <c r="D311" s="8">
        <f t="shared" si="22"/>
        <v>0</v>
      </c>
      <c r="F311" s="4" t="str">
        <f>IF(Jugadores!B311="","",Jugadores!B311)</f>
        <v>Jimenez Tahiel</v>
      </c>
      <c r="G311" s="4" t="str">
        <f>IF(Jugadores!B311="","",Jugadores!A311)</f>
        <v>Santos Laguna</v>
      </c>
      <c r="H311" s="4">
        <f>IF(F311="","",SUMIF('Estadísticas Jugadores'!$F$2:$F$7001,F311,'Estadísticas Jugadores'!$L$2:$L$7001))</f>
        <v>0</v>
      </c>
      <c r="I311" s="4">
        <f t="shared" si="23"/>
        <v>-3.1099999999999997E-5</v>
      </c>
      <c r="J311" s="4">
        <f t="shared" si="24"/>
        <v>326</v>
      </c>
    </row>
    <row r="312" spans="1:10" ht="15" customHeight="1" x14ac:dyDescent="0.25">
      <c r="A312" s="8">
        <f>IF(COUNT($J$2:$J$1501)&gt;=311,311,"")</f>
        <v>311</v>
      </c>
      <c r="B312" s="8" t="str">
        <f t="shared" si="20"/>
        <v>Orona Zavala Efrain</v>
      </c>
      <c r="C312" s="8" t="str">
        <f t="shared" si="21"/>
        <v>Santos Laguna</v>
      </c>
      <c r="D312" s="8">
        <f t="shared" si="22"/>
        <v>0</v>
      </c>
      <c r="F312" s="4" t="str">
        <f>IF(Jugadores!B312="","",Jugadores!B312)</f>
        <v>Medina Diego</v>
      </c>
      <c r="G312" s="4" t="str">
        <f>IF(Jugadores!B312="","",Jugadores!A312)</f>
        <v>Santos Laguna</v>
      </c>
      <c r="H312" s="4">
        <f>IF(F312="","",SUMIF('Estadísticas Jugadores'!$F$2:$F$7001,F312,'Estadísticas Jugadores'!$L$2:$L$7001))</f>
        <v>0</v>
      </c>
      <c r="I312" s="4">
        <f t="shared" si="23"/>
        <v>-3.1199999999999999E-5</v>
      </c>
      <c r="J312" s="4">
        <f t="shared" si="24"/>
        <v>327</v>
      </c>
    </row>
    <row r="313" spans="1:10" ht="15" customHeight="1" x14ac:dyDescent="0.25">
      <c r="A313" s="8">
        <f>IF(COUNT($J$2:$J$1501)&gt;=312,312,"")</f>
        <v>312</v>
      </c>
      <c r="B313" s="8" t="str">
        <f t="shared" si="20"/>
        <v>Pardo Franco</v>
      </c>
      <c r="C313" s="8" t="str">
        <f t="shared" si="21"/>
        <v>Santos Laguna</v>
      </c>
      <c r="D313" s="8">
        <f t="shared" si="22"/>
        <v>0</v>
      </c>
      <c r="F313" s="4" t="str">
        <f>IF(Jugadores!B313="","",Jugadores!B313)</f>
        <v>Palacios Kevin</v>
      </c>
      <c r="G313" s="4" t="str">
        <f>IF(Jugadores!B313="","",Jugadores!A313)</f>
        <v>Santos Laguna</v>
      </c>
      <c r="H313" s="4">
        <f>IF(F313="","",SUMIF('Estadísticas Jugadores'!$F$2:$F$7001,F313,'Estadísticas Jugadores'!$L$2:$L$7001))</f>
        <v>0</v>
      </c>
      <c r="I313" s="4">
        <f t="shared" si="23"/>
        <v>-3.1300000000000002E-5</v>
      </c>
      <c r="J313" s="4">
        <f t="shared" si="24"/>
        <v>328</v>
      </c>
    </row>
    <row r="314" spans="1:10" ht="15" customHeight="1" x14ac:dyDescent="0.25">
      <c r="A314" s="8">
        <f>IF(COUNT($J$2:$J$1501)&gt;=313,313,"")</f>
        <v>313</v>
      </c>
      <c r="B314" s="8" t="str">
        <f t="shared" si="20"/>
        <v>Perez Jonathan</v>
      </c>
      <c r="C314" s="8" t="str">
        <f t="shared" si="21"/>
        <v>Santos Laguna</v>
      </c>
      <c r="D314" s="8">
        <f t="shared" si="22"/>
        <v>0</v>
      </c>
      <c r="F314" s="4" t="str">
        <f>IF(Jugadores!B314="","",Jugadores!B314)</f>
        <v>Sordo Ramiro</v>
      </c>
      <c r="G314" s="4" t="str">
        <f>IF(Jugadores!B314="","",Jugadores!A314)</f>
        <v>Santos Laguna</v>
      </c>
      <c r="H314" s="4">
        <f>IF(F314="","",SUMIF('Estadísticas Jugadores'!$F$2:$F$7001,F314,'Estadísticas Jugadores'!$L$2:$L$7001))</f>
        <v>0</v>
      </c>
      <c r="I314" s="4">
        <f t="shared" si="23"/>
        <v>-3.1399999999999998E-5</v>
      </c>
      <c r="J314" s="4">
        <f t="shared" si="24"/>
        <v>329</v>
      </c>
    </row>
    <row r="315" spans="1:10" ht="15" customHeight="1" x14ac:dyDescent="0.25">
      <c r="A315" s="8">
        <f>IF(COUNT($J$2:$J$1501)&gt;=314,314,"")</f>
        <v>314</v>
      </c>
      <c r="B315" s="8" t="str">
        <f t="shared" si="20"/>
        <v>Picon Kevin</v>
      </c>
      <c r="C315" s="8" t="str">
        <f t="shared" si="21"/>
        <v>Santos Laguna</v>
      </c>
      <c r="D315" s="8">
        <f t="shared" si="22"/>
        <v>0</v>
      </c>
      <c r="F315" s="4" t="str">
        <f>IF(Jugadores!B315="","",Jugadores!B315)</f>
        <v>Vuoso Lucca</v>
      </c>
      <c r="G315" s="4" t="str">
        <f>IF(Jugadores!B315="","",Jugadores!A315)</f>
        <v>Santos Laguna</v>
      </c>
      <c r="H315" s="4">
        <f>IF(F315="","",SUMIF('Estadísticas Jugadores'!$F$2:$F$7001,F315,'Estadísticas Jugadores'!$L$2:$L$7001))</f>
        <v>0</v>
      </c>
      <c r="I315" s="4">
        <f t="shared" si="23"/>
        <v>-3.15E-5</v>
      </c>
      <c r="J315" s="4">
        <f t="shared" si="24"/>
        <v>330</v>
      </c>
    </row>
    <row r="316" spans="1:10" ht="15" customHeight="1" x14ac:dyDescent="0.25">
      <c r="A316" s="8">
        <f>IF(COUNT($J$2:$J$1501)&gt;=315,315,"")</f>
        <v>315</v>
      </c>
      <c r="B316" s="8" t="str">
        <f t="shared" si="20"/>
        <v>Sanchez Filipe</v>
      </c>
      <c r="C316" s="8" t="str">
        <f t="shared" si="21"/>
        <v>Santos Laguna</v>
      </c>
      <c r="D316" s="8">
        <f t="shared" si="22"/>
        <v>0</v>
      </c>
      <c r="F316" s="4" t="str">
        <f>IF(Jugadores!B316="","",Jugadores!B316)</f>
        <v>Lajud Manuel Gibran</v>
      </c>
      <c r="G316" s="4" t="str">
        <f>IF(Jugadores!B316="","",Jugadores!A316)</f>
        <v>Atlético de San Luis</v>
      </c>
      <c r="H316" s="4">
        <f>IF(F316="","",SUMIF('Estadísticas Jugadores'!$F$2:$F$7001,F316,'Estadísticas Jugadores'!$L$2:$L$7001))</f>
        <v>0</v>
      </c>
      <c r="I316" s="4">
        <f t="shared" si="23"/>
        <v>-3.1599999999999996E-5</v>
      </c>
      <c r="J316" s="4">
        <f t="shared" si="24"/>
        <v>331</v>
      </c>
    </row>
    <row r="317" spans="1:10" ht="15" customHeight="1" x14ac:dyDescent="0.25">
      <c r="A317" s="8">
        <f>IF(COUNT($J$2:$J$1501)&gt;=316,316,"")</f>
        <v>316</v>
      </c>
      <c r="B317" s="8" t="str">
        <f t="shared" si="20"/>
        <v>Bullaude Ezequiel</v>
      </c>
      <c r="C317" s="8" t="str">
        <f t="shared" si="21"/>
        <v>Santos Laguna</v>
      </c>
      <c r="D317" s="8">
        <f t="shared" si="22"/>
        <v>0</v>
      </c>
      <c r="F317" s="4" t="str">
        <f>IF(Jugadores!B317="","",Jugadores!B317)</f>
        <v>Sanchez Andres</v>
      </c>
      <c r="G317" s="4" t="str">
        <f>IF(Jugadores!B317="","",Jugadores!A317)</f>
        <v>Atlético de San Luis</v>
      </c>
      <c r="H317" s="4">
        <f>IF(F317="","",SUMIF('Estadísticas Jugadores'!$F$2:$F$7001,F317,'Estadísticas Jugadores'!$L$2:$L$7001))</f>
        <v>0</v>
      </c>
      <c r="I317" s="4">
        <f t="shared" si="23"/>
        <v>-3.1699999999999998E-5</v>
      </c>
      <c r="J317" s="4">
        <f t="shared" si="24"/>
        <v>332</v>
      </c>
    </row>
    <row r="318" spans="1:10" ht="15" customHeight="1" x14ac:dyDescent="0.25">
      <c r="A318" s="8">
        <f>IF(COUNT($J$2:$J$1501)&gt;=317,317,"")</f>
        <v>317</v>
      </c>
      <c r="B318" s="8" t="str">
        <f t="shared" si="20"/>
        <v>Cedillo Nelson</v>
      </c>
      <c r="C318" s="8" t="str">
        <f t="shared" si="21"/>
        <v>Santos Laguna</v>
      </c>
      <c r="D318" s="8">
        <f t="shared" si="22"/>
        <v>0</v>
      </c>
      <c r="F318" s="4" t="str">
        <f>IF(Jugadores!B318="","",Jugadores!B318)</f>
        <v>Aguila Eduardo</v>
      </c>
      <c r="G318" s="4" t="str">
        <f>IF(Jugadores!B318="","",Jugadores!A318)</f>
        <v>Atlético de San Luis</v>
      </c>
      <c r="H318" s="4">
        <f>IF(F318="","",SUMIF('Estadísticas Jugadores'!$F$2:$F$7001,F318,'Estadísticas Jugadores'!$L$2:$L$7001))</f>
        <v>0</v>
      </c>
      <c r="I318" s="4">
        <f t="shared" si="23"/>
        <v>-3.18E-5</v>
      </c>
      <c r="J318" s="4">
        <f t="shared" si="24"/>
        <v>333</v>
      </c>
    </row>
    <row r="319" spans="1:10" ht="15" customHeight="1" x14ac:dyDescent="0.25">
      <c r="A319" s="8">
        <f>IF(COUNT($J$2:$J$1501)&gt;=318,318,"")</f>
        <v>318</v>
      </c>
      <c r="B319" s="8" t="str">
        <f t="shared" si="20"/>
        <v>Gomez Luis</v>
      </c>
      <c r="C319" s="8" t="str">
        <f t="shared" si="21"/>
        <v>Santos Laguna</v>
      </c>
      <c r="D319" s="8">
        <f t="shared" si="22"/>
        <v>0</v>
      </c>
      <c r="F319" s="4" t="str">
        <f>IF(Jugadores!B319="","",Jugadores!B319)</f>
        <v>Carrillo Luis</v>
      </c>
      <c r="G319" s="4" t="str">
        <f>IF(Jugadores!B319="","",Jugadores!A319)</f>
        <v>Atlético de San Luis</v>
      </c>
      <c r="H319" s="4">
        <f>IF(F319="","",SUMIF('Estadísticas Jugadores'!$F$2:$F$7001,F319,'Estadísticas Jugadores'!$L$2:$L$7001))</f>
        <v>0</v>
      </c>
      <c r="I319" s="4">
        <f t="shared" si="23"/>
        <v>-3.1899999999999996E-5</v>
      </c>
      <c r="J319" s="4">
        <f t="shared" si="24"/>
        <v>334</v>
      </c>
    </row>
    <row r="320" spans="1:10" ht="15" customHeight="1" x14ac:dyDescent="0.25">
      <c r="A320" s="8">
        <f>IF(COUNT($J$2:$J$1501)&gt;=319,319,"")</f>
        <v>319</v>
      </c>
      <c r="B320" s="8" t="str">
        <f t="shared" si="20"/>
        <v>Gruezo Carlos</v>
      </c>
      <c r="C320" s="8" t="str">
        <f t="shared" si="21"/>
        <v>Santos Laguna</v>
      </c>
      <c r="D320" s="8">
        <f t="shared" si="22"/>
        <v>0</v>
      </c>
      <c r="F320" s="4" t="str">
        <f>IF(Jugadores!B320="","",Jugadores!B320)</f>
        <v>Cruz Aldo</v>
      </c>
      <c r="G320" s="4" t="str">
        <f>IF(Jugadores!B320="","",Jugadores!A320)</f>
        <v>Atlético de San Luis</v>
      </c>
      <c r="H320" s="4">
        <f>IF(F320="","",SUMIF('Estadísticas Jugadores'!$F$2:$F$7001,F320,'Estadísticas Jugadores'!$L$2:$L$7001))</f>
        <v>0</v>
      </c>
      <c r="I320" s="4">
        <f t="shared" si="23"/>
        <v>-3.1999999999999999E-5</v>
      </c>
      <c r="J320" s="4">
        <f t="shared" si="24"/>
        <v>335</v>
      </c>
    </row>
    <row r="321" spans="1:10" ht="15" customHeight="1" x14ac:dyDescent="0.25">
      <c r="A321" s="8">
        <f>IF(COUNT($J$2:$J$1501)&gt;=320,320,"")</f>
        <v>320</v>
      </c>
      <c r="B321" s="8" t="str">
        <f t="shared" si="20"/>
        <v>Guemez Javier</v>
      </c>
      <c r="C321" s="8" t="str">
        <f t="shared" si="21"/>
        <v>Santos Laguna</v>
      </c>
      <c r="D321" s="8">
        <f t="shared" si="22"/>
        <v>0</v>
      </c>
      <c r="F321" s="4" t="str">
        <f>IF(Jugadores!B321="","",Jugadores!B321)</f>
        <v>Domínguez Julio Cesar</v>
      </c>
      <c r="G321" s="4" t="str">
        <f>IF(Jugadores!B321="","",Jugadores!A321)</f>
        <v>Atlético de San Luis</v>
      </c>
      <c r="H321" s="4">
        <f>IF(F321="","",SUMIF('Estadísticas Jugadores'!$F$2:$F$7001,F321,'Estadísticas Jugadores'!$L$2:$L$7001))</f>
        <v>0</v>
      </c>
      <c r="I321" s="4">
        <f t="shared" si="23"/>
        <v>-3.2100000000000001E-5</v>
      </c>
      <c r="J321" s="4">
        <f t="shared" si="24"/>
        <v>336</v>
      </c>
    </row>
    <row r="322" spans="1:10" ht="15" customHeight="1" x14ac:dyDescent="0.25">
      <c r="A322" s="8">
        <f>IF(COUNT($J$2:$J$1501)&gt;=321,321,"")</f>
        <v>321</v>
      </c>
      <c r="B322" s="8" t="str">
        <f t="shared" ref="B322:B385" si="25">IF($A322="","",INDEX($F$2:$F$1501,MATCH($A322,$J$2:$J$1501,0)))</f>
        <v>López Aldo</v>
      </c>
      <c r="C322" s="8" t="str">
        <f t="shared" ref="C322:C385" si="26">IF($A322="","",INDEX($G$2:$G$1501,MATCH($A322,$J$2:$J$1501,0)))</f>
        <v>Santos Laguna</v>
      </c>
      <c r="D322" s="8">
        <f t="shared" ref="D322:D385" si="27">IF($A322="","",INDEX($H$2:$H$1501,MATCH($A322,$J$2:$J$1501,0)))</f>
        <v>0</v>
      </c>
      <c r="F322" s="4" t="str">
        <f>IF(Jugadores!B322="","",Jugadores!B322)</f>
        <v>Galindo Cruz Benjamin</v>
      </c>
      <c r="G322" s="4" t="str">
        <f>IF(Jugadores!B322="","",Jugadores!A322)</f>
        <v>Atlético de San Luis</v>
      </c>
      <c r="H322" s="4">
        <f>IF(F322="","",SUMIF('Estadísticas Jugadores'!$F$2:$F$7001,F322,'Estadísticas Jugadores'!$L$2:$L$7001))</f>
        <v>0</v>
      </c>
      <c r="I322" s="4">
        <f t="shared" ref="I322:I385" si="28">IF(F322="","",H322*1000-ROW()*0.0000001)</f>
        <v>-3.2199999999999997E-5</v>
      </c>
      <c r="J322" s="4">
        <f t="shared" ref="J322:J385" si="29">IF(F322="","",RANK(I322,$I$2:$I$1501))</f>
        <v>337</v>
      </c>
    </row>
    <row r="323" spans="1:10" ht="15" customHeight="1" x14ac:dyDescent="0.25">
      <c r="A323" s="8">
        <f>IF(COUNT($J$2:$J$1501)&gt;=322,322,"")</f>
        <v>322</v>
      </c>
      <c r="B323" s="8" t="str">
        <f t="shared" si="25"/>
        <v>Mancha Joshua</v>
      </c>
      <c r="C323" s="8" t="str">
        <f t="shared" si="26"/>
        <v>Santos Laguna</v>
      </c>
      <c r="D323" s="8">
        <f t="shared" si="27"/>
        <v>0</v>
      </c>
      <c r="F323" s="4" t="str">
        <f>IF(Jugadores!B323="","",Jugadores!B323)</f>
        <v>Juanpe</v>
      </c>
      <c r="G323" s="4" t="str">
        <f>IF(Jugadores!B323="","",Jugadores!A323)</f>
        <v>Atlético de San Luis</v>
      </c>
      <c r="H323" s="4">
        <f>IF(F323="","",SUMIF('Estadísticas Jugadores'!$F$2:$F$7001,F323,'Estadísticas Jugadores'!$L$2:$L$7001))</f>
        <v>0</v>
      </c>
      <c r="I323" s="4">
        <f t="shared" si="28"/>
        <v>-3.2299999999999999E-5</v>
      </c>
      <c r="J323" s="4">
        <f t="shared" si="29"/>
        <v>338</v>
      </c>
    </row>
    <row r="324" spans="1:10" ht="15" customHeight="1" x14ac:dyDescent="0.25">
      <c r="A324" s="8">
        <f>IF(COUNT($J$2:$J$1501)&gt;=323,323,"")</f>
        <v>323</v>
      </c>
      <c r="B324" s="8" t="str">
        <f t="shared" si="25"/>
        <v>Mariscal Murra Salvador</v>
      </c>
      <c r="C324" s="8" t="str">
        <f t="shared" si="26"/>
        <v>Santos Laguna</v>
      </c>
      <c r="D324" s="8">
        <f t="shared" si="27"/>
        <v>0</v>
      </c>
      <c r="F324" s="4" t="str">
        <f>IF(Jugadores!B324="","",Jugadores!B324)</f>
        <v>Lucas Esteves</v>
      </c>
      <c r="G324" s="4" t="str">
        <f>IF(Jugadores!B324="","",Jugadores!A324)</f>
        <v>Atlético de San Luis</v>
      </c>
      <c r="H324" s="4">
        <f>IF(F324="","",SUMIF('Estadísticas Jugadores'!$F$2:$F$7001,F324,'Estadísticas Jugadores'!$L$2:$L$7001))</f>
        <v>0</v>
      </c>
      <c r="I324" s="4">
        <f t="shared" si="28"/>
        <v>-3.2400000000000001E-5</v>
      </c>
      <c r="J324" s="4">
        <f t="shared" si="29"/>
        <v>339</v>
      </c>
    </row>
    <row r="325" spans="1:10" ht="15" customHeight="1" x14ac:dyDescent="0.25">
      <c r="A325" s="8">
        <f>IF(COUNT($J$2:$J$1501)&gt;=324,324,"")</f>
        <v>324</v>
      </c>
      <c r="B325" s="8" t="str">
        <f t="shared" si="25"/>
        <v>Ulloa Jose</v>
      </c>
      <c r="C325" s="8" t="str">
        <f t="shared" si="26"/>
        <v>Santos Laguna</v>
      </c>
      <c r="D325" s="8">
        <f t="shared" si="27"/>
        <v>0</v>
      </c>
      <c r="F325" s="4" t="str">
        <f>IF(Jugadores!B325="","",Jugadores!B325)</f>
        <v>Robson Bambu</v>
      </c>
      <c r="G325" s="4" t="str">
        <f>IF(Jugadores!B325="","",Jugadores!A325)</f>
        <v>Atlético de San Luis</v>
      </c>
      <c r="H325" s="4">
        <f>IF(F325="","",SUMIF('Estadísticas Jugadores'!$F$2:$F$7001,F325,'Estadísticas Jugadores'!$L$2:$L$7001))</f>
        <v>0</v>
      </c>
      <c r="I325" s="4">
        <f t="shared" si="28"/>
        <v>-3.2499999999999997E-5</v>
      </c>
      <c r="J325" s="4">
        <f t="shared" si="29"/>
        <v>340</v>
      </c>
    </row>
    <row r="326" spans="1:10" ht="15" customHeight="1" x14ac:dyDescent="0.25">
      <c r="A326" s="8">
        <f>IF(COUNT($J$2:$J$1501)&gt;=325,325,"")</f>
        <v>325</v>
      </c>
      <c r="B326" s="8" t="str">
        <f t="shared" si="25"/>
        <v>Villalba Francisco</v>
      </c>
      <c r="C326" s="8" t="str">
        <f t="shared" si="26"/>
        <v>Santos Laguna</v>
      </c>
      <c r="D326" s="8">
        <f t="shared" si="27"/>
        <v>0</v>
      </c>
      <c r="F326" s="4" t="str">
        <f>IF(Jugadores!B326="","",Jugadores!B326)</f>
        <v>Suarez Javier</v>
      </c>
      <c r="G326" s="4" t="str">
        <f>IF(Jugadores!B326="","",Jugadores!A326)</f>
        <v>Atlético de San Luis</v>
      </c>
      <c r="H326" s="4">
        <f>IF(F326="","",SUMIF('Estadísticas Jugadores'!$F$2:$F$7001,F326,'Estadísticas Jugadores'!$L$2:$L$7001))</f>
        <v>0</v>
      </c>
      <c r="I326" s="4">
        <f t="shared" si="28"/>
        <v>-3.26E-5</v>
      </c>
      <c r="J326" s="4">
        <f t="shared" si="29"/>
        <v>341</v>
      </c>
    </row>
    <row r="327" spans="1:10" ht="15" customHeight="1" x14ac:dyDescent="0.25">
      <c r="A327" s="8">
        <f>IF(COUNT($J$2:$J$1501)&gt;=326,326,"")</f>
        <v>326</v>
      </c>
      <c r="B327" s="8" t="str">
        <f t="shared" si="25"/>
        <v>Jimenez Tahiel</v>
      </c>
      <c r="C327" s="8" t="str">
        <f t="shared" si="26"/>
        <v>Santos Laguna</v>
      </c>
      <c r="D327" s="8">
        <f t="shared" si="27"/>
        <v>0</v>
      </c>
      <c r="F327" s="4" t="str">
        <f>IF(Jugadores!B327="","",Jugadores!B327)</f>
        <v>Torres Acosta Roman</v>
      </c>
      <c r="G327" s="4" t="str">
        <f>IF(Jugadores!B327="","",Jugadores!A327)</f>
        <v>Atlético de San Luis</v>
      </c>
      <c r="H327" s="4">
        <f>IF(F327="","",SUMIF('Estadísticas Jugadores'!$F$2:$F$7001,F327,'Estadísticas Jugadores'!$L$2:$L$7001))</f>
        <v>0</v>
      </c>
      <c r="I327" s="4">
        <f t="shared" si="28"/>
        <v>-3.2699999999999995E-5</v>
      </c>
      <c r="J327" s="4">
        <f t="shared" si="29"/>
        <v>342</v>
      </c>
    </row>
    <row r="328" spans="1:10" ht="15" customHeight="1" x14ac:dyDescent="0.25">
      <c r="A328" s="8">
        <f>IF(COUNT($J$2:$J$1501)&gt;=327,327,"")</f>
        <v>327</v>
      </c>
      <c r="B328" s="8" t="str">
        <f t="shared" si="25"/>
        <v>Medina Diego</v>
      </c>
      <c r="C328" s="8" t="str">
        <f t="shared" si="26"/>
        <v>Santos Laguna</v>
      </c>
      <c r="D328" s="8">
        <f t="shared" si="27"/>
        <v>0</v>
      </c>
      <c r="F328" s="4" t="str">
        <f>IF(Jugadores!B328="","",Jugadores!B328)</f>
        <v>Galdames Benjamin</v>
      </c>
      <c r="G328" s="4" t="str">
        <f>IF(Jugadores!B328="","",Jugadores!A328)</f>
        <v>Atlético de San Luis</v>
      </c>
      <c r="H328" s="4">
        <f>IF(F328="","",SUMIF('Estadísticas Jugadores'!$F$2:$F$7001,F328,'Estadísticas Jugadores'!$L$2:$L$7001))</f>
        <v>0</v>
      </c>
      <c r="I328" s="4">
        <f t="shared" si="28"/>
        <v>-3.2799999999999998E-5</v>
      </c>
      <c r="J328" s="4">
        <f t="shared" si="29"/>
        <v>343</v>
      </c>
    </row>
    <row r="329" spans="1:10" ht="15" customHeight="1" x14ac:dyDescent="0.25">
      <c r="A329" s="8">
        <f>IF(COUNT($J$2:$J$1501)&gt;=328,328,"")</f>
        <v>328</v>
      </c>
      <c r="B329" s="8" t="str">
        <f t="shared" si="25"/>
        <v>Palacios Kevin</v>
      </c>
      <c r="C329" s="8" t="str">
        <f t="shared" si="26"/>
        <v>Santos Laguna</v>
      </c>
      <c r="D329" s="8">
        <f t="shared" si="27"/>
        <v>0</v>
      </c>
      <c r="F329" s="4" t="str">
        <f>IF(Jugadores!B329="","",Jugadores!B329)</f>
        <v>Garcia Miguel</v>
      </c>
      <c r="G329" s="4" t="str">
        <f>IF(Jugadores!B329="","",Jugadores!A329)</f>
        <v>Atlético de San Luis</v>
      </c>
      <c r="H329" s="4">
        <f>IF(F329="","",SUMIF('Estadísticas Jugadores'!$F$2:$F$7001,F329,'Estadísticas Jugadores'!$L$2:$L$7001))</f>
        <v>0</v>
      </c>
      <c r="I329" s="4">
        <f t="shared" si="28"/>
        <v>-3.29E-5</v>
      </c>
      <c r="J329" s="4">
        <f t="shared" si="29"/>
        <v>344</v>
      </c>
    </row>
    <row r="330" spans="1:10" ht="15" customHeight="1" x14ac:dyDescent="0.25">
      <c r="A330" s="8">
        <f>IF(COUNT($J$2:$J$1501)&gt;=329,329,"")</f>
        <v>329</v>
      </c>
      <c r="B330" s="8" t="str">
        <f t="shared" si="25"/>
        <v>Sordo Ramiro</v>
      </c>
      <c r="C330" s="8" t="str">
        <f t="shared" si="26"/>
        <v>Santos Laguna</v>
      </c>
      <c r="D330" s="8">
        <f t="shared" si="27"/>
        <v>0</v>
      </c>
      <c r="F330" s="4" t="str">
        <f>IF(Jugadores!B330="","",Jugadores!B330)</f>
        <v>Macias Oscar</v>
      </c>
      <c r="G330" s="4" t="str">
        <f>IF(Jugadores!B330="","",Jugadores!A330)</f>
        <v>Atlético de San Luis</v>
      </c>
      <c r="H330" s="4">
        <f>IF(F330="","",SUMIF('Estadísticas Jugadores'!$F$2:$F$7001,F330,'Estadísticas Jugadores'!$L$2:$L$7001))</f>
        <v>0</v>
      </c>
      <c r="I330" s="4">
        <f t="shared" si="28"/>
        <v>-3.2999999999999996E-5</v>
      </c>
      <c r="J330" s="4">
        <f t="shared" si="29"/>
        <v>345</v>
      </c>
    </row>
    <row r="331" spans="1:10" ht="15" customHeight="1" x14ac:dyDescent="0.25">
      <c r="A331" s="8">
        <f>IF(COUNT($J$2:$J$1501)&gt;=330,330,"")</f>
        <v>330</v>
      </c>
      <c r="B331" s="8" t="str">
        <f t="shared" si="25"/>
        <v>Vuoso Lucca</v>
      </c>
      <c r="C331" s="8" t="str">
        <f t="shared" si="26"/>
        <v>Santos Laguna</v>
      </c>
      <c r="D331" s="8">
        <f t="shared" si="27"/>
        <v>0</v>
      </c>
      <c r="F331" s="4" t="str">
        <f>IF(Jugadores!B331="","",Jugadores!B331)</f>
        <v>Meraz Roberto</v>
      </c>
      <c r="G331" s="4" t="str">
        <f>IF(Jugadores!B331="","",Jugadores!A331)</f>
        <v>Atlético de San Luis</v>
      </c>
      <c r="H331" s="4">
        <f>IF(F331="","",SUMIF('Estadísticas Jugadores'!$F$2:$F$7001,F331,'Estadísticas Jugadores'!$L$2:$L$7001))</f>
        <v>0</v>
      </c>
      <c r="I331" s="4">
        <f t="shared" si="28"/>
        <v>-3.3099999999999998E-5</v>
      </c>
      <c r="J331" s="4">
        <f t="shared" si="29"/>
        <v>346</v>
      </c>
    </row>
    <row r="332" spans="1:10" ht="15" customHeight="1" x14ac:dyDescent="0.25">
      <c r="A332" s="8">
        <f>IF(COUNT($J$2:$J$1501)&gt;=331,331,"")</f>
        <v>331</v>
      </c>
      <c r="B332" s="8" t="str">
        <f t="shared" si="25"/>
        <v>Lajud Manuel Gibran</v>
      </c>
      <c r="C332" s="8" t="str">
        <f t="shared" si="26"/>
        <v>Atlético de San Luis</v>
      </c>
      <c r="D332" s="8">
        <f t="shared" si="27"/>
        <v>0</v>
      </c>
      <c r="F332" s="4" t="str">
        <f>IF(Jugadores!B332="","",Jugadores!B332)</f>
        <v>Ortega Kevin</v>
      </c>
      <c r="G332" s="4" t="str">
        <f>IF(Jugadores!B332="","",Jugadores!A332)</f>
        <v>Atlético de San Luis</v>
      </c>
      <c r="H332" s="4">
        <f>IF(F332="","",SUMIF('Estadísticas Jugadores'!$F$2:$F$7001,F332,'Estadísticas Jugadores'!$L$2:$L$7001))</f>
        <v>0</v>
      </c>
      <c r="I332" s="4">
        <f t="shared" si="28"/>
        <v>-3.3200000000000001E-5</v>
      </c>
      <c r="J332" s="4">
        <f t="shared" si="29"/>
        <v>347</v>
      </c>
    </row>
    <row r="333" spans="1:10" ht="15" customHeight="1" x14ac:dyDescent="0.25">
      <c r="A333" s="8">
        <f>IF(COUNT($J$2:$J$1501)&gt;=332,332,"")</f>
        <v>332</v>
      </c>
      <c r="B333" s="8" t="str">
        <f t="shared" si="25"/>
        <v>Sanchez Andres</v>
      </c>
      <c r="C333" s="8" t="str">
        <f t="shared" si="26"/>
        <v>Atlético de San Luis</v>
      </c>
      <c r="D333" s="8">
        <f t="shared" si="27"/>
        <v>0</v>
      </c>
      <c r="F333" s="4" t="str">
        <f>IF(Jugadores!B333="","",Jugadores!B333)</f>
        <v>Perez Sebastian</v>
      </c>
      <c r="G333" s="4" t="str">
        <f>IF(Jugadores!B333="","",Jugadores!A333)</f>
        <v>Atlético de San Luis</v>
      </c>
      <c r="H333" s="4">
        <f>IF(F333="","",SUMIF('Estadísticas Jugadores'!$F$2:$F$7001,F333,'Estadísticas Jugadores'!$L$2:$L$7001))</f>
        <v>0</v>
      </c>
      <c r="I333" s="4">
        <f t="shared" si="28"/>
        <v>-3.3299999999999996E-5</v>
      </c>
      <c r="J333" s="4">
        <f t="shared" si="29"/>
        <v>348</v>
      </c>
    </row>
    <row r="334" spans="1:10" ht="15" customHeight="1" x14ac:dyDescent="0.25">
      <c r="A334" s="8">
        <f>IF(COUNT($J$2:$J$1501)&gt;=333,333,"")</f>
        <v>333</v>
      </c>
      <c r="B334" s="8" t="str">
        <f t="shared" si="25"/>
        <v>Aguila Eduardo</v>
      </c>
      <c r="C334" s="8" t="str">
        <f t="shared" si="26"/>
        <v>Atlético de San Luis</v>
      </c>
      <c r="D334" s="8">
        <f t="shared" si="27"/>
        <v>0</v>
      </c>
      <c r="F334" s="4" t="str">
        <f>IF(Jugadores!B334="","",Jugadores!B334)</f>
        <v>Reyes Angel</v>
      </c>
      <c r="G334" s="4" t="str">
        <f>IF(Jugadores!B334="","",Jugadores!A334)</f>
        <v>Atlético de San Luis</v>
      </c>
      <c r="H334" s="4">
        <f>IF(F334="","",SUMIF('Estadísticas Jugadores'!$F$2:$F$7001,F334,'Estadísticas Jugadores'!$L$2:$L$7001))</f>
        <v>0</v>
      </c>
      <c r="I334" s="4">
        <f t="shared" si="28"/>
        <v>-3.3399999999999999E-5</v>
      </c>
      <c r="J334" s="4">
        <f t="shared" si="29"/>
        <v>349</v>
      </c>
    </row>
    <row r="335" spans="1:10" ht="15" customHeight="1" x14ac:dyDescent="0.25">
      <c r="A335" s="8">
        <f>IF(COUNT($J$2:$J$1501)&gt;=334,334,"")</f>
        <v>334</v>
      </c>
      <c r="B335" s="8" t="str">
        <f t="shared" si="25"/>
        <v>Carrillo Luis</v>
      </c>
      <c r="C335" s="8" t="str">
        <f t="shared" si="26"/>
        <v>Atlético de San Luis</v>
      </c>
      <c r="D335" s="8">
        <f t="shared" si="27"/>
        <v>0</v>
      </c>
      <c r="F335" s="4" t="str">
        <f>IF(Jugadores!B335="","",Jugadores!B335)</f>
        <v>Rodriguez David</v>
      </c>
      <c r="G335" s="4" t="str">
        <f>IF(Jugadores!B335="","",Jugadores!A335)</f>
        <v>Atlético de San Luis</v>
      </c>
      <c r="H335" s="4">
        <f>IF(F335="","",SUMIF('Estadísticas Jugadores'!$F$2:$F$7001,F335,'Estadísticas Jugadores'!$L$2:$L$7001))</f>
        <v>0</v>
      </c>
      <c r="I335" s="4">
        <f t="shared" si="28"/>
        <v>-3.3500000000000001E-5</v>
      </c>
      <c r="J335" s="4">
        <f t="shared" si="29"/>
        <v>350</v>
      </c>
    </row>
    <row r="336" spans="1:10" ht="15" customHeight="1" x14ac:dyDescent="0.25">
      <c r="A336" s="8">
        <f>IF(COUNT($J$2:$J$1501)&gt;=335,335,"")</f>
        <v>335</v>
      </c>
      <c r="B336" s="8" t="str">
        <f t="shared" si="25"/>
        <v>Cruz Aldo</v>
      </c>
      <c r="C336" s="8" t="str">
        <f t="shared" si="26"/>
        <v>Atlético de San Luis</v>
      </c>
      <c r="D336" s="8">
        <f t="shared" si="27"/>
        <v>0</v>
      </c>
      <c r="F336" s="4" t="str">
        <f>IF(Jugadores!B336="","",Jugadores!B336)</f>
        <v>Salles-Lamonge Sebastien</v>
      </c>
      <c r="G336" s="4" t="str">
        <f>IF(Jugadores!B336="","",Jugadores!A336)</f>
        <v>Atlético de San Luis</v>
      </c>
      <c r="H336" s="4">
        <f>IF(F336="","",SUMIF('Estadísticas Jugadores'!$F$2:$F$7001,F336,'Estadísticas Jugadores'!$L$2:$L$7001))</f>
        <v>1</v>
      </c>
      <c r="I336" s="4">
        <f t="shared" si="28"/>
        <v>999.99996639999995</v>
      </c>
      <c r="J336" s="4">
        <f t="shared" si="29"/>
        <v>38</v>
      </c>
    </row>
    <row r="337" spans="1:10" ht="15" customHeight="1" x14ac:dyDescent="0.25">
      <c r="A337" s="8">
        <f>IF(COUNT($J$2:$J$1501)&gt;=336,336,"")</f>
        <v>336</v>
      </c>
      <c r="B337" s="8" t="str">
        <f t="shared" si="25"/>
        <v>Domínguez Julio Cesar</v>
      </c>
      <c r="C337" s="8" t="str">
        <f t="shared" si="26"/>
        <v>Atlético de San Luis</v>
      </c>
      <c r="D337" s="8">
        <f t="shared" si="27"/>
        <v>0</v>
      </c>
      <c r="F337" s="4" t="str">
        <f>IF(Jugadores!B337="","",Jugadores!B337)</f>
        <v>Duarte Anderson</v>
      </c>
      <c r="G337" s="4" t="str">
        <f>IF(Jugadores!B337="","",Jugadores!A337)</f>
        <v>Atlético de San Luis</v>
      </c>
      <c r="H337" s="4">
        <f>IF(F337="","",SUMIF('Estadísticas Jugadores'!$F$2:$F$7001,F337,'Estadísticas Jugadores'!$L$2:$L$7001))</f>
        <v>0</v>
      </c>
      <c r="I337" s="4">
        <f t="shared" si="28"/>
        <v>-3.3699999999999999E-5</v>
      </c>
      <c r="J337" s="4">
        <f t="shared" si="29"/>
        <v>351</v>
      </c>
    </row>
    <row r="338" spans="1:10" ht="15" customHeight="1" x14ac:dyDescent="0.25">
      <c r="A338" s="8">
        <f>IF(COUNT($J$2:$J$1501)&gt;=337,337,"")</f>
        <v>337</v>
      </c>
      <c r="B338" s="8" t="str">
        <f t="shared" si="25"/>
        <v>Galindo Cruz Benjamin</v>
      </c>
      <c r="C338" s="8" t="str">
        <f t="shared" si="26"/>
        <v>Atlético de San Luis</v>
      </c>
      <c r="D338" s="8">
        <f t="shared" si="27"/>
        <v>0</v>
      </c>
      <c r="F338" s="4" t="str">
        <f>IF(Jugadores!B338="","",Jugadores!B338)</f>
        <v>Flores Leonardo</v>
      </c>
      <c r="G338" s="4" t="str">
        <f>IF(Jugadores!B338="","",Jugadores!A338)</f>
        <v>Atlético de San Luis</v>
      </c>
      <c r="H338" s="4">
        <f>IF(F338="","",SUMIF('Estadísticas Jugadores'!$F$2:$F$7001,F338,'Estadísticas Jugadores'!$L$2:$L$7001))</f>
        <v>0</v>
      </c>
      <c r="I338" s="4">
        <f t="shared" si="28"/>
        <v>-3.3800000000000002E-5</v>
      </c>
      <c r="J338" s="4">
        <f t="shared" si="29"/>
        <v>352</v>
      </c>
    </row>
    <row r="339" spans="1:10" ht="15" customHeight="1" x14ac:dyDescent="0.25">
      <c r="A339" s="8">
        <f>IF(COUNT($J$2:$J$1501)&gt;=338,338,"")</f>
        <v>338</v>
      </c>
      <c r="B339" s="8" t="str">
        <f t="shared" si="25"/>
        <v>Juanpe</v>
      </c>
      <c r="C339" s="8" t="str">
        <f t="shared" si="26"/>
        <v>Atlético de San Luis</v>
      </c>
      <c r="D339" s="8">
        <f t="shared" si="27"/>
        <v>0</v>
      </c>
      <c r="F339" s="4" t="str">
        <f>IF(Jugadores!B339="","",Jugadores!B339)</f>
        <v>Joao Pedro Galvao</v>
      </c>
      <c r="G339" s="4" t="str">
        <f>IF(Jugadores!B339="","",Jugadores!A339)</f>
        <v>Atlético de San Luis</v>
      </c>
      <c r="H339" s="4">
        <f>IF(F339="","",SUMIF('Estadísticas Jugadores'!$F$2:$F$7001,F339,'Estadísticas Jugadores'!$L$2:$L$7001))</f>
        <v>0</v>
      </c>
      <c r="I339" s="4">
        <f t="shared" si="28"/>
        <v>-3.3899999999999997E-5</v>
      </c>
      <c r="J339" s="4">
        <f t="shared" si="29"/>
        <v>353</v>
      </c>
    </row>
    <row r="340" spans="1:10" ht="15" customHeight="1" x14ac:dyDescent="0.25">
      <c r="A340" s="8">
        <f>IF(COUNT($J$2:$J$1501)&gt;=339,339,"")</f>
        <v>339</v>
      </c>
      <c r="B340" s="8" t="str">
        <f t="shared" si="25"/>
        <v>Lucas Esteves</v>
      </c>
      <c r="C340" s="8" t="str">
        <f t="shared" si="26"/>
        <v>Atlético de San Luis</v>
      </c>
      <c r="D340" s="8">
        <f t="shared" si="27"/>
        <v>0</v>
      </c>
      <c r="F340" s="4" t="str">
        <f>IF(Jugadores!B340="","",Jugadores!B340)</f>
        <v>Llorente Rafa</v>
      </c>
      <c r="G340" s="4" t="str">
        <f>IF(Jugadores!B340="","",Jugadores!A340)</f>
        <v>Atlético de San Luis</v>
      </c>
      <c r="H340" s="4">
        <f>IF(F340="","",SUMIF('Estadísticas Jugadores'!$F$2:$F$7001,F340,'Estadísticas Jugadores'!$L$2:$L$7001))</f>
        <v>3</v>
      </c>
      <c r="I340" s="4">
        <f t="shared" si="28"/>
        <v>2999.9999659999999</v>
      </c>
      <c r="J340" s="4">
        <f t="shared" si="29"/>
        <v>6</v>
      </c>
    </row>
    <row r="341" spans="1:10" ht="15" customHeight="1" x14ac:dyDescent="0.25">
      <c r="A341" s="8">
        <f>IF(COUNT($J$2:$J$1501)&gt;=340,340,"")</f>
        <v>340</v>
      </c>
      <c r="B341" s="8" t="str">
        <f t="shared" si="25"/>
        <v>Robson Bambu</v>
      </c>
      <c r="C341" s="8" t="str">
        <f t="shared" si="26"/>
        <v>Atlético de San Luis</v>
      </c>
      <c r="D341" s="8">
        <f t="shared" si="27"/>
        <v>0</v>
      </c>
      <c r="F341" s="4" t="str">
        <f>IF(Jugadores!B341="","",Jugadores!B341)</f>
        <v>Medina Jesus</v>
      </c>
      <c r="G341" s="4" t="str">
        <f>IF(Jugadores!B341="","",Jugadores!A341)</f>
        <v>Atlético de San Luis</v>
      </c>
      <c r="H341" s="4">
        <f>IF(F341="","",SUMIF('Estadísticas Jugadores'!$F$2:$F$7001,F341,'Estadísticas Jugadores'!$L$2:$L$7001))</f>
        <v>0</v>
      </c>
      <c r="I341" s="4">
        <f t="shared" si="28"/>
        <v>-3.4099999999999995E-5</v>
      </c>
      <c r="J341" s="4">
        <f t="shared" si="29"/>
        <v>354</v>
      </c>
    </row>
    <row r="342" spans="1:10" ht="15" customHeight="1" x14ac:dyDescent="0.25">
      <c r="A342" s="8">
        <f>IF(COUNT($J$2:$J$1501)&gt;=341,341,"")</f>
        <v>341</v>
      </c>
      <c r="B342" s="8" t="str">
        <f t="shared" si="25"/>
        <v>Suarez Javier</v>
      </c>
      <c r="C342" s="8" t="str">
        <f t="shared" si="26"/>
        <v>Atlético de San Luis</v>
      </c>
      <c r="D342" s="8">
        <f t="shared" si="27"/>
        <v>0</v>
      </c>
      <c r="F342" s="4" t="str">
        <f>IF(Jugadores!B342="","",Jugadores!B342)</f>
        <v>Muñoz Santiago</v>
      </c>
      <c r="G342" s="4" t="str">
        <f>IF(Jugadores!B342="","",Jugadores!A342)</f>
        <v>Atlético de San Luis</v>
      </c>
      <c r="H342" s="4">
        <f>IF(F342="","",SUMIF('Estadísticas Jugadores'!$F$2:$F$7001,F342,'Estadísticas Jugadores'!$L$2:$L$7001))</f>
        <v>0</v>
      </c>
      <c r="I342" s="4">
        <f t="shared" si="28"/>
        <v>-3.4199999999999998E-5</v>
      </c>
      <c r="J342" s="4">
        <f t="shared" si="29"/>
        <v>355</v>
      </c>
    </row>
    <row r="343" spans="1:10" ht="15" customHeight="1" x14ac:dyDescent="0.25">
      <c r="A343" s="8">
        <f>IF(COUNT($J$2:$J$1501)&gt;=342,342,"")</f>
        <v>342</v>
      </c>
      <c r="B343" s="8" t="str">
        <f t="shared" si="25"/>
        <v>Torres Acosta Roman</v>
      </c>
      <c r="C343" s="8" t="str">
        <f t="shared" si="26"/>
        <v>Atlético de San Luis</v>
      </c>
      <c r="D343" s="8">
        <f t="shared" si="27"/>
        <v>0</v>
      </c>
      <c r="F343" s="4" t="str">
        <f>IF(Jugadores!B343="","",Jugadores!B343)</f>
        <v>Najera Ronaldo</v>
      </c>
      <c r="G343" s="4" t="str">
        <f>IF(Jugadores!B343="","",Jugadores!A343)</f>
        <v>Atlético de San Luis</v>
      </c>
      <c r="H343" s="4">
        <f>IF(F343="","",SUMIF('Estadísticas Jugadores'!$F$2:$F$7001,F343,'Estadísticas Jugadores'!$L$2:$L$7001))</f>
        <v>0</v>
      </c>
      <c r="I343" s="4">
        <f t="shared" si="28"/>
        <v>-3.43E-5</v>
      </c>
      <c r="J343" s="4">
        <f t="shared" si="29"/>
        <v>356</v>
      </c>
    </row>
    <row r="344" spans="1:10" ht="15" customHeight="1" x14ac:dyDescent="0.25">
      <c r="A344" s="8">
        <f>IF(COUNT($J$2:$J$1501)&gt;=343,343,"")</f>
        <v>343</v>
      </c>
      <c r="B344" s="8" t="str">
        <f t="shared" si="25"/>
        <v>Galdames Benjamin</v>
      </c>
      <c r="C344" s="8" t="str">
        <f t="shared" si="26"/>
        <v>Atlético de San Luis</v>
      </c>
      <c r="D344" s="8">
        <f t="shared" si="27"/>
        <v>0</v>
      </c>
      <c r="F344" s="4" t="str">
        <f>IF(Jugadores!B344="","",Jugadores!B344)</f>
        <v>Garcia Jordan</v>
      </c>
      <c r="G344" s="4" t="str">
        <f>IF(Jugadores!B344="","",Jugadores!A344)</f>
        <v>León</v>
      </c>
      <c r="H344" s="4">
        <f>IF(F344="","",SUMIF('Estadísticas Jugadores'!$F$2:$F$7001,F344,'Estadísticas Jugadores'!$L$2:$L$7001))</f>
        <v>0</v>
      </c>
      <c r="I344" s="4">
        <f t="shared" si="28"/>
        <v>-3.4399999999999996E-5</v>
      </c>
      <c r="J344" s="4">
        <f t="shared" si="29"/>
        <v>357</v>
      </c>
    </row>
    <row r="345" spans="1:10" ht="15" customHeight="1" x14ac:dyDescent="0.25">
      <c r="A345" s="8">
        <f>IF(COUNT($J$2:$J$1501)&gt;=344,344,"")</f>
        <v>344</v>
      </c>
      <c r="B345" s="8" t="str">
        <f t="shared" si="25"/>
        <v>Garcia Miguel</v>
      </c>
      <c r="C345" s="8" t="str">
        <f t="shared" si="26"/>
        <v>Atlético de San Luis</v>
      </c>
      <c r="D345" s="8">
        <f t="shared" si="27"/>
        <v>0</v>
      </c>
      <c r="F345" s="4" t="str">
        <f>IF(Jugadores!B345="","",Jugadores!B345)</f>
        <v>Garcia Oscar</v>
      </c>
      <c r="G345" s="4" t="str">
        <f>IF(Jugadores!B345="","",Jugadores!A345)</f>
        <v>León</v>
      </c>
      <c r="H345" s="4">
        <f>IF(F345="","",SUMIF('Estadísticas Jugadores'!$F$2:$F$7001,F345,'Estadísticas Jugadores'!$L$2:$L$7001))</f>
        <v>0</v>
      </c>
      <c r="I345" s="4">
        <f t="shared" si="28"/>
        <v>-3.4499999999999998E-5</v>
      </c>
      <c r="J345" s="4">
        <f t="shared" si="29"/>
        <v>358</v>
      </c>
    </row>
    <row r="346" spans="1:10" ht="15" customHeight="1" x14ac:dyDescent="0.25">
      <c r="A346" s="8">
        <f>IF(COUNT($J$2:$J$1501)&gt;=345,345,"")</f>
        <v>345</v>
      </c>
      <c r="B346" s="8" t="str">
        <f t="shared" si="25"/>
        <v>Macias Oscar</v>
      </c>
      <c r="C346" s="8" t="str">
        <f t="shared" si="26"/>
        <v>Atlético de San Luis</v>
      </c>
      <c r="D346" s="8">
        <f t="shared" si="27"/>
        <v>0</v>
      </c>
      <c r="F346" s="4" t="str">
        <f>IF(Jugadores!B346="","",Jugadores!B346)</f>
        <v>Barreiro Stiven</v>
      </c>
      <c r="G346" s="4" t="str">
        <f>IF(Jugadores!B346="","",Jugadores!A346)</f>
        <v>León</v>
      </c>
      <c r="H346" s="4">
        <f>IF(F346="","",SUMIF('Estadísticas Jugadores'!$F$2:$F$7001,F346,'Estadísticas Jugadores'!$L$2:$L$7001))</f>
        <v>0</v>
      </c>
      <c r="I346" s="4">
        <f t="shared" si="28"/>
        <v>-3.4600000000000001E-5</v>
      </c>
      <c r="J346" s="4">
        <f t="shared" si="29"/>
        <v>359</v>
      </c>
    </row>
    <row r="347" spans="1:10" ht="15" customHeight="1" x14ac:dyDescent="0.25">
      <c r="A347" s="8">
        <f>IF(COUNT($J$2:$J$1501)&gt;=346,346,"")</f>
        <v>346</v>
      </c>
      <c r="B347" s="8" t="str">
        <f t="shared" si="25"/>
        <v>Meraz Roberto</v>
      </c>
      <c r="C347" s="8" t="str">
        <f t="shared" si="26"/>
        <v>Atlético de San Luis</v>
      </c>
      <c r="D347" s="8">
        <f t="shared" si="27"/>
        <v>0</v>
      </c>
      <c r="F347" s="4" t="str">
        <f>IF(Jugadores!B347="","",Jugadores!B347)</f>
        <v>Bellon Paul</v>
      </c>
      <c r="G347" s="4" t="str">
        <f>IF(Jugadores!B347="","",Jugadores!A347)</f>
        <v>León</v>
      </c>
      <c r="H347" s="4">
        <f>IF(F347="","",SUMIF('Estadísticas Jugadores'!$F$2:$F$7001,F347,'Estadísticas Jugadores'!$L$2:$L$7001))</f>
        <v>0</v>
      </c>
      <c r="I347" s="4">
        <f t="shared" si="28"/>
        <v>-3.4699999999999996E-5</v>
      </c>
      <c r="J347" s="4">
        <f t="shared" si="29"/>
        <v>360</v>
      </c>
    </row>
    <row r="348" spans="1:10" ht="15" customHeight="1" x14ac:dyDescent="0.25">
      <c r="A348" s="8">
        <f>IF(COUNT($J$2:$J$1501)&gt;=347,347,"")</f>
        <v>347</v>
      </c>
      <c r="B348" s="8" t="str">
        <f t="shared" si="25"/>
        <v>Ortega Kevin</v>
      </c>
      <c r="C348" s="8" t="str">
        <f t="shared" si="26"/>
        <v>Atlético de San Luis</v>
      </c>
      <c r="D348" s="8">
        <f t="shared" si="27"/>
        <v>0</v>
      </c>
      <c r="F348" s="4" t="str">
        <f>IF(Jugadores!B348="","",Jugadores!B348)</f>
        <v>Colula Bryan</v>
      </c>
      <c r="G348" s="4" t="str">
        <f>IF(Jugadores!B348="","",Jugadores!A348)</f>
        <v>León</v>
      </c>
      <c r="H348" s="4">
        <f>IF(F348="","",SUMIF('Estadísticas Jugadores'!$F$2:$F$7001,F348,'Estadísticas Jugadores'!$L$2:$L$7001))</f>
        <v>0</v>
      </c>
      <c r="I348" s="4">
        <f t="shared" si="28"/>
        <v>-3.4799999999999999E-5</v>
      </c>
      <c r="J348" s="4">
        <f t="shared" si="29"/>
        <v>361</v>
      </c>
    </row>
    <row r="349" spans="1:10" ht="15" customHeight="1" x14ac:dyDescent="0.25">
      <c r="A349" s="8">
        <f>IF(COUNT($J$2:$J$1501)&gt;=348,348,"")</f>
        <v>348</v>
      </c>
      <c r="B349" s="8" t="str">
        <f t="shared" si="25"/>
        <v>Perez Sebastian</v>
      </c>
      <c r="C349" s="8" t="str">
        <f t="shared" si="26"/>
        <v>Atlético de San Luis</v>
      </c>
      <c r="D349" s="8">
        <f t="shared" si="27"/>
        <v>0</v>
      </c>
      <c r="F349" s="4" t="str">
        <f>IF(Jugadores!B349="","",Jugadores!B349)</f>
        <v>Gauthier Valentin</v>
      </c>
      <c r="G349" s="4" t="str">
        <f>IF(Jugadores!B349="","",Jugadores!A349)</f>
        <v>León</v>
      </c>
      <c r="H349" s="4">
        <f>IF(F349="","",SUMIF('Estadísticas Jugadores'!$F$2:$F$7001,F349,'Estadísticas Jugadores'!$L$2:$L$7001))</f>
        <v>0</v>
      </c>
      <c r="I349" s="4">
        <f t="shared" si="28"/>
        <v>-3.4900000000000001E-5</v>
      </c>
      <c r="J349" s="4">
        <f t="shared" si="29"/>
        <v>362</v>
      </c>
    </row>
    <row r="350" spans="1:10" ht="15" customHeight="1" x14ac:dyDescent="0.25">
      <c r="A350" s="8">
        <f>IF(COUNT($J$2:$J$1501)&gt;=349,349,"")</f>
        <v>349</v>
      </c>
      <c r="B350" s="8" t="str">
        <f t="shared" si="25"/>
        <v>Reyes Angel</v>
      </c>
      <c r="C350" s="8" t="str">
        <f t="shared" si="26"/>
        <v>Atlético de San Luis</v>
      </c>
      <c r="D350" s="8">
        <f t="shared" si="27"/>
        <v>0</v>
      </c>
      <c r="F350" s="4" t="str">
        <f>IF(Jugadores!B350="","",Jugadores!B350)</f>
        <v>Guevara Juan</v>
      </c>
      <c r="G350" s="4" t="str">
        <f>IF(Jugadores!B350="","",Jugadores!A350)</f>
        <v>León</v>
      </c>
      <c r="H350" s="4">
        <f>IF(F350="","",SUMIF('Estadísticas Jugadores'!$F$2:$F$7001,F350,'Estadísticas Jugadores'!$L$2:$L$7001))</f>
        <v>0</v>
      </c>
      <c r="I350" s="4">
        <f t="shared" si="28"/>
        <v>-3.4999999999999997E-5</v>
      </c>
      <c r="J350" s="4">
        <f t="shared" si="29"/>
        <v>363</v>
      </c>
    </row>
    <row r="351" spans="1:10" ht="15" customHeight="1" x14ac:dyDescent="0.25">
      <c r="A351" s="8">
        <f>IF(COUNT($J$2:$J$1501)&gt;=350,350,"")</f>
        <v>350</v>
      </c>
      <c r="B351" s="8" t="str">
        <f t="shared" si="25"/>
        <v>Rodriguez David</v>
      </c>
      <c r="C351" s="8" t="str">
        <f t="shared" si="26"/>
        <v>Atlético de San Luis</v>
      </c>
      <c r="D351" s="8">
        <f t="shared" si="27"/>
        <v>0</v>
      </c>
      <c r="F351" s="4" t="str">
        <f>IF(Jugadores!B351="","",Jugadores!B351)</f>
        <v>Mora Christopher</v>
      </c>
      <c r="G351" s="4" t="str">
        <f>IF(Jugadores!B351="","",Jugadores!A351)</f>
        <v>León</v>
      </c>
      <c r="H351" s="4">
        <f>IF(F351="","",SUMIF('Estadísticas Jugadores'!$F$2:$F$7001,F351,'Estadísticas Jugadores'!$L$2:$L$7001))</f>
        <v>0</v>
      </c>
      <c r="I351" s="4">
        <f t="shared" si="28"/>
        <v>-3.5099999999999999E-5</v>
      </c>
      <c r="J351" s="4">
        <f t="shared" si="29"/>
        <v>364</v>
      </c>
    </row>
    <row r="352" spans="1:10" ht="15" customHeight="1" x14ac:dyDescent="0.25">
      <c r="A352" s="8">
        <f>IF(COUNT($J$2:$J$1501)&gt;=351,351,"")</f>
        <v>351</v>
      </c>
      <c r="B352" s="8" t="str">
        <f t="shared" si="25"/>
        <v>Duarte Anderson</v>
      </c>
      <c r="C352" s="8" t="str">
        <f t="shared" si="26"/>
        <v>Atlético de San Luis</v>
      </c>
      <c r="D352" s="8">
        <f t="shared" si="27"/>
        <v>0</v>
      </c>
      <c r="F352" s="4" t="str">
        <f>IF(Jugadores!B352="","",Jugadores!B352)</f>
        <v>Ramirez David</v>
      </c>
      <c r="G352" s="4" t="str">
        <f>IF(Jugadores!B352="","",Jugadores!A352)</f>
        <v>León</v>
      </c>
      <c r="H352" s="4">
        <f>IF(F352="","",SUMIF('Estadísticas Jugadores'!$F$2:$F$7001,F352,'Estadísticas Jugadores'!$L$2:$L$7001))</f>
        <v>0</v>
      </c>
      <c r="I352" s="4">
        <f t="shared" si="28"/>
        <v>-3.5200000000000002E-5</v>
      </c>
      <c r="J352" s="4">
        <f t="shared" si="29"/>
        <v>365</v>
      </c>
    </row>
    <row r="353" spans="1:10" ht="15" customHeight="1" x14ac:dyDescent="0.25">
      <c r="A353" s="8">
        <f>IF(COUNT($J$2:$J$1501)&gt;=352,352,"")</f>
        <v>352</v>
      </c>
      <c r="B353" s="8" t="str">
        <f t="shared" si="25"/>
        <v>Flores Leonardo</v>
      </c>
      <c r="C353" s="8" t="str">
        <f t="shared" si="26"/>
        <v>Atlético de San Luis</v>
      </c>
      <c r="D353" s="8">
        <f t="shared" si="27"/>
        <v>0</v>
      </c>
      <c r="F353" s="4" t="str">
        <f>IF(Jugadores!B353="","",Jugadores!B353)</f>
        <v>Reyes Salvador</v>
      </c>
      <c r="G353" s="4" t="str">
        <f>IF(Jugadores!B353="","",Jugadores!A353)</f>
        <v>León</v>
      </c>
      <c r="H353" s="4">
        <f>IF(F353="","",SUMIF('Estadísticas Jugadores'!$F$2:$F$7001,F353,'Estadísticas Jugadores'!$L$2:$L$7001))</f>
        <v>0</v>
      </c>
      <c r="I353" s="4">
        <f t="shared" si="28"/>
        <v>-3.5299999999999997E-5</v>
      </c>
      <c r="J353" s="4">
        <f t="shared" si="29"/>
        <v>366</v>
      </c>
    </row>
    <row r="354" spans="1:10" ht="15" customHeight="1" x14ac:dyDescent="0.25">
      <c r="A354" s="8">
        <f>IF(COUNT($J$2:$J$1501)&gt;=353,353,"")</f>
        <v>353</v>
      </c>
      <c r="B354" s="8" t="str">
        <f t="shared" si="25"/>
        <v>Joao Pedro Galvao</v>
      </c>
      <c r="C354" s="8" t="str">
        <f t="shared" si="26"/>
        <v>Atlético de San Luis</v>
      </c>
      <c r="D354" s="8">
        <f t="shared" si="27"/>
        <v>0</v>
      </c>
      <c r="F354" s="4" t="str">
        <f>IF(Jugadores!B354="","",Jugadores!B354)</f>
        <v>Romana Jhohan</v>
      </c>
      <c r="G354" s="4" t="str">
        <f>IF(Jugadores!B354="","",Jugadores!A354)</f>
        <v>León</v>
      </c>
      <c r="H354" s="4">
        <f>IF(F354="","",SUMIF('Estadísticas Jugadores'!$F$2:$F$7001,F354,'Estadísticas Jugadores'!$L$2:$L$7001))</f>
        <v>0</v>
      </c>
      <c r="I354" s="4">
        <f t="shared" si="28"/>
        <v>-3.54E-5</v>
      </c>
      <c r="J354" s="4">
        <f t="shared" si="29"/>
        <v>367</v>
      </c>
    </row>
    <row r="355" spans="1:10" ht="15" customHeight="1" x14ac:dyDescent="0.25">
      <c r="A355" s="8">
        <f>IF(COUNT($J$2:$J$1501)&gt;=354,354,"")</f>
        <v>354</v>
      </c>
      <c r="B355" s="8" t="str">
        <f t="shared" si="25"/>
        <v>Medina Jesus</v>
      </c>
      <c r="C355" s="8" t="str">
        <f t="shared" si="26"/>
        <v>Atlético de San Luis</v>
      </c>
      <c r="D355" s="8">
        <f t="shared" si="27"/>
        <v>0</v>
      </c>
      <c r="F355" s="4" t="str">
        <f>IF(Jugadores!B355="","",Jugadores!B355)</f>
        <v>Vegas Sebastian</v>
      </c>
      <c r="G355" s="4" t="str">
        <f>IF(Jugadores!B355="","",Jugadores!A355)</f>
        <v>León</v>
      </c>
      <c r="H355" s="4">
        <f>IF(F355="","",SUMIF('Estadísticas Jugadores'!$F$2:$F$7001,F355,'Estadísticas Jugadores'!$L$2:$L$7001))</f>
        <v>0</v>
      </c>
      <c r="I355" s="4">
        <f t="shared" si="28"/>
        <v>-3.5499999999999996E-5</v>
      </c>
      <c r="J355" s="4">
        <f t="shared" si="29"/>
        <v>368</v>
      </c>
    </row>
    <row r="356" spans="1:10" ht="15" customHeight="1" x14ac:dyDescent="0.25">
      <c r="A356" s="8">
        <f>IF(COUNT($J$2:$J$1501)&gt;=355,355,"")</f>
        <v>355</v>
      </c>
      <c r="B356" s="8" t="str">
        <f t="shared" si="25"/>
        <v>Muñoz Santiago</v>
      </c>
      <c r="C356" s="8" t="str">
        <f t="shared" si="26"/>
        <v>Atlético de San Luis</v>
      </c>
      <c r="D356" s="8">
        <f t="shared" si="27"/>
        <v>0</v>
      </c>
      <c r="F356" s="4" t="str">
        <f>IF(Jugadores!B356="","",Jugadores!B356)</f>
        <v>Villegas Abraham</v>
      </c>
      <c r="G356" s="4" t="str">
        <f>IF(Jugadores!B356="","",Jugadores!A356)</f>
        <v>León</v>
      </c>
      <c r="H356" s="4">
        <f>IF(F356="","",SUMIF('Estadísticas Jugadores'!$F$2:$F$7001,F356,'Estadísticas Jugadores'!$L$2:$L$7001))</f>
        <v>0</v>
      </c>
      <c r="I356" s="4">
        <f t="shared" si="28"/>
        <v>-3.5599999999999998E-5</v>
      </c>
      <c r="J356" s="4">
        <f t="shared" si="29"/>
        <v>369</v>
      </c>
    </row>
    <row r="357" spans="1:10" ht="15" customHeight="1" x14ac:dyDescent="0.25">
      <c r="A357" s="8">
        <f>IF(COUNT($J$2:$J$1501)&gt;=356,356,"")</f>
        <v>356</v>
      </c>
      <c r="B357" s="8" t="str">
        <f t="shared" si="25"/>
        <v>Najera Ronaldo</v>
      </c>
      <c r="C357" s="8" t="str">
        <f t="shared" si="26"/>
        <v>Atlético de San Luis</v>
      </c>
      <c r="D357" s="8">
        <f t="shared" si="27"/>
        <v>0</v>
      </c>
      <c r="F357" s="4" t="str">
        <f>IF(Jugadores!B357="","",Jugadores!B357)</f>
        <v>Arcila Daniel</v>
      </c>
      <c r="G357" s="4" t="str">
        <f>IF(Jugadores!B357="","",Jugadores!A357)</f>
        <v>León</v>
      </c>
      <c r="H357" s="4">
        <f>IF(F357="","",SUMIF('Estadísticas Jugadores'!$F$2:$F$7001,F357,'Estadísticas Jugadores'!$L$2:$L$7001))</f>
        <v>0</v>
      </c>
      <c r="I357" s="4">
        <f t="shared" si="28"/>
        <v>-3.57E-5</v>
      </c>
      <c r="J357" s="4">
        <f t="shared" si="29"/>
        <v>370</v>
      </c>
    </row>
    <row r="358" spans="1:10" ht="15" customHeight="1" x14ac:dyDescent="0.25">
      <c r="A358" s="8">
        <f>IF(COUNT($J$2:$J$1501)&gt;=357,357,"")</f>
        <v>357</v>
      </c>
      <c r="B358" s="8" t="str">
        <f t="shared" si="25"/>
        <v>Garcia Jordan</v>
      </c>
      <c r="C358" s="8" t="str">
        <f t="shared" si="26"/>
        <v>León</v>
      </c>
      <c r="D358" s="8">
        <f t="shared" si="27"/>
        <v>0</v>
      </c>
      <c r="F358" s="4" t="str">
        <f>IF(Jugadores!B358="","",Jugadores!B358)</f>
        <v>Beltran Cruz Fernando</v>
      </c>
      <c r="G358" s="4" t="str">
        <f>IF(Jugadores!B358="","",Jugadores!A358)</f>
        <v>León</v>
      </c>
      <c r="H358" s="4">
        <f>IF(F358="","",SUMIF('Estadísticas Jugadores'!$F$2:$F$7001,F358,'Estadísticas Jugadores'!$L$2:$L$7001))</f>
        <v>1</v>
      </c>
      <c r="I358" s="4">
        <f t="shared" si="28"/>
        <v>999.99996420000002</v>
      </c>
      <c r="J358" s="4">
        <f t="shared" si="29"/>
        <v>39</v>
      </c>
    </row>
    <row r="359" spans="1:10" ht="15" customHeight="1" x14ac:dyDescent="0.25">
      <c r="A359" s="8">
        <f>IF(COUNT($J$2:$J$1501)&gt;=358,358,"")</f>
        <v>358</v>
      </c>
      <c r="B359" s="8" t="str">
        <f t="shared" si="25"/>
        <v>Garcia Oscar</v>
      </c>
      <c r="C359" s="8" t="str">
        <f t="shared" si="26"/>
        <v>León</v>
      </c>
      <c r="D359" s="8">
        <f t="shared" si="27"/>
        <v>0</v>
      </c>
      <c r="F359" s="4" t="str">
        <f>IF(Jugadores!B359="","",Jugadores!B359)</f>
        <v>Dominguez Chonteco Juan Pablo</v>
      </c>
      <c r="G359" s="4" t="str">
        <f>IF(Jugadores!B359="","",Jugadores!A359)</f>
        <v>León</v>
      </c>
      <c r="H359" s="4">
        <f>IF(F359="","",SUMIF('Estadísticas Jugadores'!$F$2:$F$7001,F359,'Estadísticas Jugadores'!$L$2:$L$7001))</f>
        <v>0</v>
      </c>
      <c r="I359" s="4">
        <f t="shared" si="28"/>
        <v>-3.5899999999999998E-5</v>
      </c>
      <c r="J359" s="4">
        <f t="shared" si="29"/>
        <v>371</v>
      </c>
    </row>
    <row r="360" spans="1:10" ht="15" customHeight="1" x14ac:dyDescent="0.25">
      <c r="A360" s="8">
        <f>IF(COUNT($J$2:$J$1501)&gt;=359,359,"")</f>
        <v>359</v>
      </c>
      <c r="B360" s="8" t="str">
        <f t="shared" si="25"/>
        <v>Barreiro Stiven</v>
      </c>
      <c r="C360" s="8" t="str">
        <f t="shared" si="26"/>
        <v>León</v>
      </c>
      <c r="D360" s="8">
        <f t="shared" si="27"/>
        <v>0</v>
      </c>
      <c r="F360" s="4" t="str">
        <f>IF(Jugadores!B360="","",Jugadores!B360)</f>
        <v>Echeverria Rodrigo</v>
      </c>
      <c r="G360" s="4" t="str">
        <f>IF(Jugadores!B360="","",Jugadores!A360)</f>
        <v>León</v>
      </c>
      <c r="H360" s="4">
        <f>IF(F360="","",SUMIF('Estadísticas Jugadores'!$F$2:$F$7001,F360,'Estadísticas Jugadores'!$L$2:$L$7001))</f>
        <v>0</v>
      </c>
      <c r="I360" s="4">
        <f t="shared" si="28"/>
        <v>-3.6000000000000001E-5</v>
      </c>
      <c r="J360" s="4">
        <f t="shared" si="29"/>
        <v>372</v>
      </c>
    </row>
    <row r="361" spans="1:10" ht="15" customHeight="1" x14ac:dyDescent="0.25">
      <c r="A361" s="8">
        <f>IF(COUNT($J$2:$J$1501)&gt;=360,360,"")</f>
        <v>360</v>
      </c>
      <c r="B361" s="8" t="str">
        <f t="shared" si="25"/>
        <v>Bellon Paul</v>
      </c>
      <c r="C361" s="8" t="str">
        <f t="shared" si="26"/>
        <v>León</v>
      </c>
      <c r="D361" s="8">
        <f t="shared" si="27"/>
        <v>0</v>
      </c>
      <c r="F361" s="4" t="str">
        <f>IF(Jugadores!B361="","",Jugadores!B361)</f>
        <v>Estrada Angel</v>
      </c>
      <c r="G361" s="4" t="str">
        <f>IF(Jugadores!B361="","",Jugadores!A361)</f>
        <v>León</v>
      </c>
      <c r="H361" s="4">
        <f>IF(F361="","",SUMIF('Estadísticas Jugadores'!$F$2:$F$7001,F361,'Estadísticas Jugadores'!$L$2:$L$7001))</f>
        <v>0</v>
      </c>
      <c r="I361" s="4">
        <f t="shared" si="28"/>
        <v>-3.6099999999999997E-5</v>
      </c>
      <c r="J361" s="4">
        <f t="shared" si="29"/>
        <v>373</v>
      </c>
    </row>
    <row r="362" spans="1:10" ht="15" customHeight="1" x14ac:dyDescent="0.25">
      <c r="A362" s="8">
        <f>IF(COUNT($J$2:$J$1501)&gt;=361,361,"")</f>
        <v>361</v>
      </c>
      <c r="B362" s="8" t="str">
        <f t="shared" si="25"/>
        <v>Colula Bryan</v>
      </c>
      <c r="C362" s="8" t="str">
        <f t="shared" si="26"/>
        <v>León</v>
      </c>
      <c r="D362" s="8">
        <f t="shared" si="27"/>
        <v>0</v>
      </c>
      <c r="F362" s="4" t="str">
        <f>IF(Jugadores!B362="","",Jugadores!B362)</f>
        <v>Lara Jesús</v>
      </c>
      <c r="G362" s="4" t="str">
        <f>IF(Jugadores!B362="","",Jugadores!A362)</f>
        <v>León</v>
      </c>
      <c r="H362" s="4">
        <f>IF(F362="","",SUMIF('Estadísticas Jugadores'!$F$2:$F$7001,F362,'Estadísticas Jugadores'!$L$2:$L$7001))</f>
        <v>0</v>
      </c>
      <c r="I362" s="4">
        <f t="shared" si="28"/>
        <v>-3.6199999999999999E-5</v>
      </c>
      <c r="J362" s="4">
        <f t="shared" si="29"/>
        <v>374</v>
      </c>
    </row>
    <row r="363" spans="1:10" ht="15" customHeight="1" x14ac:dyDescent="0.25">
      <c r="A363" s="8">
        <f>IF(COUNT($J$2:$J$1501)&gt;=362,362,"")</f>
        <v>362</v>
      </c>
      <c r="B363" s="8" t="str">
        <f t="shared" si="25"/>
        <v>Gauthier Valentin</v>
      </c>
      <c r="C363" s="8" t="str">
        <f t="shared" si="26"/>
        <v>León</v>
      </c>
      <c r="D363" s="8">
        <f t="shared" si="27"/>
        <v>0</v>
      </c>
      <c r="F363" s="4" t="str">
        <f>IF(Jugadores!B363="","",Jugadores!B363)</f>
        <v>Rodriguez Ivan</v>
      </c>
      <c r="G363" s="4" t="str">
        <f>IF(Jugadores!B363="","",Jugadores!A363)</f>
        <v>León</v>
      </c>
      <c r="H363" s="4">
        <f>IF(F363="","",SUMIF('Estadísticas Jugadores'!$F$2:$F$7001,F363,'Estadísticas Jugadores'!$L$2:$L$7001))</f>
        <v>0</v>
      </c>
      <c r="I363" s="4">
        <f t="shared" si="28"/>
        <v>-3.6300000000000001E-5</v>
      </c>
      <c r="J363" s="4">
        <f t="shared" si="29"/>
        <v>375</v>
      </c>
    </row>
    <row r="364" spans="1:10" ht="15" customHeight="1" x14ac:dyDescent="0.25">
      <c r="A364" s="8">
        <f>IF(COUNT($J$2:$J$1501)&gt;=363,363,"")</f>
        <v>363</v>
      </c>
      <c r="B364" s="8" t="str">
        <f t="shared" si="25"/>
        <v>Guevara Juan</v>
      </c>
      <c r="C364" s="8" t="str">
        <f t="shared" si="26"/>
        <v>León</v>
      </c>
      <c r="D364" s="8">
        <f t="shared" si="27"/>
        <v>0</v>
      </c>
      <c r="F364" s="4" t="str">
        <f>IF(Jugadores!B364="","",Jugadores!B364)</f>
        <v>Santos Sebastian</v>
      </c>
      <c r="G364" s="4" t="str">
        <f>IF(Jugadores!B364="","",Jugadores!A364)</f>
        <v>León</v>
      </c>
      <c r="H364" s="4">
        <f>IF(F364="","",SUMIF('Estadísticas Jugadores'!$F$2:$F$7001,F364,'Estadísticas Jugadores'!$L$2:$L$7001))</f>
        <v>0</v>
      </c>
      <c r="I364" s="4">
        <f t="shared" si="28"/>
        <v>-3.6399999999999997E-5</v>
      </c>
      <c r="J364" s="4">
        <f t="shared" si="29"/>
        <v>376</v>
      </c>
    </row>
    <row r="365" spans="1:10" ht="15" customHeight="1" x14ac:dyDescent="0.25">
      <c r="A365" s="8">
        <f>IF(COUNT($J$2:$J$1501)&gt;=364,364,"")</f>
        <v>364</v>
      </c>
      <c r="B365" s="8" t="str">
        <f t="shared" si="25"/>
        <v>Mora Christopher</v>
      </c>
      <c r="C365" s="8" t="str">
        <f t="shared" si="26"/>
        <v>León</v>
      </c>
      <c r="D365" s="8">
        <f t="shared" si="27"/>
        <v>0</v>
      </c>
      <c r="F365" s="4" t="str">
        <f>IF(Jugadores!B365="","",Jugadores!B365)</f>
        <v>Valadez Luis</v>
      </c>
      <c r="G365" s="4" t="str">
        <f>IF(Jugadores!B365="","",Jugadores!A365)</f>
        <v>León</v>
      </c>
      <c r="H365" s="4">
        <f>IF(F365="","",SUMIF('Estadísticas Jugadores'!$F$2:$F$7001,F365,'Estadísticas Jugadores'!$L$2:$L$7001))</f>
        <v>0</v>
      </c>
      <c r="I365" s="4">
        <f t="shared" si="28"/>
        <v>-3.65E-5</v>
      </c>
      <c r="J365" s="4">
        <f t="shared" si="29"/>
        <v>377</v>
      </c>
    </row>
    <row r="366" spans="1:10" ht="15" customHeight="1" x14ac:dyDescent="0.25">
      <c r="A366" s="8">
        <f>IF(COUNT($J$2:$J$1501)&gt;=365,365,"")</f>
        <v>365</v>
      </c>
      <c r="B366" s="8" t="str">
        <f t="shared" si="25"/>
        <v>Ramirez David</v>
      </c>
      <c r="C366" s="8" t="str">
        <f t="shared" si="26"/>
        <v>León</v>
      </c>
      <c r="D366" s="8">
        <f t="shared" si="27"/>
        <v>0</v>
      </c>
      <c r="F366" s="4" t="str">
        <f>IF(Jugadores!B366="","",Jugadores!B366)</f>
        <v>Alvarado Alfonso</v>
      </c>
      <c r="G366" s="4" t="str">
        <f>IF(Jugadores!B366="","",Jugadores!A366)</f>
        <v>León</v>
      </c>
      <c r="H366" s="4">
        <f>IF(F366="","",SUMIF('Estadísticas Jugadores'!$F$2:$F$7001,F366,'Estadísticas Jugadores'!$L$2:$L$7001))</f>
        <v>1</v>
      </c>
      <c r="I366" s="4">
        <f t="shared" si="28"/>
        <v>999.99996339999996</v>
      </c>
      <c r="J366" s="4">
        <f t="shared" si="29"/>
        <v>40</v>
      </c>
    </row>
    <row r="367" spans="1:10" ht="15" customHeight="1" x14ac:dyDescent="0.25">
      <c r="A367" s="8">
        <f>IF(COUNT($J$2:$J$1501)&gt;=366,366,"")</f>
        <v>366</v>
      </c>
      <c r="B367" s="8" t="str">
        <f t="shared" si="25"/>
        <v>Reyes Salvador</v>
      </c>
      <c r="C367" s="8" t="str">
        <f t="shared" si="26"/>
        <v>León</v>
      </c>
      <c r="D367" s="8">
        <f t="shared" si="27"/>
        <v>0</v>
      </c>
      <c r="F367" s="4" t="str">
        <f>IF(Jugadores!B367="","",Jugadores!B367)</f>
        <v>Cambindo Abonia Diber Armando</v>
      </c>
      <c r="G367" s="4" t="str">
        <f>IF(Jugadores!B367="","",Jugadores!A367)</f>
        <v>León</v>
      </c>
      <c r="H367" s="4">
        <f>IF(F367="","",SUMIF('Estadísticas Jugadores'!$F$2:$F$7001,F367,'Estadísticas Jugadores'!$L$2:$L$7001))</f>
        <v>1</v>
      </c>
      <c r="I367" s="4">
        <f t="shared" si="28"/>
        <v>999.99996329999999</v>
      </c>
      <c r="J367" s="4">
        <f t="shared" si="29"/>
        <v>41</v>
      </c>
    </row>
    <row r="368" spans="1:10" ht="15" customHeight="1" x14ac:dyDescent="0.25">
      <c r="A368" s="8">
        <f>IF(COUNT($J$2:$J$1501)&gt;=367,367,"")</f>
        <v>367</v>
      </c>
      <c r="B368" s="8" t="str">
        <f t="shared" si="25"/>
        <v>Romana Jhohan</v>
      </c>
      <c r="C368" s="8" t="str">
        <f t="shared" si="26"/>
        <v>León</v>
      </c>
      <c r="D368" s="8">
        <f t="shared" si="27"/>
        <v>0</v>
      </c>
      <c r="F368" s="4" t="str">
        <f>IF(Jugadores!B368="","",Jugadores!B368)</f>
        <v>Cortizo Jordi</v>
      </c>
      <c r="G368" s="4" t="str">
        <f>IF(Jugadores!B368="","",Jugadores!A368)</f>
        <v>León</v>
      </c>
      <c r="H368" s="4">
        <f>IF(F368="","",SUMIF('Estadísticas Jugadores'!$F$2:$F$7001,F368,'Estadísticas Jugadores'!$L$2:$L$7001))</f>
        <v>1</v>
      </c>
      <c r="I368" s="4">
        <f t="shared" si="28"/>
        <v>999.99996320000002</v>
      </c>
      <c r="J368" s="4">
        <f t="shared" si="29"/>
        <v>42</v>
      </c>
    </row>
    <row r="369" spans="1:10" ht="15" customHeight="1" x14ac:dyDescent="0.25">
      <c r="A369" s="8">
        <f>IF(COUNT($J$2:$J$1501)&gt;=368,368,"")</f>
        <v>368</v>
      </c>
      <c r="B369" s="8" t="str">
        <f t="shared" si="25"/>
        <v>Vegas Sebastian</v>
      </c>
      <c r="C369" s="8" t="str">
        <f t="shared" si="26"/>
        <v>León</v>
      </c>
      <c r="D369" s="8">
        <f t="shared" si="27"/>
        <v>0</v>
      </c>
      <c r="F369" s="4" t="str">
        <f>IF(Jugadores!B369="","",Jugadores!B369)</f>
        <v>Diaz Ismael</v>
      </c>
      <c r="G369" s="4" t="str">
        <f>IF(Jugadores!B369="","",Jugadores!A369)</f>
        <v>León</v>
      </c>
      <c r="H369" s="4">
        <f>IF(F369="","",SUMIF('Estadísticas Jugadores'!$F$2:$F$7001,F369,'Estadísticas Jugadores'!$L$2:$L$7001))</f>
        <v>1</v>
      </c>
      <c r="I369" s="4">
        <f t="shared" si="28"/>
        <v>999.99996309999995</v>
      </c>
      <c r="J369" s="4">
        <f t="shared" si="29"/>
        <v>43</v>
      </c>
    </row>
    <row r="370" spans="1:10" ht="15" customHeight="1" x14ac:dyDescent="0.25">
      <c r="A370" s="8">
        <f>IF(COUNT($J$2:$J$1501)&gt;=369,369,"")</f>
        <v>369</v>
      </c>
      <c r="B370" s="8" t="str">
        <f t="shared" si="25"/>
        <v>Villegas Abraham</v>
      </c>
      <c r="C370" s="8" t="str">
        <f t="shared" si="26"/>
        <v>León</v>
      </c>
      <c r="D370" s="8">
        <f t="shared" si="27"/>
        <v>0</v>
      </c>
      <c r="F370" s="4" t="str">
        <f>IF(Jugadores!B370="","",Jugadores!B370)</f>
        <v>Funes Mori Rogelio</v>
      </c>
      <c r="G370" s="4" t="str">
        <f>IF(Jugadores!B370="","",Jugadores!A370)</f>
        <v>León</v>
      </c>
      <c r="H370" s="4">
        <f>IF(F370="","",SUMIF('Estadísticas Jugadores'!$F$2:$F$7001,F370,'Estadísticas Jugadores'!$L$2:$L$7001))</f>
        <v>0</v>
      </c>
      <c r="I370" s="4">
        <f t="shared" si="28"/>
        <v>-3.6999999999999998E-5</v>
      </c>
      <c r="J370" s="4">
        <f t="shared" si="29"/>
        <v>378</v>
      </c>
    </row>
    <row r="371" spans="1:10" ht="15" customHeight="1" x14ac:dyDescent="0.25">
      <c r="A371" s="8">
        <f>IF(COUNT($J$2:$J$1501)&gt;=370,370,"")</f>
        <v>370</v>
      </c>
      <c r="B371" s="8" t="str">
        <f t="shared" si="25"/>
        <v>Arcila Daniel</v>
      </c>
      <c r="C371" s="8" t="str">
        <f t="shared" si="26"/>
        <v>León</v>
      </c>
      <c r="D371" s="8">
        <f t="shared" si="27"/>
        <v>0</v>
      </c>
      <c r="F371" s="4" t="str">
        <f>IF(Jugadores!B371="","",Jugadores!B371)</f>
        <v>Guerra Edgar</v>
      </c>
      <c r="G371" s="4" t="str">
        <f>IF(Jugadores!B371="","",Jugadores!A371)</f>
        <v>León</v>
      </c>
      <c r="H371" s="4">
        <f>IF(F371="","",SUMIF('Estadísticas Jugadores'!$F$2:$F$7001,F371,'Estadísticas Jugadores'!$L$2:$L$7001))</f>
        <v>0</v>
      </c>
      <c r="I371" s="4">
        <f t="shared" si="28"/>
        <v>-3.7100000000000001E-5</v>
      </c>
      <c r="J371" s="4">
        <f t="shared" si="29"/>
        <v>379</v>
      </c>
    </row>
    <row r="372" spans="1:10" ht="15" customHeight="1" x14ac:dyDescent="0.25">
      <c r="A372" s="8">
        <f>IF(COUNT($J$2:$J$1501)&gt;=371,371,"")</f>
        <v>371</v>
      </c>
      <c r="B372" s="8" t="str">
        <f t="shared" si="25"/>
        <v>Dominguez Chonteco Juan Pablo</v>
      </c>
      <c r="C372" s="8" t="str">
        <f t="shared" si="26"/>
        <v>León</v>
      </c>
      <c r="D372" s="8">
        <f t="shared" si="27"/>
        <v>0</v>
      </c>
      <c r="F372" s="4" t="str">
        <f>IF(Jugadores!B372="","",Jugadores!B372)</f>
        <v>Moreno Ivan</v>
      </c>
      <c r="G372" s="4" t="str">
        <f>IF(Jugadores!B372="","",Jugadores!A372)</f>
        <v>León</v>
      </c>
      <c r="H372" s="4">
        <f>IF(F372="","",SUMIF('Estadísticas Jugadores'!$F$2:$F$7001,F372,'Estadísticas Jugadores'!$L$2:$L$7001))</f>
        <v>0</v>
      </c>
      <c r="I372" s="4">
        <f t="shared" si="28"/>
        <v>-3.7199999999999996E-5</v>
      </c>
      <c r="J372" s="4">
        <f t="shared" si="29"/>
        <v>380</v>
      </c>
    </row>
    <row r="373" spans="1:10" ht="15" customHeight="1" x14ac:dyDescent="0.25">
      <c r="A373" s="8">
        <f>IF(COUNT($J$2:$J$1501)&gt;=372,372,"")</f>
        <v>372</v>
      </c>
      <c r="B373" s="8" t="str">
        <f t="shared" si="25"/>
        <v>Echeverria Rodrigo</v>
      </c>
      <c r="C373" s="8" t="str">
        <f t="shared" si="26"/>
        <v>León</v>
      </c>
      <c r="D373" s="8">
        <f t="shared" si="27"/>
        <v>0</v>
      </c>
      <c r="F373" s="4" t="str">
        <f>IF(Jugadores!B373="","",Jugadores!B373)</f>
        <v>Barragán Roberto</v>
      </c>
      <c r="G373" s="4" t="str">
        <f>IF(Jugadores!B373="","",Jugadores!A373)</f>
        <v>Atlante</v>
      </c>
      <c r="H373" s="4">
        <f>IF(F373="","",SUMIF('Estadísticas Jugadores'!$F$2:$F$7001,F373,'Estadísticas Jugadores'!$L$2:$L$7001))</f>
        <v>0</v>
      </c>
      <c r="I373" s="4">
        <f t="shared" si="28"/>
        <v>-3.7299999999999999E-5</v>
      </c>
      <c r="J373" s="4">
        <f t="shared" si="29"/>
        <v>381</v>
      </c>
    </row>
    <row r="374" spans="1:10" ht="15" customHeight="1" x14ac:dyDescent="0.25">
      <c r="A374" s="8">
        <f>IF(COUNT($J$2:$J$1501)&gt;=373,373,"")</f>
        <v>373</v>
      </c>
      <c r="B374" s="8" t="str">
        <f t="shared" si="25"/>
        <v>Estrada Angel</v>
      </c>
      <c r="C374" s="8" t="str">
        <f t="shared" si="26"/>
        <v>León</v>
      </c>
      <c r="D374" s="8">
        <f t="shared" si="27"/>
        <v>0</v>
      </c>
      <c r="F374" s="4" t="str">
        <f>IF(Jugadores!B374="","",Jugadores!B374)</f>
        <v>Beltran Ronaldo</v>
      </c>
      <c r="G374" s="4" t="str">
        <f>IF(Jugadores!B374="","",Jugadores!A374)</f>
        <v>Atlante</v>
      </c>
      <c r="H374" s="4">
        <f>IF(F374="","",SUMIF('Estadísticas Jugadores'!$F$2:$F$7001,F374,'Estadísticas Jugadores'!$L$2:$L$7001))</f>
        <v>0</v>
      </c>
      <c r="I374" s="4">
        <f t="shared" si="28"/>
        <v>-3.7400000000000001E-5</v>
      </c>
      <c r="J374" s="4">
        <f t="shared" si="29"/>
        <v>382</v>
      </c>
    </row>
    <row r="375" spans="1:10" ht="15" customHeight="1" x14ac:dyDescent="0.25">
      <c r="A375" s="8">
        <f>IF(COUNT($J$2:$J$1501)&gt;=374,374,"")</f>
        <v>374</v>
      </c>
      <c r="B375" s="8" t="str">
        <f t="shared" si="25"/>
        <v>Lara Jesús</v>
      </c>
      <c r="C375" s="8" t="str">
        <f t="shared" si="26"/>
        <v>León</v>
      </c>
      <c r="D375" s="8">
        <f t="shared" si="27"/>
        <v>0</v>
      </c>
      <c r="F375" s="4" t="str">
        <f>IF(Jugadores!B375="","",Jugadores!B375)</f>
        <v>Jimenez Oscar</v>
      </c>
      <c r="G375" s="4" t="str">
        <f>IF(Jugadores!B375="","",Jugadores!A375)</f>
        <v>Atlante</v>
      </c>
      <c r="H375" s="4">
        <f>IF(F375="","",SUMIF('Estadísticas Jugadores'!$F$2:$F$7001,F375,'Estadísticas Jugadores'!$L$2:$L$7001))</f>
        <v>0</v>
      </c>
      <c r="I375" s="4">
        <f t="shared" si="28"/>
        <v>-3.7499999999999997E-5</v>
      </c>
      <c r="J375" s="4">
        <f t="shared" si="29"/>
        <v>383</v>
      </c>
    </row>
    <row r="376" spans="1:10" ht="15" customHeight="1" x14ac:dyDescent="0.25">
      <c r="A376" s="8">
        <f>IF(COUNT($J$2:$J$1501)&gt;=375,375,"")</f>
        <v>375</v>
      </c>
      <c r="B376" s="8" t="str">
        <f t="shared" si="25"/>
        <v>Rodriguez Ivan</v>
      </c>
      <c r="C376" s="8" t="str">
        <f t="shared" si="26"/>
        <v>León</v>
      </c>
      <c r="D376" s="8">
        <f t="shared" si="27"/>
        <v>0</v>
      </c>
      <c r="F376" s="4" t="str">
        <f>IF(Jugadores!B376="","",Jugadores!B376)</f>
        <v>Alfaro Cristobal</v>
      </c>
      <c r="G376" s="4" t="str">
        <f>IF(Jugadores!B376="","",Jugadores!A376)</f>
        <v>Atlante</v>
      </c>
      <c r="H376" s="4">
        <f>IF(F376="","",SUMIF('Estadísticas Jugadores'!$F$2:$F$7001,F376,'Estadísticas Jugadores'!$L$2:$L$7001))</f>
        <v>0</v>
      </c>
      <c r="I376" s="4">
        <f t="shared" si="28"/>
        <v>-3.7599999999999999E-5</v>
      </c>
      <c r="J376" s="4">
        <f t="shared" si="29"/>
        <v>384</v>
      </c>
    </row>
    <row r="377" spans="1:10" ht="15" customHeight="1" x14ac:dyDescent="0.25">
      <c r="A377" s="8">
        <f>IF(COUNT($J$2:$J$1501)&gt;=376,376,"")</f>
        <v>376</v>
      </c>
      <c r="B377" s="8" t="str">
        <f t="shared" si="25"/>
        <v>Santos Sebastian</v>
      </c>
      <c r="C377" s="8" t="str">
        <f t="shared" si="26"/>
        <v>León</v>
      </c>
      <c r="D377" s="8">
        <f t="shared" si="27"/>
        <v>0</v>
      </c>
      <c r="F377" s="4" t="str">
        <f>IF(Jugadores!B377="","",Jugadores!B377)</f>
        <v>Bagui Tobar Diogo Osmar</v>
      </c>
      <c r="G377" s="4" t="str">
        <f>IF(Jugadores!B377="","",Jugadores!A377)</f>
        <v>Atlante</v>
      </c>
      <c r="H377" s="4">
        <f>IF(F377="","",SUMIF('Estadísticas Jugadores'!$F$2:$F$7001,F377,'Estadísticas Jugadores'!$L$2:$L$7001))</f>
        <v>0</v>
      </c>
      <c r="I377" s="4">
        <f t="shared" si="28"/>
        <v>-3.7700000000000002E-5</v>
      </c>
      <c r="J377" s="4">
        <f t="shared" si="29"/>
        <v>385</v>
      </c>
    </row>
    <row r="378" spans="1:10" ht="15" customHeight="1" x14ac:dyDescent="0.25">
      <c r="A378" s="8">
        <f>IF(COUNT($J$2:$J$1501)&gt;=377,377,"")</f>
        <v>377</v>
      </c>
      <c r="B378" s="8" t="str">
        <f t="shared" si="25"/>
        <v>Valadez Luis</v>
      </c>
      <c r="C378" s="8" t="str">
        <f t="shared" si="26"/>
        <v>León</v>
      </c>
      <c r="D378" s="8">
        <f t="shared" si="27"/>
        <v>0</v>
      </c>
      <c r="F378" s="4" t="str">
        <f>IF(Jugadores!B378="","",Jugadores!B378)</f>
        <v>Carrera Juan Nicolas</v>
      </c>
      <c r="G378" s="4" t="str">
        <f>IF(Jugadores!B378="","",Jugadores!A378)</f>
        <v>Atlante</v>
      </c>
      <c r="H378" s="4">
        <f>IF(F378="","",SUMIF('Estadísticas Jugadores'!$F$2:$F$7001,F378,'Estadísticas Jugadores'!$L$2:$L$7001))</f>
        <v>0</v>
      </c>
      <c r="I378" s="4">
        <f t="shared" si="28"/>
        <v>-3.7799999999999997E-5</v>
      </c>
      <c r="J378" s="4">
        <f t="shared" si="29"/>
        <v>386</v>
      </c>
    </row>
    <row r="379" spans="1:10" ht="15" customHeight="1" x14ac:dyDescent="0.25">
      <c r="A379" s="8">
        <f>IF(COUNT($J$2:$J$1501)&gt;=378,378,"")</f>
        <v>378</v>
      </c>
      <c r="B379" s="8" t="str">
        <f t="shared" si="25"/>
        <v>Funes Mori Rogelio</v>
      </c>
      <c r="C379" s="8" t="str">
        <f t="shared" si="26"/>
        <v>León</v>
      </c>
      <c r="D379" s="8">
        <f t="shared" si="27"/>
        <v>0</v>
      </c>
      <c r="F379" s="4" t="str">
        <f>IF(Jugadores!B379="","",Jugadores!B379)</f>
        <v>Espinoza Emiliano</v>
      </c>
      <c r="G379" s="4" t="str">
        <f>IF(Jugadores!B379="","",Jugadores!A379)</f>
        <v>Atlante</v>
      </c>
      <c r="H379" s="4">
        <f>IF(F379="","",SUMIF('Estadísticas Jugadores'!$F$2:$F$7001,F379,'Estadísticas Jugadores'!$L$2:$L$7001))</f>
        <v>0</v>
      </c>
      <c r="I379" s="4">
        <f t="shared" si="28"/>
        <v>-3.79E-5</v>
      </c>
      <c r="J379" s="4">
        <f t="shared" si="29"/>
        <v>387</v>
      </c>
    </row>
    <row r="380" spans="1:10" ht="15" customHeight="1" x14ac:dyDescent="0.25">
      <c r="A380" s="8">
        <f>IF(COUNT($J$2:$J$1501)&gt;=379,379,"")</f>
        <v>379</v>
      </c>
      <c r="B380" s="8" t="str">
        <f t="shared" si="25"/>
        <v>Guerra Edgar</v>
      </c>
      <c r="C380" s="8" t="str">
        <f t="shared" si="26"/>
        <v>León</v>
      </c>
      <c r="D380" s="8">
        <f t="shared" si="27"/>
        <v>0</v>
      </c>
      <c r="F380" s="4" t="str">
        <f>IF(Jugadores!B380="","",Jugadores!B380)</f>
        <v>Padilla Axl</v>
      </c>
      <c r="G380" s="4" t="str">
        <f>IF(Jugadores!B380="","",Jugadores!A380)</f>
        <v>Atlante</v>
      </c>
      <c r="H380" s="4">
        <f>IF(F380="","",SUMIF('Estadísticas Jugadores'!$F$2:$F$7001,F380,'Estadísticas Jugadores'!$L$2:$L$7001))</f>
        <v>0</v>
      </c>
      <c r="I380" s="4">
        <f t="shared" si="28"/>
        <v>-3.7999999999999995E-5</v>
      </c>
      <c r="J380" s="4">
        <f t="shared" si="29"/>
        <v>388</v>
      </c>
    </row>
    <row r="381" spans="1:10" ht="15" customHeight="1" x14ac:dyDescent="0.25">
      <c r="A381" s="8">
        <f>IF(COUNT($J$2:$J$1501)&gt;=380,380,"")</f>
        <v>380</v>
      </c>
      <c r="B381" s="8" t="str">
        <f t="shared" si="25"/>
        <v>Moreno Ivan</v>
      </c>
      <c r="C381" s="8" t="str">
        <f t="shared" si="26"/>
        <v>León</v>
      </c>
      <c r="D381" s="8">
        <f t="shared" si="27"/>
        <v>0</v>
      </c>
      <c r="F381" s="4" t="str">
        <f>IF(Jugadores!B381="","",Jugadores!B381)</f>
        <v>Portales Walter</v>
      </c>
      <c r="G381" s="4" t="str">
        <f>IF(Jugadores!B381="","",Jugadores!A381)</f>
        <v>Atlante</v>
      </c>
      <c r="H381" s="4">
        <f>IF(F381="","",SUMIF('Estadísticas Jugadores'!$F$2:$F$7001,F381,'Estadísticas Jugadores'!$L$2:$L$7001))</f>
        <v>0</v>
      </c>
      <c r="I381" s="4">
        <f t="shared" si="28"/>
        <v>-3.8099999999999998E-5</v>
      </c>
      <c r="J381" s="4">
        <f t="shared" si="29"/>
        <v>389</v>
      </c>
    </row>
    <row r="382" spans="1:10" ht="15" customHeight="1" x14ac:dyDescent="0.25">
      <c r="A382" s="8">
        <f>IF(COUNT($J$2:$J$1501)&gt;=381,381,"")</f>
        <v>381</v>
      </c>
      <c r="B382" s="8" t="str">
        <f t="shared" si="25"/>
        <v>Barragán Roberto</v>
      </c>
      <c r="C382" s="8" t="str">
        <f t="shared" si="26"/>
        <v>Atlante</v>
      </c>
      <c r="D382" s="8">
        <f t="shared" si="27"/>
        <v>0</v>
      </c>
      <c r="F382" s="4" t="str">
        <f>IF(Jugadores!B382="","",Jugadores!B382)</f>
        <v>Sanchez Luis</v>
      </c>
      <c r="G382" s="4" t="str">
        <f>IF(Jugadores!B382="","",Jugadores!A382)</f>
        <v>Atlante</v>
      </c>
      <c r="H382" s="4">
        <f>IF(F382="","",SUMIF('Estadísticas Jugadores'!$F$2:$F$7001,F382,'Estadísticas Jugadores'!$L$2:$L$7001))</f>
        <v>0</v>
      </c>
      <c r="I382" s="4">
        <f t="shared" si="28"/>
        <v>-3.82E-5</v>
      </c>
      <c r="J382" s="4">
        <f t="shared" si="29"/>
        <v>390</v>
      </c>
    </row>
    <row r="383" spans="1:10" ht="15" customHeight="1" x14ac:dyDescent="0.25">
      <c r="A383" s="8">
        <f>IF(COUNT($J$2:$J$1501)&gt;=382,382,"")</f>
        <v>382</v>
      </c>
      <c r="B383" s="8" t="str">
        <f t="shared" si="25"/>
        <v>Beltran Ronaldo</v>
      </c>
      <c r="C383" s="8" t="str">
        <f t="shared" si="26"/>
        <v>Atlante</v>
      </c>
      <c r="D383" s="8">
        <f t="shared" si="27"/>
        <v>0</v>
      </c>
      <c r="F383" s="4" t="str">
        <f>IF(Jugadores!B383="","",Jugadores!B383)</f>
        <v>Tercero Mendez Eduardo Santiago</v>
      </c>
      <c r="G383" s="4" t="str">
        <f>IF(Jugadores!B383="","",Jugadores!A383)</f>
        <v>Atlante</v>
      </c>
      <c r="H383" s="4">
        <f>IF(F383="","",SUMIF('Estadísticas Jugadores'!$F$2:$F$7001,F383,'Estadísticas Jugadores'!$L$2:$L$7001))</f>
        <v>0</v>
      </c>
      <c r="I383" s="4">
        <f t="shared" si="28"/>
        <v>-3.8299999999999996E-5</v>
      </c>
      <c r="J383" s="4">
        <f t="shared" si="29"/>
        <v>391</v>
      </c>
    </row>
    <row r="384" spans="1:10" ht="15" customHeight="1" x14ac:dyDescent="0.25">
      <c r="A384" s="8">
        <f>IF(COUNT($J$2:$J$1501)&gt;=383,383,"")</f>
        <v>383</v>
      </c>
      <c r="B384" s="8" t="str">
        <f t="shared" si="25"/>
        <v>Jimenez Oscar</v>
      </c>
      <c r="C384" s="8" t="str">
        <f t="shared" si="26"/>
        <v>Atlante</v>
      </c>
      <c r="D384" s="8">
        <f t="shared" si="27"/>
        <v>0</v>
      </c>
      <c r="F384" s="4" t="str">
        <f>IF(Jugadores!B384="","",Jugadores!B384)</f>
        <v>Bermudez Christian</v>
      </c>
      <c r="G384" s="4" t="str">
        <f>IF(Jugadores!B384="","",Jugadores!A384)</f>
        <v>Atlante</v>
      </c>
      <c r="H384" s="4">
        <f>IF(F384="","",SUMIF('Estadísticas Jugadores'!$F$2:$F$7001,F384,'Estadísticas Jugadores'!$L$2:$L$7001))</f>
        <v>0</v>
      </c>
      <c r="I384" s="4">
        <f t="shared" si="28"/>
        <v>-3.8399999999999998E-5</v>
      </c>
      <c r="J384" s="4">
        <f t="shared" si="29"/>
        <v>392</v>
      </c>
    </row>
    <row r="385" spans="1:10" ht="15" customHeight="1" x14ac:dyDescent="0.25">
      <c r="A385" s="8">
        <f>IF(COUNT($J$2:$J$1501)&gt;=384,384,"")</f>
        <v>384</v>
      </c>
      <c r="B385" s="8" t="str">
        <f t="shared" si="25"/>
        <v>Alfaro Cristobal</v>
      </c>
      <c r="C385" s="8" t="str">
        <f t="shared" si="26"/>
        <v>Atlante</v>
      </c>
      <c r="D385" s="8">
        <f t="shared" si="27"/>
        <v>0</v>
      </c>
      <c r="F385" s="4" t="str">
        <f>IF(Jugadores!B385="","",Jugadores!B385)</f>
        <v>Clar Walter</v>
      </c>
      <c r="G385" s="4" t="str">
        <f>IF(Jugadores!B385="","",Jugadores!A385)</f>
        <v>Atlante</v>
      </c>
      <c r="H385" s="4">
        <f>IF(F385="","",SUMIF('Estadísticas Jugadores'!$F$2:$F$7001,F385,'Estadísticas Jugadores'!$L$2:$L$7001))</f>
        <v>0</v>
      </c>
      <c r="I385" s="4">
        <f t="shared" si="28"/>
        <v>-3.8500000000000001E-5</v>
      </c>
      <c r="J385" s="4">
        <f t="shared" si="29"/>
        <v>393</v>
      </c>
    </row>
    <row r="386" spans="1:10" ht="15" customHeight="1" x14ac:dyDescent="0.25">
      <c r="A386" s="8">
        <f>IF(COUNT($J$2:$J$1501)&gt;=385,385,"")</f>
        <v>385</v>
      </c>
      <c r="B386" s="8" t="str">
        <f t="shared" ref="B386:B449" si="30">IF($A386="","",INDEX($F$2:$F$1501,MATCH($A386,$J$2:$J$1501,0)))</f>
        <v>Bagui Tobar Diogo Osmar</v>
      </c>
      <c r="C386" s="8" t="str">
        <f t="shared" ref="C386:C449" si="31">IF($A386="","",INDEX($G$2:$G$1501,MATCH($A386,$J$2:$J$1501,0)))</f>
        <v>Atlante</v>
      </c>
      <c r="D386" s="8">
        <f t="shared" ref="D386:D449" si="32">IF($A386="","",INDEX($H$2:$H$1501,MATCH($A386,$J$2:$J$1501,0)))</f>
        <v>0</v>
      </c>
      <c r="F386" s="4" t="str">
        <f>IF(Jugadores!B386="","",Jugadores!B386)</f>
        <v>Escobar Armando</v>
      </c>
      <c r="G386" s="4" t="str">
        <f>IF(Jugadores!B386="","",Jugadores!A386)</f>
        <v>Atlante</v>
      </c>
      <c r="H386" s="4">
        <f>IF(F386="","",SUMIF('Estadísticas Jugadores'!$F$2:$F$7001,F386,'Estadísticas Jugadores'!$L$2:$L$7001))</f>
        <v>0</v>
      </c>
      <c r="I386" s="4">
        <f t="shared" ref="I386:I449" si="33">IF(F386="","",H386*1000-ROW()*0.0000001)</f>
        <v>-3.8599999999999996E-5</v>
      </c>
      <c r="J386" s="4">
        <f t="shared" ref="J386:J449" si="34">IF(F386="","",RANK(I386,$I$2:$I$1501))</f>
        <v>394</v>
      </c>
    </row>
    <row r="387" spans="1:10" ht="15" customHeight="1" x14ac:dyDescent="0.25">
      <c r="A387" s="8">
        <f>IF(COUNT($J$2:$J$1501)&gt;=386,386,"")</f>
        <v>386</v>
      </c>
      <c r="B387" s="8" t="str">
        <f t="shared" si="30"/>
        <v>Carrera Juan Nicolas</v>
      </c>
      <c r="C387" s="8" t="str">
        <f t="shared" si="31"/>
        <v>Atlante</v>
      </c>
      <c r="D387" s="8">
        <f t="shared" si="32"/>
        <v>0</v>
      </c>
      <c r="F387" s="4" t="str">
        <f>IF(Jugadores!B387="","",Jugadores!B387)</f>
        <v>Fernández Martin</v>
      </c>
      <c r="G387" s="4" t="str">
        <f>IF(Jugadores!B387="","",Jugadores!A387)</f>
        <v>Atlante</v>
      </c>
      <c r="H387" s="4">
        <f>IF(F387="","",SUMIF('Estadísticas Jugadores'!$F$2:$F$7001,F387,'Estadísticas Jugadores'!$L$2:$L$7001))</f>
        <v>0</v>
      </c>
      <c r="I387" s="4">
        <f t="shared" si="33"/>
        <v>-3.8699999999999999E-5</v>
      </c>
      <c r="J387" s="4">
        <f t="shared" si="34"/>
        <v>395</v>
      </c>
    </row>
    <row r="388" spans="1:10" ht="15" customHeight="1" x14ac:dyDescent="0.25">
      <c r="A388" s="8">
        <f>IF(COUNT($J$2:$J$1501)&gt;=387,387,"")</f>
        <v>387</v>
      </c>
      <c r="B388" s="8" t="str">
        <f t="shared" si="30"/>
        <v>Espinoza Emiliano</v>
      </c>
      <c r="C388" s="8" t="str">
        <f t="shared" si="31"/>
        <v>Atlante</v>
      </c>
      <c r="D388" s="8">
        <f t="shared" si="32"/>
        <v>0</v>
      </c>
      <c r="F388" s="4" t="str">
        <f>IF(Jugadores!B388="","",Jugadores!B388)</f>
        <v>Garcia Pardo Maximiliano</v>
      </c>
      <c r="G388" s="4" t="str">
        <f>IF(Jugadores!B388="","",Jugadores!A388)</f>
        <v>Atlante</v>
      </c>
      <c r="H388" s="4">
        <f>IF(F388="","",SUMIF('Estadísticas Jugadores'!$F$2:$F$7001,F388,'Estadísticas Jugadores'!$L$2:$L$7001))</f>
        <v>0</v>
      </c>
      <c r="I388" s="4">
        <f t="shared" si="33"/>
        <v>-3.8800000000000001E-5</v>
      </c>
      <c r="J388" s="4">
        <f t="shared" si="34"/>
        <v>396</v>
      </c>
    </row>
    <row r="389" spans="1:10" ht="15" customHeight="1" x14ac:dyDescent="0.25">
      <c r="A389" s="8">
        <f>IF(COUNT($J$2:$J$1501)&gt;=388,388,"")</f>
        <v>388</v>
      </c>
      <c r="B389" s="8" t="str">
        <f t="shared" si="30"/>
        <v>Padilla Axl</v>
      </c>
      <c r="C389" s="8" t="str">
        <f t="shared" si="31"/>
        <v>Atlante</v>
      </c>
      <c r="D389" s="8">
        <f t="shared" si="32"/>
        <v>0</v>
      </c>
      <c r="F389" s="4" t="str">
        <f>IF(Jugadores!B389="","",Jugadores!B389)</f>
        <v>Ibarra de la Rosa Javier Eduardo</v>
      </c>
      <c r="G389" s="4" t="str">
        <f>IF(Jugadores!B389="","",Jugadores!A389)</f>
        <v>Atlante</v>
      </c>
      <c r="H389" s="4">
        <f>IF(F389="","",SUMIF('Estadísticas Jugadores'!$F$2:$F$7001,F389,'Estadísticas Jugadores'!$L$2:$L$7001))</f>
        <v>0</v>
      </c>
      <c r="I389" s="4">
        <f t="shared" si="33"/>
        <v>-3.8899999999999997E-5</v>
      </c>
      <c r="J389" s="4">
        <f t="shared" si="34"/>
        <v>397</v>
      </c>
    </row>
    <row r="390" spans="1:10" ht="15" customHeight="1" x14ac:dyDescent="0.25">
      <c r="A390" s="8">
        <f>IF(COUNT($J$2:$J$1501)&gt;=389,389,"")</f>
        <v>389</v>
      </c>
      <c r="B390" s="8" t="str">
        <f t="shared" si="30"/>
        <v>Portales Walter</v>
      </c>
      <c r="C390" s="8" t="str">
        <f t="shared" si="31"/>
        <v>Atlante</v>
      </c>
      <c r="D390" s="8">
        <f t="shared" si="32"/>
        <v>0</v>
      </c>
      <c r="F390" s="4" t="str">
        <f>IF(Jugadores!B390="","",Jugadores!B390)</f>
        <v>Jhojan Julio</v>
      </c>
      <c r="G390" s="4" t="str">
        <f>IF(Jugadores!B390="","",Jugadores!A390)</f>
        <v>Atlante</v>
      </c>
      <c r="H390" s="4">
        <f>IF(F390="","",SUMIF('Estadísticas Jugadores'!$F$2:$F$7001,F390,'Estadísticas Jugadores'!$L$2:$L$7001))</f>
        <v>0</v>
      </c>
      <c r="I390" s="4">
        <f t="shared" si="33"/>
        <v>-3.8999999999999999E-5</v>
      </c>
      <c r="J390" s="4">
        <f t="shared" si="34"/>
        <v>398</v>
      </c>
    </row>
    <row r="391" spans="1:10" ht="15" customHeight="1" x14ac:dyDescent="0.25">
      <c r="A391" s="8">
        <f>IF(COUNT($J$2:$J$1501)&gt;=390,390,"")</f>
        <v>390</v>
      </c>
      <c r="B391" s="8" t="str">
        <f t="shared" si="30"/>
        <v>Sanchez Luis</v>
      </c>
      <c r="C391" s="8" t="str">
        <f t="shared" si="31"/>
        <v>Atlante</v>
      </c>
      <c r="D391" s="8">
        <f t="shared" si="32"/>
        <v>0</v>
      </c>
      <c r="F391" s="4" t="str">
        <f>IF(Jugadores!B391="","",Jugadores!B391)</f>
        <v>Mejia Leonardo</v>
      </c>
      <c r="G391" s="4" t="str">
        <f>IF(Jugadores!B391="","",Jugadores!A391)</f>
        <v>Atlante</v>
      </c>
      <c r="H391" s="4">
        <f>IF(F391="","",SUMIF('Estadísticas Jugadores'!$F$2:$F$7001,F391,'Estadísticas Jugadores'!$L$2:$L$7001))</f>
        <v>0</v>
      </c>
      <c r="I391" s="4">
        <f t="shared" si="33"/>
        <v>-3.9099999999999995E-5</v>
      </c>
      <c r="J391" s="4">
        <f t="shared" si="34"/>
        <v>399</v>
      </c>
    </row>
    <row r="392" spans="1:10" ht="15" customHeight="1" x14ac:dyDescent="0.25">
      <c r="A392" s="8">
        <f>IF(COUNT($J$2:$J$1501)&gt;=391,391,"")</f>
        <v>391</v>
      </c>
      <c r="B392" s="8" t="str">
        <f t="shared" si="30"/>
        <v>Tercero Mendez Eduardo Santiago</v>
      </c>
      <c r="C392" s="8" t="str">
        <f t="shared" si="31"/>
        <v>Atlante</v>
      </c>
      <c r="D392" s="8">
        <f t="shared" si="32"/>
        <v>0</v>
      </c>
      <c r="F392" s="4" t="str">
        <f>IF(Jugadores!B392="","",Jugadores!B392)</f>
        <v>Meza Hardy</v>
      </c>
      <c r="G392" s="4" t="str">
        <f>IF(Jugadores!B392="","",Jugadores!A392)</f>
        <v>Atlante</v>
      </c>
      <c r="H392" s="4">
        <f>IF(F392="","",SUMIF('Estadísticas Jugadores'!$F$2:$F$7001,F392,'Estadísticas Jugadores'!$L$2:$L$7001))</f>
        <v>0</v>
      </c>
      <c r="I392" s="4">
        <f t="shared" si="33"/>
        <v>-3.9199999999999997E-5</v>
      </c>
      <c r="J392" s="4">
        <f t="shared" si="34"/>
        <v>400</v>
      </c>
    </row>
    <row r="393" spans="1:10" ht="15" customHeight="1" x14ac:dyDescent="0.25">
      <c r="A393" s="8">
        <f>IF(COUNT($J$2:$J$1501)&gt;=392,392,"")</f>
        <v>392</v>
      </c>
      <c r="B393" s="8" t="str">
        <f t="shared" si="30"/>
        <v>Bermudez Christian</v>
      </c>
      <c r="C393" s="8" t="str">
        <f t="shared" si="31"/>
        <v>Atlante</v>
      </c>
      <c r="D393" s="8">
        <f t="shared" si="32"/>
        <v>0</v>
      </c>
      <c r="F393" s="4" t="str">
        <f>IF(Jugadores!B393="","",Jugadores!B393)</f>
        <v>Pizzuto Eugenio</v>
      </c>
      <c r="G393" s="4" t="str">
        <f>IF(Jugadores!B393="","",Jugadores!A393)</f>
        <v>Atlante</v>
      </c>
      <c r="H393" s="4">
        <f>IF(F393="","",SUMIF('Estadísticas Jugadores'!$F$2:$F$7001,F393,'Estadísticas Jugadores'!$L$2:$L$7001))</f>
        <v>1</v>
      </c>
      <c r="I393" s="4">
        <f t="shared" si="33"/>
        <v>999.99996069999997</v>
      </c>
      <c r="J393" s="4">
        <f t="shared" si="34"/>
        <v>44</v>
      </c>
    </row>
    <row r="394" spans="1:10" ht="15" customHeight="1" x14ac:dyDescent="0.25">
      <c r="A394" s="8">
        <f>IF(COUNT($J$2:$J$1501)&gt;=393,393,"")</f>
        <v>393</v>
      </c>
      <c r="B394" s="8" t="str">
        <f t="shared" si="30"/>
        <v>Clar Walter</v>
      </c>
      <c r="C394" s="8" t="str">
        <f t="shared" si="31"/>
        <v>Atlante</v>
      </c>
      <c r="D394" s="8">
        <f t="shared" si="32"/>
        <v>0</v>
      </c>
      <c r="F394" s="4" t="str">
        <f>IF(Jugadores!B394="","",Jugadores!B394)</f>
        <v>Urzua Alejandro</v>
      </c>
      <c r="G394" s="4" t="str">
        <f>IF(Jugadores!B394="","",Jugadores!A394)</f>
        <v>Atlante</v>
      </c>
      <c r="H394" s="4">
        <f>IF(F394="","",SUMIF('Estadísticas Jugadores'!$F$2:$F$7001,F394,'Estadísticas Jugadores'!$L$2:$L$7001))</f>
        <v>0</v>
      </c>
      <c r="I394" s="4">
        <f t="shared" si="33"/>
        <v>-3.9399999999999995E-5</v>
      </c>
      <c r="J394" s="4">
        <f t="shared" si="34"/>
        <v>401</v>
      </c>
    </row>
    <row r="395" spans="1:10" ht="15" customHeight="1" x14ac:dyDescent="0.25">
      <c r="A395" s="8">
        <f>IF(COUNT($J$2:$J$1501)&gt;=394,394,"")</f>
        <v>394</v>
      </c>
      <c r="B395" s="8" t="str">
        <f t="shared" si="30"/>
        <v>Escobar Armando</v>
      </c>
      <c r="C395" s="8" t="str">
        <f t="shared" si="31"/>
        <v>Atlante</v>
      </c>
      <c r="D395" s="8">
        <f t="shared" si="32"/>
        <v>0</v>
      </c>
      <c r="F395" s="4" t="str">
        <f>IF(Jugadores!B395="","",Jugadores!B395)</f>
        <v>Vazquez Octavio</v>
      </c>
      <c r="G395" s="4" t="str">
        <f>IF(Jugadores!B395="","",Jugadores!A395)</f>
        <v>Atlante</v>
      </c>
      <c r="H395" s="4">
        <f>IF(F395="","",SUMIF('Estadísticas Jugadores'!$F$2:$F$7001,F395,'Estadísticas Jugadores'!$L$2:$L$7001))</f>
        <v>0</v>
      </c>
      <c r="I395" s="4">
        <f t="shared" si="33"/>
        <v>-3.9499999999999998E-5</v>
      </c>
      <c r="J395" s="4">
        <f t="shared" si="34"/>
        <v>402</v>
      </c>
    </row>
    <row r="396" spans="1:10" ht="15" customHeight="1" x14ac:dyDescent="0.25">
      <c r="A396" s="8">
        <f>IF(COUNT($J$2:$J$1501)&gt;=395,395,"")</f>
        <v>395</v>
      </c>
      <c r="B396" s="8" t="str">
        <f t="shared" si="30"/>
        <v>Fernández Martin</v>
      </c>
      <c r="C396" s="8" t="str">
        <f t="shared" si="31"/>
        <v>Atlante</v>
      </c>
      <c r="D396" s="8">
        <f t="shared" si="32"/>
        <v>0</v>
      </c>
      <c r="F396" s="4" t="str">
        <f>IF(Jugadores!B396="","",Jugadores!B396)</f>
        <v>Adame Gilberto</v>
      </c>
      <c r="G396" s="4" t="str">
        <f>IF(Jugadores!B396="","",Jugadores!A396)</f>
        <v>Atlante</v>
      </c>
      <c r="H396" s="4">
        <f>IF(F396="","",SUMIF('Estadísticas Jugadores'!$F$2:$F$7001,F396,'Estadísticas Jugadores'!$L$2:$L$7001))</f>
        <v>0</v>
      </c>
      <c r="I396" s="4">
        <f t="shared" si="33"/>
        <v>-3.96E-5</v>
      </c>
      <c r="J396" s="4">
        <f t="shared" si="34"/>
        <v>403</v>
      </c>
    </row>
    <row r="397" spans="1:10" ht="15" customHeight="1" x14ac:dyDescent="0.25">
      <c r="A397" s="8">
        <f>IF(COUNT($J$2:$J$1501)&gt;=396,396,"")</f>
        <v>396</v>
      </c>
      <c r="B397" s="8" t="str">
        <f t="shared" si="30"/>
        <v>Garcia Pardo Maximiliano</v>
      </c>
      <c r="C397" s="8" t="str">
        <f t="shared" si="31"/>
        <v>Atlante</v>
      </c>
      <c r="D397" s="8">
        <f t="shared" si="32"/>
        <v>0</v>
      </c>
      <c r="F397" s="4" t="str">
        <f>IF(Jugadores!B397="","",Jugadores!B397)</f>
        <v>Calzadilla Luis</v>
      </c>
      <c r="G397" s="4" t="str">
        <f>IF(Jugadores!B397="","",Jugadores!A397)</f>
        <v>Atlante</v>
      </c>
      <c r="H397" s="4">
        <f>IF(F397="","",SUMIF('Estadísticas Jugadores'!$F$2:$F$7001,F397,'Estadísticas Jugadores'!$L$2:$L$7001))</f>
        <v>1</v>
      </c>
      <c r="I397" s="4">
        <f t="shared" si="33"/>
        <v>999.9999603</v>
      </c>
      <c r="J397" s="4">
        <f t="shared" si="34"/>
        <v>45</v>
      </c>
    </row>
    <row r="398" spans="1:10" ht="15" customHeight="1" x14ac:dyDescent="0.25">
      <c r="A398" s="8">
        <f>IF(COUNT($J$2:$J$1501)&gt;=397,397,"")</f>
        <v>397</v>
      </c>
      <c r="B398" s="8" t="str">
        <f t="shared" si="30"/>
        <v>Ibarra de la Rosa Javier Eduardo</v>
      </c>
      <c r="C398" s="8" t="str">
        <f t="shared" si="31"/>
        <v>Atlante</v>
      </c>
      <c r="D398" s="8">
        <f t="shared" si="32"/>
        <v>0</v>
      </c>
      <c r="F398" s="4" t="str">
        <f>IF(Jugadores!B398="","",Jugadores!B398)</f>
        <v>Charcopa Jairon</v>
      </c>
      <c r="G398" s="4" t="str">
        <f>IF(Jugadores!B398="","",Jugadores!A398)</f>
        <v>Atlante</v>
      </c>
      <c r="H398" s="4">
        <f>IF(F398="","",SUMIF('Estadísticas Jugadores'!$F$2:$F$7001,F398,'Estadísticas Jugadores'!$L$2:$L$7001))</f>
        <v>0</v>
      </c>
      <c r="I398" s="4">
        <f t="shared" si="33"/>
        <v>-3.9799999999999998E-5</v>
      </c>
      <c r="J398" s="4">
        <f t="shared" si="34"/>
        <v>404</v>
      </c>
    </row>
    <row r="399" spans="1:10" ht="15" customHeight="1" x14ac:dyDescent="0.25">
      <c r="A399" s="8">
        <f>IF(COUNT($J$2:$J$1501)&gt;=398,398,"")</f>
        <v>398</v>
      </c>
      <c r="B399" s="8" t="str">
        <f t="shared" si="30"/>
        <v>Jhojan Julio</v>
      </c>
      <c r="C399" s="8" t="str">
        <f t="shared" si="31"/>
        <v>Atlante</v>
      </c>
      <c r="D399" s="8">
        <f t="shared" si="32"/>
        <v>0</v>
      </c>
      <c r="F399" s="4" t="str">
        <f>IF(Jugadores!B399="","",Jugadores!B399)</f>
        <v>Coubert Ruben</v>
      </c>
      <c r="G399" s="4" t="str">
        <f>IF(Jugadores!B399="","",Jugadores!A399)</f>
        <v>Atlante</v>
      </c>
      <c r="H399" s="4">
        <f>IF(F399="","",SUMIF('Estadísticas Jugadores'!$F$2:$F$7001,F399,'Estadísticas Jugadores'!$L$2:$L$7001))</f>
        <v>0</v>
      </c>
      <c r="I399" s="4">
        <f t="shared" si="33"/>
        <v>-3.9900000000000001E-5</v>
      </c>
      <c r="J399" s="4">
        <f t="shared" si="34"/>
        <v>405</v>
      </c>
    </row>
    <row r="400" spans="1:10" ht="15" customHeight="1" x14ac:dyDescent="0.25">
      <c r="A400" s="8">
        <f>IF(COUNT($J$2:$J$1501)&gt;=399,399,"")</f>
        <v>399</v>
      </c>
      <c r="B400" s="8" t="str">
        <f t="shared" si="30"/>
        <v>Mejia Leonardo</v>
      </c>
      <c r="C400" s="8" t="str">
        <f t="shared" si="31"/>
        <v>Atlante</v>
      </c>
      <c r="D400" s="8">
        <f t="shared" si="32"/>
        <v>0</v>
      </c>
      <c r="F400" s="4" t="str">
        <f>IF(Jugadores!B400="","",Jugadores!B400)</f>
        <v>Gonzalez Daniel</v>
      </c>
      <c r="G400" s="4" t="str">
        <f>IF(Jugadores!B400="","",Jugadores!A400)</f>
        <v>Atlante</v>
      </c>
      <c r="H400" s="4">
        <f>IF(F400="","",SUMIF('Estadísticas Jugadores'!$F$2:$F$7001,F400,'Estadísticas Jugadores'!$L$2:$L$7001))</f>
        <v>0</v>
      </c>
      <c r="I400" s="4">
        <f t="shared" si="33"/>
        <v>-3.9999999999999996E-5</v>
      </c>
      <c r="J400" s="4">
        <f t="shared" si="34"/>
        <v>406</v>
      </c>
    </row>
    <row r="401" spans="1:10" ht="15" customHeight="1" x14ac:dyDescent="0.25">
      <c r="A401" s="8">
        <f>IF(COUNT($J$2:$J$1501)&gt;=400,400,"")</f>
        <v>400</v>
      </c>
      <c r="B401" s="8" t="str">
        <f t="shared" si="30"/>
        <v>Meza Hardy</v>
      </c>
      <c r="C401" s="8" t="str">
        <f t="shared" si="31"/>
        <v>Atlante</v>
      </c>
      <c r="D401" s="8">
        <f t="shared" si="32"/>
        <v>0</v>
      </c>
      <c r="F401" s="4" t="str">
        <f>IF(Jugadores!B401="","",Jugadores!B401)</f>
        <v>Jimenez Edgar</v>
      </c>
      <c r="G401" s="4" t="str">
        <f>IF(Jugadores!B401="","",Jugadores!A401)</f>
        <v>Atlante</v>
      </c>
      <c r="H401" s="4">
        <f>IF(F401="","",SUMIF('Estadísticas Jugadores'!$F$2:$F$7001,F401,'Estadísticas Jugadores'!$L$2:$L$7001))</f>
        <v>0</v>
      </c>
      <c r="I401" s="4">
        <f t="shared" si="33"/>
        <v>-4.0099999999999999E-5</v>
      </c>
      <c r="J401" s="4">
        <f t="shared" si="34"/>
        <v>407</v>
      </c>
    </row>
    <row r="402" spans="1:10" ht="15" customHeight="1" x14ac:dyDescent="0.25">
      <c r="A402" s="8">
        <f>IF(COUNT($J$2:$J$1501)&gt;=401,401,"")</f>
        <v>401</v>
      </c>
      <c r="B402" s="8" t="str">
        <f t="shared" si="30"/>
        <v>Urzua Alejandro</v>
      </c>
      <c r="C402" s="8" t="str">
        <f t="shared" si="31"/>
        <v>Atlante</v>
      </c>
      <c r="D402" s="8">
        <f t="shared" si="32"/>
        <v>0</v>
      </c>
      <c r="F402" s="4" t="str">
        <f>IF(Jugadores!B402="","",Jugadores!B402)</f>
        <v>Moxica Roberto</v>
      </c>
      <c r="G402" s="4" t="str">
        <f>IF(Jugadores!B402="","",Jugadores!A402)</f>
        <v>Atlante</v>
      </c>
      <c r="H402" s="4">
        <f>IF(F402="","",SUMIF('Estadísticas Jugadores'!$F$2:$F$7001,F402,'Estadísticas Jugadores'!$L$2:$L$7001))</f>
        <v>0</v>
      </c>
      <c r="I402" s="4">
        <f t="shared" si="33"/>
        <v>-4.0200000000000001E-5</v>
      </c>
      <c r="J402" s="4">
        <f t="shared" si="34"/>
        <v>408</v>
      </c>
    </row>
    <row r="403" spans="1:10" ht="15" customHeight="1" x14ac:dyDescent="0.25">
      <c r="A403" s="8">
        <f>IF(COUNT($J$2:$J$1501)&gt;=402,402,"")</f>
        <v>402</v>
      </c>
      <c r="B403" s="8" t="str">
        <f t="shared" si="30"/>
        <v>Vazquez Octavio</v>
      </c>
      <c r="C403" s="8" t="str">
        <f t="shared" si="31"/>
        <v>Atlante</v>
      </c>
      <c r="D403" s="8">
        <f t="shared" si="32"/>
        <v>0</v>
      </c>
      <c r="F403" s="4" t="str">
        <f>IF(Jugadores!B403="","",Jugadores!B403)</f>
        <v>Puente Luis</v>
      </c>
      <c r="G403" s="4" t="str">
        <f>IF(Jugadores!B403="","",Jugadores!A403)</f>
        <v>Atlante</v>
      </c>
      <c r="H403" s="4">
        <f>IF(F403="","",SUMIF('Estadísticas Jugadores'!$F$2:$F$7001,F403,'Estadísticas Jugadores'!$L$2:$L$7001))</f>
        <v>1</v>
      </c>
      <c r="I403" s="4">
        <f t="shared" si="33"/>
        <v>999.99995969999998</v>
      </c>
      <c r="J403" s="4">
        <f t="shared" si="34"/>
        <v>46</v>
      </c>
    </row>
    <row r="404" spans="1:10" ht="15" customHeight="1" x14ac:dyDescent="0.25">
      <c r="A404" s="8">
        <f>IF(COUNT($J$2:$J$1501)&gt;=403,403,"")</f>
        <v>403</v>
      </c>
      <c r="B404" s="8" t="str">
        <f t="shared" si="30"/>
        <v>Adame Gilberto</v>
      </c>
      <c r="C404" s="8" t="str">
        <f t="shared" si="31"/>
        <v>Atlante</v>
      </c>
      <c r="D404" s="8">
        <f t="shared" si="32"/>
        <v>0</v>
      </c>
      <c r="F404" s="4" t="str">
        <f>IF(Jugadores!B404="","",Jugadores!B404)</f>
        <v>Allison Revuelta Guillermo</v>
      </c>
      <c r="G404" s="4" t="str">
        <f>IF(Jugadores!B404="","",Jugadores!A404)</f>
        <v>Querétaro</v>
      </c>
      <c r="H404" s="4">
        <f>IF(F404="","",SUMIF('Estadísticas Jugadores'!$F$2:$F$7001,F404,'Estadísticas Jugadores'!$L$2:$L$7001))</f>
        <v>0</v>
      </c>
      <c r="I404" s="4">
        <f t="shared" si="33"/>
        <v>-4.0399999999999999E-5</v>
      </c>
      <c r="J404" s="4">
        <f t="shared" si="34"/>
        <v>409</v>
      </c>
    </row>
    <row r="405" spans="1:10" ht="15" customHeight="1" x14ac:dyDescent="0.25">
      <c r="A405" s="8">
        <f>IF(COUNT($J$2:$J$1501)&gt;=404,404,"")</f>
        <v>404</v>
      </c>
      <c r="B405" s="8" t="str">
        <f t="shared" si="30"/>
        <v>Charcopa Jairon</v>
      </c>
      <c r="C405" s="8" t="str">
        <f t="shared" si="31"/>
        <v>Atlante</v>
      </c>
      <c r="D405" s="8">
        <f t="shared" si="32"/>
        <v>0</v>
      </c>
      <c r="F405" s="4" t="str">
        <f>IF(Jugadores!B405="","",Jugadores!B405)</f>
        <v>Hernandez Jose</v>
      </c>
      <c r="G405" s="4" t="str">
        <f>IF(Jugadores!B405="","",Jugadores!A405)</f>
        <v>Querétaro</v>
      </c>
      <c r="H405" s="4">
        <f>IF(F405="","",SUMIF('Estadísticas Jugadores'!$F$2:$F$7001,F405,'Estadísticas Jugadores'!$L$2:$L$7001))</f>
        <v>0</v>
      </c>
      <c r="I405" s="4">
        <f t="shared" si="33"/>
        <v>-4.0499999999999995E-5</v>
      </c>
      <c r="J405" s="4">
        <f t="shared" si="34"/>
        <v>410</v>
      </c>
    </row>
    <row r="406" spans="1:10" ht="15" customHeight="1" x14ac:dyDescent="0.25">
      <c r="A406" s="8">
        <f>IF(COUNT($J$2:$J$1501)&gt;=405,405,"")</f>
        <v>405</v>
      </c>
      <c r="B406" s="8" t="str">
        <f t="shared" si="30"/>
        <v>Coubert Ruben</v>
      </c>
      <c r="C406" s="8" t="str">
        <f t="shared" si="31"/>
        <v>Atlante</v>
      </c>
      <c r="D406" s="8">
        <f t="shared" si="32"/>
        <v>0</v>
      </c>
      <c r="F406" s="4" t="str">
        <f>IF(Jugadores!B406="","",Jugadores!B406)</f>
        <v>Abascia Lucas</v>
      </c>
      <c r="G406" s="4" t="str">
        <f>IF(Jugadores!B406="","",Jugadores!A406)</f>
        <v>Querétaro</v>
      </c>
      <c r="H406" s="4">
        <f>IF(F406="","",SUMIF('Estadísticas Jugadores'!$F$2:$F$7001,F406,'Estadísticas Jugadores'!$L$2:$L$7001))</f>
        <v>0</v>
      </c>
      <c r="I406" s="4">
        <f t="shared" si="33"/>
        <v>-4.0599999999999998E-5</v>
      </c>
      <c r="J406" s="4">
        <f t="shared" si="34"/>
        <v>411</v>
      </c>
    </row>
    <row r="407" spans="1:10" ht="15" customHeight="1" x14ac:dyDescent="0.25">
      <c r="A407" s="8">
        <f>IF(COUNT($J$2:$J$1501)&gt;=406,406,"")</f>
        <v>406</v>
      </c>
      <c r="B407" s="8" t="str">
        <f t="shared" si="30"/>
        <v>Gonzalez Daniel</v>
      </c>
      <c r="C407" s="8" t="str">
        <f t="shared" si="31"/>
        <v>Atlante</v>
      </c>
      <c r="D407" s="8">
        <f t="shared" si="32"/>
        <v>0</v>
      </c>
      <c r="F407" s="4" t="str">
        <f>IF(Jugadores!B407="","",Jugadores!B407)</f>
        <v>Duarte Bayron</v>
      </c>
      <c r="G407" s="4" t="str">
        <f>IF(Jugadores!B407="","",Jugadores!A407)</f>
        <v>Querétaro</v>
      </c>
      <c r="H407" s="4">
        <f>IF(F407="","",SUMIF('Estadísticas Jugadores'!$F$2:$F$7001,F407,'Estadísticas Jugadores'!$L$2:$L$7001))</f>
        <v>0</v>
      </c>
      <c r="I407" s="4">
        <f t="shared" si="33"/>
        <v>-4.07E-5</v>
      </c>
      <c r="J407" s="4">
        <f t="shared" si="34"/>
        <v>412</v>
      </c>
    </row>
    <row r="408" spans="1:10" ht="15" customHeight="1" x14ac:dyDescent="0.25">
      <c r="A408" s="8">
        <f>IF(COUNT($J$2:$J$1501)&gt;=407,407,"")</f>
        <v>407</v>
      </c>
      <c r="B408" s="8" t="str">
        <f t="shared" si="30"/>
        <v>Jimenez Edgar</v>
      </c>
      <c r="C408" s="8" t="str">
        <f t="shared" si="31"/>
        <v>Atlante</v>
      </c>
      <c r="D408" s="8">
        <f t="shared" si="32"/>
        <v>0</v>
      </c>
      <c r="F408" s="4" t="str">
        <f>IF(Jugadores!B408="","",Jugadores!B408)</f>
        <v>Parra Daniel</v>
      </c>
      <c r="G408" s="4" t="str">
        <f>IF(Jugadores!B408="","",Jugadores!A408)</f>
        <v>Querétaro</v>
      </c>
      <c r="H408" s="4">
        <f>IF(F408="","",SUMIF('Estadísticas Jugadores'!$F$2:$F$7001,F408,'Estadísticas Jugadores'!$L$2:$L$7001))</f>
        <v>0</v>
      </c>
      <c r="I408" s="4">
        <f t="shared" si="33"/>
        <v>-4.0799999999999996E-5</v>
      </c>
      <c r="J408" s="4">
        <f t="shared" si="34"/>
        <v>413</v>
      </c>
    </row>
    <row r="409" spans="1:10" ht="15" customHeight="1" x14ac:dyDescent="0.25">
      <c r="A409" s="8">
        <f>IF(COUNT($J$2:$J$1501)&gt;=408,408,"")</f>
        <v>408</v>
      </c>
      <c r="B409" s="8" t="str">
        <f t="shared" si="30"/>
        <v>Moxica Roberto</v>
      </c>
      <c r="C409" s="8" t="str">
        <f t="shared" si="31"/>
        <v>Atlante</v>
      </c>
      <c r="D409" s="8">
        <f t="shared" si="32"/>
        <v>0</v>
      </c>
      <c r="F409" s="4" t="str">
        <f>IF(Jugadores!B409="","",Jugadores!B409)</f>
        <v>Paulo Victor</v>
      </c>
      <c r="G409" s="4" t="str">
        <f>IF(Jugadores!B409="","",Jugadores!A409)</f>
        <v>Querétaro</v>
      </c>
      <c r="H409" s="4">
        <f>IF(F409="","",SUMIF('Estadísticas Jugadores'!$F$2:$F$7001,F409,'Estadísticas Jugadores'!$L$2:$L$7001))</f>
        <v>0</v>
      </c>
      <c r="I409" s="4">
        <f t="shared" si="33"/>
        <v>-4.0899999999999998E-5</v>
      </c>
      <c r="J409" s="4">
        <f t="shared" si="34"/>
        <v>414</v>
      </c>
    </row>
    <row r="410" spans="1:10" ht="15" customHeight="1" x14ac:dyDescent="0.25">
      <c r="A410" s="8">
        <f>IF(COUNT($J$2:$J$1501)&gt;=409,409,"")</f>
        <v>409</v>
      </c>
      <c r="B410" s="8" t="str">
        <f t="shared" si="30"/>
        <v>Allison Revuelta Guillermo</v>
      </c>
      <c r="C410" s="8" t="str">
        <f t="shared" si="31"/>
        <v>Querétaro</v>
      </c>
      <c r="D410" s="8">
        <f t="shared" si="32"/>
        <v>0</v>
      </c>
      <c r="F410" s="4" t="str">
        <f>IF(Jugadores!B410="","",Jugadores!B410)</f>
        <v>Reyes Diego</v>
      </c>
      <c r="G410" s="4" t="str">
        <f>IF(Jugadores!B410="","",Jugadores!A410)</f>
        <v>Querétaro</v>
      </c>
      <c r="H410" s="4">
        <f>IF(F410="","",SUMIF('Estadísticas Jugadores'!$F$2:$F$7001,F410,'Estadísticas Jugadores'!$L$2:$L$7001))</f>
        <v>0</v>
      </c>
      <c r="I410" s="4">
        <f t="shared" si="33"/>
        <v>-4.1E-5</v>
      </c>
      <c r="J410" s="4">
        <f t="shared" si="34"/>
        <v>415</v>
      </c>
    </row>
    <row r="411" spans="1:10" ht="15" customHeight="1" x14ac:dyDescent="0.25">
      <c r="A411" s="8">
        <f>IF(COUNT($J$2:$J$1501)&gt;=410,410,"")</f>
        <v>410</v>
      </c>
      <c r="B411" s="8" t="str">
        <f t="shared" si="30"/>
        <v>Hernandez Jose</v>
      </c>
      <c r="C411" s="8" t="str">
        <f t="shared" si="31"/>
        <v>Querétaro</v>
      </c>
      <c r="D411" s="8">
        <f t="shared" si="32"/>
        <v>0</v>
      </c>
      <c r="F411" s="4" t="str">
        <f>IF(Jugadores!B411="","",Jugadores!B411)</f>
        <v>Villanueva Lopez Carlos Octavio</v>
      </c>
      <c r="G411" s="4" t="str">
        <f>IF(Jugadores!B411="","",Jugadores!A411)</f>
        <v>Querétaro</v>
      </c>
      <c r="H411" s="4">
        <f>IF(F411="","",SUMIF('Estadísticas Jugadores'!$F$2:$F$7001,F411,'Estadísticas Jugadores'!$L$2:$L$7001))</f>
        <v>0</v>
      </c>
      <c r="I411" s="4">
        <f t="shared" si="33"/>
        <v>-4.1099999999999996E-5</v>
      </c>
      <c r="J411" s="4">
        <f t="shared" si="34"/>
        <v>416</v>
      </c>
    </row>
    <row r="412" spans="1:10" ht="15" customHeight="1" x14ac:dyDescent="0.25">
      <c r="A412" s="8">
        <f>IF(COUNT($J$2:$J$1501)&gt;=411,411,"")</f>
        <v>411</v>
      </c>
      <c r="B412" s="8" t="str">
        <f t="shared" si="30"/>
        <v>Abascia Lucas</v>
      </c>
      <c r="C412" s="8" t="str">
        <f t="shared" si="31"/>
        <v>Querétaro</v>
      </c>
      <c r="D412" s="8">
        <f t="shared" si="32"/>
        <v>0</v>
      </c>
      <c r="F412" s="4" t="str">
        <f>IF(Jugadores!B412="","",Jugadores!B412)</f>
        <v>Alcalá Alex</v>
      </c>
      <c r="G412" s="4" t="str">
        <f>IF(Jugadores!B412="","",Jugadores!A412)</f>
        <v>Querétaro</v>
      </c>
      <c r="H412" s="4">
        <f>IF(F412="","",SUMIF('Estadísticas Jugadores'!$F$2:$F$7001,F412,'Estadísticas Jugadores'!$L$2:$L$7001))</f>
        <v>0</v>
      </c>
      <c r="I412" s="4">
        <f t="shared" si="33"/>
        <v>-4.1199999999999999E-5</v>
      </c>
      <c r="J412" s="4">
        <f t="shared" si="34"/>
        <v>417</v>
      </c>
    </row>
    <row r="413" spans="1:10" ht="15" customHeight="1" x14ac:dyDescent="0.25">
      <c r="A413" s="8">
        <f>IF(COUNT($J$2:$J$1501)&gt;=412,412,"")</f>
        <v>412</v>
      </c>
      <c r="B413" s="8" t="str">
        <f t="shared" si="30"/>
        <v>Duarte Bayron</v>
      </c>
      <c r="C413" s="8" t="str">
        <f t="shared" si="31"/>
        <v>Querétaro</v>
      </c>
      <c r="D413" s="8">
        <f t="shared" si="32"/>
        <v>0</v>
      </c>
      <c r="F413" s="4" t="str">
        <f>IF(Jugadores!B413="","",Jugadores!B413)</f>
        <v>Arellano Jesús</v>
      </c>
      <c r="G413" s="4" t="str">
        <f>IF(Jugadores!B413="","",Jugadores!A413)</f>
        <v>Querétaro</v>
      </c>
      <c r="H413" s="4">
        <f>IF(F413="","",SUMIF('Estadísticas Jugadores'!$F$2:$F$7001,F413,'Estadísticas Jugadores'!$L$2:$L$7001))</f>
        <v>0</v>
      </c>
      <c r="I413" s="4">
        <f t="shared" si="33"/>
        <v>-4.1300000000000001E-5</v>
      </c>
      <c r="J413" s="4">
        <f t="shared" si="34"/>
        <v>418</v>
      </c>
    </row>
    <row r="414" spans="1:10" ht="15" customHeight="1" x14ac:dyDescent="0.25">
      <c r="A414" s="8">
        <f>IF(COUNT($J$2:$J$1501)&gt;=413,413,"")</f>
        <v>413</v>
      </c>
      <c r="B414" s="8" t="str">
        <f t="shared" si="30"/>
        <v>Parra Daniel</v>
      </c>
      <c r="C414" s="8" t="str">
        <f t="shared" si="31"/>
        <v>Querétaro</v>
      </c>
      <c r="D414" s="8">
        <f t="shared" si="32"/>
        <v>0</v>
      </c>
      <c r="F414" s="4" t="str">
        <f>IF(Jugadores!B414="","",Jugadores!B414)</f>
        <v>Cazares Juan</v>
      </c>
      <c r="G414" s="4" t="str">
        <f>IF(Jugadores!B414="","",Jugadores!A414)</f>
        <v>Querétaro</v>
      </c>
      <c r="H414" s="4">
        <f>IF(F414="","",SUMIF('Estadísticas Jugadores'!$F$2:$F$7001,F414,'Estadísticas Jugadores'!$L$2:$L$7001))</f>
        <v>0</v>
      </c>
      <c r="I414" s="4">
        <f t="shared" si="33"/>
        <v>-4.1399999999999997E-5</v>
      </c>
      <c r="J414" s="4">
        <f t="shared" si="34"/>
        <v>419</v>
      </c>
    </row>
    <row r="415" spans="1:10" ht="15" customHeight="1" x14ac:dyDescent="0.25">
      <c r="A415" s="8">
        <f>IF(COUNT($J$2:$J$1501)&gt;=414,414,"")</f>
        <v>414</v>
      </c>
      <c r="B415" s="8" t="str">
        <f t="shared" si="30"/>
        <v>Paulo Victor</v>
      </c>
      <c r="C415" s="8" t="str">
        <f t="shared" si="31"/>
        <v>Querétaro</v>
      </c>
      <c r="D415" s="8">
        <f t="shared" si="32"/>
        <v>0</v>
      </c>
      <c r="F415" s="4" t="str">
        <f>IF(Jugadores!B415="","",Jugadores!B415)</f>
        <v>Dueñas Erik</v>
      </c>
      <c r="G415" s="4" t="str">
        <f>IF(Jugadores!B415="","",Jugadores!A415)</f>
        <v>Querétaro</v>
      </c>
      <c r="H415" s="4">
        <f>IF(F415="","",SUMIF('Estadísticas Jugadores'!$F$2:$F$7001,F415,'Estadísticas Jugadores'!$L$2:$L$7001))</f>
        <v>0</v>
      </c>
      <c r="I415" s="4">
        <f t="shared" si="33"/>
        <v>-4.1499999999999999E-5</v>
      </c>
      <c r="J415" s="4">
        <f t="shared" si="34"/>
        <v>420</v>
      </c>
    </row>
    <row r="416" spans="1:10" ht="15" customHeight="1" x14ac:dyDescent="0.25">
      <c r="A416" s="8">
        <f>IF(COUNT($J$2:$J$1501)&gt;=415,415,"")</f>
        <v>415</v>
      </c>
      <c r="B416" s="8" t="str">
        <f t="shared" si="30"/>
        <v>Reyes Diego</v>
      </c>
      <c r="C416" s="8" t="str">
        <f t="shared" si="31"/>
        <v>Querétaro</v>
      </c>
      <c r="D416" s="8">
        <f t="shared" si="32"/>
        <v>0</v>
      </c>
      <c r="F416" s="4" t="str">
        <f>IF(Jugadores!B416="","",Jugadores!B416)</f>
        <v>Garcia Sergio</v>
      </c>
      <c r="G416" s="4" t="str">
        <f>IF(Jugadores!B416="","",Jugadores!A416)</f>
        <v>Querétaro</v>
      </c>
      <c r="H416" s="4">
        <f>IF(F416="","",SUMIF('Estadísticas Jugadores'!$F$2:$F$7001,F416,'Estadísticas Jugadores'!$L$2:$L$7001))</f>
        <v>0</v>
      </c>
      <c r="I416" s="4">
        <f t="shared" si="33"/>
        <v>-4.1599999999999995E-5</v>
      </c>
      <c r="J416" s="4">
        <f t="shared" si="34"/>
        <v>421</v>
      </c>
    </row>
    <row r="417" spans="1:10" ht="15" customHeight="1" x14ac:dyDescent="0.25">
      <c r="A417" s="8">
        <f>IF(COUNT($J$2:$J$1501)&gt;=416,416,"")</f>
        <v>416</v>
      </c>
      <c r="B417" s="8" t="str">
        <f t="shared" si="30"/>
        <v>Villanueva Lopez Carlos Octavio</v>
      </c>
      <c r="C417" s="8" t="str">
        <f t="shared" si="31"/>
        <v>Querétaro</v>
      </c>
      <c r="D417" s="8">
        <f t="shared" si="32"/>
        <v>0</v>
      </c>
      <c r="F417" s="4" t="str">
        <f>IF(Jugadores!B417="","",Jugadores!B417)</f>
        <v>García Carlo</v>
      </c>
      <c r="G417" s="4" t="str">
        <f>IF(Jugadores!B417="","",Jugadores!A417)</f>
        <v>Querétaro</v>
      </c>
      <c r="H417" s="4">
        <f>IF(F417="","",SUMIF('Estadísticas Jugadores'!$F$2:$F$7001,F417,'Estadísticas Jugadores'!$L$2:$L$7001))</f>
        <v>0</v>
      </c>
      <c r="I417" s="4">
        <f t="shared" si="33"/>
        <v>-4.1699999999999997E-5</v>
      </c>
      <c r="J417" s="4">
        <f t="shared" si="34"/>
        <v>422</v>
      </c>
    </row>
    <row r="418" spans="1:10" ht="15" customHeight="1" x14ac:dyDescent="0.25">
      <c r="A418" s="8">
        <f>IF(COUNT($J$2:$J$1501)&gt;=417,417,"")</f>
        <v>417</v>
      </c>
      <c r="B418" s="8" t="str">
        <f t="shared" si="30"/>
        <v>Alcalá Alex</v>
      </c>
      <c r="C418" s="8" t="str">
        <f t="shared" si="31"/>
        <v>Querétaro</v>
      </c>
      <c r="D418" s="8">
        <f t="shared" si="32"/>
        <v>0</v>
      </c>
      <c r="F418" s="4" t="str">
        <f>IF(Jugadores!B418="","",Jugadores!B418)</f>
        <v>Gimenez Enzo Daniel</v>
      </c>
      <c r="G418" s="4" t="str">
        <f>IF(Jugadores!B418="","",Jugadores!A418)</f>
        <v>Querétaro</v>
      </c>
      <c r="H418" s="4">
        <f>IF(F418="","",SUMIF('Estadísticas Jugadores'!$F$2:$F$7001,F418,'Estadísticas Jugadores'!$L$2:$L$7001))</f>
        <v>0</v>
      </c>
      <c r="I418" s="4">
        <f t="shared" si="33"/>
        <v>-4.18E-5</v>
      </c>
      <c r="J418" s="4">
        <f t="shared" si="34"/>
        <v>423</v>
      </c>
    </row>
    <row r="419" spans="1:10" ht="15" customHeight="1" x14ac:dyDescent="0.25">
      <c r="A419" s="8">
        <f>IF(COUNT($J$2:$J$1501)&gt;=418,418,"")</f>
        <v>418</v>
      </c>
      <c r="B419" s="8" t="str">
        <f t="shared" si="30"/>
        <v>Arellano Jesús</v>
      </c>
      <c r="C419" s="8" t="str">
        <f t="shared" si="31"/>
        <v>Querétaro</v>
      </c>
      <c r="D419" s="8">
        <f t="shared" si="32"/>
        <v>0</v>
      </c>
      <c r="F419" s="4" t="str">
        <f>IF(Jugadores!B419="","",Jugadores!B419)</f>
        <v>Homenchenko Santiago</v>
      </c>
      <c r="G419" s="4" t="str">
        <f>IF(Jugadores!B419="","",Jugadores!A419)</f>
        <v>Querétaro</v>
      </c>
      <c r="H419" s="4">
        <f>IF(F419="","",SUMIF('Estadísticas Jugadores'!$F$2:$F$7001,F419,'Estadísticas Jugadores'!$L$2:$L$7001))</f>
        <v>0</v>
      </c>
      <c r="I419" s="4">
        <f t="shared" si="33"/>
        <v>-4.1899999999999995E-5</v>
      </c>
      <c r="J419" s="4">
        <f t="shared" si="34"/>
        <v>424</v>
      </c>
    </row>
    <row r="420" spans="1:10" ht="15" customHeight="1" x14ac:dyDescent="0.25">
      <c r="A420" s="8">
        <f>IF(COUNT($J$2:$J$1501)&gt;=419,419,"")</f>
        <v>419</v>
      </c>
      <c r="B420" s="8" t="str">
        <f t="shared" si="30"/>
        <v>Cazares Juan</v>
      </c>
      <c r="C420" s="8" t="str">
        <f t="shared" si="31"/>
        <v>Querétaro</v>
      </c>
      <c r="D420" s="8">
        <f t="shared" si="32"/>
        <v>0</v>
      </c>
      <c r="F420" s="4" t="str">
        <f>IF(Jugadores!B420="","",Jugadores!B420)</f>
        <v>Madrid Waldo</v>
      </c>
      <c r="G420" s="4" t="str">
        <f>IF(Jugadores!B420="","",Jugadores!A420)</f>
        <v>Querétaro</v>
      </c>
      <c r="H420" s="4">
        <f>IF(F420="","",SUMIF('Estadísticas Jugadores'!$F$2:$F$7001,F420,'Estadísticas Jugadores'!$L$2:$L$7001))</f>
        <v>0</v>
      </c>
      <c r="I420" s="4">
        <f t="shared" si="33"/>
        <v>-4.1999999999999998E-5</v>
      </c>
      <c r="J420" s="4">
        <f t="shared" si="34"/>
        <v>425</v>
      </c>
    </row>
    <row r="421" spans="1:10" ht="15" customHeight="1" x14ac:dyDescent="0.25">
      <c r="A421" s="8">
        <f>IF(COUNT($J$2:$J$1501)&gt;=420,420,"")</f>
        <v>420</v>
      </c>
      <c r="B421" s="8" t="str">
        <f t="shared" si="30"/>
        <v>Dueñas Erik</v>
      </c>
      <c r="C421" s="8" t="str">
        <f t="shared" si="31"/>
        <v>Querétaro</v>
      </c>
      <c r="D421" s="8">
        <f t="shared" si="32"/>
        <v>0</v>
      </c>
      <c r="F421" s="4" t="str">
        <f>IF(Jugadores!B421="","",Jugadores!B421)</f>
        <v>Martinez Juan</v>
      </c>
      <c r="G421" s="4" t="str">
        <f>IF(Jugadores!B421="","",Jugadores!A421)</f>
        <v>Querétaro</v>
      </c>
      <c r="H421" s="4">
        <f>IF(F421="","",SUMIF('Estadísticas Jugadores'!$F$2:$F$7001,F421,'Estadísticas Jugadores'!$L$2:$L$7001))</f>
        <v>0</v>
      </c>
      <c r="I421" s="4">
        <f t="shared" si="33"/>
        <v>-4.21E-5</v>
      </c>
      <c r="J421" s="4">
        <f t="shared" si="34"/>
        <v>426</v>
      </c>
    </row>
    <row r="422" spans="1:10" ht="15" customHeight="1" x14ac:dyDescent="0.25">
      <c r="A422" s="8">
        <f>IF(COUNT($J$2:$J$1501)&gt;=421,421,"")</f>
        <v>421</v>
      </c>
      <c r="B422" s="8" t="str">
        <f t="shared" si="30"/>
        <v>Garcia Sergio</v>
      </c>
      <c r="C422" s="8" t="str">
        <f t="shared" si="31"/>
        <v>Querétaro</v>
      </c>
      <c r="D422" s="8">
        <f t="shared" si="32"/>
        <v>0</v>
      </c>
      <c r="F422" s="4" t="str">
        <f>IF(Jugadores!B422="","",Jugadores!B422)</f>
        <v>Parra Bernardo</v>
      </c>
      <c r="G422" s="4" t="str">
        <f>IF(Jugadores!B422="","",Jugadores!A422)</f>
        <v>Querétaro</v>
      </c>
      <c r="H422" s="4">
        <f>IF(F422="","",SUMIF('Estadísticas Jugadores'!$F$2:$F$7001,F422,'Estadísticas Jugadores'!$L$2:$L$7001))</f>
        <v>0</v>
      </c>
      <c r="I422" s="4">
        <f t="shared" si="33"/>
        <v>-4.2199999999999996E-5</v>
      </c>
      <c r="J422" s="4">
        <f t="shared" si="34"/>
        <v>427</v>
      </c>
    </row>
    <row r="423" spans="1:10" ht="15" customHeight="1" x14ac:dyDescent="0.25">
      <c r="A423" s="8">
        <f>IF(COUNT($J$2:$J$1501)&gt;=422,422,"")</f>
        <v>422</v>
      </c>
      <c r="B423" s="8" t="str">
        <f t="shared" si="30"/>
        <v>García Carlo</v>
      </c>
      <c r="C423" s="8" t="str">
        <f t="shared" si="31"/>
        <v>Querétaro</v>
      </c>
      <c r="D423" s="8">
        <f t="shared" si="32"/>
        <v>0</v>
      </c>
      <c r="F423" s="4" t="str">
        <f>IF(Jugadores!B423="","",Jugadores!B423)</f>
        <v>Unjanque Jean</v>
      </c>
      <c r="G423" s="4" t="str">
        <f>IF(Jugadores!B423="","",Jugadores!A423)</f>
        <v>Querétaro</v>
      </c>
      <c r="H423" s="4">
        <f>IF(F423="","",SUMIF('Estadísticas Jugadores'!$F$2:$F$7001,F423,'Estadísticas Jugadores'!$L$2:$L$7001))</f>
        <v>0</v>
      </c>
      <c r="I423" s="4">
        <f t="shared" si="33"/>
        <v>-4.2299999999999998E-5</v>
      </c>
      <c r="J423" s="4">
        <f t="shared" si="34"/>
        <v>428</v>
      </c>
    </row>
    <row r="424" spans="1:10" ht="15" customHeight="1" x14ac:dyDescent="0.25">
      <c r="A424" s="8">
        <f>IF(COUNT($J$2:$J$1501)&gt;=423,423,"")</f>
        <v>423</v>
      </c>
      <c r="B424" s="8" t="str">
        <f t="shared" si="30"/>
        <v>Gimenez Enzo Daniel</v>
      </c>
      <c r="C424" s="8" t="str">
        <f t="shared" si="31"/>
        <v>Querétaro</v>
      </c>
      <c r="D424" s="8">
        <f t="shared" si="32"/>
        <v>0</v>
      </c>
      <c r="F424" s="4" t="str">
        <f>IF(Jugadores!B424="","",Jugadores!B424)</f>
        <v>Avila Ali</v>
      </c>
      <c r="G424" s="4" t="str">
        <f>IF(Jugadores!B424="","",Jugadores!A424)</f>
        <v>Querétaro</v>
      </c>
      <c r="H424" s="4">
        <f>IF(F424="","",SUMIF('Estadísticas Jugadores'!$F$2:$F$7001,F424,'Estadísticas Jugadores'!$L$2:$L$7001))</f>
        <v>1</v>
      </c>
      <c r="I424" s="4">
        <f t="shared" si="33"/>
        <v>999.99995760000002</v>
      </c>
      <c r="J424" s="4">
        <f t="shared" si="34"/>
        <v>47</v>
      </c>
    </row>
    <row r="425" spans="1:10" ht="15" customHeight="1" x14ac:dyDescent="0.25">
      <c r="A425" s="8">
        <f>IF(COUNT($J$2:$J$1501)&gt;=424,424,"")</f>
        <v>424</v>
      </c>
      <c r="B425" s="8" t="str">
        <f t="shared" si="30"/>
        <v>Homenchenko Santiago</v>
      </c>
      <c r="C425" s="8" t="str">
        <f t="shared" si="31"/>
        <v>Querétaro</v>
      </c>
      <c r="D425" s="8">
        <f t="shared" si="32"/>
        <v>0</v>
      </c>
      <c r="F425" s="4" t="str">
        <f>IF(Jugadores!B425="","",Jugadores!B425)</f>
        <v>Coronel Mateo</v>
      </c>
      <c r="G425" s="4" t="str">
        <f>IF(Jugadores!B425="","",Jugadores!A425)</f>
        <v>Querétaro</v>
      </c>
      <c r="H425" s="4">
        <f>IF(F425="","",SUMIF('Estadísticas Jugadores'!$F$2:$F$7001,F425,'Estadísticas Jugadores'!$L$2:$L$7001))</f>
        <v>0</v>
      </c>
      <c r="I425" s="4">
        <f t="shared" si="33"/>
        <v>-4.2499999999999996E-5</v>
      </c>
      <c r="J425" s="4">
        <f t="shared" si="34"/>
        <v>429</v>
      </c>
    </row>
    <row r="426" spans="1:10" ht="15" customHeight="1" x14ac:dyDescent="0.25">
      <c r="A426" s="8">
        <f>IF(COUNT($J$2:$J$1501)&gt;=425,425,"")</f>
        <v>425</v>
      </c>
      <c r="B426" s="8" t="str">
        <f t="shared" si="30"/>
        <v>Madrid Waldo</v>
      </c>
      <c r="C426" s="8" t="str">
        <f t="shared" si="31"/>
        <v>Querétaro</v>
      </c>
      <c r="D426" s="8">
        <f t="shared" si="32"/>
        <v>0</v>
      </c>
      <c r="F426" s="4" t="str">
        <f>IF(Jugadores!B426="","",Jugadores!B426)</f>
        <v>Perez Eduardo</v>
      </c>
      <c r="G426" s="4" t="str">
        <f>IF(Jugadores!B426="","",Jugadores!A426)</f>
        <v>Querétaro</v>
      </c>
      <c r="H426" s="4">
        <f>IF(F426="","",SUMIF('Estadísticas Jugadores'!$F$2:$F$7001,F426,'Estadísticas Jugadores'!$L$2:$L$7001))</f>
        <v>0</v>
      </c>
      <c r="I426" s="4">
        <f t="shared" si="33"/>
        <v>-4.2599999999999999E-5</v>
      </c>
      <c r="J426" s="4">
        <f t="shared" si="34"/>
        <v>430</v>
      </c>
    </row>
    <row r="427" spans="1:10" ht="15" customHeight="1" x14ac:dyDescent="0.25">
      <c r="A427" s="8">
        <f>IF(COUNT($J$2:$J$1501)&gt;=426,426,"")</f>
        <v>426</v>
      </c>
      <c r="B427" s="8" t="str">
        <f t="shared" si="30"/>
        <v>Martinez Juan</v>
      </c>
      <c r="C427" s="8" t="str">
        <f t="shared" si="31"/>
        <v>Querétaro</v>
      </c>
      <c r="D427" s="8">
        <f t="shared" si="32"/>
        <v>0</v>
      </c>
      <c r="F427" s="4" t="str">
        <f>IF(Jugadores!B427="","",Jugadores!B427)</f>
        <v>Robles Carlos</v>
      </c>
      <c r="G427" s="4" t="str">
        <f>IF(Jugadores!B427="","",Jugadores!A427)</f>
        <v>Querétaro</v>
      </c>
      <c r="H427" s="4">
        <f>IF(F427="","",SUMIF('Estadísticas Jugadores'!$F$2:$F$7001,F427,'Estadísticas Jugadores'!$L$2:$L$7001))</f>
        <v>0</v>
      </c>
      <c r="I427" s="4">
        <f t="shared" si="33"/>
        <v>-4.2700000000000001E-5</v>
      </c>
      <c r="J427" s="4">
        <f t="shared" si="34"/>
        <v>431</v>
      </c>
    </row>
    <row r="428" spans="1:10" ht="15" customHeight="1" x14ac:dyDescent="0.25">
      <c r="A428" s="8">
        <f>IF(COUNT($J$2:$J$1501)&gt;=427,427,"")</f>
        <v>427</v>
      </c>
      <c r="B428" s="8" t="str">
        <f t="shared" si="30"/>
        <v>Parra Bernardo</v>
      </c>
      <c r="C428" s="8" t="str">
        <f t="shared" si="31"/>
        <v>Querétaro</v>
      </c>
      <c r="D428" s="8">
        <f t="shared" si="32"/>
        <v>0</v>
      </c>
      <c r="F428" s="4" t="str">
        <f>IF(Jugadores!B428="","",Jugadores!B428)</f>
        <v>Robles Juan</v>
      </c>
      <c r="G428" s="4" t="str">
        <f>IF(Jugadores!B428="","",Jugadores!A428)</f>
        <v>Querétaro</v>
      </c>
      <c r="H428" s="4">
        <f>IF(F428="","",SUMIF('Estadísticas Jugadores'!$F$2:$F$7001,F428,'Estadísticas Jugadores'!$L$2:$L$7001))</f>
        <v>0</v>
      </c>
      <c r="I428" s="4">
        <f t="shared" si="33"/>
        <v>-4.2799999999999997E-5</v>
      </c>
      <c r="J428" s="4">
        <f t="shared" si="34"/>
        <v>432</v>
      </c>
    </row>
    <row r="429" spans="1:10" ht="15" customHeight="1" x14ac:dyDescent="0.25">
      <c r="A429" s="8">
        <f>IF(COUNT($J$2:$J$1501)&gt;=428,428,"")</f>
        <v>428</v>
      </c>
      <c r="B429" s="8" t="str">
        <f t="shared" si="30"/>
        <v>Unjanque Jean</v>
      </c>
      <c r="C429" s="8" t="str">
        <f t="shared" si="31"/>
        <v>Querétaro</v>
      </c>
      <c r="D429" s="8">
        <f t="shared" si="32"/>
        <v>0</v>
      </c>
      <c r="F429" s="4" t="str">
        <f>IF(Jugadores!B429="","",Jugadores!B429)</f>
        <v>Diaz Benny</v>
      </c>
      <c r="G429" s="4" t="str">
        <f>IF(Jugadores!B429="","",Jugadores!A429)</f>
        <v>Juárez</v>
      </c>
      <c r="H429" s="4">
        <f>IF(F429="","",SUMIF('Estadísticas Jugadores'!$F$2:$F$7001,F429,'Estadísticas Jugadores'!$L$2:$L$7001))</f>
        <v>0</v>
      </c>
      <c r="I429" s="4">
        <f t="shared" si="33"/>
        <v>-4.2899999999999999E-5</v>
      </c>
      <c r="J429" s="4">
        <f t="shared" si="34"/>
        <v>433</v>
      </c>
    </row>
    <row r="430" spans="1:10" ht="15" customHeight="1" x14ac:dyDescent="0.25">
      <c r="A430" s="8">
        <f>IF(COUNT($J$2:$J$1501)&gt;=429,429,"")</f>
        <v>429</v>
      </c>
      <c r="B430" s="8" t="str">
        <f t="shared" si="30"/>
        <v>Coronel Mateo</v>
      </c>
      <c r="C430" s="8" t="str">
        <f t="shared" si="31"/>
        <v>Querétaro</v>
      </c>
      <c r="D430" s="8">
        <f t="shared" si="32"/>
        <v>0</v>
      </c>
      <c r="F430" s="4" t="str">
        <f>IF(Jugadores!B430="","",Jugadores!B430)</f>
        <v>Jurado Sebastian</v>
      </c>
      <c r="G430" s="4" t="str">
        <f>IF(Jugadores!B430="","",Jugadores!A430)</f>
        <v>Juárez</v>
      </c>
      <c r="H430" s="4">
        <f>IF(F430="","",SUMIF('Estadísticas Jugadores'!$F$2:$F$7001,F430,'Estadísticas Jugadores'!$L$2:$L$7001))</f>
        <v>0</v>
      </c>
      <c r="I430" s="4">
        <f t="shared" si="33"/>
        <v>-4.2999999999999995E-5</v>
      </c>
      <c r="J430" s="4">
        <f t="shared" si="34"/>
        <v>434</v>
      </c>
    </row>
    <row r="431" spans="1:10" ht="15" customHeight="1" x14ac:dyDescent="0.25">
      <c r="A431" s="8">
        <f>IF(COUNT($J$2:$J$1501)&gt;=430,430,"")</f>
        <v>430</v>
      </c>
      <c r="B431" s="8" t="str">
        <f t="shared" si="30"/>
        <v>Perez Eduardo</v>
      </c>
      <c r="C431" s="8" t="str">
        <f t="shared" si="31"/>
        <v>Querétaro</v>
      </c>
      <c r="D431" s="8">
        <f t="shared" si="32"/>
        <v>0</v>
      </c>
      <c r="F431" s="4" t="str">
        <f>IF(Jugadores!B431="","",Jugadores!B431)</f>
        <v>Ruiz Guillermo</v>
      </c>
      <c r="G431" s="4" t="str">
        <f>IF(Jugadores!B431="","",Jugadores!A431)</f>
        <v>Juárez</v>
      </c>
      <c r="H431" s="4">
        <f>IF(F431="","",SUMIF('Estadísticas Jugadores'!$F$2:$F$7001,F431,'Estadísticas Jugadores'!$L$2:$L$7001))</f>
        <v>0</v>
      </c>
      <c r="I431" s="4">
        <f t="shared" si="33"/>
        <v>-4.3099999999999997E-5</v>
      </c>
      <c r="J431" s="4">
        <f t="shared" si="34"/>
        <v>435</v>
      </c>
    </row>
    <row r="432" spans="1:10" ht="15" customHeight="1" x14ac:dyDescent="0.25">
      <c r="A432" s="8">
        <f>IF(COUNT($J$2:$J$1501)&gt;=431,431,"")</f>
        <v>431</v>
      </c>
      <c r="B432" s="8" t="str">
        <f t="shared" si="30"/>
        <v>Robles Carlos</v>
      </c>
      <c r="C432" s="8" t="str">
        <f t="shared" si="31"/>
        <v>Querétaro</v>
      </c>
      <c r="D432" s="8">
        <f t="shared" si="32"/>
        <v>0</v>
      </c>
      <c r="F432" s="4" t="str">
        <f>IF(Jugadores!B432="","",Jugadores!B432)</f>
        <v>Carmona Luis</v>
      </c>
      <c r="G432" s="4" t="str">
        <f>IF(Jugadores!B432="","",Jugadores!A432)</f>
        <v>Juárez</v>
      </c>
      <c r="H432" s="4">
        <f>IF(F432="","",SUMIF('Estadísticas Jugadores'!$F$2:$F$7001,F432,'Estadísticas Jugadores'!$L$2:$L$7001))</f>
        <v>0</v>
      </c>
      <c r="I432" s="4">
        <f t="shared" si="33"/>
        <v>-4.32E-5</v>
      </c>
      <c r="J432" s="4">
        <f t="shared" si="34"/>
        <v>436</v>
      </c>
    </row>
    <row r="433" spans="1:10" ht="15" customHeight="1" x14ac:dyDescent="0.25">
      <c r="A433" s="8">
        <f>IF(COUNT($J$2:$J$1501)&gt;=432,432,"")</f>
        <v>432</v>
      </c>
      <c r="B433" s="8" t="str">
        <f t="shared" si="30"/>
        <v>Robles Juan</v>
      </c>
      <c r="C433" s="8" t="str">
        <f t="shared" si="31"/>
        <v>Querétaro</v>
      </c>
      <c r="D433" s="8">
        <f t="shared" si="32"/>
        <v>0</v>
      </c>
      <c r="F433" s="4" t="str">
        <f>IF(Jugadores!B433="","",Jugadores!B433)</f>
        <v>López Eder</v>
      </c>
      <c r="G433" s="4" t="str">
        <f>IF(Jugadores!B433="","",Jugadores!A433)</f>
        <v>Juárez</v>
      </c>
      <c r="H433" s="4">
        <f>IF(F433="","",SUMIF('Estadísticas Jugadores'!$F$2:$F$7001,F433,'Estadísticas Jugadores'!$L$2:$L$7001))</f>
        <v>0</v>
      </c>
      <c r="I433" s="4">
        <f t="shared" si="33"/>
        <v>-4.3299999999999995E-5</v>
      </c>
      <c r="J433" s="4">
        <f t="shared" si="34"/>
        <v>437</v>
      </c>
    </row>
    <row r="434" spans="1:10" ht="15" customHeight="1" x14ac:dyDescent="0.25">
      <c r="A434" s="8">
        <f>IF(COUNT($J$2:$J$1501)&gt;=433,433,"")</f>
        <v>433</v>
      </c>
      <c r="B434" s="8" t="str">
        <f t="shared" si="30"/>
        <v>Diaz Benny</v>
      </c>
      <c r="C434" s="8" t="str">
        <f t="shared" si="31"/>
        <v>Juárez</v>
      </c>
      <c r="D434" s="8">
        <f t="shared" si="32"/>
        <v>0</v>
      </c>
      <c r="F434" s="4" t="str">
        <f>IF(Jugadores!B434="","",Jugadores!B434)</f>
        <v>Manriquez Jose</v>
      </c>
      <c r="G434" s="4" t="str">
        <f>IF(Jugadores!B434="","",Jugadores!A434)</f>
        <v>Juárez</v>
      </c>
      <c r="H434" s="4">
        <f>IF(F434="","",SUMIF('Estadísticas Jugadores'!$F$2:$F$7001,F434,'Estadísticas Jugadores'!$L$2:$L$7001))</f>
        <v>0</v>
      </c>
      <c r="I434" s="4">
        <f t="shared" si="33"/>
        <v>-4.3399999999999998E-5</v>
      </c>
      <c r="J434" s="4">
        <f t="shared" si="34"/>
        <v>438</v>
      </c>
    </row>
    <row r="435" spans="1:10" ht="15" customHeight="1" x14ac:dyDescent="0.25">
      <c r="A435" s="8">
        <f>IF(COUNT($J$2:$J$1501)&gt;=434,434,"")</f>
        <v>434</v>
      </c>
      <c r="B435" s="8" t="str">
        <f t="shared" si="30"/>
        <v>Jurado Sebastian</v>
      </c>
      <c r="C435" s="8" t="str">
        <f t="shared" si="31"/>
        <v>Juárez</v>
      </c>
      <c r="D435" s="8">
        <f t="shared" si="32"/>
        <v>0</v>
      </c>
      <c r="F435" s="4" t="str">
        <f>IF(Jugadores!B435="","",Jugadores!B435)</f>
        <v>Mayorga Alejandro</v>
      </c>
      <c r="G435" s="4" t="str">
        <f>IF(Jugadores!B435="","",Jugadores!A435)</f>
        <v>Juárez</v>
      </c>
      <c r="H435" s="4">
        <f>IF(F435="","",SUMIF('Estadísticas Jugadores'!$F$2:$F$7001,F435,'Estadísticas Jugadores'!$L$2:$L$7001))</f>
        <v>0</v>
      </c>
      <c r="I435" s="4">
        <f t="shared" si="33"/>
        <v>-4.35E-5</v>
      </c>
      <c r="J435" s="4">
        <f t="shared" si="34"/>
        <v>439</v>
      </c>
    </row>
    <row r="436" spans="1:10" ht="15" customHeight="1" x14ac:dyDescent="0.25">
      <c r="A436" s="8">
        <f>IF(COUNT($J$2:$J$1501)&gt;=435,435,"")</f>
        <v>435</v>
      </c>
      <c r="B436" s="8" t="str">
        <f t="shared" si="30"/>
        <v>Ruiz Guillermo</v>
      </c>
      <c r="C436" s="8" t="str">
        <f t="shared" si="31"/>
        <v>Juárez</v>
      </c>
      <c r="D436" s="8">
        <f t="shared" si="32"/>
        <v>0</v>
      </c>
      <c r="F436" s="4" t="str">
        <f>IF(Jugadores!B436="","",Jugadores!B436)</f>
        <v>Murillo Jesus</v>
      </c>
      <c r="G436" s="4" t="str">
        <f>IF(Jugadores!B436="","",Jugadores!A436)</f>
        <v>Juárez</v>
      </c>
      <c r="H436" s="4">
        <f>IF(F436="","",SUMIF('Estadísticas Jugadores'!$F$2:$F$7001,F436,'Estadísticas Jugadores'!$L$2:$L$7001))</f>
        <v>0</v>
      </c>
      <c r="I436" s="4">
        <f t="shared" si="33"/>
        <v>-4.3599999999999996E-5</v>
      </c>
      <c r="J436" s="4">
        <f t="shared" si="34"/>
        <v>440</v>
      </c>
    </row>
    <row r="437" spans="1:10" ht="15" customHeight="1" x14ac:dyDescent="0.25">
      <c r="A437" s="8">
        <f>IF(COUNT($J$2:$J$1501)&gt;=436,436,"")</f>
        <v>436</v>
      </c>
      <c r="B437" s="8" t="str">
        <f t="shared" si="30"/>
        <v>Carmona Luis</v>
      </c>
      <c r="C437" s="8" t="str">
        <f t="shared" si="31"/>
        <v>Juárez</v>
      </c>
      <c r="D437" s="8">
        <f t="shared" si="32"/>
        <v>0</v>
      </c>
      <c r="F437" s="4" t="str">
        <f>IF(Jugadores!B437="","",Jugadores!B437)</f>
        <v>Nevarez Pulgarin Francisco Javier</v>
      </c>
      <c r="G437" s="4" t="str">
        <f>IF(Jugadores!B437="","",Jugadores!A437)</f>
        <v>Juárez</v>
      </c>
      <c r="H437" s="4">
        <f>IF(F437="","",SUMIF('Estadísticas Jugadores'!$F$2:$F$7001,F437,'Estadísticas Jugadores'!$L$2:$L$7001))</f>
        <v>0</v>
      </c>
      <c r="I437" s="4">
        <f t="shared" si="33"/>
        <v>-4.3699999999999998E-5</v>
      </c>
      <c r="J437" s="4">
        <f t="shared" si="34"/>
        <v>441</v>
      </c>
    </row>
    <row r="438" spans="1:10" ht="15" customHeight="1" x14ac:dyDescent="0.25">
      <c r="A438" s="8">
        <f>IF(COUNT($J$2:$J$1501)&gt;=437,437,"")</f>
        <v>437</v>
      </c>
      <c r="B438" s="8" t="str">
        <f t="shared" si="30"/>
        <v>López Eder</v>
      </c>
      <c r="C438" s="8" t="str">
        <f t="shared" si="31"/>
        <v>Juárez</v>
      </c>
      <c r="D438" s="8">
        <f t="shared" si="32"/>
        <v>0</v>
      </c>
      <c r="F438" s="4" t="str">
        <f>IF(Jugadores!B438="","",Jugadores!B438)</f>
        <v>Ortega Haret</v>
      </c>
      <c r="G438" s="4" t="str">
        <f>IF(Jugadores!B438="","",Jugadores!A438)</f>
        <v>Juárez</v>
      </c>
      <c r="H438" s="4">
        <f>IF(F438="","",SUMIF('Estadísticas Jugadores'!$F$2:$F$7001,F438,'Estadísticas Jugadores'!$L$2:$L$7001))</f>
        <v>0</v>
      </c>
      <c r="I438" s="4">
        <f t="shared" si="33"/>
        <v>-4.3800000000000001E-5</v>
      </c>
      <c r="J438" s="4">
        <f t="shared" si="34"/>
        <v>442</v>
      </c>
    </row>
    <row r="439" spans="1:10" ht="15" customHeight="1" x14ac:dyDescent="0.25">
      <c r="A439" s="8">
        <f>IF(COUNT($J$2:$J$1501)&gt;=438,438,"")</f>
        <v>438</v>
      </c>
      <c r="B439" s="8" t="str">
        <f t="shared" si="30"/>
        <v>Manriquez Jose</v>
      </c>
      <c r="C439" s="8" t="str">
        <f t="shared" si="31"/>
        <v>Juárez</v>
      </c>
      <c r="D439" s="8">
        <f t="shared" si="32"/>
        <v>0</v>
      </c>
      <c r="F439" s="4" t="str">
        <f>IF(Jugadores!B439="","",Jugadores!B439)</f>
        <v>Sepulveda Gilberto</v>
      </c>
      <c r="G439" s="4" t="str">
        <f>IF(Jugadores!B439="","",Jugadores!A439)</f>
        <v>Juárez</v>
      </c>
      <c r="H439" s="4">
        <f>IF(F439="","",SUMIF('Estadísticas Jugadores'!$F$2:$F$7001,F439,'Estadísticas Jugadores'!$L$2:$L$7001))</f>
        <v>0</v>
      </c>
      <c r="I439" s="4">
        <f t="shared" si="33"/>
        <v>-4.3899999999999996E-5</v>
      </c>
      <c r="J439" s="4">
        <f t="shared" si="34"/>
        <v>443</v>
      </c>
    </row>
    <row r="440" spans="1:10" ht="15" customHeight="1" x14ac:dyDescent="0.25">
      <c r="A440" s="8">
        <f>IF(COUNT($J$2:$J$1501)&gt;=439,439,"")</f>
        <v>439</v>
      </c>
      <c r="B440" s="8" t="str">
        <f t="shared" si="30"/>
        <v>Mayorga Alejandro</v>
      </c>
      <c r="C440" s="8" t="str">
        <f t="shared" si="31"/>
        <v>Juárez</v>
      </c>
      <c r="D440" s="8">
        <f t="shared" si="32"/>
        <v>0</v>
      </c>
      <c r="F440" s="4" t="str">
        <f>IF(Jugadores!B440="","",Jugadores!B440)</f>
        <v>Aquino Javier</v>
      </c>
      <c r="G440" s="4" t="str">
        <f>IF(Jugadores!B440="","",Jugadores!A440)</f>
        <v>Juárez</v>
      </c>
      <c r="H440" s="4">
        <f>IF(F440="","",SUMIF('Estadísticas Jugadores'!$F$2:$F$7001,F440,'Estadísticas Jugadores'!$L$2:$L$7001))</f>
        <v>0</v>
      </c>
      <c r="I440" s="4">
        <f t="shared" si="33"/>
        <v>-4.3999999999999999E-5</v>
      </c>
      <c r="J440" s="4">
        <f t="shared" si="34"/>
        <v>444</v>
      </c>
    </row>
    <row r="441" spans="1:10" ht="15" customHeight="1" x14ac:dyDescent="0.25">
      <c r="A441" s="8">
        <f>IF(COUNT($J$2:$J$1501)&gt;=440,440,"")</f>
        <v>440</v>
      </c>
      <c r="B441" s="8" t="str">
        <f t="shared" si="30"/>
        <v>Murillo Jesus</v>
      </c>
      <c r="C441" s="8" t="str">
        <f t="shared" si="31"/>
        <v>Juárez</v>
      </c>
      <c r="D441" s="8">
        <f t="shared" si="32"/>
        <v>0</v>
      </c>
      <c r="F441" s="4" t="str">
        <f>IF(Jugadores!B441="","",Jugadores!B441)</f>
        <v>Carmona Jan</v>
      </c>
      <c r="G441" s="4" t="str">
        <f>IF(Jugadores!B441="","",Jugadores!A441)</f>
        <v>Juárez</v>
      </c>
      <c r="H441" s="4">
        <f>IF(F441="","",SUMIF('Estadísticas Jugadores'!$F$2:$F$7001,F441,'Estadísticas Jugadores'!$L$2:$L$7001))</f>
        <v>0</v>
      </c>
      <c r="I441" s="4">
        <f t="shared" si="33"/>
        <v>-4.4100000000000001E-5</v>
      </c>
      <c r="J441" s="4">
        <f t="shared" si="34"/>
        <v>445</v>
      </c>
    </row>
    <row r="442" spans="1:10" ht="15" customHeight="1" x14ac:dyDescent="0.25">
      <c r="A442" s="8">
        <f>IF(COUNT($J$2:$J$1501)&gt;=441,441,"")</f>
        <v>441</v>
      </c>
      <c r="B442" s="8" t="str">
        <f t="shared" si="30"/>
        <v>Nevarez Pulgarin Francisco Javier</v>
      </c>
      <c r="C442" s="8" t="str">
        <f t="shared" si="31"/>
        <v>Juárez</v>
      </c>
      <c r="D442" s="8">
        <f t="shared" si="32"/>
        <v>0</v>
      </c>
      <c r="F442" s="4" t="str">
        <f>IF(Jugadores!B442="","",Jugadores!B442)</f>
        <v>Fulgencio Raymundo</v>
      </c>
      <c r="G442" s="4" t="str">
        <f>IF(Jugadores!B442="","",Jugadores!A442)</f>
        <v>Juárez</v>
      </c>
      <c r="H442" s="4">
        <f>IF(F442="","",SUMIF('Estadísticas Jugadores'!$F$2:$F$7001,F442,'Estadísticas Jugadores'!$L$2:$L$7001))</f>
        <v>0</v>
      </c>
      <c r="I442" s="4">
        <f t="shared" si="33"/>
        <v>-4.4199999999999997E-5</v>
      </c>
      <c r="J442" s="4">
        <f t="shared" si="34"/>
        <v>446</v>
      </c>
    </row>
    <row r="443" spans="1:10" ht="15" customHeight="1" x14ac:dyDescent="0.25">
      <c r="A443" s="8">
        <f>IF(COUNT($J$2:$J$1501)&gt;=442,442,"")</f>
        <v>442</v>
      </c>
      <c r="B443" s="8" t="str">
        <f t="shared" si="30"/>
        <v>Ortega Haret</v>
      </c>
      <c r="C443" s="8" t="str">
        <f t="shared" si="31"/>
        <v>Juárez</v>
      </c>
      <c r="D443" s="8">
        <f t="shared" si="32"/>
        <v>0</v>
      </c>
      <c r="F443" s="4" t="str">
        <f>IF(Jugadores!B443="","",Jugadores!B443)</f>
        <v>Garcia Denzell</v>
      </c>
      <c r="G443" s="4" t="str">
        <f>IF(Jugadores!B443="","",Jugadores!A443)</f>
        <v>Juárez</v>
      </c>
      <c r="H443" s="4">
        <f>IF(F443="","",SUMIF('Estadísticas Jugadores'!$F$2:$F$7001,F443,'Estadísticas Jugadores'!$L$2:$L$7001))</f>
        <v>0</v>
      </c>
      <c r="I443" s="4">
        <f t="shared" si="33"/>
        <v>-4.4299999999999999E-5</v>
      </c>
      <c r="J443" s="4">
        <f t="shared" si="34"/>
        <v>447</v>
      </c>
    </row>
    <row r="444" spans="1:10" ht="15" customHeight="1" x14ac:dyDescent="0.25">
      <c r="A444" s="8">
        <f>IF(COUNT($J$2:$J$1501)&gt;=443,443,"")</f>
        <v>443</v>
      </c>
      <c r="B444" s="8" t="str">
        <f t="shared" si="30"/>
        <v>Sepulveda Gilberto</v>
      </c>
      <c r="C444" s="8" t="str">
        <f t="shared" si="31"/>
        <v>Juárez</v>
      </c>
      <c r="D444" s="8">
        <f t="shared" si="32"/>
        <v>0</v>
      </c>
      <c r="F444" s="4" t="str">
        <f>IF(Jugadores!B444="","",Jugadores!B444)</f>
        <v>Godinez Said</v>
      </c>
      <c r="G444" s="4" t="str">
        <f>IF(Jugadores!B444="","",Jugadores!A444)</f>
        <v>Juárez</v>
      </c>
      <c r="H444" s="4">
        <f>IF(F444="","",SUMIF('Estadísticas Jugadores'!$F$2:$F$7001,F444,'Estadísticas Jugadores'!$L$2:$L$7001))</f>
        <v>0</v>
      </c>
      <c r="I444" s="4">
        <f t="shared" si="33"/>
        <v>-4.4399999999999995E-5</v>
      </c>
      <c r="J444" s="4">
        <f t="shared" si="34"/>
        <v>448</v>
      </c>
    </row>
    <row r="445" spans="1:10" ht="15" customHeight="1" x14ac:dyDescent="0.25">
      <c r="A445" s="8">
        <f>IF(COUNT($J$2:$J$1501)&gt;=444,444,"")</f>
        <v>444</v>
      </c>
      <c r="B445" s="8" t="str">
        <f t="shared" si="30"/>
        <v>Aquino Javier</v>
      </c>
      <c r="C445" s="8" t="str">
        <f t="shared" si="31"/>
        <v>Juárez</v>
      </c>
      <c r="D445" s="8">
        <f t="shared" si="32"/>
        <v>0</v>
      </c>
      <c r="F445" s="4" t="str">
        <f>IF(Jugadores!B445="","",Jugadores!B445)</f>
        <v>Guilherme Castilho</v>
      </c>
      <c r="G445" s="4" t="str">
        <f>IF(Jugadores!B445="","",Jugadores!A445)</f>
        <v>Juárez</v>
      </c>
      <c r="H445" s="4">
        <f>IF(F445="","",SUMIF('Estadísticas Jugadores'!$F$2:$F$7001,F445,'Estadísticas Jugadores'!$L$2:$L$7001))</f>
        <v>0</v>
      </c>
      <c r="I445" s="4">
        <f t="shared" si="33"/>
        <v>-4.4499999999999997E-5</v>
      </c>
      <c r="J445" s="4">
        <f t="shared" si="34"/>
        <v>449</v>
      </c>
    </row>
    <row r="446" spans="1:10" ht="15" customHeight="1" x14ac:dyDescent="0.25">
      <c r="A446" s="8">
        <f>IF(COUNT($J$2:$J$1501)&gt;=445,445,"")</f>
        <v>445</v>
      </c>
      <c r="B446" s="8" t="str">
        <f t="shared" si="30"/>
        <v>Carmona Jan</v>
      </c>
      <c r="C446" s="8" t="str">
        <f t="shared" si="31"/>
        <v>Juárez</v>
      </c>
      <c r="D446" s="8">
        <f t="shared" si="32"/>
        <v>0</v>
      </c>
      <c r="F446" s="4" t="str">
        <f>IF(Jugadores!B446="","",Jugadores!B446)</f>
        <v>Martinez Kenneth</v>
      </c>
      <c r="G446" s="4" t="str">
        <f>IF(Jugadores!B446="","",Jugadores!A446)</f>
        <v>Juárez</v>
      </c>
      <c r="H446" s="4">
        <f>IF(F446="","",SUMIF('Estadísticas Jugadores'!$F$2:$F$7001,F446,'Estadísticas Jugadores'!$L$2:$L$7001))</f>
        <v>0</v>
      </c>
      <c r="I446" s="4">
        <f t="shared" si="33"/>
        <v>-4.46E-5</v>
      </c>
      <c r="J446" s="4">
        <f t="shared" si="34"/>
        <v>450</v>
      </c>
    </row>
    <row r="447" spans="1:10" ht="15" customHeight="1" x14ac:dyDescent="0.25">
      <c r="A447" s="8">
        <f>IF(COUNT($J$2:$J$1501)&gt;=446,446,"")</f>
        <v>446</v>
      </c>
      <c r="B447" s="8" t="str">
        <f t="shared" si="30"/>
        <v>Fulgencio Raymundo</v>
      </c>
      <c r="C447" s="8" t="str">
        <f t="shared" si="31"/>
        <v>Juárez</v>
      </c>
      <c r="D447" s="8">
        <f t="shared" si="32"/>
        <v>0</v>
      </c>
      <c r="F447" s="4" t="str">
        <f>IF(Jugadores!B447="","",Jugadores!B447)</f>
        <v>Martinez Yepez Homer Enrique</v>
      </c>
      <c r="G447" s="4" t="str">
        <f>IF(Jugadores!B447="","",Jugadores!A447)</f>
        <v>Juárez</v>
      </c>
      <c r="H447" s="4">
        <f>IF(F447="","",SUMIF('Estadísticas Jugadores'!$F$2:$F$7001,F447,'Estadísticas Jugadores'!$L$2:$L$7001))</f>
        <v>0</v>
      </c>
      <c r="I447" s="4">
        <f t="shared" si="33"/>
        <v>-4.4699999999999996E-5</v>
      </c>
      <c r="J447" s="4">
        <f t="shared" si="34"/>
        <v>451</v>
      </c>
    </row>
    <row r="448" spans="1:10" ht="15" customHeight="1" x14ac:dyDescent="0.25">
      <c r="A448" s="8">
        <f>IF(COUNT($J$2:$J$1501)&gt;=447,447,"")</f>
        <v>447</v>
      </c>
      <c r="B448" s="8" t="str">
        <f t="shared" si="30"/>
        <v>Garcia Denzell</v>
      </c>
      <c r="C448" s="8" t="str">
        <f t="shared" si="31"/>
        <v>Juárez</v>
      </c>
      <c r="D448" s="8">
        <f t="shared" si="32"/>
        <v>0</v>
      </c>
      <c r="F448" s="4" t="str">
        <f>IF(Jugadores!B448="","",Jugadores!B448)</f>
        <v>Monchu</v>
      </c>
      <c r="G448" s="4" t="str">
        <f>IF(Jugadores!B448="","",Jugadores!A448)</f>
        <v>Juárez</v>
      </c>
      <c r="H448" s="4">
        <f>IF(F448="","",SUMIF('Estadísticas Jugadores'!$F$2:$F$7001,F448,'Estadísticas Jugadores'!$L$2:$L$7001))</f>
        <v>0</v>
      </c>
      <c r="I448" s="4">
        <f t="shared" si="33"/>
        <v>-4.4799999999999998E-5</v>
      </c>
      <c r="J448" s="4">
        <f t="shared" si="34"/>
        <v>452</v>
      </c>
    </row>
    <row r="449" spans="1:10" ht="15" customHeight="1" x14ac:dyDescent="0.25">
      <c r="A449" s="8">
        <f>IF(COUNT($J$2:$J$1501)&gt;=448,448,"")</f>
        <v>448</v>
      </c>
      <c r="B449" s="8" t="str">
        <f t="shared" si="30"/>
        <v>Godinez Said</v>
      </c>
      <c r="C449" s="8" t="str">
        <f t="shared" si="31"/>
        <v>Juárez</v>
      </c>
      <c r="D449" s="8">
        <f t="shared" si="32"/>
        <v>0</v>
      </c>
      <c r="F449" s="4" t="str">
        <f>IF(Jugadores!B449="","",Jugadores!B449)</f>
        <v>Rodriguez Jose</v>
      </c>
      <c r="G449" s="4" t="str">
        <f>IF(Jugadores!B449="","",Jugadores!A449)</f>
        <v>Juárez</v>
      </c>
      <c r="H449" s="4">
        <f>IF(F449="","",SUMIF('Estadísticas Jugadores'!$F$2:$F$7001,F449,'Estadísticas Jugadores'!$L$2:$L$7001))</f>
        <v>0</v>
      </c>
      <c r="I449" s="4">
        <f t="shared" si="33"/>
        <v>-4.49E-5</v>
      </c>
      <c r="J449" s="4">
        <f t="shared" si="34"/>
        <v>453</v>
      </c>
    </row>
    <row r="450" spans="1:10" ht="15" customHeight="1" x14ac:dyDescent="0.25">
      <c r="A450" s="8">
        <f>IF(COUNT($J$2:$J$1501)&gt;=449,449,"")</f>
        <v>449</v>
      </c>
      <c r="B450" s="8" t="str">
        <f t="shared" ref="B450:B513" si="35">IF($A450="","",INDEX($F$2:$F$1501,MATCH($A450,$J$2:$J$1501,0)))</f>
        <v>Guilherme Castilho</v>
      </c>
      <c r="C450" s="8" t="str">
        <f t="shared" ref="C450:C513" si="36">IF($A450="","",INDEX($G$2:$G$1501,MATCH($A450,$J$2:$J$1501,0)))</f>
        <v>Juárez</v>
      </c>
      <c r="D450" s="8">
        <f t="shared" ref="D450:D513" si="37">IF($A450="","",INDEX($H$2:$H$1501,MATCH($A450,$J$2:$J$1501,0)))</f>
        <v>0</v>
      </c>
      <c r="F450" s="4" t="str">
        <f>IF(Jugadores!B450="","",Jugadores!B450)</f>
        <v>Rodriguez Leonardo</v>
      </c>
      <c r="G450" s="4" t="str">
        <f>IF(Jugadores!B450="","",Jugadores!A450)</f>
        <v>Juárez</v>
      </c>
      <c r="H450" s="4">
        <f>IF(F450="","",SUMIF('Estadísticas Jugadores'!$F$2:$F$7001,F450,'Estadísticas Jugadores'!$L$2:$L$7001))</f>
        <v>0</v>
      </c>
      <c r="I450" s="4">
        <f t="shared" ref="I450:I513" si="38">IF(F450="","",H450*1000-ROW()*0.0000001)</f>
        <v>-4.4999999999999996E-5</v>
      </c>
      <c r="J450" s="4">
        <f t="shared" ref="J450:J513" si="39">IF(F450="","",RANK(I450,$I$2:$I$1501))</f>
        <v>454</v>
      </c>
    </row>
    <row r="451" spans="1:10" ht="15" customHeight="1" x14ac:dyDescent="0.25">
      <c r="A451" s="8">
        <f>IF(COUNT($J$2:$J$1501)&gt;=450,450,"")</f>
        <v>450</v>
      </c>
      <c r="B451" s="8" t="str">
        <f t="shared" si="35"/>
        <v>Martinez Kenneth</v>
      </c>
      <c r="C451" s="8" t="str">
        <f t="shared" si="36"/>
        <v>Juárez</v>
      </c>
      <c r="D451" s="8">
        <f t="shared" si="37"/>
        <v>0</v>
      </c>
      <c r="F451" s="4" t="str">
        <f>IF(Jugadores!B451="","",Jugadores!B451)</f>
        <v>Romero Lucas</v>
      </c>
      <c r="G451" s="4" t="str">
        <f>IF(Jugadores!B451="","",Jugadores!A451)</f>
        <v>Juárez</v>
      </c>
      <c r="H451" s="4">
        <f>IF(F451="","",SUMIF('Estadísticas Jugadores'!$F$2:$F$7001,F451,'Estadísticas Jugadores'!$L$2:$L$7001))</f>
        <v>0</v>
      </c>
      <c r="I451" s="4">
        <f t="shared" si="38"/>
        <v>-4.5099999999999998E-5</v>
      </c>
      <c r="J451" s="4">
        <f t="shared" si="39"/>
        <v>455</v>
      </c>
    </row>
    <row r="452" spans="1:10" ht="15" customHeight="1" x14ac:dyDescent="0.25">
      <c r="A452" s="8">
        <f>IF(COUNT($J$2:$J$1501)&gt;=451,451,"")</f>
        <v>451</v>
      </c>
      <c r="B452" s="8" t="str">
        <f t="shared" si="35"/>
        <v>Martinez Yepez Homer Enrique</v>
      </c>
      <c r="C452" s="8" t="str">
        <f t="shared" si="36"/>
        <v>Juárez</v>
      </c>
      <c r="D452" s="8">
        <f t="shared" si="37"/>
        <v>0</v>
      </c>
      <c r="F452" s="4" t="str">
        <f>IF(Jugadores!B452="","",Jugadores!B452)</f>
        <v>Sigala Juan</v>
      </c>
      <c r="G452" s="4" t="str">
        <f>IF(Jugadores!B452="","",Jugadores!A452)</f>
        <v>Juárez</v>
      </c>
      <c r="H452" s="4">
        <f>IF(F452="","",SUMIF('Estadísticas Jugadores'!$F$2:$F$7001,F452,'Estadísticas Jugadores'!$L$2:$L$7001))</f>
        <v>0</v>
      </c>
      <c r="I452" s="4">
        <f t="shared" si="38"/>
        <v>-4.5200000000000001E-5</v>
      </c>
      <c r="J452" s="4">
        <f t="shared" si="39"/>
        <v>456</v>
      </c>
    </row>
    <row r="453" spans="1:10" ht="15" customHeight="1" x14ac:dyDescent="0.25">
      <c r="A453" s="8">
        <f>IF(COUNT($J$2:$J$1501)&gt;=452,452,"")</f>
        <v>452</v>
      </c>
      <c r="B453" s="8" t="str">
        <f t="shared" si="35"/>
        <v>Monchu</v>
      </c>
      <c r="C453" s="8" t="str">
        <f t="shared" si="36"/>
        <v>Juárez</v>
      </c>
      <c r="D453" s="8">
        <f t="shared" si="37"/>
        <v>0</v>
      </c>
      <c r="F453" s="4" t="str">
        <f>IF(Jugadores!B453="","",Jugadores!B453)</f>
        <v>Ayon Ettson</v>
      </c>
      <c r="G453" s="4" t="str">
        <f>IF(Jugadores!B453="","",Jugadores!A453)</f>
        <v>Juárez</v>
      </c>
      <c r="H453" s="4">
        <f>IF(F453="","",SUMIF('Estadísticas Jugadores'!$F$2:$F$7001,F453,'Estadísticas Jugadores'!$L$2:$L$7001))</f>
        <v>0</v>
      </c>
      <c r="I453" s="4">
        <f t="shared" si="38"/>
        <v>-4.5299999999999997E-5</v>
      </c>
      <c r="J453" s="4">
        <f t="shared" si="39"/>
        <v>457</v>
      </c>
    </row>
    <row r="454" spans="1:10" ht="15" customHeight="1" x14ac:dyDescent="0.25">
      <c r="A454" s="8">
        <f>IF(COUNT($J$2:$J$1501)&gt;=453,453,"")</f>
        <v>453</v>
      </c>
      <c r="B454" s="8" t="str">
        <f t="shared" si="35"/>
        <v>Rodriguez Jose</v>
      </c>
      <c r="C454" s="8" t="str">
        <f t="shared" si="36"/>
        <v>Juárez</v>
      </c>
      <c r="D454" s="8">
        <f t="shared" si="37"/>
        <v>0</v>
      </c>
      <c r="F454" s="4" t="str">
        <f>IF(Jugadores!B454="","",Jugadores!B454)</f>
        <v>Dupuy Luca</v>
      </c>
      <c r="G454" s="4" t="str">
        <f>IF(Jugadores!B454="","",Jugadores!A454)</f>
        <v>Juárez</v>
      </c>
      <c r="H454" s="4">
        <f>IF(F454="","",SUMIF('Estadísticas Jugadores'!$F$2:$F$7001,F454,'Estadísticas Jugadores'!$L$2:$L$7001))</f>
        <v>0</v>
      </c>
      <c r="I454" s="4">
        <f t="shared" si="38"/>
        <v>-4.5399999999999999E-5</v>
      </c>
      <c r="J454" s="4">
        <f t="shared" si="39"/>
        <v>458</v>
      </c>
    </row>
    <row r="455" spans="1:10" ht="15" customHeight="1" x14ac:dyDescent="0.25">
      <c r="A455" s="8">
        <f>IF(COUNT($J$2:$J$1501)&gt;=454,454,"")</f>
        <v>454</v>
      </c>
      <c r="B455" s="8" t="str">
        <f t="shared" si="35"/>
        <v>Rodriguez Leonardo</v>
      </c>
      <c r="C455" s="8" t="str">
        <f t="shared" si="36"/>
        <v>Juárez</v>
      </c>
      <c r="D455" s="8">
        <f t="shared" si="37"/>
        <v>0</v>
      </c>
      <c r="F455" s="4" t="str">
        <f>IF(Jugadores!B455="","",Jugadores!B455)</f>
        <v>Estupinan Oscar</v>
      </c>
      <c r="G455" s="4" t="str">
        <f>IF(Jugadores!B455="","",Jugadores!A455)</f>
        <v>Juárez</v>
      </c>
      <c r="H455" s="4">
        <f>IF(F455="","",SUMIF('Estadísticas Jugadores'!$F$2:$F$7001,F455,'Estadísticas Jugadores'!$L$2:$L$7001))</f>
        <v>0</v>
      </c>
      <c r="I455" s="4">
        <f t="shared" si="38"/>
        <v>-4.5499999999999995E-5</v>
      </c>
      <c r="J455" s="4">
        <f t="shared" si="39"/>
        <v>459</v>
      </c>
    </row>
    <row r="456" spans="1:10" ht="15" customHeight="1" x14ac:dyDescent="0.25">
      <c r="A456" s="8">
        <f>IF(COUNT($J$2:$J$1501)&gt;=455,455,"")</f>
        <v>455</v>
      </c>
      <c r="B456" s="8" t="str">
        <f t="shared" si="35"/>
        <v>Romero Lucas</v>
      </c>
      <c r="C456" s="8" t="str">
        <f t="shared" si="36"/>
        <v>Juárez</v>
      </c>
      <c r="D456" s="8">
        <f t="shared" si="37"/>
        <v>0</v>
      </c>
      <c r="F456" s="4" t="str">
        <f>IF(Jugadores!B456="","",Jugadores!B456)</f>
        <v>Madson</v>
      </c>
      <c r="G456" s="4" t="str">
        <f>IF(Jugadores!B456="","",Jugadores!A456)</f>
        <v>Juárez</v>
      </c>
      <c r="H456" s="4">
        <f>IF(F456="","",SUMIF('Estadísticas Jugadores'!$F$2:$F$7001,F456,'Estadísticas Jugadores'!$L$2:$L$7001))</f>
        <v>0</v>
      </c>
      <c r="I456" s="4">
        <f t="shared" si="38"/>
        <v>-4.5599999999999997E-5</v>
      </c>
      <c r="J456" s="4">
        <f t="shared" si="39"/>
        <v>460</v>
      </c>
    </row>
    <row r="457" spans="1:10" ht="15" customHeight="1" x14ac:dyDescent="0.25">
      <c r="A457" s="8">
        <f>IF(COUNT($J$2:$J$1501)&gt;=456,456,"")</f>
        <v>456</v>
      </c>
      <c r="B457" s="8" t="str">
        <f t="shared" si="35"/>
        <v>Sigala Juan</v>
      </c>
      <c r="C457" s="8" t="str">
        <f t="shared" si="36"/>
        <v>Juárez</v>
      </c>
      <c r="D457" s="8">
        <f t="shared" si="37"/>
        <v>0</v>
      </c>
      <c r="F457" s="4" t="str">
        <f>IF(Jugadores!B457="","",Jugadores!B457)</f>
        <v>Ricardinho</v>
      </c>
      <c r="G457" s="4" t="str">
        <f>IF(Jugadores!B457="","",Jugadores!A457)</f>
        <v>Juárez</v>
      </c>
      <c r="H457" s="4">
        <f>IF(F457="","",SUMIF('Estadísticas Jugadores'!$F$2:$F$7001,F457,'Estadísticas Jugadores'!$L$2:$L$7001))</f>
        <v>0</v>
      </c>
      <c r="I457" s="4">
        <f t="shared" si="38"/>
        <v>-4.57E-5</v>
      </c>
      <c r="J457" s="4">
        <f t="shared" si="39"/>
        <v>461</v>
      </c>
    </row>
    <row r="458" spans="1:10" ht="15" customHeight="1" x14ac:dyDescent="0.25">
      <c r="A458" s="8">
        <f>IF(COUNT($J$2:$J$1501)&gt;=457,457,"")</f>
        <v>457</v>
      </c>
      <c r="B458" s="8" t="str">
        <f t="shared" si="35"/>
        <v>Ayon Ettson</v>
      </c>
      <c r="C458" s="8" t="str">
        <f t="shared" si="36"/>
        <v>Juárez</v>
      </c>
      <c r="D458" s="8">
        <f t="shared" si="37"/>
        <v>0</v>
      </c>
      <c r="F458" s="4" t="str">
        <f>IF(Jugadores!B458="","",Jugadores!B458)</f>
        <v>Torres Ramirez Ian Jairo Misael</v>
      </c>
      <c r="G458" s="4" t="str">
        <f>IF(Jugadores!B458="","",Jugadores!A458)</f>
        <v>Juárez</v>
      </c>
      <c r="H458" s="4">
        <f>IF(F458="","",SUMIF('Estadísticas Jugadores'!$F$2:$F$7001,F458,'Estadísticas Jugadores'!$L$2:$L$7001))</f>
        <v>0</v>
      </c>
      <c r="I458" s="4">
        <f t="shared" si="38"/>
        <v>-4.5799999999999995E-5</v>
      </c>
      <c r="J458" s="4">
        <f t="shared" si="39"/>
        <v>462</v>
      </c>
    </row>
    <row r="459" spans="1:10" ht="15" customHeight="1" x14ac:dyDescent="0.25">
      <c r="A459" s="8">
        <f>IF(COUNT($J$2:$J$1501)&gt;=458,458,"")</f>
        <v>458</v>
      </c>
      <c r="B459" s="8" t="str">
        <f t="shared" si="35"/>
        <v>Dupuy Luca</v>
      </c>
      <c r="C459" s="8" t="str">
        <f t="shared" si="36"/>
        <v>Juárez</v>
      </c>
      <c r="D459" s="8">
        <f t="shared" si="37"/>
        <v>0</v>
      </c>
      <c r="F459" s="4" t="str">
        <f>IF(Jugadores!B459="","",Jugadores!B459)</f>
        <v>Carrera Antonio</v>
      </c>
      <c r="G459" s="4" t="str">
        <f>IF(Jugadores!B459="","",Jugadores!A459)</f>
        <v>Tigres UANL</v>
      </c>
      <c r="H459" s="4">
        <f>IF(F459="","",SUMIF('Estadísticas Jugadores'!$F$2:$F$7001,F459,'Estadísticas Jugadores'!$L$2:$L$7001))</f>
        <v>0</v>
      </c>
      <c r="I459" s="4">
        <f t="shared" si="38"/>
        <v>-4.5899999999999998E-5</v>
      </c>
      <c r="J459" s="4">
        <f t="shared" si="39"/>
        <v>463</v>
      </c>
    </row>
    <row r="460" spans="1:10" ht="15" customHeight="1" x14ac:dyDescent="0.25">
      <c r="A460" s="8">
        <f>IF(COUNT($J$2:$J$1501)&gt;=459,459,"")</f>
        <v>459</v>
      </c>
      <c r="B460" s="8" t="str">
        <f t="shared" si="35"/>
        <v>Estupinan Oscar</v>
      </c>
      <c r="C460" s="8" t="str">
        <f t="shared" si="36"/>
        <v>Juárez</v>
      </c>
      <c r="D460" s="8">
        <f t="shared" si="37"/>
        <v>0</v>
      </c>
      <c r="F460" s="4" t="str">
        <f>IF(Jugadores!B460="","",Jugadores!B460)</f>
        <v>Guzman Nahuel</v>
      </c>
      <c r="G460" s="4" t="str">
        <f>IF(Jugadores!B460="","",Jugadores!A460)</f>
        <v>Tigres UANL</v>
      </c>
      <c r="H460" s="4">
        <f>IF(F460="","",SUMIF('Estadísticas Jugadores'!$F$2:$F$7001,F460,'Estadísticas Jugadores'!$L$2:$L$7001))</f>
        <v>0</v>
      </c>
      <c r="I460" s="4">
        <f t="shared" si="38"/>
        <v>-4.6E-5</v>
      </c>
      <c r="J460" s="4">
        <f t="shared" si="39"/>
        <v>464</v>
      </c>
    </row>
    <row r="461" spans="1:10" ht="15" customHeight="1" x14ac:dyDescent="0.25">
      <c r="A461" s="8">
        <f>IF(COUNT($J$2:$J$1501)&gt;=460,460,"")</f>
        <v>460</v>
      </c>
      <c r="B461" s="8" t="str">
        <f t="shared" si="35"/>
        <v>Madson</v>
      </c>
      <c r="C461" s="8" t="str">
        <f t="shared" si="36"/>
        <v>Juárez</v>
      </c>
      <c r="D461" s="8">
        <f t="shared" si="37"/>
        <v>0</v>
      </c>
      <c r="F461" s="4" t="str">
        <f>IF(Jugadores!B461="","",Jugadores!B461)</f>
        <v>Rodriguez Felipe</v>
      </c>
      <c r="G461" s="4" t="str">
        <f>IF(Jugadores!B461="","",Jugadores!A461)</f>
        <v>Tigres UANL</v>
      </c>
      <c r="H461" s="4">
        <f>IF(F461="","",SUMIF('Estadísticas Jugadores'!$F$2:$F$7001,F461,'Estadísticas Jugadores'!$L$2:$L$7001))</f>
        <v>0</v>
      </c>
      <c r="I461" s="4">
        <f t="shared" si="38"/>
        <v>-4.6099999999999996E-5</v>
      </c>
      <c r="J461" s="4">
        <f t="shared" si="39"/>
        <v>465</v>
      </c>
    </row>
    <row r="462" spans="1:10" ht="15" customHeight="1" x14ac:dyDescent="0.25">
      <c r="A462" s="8">
        <f>IF(COUNT($J$2:$J$1501)&gt;=461,461,"")</f>
        <v>461</v>
      </c>
      <c r="B462" s="8" t="str">
        <f t="shared" si="35"/>
        <v>Ricardinho</v>
      </c>
      <c r="C462" s="8" t="str">
        <f t="shared" si="36"/>
        <v>Juárez</v>
      </c>
      <c r="D462" s="8">
        <f t="shared" si="37"/>
        <v>0</v>
      </c>
      <c r="F462" s="4" t="str">
        <f>IF(Jugadores!B462="","",Jugadores!B462)</f>
        <v>Angulo Jesus</v>
      </c>
      <c r="G462" s="4" t="str">
        <f>IF(Jugadores!B462="","",Jugadores!A462)</f>
        <v>Tigres UANL</v>
      </c>
      <c r="H462" s="4">
        <f>IF(F462="","",SUMIF('Estadísticas Jugadores'!$F$2:$F$7001,F462,'Estadísticas Jugadores'!$L$2:$L$7001))</f>
        <v>0</v>
      </c>
      <c r="I462" s="4">
        <f t="shared" si="38"/>
        <v>-4.6199999999999998E-5</v>
      </c>
      <c r="J462" s="4">
        <f t="shared" si="39"/>
        <v>466</v>
      </c>
    </row>
    <row r="463" spans="1:10" ht="15" customHeight="1" x14ac:dyDescent="0.25">
      <c r="A463" s="8">
        <f>IF(COUNT($J$2:$J$1501)&gt;=462,462,"")</f>
        <v>462</v>
      </c>
      <c r="B463" s="8" t="str">
        <f t="shared" si="35"/>
        <v>Torres Ramirez Ian Jairo Misael</v>
      </c>
      <c r="C463" s="8" t="str">
        <f t="shared" si="36"/>
        <v>Juárez</v>
      </c>
      <c r="D463" s="8">
        <f t="shared" si="37"/>
        <v>0</v>
      </c>
      <c r="F463" s="4" t="str">
        <f>IF(Jugadores!B463="","",Jugadores!B463)</f>
        <v>Farfán Marco</v>
      </c>
      <c r="G463" s="4" t="str">
        <f>IF(Jugadores!B463="","",Jugadores!A463)</f>
        <v>Tigres UANL</v>
      </c>
      <c r="H463" s="4">
        <f>IF(F463="","",SUMIF('Estadísticas Jugadores'!$F$2:$F$7001,F463,'Estadísticas Jugadores'!$L$2:$L$7001))</f>
        <v>0</v>
      </c>
      <c r="I463" s="4">
        <f t="shared" si="38"/>
        <v>-4.6300000000000001E-5</v>
      </c>
      <c r="J463" s="4">
        <f t="shared" si="39"/>
        <v>467</v>
      </c>
    </row>
    <row r="464" spans="1:10" ht="15" customHeight="1" x14ac:dyDescent="0.25">
      <c r="A464" s="8">
        <f>IF(COUNT($J$2:$J$1501)&gt;=463,463,"")</f>
        <v>463</v>
      </c>
      <c r="B464" s="8" t="str">
        <f t="shared" si="35"/>
        <v>Carrera Antonio</v>
      </c>
      <c r="C464" s="8" t="str">
        <f t="shared" si="36"/>
        <v>Tigres UANL</v>
      </c>
      <c r="D464" s="8">
        <f t="shared" si="37"/>
        <v>0</v>
      </c>
      <c r="F464" s="4" t="str">
        <f>IF(Jugadores!B464="","",Jugadores!B464)</f>
        <v>Fernández Francisco</v>
      </c>
      <c r="G464" s="4" t="str">
        <f>IF(Jugadores!B464="","",Jugadores!A464)</f>
        <v>Tigres UANL</v>
      </c>
      <c r="H464" s="4">
        <f>IF(F464="","",SUMIF('Estadísticas Jugadores'!$F$2:$F$7001,F464,'Estadísticas Jugadores'!$L$2:$L$7001))</f>
        <v>0</v>
      </c>
      <c r="I464" s="4">
        <f t="shared" si="38"/>
        <v>-4.6399999999999996E-5</v>
      </c>
      <c r="J464" s="4">
        <f t="shared" si="39"/>
        <v>468</v>
      </c>
    </row>
    <row r="465" spans="1:10" ht="15" customHeight="1" x14ac:dyDescent="0.25">
      <c r="A465" s="8">
        <f>IF(COUNT($J$2:$J$1501)&gt;=464,464,"")</f>
        <v>464</v>
      </c>
      <c r="B465" s="8" t="str">
        <f t="shared" si="35"/>
        <v>Guzman Nahuel</v>
      </c>
      <c r="C465" s="8" t="str">
        <f t="shared" si="36"/>
        <v>Tigres UANL</v>
      </c>
      <c r="D465" s="8">
        <f t="shared" si="37"/>
        <v>0</v>
      </c>
      <c r="F465" s="4" t="str">
        <f>IF(Jugadores!B465="","",Jugadores!B465)</f>
        <v>Franco Alan</v>
      </c>
      <c r="G465" s="4" t="str">
        <f>IF(Jugadores!B465="","",Jugadores!A465)</f>
        <v>Tigres UANL</v>
      </c>
      <c r="H465" s="4">
        <f>IF(F465="","",SUMIF('Estadísticas Jugadores'!$F$2:$F$7001,F465,'Estadísticas Jugadores'!$L$2:$L$7001))</f>
        <v>0</v>
      </c>
      <c r="I465" s="4">
        <f t="shared" si="38"/>
        <v>-4.6499999999999999E-5</v>
      </c>
      <c r="J465" s="4">
        <f t="shared" si="39"/>
        <v>469</v>
      </c>
    </row>
    <row r="466" spans="1:10" ht="15" customHeight="1" x14ac:dyDescent="0.25">
      <c r="A466" s="8">
        <f>IF(COUNT($J$2:$J$1501)&gt;=465,465,"")</f>
        <v>465</v>
      </c>
      <c r="B466" s="8" t="str">
        <f t="shared" si="35"/>
        <v>Rodriguez Felipe</v>
      </c>
      <c r="C466" s="8" t="str">
        <f t="shared" si="36"/>
        <v>Tigres UANL</v>
      </c>
      <c r="D466" s="8">
        <f t="shared" si="37"/>
        <v>0</v>
      </c>
      <c r="F466" s="4" t="str">
        <f>IF(Jugadores!B466="","",Jugadores!B466)</f>
        <v>Garza Jesus</v>
      </c>
      <c r="G466" s="4" t="str">
        <f>IF(Jugadores!B466="","",Jugadores!A466)</f>
        <v>Tigres UANL</v>
      </c>
      <c r="H466" s="4">
        <f>IF(F466="","",SUMIF('Estadísticas Jugadores'!$F$2:$F$7001,F466,'Estadísticas Jugadores'!$L$2:$L$7001))</f>
        <v>0</v>
      </c>
      <c r="I466" s="4">
        <f t="shared" si="38"/>
        <v>-4.6600000000000001E-5</v>
      </c>
      <c r="J466" s="4">
        <f t="shared" si="39"/>
        <v>470</v>
      </c>
    </row>
    <row r="467" spans="1:10" ht="15" customHeight="1" x14ac:dyDescent="0.25">
      <c r="A467" s="8">
        <f>IF(COUNT($J$2:$J$1501)&gt;=466,466,"")</f>
        <v>466</v>
      </c>
      <c r="B467" s="8" t="str">
        <f t="shared" si="35"/>
        <v>Angulo Jesus</v>
      </c>
      <c r="C467" s="8" t="str">
        <f t="shared" si="36"/>
        <v>Tigres UANL</v>
      </c>
      <c r="D467" s="8">
        <f t="shared" si="37"/>
        <v>0</v>
      </c>
      <c r="F467" s="4" t="str">
        <f>IF(Jugadores!B467="","",Jugadores!B467)</f>
        <v>Guerrero Rafael</v>
      </c>
      <c r="G467" s="4" t="str">
        <f>IF(Jugadores!B467="","",Jugadores!A467)</f>
        <v>Tigres UANL</v>
      </c>
      <c r="H467" s="4">
        <f>IF(F467="","",SUMIF('Estadísticas Jugadores'!$F$2:$F$7001,F467,'Estadísticas Jugadores'!$L$2:$L$7001))</f>
        <v>0</v>
      </c>
      <c r="I467" s="4">
        <f t="shared" si="38"/>
        <v>-4.6699999999999997E-5</v>
      </c>
      <c r="J467" s="4">
        <f t="shared" si="39"/>
        <v>471</v>
      </c>
    </row>
    <row r="468" spans="1:10" ht="15" customHeight="1" x14ac:dyDescent="0.25">
      <c r="A468" s="8">
        <f>IF(COUNT($J$2:$J$1501)&gt;=467,467,"")</f>
        <v>467</v>
      </c>
      <c r="B468" s="8" t="str">
        <f t="shared" si="35"/>
        <v>Farfán Marco</v>
      </c>
      <c r="C468" s="8" t="str">
        <f t="shared" si="36"/>
        <v>Tigres UANL</v>
      </c>
      <c r="D468" s="8">
        <f t="shared" si="37"/>
        <v>0</v>
      </c>
      <c r="F468" s="4" t="str">
        <f>IF(Jugadores!B468="","",Jugadores!B468)</f>
        <v>Joaquim</v>
      </c>
      <c r="G468" s="4" t="str">
        <f>IF(Jugadores!B468="","",Jugadores!A468)</f>
        <v>Tigres UANL</v>
      </c>
      <c r="H468" s="4">
        <f>IF(F468="","",SUMIF('Estadísticas Jugadores'!$F$2:$F$7001,F468,'Estadísticas Jugadores'!$L$2:$L$7001))</f>
        <v>0</v>
      </c>
      <c r="I468" s="4">
        <f t="shared" si="38"/>
        <v>-4.6799999999999999E-5</v>
      </c>
      <c r="J468" s="4">
        <f t="shared" si="39"/>
        <v>472</v>
      </c>
    </row>
    <row r="469" spans="1:10" ht="15" customHeight="1" x14ac:dyDescent="0.25">
      <c r="A469" s="8">
        <f>IF(COUNT($J$2:$J$1501)&gt;=468,468,"")</f>
        <v>468</v>
      </c>
      <c r="B469" s="8" t="str">
        <f t="shared" si="35"/>
        <v>Fernández Francisco</v>
      </c>
      <c r="C469" s="8" t="str">
        <f t="shared" si="36"/>
        <v>Tigres UANL</v>
      </c>
      <c r="D469" s="8">
        <f t="shared" si="37"/>
        <v>0</v>
      </c>
      <c r="F469" s="4" t="str">
        <f>IF(Jugadores!B469="","",Jugadores!B469)</f>
        <v>Lorona Vladimir</v>
      </c>
      <c r="G469" s="4" t="str">
        <f>IF(Jugadores!B469="","",Jugadores!A469)</f>
        <v>Tigres UANL</v>
      </c>
      <c r="H469" s="4">
        <f>IF(F469="","",SUMIF('Estadísticas Jugadores'!$F$2:$F$7001,F469,'Estadísticas Jugadores'!$L$2:$L$7001))</f>
        <v>0</v>
      </c>
      <c r="I469" s="4">
        <f t="shared" si="38"/>
        <v>-4.6899999999999995E-5</v>
      </c>
      <c r="J469" s="4">
        <f t="shared" si="39"/>
        <v>473</v>
      </c>
    </row>
    <row r="470" spans="1:10" ht="15" customHeight="1" x14ac:dyDescent="0.25">
      <c r="A470" s="8">
        <f>IF(COUNT($J$2:$J$1501)&gt;=469,469,"")</f>
        <v>469</v>
      </c>
      <c r="B470" s="8" t="str">
        <f t="shared" si="35"/>
        <v>Franco Alan</v>
      </c>
      <c r="C470" s="8" t="str">
        <f t="shared" si="36"/>
        <v>Tigres UANL</v>
      </c>
      <c r="D470" s="8">
        <f t="shared" si="37"/>
        <v>0</v>
      </c>
      <c r="F470" s="4" t="str">
        <f>IF(Jugadores!B470="","",Jugadores!B470)</f>
        <v>Ordonez Delgado Fernando Imanol</v>
      </c>
      <c r="G470" s="4" t="str">
        <f>IF(Jugadores!B470="","",Jugadores!A470)</f>
        <v>Tigres UANL</v>
      </c>
      <c r="H470" s="4">
        <f>IF(F470="","",SUMIF('Estadísticas Jugadores'!$F$2:$F$7001,F470,'Estadísticas Jugadores'!$L$2:$L$7001))</f>
        <v>0</v>
      </c>
      <c r="I470" s="4">
        <f t="shared" si="38"/>
        <v>-4.6999999999999997E-5</v>
      </c>
      <c r="J470" s="4">
        <f t="shared" si="39"/>
        <v>474</v>
      </c>
    </row>
    <row r="471" spans="1:10" ht="15" customHeight="1" x14ac:dyDescent="0.25">
      <c r="A471" s="8">
        <f>IF(COUNT($J$2:$J$1501)&gt;=470,470,"")</f>
        <v>470</v>
      </c>
      <c r="B471" s="8" t="str">
        <f t="shared" si="35"/>
        <v>Garza Jesus</v>
      </c>
      <c r="C471" s="8" t="str">
        <f t="shared" si="36"/>
        <v>Tigres UANL</v>
      </c>
      <c r="D471" s="8">
        <f t="shared" si="37"/>
        <v>0</v>
      </c>
      <c r="F471" s="4" t="str">
        <f>IF(Jugadores!B471="","",Jugadores!B471)</f>
        <v>Rodríguez Osvaldo</v>
      </c>
      <c r="G471" s="4" t="str">
        <f>IF(Jugadores!B471="","",Jugadores!A471)</f>
        <v>Tigres UANL</v>
      </c>
      <c r="H471" s="4">
        <f>IF(F471="","",SUMIF('Estadísticas Jugadores'!$F$2:$F$7001,F471,'Estadísticas Jugadores'!$L$2:$L$7001))</f>
        <v>0</v>
      </c>
      <c r="I471" s="4">
        <f t="shared" si="38"/>
        <v>-4.71E-5</v>
      </c>
      <c r="J471" s="4">
        <f t="shared" si="39"/>
        <v>475</v>
      </c>
    </row>
    <row r="472" spans="1:10" ht="15" customHeight="1" x14ac:dyDescent="0.25">
      <c r="A472" s="8">
        <f>IF(COUNT($J$2:$J$1501)&gt;=471,471,"")</f>
        <v>471</v>
      </c>
      <c r="B472" s="8" t="str">
        <f t="shared" si="35"/>
        <v>Guerrero Rafael</v>
      </c>
      <c r="C472" s="8" t="str">
        <f t="shared" si="36"/>
        <v>Tigres UANL</v>
      </c>
      <c r="D472" s="8">
        <f t="shared" si="37"/>
        <v>0</v>
      </c>
      <c r="F472" s="4" t="str">
        <f>IF(Jugadores!B472="","",Jugadores!B472)</f>
        <v>Salazar Bryan</v>
      </c>
      <c r="G472" s="4" t="str">
        <f>IF(Jugadores!B472="","",Jugadores!A472)</f>
        <v>Tigres UANL</v>
      </c>
      <c r="H472" s="4">
        <f>IF(F472="","",SUMIF('Estadísticas Jugadores'!$F$2:$F$7001,F472,'Estadísticas Jugadores'!$L$2:$L$7001))</f>
        <v>0</v>
      </c>
      <c r="I472" s="4">
        <f t="shared" si="38"/>
        <v>-4.7199999999999995E-5</v>
      </c>
      <c r="J472" s="4">
        <f t="shared" si="39"/>
        <v>476</v>
      </c>
    </row>
    <row r="473" spans="1:10" ht="15" customHeight="1" x14ac:dyDescent="0.25">
      <c r="A473" s="8">
        <f>IF(COUNT($J$2:$J$1501)&gt;=472,472,"")</f>
        <v>472</v>
      </c>
      <c r="B473" s="8" t="str">
        <f t="shared" si="35"/>
        <v>Joaquim</v>
      </c>
      <c r="C473" s="8" t="str">
        <f t="shared" si="36"/>
        <v>Tigres UANL</v>
      </c>
      <c r="D473" s="8">
        <f t="shared" si="37"/>
        <v>0</v>
      </c>
      <c r="F473" s="4" t="str">
        <f>IF(Jugadores!B473="","",Jugadores!B473)</f>
        <v>Sanchez Purata Juan José</v>
      </c>
      <c r="G473" s="4" t="str">
        <f>IF(Jugadores!B473="","",Jugadores!A473)</f>
        <v>Tigres UANL</v>
      </c>
      <c r="H473" s="4">
        <f>IF(F473="","",SUMIF('Estadísticas Jugadores'!$F$2:$F$7001,F473,'Estadísticas Jugadores'!$L$2:$L$7001))</f>
        <v>0</v>
      </c>
      <c r="I473" s="4">
        <f t="shared" si="38"/>
        <v>-4.7299999999999998E-5</v>
      </c>
      <c r="J473" s="4">
        <f t="shared" si="39"/>
        <v>477</v>
      </c>
    </row>
    <row r="474" spans="1:10" ht="15" customHeight="1" x14ac:dyDescent="0.25">
      <c r="A474" s="8">
        <f>IF(COUNT($J$2:$J$1501)&gt;=473,473,"")</f>
        <v>473</v>
      </c>
      <c r="B474" s="8" t="str">
        <f t="shared" si="35"/>
        <v>Lorona Vladimir</v>
      </c>
      <c r="C474" s="8" t="str">
        <f t="shared" si="36"/>
        <v>Tigres UANL</v>
      </c>
      <c r="D474" s="8">
        <f t="shared" si="37"/>
        <v>0</v>
      </c>
      <c r="F474" s="4" t="str">
        <f>IF(Jugadores!B474="","",Jugadores!B474)</f>
        <v>Araujo Cesar</v>
      </c>
      <c r="G474" s="4" t="str">
        <f>IF(Jugadores!B474="","",Jugadores!A474)</f>
        <v>Tigres UANL</v>
      </c>
      <c r="H474" s="4">
        <f>IF(F474="","",SUMIF('Estadísticas Jugadores'!$F$2:$F$7001,F474,'Estadísticas Jugadores'!$L$2:$L$7001))</f>
        <v>0</v>
      </c>
      <c r="I474" s="4">
        <f t="shared" si="38"/>
        <v>-4.74E-5</v>
      </c>
      <c r="J474" s="4">
        <f t="shared" si="39"/>
        <v>478</v>
      </c>
    </row>
    <row r="475" spans="1:10" ht="15" customHeight="1" x14ac:dyDescent="0.25">
      <c r="A475" s="8">
        <f>IF(COUNT($J$2:$J$1501)&gt;=474,474,"")</f>
        <v>474</v>
      </c>
      <c r="B475" s="8" t="str">
        <f t="shared" si="35"/>
        <v>Ordonez Delgado Fernando Imanol</v>
      </c>
      <c r="C475" s="8" t="str">
        <f t="shared" si="36"/>
        <v>Tigres UANL</v>
      </c>
      <c r="D475" s="8">
        <f t="shared" si="37"/>
        <v>0</v>
      </c>
      <c r="F475" s="4" t="str">
        <f>IF(Jugadores!B475="","",Jugadores!B475)</f>
        <v>Correa Ángel</v>
      </c>
      <c r="G475" s="4" t="str">
        <f>IF(Jugadores!B475="","",Jugadores!A475)</f>
        <v>Tigres UANL</v>
      </c>
      <c r="H475" s="4">
        <f>IF(F475="","",SUMIF('Estadísticas Jugadores'!$F$2:$F$7001,F475,'Estadísticas Jugadores'!$L$2:$L$7001))</f>
        <v>0</v>
      </c>
      <c r="I475" s="4">
        <f t="shared" si="38"/>
        <v>-4.7499999999999996E-5</v>
      </c>
      <c r="J475" s="4">
        <f t="shared" si="39"/>
        <v>479</v>
      </c>
    </row>
    <row r="476" spans="1:10" ht="15" customHeight="1" x14ac:dyDescent="0.25">
      <c r="A476" s="8">
        <f>IF(COUNT($J$2:$J$1501)&gt;=475,475,"")</f>
        <v>475</v>
      </c>
      <c r="B476" s="8" t="str">
        <f t="shared" si="35"/>
        <v>Rodríguez Osvaldo</v>
      </c>
      <c r="C476" s="8" t="str">
        <f t="shared" si="36"/>
        <v>Tigres UANL</v>
      </c>
      <c r="D476" s="8">
        <f t="shared" si="37"/>
        <v>0</v>
      </c>
      <c r="F476" s="4" t="str">
        <f>IF(Jugadores!B476="","",Jugadores!B476)</f>
        <v>Flores Marcelo</v>
      </c>
      <c r="G476" s="4" t="str">
        <f>IF(Jugadores!B476="","",Jugadores!A476)</f>
        <v>Tigres UANL</v>
      </c>
      <c r="H476" s="4">
        <f>IF(F476="","",SUMIF('Estadísticas Jugadores'!$F$2:$F$7001,F476,'Estadísticas Jugadores'!$L$2:$L$7001))</f>
        <v>0</v>
      </c>
      <c r="I476" s="4">
        <f t="shared" si="38"/>
        <v>-4.7599999999999998E-5</v>
      </c>
      <c r="J476" s="4">
        <f t="shared" si="39"/>
        <v>480</v>
      </c>
    </row>
    <row r="477" spans="1:10" ht="15" customHeight="1" x14ac:dyDescent="0.25">
      <c r="A477" s="8">
        <f>IF(COUNT($J$2:$J$1501)&gt;=476,476,"")</f>
        <v>476</v>
      </c>
      <c r="B477" s="8" t="str">
        <f t="shared" si="35"/>
        <v>Salazar Bryan</v>
      </c>
      <c r="C477" s="8" t="str">
        <f t="shared" si="36"/>
        <v>Tigres UANL</v>
      </c>
      <c r="D477" s="8">
        <f t="shared" si="37"/>
        <v>0</v>
      </c>
      <c r="F477" s="4" t="str">
        <f>IF(Jugadores!B477="","",Jugadores!B477)</f>
        <v>Galvan Isac</v>
      </c>
      <c r="G477" s="4" t="str">
        <f>IF(Jugadores!B477="","",Jugadores!A477)</f>
        <v>Tigres UANL</v>
      </c>
      <c r="H477" s="4">
        <f>IF(F477="","",SUMIF('Estadísticas Jugadores'!$F$2:$F$7001,F477,'Estadísticas Jugadores'!$L$2:$L$7001))</f>
        <v>0</v>
      </c>
      <c r="I477" s="4">
        <f t="shared" si="38"/>
        <v>-4.7700000000000001E-5</v>
      </c>
      <c r="J477" s="4">
        <f t="shared" si="39"/>
        <v>481</v>
      </c>
    </row>
    <row r="478" spans="1:10" ht="15" customHeight="1" x14ac:dyDescent="0.25">
      <c r="A478" s="8">
        <f>IF(COUNT($J$2:$J$1501)&gt;=477,477,"")</f>
        <v>477</v>
      </c>
      <c r="B478" s="8" t="str">
        <f t="shared" si="35"/>
        <v>Sanchez Purata Juan José</v>
      </c>
      <c r="C478" s="8" t="str">
        <f t="shared" si="36"/>
        <v>Tigres UANL</v>
      </c>
      <c r="D478" s="8">
        <f t="shared" si="37"/>
        <v>0</v>
      </c>
      <c r="F478" s="4" t="str">
        <f>IF(Jugadores!B478="","",Jugadores!B478)</f>
        <v>Gorriaran Fontes Fernando</v>
      </c>
      <c r="G478" s="4" t="str">
        <f>IF(Jugadores!B478="","",Jugadores!A478)</f>
        <v>Tigres UANL</v>
      </c>
      <c r="H478" s="4">
        <f>IF(F478="","",SUMIF('Estadísticas Jugadores'!$F$2:$F$7001,F478,'Estadísticas Jugadores'!$L$2:$L$7001))</f>
        <v>0</v>
      </c>
      <c r="I478" s="4">
        <f t="shared" si="38"/>
        <v>-4.7799999999999996E-5</v>
      </c>
      <c r="J478" s="4">
        <f t="shared" si="39"/>
        <v>482</v>
      </c>
    </row>
    <row r="479" spans="1:10" ht="15" customHeight="1" x14ac:dyDescent="0.25">
      <c r="A479" s="8">
        <f>IF(COUNT($J$2:$J$1501)&gt;=478,478,"")</f>
        <v>478</v>
      </c>
      <c r="B479" s="8" t="str">
        <f t="shared" si="35"/>
        <v>Araujo Cesar</v>
      </c>
      <c r="C479" s="8" t="str">
        <f t="shared" si="36"/>
        <v>Tigres UANL</v>
      </c>
      <c r="D479" s="8">
        <f t="shared" si="37"/>
        <v>0</v>
      </c>
      <c r="F479" s="4" t="str">
        <f>IF(Jugadores!B479="","",Jugadores!B479)</f>
        <v>Ramirez Diego</v>
      </c>
      <c r="G479" s="4" t="str">
        <f>IF(Jugadores!B479="","",Jugadores!A479)</f>
        <v>Tigres UANL</v>
      </c>
      <c r="H479" s="4">
        <f>IF(F479="","",SUMIF('Estadísticas Jugadores'!$F$2:$F$7001,F479,'Estadísticas Jugadores'!$L$2:$L$7001))</f>
        <v>0</v>
      </c>
      <c r="I479" s="4">
        <f t="shared" si="38"/>
        <v>-4.7899999999999999E-5</v>
      </c>
      <c r="J479" s="4">
        <f t="shared" si="39"/>
        <v>483</v>
      </c>
    </row>
    <row r="480" spans="1:10" ht="15" customHeight="1" x14ac:dyDescent="0.25">
      <c r="A480" s="8">
        <f>IF(COUNT($J$2:$J$1501)&gt;=479,479,"")</f>
        <v>479</v>
      </c>
      <c r="B480" s="8" t="str">
        <f t="shared" si="35"/>
        <v>Correa Ángel</v>
      </c>
      <c r="C480" s="8" t="str">
        <f t="shared" si="36"/>
        <v>Tigres UANL</v>
      </c>
      <c r="D480" s="8">
        <f t="shared" si="37"/>
        <v>0</v>
      </c>
      <c r="F480" s="4" t="str">
        <f>IF(Jugadores!B480="","",Jugadores!B480)</f>
        <v>Romulo</v>
      </c>
      <c r="G480" s="4" t="str">
        <f>IF(Jugadores!B480="","",Jugadores!A480)</f>
        <v>Tigres UANL</v>
      </c>
      <c r="H480" s="4">
        <f>IF(F480="","",SUMIF('Estadísticas Jugadores'!$F$2:$F$7001,F480,'Estadísticas Jugadores'!$L$2:$L$7001))</f>
        <v>0</v>
      </c>
      <c r="I480" s="4">
        <f t="shared" si="38"/>
        <v>-4.8000000000000001E-5</v>
      </c>
      <c r="J480" s="4">
        <f t="shared" si="39"/>
        <v>484</v>
      </c>
    </row>
    <row r="481" spans="1:10" ht="15" customHeight="1" x14ac:dyDescent="0.25">
      <c r="A481" s="8">
        <f>IF(COUNT($J$2:$J$1501)&gt;=480,480,"")</f>
        <v>480</v>
      </c>
      <c r="B481" s="8" t="str">
        <f t="shared" si="35"/>
        <v>Flores Marcelo</v>
      </c>
      <c r="C481" s="8" t="str">
        <f t="shared" si="36"/>
        <v>Tigres UANL</v>
      </c>
      <c r="D481" s="8">
        <f t="shared" si="37"/>
        <v>0</v>
      </c>
      <c r="F481" s="4" t="str">
        <f>IF(Jugadores!B481="","",Jugadores!B481)</f>
        <v>Salinas Villarreal Marcelo</v>
      </c>
      <c r="G481" s="4" t="str">
        <f>IF(Jugadores!B481="","",Jugadores!A481)</f>
        <v>Tigres UANL</v>
      </c>
      <c r="H481" s="4">
        <f>IF(F481="","",SUMIF('Estadísticas Jugadores'!$F$2:$F$7001,F481,'Estadísticas Jugadores'!$L$2:$L$7001))</f>
        <v>0</v>
      </c>
      <c r="I481" s="4">
        <f t="shared" si="38"/>
        <v>-4.8099999999999997E-5</v>
      </c>
      <c r="J481" s="4">
        <f t="shared" si="39"/>
        <v>485</v>
      </c>
    </row>
    <row r="482" spans="1:10" ht="15" customHeight="1" x14ac:dyDescent="0.25">
      <c r="A482" s="8">
        <f>IF(COUNT($J$2:$J$1501)&gt;=481,481,"")</f>
        <v>481</v>
      </c>
      <c r="B482" s="8" t="str">
        <f t="shared" si="35"/>
        <v>Galvan Isac</v>
      </c>
      <c r="C482" s="8" t="str">
        <f t="shared" si="36"/>
        <v>Tigres UANL</v>
      </c>
      <c r="D482" s="8">
        <f t="shared" si="37"/>
        <v>0</v>
      </c>
      <c r="F482" s="4" t="str">
        <f>IF(Jugadores!B482="","",Jugadores!B482)</f>
        <v>Sanchez Guevara Diego Alexander</v>
      </c>
      <c r="G482" s="4" t="str">
        <f>IF(Jugadores!B482="","",Jugadores!A482)</f>
        <v>Tigres UANL</v>
      </c>
      <c r="H482" s="4">
        <f>IF(F482="","",SUMIF('Estadísticas Jugadores'!$F$2:$F$7001,F482,'Estadísticas Jugadores'!$L$2:$L$7001))</f>
        <v>0</v>
      </c>
      <c r="I482" s="4">
        <f t="shared" si="38"/>
        <v>-4.8199999999999999E-5</v>
      </c>
      <c r="J482" s="4">
        <f t="shared" si="39"/>
        <v>486</v>
      </c>
    </row>
    <row r="483" spans="1:10" ht="15" customHeight="1" x14ac:dyDescent="0.25">
      <c r="A483" s="8">
        <f>IF(COUNT($J$2:$J$1501)&gt;=482,482,"")</f>
        <v>482</v>
      </c>
      <c r="B483" s="8" t="str">
        <f t="shared" si="35"/>
        <v>Gorriaran Fontes Fernando</v>
      </c>
      <c r="C483" s="8" t="str">
        <f t="shared" si="36"/>
        <v>Tigres UANL</v>
      </c>
      <c r="D483" s="8">
        <f t="shared" si="37"/>
        <v>0</v>
      </c>
      <c r="F483" s="4" t="str">
        <f>IF(Jugadores!B483="","",Jugadores!B483)</f>
        <v>Simeone</v>
      </c>
      <c r="G483" s="4" t="str">
        <f>IF(Jugadores!B483="","",Jugadores!A483)</f>
        <v>Tigres UANL</v>
      </c>
      <c r="H483" s="4">
        <f>IF(F483="","",SUMIF('Estadísticas Jugadores'!$F$2:$F$7001,F483,'Estadísticas Jugadores'!$L$2:$L$7001))</f>
        <v>0</v>
      </c>
      <c r="I483" s="4">
        <f t="shared" si="38"/>
        <v>-4.8299999999999995E-5</v>
      </c>
      <c r="J483" s="4">
        <f t="shared" si="39"/>
        <v>487</v>
      </c>
    </row>
    <row r="484" spans="1:10" ht="15" customHeight="1" x14ac:dyDescent="0.25">
      <c r="A484" s="8">
        <f>IF(COUNT($J$2:$J$1501)&gt;=483,483,"")</f>
        <v>483</v>
      </c>
      <c r="B484" s="8" t="str">
        <f t="shared" si="35"/>
        <v>Ramirez Diego</v>
      </c>
      <c r="C484" s="8" t="str">
        <f t="shared" si="36"/>
        <v>Tigres UANL</v>
      </c>
      <c r="D484" s="8">
        <f t="shared" si="37"/>
        <v>0</v>
      </c>
      <c r="F484" s="4" t="str">
        <f>IF(Jugadores!B484="","",Jugadores!B484)</f>
        <v>Vigon Cham Juan Pablo</v>
      </c>
      <c r="G484" s="4" t="str">
        <f>IF(Jugadores!B484="","",Jugadores!A484)</f>
        <v>Tigres UANL</v>
      </c>
      <c r="H484" s="4">
        <f>IF(F484="","",SUMIF('Estadísticas Jugadores'!$F$2:$F$7001,F484,'Estadísticas Jugadores'!$L$2:$L$7001))</f>
        <v>0</v>
      </c>
      <c r="I484" s="4">
        <f t="shared" si="38"/>
        <v>-4.8399999999999997E-5</v>
      </c>
      <c r="J484" s="4">
        <f t="shared" si="39"/>
        <v>488</v>
      </c>
    </row>
    <row r="485" spans="1:10" ht="15" customHeight="1" x14ac:dyDescent="0.25">
      <c r="A485" s="8">
        <f>IF(COUNT($J$2:$J$1501)&gt;=484,484,"")</f>
        <v>484</v>
      </c>
      <c r="B485" s="8" t="str">
        <f t="shared" si="35"/>
        <v>Romulo</v>
      </c>
      <c r="C485" s="8" t="str">
        <f t="shared" si="36"/>
        <v>Tigres UANL</v>
      </c>
      <c r="D485" s="8">
        <f t="shared" si="37"/>
        <v>0</v>
      </c>
      <c r="F485" s="4" t="str">
        <f>IF(Jugadores!B485="","",Jugadores!B485)</f>
        <v>Aguirre Rodrigo</v>
      </c>
      <c r="G485" s="4" t="str">
        <f>IF(Jugadores!B485="","",Jugadores!A485)</f>
        <v>Tigres UANL</v>
      </c>
      <c r="H485" s="4">
        <f>IF(F485="","",SUMIF('Estadísticas Jugadores'!$F$2:$F$7001,F485,'Estadísticas Jugadores'!$L$2:$L$7001))</f>
        <v>0</v>
      </c>
      <c r="I485" s="4">
        <f t="shared" si="38"/>
        <v>-4.85E-5</v>
      </c>
      <c r="J485" s="4">
        <f t="shared" si="39"/>
        <v>489</v>
      </c>
    </row>
    <row r="486" spans="1:10" ht="15" customHeight="1" x14ac:dyDescent="0.25">
      <c r="A486" s="8">
        <f>IF(COUNT($J$2:$J$1501)&gt;=485,485,"")</f>
        <v>485</v>
      </c>
      <c r="B486" s="8" t="str">
        <f t="shared" si="35"/>
        <v>Salinas Villarreal Marcelo</v>
      </c>
      <c r="C486" s="8" t="str">
        <f t="shared" si="36"/>
        <v>Tigres UANL</v>
      </c>
      <c r="D486" s="8">
        <f t="shared" si="37"/>
        <v>0</v>
      </c>
      <c r="F486" s="4" t="str">
        <f>IF(Jugadores!B486="","",Jugadores!B486)</f>
        <v>Brunetta Juan Francisco</v>
      </c>
      <c r="G486" s="4" t="str">
        <f>IF(Jugadores!B486="","",Jugadores!A486)</f>
        <v>Tigres UANL</v>
      </c>
      <c r="H486" s="4">
        <f>IF(F486="","",SUMIF('Estadísticas Jugadores'!$F$2:$F$7001,F486,'Estadísticas Jugadores'!$L$2:$L$7001))</f>
        <v>1</v>
      </c>
      <c r="I486" s="4">
        <f t="shared" si="38"/>
        <v>999.99995139999999</v>
      </c>
      <c r="J486" s="4">
        <f t="shared" si="39"/>
        <v>48</v>
      </c>
    </row>
    <row r="487" spans="1:10" ht="15" customHeight="1" x14ac:dyDescent="0.25">
      <c r="A487" s="8">
        <f>IF(COUNT($J$2:$J$1501)&gt;=486,486,"")</f>
        <v>486</v>
      </c>
      <c r="B487" s="8" t="str">
        <f t="shared" si="35"/>
        <v>Sanchez Guevara Diego Alexander</v>
      </c>
      <c r="C487" s="8" t="str">
        <f t="shared" si="36"/>
        <v>Tigres UANL</v>
      </c>
      <c r="D487" s="8">
        <f t="shared" si="37"/>
        <v>0</v>
      </c>
      <c r="F487" s="4" t="str">
        <f>IF(Jugadores!B487="","",Jugadores!B487)</f>
        <v>Galvan Isaias</v>
      </c>
      <c r="G487" s="4" t="str">
        <f>IF(Jugadores!B487="","",Jugadores!A487)</f>
        <v>Tigres UANL</v>
      </c>
      <c r="H487" s="4">
        <f>IF(F487="","",SUMIF('Estadísticas Jugadores'!$F$2:$F$7001,F487,'Estadísticas Jugadores'!$L$2:$L$7001))</f>
        <v>0</v>
      </c>
      <c r="I487" s="4">
        <f t="shared" si="38"/>
        <v>-4.8699999999999998E-5</v>
      </c>
      <c r="J487" s="4">
        <f t="shared" si="39"/>
        <v>490</v>
      </c>
    </row>
    <row r="488" spans="1:10" ht="15" customHeight="1" x14ac:dyDescent="0.25">
      <c r="A488" s="8">
        <f>IF(COUNT($J$2:$J$1501)&gt;=487,487,"")</f>
        <v>487</v>
      </c>
      <c r="B488" s="8" t="str">
        <f t="shared" si="35"/>
        <v>Simeone</v>
      </c>
      <c r="C488" s="8" t="str">
        <f t="shared" si="36"/>
        <v>Tigres UANL</v>
      </c>
      <c r="D488" s="8">
        <f t="shared" si="37"/>
        <v>0</v>
      </c>
      <c r="F488" s="4" t="str">
        <f>IF(Jugadores!B488="","",Jugadores!B488)</f>
        <v>Gignac Andre-Pierre</v>
      </c>
      <c r="G488" s="4" t="str">
        <f>IF(Jugadores!B488="","",Jugadores!A488)</f>
        <v>Tigres UANL</v>
      </c>
      <c r="H488" s="4">
        <f>IF(F488="","",SUMIF('Estadísticas Jugadores'!$F$2:$F$7001,F488,'Estadísticas Jugadores'!$L$2:$L$7001))</f>
        <v>0</v>
      </c>
      <c r="I488" s="4">
        <f t="shared" si="38"/>
        <v>-4.88E-5</v>
      </c>
      <c r="J488" s="4">
        <f t="shared" si="39"/>
        <v>491</v>
      </c>
    </row>
    <row r="489" spans="1:10" ht="15" customHeight="1" x14ac:dyDescent="0.25">
      <c r="A489" s="8">
        <f>IF(COUNT($J$2:$J$1501)&gt;=488,488,"")</f>
        <v>488</v>
      </c>
      <c r="B489" s="8" t="str">
        <f t="shared" si="35"/>
        <v>Vigon Cham Juan Pablo</v>
      </c>
      <c r="C489" s="8" t="str">
        <f t="shared" si="36"/>
        <v>Tigres UANL</v>
      </c>
      <c r="D489" s="8">
        <f t="shared" si="37"/>
        <v>0</v>
      </c>
      <c r="F489" s="4" t="str">
        <f>IF(Jugadores!B489="","",Jugadores!B489)</f>
        <v>Herrera Ozziel</v>
      </c>
      <c r="G489" s="4" t="str">
        <f>IF(Jugadores!B489="","",Jugadores!A489)</f>
        <v>Tigres UANL</v>
      </c>
      <c r="H489" s="4">
        <f>IF(F489="","",SUMIF('Estadísticas Jugadores'!$F$2:$F$7001,F489,'Estadísticas Jugadores'!$L$2:$L$7001))</f>
        <v>1</v>
      </c>
      <c r="I489" s="4">
        <f t="shared" si="38"/>
        <v>999.99995109999998</v>
      </c>
      <c r="J489" s="4">
        <f t="shared" si="39"/>
        <v>49</v>
      </c>
    </row>
    <row r="490" spans="1:10" ht="15" customHeight="1" x14ac:dyDescent="0.25">
      <c r="A490" s="8">
        <f>IF(COUNT($J$2:$J$1501)&gt;=489,489,"")</f>
        <v>489</v>
      </c>
      <c r="B490" s="8" t="str">
        <f t="shared" si="35"/>
        <v>Aguirre Rodrigo</v>
      </c>
      <c r="C490" s="8" t="str">
        <f t="shared" si="36"/>
        <v>Tigres UANL</v>
      </c>
      <c r="D490" s="8">
        <f t="shared" si="37"/>
        <v>0</v>
      </c>
      <c r="F490" s="4" t="str">
        <f>IF(Jugadores!B490="","",Jugadores!B490)</f>
        <v>Lainez Diego</v>
      </c>
      <c r="G490" s="4" t="str">
        <f>IF(Jugadores!B490="","",Jugadores!A490)</f>
        <v>Tigres UANL</v>
      </c>
      <c r="H490" s="4">
        <f>IF(F490="","",SUMIF('Estadísticas Jugadores'!$F$2:$F$7001,F490,'Estadísticas Jugadores'!$L$2:$L$7001))</f>
        <v>0</v>
      </c>
      <c r="I490" s="4">
        <f t="shared" si="38"/>
        <v>-4.8999999999999998E-5</v>
      </c>
      <c r="J490" s="4">
        <f t="shared" si="39"/>
        <v>492</v>
      </c>
    </row>
    <row r="491" spans="1:10" ht="15" customHeight="1" x14ac:dyDescent="0.25">
      <c r="A491" s="8">
        <f>IF(COUNT($J$2:$J$1501)&gt;=490,490,"")</f>
        <v>490</v>
      </c>
      <c r="B491" s="8" t="str">
        <f t="shared" si="35"/>
        <v>Galvan Isaias</v>
      </c>
      <c r="C491" s="8" t="str">
        <f t="shared" si="36"/>
        <v>Tigres UANL</v>
      </c>
      <c r="D491" s="8">
        <f t="shared" si="37"/>
        <v>0</v>
      </c>
      <c r="F491" s="4" t="str">
        <f>IF(Jugadores!B491="","",Jugadores!B491)</f>
        <v>de Maria Campos Antoino</v>
      </c>
      <c r="G491" s="4" t="str">
        <f>IF(Jugadores!B491="","",Jugadores!A491)</f>
        <v>Tigres UANL</v>
      </c>
      <c r="H491" s="4">
        <f>IF(F491="","",SUMIF('Estadísticas Jugadores'!$F$2:$F$7001,F491,'Estadísticas Jugadores'!$L$2:$L$7001))</f>
        <v>0</v>
      </c>
      <c r="I491" s="4">
        <f t="shared" si="38"/>
        <v>-4.9100000000000001E-5</v>
      </c>
      <c r="J491" s="4">
        <f t="shared" si="39"/>
        <v>493</v>
      </c>
    </row>
    <row r="492" spans="1:10" ht="15" customHeight="1" x14ac:dyDescent="0.25">
      <c r="A492" s="8">
        <f>IF(COUNT($J$2:$J$1501)&gt;=491,491,"")</f>
        <v>491</v>
      </c>
      <c r="B492" s="8" t="str">
        <f t="shared" si="35"/>
        <v>Gignac Andre-Pierre</v>
      </c>
      <c r="C492" s="8" t="str">
        <f t="shared" si="36"/>
        <v>Tigres UANL</v>
      </c>
      <c r="D492" s="8">
        <f t="shared" si="37"/>
        <v>0</v>
      </c>
      <c r="F492" s="4" t="str">
        <f>IF(Jugadores!B492="","",Jugadores!B492)</f>
        <v>Liceaga Juan</v>
      </c>
      <c r="G492" s="4" t="str">
        <f>IF(Jugadores!B492="","",Jugadores!A492)</f>
        <v>Guadalajara</v>
      </c>
      <c r="H492" s="4">
        <f>IF(F492="","",SUMIF('Estadísticas Jugadores'!$F$2:$F$7001,F492,'Estadísticas Jugadores'!$L$2:$L$7001))</f>
        <v>0</v>
      </c>
      <c r="I492" s="4">
        <f t="shared" si="38"/>
        <v>-4.9199999999999997E-5</v>
      </c>
      <c r="J492" s="4">
        <f t="shared" si="39"/>
        <v>494</v>
      </c>
    </row>
    <row r="493" spans="1:10" ht="15" customHeight="1" x14ac:dyDescent="0.25">
      <c r="A493" s="8">
        <f>IF(COUNT($J$2:$J$1501)&gt;=492,492,"")</f>
        <v>492</v>
      </c>
      <c r="B493" s="8" t="str">
        <f t="shared" si="35"/>
        <v>Lainez Diego</v>
      </c>
      <c r="C493" s="8" t="str">
        <f t="shared" si="36"/>
        <v>Tigres UANL</v>
      </c>
      <c r="D493" s="8">
        <f t="shared" si="37"/>
        <v>0</v>
      </c>
      <c r="F493" s="4" t="str">
        <f>IF(Jugadores!B493="","",Jugadores!B493)</f>
        <v>Rangel Raul</v>
      </c>
      <c r="G493" s="4" t="str">
        <f>IF(Jugadores!B493="","",Jugadores!A493)</f>
        <v>Guadalajara</v>
      </c>
      <c r="H493" s="4">
        <f>IF(F493="","",SUMIF('Estadísticas Jugadores'!$F$2:$F$7001,F493,'Estadísticas Jugadores'!$L$2:$L$7001))</f>
        <v>0</v>
      </c>
      <c r="I493" s="4">
        <f t="shared" si="38"/>
        <v>-4.9299999999999999E-5</v>
      </c>
      <c r="J493" s="4">
        <f t="shared" si="39"/>
        <v>495</v>
      </c>
    </row>
    <row r="494" spans="1:10" ht="15" customHeight="1" x14ac:dyDescent="0.25">
      <c r="A494" s="8">
        <f>IF(COUNT($J$2:$J$1501)&gt;=493,493,"")</f>
        <v>493</v>
      </c>
      <c r="B494" s="8" t="str">
        <f t="shared" si="35"/>
        <v>de Maria Campos Antoino</v>
      </c>
      <c r="C494" s="8" t="str">
        <f t="shared" si="36"/>
        <v>Tigres UANL</v>
      </c>
      <c r="D494" s="8">
        <f t="shared" si="37"/>
        <v>0</v>
      </c>
      <c r="F494" s="4" t="str">
        <f>IF(Jugadores!B494="","",Jugadores!B494)</f>
        <v>Whalley Oscar</v>
      </c>
      <c r="G494" s="4" t="str">
        <f>IF(Jugadores!B494="","",Jugadores!A494)</f>
        <v>Guadalajara</v>
      </c>
      <c r="H494" s="4">
        <f>IF(F494="","",SUMIF('Estadísticas Jugadores'!$F$2:$F$7001,F494,'Estadísticas Jugadores'!$L$2:$L$7001))</f>
        <v>0</v>
      </c>
      <c r="I494" s="4">
        <f t="shared" si="38"/>
        <v>-4.9399999999999995E-5</v>
      </c>
      <c r="J494" s="4">
        <f t="shared" si="39"/>
        <v>496</v>
      </c>
    </row>
    <row r="495" spans="1:10" ht="15" customHeight="1" x14ac:dyDescent="0.25">
      <c r="A495" s="8">
        <f>IF(COUNT($J$2:$J$1501)&gt;=494,494,"")</f>
        <v>494</v>
      </c>
      <c r="B495" s="8" t="str">
        <f t="shared" si="35"/>
        <v>Liceaga Juan</v>
      </c>
      <c r="C495" s="8" t="str">
        <f t="shared" si="36"/>
        <v>Guadalajara</v>
      </c>
      <c r="D495" s="8">
        <f t="shared" si="37"/>
        <v>0</v>
      </c>
      <c r="F495" s="4" t="str">
        <f>IF(Jugadores!B495="","",Jugadores!B495)</f>
        <v>Aguirre Daniel</v>
      </c>
      <c r="G495" s="4" t="str">
        <f>IF(Jugadores!B495="","",Jugadores!A495)</f>
        <v>Guadalajara</v>
      </c>
      <c r="H495" s="4">
        <f>IF(F495="","",SUMIF('Estadísticas Jugadores'!$F$2:$F$7001,F495,'Estadísticas Jugadores'!$L$2:$L$7001))</f>
        <v>0</v>
      </c>
      <c r="I495" s="4">
        <f t="shared" si="38"/>
        <v>-4.9499999999999997E-5</v>
      </c>
      <c r="J495" s="4">
        <f t="shared" si="39"/>
        <v>497</v>
      </c>
    </row>
    <row r="496" spans="1:10" ht="15" customHeight="1" x14ac:dyDescent="0.25">
      <c r="A496" s="8">
        <f>IF(COUNT($J$2:$J$1501)&gt;=495,495,"")</f>
        <v>495</v>
      </c>
      <c r="B496" s="8" t="str">
        <f t="shared" si="35"/>
        <v>Rangel Raul</v>
      </c>
      <c r="C496" s="8" t="str">
        <f t="shared" si="36"/>
        <v>Guadalajara</v>
      </c>
      <c r="D496" s="8">
        <f t="shared" si="37"/>
        <v>0</v>
      </c>
      <c r="F496" s="4" t="str">
        <f>IF(Jugadores!B496="","",Jugadores!B496)</f>
        <v>Campillo Del Campo Diego</v>
      </c>
      <c r="G496" s="4" t="str">
        <f>IF(Jugadores!B496="","",Jugadores!A496)</f>
        <v>Guadalajara</v>
      </c>
      <c r="H496" s="4">
        <f>IF(F496="","",SUMIF('Estadísticas Jugadores'!$F$2:$F$7001,F496,'Estadísticas Jugadores'!$L$2:$L$7001))</f>
        <v>0</v>
      </c>
      <c r="I496" s="4">
        <f t="shared" si="38"/>
        <v>-4.9599999999999999E-5</v>
      </c>
      <c r="J496" s="4">
        <f t="shared" si="39"/>
        <v>498</v>
      </c>
    </row>
    <row r="497" spans="1:10" ht="15" customHeight="1" x14ac:dyDescent="0.25">
      <c r="A497" s="8">
        <f>IF(COUNT($J$2:$J$1501)&gt;=496,496,"")</f>
        <v>496</v>
      </c>
      <c r="B497" s="8" t="str">
        <f t="shared" si="35"/>
        <v>Whalley Oscar</v>
      </c>
      <c r="C497" s="8" t="str">
        <f t="shared" si="36"/>
        <v>Guadalajara</v>
      </c>
      <c r="D497" s="8">
        <f t="shared" si="37"/>
        <v>0</v>
      </c>
      <c r="F497" s="4" t="str">
        <f>IF(Jugadores!B497="","",Jugadores!B497)</f>
        <v>Castillo Perez Jose</v>
      </c>
      <c r="G497" s="4" t="str">
        <f>IF(Jugadores!B497="","",Jugadores!A497)</f>
        <v>Guadalajara</v>
      </c>
      <c r="H497" s="4">
        <f>IF(F497="","",SUMIF('Estadísticas Jugadores'!$F$2:$F$7001,F497,'Estadísticas Jugadores'!$L$2:$L$7001))</f>
        <v>0</v>
      </c>
      <c r="I497" s="4">
        <f t="shared" si="38"/>
        <v>-4.9699999999999995E-5</v>
      </c>
      <c r="J497" s="4">
        <f t="shared" si="39"/>
        <v>499</v>
      </c>
    </row>
    <row r="498" spans="1:10" ht="15" customHeight="1" x14ac:dyDescent="0.25">
      <c r="A498" s="8">
        <f>IF(COUNT($J$2:$J$1501)&gt;=497,497,"")</f>
        <v>497</v>
      </c>
      <c r="B498" s="8" t="str">
        <f t="shared" si="35"/>
        <v>Aguirre Daniel</v>
      </c>
      <c r="C498" s="8" t="str">
        <f t="shared" si="36"/>
        <v>Guadalajara</v>
      </c>
      <c r="D498" s="8">
        <f t="shared" si="37"/>
        <v>0</v>
      </c>
      <c r="F498" s="4" t="str">
        <f>IF(Jugadores!B498="","",Jugadores!B498)</f>
        <v>Chavez Angel</v>
      </c>
      <c r="G498" s="4" t="str">
        <f>IF(Jugadores!B498="","",Jugadores!A498)</f>
        <v>Guadalajara</v>
      </c>
      <c r="H498" s="4">
        <f>IF(F498="","",SUMIF('Estadísticas Jugadores'!$F$2:$F$7001,F498,'Estadísticas Jugadores'!$L$2:$L$7001))</f>
        <v>0</v>
      </c>
      <c r="I498" s="4">
        <f t="shared" si="38"/>
        <v>-4.9799999999999998E-5</v>
      </c>
      <c r="J498" s="4">
        <f t="shared" si="39"/>
        <v>500</v>
      </c>
    </row>
    <row r="499" spans="1:10" ht="15" customHeight="1" x14ac:dyDescent="0.25">
      <c r="A499" s="8">
        <f>IF(COUNT($J$2:$J$1501)&gt;=498,498,"")</f>
        <v>498</v>
      </c>
      <c r="B499" s="8" t="str">
        <f t="shared" si="35"/>
        <v>Campillo Del Campo Diego</v>
      </c>
      <c r="C499" s="8" t="str">
        <f t="shared" si="36"/>
        <v>Guadalajara</v>
      </c>
      <c r="D499" s="8">
        <f t="shared" si="37"/>
        <v>0</v>
      </c>
      <c r="F499" s="4" t="str">
        <f>IF(Jugadores!B499="","",Jugadores!B499)</f>
        <v>Gomez Miguel</v>
      </c>
      <c r="G499" s="4" t="str">
        <f>IF(Jugadores!B499="","",Jugadores!A499)</f>
        <v>Guadalajara</v>
      </c>
      <c r="H499" s="4">
        <f>IF(F499="","",SUMIF('Estadísticas Jugadores'!$F$2:$F$7001,F499,'Estadísticas Jugadores'!$L$2:$L$7001))</f>
        <v>0</v>
      </c>
      <c r="I499" s="4">
        <f t="shared" si="38"/>
        <v>-4.99E-5</v>
      </c>
      <c r="J499" s="4">
        <f t="shared" si="39"/>
        <v>501</v>
      </c>
    </row>
    <row r="500" spans="1:10" ht="15" customHeight="1" x14ac:dyDescent="0.25">
      <c r="A500" s="8">
        <f>IF(COUNT($J$2:$J$1501)&gt;=499,499,"")</f>
        <v>499</v>
      </c>
      <c r="B500" s="8" t="str">
        <f t="shared" si="35"/>
        <v>Castillo Perez Jose</v>
      </c>
      <c r="C500" s="8" t="str">
        <f t="shared" si="36"/>
        <v>Guadalajara</v>
      </c>
      <c r="D500" s="8">
        <f t="shared" si="37"/>
        <v>0</v>
      </c>
      <c r="F500" s="4" t="str">
        <f>IF(Jugadores!B500="","",Jugadores!B500)</f>
        <v>Gonzalez Bryan</v>
      </c>
      <c r="G500" s="4" t="str">
        <f>IF(Jugadores!B500="","",Jugadores!A500)</f>
        <v>Guadalajara</v>
      </c>
      <c r="H500" s="4">
        <f>IF(F500="","",SUMIF('Estadísticas Jugadores'!$F$2:$F$7001,F500,'Estadísticas Jugadores'!$L$2:$L$7001))</f>
        <v>1</v>
      </c>
      <c r="I500" s="4">
        <f t="shared" si="38"/>
        <v>999.99995000000001</v>
      </c>
      <c r="J500" s="4">
        <f t="shared" si="39"/>
        <v>50</v>
      </c>
    </row>
    <row r="501" spans="1:10" ht="15" customHeight="1" x14ac:dyDescent="0.25">
      <c r="A501" s="8">
        <f>IF(COUNT($J$2:$J$1501)&gt;=500,500,"")</f>
        <v>500</v>
      </c>
      <c r="B501" s="8" t="str">
        <f t="shared" si="35"/>
        <v>Chavez Angel</v>
      </c>
      <c r="C501" s="8" t="str">
        <f t="shared" si="36"/>
        <v>Guadalajara</v>
      </c>
      <c r="D501" s="8">
        <f t="shared" si="37"/>
        <v>0</v>
      </c>
      <c r="F501" s="4" t="str">
        <f>IF(Jugadores!B501="","",Jugadores!B501)</f>
        <v>Ledezma Richard</v>
      </c>
      <c r="G501" s="4" t="str">
        <f>IF(Jugadores!B501="","",Jugadores!A501)</f>
        <v>Guadalajara</v>
      </c>
      <c r="H501" s="4">
        <f>IF(F501="","",SUMIF('Estadísticas Jugadores'!$F$2:$F$7001,F501,'Estadísticas Jugadores'!$L$2:$L$7001))</f>
        <v>0</v>
      </c>
      <c r="I501" s="4">
        <f t="shared" si="38"/>
        <v>-5.0099999999999998E-5</v>
      </c>
      <c r="J501" s="4">
        <f t="shared" si="39"/>
        <v>502</v>
      </c>
    </row>
    <row r="502" spans="1:10" ht="15" customHeight="1" x14ac:dyDescent="0.25">
      <c r="A502" s="8">
        <f>IF(COUNT($J$2:$J$1501)&gt;=501,501,"")</f>
        <v>501</v>
      </c>
      <c r="B502" s="8" t="str">
        <f t="shared" si="35"/>
        <v>Gomez Miguel</v>
      </c>
      <c r="C502" s="8" t="str">
        <f t="shared" si="36"/>
        <v>Guadalajara</v>
      </c>
      <c r="D502" s="8">
        <f t="shared" si="37"/>
        <v>0</v>
      </c>
      <c r="F502" s="4" t="str">
        <f>IF(Jugadores!B502="","",Jugadores!B502)</f>
        <v>Tapias Miguel</v>
      </c>
      <c r="G502" s="4" t="str">
        <f>IF(Jugadores!B502="","",Jugadores!A502)</f>
        <v>Guadalajara</v>
      </c>
      <c r="H502" s="4">
        <f>IF(F502="","",SUMIF('Estadísticas Jugadores'!$F$2:$F$7001,F502,'Estadísticas Jugadores'!$L$2:$L$7001))</f>
        <v>0</v>
      </c>
      <c r="I502" s="4">
        <f t="shared" si="38"/>
        <v>-5.02E-5</v>
      </c>
      <c r="J502" s="4">
        <f t="shared" si="39"/>
        <v>503</v>
      </c>
    </row>
    <row r="503" spans="1:10" ht="15" customHeight="1" x14ac:dyDescent="0.25">
      <c r="A503" s="8">
        <f>IF(COUNT($J$2:$J$1501)&gt;=502,502,"")</f>
        <v>502</v>
      </c>
      <c r="B503" s="8" t="str">
        <f t="shared" si="35"/>
        <v>Ledezma Richard</v>
      </c>
      <c r="C503" s="8" t="str">
        <f t="shared" si="36"/>
        <v>Guadalajara</v>
      </c>
      <c r="D503" s="8">
        <f t="shared" si="37"/>
        <v>0</v>
      </c>
      <c r="F503" s="4" t="str">
        <f>IF(Jugadores!B503="","",Jugadores!B503)</f>
        <v>Alvarado Roberto</v>
      </c>
      <c r="G503" s="4" t="str">
        <f>IF(Jugadores!B503="","",Jugadores!A503)</f>
        <v>Guadalajara</v>
      </c>
      <c r="H503" s="4">
        <f>IF(F503="","",SUMIF('Estadísticas Jugadores'!$F$2:$F$7001,F503,'Estadísticas Jugadores'!$L$2:$L$7001))</f>
        <v>1</v>
      </c>
      <c r="I503" s="4">
        <f t="shared" si="38"/>
        <v>999.9999497</v>
      </c>
      <c r="J503" s="4">
        <f t="shared" si="39"/>
        <v>51</v>
      </c>
    </row>
    <row r="504" spans="1:10" ht="15" customHeight="1" x14ac:dyDescent="0.25">
      <c r="A504" s="8">
        <f>IF(COUNT($J$2:$J$1501)&gt;=503,503,"")</f>
        <v>503</v>
      </c>
      <c r="B504" s="8" t="str">
        <f t="shared" si="35"/>
        <v>Tapias Miguel</v>
      </c>
      <c r="C504" s="8" t="str">
        <f t="shared" si="36"/>
        <v>Guadalajara</v>
      </c>
      <c r="D504" s="8">
        <f t="shared" si="37"/>
        <v>0</v>
      </c>
      <c r="F504" s="4" t="str">
        <f>IF(Jugadores!B504="","",Jugadores!B504)</f>
        <v>Alvarez Efrain</v>
      </c>
      <c r="G504" s="4" t="str">
        <f>IF(Jugadores!B504="","",Jugadores!A504)</f>
        <v>Guadalajara</v>
      </c>
      <c r="H504" s="4">
        <f>IF(F504="","",SUMIF('Estadísticas Jugadores'!$F$2:$F$7001,F504,'Estadísticas Jugadores'!$L$2:$L$7001))</f>
        <v>0</v>
      </c>
      <c r="I504" s="4">
        <f t="shared" si="38"/>
        <v>-5.0399999999999999E-5</v>
      </c>
      <c r="J504" s="4">
        <f t="shared" si="39"/>
        <v>504</v>
      </c>
    </row>
    <row r="505" spans="1:10" ht="15" customHeight="1" x14ac:dyDescent="0.25">
      <c r="A505" s="8">
        <f>IF(COUNT($J$2:$J$1501)&gt;=504,504,"")</f>
        <v>504</v>
      </c>
      <c r="B505" s="8" t="str">
        <f t="shared" si="35"/>
        <v>Alvarez Efrain</v>
      </c>
      <c r="C505" s="8" t="str">
        <f t="shared" si="36"/>
        <v>Guadalajara</v>
      </c>
      <c r="D505" s="8">
        <f t="shared" si="37"/>
        <v>0</v>
      </c>
      <c r="F505" s="4" t="str">
        <f>IF(Jugadores!B505="","",Jugadores!B505)</f>
        <v>Castaneda Kevin</v>
      </c>
      <c r="G505" s="4" t="str">
        <f>IF(Jugadores!B505="","",Jugadores!A505)</f>
        <v>Guadalajara</v>
      </c>
      <c r="H505" s="4">
        <f>IF(F505="","",SUMIF('Estadísticas Jugadores'!$F$2:$F$7001,F505,'Estadísticas Jugadores'!$L$2:$L$7001))</f>
        <v>0</v>
      </c>
      <c r="I505" s="4">
        <f t="shared" si="38"/>
        <v>-5.0500000000000001E-5</v>
      </c>
      <c r="J505" s="4">
        <f t="shared" si="39"/>
        <v>505</v>
      </c>
    </row>
    <row r="506" spans="1:10" ht="15" customHeight="1" x14ac:dyDescent="0.25">
      <c r="A506" s="8">
        <f>IF(COUNT($J$2:$J$1501)&gt;=505,505,"")</f>
        <v>505</v>
      </c>
      <c r="B506" s="8" t="str">
        <f t="shared" si="35"/>
        <v>Castaneda Kevin</v>
      </c>
      <c r="C506" s="8" t="str">
        <f t="shared" si="36"/>
        <v>Guadalajara</v>
      </c>
      <c r="D506" s="8">
        <f t="shared" si="37"/>
        <v>0</v>
      </c>
      <c r="F506" s="4" t="str">
        <f>IF(Jugadores!B506="","",Jugadores!B506)</f>
        <v>Gonzalez Fernando</v>
      </c>
      <c r="G506" s="4" t="str">
        <f>IF(Jugadores!B506="","",Jugadores!A506)</f>
        <v>Guadalajara</v>
      </c>
      <c r="H506" s="4">
        <f>IF(F506="","",SUMIF('Estadísticas Jugadores'!$F$2:$F$7001,F506,'Estadísticas Jugadores'!$L$2:$L$7001))</f>
        <v>0</v>
      </c>
      <c r="I506" s="4">
        <f t="shared" si="38"/>
        <v>-5.0599999999999997E-5</v>
      </c>
      <c r="J506" s="4">
        <f t="shared" si="39"/>
        <v>506</v>
      </c>
    </row>
    <row r="507" spans="1:10" ht="15" customHeight="1" x14ac:dyDescent="0.25">
      <c r="A507" s="8">
        <f>IF(COUNT($J$2:$J$1501)&gt;=506,506,"")</f>
        <v>506</v>
      </c>
      <c r="B507" s="8" t="str">
        <f t="shared" si="35"/>
        <v>Gonzalez Fernando</v>
      </c>
      <c r="C507" s="8" t="str">
        <f t="shared" si="36"/>
        <v>Guadalajara</v>
      </c>
      <c r="D507" s="8">
        <f t="shared" si="37"/>
        <v>0</v>
      </c>
      <c r="F507" s="4" t="str">
        <f>IF(Jugadores!B507="","",Jugadores!B507)</f>
        <v>Govea Omar</v>
      </c>
      <c r="G507" s="4" t="str">
        <f>IF(Jugadores!B507="","",Jugadores!A507)</f>
        <v>Guadalajara</v>
      </c>
      <c r="H507" s="4">
        <f>IF(F507="","",SUMIF('Estadísticas Jugadores'!$F$2:$F$7001,F507,'Estadísticas Jugadores'!$L$2:$L$7001))</f>
        <v>0</v>
      </c>
      <c r="I507" s="4">
        <f t="shared" si="38"/>
        <v>-5.0699999999999999E-5</v>
      </c>
      <c r="J507" s="4">
        <f t="shared" si="39"/>
        <v>507</v>
      </c>
    </row>
    <row r="508" spans="1:10" ht="15" customHeight="1" x14ac:dyDescent="0.25">
      <c r="A508" s="8">
        <f>IF(COUNT($J$2:$J$1501)&gt;=507,507,"")</f>
        <v>507</v>
      </c>
      <c r="B508" s="8" t="str">
        <f t="shared" si="35"/>
        <v>Govea Omar</v>
      </c>
      <c r="C508" s="8" t="str">
        <f t="shared" si="36"/>
        <v>Guadalajara</v>
      </c>
      <c r="D508" s="8">
        <f t="shared" si="37"/>
        <v>0</v>
      </c>
      <c r="F508" s="4" t="str">
        <f>IF(Jugadores!B508="","",Jugadores!B508)</f>
        <v>Gutiérrez Brian</v>
      </c>
      <c r="G508" s="4" t="str">
        <f>IF(Jugadores!B508="","",Jugadores!A508)</f>
        <v>Guadalajara</v>
      </c>
      <c r="H508" s="4">
        <f>IF(F508="","",SUMIF('Estadísticas Jugadores'!$F$2:$F$7001,F508,'Estadísticas Jugadores'!$L$2:$L$7001))</f>
        <v>0</v>
      </c>
      <c r="I508" s="4">
        <f t="shared" si="38"/>
        <v>-5.0799999999999995E-5</v>
      </c>
      <c r="J508" s="4">
        <f t="shared" si="39"/>
        <v>508</v>
      </c>
    </row>
    <row r="509" spans="1:10" ht="15" customHeight="1" x14ac:dyDescent="0.25">
      <c r="A509" s="8">
        <f>IF(COUNT($J$2:$J$1501)&gt;=508,508,"")</f>
        <v>508</v>
      </c>
      <c r="B509" s="8" t="str">
        <f t="shared" si="35"/>
        <v>Gutiérrez Brian</v>
      </c>
      <c r="C509" s="8" t="str">
        <f t="shared" si="36"/>
        <v>Guadalajara</v>
      </c>
      <c r="D509" s="8">
        <f t="shared" si="37"/>
        <v>0</v>
      </c>
      <c r="F509" s="4" t="str">
        <f>IF(Jugadores!B509="","",Jugadores!B509)</f>
        <v>Inda Samir</v>
      </c>
      <c r="G509" s="4" t="str">
        <f>IF(Jugadores!B509="","",Jugadores!A509)</f>
        <v>Guadalajara</v>
      </c>
      <c r="H509" s="4">
        <f>IF(F509="","",SUMIF('Estadísticas Jugadores'!$F$2:$F$7001,F509,'Estadísticas Jugadores'!$L$2:$L$7001))</f>
        <v>0</v>
      </c>
      <c r="I509" s="4">
        <f t="shared" si="38"/>
        <v>-5.0899999999999997E-5</v>
      </c>
      <c r="J509" s="4">
        <f t="shared" si="39"/>
        <v>509</v>
      </c>
    </row>
    <row r="510" spans="1:10" ht="15" customHeight="1" x14ac:dyDescent="0.25">
      <c r="A510" s="8">
        <f>IF(COUNT($J$2:$J$1501)&gt;=509,509,"")</f>
        <v>509</v>
      </c>
      <c r="B510" s="8" t="str">
        <f t="shared" si="35"/>
        <v>Inda Samir</v>
      </c>
      <c r="C510" s="8" t="str">
        <f t="shared" si="36"/>
        <v>Guadalajara</v>
      </c>
      <c r="D510" s="8">
        <f t="shared" si="37"/>
        <v>0</v>
      </c>
      <c r="F510" s="4" t="str">
        <f>IF(Jugadores!B510="","",Jugadores!B510)</f>
        <v>Mata Hugo</v>
      </c>
      <c r="G510" s="4" t="str">
        <f>IF(Jugadores!B510="","",Jugadores!A510)</f>
        <v>Guadalajara</v>
      </c>
      <c r="H510" s="4">
        <f>IF(F510="","",SUMIF('Estadísticas Jugadores'!$F$2:$F$7001,F510,'Estadísticas Jugadores'!$L$2:$L$7001))</f>
        <v>0</v>
      </c>
      <c r="I510" s="4">
        <f t="shared" si="38"/>
        <v>-5.1E-5</v>
      </c>
      <c r="J510" s="4">
        <f t="shared" si="39"/>
        <v>510</v>
      </c>
    </row>
    <row r="511" spans="1:10" ht="15" customHeight="1" x14ac:dyDescent="0.25">
      <c r="A511" s="8">
        <f>IF(COUNT($J$2:$J$1501)&gt;=510,510,"")</f>
        <v>510</v>
      </c>
      <c r="B511" s="8" t="str">
        <f t="shared" si="35"/>
        <v>Mata Hugo</v>
      </c>
      <c r="C511" s="8" t="str">
        <f t="shared" si="36"/>
        <v>Guadalajara</v>
      </c>
      <c r="D511" s="8">
        <f t="shared" si="37"/>
        <v>0</v>
      </c>
      <c r="F511" s="4" t="str">
        <f>IF(Jugadores!B511="","",Jugadores!B511)</f>
        <v>Rey Luis</v>
      </c>
      <c r="G511" s="4" t="str">
        <f>IF(Jugadores!B511="","",Jugadores!A511)</f>
        <v>Guadalajara</v>
      </c>
      <c r="H511" s="4">
        <f>IF(F511="","",SUMIF('Estadísticas Jugadores'!$F$2:$F$7001,F511,'Estadísticas Jugadores'!$L$2:$L$7001))</f>
        <v>0</v>
      </c>
      <c r="I511" s="4">
        <f t="shared" si="38"/>
        <v>-5.1099999999999995E-5</v>
      </c>
      <c r="J511" s="4">
        <f t="shared" si="39"/>
        <v>511</v>
      </c>
    </row>
    <row r="512" spans="1:10" ht="15" customHeight="1" x14ac:dyDescent="0.25">
      <c r="A512" s="8">
        <f>IF(COUNT($J$2:$J$1501)&gt;=511,511,"")</f>
        <v>511</v>
      </c>
      <c r="B512" s="8" t="str">
        <f t="shared" si="35"/>
        <v>Rey Luis</v>
      </c>
      <c r="C512" s="8" t="str">
        <f t="shared" si="36"/>
        <v>Guadalajara</v>
      </c>
      <c r="D512" s="8">
        <f t="shared" si="37"/>
        <v>0</v>
      </c>
      <c r="F512" s="4" t="str">
        <f>IF(Jugadores!B512="","",Jugadores!B512)</f>
        <v>Romo Luis</v>
      </c>
      <c r="G512" s="4" t="str">
        <f>IF(Jugadores!B512="","",Jugadores!A512)</f>
        <v>Guadalajara</v>
      </c>
      <c r="H512" s="4">
        <f>IF(F512="","",SUMIF('Estadísticas Jugadores'!$F$2:$F$7001,F512,'Estadísticas Jugadores'!$L$2:$L$7001))</f>
        <v>0</v>
      </c>
      <c r="I512" s="4">
        <f t="shared" si="38"/>
        <v>-5.1199999999999998E-5</v>
      </c>
      <c r="J512" s="4">
        <f t="shared" si="39"/>
        <v>512</v>
      </c>
    </row>
    <row r="513" spans="1:10" ht="15" customHeight="1" x14ac:dyDescent="0.25">
      <c r="A513" s="8">
        <f>IF(COUNT($J$2:$J$1501)&gt;=512,512,"")</f>
        <v>512</v>
      </c>
      <c r="B513" s="8" t="str">
        <f t="shared" si="35"/>
        <v>Romo Luis</v>
      </c>
      <c r="C513" s="8" t="str">
        <f t="shared" si="36"/>
        <v>Guadalajara</v>
      </c>
      <c r="D513" s="8">
        <f t="shared" si="37"/>
        <v>0</v>
      </c>
      <c r="F513" s="4" t="str">
        <f>IF(Jugadores!B513="","",Jugadores!B513)</f>
        <v>Sandoval Santiago</v>
      </c>
      <c r="G513" s="4" t="str">
        <f>IF(Jugadores!B513="","",Jugadores!A513)</f>
        <v>Guadalajara</v>
      </c>
      <c r="H513" s="4">
        <f>IF(F513="","",SUMIF('Estadísticas Jugadores'!$F$2:$F$7001,F513,'Estadísticas Jugadores'!$L$2:$L$7001))</f>
        <v>0</v>
      </c>
      <c r="I513" s="4">
        <f t="shared" si="38"/>
        <v>-5.13E-5</v>
      </c>
      <c r="J513" s="4">
        <f t="shared" si="39"/>
        <v>513</v>
      </c>
    </row>
    <row r="514" spans="1:10" ht="15" customHeight="1" x14ac:dyDescent="0.25">
      <c r="A514" s="8">
        <f>IF(COUNT($J$2:$J$1501)&gt;=513,513,"")</f>
        <v>513</v>
      </c>
      <c r="B514" s="8" t="str">
        <f t="shared" ref="B514:B577" si="40">IF($A514="","",INDEX($F$2:$F$1501,MATCH($A514,$J$2:$J$1501,0)))</f>
        <v>Sandoval Santiago</v>
      </c>
      <c r="C514" s="8" t="str">
        <f t="shared" ref="C514:C577" si="41">IF($A514="","",INDEX($G$2:$G$1501,MATCH($A514,$J$2:$J$1501,0)))</f>
        <v>Guadalajara</v>
      </c>
      <c r="D514" s="8">
        <f t="shared" ref="D514:D577" si="42">IF($A514="","",INDEX($H$2:$H$1501,MATCH($A514,$J$2:$J$1501,0)))</f>
        <v>0</v>
      </c>
      <c r="F514" s="4" t="str">
        <f>IF(Jugadores!B514="","",Jugadores!B514)</f>
        <v>Aguayo Sergio</v>
      </c>
      <c r="G514" s="4" t="str">
        <f>IF(Jugadores!B514="","",Jugadores!A514)</f>
        <v>Guadalajara</v>
      </c>
      <c r="H514" s="4">
        <f>IF(F514="","",SUMIF('Estadísticas Jugadores'!$F$2:$F$7001,F514,'Estadísticas Jugadores'!$L$2:$L$7001))</f>
        <v>0</v>
      </c>
      <c r="I514" s="4">
        <f t="shared" ref="I514:I577" si="43">IF(F514="","",H514*1000-ROW()*0.0000001)</f>
        <v>-5.1399999999999996E-5</v>
      </c>
      <c r="J514" s="4">
        <f t="shared" ref="J514:J577" si="44">IF(F514="","",RANK(I514,$I$2:$I$1501))</f>
        <v>514</v>
      </c>
    </row>
    <row r="515" spans="1:10" ht="15" customHeight="1" x14ac:dyDescent="0.25">
      <c r="A515" s="8">
        <f>IF(COUNT($J$2:$J$1501)&gt;=514,514,"")</f>
        <v>514</v>
      </c>
      <c r="B515" s="8" t="str">
        <f t="shared" si="40"/>
        <v>Aguayo Sergio</v>
      </c>
      <c r="C515" s="8" t="str">
        <f t="shared" si="41"/>
        <v>Guadalajara</v>
      </c>
      <c r="D515" s="8">
        <f t="shared" si="42"/>
        <v>0</v>
      </c>
      <c r="F515" s="4" t="str">
        <f>IF(Jugadores!B515="","",Jugadores!B515)</f>
        <v>Camberos Hugo</v>
      </c>
      <c r="G515" s="4" t="str">
        <f>IF(Jugadores!B515="","",Jugadores!A515)</f>
        <v>Guadalajara</v>
      </c>
      <c r="H515" s="4">
        <f>IF(F515="","",SUMIF('Estadísticas Jugadores'!$F$2:$F$7001,F515,'Estadísticas Jugadores'!$L$2:$L$7001))</f>
        <v>0</v>
      </c>
      <c r="I515" s="4">
        <f t="shared" si="43"/>
        <v>-5.1499999999999998E-5</v>
      </c>
      <c r="J515" s="4">
        <f t="shared" si="44"/>
        <v>515</v>
      </c>
    </row>
    <row r="516" spans="1:10" ht="15" customHeight="1" x14ac:dyDescent="0.25">
      <c r="A516" s="8">
        <f>IF(COUNT($J$2:$J$1501)&gt;=515,515,"")</f>
        <v>515</v>
      </c>
      <c r="B516" s="8" t="str">
        <f t="shared" si="40"/>
        <v>Camberos Hugo</v>
      </c>
      <c r="C516" s="8" t="str">
        <f t="shared" si="41"/>
        <v>Guadalajara</v>
      </c>
      <c r="D516" s="8">
        <f t="shared" si="42"/>
        <v>0</v>
      </c>
      <c r="F516" s="4" t="str">
        <f>IF(Jugadores!B516="","",Jugadores!B516)</f>
        <v>Carrillo Jordan</v>
      </c>
      <c r="G516" s="4" t="str">
        <f>IF(Jugadores!B516="","",Jugadores!A516)</f>
        <v>Guadalajara</v>
      </c>
      <c r="H516" s="4">
        <f>IF(F516="","",SUMIF('Estadísticas Jugadores'!$F$2:$F$7001,F516,'Estadísticas Jugadores'!$L$2:$L$7001))</f>
        <v>0</v>
      </c>
      <c r="I516" s="4">
        <f t="shared" si="43"/>
        <v>-5.1600000000000001E-5</v>
      </c>
      <c r="J516" s="4">
        <f t="shared" si="44"/>
        <v>516</v>
      </c>
    </row>
    <row r="517" spans="1:10" ht="15" customHeight="1" x14ac:dyDescent="0.25">
      <c r="A517" s="8">
        <f>IF(COUNT($J$2:$J$1501)&gt;=516,516,"")</f>
        <v>516</v>
      </c>
      <c r="B517" s="8" t="str">
        <f t="shared" si="40"/>
        <v>Carrillo Jordan</v>
      </c>
      <c r="C517" s="8" t="str">
        <f t="shared" si="41"/>
        <v>Guadalajara</v>
      </c>
      <c r="D517" s="8">
        <f t="shared" si="42"/>
        <v>0</v>
      </c>
      <c r="F517" s="4" t="str">
        <f>IF(Jugadores!B517="","",Jugadores!B517)</f>
        <v>Gonzalez Armando</v>
      </c>
      <c r="G517" s="4" t="str">
        <f>IF(Jugadores!B517="","",Jugadores!A517)</f>
        <v>Guadalajara</v>
      </c>
      <c r="H517" s="4">
        <f>IF(F517="","",SUMIF('Estadísticas Jugadores'!$F$2:$F$7001,F517,'Estadísticas Jugadores'!$L$2:$L$7001))</f>
        <v>0</v>
      </c>
      <c r="I517" s="4">
        <f t="shared" si="43"/>
        <v>-5.1699999999999996E-5</v>
      </c>
      <c r="J517" s="4">
        <f t="shared" si="44"/>
        <v>517</v>
      </c>
    </row>
    <row r="518" spans="1:10" ht="15" customHeight="1" x14ac:dyDescent="0.25">
      <c r="A518" s="8">
        <f>IF(COUNT($J$2:$J$1501)&gt;=517,517,"")</f>
        <v>517</v>
      </c>
      <c r="B518" s="8" t="str">
        <f t="shared" si="40"/>
        <v>Gonzalez Armando</v>
      </c>
      <c r="C518" s="8" t="str">
        <f t="shared" si="41"/>
        <v>Guadalajara</v>
      </c>
      <c r="D518" s="8">
        <f t="shared" si="42"/>
        <v>0</v>
      </c>
      <c r="F518" s="4" t="str">
        <f>IF(Jugadores!B518="","",Jugadores!B518)</f>
        <v>Latorre Diego</v>
      </c>
      <c r="G518" s="4" t="str">
        <f>IF(Jugadores!B518="","",Jugadores!A518)</f>
        <v>Guadalajara</v>
      </c>
      <c r="H518" s="4">
        <f>IF(F518="","",SUMIF('Estadísticas Jugadores'!$F$2:$F$7001,F518,'Estadísticas Jugadores'!$L$2:$L$7001))</f>
        <v>0</v>
      </c>
      <c r="I518" s="4">
        <f t="shared" si="43"/>
        <v>-5.1799999999999999E-5</v>
      </c>
      <c r="J518" s="4">
        <f t="shared" si="44"/>
        <v>518</v>
      </c>
    </row>
    <row r="519" spans="1:10" ht="15" customHeight="1" x14ac:dyDescent="0.25">
      <c r="A519" s="8">
        <f>IF(COUNT($J$2:$J$1501)&gt;=518,518,"")</f>
        <v>518</v>
      </c>
      <c r="B519" s="8" t="str">
        <f t="shared" si="40"/>
        <v>Latorre Diego</v>
      </c>
      <c r="C519" s="8" t="str">
        <f t="shared" si="41"/>
        <v>Guadalajara</v>
      </c>
      <c r="D519" s="8">
        <f t="shared" si="42"/>
        <v>0</v>
      </c>
      <c r="F519" s="4" t="str">
        <f>IF(Jugadores!B519="","",Jugadores!B519)</f>
        <v>Marin Ricardo</v>
      </c>
      <c r="G519" s="4" t="str">
        <f>IF(Jugadores!B519="","",Jugadores!A519)</f>
        <v>Guadalajara</v>
      </c>
      <c r="H519" s="4">
        <f>IF(F519="","",SUMIF('Estadísticas Jugadores'!$F$2:$F$7001,F519,'Estadísticas Jugadores'!$L$2:$L$7001))</f>
        <v>0</v>
      </c>
      <c r="I519" s="4">
        <f t="shared" si="43"/>
        <v>-5.1899999999999994E-5</v>
      </c>
      <c r="J519" s="4">
        <f t="shared" si="44"/>
        <v>519</v>
      </c>
    </row>
    <row r="520" spans="1:10" ht="15" customHeight="1" x14ac:dyDescent="0.25">
      <c r="A520" s="8">
        <f>IF(COUNT($J$2:$J$1501)&gt;=519,519,"")</f>
        <v>519</v>
      </c>
      <c r="B520" s="8" t="str">
        <f t="shared" si="40"/>
        <v>Marin Ricardo</v>
      </c>
      <c r="C520" s="8" t="str">
        <f t="shared" si="41"/>
        <v>Guadalajara</v>
      </c>
      <c r="D520" s="8">
        <f t="shared" si="42"/>
        <v>0</v>
      </c>
      <c r="F520" s="4" t="str">
        <f>IF(Jugadores!B520="","",Jugadores!B520)</f>
        <v>Pérez Jonathan</v>
      </c>
      <c r="G520" s="4" t="str">
        <f>IF(Jugadores!B520="","",Jugadores!A520)</f>
        <v>Guadalajara</v>
      </c>
      <c r="H520" s="4">
        <f>IF(F520="","",SUMIF('Estadísticas Jugadores'!$F$2:$F$7001,F520,'Estadísticas Jugadores'!$L$2:$L$7001))</f>
        <v>0</v>
      </c>
      <c r="I520" s="4">
        <f t="shared" si="43"/>
        <v>-5.1999999999999997E-5</v>
      </c>
      <c r="J520" s="4">
        <f t="shared" si="44"/>
        <v>520</v>
      </c>
    </row>
    <row r="521" spans="1:10" ht="15" customHeight="1" x14ac:dyDescent="0.25">
      <c r="A521" s="8">
        <f>IF(COUNT($J$2:$J$1501)&gt;=520,520,"")</f>
        <v>520</v>
      </c>
      <c r="B521" s="8" t="str">
        <f t="shared" si="40"/>
        <v>Pérez Jonathan</v>
      </c>
      <c r="C521" s="8" t="str">
        <f t="shared" si="41"/>
        <v>Guadalajara</v>
      </c>
      <c r="D521" s="8">
        <f t="shared" si="42"/>
        <v>0</v>
      </c>
      <c r="F521" s="4" t="str">
        <f>IF(Jugadores!B521="","",Jugadores!B521)</f>
        <v>Sepúlveda Ángel Baltazar</v>
      </c>
      <c r="G521" s="4" t="str">
        <f>IF(Jugadores!B521="","",Jugadores!A521)</f>
        <v>Guadalajara</v>
      </c>
      <c r="H521" s="4">
        <f>IF(F521="","",SUMIF('Estadísticas Jugadores'!$F$2:$F$7001,F521,'Estadísticas Jugadores'!$L$2:$L$7001))</f>
        <v>0</v>
      </c>
      <c r="I521" s="4">
        <f t="shared" si="43"/>
        <v>-5.2099999999999999E-5</v>
      </c>
      <c r="J521" s="4">
        <f t="shared" si="44"/>
        <v>521</v>
      </c>
    </row>
    <row r="522" spans="1:10" ht="15" customHeight="1" x14ac:dyDescent="0.25">
      <c r="A522" s="8">
        <f>IF(COUNT($J$2:$J$1501)&gt;=521,521,"")</f>
        <v>521</v>
      </c>
      <c r="B522" s="8" t="str">
        <f t="shared" si="40"/>
        <v>Sepúlveda Ángel Baltazar</v>
      </c>
      <c r="C522" s="8" t="str">
        <f t="shared" si="41"/>
        <v>Guadalajara</v>
      </c>
      <c r="D522" s="8">
        <f t="shared" si="42"/>
        <v>0</v>
      </c>
      <c r="F522" s="4" t="str">
        <f>IF(Jugadores!B522="","",Jugadores!B522)</f>
        <v>Lara Pablo</v>
      </c>
      <c r="G522" s="4" t="str">
        <f>IF(Jugadores!B522="","",Jugadores!A522)</f>
        <v>Pumas UNAM</v>
      </c>
      <c r="H522" s="4">
        <f>IF(F522="","",SUMIF('Estadísticas Jugadores'!$F$2:$F$7001,F522,'Estadísticas Jugadores'!$L$2:$L$7001))</f>
        <v>0</v>
      </c>
      <c r="I522" s="4">
        <f t="shared" si="43"/>
        <v>-5.2199999999999995E-5</v>
      </c>
      <c r="J522" s="4">
        <f t="shared" si="44"/>
        <v>522</v>
      </c>
    </row>
    <row r="523" spans="1:10" ht="15" customHeight="1" x14ac:dyDescent="0.25">
      <c r="A523" s="8">
        <f>IF(COUNT($J$2:$J$1501)&gt;=522,522,"")</f>
        <v>522</v>
      </c>
      <c r="B523" s="8" t="str">
        <f t="shared" si="40"/>
        <v>Lara Pablo</v>
      </c>
      <c r="C523" s="8" t="str">
        <f t="shared" si="41"/>
        <v>Pumas UNAM</v>
      </c>
      <c r="D523" s="8">
        <f t="shared" si="42"/>
        <v>0</v>
      </c>
      <c r="F523" s="4" t="str">
        <f>IF(Jugadores!B523="","",Jugadores!B523)</f>
        <v>Navas Keylor</v>
      </c>
      <c r="G523" s="4" t="str">
        <f>IF(Jugadores!B523="","",Jugadores!A523)</f>
        <v>Pumas UNAM</v>
      </c>
      <c r="H523" s="4">
        <f>IF(F523="","",SUMIF('Estadísticas Jugadores'!$F$2:$F$7001,F523,'Estadísticas Jugadores'!$L$2:$L$7001))</f>
        <v>0</v>
      </c>
      <c r="I523" s="4">
        <f t="shared" si="43"/>
        <v>-5.2299999999999997E-5</v>
      </c>
      <c r="J523" s="4">
        <f t="shared" si="44"/>
        <v>523</v>
      </c>
    </row>
    <row r="524" spans="1:10" ht="15" customHeight="1" x14ac:dyDescent="0.25">
      <c r="A524" s="8">
        <f>IF(COUNT($J$2:$J$1501)&gt;=523,523,"")</f>
        <v>523</v>
      </c>
      <c r="B524" s="8" t="str">
        <f t="shared" si="40"/>
        <v>Navas Keylor</v>
      </c>
      <c r="C524" s="8" t="str">
        <f t="shared" si="41"/>
        <v>Pumas UNAM</v>
      </c>
      <c r="D524" s="8">
        <f t="shared" si="42"/>
        <v>0</v>
      </c>
      <c r="F524" s="4" t="str">
        <f>IF(Jugadores!B524="","",Jugadores!B524)</f>
        <v>Paul Miguel</v>
      </c>
      <c r="G524" s="4" t="str">
        <f>IF(Jugadores!B524="","",Jugadores!A524)</f>
        <v>Pumas UNAM</v>
      </c>
      <c r="H524" s="4">
        <f>IF(F524="","",SUMIF('Estadísticas Jugadores'!$F$2:$F$7001,F524,'Estadísticas Jugadores'!$L$2:$L$7001))</f>
        <v>0</v>
      </c>
      <c r="I524" s="4">
        <f t="shared" si="43"/>
        <v>-5.24E-5</v>
      </c>
      <c r="J524" s="4">
        <f t="shared" si="44"/>
        <v>524</v>
      </c>
    </row>
    <row r="525" spans="1:10" ht="15" customHeight="1" x14ac:dyDescent="0.25">
      <c r="A525" s="8">
        <f>IF(COUNT($J$2:$J$1501)&gt;=524,524,"")</f>
        <v>524</v>
      </c>
      <c r="B525" s="8" t="str">
        <f t="shared" si="40"/>
        <v>Paul Miguel</v>
      </c>
      <c r="C525" s="8" t="str">
        <f t="shared" si="41"/>
        <v>Pumas UNAM</v>
      </c>
      <c r="D525" s="8">
        <f t="shared" si="42"/>
        <v>0</v>
      </c>
      <c r="F525" s="4" t="str">
        <f>IF(Jugadores!B525="","",Jugadores!B525)</f>
        <v>Angulo Mosquera Alvaro Anyiver</v>
      </c>
      <c r="G525" s="4" t="str">
        <f>IF(Jugadores!B525="","",Jugadores!A525)</f>
        <v>Pumas UNAM</v>
      </c>
      <c r="H525" s="4">
        <f>IF(F525="","",SUMIF('Estadísticas Jugadores'!$F$2:$F$7001,F525,'Estadísticas Jugadores'!$L$2:$L$7001))</f>
        <v>0</v>
      </c>
      <c r="I525" s="4">
        <f t="shared" si="43"/>
        <v>-5.2499999999999995E-5</v>
      </c>
      <c r="J525" s="4">
        <f t="shared" si="44"/>
        <v>525</v>
      </c>
    </row>
    <row r="526" spans="1:10" ht="15" customHeight="1" x14ac:dyDescent="0.25">
      <c r="A526" s="8">
        <f>IF(COUNT($J$2:$J$1501)&gt;=525,525,"")</f>
        <v>525</v>
      </c>
      <c r="B526" s="8" t="str">
        <f t="shared" si="40"/>
        <v>Angulo Mosquera Alvaro Anyiver</v>
      </c>
      <c r="C526" s="8" t="str">
        <f t="shared" si="41"/>
        <v>Pumas UNAM</v>
      </c>
      <c r="D526" s="8">
        <f t="shared" si="42"/>
        <v>0</v>
      </c>
      <c r="F526" s="4" t="str">
        <f>IF(Jugadores!B526="","",Jugadores!B526)</f>
        <v>Azuaje Angel</v>
      </c>
      <c r="G526" s="4" t="str">
        <f>IF(Jugadores!B526="","",Jugadores!A526)</f>
        <v>Pumas UNAM</v>
      </c>
      <c r="H526" s="4">
        <f>IF(F526="","",SUMIF('Estadísticas Jugadores'!$F$2:$F$7001,F526,'Estadísticas Jugadores'!$L$2:$L$7001))</f>
        <v>0</v>
      </c>
      <c r="I526" s="4">
        <f t="shared" si="43"/>
        <v>-5.2599999999999998E-5</v>
      </c>
      <c r="J526" s="4">
        <f t="shared" si="44"/>
        <v>526</v>
      </c>
    </row>
    <row r="527" spans="1:10" ht="15" customHeight="1" x14ac:dyDescent="0.25">
      <c r="A527" s="8">
        <f>IF(COUNT($J$2:$J$1501)&gt;=526,526,"")</f>
        <v>526</v>
      </c>
      <c r="B527" s="8" t="str">
        <f t="shared" si="40"/>
        <v>Azuaje Angel</v>
      </c>
      <c r="C527" s="8" t="str">
        <f t="shared" si="41"/>
        <v>Pumas UNAM</v>
      </c>
      <c r="D527" s="8">
        <f t="shared" si="42"/>
        <v>0</v>
      </c>
      <c r="F527" s="4" t="str">
        <f>IF(Jugadores!B527="","",Jugadores!B527)</f>
        <v>Bennevendo Pablo</v>
      </c>
      <c r="G527" s="4" t="str">
        <f>IF(Jugadores!B527="","",Jugadores!A527)</f>
        <v>Pumas UNAM</v>
      </c>
      <c r="H527" s="4">
        <f>IF(F527="","",SUMIF('Estadísticas Jugadores'!$F$2:$F$7001,F527,'Estadísticas Jugadores'!$L$2:$L$7001))</f>
        <v>0</v>
      </c>
      <c r="I527" s="4">
        <f t="shared" si="43"/>
        <v>-5.27E-5</v>
      </c>
      <c r="J527" s="4">
        <f t="shared" si="44"/>
        <v>527</v>
      </c>
    </row>
    <row r="528" spans="1:10" ht="15" customHeight="1" x14ac:dyDescent="0.25">
      <c r="A528" s="8">
        <f>IF(COUNT($J$2:$J$1501)&gt;=527,527,"")</f>
        <v>527</v>
      </c>
      <c r="B528" s="8" t="str">
        <f t="shared" si="40"/>
        <v>Bennevendo Pablo</v>
      </c>
      <c r="C528" s="8" t="str">
        <f t="shared" si="41"/>
        <v>Pumas UNAM</v>
      </c>
      <c r="D528" s="8">
        <f t="shared" si="42"/>
        <v>0</v>
      </c>
      <c r="F528" s="4" t="str">
        <f>IF(Jugadores!B528="","",Jugadores!B528)</f>
        <v>Calderon De Real Cristian Yonathan</v>
      </c>
      <c r="G528" s="4" t="str">
        <f>IF(Jugadores!B528="","",Jugadores!A528)</f>
        <v>Pumas UNAM</v>
      </c>
      <c r="H528" s="4">
        <f>IF(F528="","",SUMIF('Estadísticas Jugadores'!$F$2:$F$7001,F528,'Estadísticas Jugadores'!$L$2:$L$7001))</f>
        <v>0</v>
      </c>
      <c r="I528" s="4">
        <f t="shared" si="43"/>
        <v>-5.2799999999999996E-5</v>
      </c>
      <c r="J528" s="4">
        <f t="shared" si="44"/>
        <v>528</v>
      </c>
    </row>
    <row r="529" spans="1:10" ht="15" customHeight="1" x14ac:dyDescent="0.25">
      <c r="A529" s="8">
        <f>IF(COUNT($J$2:$J$1501)&gt;=528,528,"")</f>
        <v>528</v>
      </c>
      <c r="B529" s="8" t="str">
        <f t="shared" si="40"/>
        <v>Calderon De Real Cristian Yonathan</v>
      </c>
      <c r="C529" s="8" t="str">
        <f t="shared" si="41"/>
        <v>Pumas UNAM</v>
      </c>
      <c r="D529" s="8">
        <f t="shared" si="42"/>
        <v>0</v>
      </c>
      <c r="F529" s="4" t="str">
        <f>IF(Jugadores!B529="","",Jugadores!B529)</f>
        <v>Duarte Rubén</v>
      </c>
      <c r="G529" s="4" t="str">
        <f>IF(Jugadores!B529="","",Jugadores!A529)</f>
        <v>Pumas UNAM</v>
      </c>
      <c r="H529" s="4">
        <f>IF(F529="","",SUMIF('Estadísticas Jugadores'!$F$2:$F$7001,F529,'Estadísticas Jugadores'!$L$2:$L$7001))</f>
        <v>0</v>
      </c>
      <c r="I529" s="4">
        <f t="shared" si="43"/>
        <v>-5.2899999999999998E-5</v>
      </c>
      <c r="J529" s="4">
        <f t="shared" si="44"/>
        <v>529</v>
      </c>
    </row>
    <row r="530" spans="1:10" ht="15" customHeight="1" x14ac:dyDescent="0.25">
      <c r="A530" s="8">
        <f>IF(COUNT($J$2:$J$1501)&gt;=529,529,"")</f>
        <v>529</v>
      </c>
      <c r="B530" s="8" t="str">
        <f t="shared" si="40"/>
        <v>Duarte Rubén</v>
      </c>
      <c r="C530" s="8" t="str">
        <f t="shared" si="41"/>
        <v>Pumas UNAM</v>
      </c>
      <c r="D530" s="8">
        <f t="shared" si="42"/>
        <v>0</v>
      </c>
      <c r="F530" s="4" t="str">
        <f>IF(Jugadores!B530="","",Jugadores!B530)</f>
        <v>Leone Tony</v>
      </c>
      <c r="G530" s="4" t="str">
        <f>IF(Jugadores!B530="","",Jugadores!A530)</f>
        <v>Pumas UNAM</v>
      </c>
      <c r="H530" s="4">
        <f>IF(F530="","",SUMIF('Estadísticas Jugadores'!$F$2:$F$7001,F530,'Estadísticas Jugadores'!$L$2:$L$7001))</f>
        <v>0</v>
      </c>
      <c r="I530" s="4">
        <f t="shared" si="43"/>
        <v>-5.3000000000000001E-5</v>
      </c>
      <c r="J530" s="4">
        <f t="shared" si="44"/>
        <v>530</v>
      </c>
    </row>
    <row r="531" spans="1:10" ht="15" customHeight="1" x14ac:dyDescent="0.25">
      <c r="A531" s="8">
        <f>IF(COUNT($J$2:$J$1501)&gt;=530,530,"")</f>
        <v>530</v>
      </c>
      <c r="B531" s="8" t="str">
        <f t="shared" si="40"/>
        <v>Leone Tony</v>
      </c>
      <c r="C531" s="8" t="str">
        <f t="shared" si="41"/>
        <v>Pumas UNAM</v>
      </c>
      <c r="D531" s="8">
        <f t="shared" si="42"/>
        <v>0</v>
      </c>
      <c r="F531" s="4" t="str">
        <f>IF(Jugadores!B531="","",Jugadores!B531)</f>
        <v>Nathan Silva</v>
      </c>
      <c r="G531" s="4" t="str">
        <f>IF(Jugadores!B531="","",Jugadores!A531)</f>
        <v>Pumas UNAM</v>
      </c>
      <c r="H531" s="4">
        <f>IF(F531="","",SUMIF('Estadísticas Jugadores'!$F$2:$F$7001,F531,'Estadísticas Jugadores'!$L$2:$L$7001))</f>
        <v>0</v>
      </c>
      <c r="I531" s="4">
        <f t="shared" si="43"/>
        <v>-5.3099999999999996E-5</v>
      </c>
      <c r="J531" s="4">
        <f t="shared" si="44"/>
        <v>531</v>
      </c>
    </row>
    <row r="532" spans="1:10" ht="15" customHeight="1" x14ac:dyDescent="0.25">
      <c r="A532" s="8">
        <f>IF(COUNT($J$2:$J$1501)&gt;=531,531,"")</f>
        <v>531</v>
      </c>
      <c r="B532" s="8" t="str">
        <f t="shared" si="40"/>
        <v>Nathan Silva</v>
      </c>
      <c r="C532" s="8" t="str">
        <f t="shared" si="41"/>
        <v>Pumas UNAM</v>
      </c>
      <c r="D532" s="8">
        <f t="shared" si="42"/>
        <v>0</v>
      </c>
      <c r="F532" s="4" t="str">
        <f>IF(Jugadores!B532="","",Jugadores!B532)</f>
        <v>Ramirez Denis</v>
      </c>
      <c r="G532" s="4" t="str">
        <f>IF(Jugadores!B532="","",Jugadores!A532)</f>
        <v>Pumas UNAM</v>
      </c>
      <c r="H532" s="4">
        <f>IF(F532="","",SUMIF('Estadísticas Jugadores'!$F$2:$F$7001,F532,'Estadísticas Jugadores'!$L$2:$L$7001))</f>
        <v>0</v>
      </c>
      <c r="I532" s="4">
        <f t="shared" si="43"/>
        <v>-5.3199999999999999E-5</v>
      </c>
      <c r="J532" s="4">
        <f t="shared" si="44"/>
        <v>532</v>
      </c>
    </row>
    <row r="533" spans="1:10" ht="15" customHeight="1" x14ac:dyDescent="0.25">
      <c r="A533" s="8">
        <f>IF(COUNT($J$2:$J$1501)&gt;=532,532,"")</f>
        <v>532</v>
      </c>
      <c r="B533" s="8" t="str">
        <f t="shared" si="40"/>
        <v>Ramirez Denis</v>
      </c>
      <c r="C533" s="8" t="str">
        <f t="shared" si="41"/>
        <v>Pumas UNAM</v>
      </c>
      <c r="D533" s="8">
        <f t="shared" si="42"/>
        <v>0</v>
      </c>
      <c r="F533" s="4" t="str">
        <f>IF(Jugadores!B533="","",Jugadores!B533)</f>
        <v>Rivas Jesus</v>
      </c>
      <c r="G533" s="4" t="str">
        <f>IF(Jugadores!B533="","",Jugadores!A533)</f>
        <v>Pumas UNAM</v>
      </c>
      <c r="H533" s="4">
        <f>IF(F533="","",SUMIF('Estadísticas Jugadores'!$F$2:$F$7001,F533,'Estadísticas Jugadores'!$L$2:$L$7001))</f>
        <v>0</v>
      </c>
      <c r="I533" s="4">
        <f t="shared" si="43"/>
        <v>-5.3299999999999995E-5</v>
      </c>
      <c r="J533" s="4">
        <f t="shared" si="44"/>
        <v>533</v>
      </c>
    </row>
    <row r="534" spans="1:10" ht="15" customHeight="1" x14ac:dyDescent="0.25">
      <c r="A534" s="8">
        <f>IF(COUNT($J$2:$J$1501)&gt;=533,533,"")</f>
        <v>533</v>
      </c>
      <c r="B534" s="8" t="str">
        <f t="shared" si="40"/>
        <v>Rivas Jesus</v>
      </c>
      <c r="C534" s="8" t="str">
        <f t="shared" si="41"/>
        <v>Pumas UNAM</v>
      </c>
      <c r="D534" s="8">
        <f t="shared" si="42"/>
        <v>0</v>
      </c>
      <c r="F534" s="4" t="str">
        <f>IF(Jugadores!B534="","",Jugadores!B534)</f>
        <v>Antuna Uriel</v>
      </c>
      <c r="G534" s="4" t="str">
        <f>IF(Jugadores!B534="","",Jugadores!A534)</f>
        <v>Pumas UNAM</v>
      </c>
      <c r="H534" s="4">
        <f>IF(F534="","",SUMIF('Estadísticas Jugadores'!$F$2:$F$7001,F534,'Estadísticas Jugadores'!$L$2:$L$7001))</f>
        <v>0</v>
      </c>
      <c r="I534" s="4">
        <f t="shared" si="43"/>
        <v>-5.3399999999999997E-5</v>
      </c>
      <c r="J534" s="4">
        <f t="shared" si="44"/>
        <v>534</v>
      </c>
    </row>
    <row r="535" spans="1:10" ht="15" customHeight="1" x14ac:dyDescent="0.25">
      <c r="A535" s="8">
        <f>IF(COUNT($J$2:$J$1501)&gt;=534,534,"")</f>
        <v>534</v>
      </c>
      <c r="B535" s="8" t="str">
        <f t="shared" si="40"/>
        <v>Antuna Uriel</v>
      </c>
      <c r="C535" s="8" t="str">
        <f t="shared" si="41"/>
        <v>Pumas UNAM</v>
      </c>
      <c r="D535" s="8">
        <f t="shared" si="42"/>
        <v>0</v>
      </c>
      <c r="F535" s="4" t="str">
        <f>IF(Jugadores!B535="","",Jugadores!B535)</f>
        <v>Arteaga Victor</v>
      </c>
      <c r="G535" s="4" t="str">
        <f>IF(Jugadores!B535="","",Jugadores!A535)</f>
        <v>Pumas UNAM</v>
      </c>
      <c r="H535" s="4">
        <f>IF(F535="","",SUMIF('Estadísticas Jugadores'!$F$2:$F$7001,F535,'Estadísticas Jugadores'!$L$2:$L$7001))</f>
        <v>0</v>
      </c>
      <c r="I535" s="4">
        <f t="shared" si="43"/>
        <v>-5.3499999999999999E-5</v>
      </c>
      <c r="J535" s="4">
        <f t="shared" si="44"/>
        <v>535</v>
      </c>
    </row>
    <row r="536" spans="1:10" ht="15" customHeight="1" x14ac:dyDescent="0.25">
      <c r="A536" s="8">
        <f>IF(COUNT($J$2:$J$1501)&gt;=535,535,"")</f>
        <v>535</v>
      </c>
      <c r="B536" s="8" t="str">
        <f t="shared" si="40"/>
        <v>Arteaga Victor</v>
      </c>
      <c r="C536" s="8" t="str">
        <f t="shared" si="41"/>
        <v>Pumas UNAM</v>
      </c>
      <c r="D536" s="8">
        <f t="shared" si="42"/>
        <v>0</v>
      </c>
      <c r="F536" s="4" t="str">
        <f>IF(Jugadores!B536="","",Jugadores!B536)</f>
        <v>Carranza Kleber</v>
      </c>
      <c r="G536" s="4" t="str">
        <f>IF(Jugadores!B536="","",Jugadores!A536)</f>
        <v>Pumas UNAM</v>
      </c>
      <c r="H536" s="4">
        <f>IF(F536="","",SUMIF('Estadísticas Jugadores'!$F$2:$F$7001,F536,'Estadísticas Jugadores'!$L$2:$L$7001))</f>
        <v>0</v>
      </c>
      <c r="I536" s="4">
        <f t="shared" si="43"/>
        <v>-5.3599999999999995E-5</v>
      </c>
      <c r="J536" s="4">
        <f t="shared" si="44"/>
        <v>536</v>
      </c>
    </row>
    <row r="537" spans="1:10" ht="15" customHeight="1" x14ac:dyDescent="0.25">
      <c r="A537" s="8">
        <f>IF(COUNT($J$2:$J$1501)&gt;=536,536,"")</f>
        <v>536</v>
      </c>
      <c r="B537" s="8" t="str">
        <f t="shared" si="40"/>
        <v>Carranza Kleber</v>
      </c>
      <c r="C537" s="8" t="str">
        <f t="shared" si="41"/>
        <v>Pumas UNAM</v>
      </c>
      <c r="D537" s="8">
        <f t="shared" si="42"/>
        <v>0</v>
      </c>
      <c r="F537" s="4" t="str">
        <f>IF(Jugadores!B537="","",Jugadores!B537)</f>
        <v>Carrasquilla Adalberto</v>
      </c>
      <c r="G537" s="4" t="str">
        <f>IF(Jugadores!B537="","",Jugadores!A537)</f>
        <v>Pumas UNAM</v>
      </c>
      <c r="H537" s="4">
        <f>IF(F537="","",SUMIF('Estadísticas Jugadores'!$F$2:$F$7001,F537,'Estadísticas Jugadores'!$L$2:$L$7001))</f>
        <v>0</v>
      </c>
      <c r="I537" s="4">
        <f t="shared" si="43"/>
        <v>-5.3699999999999997E-5</v>
      </c>
      <c r="J537" s="4">
        <f t="shared" si="44"/>
        <v>537</v>
      </c>
    </row>
    <row r="538" spans="1:10" ht="15" customHeight="1" x14ac:dyDescent="0.25">
      <c r="A538" s="8">
        <f>IF(COUNT($J$2:$J$1501)&gt;=537,537,"")</f>
        <v>537</v>
      </c>
      <c r="B538" s="8" t="str">
        <f t="shared" si="40"/>
        <v>Carrasquilla Adalberto</v>
      </c>
      <c r="C538" s="8" t="str">
        <f t="shared" si="41"/>
        <v>Pumas UNAM</v>
      </c>
      <c r="D538" s="8">
        <f t="shared" si="42"/>
        <v>0</v>
      </c>
      <c r="F538" s="4" t="str">
        <f>IF(Jugadores!B538="","",Jugadores!B538)</f>
        <v>Cordova Sebastian</v>
      </c>
      <c r="G538" s="4" t="str">
        <f>IF(Jugadores!B538="","",Jugadores!A538)</f>
        <v>Pumas UNAM</v>
      </c>
      <c r="H538" s="4">
        <f>IF(F538="","",SUMIF('Estadísticas Jugadores'!$F$2:$F$7001,F538,'Estadísticas Jugadores'!$L$2:$L$7001))</f>
        <v>0</v>
      </c>
      <c r="I538" s="4">
        <f t="shared" si="43"/>
        <v>-5.38E-5</v>
      </c>
      <c r="J538" s="4">
        <f t="shared" si="44"/>
        <v>538</v>
      </c>
    </row>
    <row r="539" spans="1:10" ht="15" customHeight="1" x14ac:dyDescent="0.25">
      <c r="A539" s="8">
        <f>IF(COUNT($J$2:$J$1501)&gt;=538,538,"")</f>
        <v>538</v>
      </c>
      <c r="B539" s="8" t="str">
        <f t="shared" si="40"/>
        <v>Cordova Sebastian</v>
      </c>
      <c r="C539" s="8" t="str">
        <f t="shared" si="41"/>
        <v>Pumas UNAM</v>
      </c>
      <c r="D539" s="8">
        <f t="shared" si="42"/>
        <v>0</v>
      </c>
      <c r="F539" s="4" t="str">
        <f>IF(Jugadores!B539="","",Jugadores!B539)</f>
        <v>Garcia Stanley</v>
      </c>
      <c r="G539" s="4" t="str">
        <f>IF(Jugadores!B539="","",Jugadores!A539)</f>
        <v>Pumas UNAM</v>
      </c>
      <c r="H539" s="4">
        <f>IF(F539="","",SUMIF('Estadísticas Jugadores'!$F$2:$F$7001,F539,'Estadísticas Jugadores'!$L$2:$L$7001))</f>
        <v>1</v>
      </c>
      <c r="I539" s="4">
        <f t="shared" si="43"/>
        <v>999.99994609999999</v>
      </c>
      <c r="J539" s="4">
        <f t="shared" si="44"/>
        <v>52</v>
      </c>
    </row>
    <row r="540" spans="1:10" ht="15" customHeight="1" x14ac:dyDescent="0.25">
      <c r="A540" s="8">
        <f>IF(COUNT($J$2:$J$1501)&gt;=539,539,"")</f>
        <v>539</v>
      </c>
      <c r="B540" s="8" t="str">
        <f t="shared" si="40"/>
        <v>Lopez Rodrigo</v>
      </c>
      <c r="C540" s="8" t="str">
        <f t="shared" si="41"/>
        <v>Pumas UNAM</v>
      </c>
      <c r="D540" s="8">
        <f t="shared" si="42"/>
        <v>0</v>
      </c>
      <c r="F540" s="4" t="str">
        <f>IF(Jugadores!B540="","",Jugadores!B540)</f>
        <v>Lopez Rodrigo</v>
      </c>
      <c r="G540" s="4" t="str">
        <f>IF(Jugadores!B540="","",Jugadores!A540)</f>
        <v>Pumas UNAM</v>
      </c>
      <c r="H540" s="4">
        <f>IF(F540="","",SUMIF('Estadísticas Jugadores'!$F$2:$F$7001,F540,'Estadísticas Jugadores'!$L$2:$L$7001))</f>
        <v>0</v>
      </c>
      <c r="I540" s="4">
        <f t="shared" si="43"/>
        <v>-5.3999999999999998E-5</v>
      </c>
      <c r="J540" s="4">
        <f t="shared" si="44"/>
        <v>539</v>
      </c>
    </row>
    <row r="541" spans="1:10" ht="15" customHeight="1" x14ac:dyDescent="0.25">
      <c r="A541" s="8">
        <f>IF(COUNT($J$2:$J$1501)&gt;=540,540,"")</f>
        <v>540</v>
      </c>
      <c r="B541" s="8" t="str">
        <f t="shared" si="40"/>
        <v>Rico Angel</v>
      </c>
      <c r="C541" s="8" t="str">
        <f t="shared" si="41"/>
        <v>Pumas UNAM</v>
      </c>
      <c r="D541" s="8">
        <f t="shared" si="42"/>
        <v>0</v>
      </c>
      <c r="F541" s="4" t="str">
        <f>IF(Jugadores!B541="","",Jugadores!B541)</f>
        <v>Rico Angel</v>
      </c>
      <c r="G541" s="4" t="str">
        <f>IF(Jugadores!B541="","",Jugadores!A541)</f>
        <v>Pumas UNAM</v>
      </c>
      <c r="H541" s="4">
        <f>IF(F541="","",SUMIF('Estadísticas Jugadores'!$F$2:$F$7001,F541,'Estadísticas Jugadores'!$L$2:$L$7001))</f>
        <v>0</v>
      </c>
      <c r="I541" s="4">
        <f t="shared" si="43"/>
        <v>-5.41E-5</v>
      </c>
      <c r="J541" s="4">
        <f t="shared" si="44"/>
        <v>540</v>
      </c>
    </row>
    <row r="542" spans="1:10" ht="15" customHeight="1" x14ac:dyDescent="0.25">
      <c r="A542" s="8">
        <f>IF(COUNT($J$2:$J$1501)&gt;=541,541,"")</f>
        <v>541</v>
      </c>
      <c r="B542" s="8" t="str">
        <f t="shared" si="40"/>
        <v>Rivas Ulises</v>
      </c>
      <c r="C542" s="8" t="str">
        <f t="shared" si="41"/>
        <v>Pumas UNAM</v>
      </c>
      <c r="D542" s="8">
        <f t="shared" si="42"/>
        <v>0</v>
      </c>
      <c r="F542" s="4" t="str">
        <f>IF(Jugadores!B542="","",Jugadores!B542)</f>
        <v>Rivas Ulises</v>
      </c>
      <c r="G542" s="4" t="str">
        <f>IF(Jugadores!B542="","",Jugadores!A542)</f>
        <v>Pumas UNAM</v>
      </c>
      <c r="H542" s="4">
        <f>IF(F542="","",SUMIF('Estadísticas Jugadores'!$F$2:$F$7001,F542,'Estadísticas Jugadores'!$L$2:$L$7001))</f>
        <v>0</v>
      </c>
      <c r="I542" s="4">
        <f t="shared" si="43"/>
        <v>-5.4199999999999996E-5</v>
      </c>
      <c r="J542" s="4">
        <f t="shared" si="44"/>
        <v>541</v>
      </c>
    </row>
    <row r="543" spans="1:10" ht="15" customHeight="1" x14ac:dyDescent="0.25">
      <c r="A543" s="8">
        <f>IF(COUNT($J$2:$J$1501)&gt;=542,542,"")</f>
        <v>542</v>
      </c>
      <c r="B543" s="8" t="str">
        <f t="shared" si="40"/>
        <v>Trigos Santiago</v>
      </c>
      <c r="C543" s="8" t="str">
        <f t="shared" si="41"/>
        <v>Pumas UNAM</v>
      </c>
      <c r="D543" s="8">
        <f t="shared" si="42"/>
        <v>0</v>
      </c>
      <c r="F543" s="4" t="str">
        <f>IF(Jugadores!B543="","",Jugadores!B543)</f>
        <v>Trigos Santiago</v>
      </c>
      <c r="G543" s="4" t="str">
        <f>IF(Jugadores!B543="","",Jugadores!A543)</f>
        <v>Pumas UNAM</v>
      </c>
      <c r="H543" s="4">
        <f>IF(F543="","",SUMIF('Estadísticas Jugadores'!$F$2:$F$7001,F543,'Estadísticas Jugadores'!$L$2:$L$7001))</f>
        <v>0</v>
      </c>
      <c r="I543" s="4">
        <f t="shared" si="43"/>
        <v>-5.4299999999999998E-5</v>
      </c>
      <c r="J543" s="4">
        <f t="shared" si="44"/>
        <v>542</v>
      </c>
    </row>
    <row r="544" spans="1:10" ht="15" customHeight="1" x14ac:dyDescent="0.25">
      <c r="A544" s="8">
        <f>IF(COUNT($J$2:$J$1501)&gt;=543,543,"")</f>
        <v>543</v>
      </c>
      <c r="B544" s="8" t="str">
        <f t="shared" si="40"/>
        <v>Vite Pedro</v>
      </c>
      <c r="C544" s="8" t="str">
        <f t="shared" si="41"/>
        <v>Pumas UNAM</v>
      </c>
      <c r="D544" s="8">
        <f t="shared" si="42"/>
        <v>0</v>
      </c>
      <c r="F544" s="4" t="str">
        <f>IF(Jugadores!B544="","",Jugadores!B544)</f>
        <v>Vite Pedro</v>
      </c>
      <c r="G544" s="4" t="str">
        <f>IF(Jugadores!B544="","",Jugadores!A544)</f>
        <v>Pumas UNAM</v>
      </c>
      <c r="H544" s="4">
        <f>IF(F544="","",SUMIF('Estadísticas Jugadores'!$F$2:$F$7001,F544,'Estadísticas Jugadores'!$L$2:$L$7001))</f>
        <v>0</v>
      </c>
      <c r="I544" s="4">
        <f t="shared" si="43"/>
        <v>-5.4399999999999994E-5</v>
      </c>
      <c r="J544" s="4">
        <f t="shared" si="44"/>
        <v>543</v>
      </c>
    </row>
    <row r="545" spans="1:10" ht="15" customHeight="1" x14ac:dyDescent="0.25">
      <c r="A545" s="8">
        <f>IF(COUNT($J$2:$J$1501)&gt;=544,544,"")</f>
        <v>544</v>
      </c>
      <c r="B545" s="8" t="str">
        <f t="shared" si="40"/>
        <v>Juninho</v>
      </c>
      <c r="C545" s="8" t="str">
        <f t="shared" si="41"/>
        <v>Pumas UNAM</v>
      </c>
      <c r="D545" s="8">
        <f t="shared" si="42"/>
        <v>0</v>
      </c>
      <c r="F545" s="4" t="str">
        <f>IF(Jugadores!B545="","",Jugadores!B545)</f>
        <v>Juninho</v>
      </c>
      <c r="G545" s="4" t="str">
        <f>IF(Jugadores!B545="","",Jugadores!A545)</f>
        <v>Pumas UNAM</v>
      </c>
      <c r="H545" s="4">
        <f>IF(F545="","",SUMIF('Estadísticas Jugadores'!$F$2:$F$7001,F545,'Estadísticas Jugadores'!$L$2:$L$7001))</f>
        <v>0</v>
      </c>
      <c r="I545" s="4">
        <f t="shared" si="43"/>
        <v>-5.4499999999999997E-5</v>
      </c>
      <c r="J545" s="4">
        <f t="shared" si="44"/>
        <v>544</v>
      </c>
    </row>
    <row r="546" spans="1:10" ht="15" customHeight="1" x14ac:dyDescent="0.25">
      <c r="A546" s="8">
        <f>IF(COUNT($J$2:$J$1501)&gt;=545,545,"")</f>
        <v>545</v>
      </c>
      <c r="B546" s="8" t="str">
        <f t="shared" si="40"/>
        <v>Lopez Santiago</v>
      </c>
      <c r="C546" s="8" t="str">
        <f t="shared" si="41"/>
        <v>Pumas UNAM</v>
      </c>
      <c r="D546" s="8">
        <f t="shared" si="42"/>
        <v>0</v>
      </c>
      <c r="F546" s="4" t="str">
        <f>IF(Jugadores!B546="","",Jugadores!B546)</f>
        <v>Lopez Santiago</v>
      </c>
      <c r="G546" s="4" t="str">
        <f>IF(Jugadores!B546="","",Jugadores!A546)</f>
        <v>Pumas UNAM</v>
      </c>
      <c r="H546" s="4">
        <f>IF(F546="","",SUMIF('Estadísticas Jugadores'!$F$2:$F$7001,F546,'Estadísticas Jugadores'!$L$2:$L$7001))</f>
        <v>0</v>
      </c>
      <c r="I546" s="4">
        <f t="shared" si="43"/>
        <v>-5.4599999999999999E-5</v>
      </c>
      <c r="J546" s="4">
        <f t="shared" si="44"/>
        <v>545</v>
      </c>
    </row>
    <row r="547" spans="1:10" ht="15" customHeight="1" x14ac:dyDescent="0.25">
      <c r="A547" s="8">
        <f>IF(COUNT($J$2:$J$1501)&gt;=546,546,"")</f>
        <v>546</v>
      </c>
      <c r="B547" s="8" t="str">
        <f t="shared" si="40"/>
        <v>Martínez Guillermo</v>
      </c>
      <c r="C547" s="8" t="str">
        <f t="shared" si="41"/>
        <v>Pumas UNAM</v>
      </c>
      <c r="D547" s="8">
        <f t="shared" si="42"/>
        <v>0</v>
      </c>
      <c r="F547" s="4" t="str">
        <f>IF(Jugadores!B547="","",Jugadores!B547)</f>
        <v>Martínez Guillermo</v>
      </c>
      <c r="G547" s="4" t="str">
        <f>IF(Jugadores!B547="","",Jugadores!A547)</f>
        <v>Pumas UNAM</v>
      </c>
      <c r="H547" s="4">
        <f>IF(F547="","",SUMIF('Estadísticas Jugadores'!$F$2:$F$7001,F547,'Estadísticas Jugadores'!$L$2:$L$7001))</f>
        <v>0</v>
      </c>
      <c r="I547" s="4">
        <f t="shared" si="43"/>
        <v>-5.4699999999999995E-5</v>
      </c>
      <c r="J547" s="4">
        <f t="shared" si="44"/>
        <v>546</v>
      </c>
    </row>
    <row r="548" spans="1:10" ht="15" customHeight="1" x14ac:dyDescent="0.25">
      <c r="A548" s="8">
        <f>IF(COUNT($J$2:$J$1501)&gt;=547,547,"")</f>
        <v>547</v>
      </c>
      <c r="B548" s="8" t="str">
        <f t="shared" si="40"/>
        <v>Medina Alan</v>
      </c>
      <c r="C548" s="8" t="str">
        <f t="shared" si="41"/>
        <v>Pumas UNAM</v>
      </c>
      <c r="D548" s="8">
        <f t="shared" si="42"/>
        <v>0</v>
      </c>
      <c r="F548" s="4" t="str">
        <f>IF(Jugadores!B548="","",Jugadores!B548)</f>
        <v>Medina Alan</v>
      </c>
      <c r="G548" s="4" t="str">
        <f>IF(Jugadores!B548="","",Jugadores!A548)</f>
        <v>Pumas UNAM</v>
      </c>
      <c r="H548" s="4">
        <f>IF(F548="","",SUMIF('Estadísticas Jugadores'!$F$2:$F$7001,F548,'Estadísticas Jugadores'!$L$2:$L$7001))</f>
        <v>0</v>
      </c>
      <c r="I548" s="4">
        <f t="shared" si="43"/>
        <v>-5.4799999999999997E-5</v>
      </c>
      <c r="J548" s="4">
        <f t="shared" si="44"/>
        <v>547</v>
      </c>
    </row>
    <row r="549" spans="1:10" ht="15" customHeight="1" x14ac:dyDescent="0.25">
      <c r="A549" s="8">
        <f>IF(COUNT($J$2:$J$1501)&gt;=548,548,"")</f>
        <v>548</v>
      </c>
      <c r="B549" s="8" t="str">
        <f t="shared" si="40"/>
        <v>Morales Robert</v>
      </c>
      <c r="C549" s="8" t="str">
        <f t="shared" si="41"/>
        <v>Pumas UNAM</v>
      </c>
      <c r="D549" s="8">
        <f t="shared" si="42"/>
        <v>0</v>
      </c>
      <c r="F549" s="4" t="str">
        <f>IF(Jugadores!B549="","",Jugadores!B549)</f>
        <v>Morales Robert</v>
      </c>
      <c r="G549" s="4" t="str">
        <f>IF(Jugadores!B549="","",Jugadores!A549)</f>
        <v>Pumas UNAM</v>
      </c>
      <c r="H549" s="4">
        <f>IF(F549="","",SUMIF('Estadísticas Jugadores'!$F$2:$F$7001,F549,'Estadísticas Jugadores'!$L$2:$L$7001))</f>
        <v>0</v>
      </c>
      <c r="I549" s="4">
        <f t="shared" si="43"/>
        <v>-5.49E-5</v>
      </c>
      <c r="J549" s="4">
        <f t="shared" si="44"/>
        <v>548</v>
      </c>
    </row>
    <row r="550" spans="1:10" ht="15" customHeight="1" x14ac:dyDescent="0.25">
      <c r="A550" s="8">
        <f>IF(COUNT($J$2:$J$1501)&gt;=549,549,"")</f>
        <v>549</v>
      </c>
      <c r="B550" s="8" t="str">
        <f t="shared" si="40"/>
        <v>del Valle Yonathan</v>
      </c>
      <c r="C550" s="8" t="str">
        <f t="shared" si="41"/>
        <v>Pumas UNAM</v>
      </c>
      <c r="D550" s="8">
        <f t="shared" si="42"/>
        <v>0</v>
      </c>
      <c r="F550" s="4" t="str">
        <f>IF(Jugadores!B550="","",Jugadores!B550)</f>
        <v>del Valle Yonathan</v>
      </c>
      <c r="G550" s="4" t="str">
        <f>IF(Jugadores!B550="","",Jugadores!A550)</f>
        <v>Pumas UNAM</v>
      </c>
      <c r="H550" s="4">
        <f>IF(F550="","",SUMIF('Estadísticas Jugadores'!$F$2:$F$7001,F550,'Estadísticas Jugadores'!$L$2:$L$7001))</f>
        <v>0</v>
      </c>
      <c r="I550" s="4">
        <f t="shared" si="43"/>
        <v>-5.4999999999999995E-5</v>
      </c>
      <c r="J550" s="4">
        <f t="shared" si="44"/>
        <v>549</v>
      </c>
    </row>
    <row r="551" spans="1:10" ht="15" customHeight="1" x14ac:dyDescent="0.25">
      <c r="A551" s="8" t="str">
        <f>IF(COUNT($J$2:$J$1501)&gt;=550,550,"")</f>
        <v/>
      </c>
      <c r="B551" s="8" t="str">
        <f t="shared" si="40"/>
        <v/>
      </c>
      <c r="C551" s="8" t="str">
        <f t="shared" si="41"/>
        <v/>
      </c>
      <c r="D551" s="8" t="str">
        <f t="shared" si="42"/>
        <v/>
      </c>
      <c r="F551" s="4" t="str">
        <f>IF(Jugadores!B551="","",Jugadores!B551)</f>
        <v/>
      </c>
      <c r="G551" s="4" t="str">
        <f>IF(Jugadores!B551="","",Jugadores!A551)</f>
        <v/>
      </c>
      <c r="H551" s="4" t="str">
        <f>IF(F551="","",SUMIF('Estadísticas Jugadores'!$F$2:$F$7001,F551,'Estadísticas Jugadores'!$L$2:$L$7001))</f>
        <v/>
      </c>
      <c r="I551" s="4" t="str">
        <f t="shared" si="43"/>
        <v/>
      </c>
      <c r="J551" s="4" t="str">
        <f t="shared" si="44"/>
        <v/>
      </c>
    </row>
    <row r="552" spans="1:10" ht="15" customHeight="1" x14ac:dyDescent="0.25">
      <c r="A552" s="8" t="str">
        <f>IF(COUNT($J$2:$J$1501)&gt;=551,551,"")</f>
        <v/>
      </c>
      <c r="B552" s="8" t="str">
        <f t="shared" si="40"/>
        <v/>
      </c>
      <c r="C552" s="8" t="str">
        <f t="shared" si="41"/>
        <v/>
      </c>
      <c r="D552" s="8" t="str">
        <f t="shared" si="42"/>
        <v/>
      </c>
      <c r="F552" s="4" t="str">
        <f>IF(Jugadores!B552="","",Jugadores!B552)</f>
        <v/>
      </c>
      <c r="G552" s="4" t="str">
        <f>IF(Jugadores!B552="","",Jugadores!A552)</f>
        <v/>
      </c>
      <c r="H552" s="4" t="str">
        <f>IF(F552="","",SUMIF('Estadísticas Jugadores'!$F$2:$F$7001,F552,'Estadísticas Jugadores'!$L$2:$L$7001))</f>
        <v/>
      </c>
      <c r="I552" s="4" t="str">
        <f t="shared" si="43"/>
        <v/>
      </c>
      <c r="J552" s="4" t="str">
        <f t="shared" si="44"/>
        <v/>
      </c>
    </row>
    <row r="553" spans="1:10" ht="15" customHeight="1" x14ac:dyDescent="0.25">
      <c r="A553" s="8" t="str">
        <f>IF(COUNT($J$2:$J$1501)&gt;=552,552,"")</f>
        <v/>
      </c>
      <c r="B553" s="8" t="str">
        <f t="shared" si="40"/>
        <v/>
      </c>
      <c r="C553" s="8" t="str">
        <f t="shared" si="41"/>
        <v/>
      </c>
      <c r="D553" s="8" t="str">
        <f t="shared" si="42"/>
        <v/>
      </c>
      <c r="F553" s="4" t="str">
        <f>IF(Jugadores!B553="","",Jugadores!B553)</f>
        <v/>
      </c>
      <c r="G553" s="4" t="str">
        <f>IF(Jugadores!B553="","",Jugadores!A553)</f>
        <v/>
      </c>
      <c r="H553" s="4" t="str">
        <f>IF(F553="","",SUMIF('Estadísticas Jugadores'!$F$2:$F$7001,F553,'Estadísticas Jugadores'!$L$2:$L$7001))</f>
        <v/>
      </c>
      <c r="I553" s="4" t="str">
        <f t="shared" si="43"/>
        <v/>
      </c>
      <c r="J553" s="4" t="str">
        <f t="shared" si="44"/>
        <v/>
      </c>
    </row>
    <row r="554" spans="1:10" ht="15" customHeight="1" x14ac:dyDescent="0.25">
      <c r="A554" s="8" t="str">
        <f>IF(COUNT($J$2:$J$1501)&gt;=553,553,"")</f>
        <v/>
      </c>
      <c r="B554" s="8" t="str">
        <f t="shared" si="40"/>
        <v/>
      </c>
      <c r="C554" s="8" t="str">
        <f t="shared" si="41"/>
        <v/>
      </c>
      <c r="D554" s="8" t="str">
        <f t="shared" si="42"/>
        <v/>
      </c>
      <c r="F554" s="4" t="str">
        <f>IF(Jugadores!B554="","",Jugadores!B554)</f>
        <v/>
      </c>
      <c r="G554" s="4" t="str">
        <f>IF(Jugadores!B554="","",Jugadores!A554)</f>
        <v/>
      </c>
      <c r="H554" s="4" t="str">
        <f>IF(F554="","",SUMIF('Estadísticas Jugadores'!$F$2:$F$7001,F554,'Estadísticas Jugadores'!$L$2:$L$7001))</f>
        <v/>
      </c>
      <c r="I554" s="4" t="str">
        <f t="shared" si="43"/>
        <v/>
      </c>
      <c r="J554" s="4" t="str">
        <f t="shared" si="44"/>
        <v/>
      </c>
    </row>
    <row r="555" spans="1:10" ht="15" customHeight="1" x14ac:dyDescent="0.25">
      <c r="A555" s="8" t="str">
        <f>IF(COUNT($J$2:$J$1501)&gt;=554,554,"")</f>
        <v/>
      </c>
      <c r="B555" s="8" t="str">
        <f t="shared" si="40"/>
        <v/>
      </c>
      <c r="C555" s="8" t="str">
        <f t="shared" si="41"/>
        <v/>
      </c>
      <c r="D555" s="8" t="str">
        <f t="shared" si="42"/>
        <v/>
      </c>
      <c r="F555" s="4" t="str">
        <f>IF(Jugadores!B555="","",Jugadores!B555)</f>
        <v/>
      </c>
      <c r="G555" s="4" t="str">
        <f>IF(Jugadores!B555="","",Jugadores!A555)</f>
        <v/>
      </c>
      <c r="H555" s="4" t="str">
        <f>IF(F555="","",SUMIF('Estadísticas Jugadores'!$F$2:$F$7001,F555,'Estadísticas Jugadores'!$L$2:$L$7001))</f>
        <v/>
      </c>
      <c r="I555" s="4" t="str">
        <f t="shared" si="43"/>
        <v/>
      </c>
      <c r="J555" s="4" t="str">
        <f t="shared" si="44"/>
        <v/>
      </c>
    </row>
    <row r="556" spans="1:10" ht="15" customHeight="1" x14ac:dyDescent="0.25">
      <c r="A556" s="8" t="str">
        <f>IF(COUNT($J$2:$J$1501)&gt;=555,555,"")</f>
        <v/>
      </c>
      <c r="B556" s="8" t="str">
        <f t="shared" si="40"/>
        <v/>
      </c>
      <c r="C556" s="8" t="str">
        <f t="shared" si="41"/>
        <v/>
      </c>
      <c r="D556" s="8" t="str">
        <f t="shared" si="42"/>
        <v/>
      </c>
      <c r="F556" s="4" t="str">
        <f>IF(Jugadores!B556="","",Jugadores!B556)</f>
        <v/>
      </c>
      <c r="G556" s="4" t="str">
        <f>IF(Jugadores!B556="","",Jugadores!A556)</f>
        <v/>
      </c>
      <c r="H556" s="4" t="str">
        <f>IF(F556="","",SUMIF('Estadísticas Jugadores'!$F$2:$F$7001,F556,'Estadísticas Jugadores'!$L$2:$L$7001))</f>
        <v/>
      </c>
      <c r="I556" s="4" t="str">
        <f t="shared" si="43"/>
        <v/>
      </c>
      <c r="J556" s="4" t="str">
        <f t="shared" si="44"/>
        <v/>
      </c>
    </row>
    <row r="557" spans="1:10" ht="15" customHeight="1" x14ac:dyDescent="0.25">
      <c r="A557" s="8" t="str">
        <f>IF(COUNT($J$2:$J$1501)&gt;=556,556,"")</f>
        <v/>
      </c>
      <c r="B557" s="8" t="str">
        <f t="shared" si="40"/>
        <v/>
      </c>
      <c r="C557" s="8" t="str">
        <f t="shared" si="41"/>
        <v/>
      </c>
      <c r="D557" s="8" t="str">
        <f t="shared" si="42"/>
        <v/>
      </c>
      <c r="F557" s="4" t="str">
        <f>IF(Jugadores!B557="","",Jugadores!B557)</f>
        <v/>
      </c>
      <c r="G557" s="4" t="str">
        <f>IF(Jugadores!B557="","",Jugadores!A557)</f>
        <v/>
      </c>
      <c r="H557" s="4" t="str">
        <f>IF(F557="","",SUMIF('Estadísticas Jugadores'!$F$2:$F$7001,F557,'Estadísticas Jugadores'!$L$2:$L$7001))</f>
        <v/>
      </c>
      <c r="I557" s="4" t="str">
        <f t="shared" si="43"/>
        <v/>
      </c>
      <c r="J557" s="4" t="str">
        <f t="shared" si="44"/>
        <v/>
      </c>
    </row>
    <row r="558" spans="1:10" ht="15" customHeight="1" x14ac:dyDescent="0.25">
      <c r="A558" s="8" t="str">
        <f>IF(COUNT($J$2:$J$1501)&gt;=557,557,"")</f>
        <v/>
      </c>
      <c r="B558" s="8" t="str">
        <f t="shared" si="40"/>
        <v/>
      </c>
      <c r="C558" s="8" t="str">
        <f t="shared" si="41"/>
        <v/>
      </c>
      <c r="D558" s="8" t="str">
        <f t="shared" si="42"/>
        <v/>
      </c>
      <c r="F558" s="4" t="str">
        <f>IF(Jugadores!B558="","",Jugadores!B558)</f>
        <v/>
      </c>
      <c r="G558" s="4" t="str">
        <f>IF(Jugadores!B558="","",Jugadores!A558)</f>
        <v/>
      </c>
      <c r="H558" s="4" t="str">
        <f>IF(F558="","",SUMIF('Estadísticas Jugadores'!$F$2:$F$7001,F558,'Estadísticas Jugadores'!$L$2:$L$7001))</f>
        <v/>
      </c>
      <c r="I558" s="4" t="str">
        <f t="shared" si="43"/>
        <v/>
      </c>
      <c r="J558" s="4" t="str">
        <f t="shared" si="44"/>
        <v/>
      </c>
    </row>
    <row r="559" spans="1:10" ht="15" customHeight="1" x14ac:dyDescent="0.25">
      <c r="A559" s="8" t="str">
        <f>IF(COUNT($J$2:$J$1501)&gt;=558,558,"")</f>
        <v/>
      </c>
      <c r="B559" s="8" t="str">
        <f t="shared" si="40"/>
        <v/>
      </c>
      <c r="C559" s="8" t="str">
        <f t="shared" si="41"/>
        <v/>
      </c>
      <c r="D559" s="8" t="str">
        <f t="shared" si="42"/>
        <v/>
      </c>
      <c r="F559" s="4" t="str">
        <f>IF(Jugadores!B559="","",Jugadores!B559)</f>
        <v/>
      </c>
      <c r="G559" s="4" t="str">
        <f>IF(Jugadores!B559="","",Jugadores!A559)</f>
        <v/>
      </c>
      <c r="H559" s="4" t="str">
        <f>IF(F559="","",SUMIF('Estadísticas Jugadores'!$F$2:$F$7001,F559,'Estadísticas Jugadores'!$L$2:$L$7001))</f>
        <v/>
      </c>
      <c r="I559" s="4" t="str">
        <f t="shared" si="43"/>
        <v/>
      </c>
      <c r="J559" s="4" t="str">
        <f t="shared" si="44"/>
        <v/>
      </c>
    </row>
    <row r="560" spans="1:10" ht="15" customHeight="1" x14ac:dyDescent="0.25">
      <c r="A560" s="8" t="str">
        <f>IF(COUNT($J$2:$J$1501)&gt;=559,559,"")</f>
        <v/>
      </c>
      <c r="B560" s="8" t="str">
        <f t="shared" si="40"/>
        <v/>
      </c>
      <c r="C560" s="8" t="str">
        <f t="shared" si="41"/>
        <v/>
      </c>
      <c r="D560" s="8" t="str">
        <f t="shared" si="42"/>
        <v/>
      </c>
      <c r="F560" s="4" t="str">
        <f>IF(Jugadores!B560="","",Jugadores!B560)</f>
        <v/>
      </c>
      <c r="G560" s="4" t="str">
        <f>IF(Jugadores!B560="","",Jugadores!A560)</f>
        <v/>
      </c>
      <c r="H560" s="4" t="str">
        <f>IF(F560="","",SUMIF('Estadísticas Jugadores'!$F$2:$F$7001,F560,'Estadísticas Jugadores'!$L$2:$L$7001))</f>
        <v/>
      </c>
      <c r="I560" s="4" t="str">
        <f t="shared" si="43"/>
        <v/>
      </c>
      <c r="J560" s="4" t="str">
        <f t="shared" si="44"/>
        <v/>
      </c>
    </row>
    <row r="561" spans="1:10" ht="15" customHeight="1" x14ac:dyDescent="0.25">
      <c r="A561" s="8" t="str">
        <f>IF(COUNT($J$2:$J$1501)&gt;=560,560,"")</f>
        <v/>
      </c>
      <c r="B561" s="8" t="str">
        <f t="shared" si="40"/>
        <v/>
      </c>
      <c r="C561" s="8" t="str">
        <f t="shared" si="41"/>
        <v/>
      </c>
      <c r="D561" s="8" t="str">
        <f t="shared" si="42"/>
        <v/>
      </c>
      <c r="F561" s="4" t="str">
        <f>IF(Jugadores!B561="","",Jugadores!B561)</f>
        <v/>
      </c>
      <c r="G561" s="4" t="str">
        <f>IF(Jugadores!B561="","",Jugadores!A561)</f>
        <v/>
      </c>
      <c r="H561" s="4" t="str">
        <f>IF(F561="","",SUMIF('Estadísticas Jugadores'!$F$2:$F$7001,F561,'Estadísticas Jugadores'!$L$2:$L$7001))</f>
        <v/>
      </c>
      <c r="I561" s="4" t="str">
        <f t="shared" si="43"/>
        <v/>
      </c>
      <c r="J561" s="4" t="str">
        <f t="shared" si="44"/>
        <v/>
      </c>
    </row>
    <row r="562" spans="1:10" ht="15" customHeight="1" x14ac:dyDescent="0.25">
      <c r="A562" s="8" t="str">
        <f>IF(COUNT($J$2:$J$1501)&gt;=561,561,"")</f>
        <v/>
      </c>
      <c r="B562" s="8" t="str">
        <f t="shared" si="40"/>
        <v/>
      </c>
      <c r="C562" s="8" t="str">
        <f t="shared" si="41"/>
        <v/>
      </c>
      <c r="D562" s="8" t="str">
        <f t="shared" si="42"/>
        <v/>
      </c>
      <c r="F562" s="4" t="str">
        <f>IF(Jugadores!B562="","",Jugadores!B562)</f>
        <v/>
      </c>
      <c r="G562" s="4" t="str">
        <f>IF(Jugadores!B562="","",Jugadores!A562)</f>
        <v/>
      </c>
      <c r="H562" s="4" t="str">
        <f>IF(F562="","",SUMIF('Estadísticas Jugadores'!$F$2:$F$7001,F562,'Estadísticas Jugadores'!$L$2:$L$7001))</f>
        <v/>
      </c>
      <c r="I562" s="4" t="str">
        <f t="shared" si="43"/>
        <v/>
      </c>
      <c r="J562" s="4" t="str">
        <f t="shared" si="44"/>
        <v/>
      </c>
    </row>
    <row r="563" spans="1:10" ht="15" customHeight="1" x14ac:dyDescent="0.25">
      <c r="A563" s="8" t="str">
        <f>IF(COUNT($J$2:$J$1501)&gt;=562,562,"")</f>
        <v/>
      </c>
      <c r="B563" s="8" t="str">
        <f t="shared" si="40"/>
        <v/>
      </c>
      <c r="C563" s="8" t="str">
        <f t="shared" si="41"/>
        <v/>
      </c>
      <c r="D563" s="8" t="str">
        <f t="shared" si="42"/>
        <v/>
      </c>
      <c r="F563" s="4" t="str">
        <f>IF(Jugadores!B563="","",Jugadores!B563)</f>
        <v/>
      </c>
      <c r="G563" s="4" t="str">
        <f>IF(Jugadores!B563="","",Jugadores!A563)</f>
        <v/>
      </c>
      <c r="H563" s="4" t="str">
        <f>IF(F563="","",SUMIF('Estadísticas Jugadores'!$F$2:$F$7001,F563,'Estadísticas Jugadores'!$L$2:$L$7001))</f>
        <v/>
      </c>
      <c r="I563" s="4" t="str">
        <f t="shared" si="43"/>
        <v/>
      </c>
      <c r="J563" s="4" t="str">
        <f t="shared" si="44"/>
        <v/>
      </c>
    </row>
    <row r="564" spans="1:10" ht="15" customHeight="1" x14ac:dyDescent="0.25">
      <c r="A564" s="8" t="str">
        <f>IF(COUNT($J$2:$J$1501)&gt;=563,563,"")</f>
        <v/>
      </c>
      <c r="B564" s="8" t="str">
        <f t="shared" si="40"/>
        <v/>
      </c>
      <c r="C564" s="8" t="str">
        <f t="shared" si="41"/>
        <v/>
      </c>
      <c r="D564" s="8" t="str">
        <f t="shared" si="42"/>
        <v/>
      </c>
      <c r="F564" s="4" t="str">
        <f>IF(Jugadores!B564="","",Jugadores!B564)</f>
        <v/>
      </c>
      <c r="G564" s="4" t="str">
        <f>IF(Jugadores!B564="","",Jugadores!A564)</f>
        <v/>
      </c>
      <c r="H564" s="4" t="str">
        <f>IF(F564="","",SUMIF('Estadísticas Jugadores'!$F$2:$F$7001,F564,'Estadísticas Jugadores'!$L$2:$L$7001))</f>
        <v/>
      </c>
      <c r="I564" s="4" t="str">
        <f t="shared" si="43"/>
        <v/>
      </c>
      <c r="J564" s="4" t="str">
        <f t="shared" si="44"/>
        <v/>
      </c>
    </row>
    <row r="565" spans="1:10" ht="15" customHeight="1" x14ac:dyDescent="0.25">
      <c r="A565" s="8" t="str">
        <f>IF(COUNT($J$2:$J$1501)&gt;=564,564,"")</f>
        <v/>
      </c>
      <c r="B565" s="8" t="str">
        <f t="shared" si="40"/>
        <v/>
      </c>
      <c r="C565" s="8" t="str">
        <f t="shared" si="41"/>
        <v/>
      </c>
      <c r="D565" s="8" t="str">
        <f t="shared" si="42"/>
        <v/>
      </c>
      <c r="F565" s="4" t="str">
        <f>IF(Jugadores!B565="","",Jugadores!B565)</f>
        <v/>
      </c>
      <c r="G565" s="4" t="str">
        <f>IF(Jugadores!B565="","",Jugadores!A565)</f>
        <v/>
      </c>
      <c r="H565" s="4" t="str">
        <f>IF(F565="","",SUMIF('Estadísticas Jugadores'!$F$2:$F$7001,F565,'Estadísticas Jugadores'!$L$2:$L$7001))</f>
        <v/>
      </c>
      <c r="I565" s="4" t="str">
        <f t="shared" si="43"/>
        <v/>
      </c>
      <c r="J565" s="4" t="str">
        <f t="shared" si="44"/>
        <v/>
      </c>
    </row>
    <row r="566" spans="1:10" ht="15" customHeight="1" x14ac:dyDescent="0.25">
      <c r="A566" s="8" t="str">
        <f>IF(COUNT($J$2:$J$1501)&gt;=565,565,"")</f>
        <v/>
      </c>
      <c r="B566" s="8" t="str">
        <f t="shared" si="40"/>
        <v/>
      </c>
      <c r="C566" s="8" t="str">
        <f t="shared" si="41"/>
        <v/>
      </c>
      <c r="D566" s="8" t="str">
        <f t="shared" si="42"/>
        <v/>
      </c>
      <c r="F566" s="4" t="str">
        <f>IF(Jugadores!B566="","",Jugadores!B566)</f>
        <v/>
      </c>
      <c r="G566" s="4" t="str">
        <f>IF(Jugadores!B566="","",Jugadores!A566)</f>
        <v/>
      </c>
      <c r="H566" s="4" t="str">
        <f>IF(F566="","",SUMIF('Estadísticas Jugadores'!$F$2:$F$7001,F566,'Estadísticas Jugadores'!$L$2:$L$7001))</f>
        <v/>
      </c>
      <c r="I566" s="4" t="str">
        <f t="shared" si="43"/>
        <v/>
      </c>
      <c r="J566" s="4" t="str">
        <f t="shared" si="44"/>
        <v/>
      </c>
    </row>
    <row r="567" spans="1:10" ht="15" customHeight="1" x14ac:dyDescent="0.25">
      <c r="A567" s="8" t="str">
        <f>IF(COUNT($J$2:$J$1501)&gt;=566,566,"")</f>
        <v/>
      </c>
      <c r="B567" s="8" t="str">
        <f t="shared" si="40"/>
        <v/>
      </c>
      <c r="C567" s="8" t="str">
        <f t="shared" si="41"/>
        <v/>
      </c>
      <c r="D567" s="8" t="str">
        <f t="shared" si="42"/>
        <v/>
      </c>
      <c r="F567" s="4" t="str">
        <f>IF(Jugadores!B567="","",Jugadores!B567)</f>
        <v/>
      </c>
      <c r="G567" s="4" t="str">
        <f>IF(Jugadores!B567="","",Jugadores!A567)</f>
        <v/>
      </c>
      <c r="H567" s="4" t="str">
        <f>IF(F567="","",SUMIF('Estadísticas Jugadores'!$F$2:$F$7001,F567,'Estadísticas Jugadores'!$L$2:$L$7001))</f>
        <v/>
      </c>
      <c r="I567" s="4" t="str">
        <f t="shared" si="43"/>
        <v/>
      </c>
      <c r="J567" s="4" t="str">
        <f t="shared" si="44"/>
        <v/>
      </c>
    </row>
    <row r="568" spans="1:10" ht="15" customHeight="1" x14ac:dyDescent="0.25">
      <c r="A568" s="8" t="str">
        <f>IF(COUNT($J$2:$J$1501)&gt;=567,567,"")</f>
        <v/>
      </c>
      <c r="B568" s="8" t="str">
        <f t="shared" si="40"/>
        <v/>
      </c>
      <c r="C568" s="8" t="str">
        <f t="shared" si="41"/>
        <v/>
      </c>
      <c r="D568" s="8" t="str">
        <f t="shared" si="42"/>
        <v/>
      </c>
      <c r="F568" s="4" t="str">
        <f>IF(Jugadores!B568="","",Jugadores!B568)</f>
        <v/>
      </c>
      <c r="G568" s="4" t="str">
        <f>IF(Jugadores!B568="","",Jugadores!A568)</f>
        <v/>
      </c>
      <c r="H568" s="4" t="str">
        <f>IF(F568="","",SUMIF('Estadísticas Jugadores'!$F$2:$F$7001,F568,'Estadísticas Jugadores'!$L$2:$L$7001))</f>
        <v/>
      </c>
      <c r="I568" s="4" t="str">
        <f t="shared" si="43"/>
        <v/>
      </c>
      <c r="J568" s="4" t="str">
        <f t="shared" si="44"/>
        <v/>
      </c>
    </row>
    <row r="569" spans="1:10" ht="15" customHeight="1" x14ac:dyDescent="0.25">
      <c r="A569" s="8" t="str">
        <f>IF(COUNT($J$2:$J$1501)&gt;=568,568,"")</f>
        <v/>
      </c>
      <c r="B569" s="8" t="str">
        <f t="shared" si="40"/>
        <v/>
      </c>
      <c r="C569" s="8" t="str">
        <f t="shared" si="41"/>
        <v/>
      </c>
      <c r="D569" s="8" t="str">
        <f t="shared" si="42"/>
        <v/>
      </c>
      <c r="F569" s="4" t="str">
        <f>IF(Jugadores!B569="","",Jugadores!B569)</f>
        <v/>
      </c>
      <c r="G569" s="4" t="str">
        <f>IF(Jugadores!B569="","",Jugadores!A569)</f>
        <v/>
      </c>
      <c r="H569" s="4" t="str">
        <f>IF(F569="","",SUMIF('Estadísticas Jugadores'!$F$2:$F$7001,F569,'Estadísticas Jugadores'!$L$2:$L$7001))</f>
        <v/>
      </c>
      <c r="I569" s="4" t="str">
        <f t="shared" si="43"/>
        <v/>
      </c>
      <c r="J569" s="4" t="str">
        <f t="shared" si="44"/>
        <v/>
      </c>
    </row>
    <row r="570" spans="1:10" ht="15" customHeight="1" x14ac:dyDescent="0.25">
      <c r="A570" s="8" t="str">
        <f>IF(COUNT($J$2:$J$1501)&gt;=569,569,"")</f>
        <v/>
      </c>
      <c r="B570" s="8" t="str">
        <f t="shared" si="40"/>
        <v/>
      </c>
      <c r="C570" s="8" t="str">
        <f t="shared" si="41"/>
        <v/>
      </c>
      <c r="D570" s="8" t="str">
        <f t="shared" si="42"/>
        <v/>
      </c>
      <c r="F570" s="4" t="str">
        <f>IF(Jugadores!B570="","",Jugadores!B570)</f>
        <v/>
      </c>
      <c r="G570" s="4" t="str">
        <f>IF(Jugadores!B570="","",Jugadores!A570)</f>
        <v/>
      </c>
      <c r="H570" s="4" t="str">
        <f>IF(F570="","",SUMIF('Estadísticas Jugadores'!$F$2:$F$7001,F570,'Estadísticas Jugadores'!$L$2:$L$7001))</f>
        <v/>
      </c>
      <c r="I570" s="4" t="str">
        <f t="shared" si="43"/>
        <v/>
      </c>
      <c r="J570" s="4" t="str">
        <f t="shared" si="44"/>
        <v/>
      </c>
    </row>
    <row r="571" spans="1:10" ht="15" customHeight="1" x14ac:dyDescent="0.25">
      <c r="A571" s="8" t="str">
        <f>IF(COUNT($J$2:$J$1501)&gt;=570,570,"")</f>
        <v/>
      </c>
      <c r="B571" s="8" t="str">
        <f t="shared" si="40"/>
        <v/>
      </c>
      <c r="C571" s="8" t="str">
        <f t="shared" si="41"/>
        <v/>
      </c>
      <c r="D571" s="8" t="str">
        <f t="shared" si="42"/>
        <v/>
      </c>
      <c r="F571" s="4" t="str">
        <f>IF(Jugadores!B571="","",Jugadores!B571)</f>
        <v/>
      </c>
      <c r="G571" s="4" t="str">
        <f>IF(Jugadores!B571="","",Jugadores!A571)</f>
        <v/>
      </c>
      <c r="H571" s="4" t="str">
        <f>IF(F571="","",SUMIF('Estadísticas Jugadores'!$F$2:$F$7001,F571,'Estadísticas Jugadores'!$L$2:$L$7001))</f>
        <v/>
      </c>
      <c r="I571" s="4" t="str">
        <f t="shared" si="43"/>
        <v/>
      </c>
      <c r="J571" s="4" t="str">
        <f t="shared" si="44"/>
        <v/>
      </c>
    </row>
    <row r="572" spans="1:10" ht="15" customHeight="1" x14ac:dyDescent="0.25">
      <c r="A572" s="8" t="str">
        <f>IF(COUNT($J$2:$J$1501)&gt;=571,571,"")</f>
        <v/>
      </c>
      <c r="B572" s="8" t="str">
        <f t="shared" si="40"/>
        <v/>
      </c>
      <c r="C572" s="8" t="str">
        <f t="shared" si="41"/>
        <v/>
      </c>
      <c r="D572" s="8" t="str">
        <f t="shared" si="42"/>
        <v/>
      </c>
      <c r="F572" s="4" t="str">
        <f>IF(Jugadores!B572="","",Jugadores!B572)</f>
        <v/>
      </c>
      <c r="G572" s="4" t="str">
        <f>IF(Jugadores!B572="","",Jugadores!A572)</f>
        <v/>
      </c>
      <c r="H572" s="4" t="str">
        <f>IF(F572="","",SUMIF('Estadísticas Jugadores'!$F$2:$F$7001,F572,'Estadísticas Jugadores'!$L$2:$L$7001))</f>
        <v/>
      </c>
      <c r="I572" s="4" t="str">
        <f t="shared" si="43"/>
        <v/>
      </c>
      <c r="J572" s="4" t="str">
        <f t="shared" si="44"/>
        <v/>
      </c>
    </row>
    <row r="573" spans="1:10" ht="15" customHeight="1" x14ac:dyDescent="0.25">
      <c r="A573" s="8" t="str">
        <f>IF(COUNT($J$2:$J$1501)&gt;=572,572,"")</f>
        <v/>
      </c>
      <c r="B573" s="8" t="str">
        <f t="shared" si="40"/>
        <v/>
      </c>
      <c r="C573" s="8" t="str">
        <f t="shared" si="41"/>
        <v/>
      </c>
      <c r="D573" s="8" t="str">
        <f t="shared" si="42"/>
        <v/>
      </c>
      <c r="F573" s="4" t="str">
        <f>IF(Jugadores!B573="","",Jugadores!B573)</f>
        <v/>
      </c>
      <c r="G573" s="4" t="str">
        <f>IF(Jugadores!B573="","",Jugadores!A573)</f>
        <v/>
      </c>
      <c r="H573" s="4" t="str">
        <f>IF(F573="","",SUMIF('Estadísticas Jugadores'!$F$2:$F$7001,F573,'Estadísticas Jugadores'!$L$2:$L$7001))</f>
        <v/>
      </c>
      <c r="I573" s="4" t="str">
        <f t="shared" si="43"/>
        <v/>
      </c>
      <c r="J573" s="4" t="str">
        <f t="shared" si="44"/>
        <v/>
      </c>
    </row>
    <row r="574" spans="1:10" ht="15" customHeight="1" x14ac:dyDescent="0.25">
      <c r="A574" s="8" t="str">
        <f>IF(COUNT($J$2:$J$1501)&gt;=573,573,"")</f>
        <v/>
      </c>
      <c r="B574" s="8" t="str">
        <f t="shared" si="40"/>
        <v/>
      </c>
      <c r="C574" s="8" t="str">
        <f t="shared" si="41"/>
        <v/>
      </c>
      <c r="D574" s="8" t="str">
        <f t="shared" si="42"/>
        <v/>
      </c>
      <c r="F574" s="4" t="str">
        <f>IF(Jugadores!B574="","",Jugadores!B574)</f>
        <v/>
      </c>
      <c r="G574" s="4" t="str">
        <f>IF(Jugadores!B574="","",Jugadores!A574)</f>
        <v/>
      </c>
      <c r="H574" s="4" t="str">
        <f>IF(F574="","",SUMIF('Estadísticas Jugadores'!$F$2:$F$7001,F574,'Estadísticas Jugadores'!$L$2:$L$7001))</f>
        <v/>
      </c>
      <c r="I574" s="4" t="str">
        <f t="shared" si="43"/>
        <v/>
      </c>
      <c r="J574" s="4" t="str">
        <f t="shared" si="44"/>
        <v/>
      </c>
    </row>
    <row r="575" spans="1:10" ht="15" customHeight="1" x14ac:dyDescent="0.25">
      <c r="A575" s="8" t="str">
        <f>IF(COUNT($J$2:$J$1501)&gt;=574,574,"")</f>
        <v/>
      </c>
      <c r="B575" s="8" t="str">
        <f t="shared" si="40"/>
        <v/>
      </c>
      <c r="C575" s="8" t="str">
        <f t="shared" si="41"/>
        <v/>
      </c>
      <c r="D575" s="8" t="str">
        <f t="shared" si="42"/>
        <v/>
      </c>
      <c r="F575" s="4" t="str">
        <f>IF(Jugadores!B575="","",Jugadores!B575)</f>
        <v/>
      </c>
      <c r="G575" s="4" t="str">
        <f>IF(Jugadores!B575="","",Jugadores!A575)</f>
        <v/>
      </c>
      <c r="H575" s="4" t="str">
        <f>IF(F575="","",SUMIF('Estadísticas Jugadores'!$F$2:$F$7001,F575,'Estadísticas Jugadores'!$L$2:$L$7001))</f>
        <v/>
      </c>
      <c r="I575" s="4" t="str">
        <f t="shared" si="43"/>
        <v/>
      </c>
      <c r="J575" s="4" t="str">
        <f t="shared" si="44"/>
        <v/>
      </c>
    </row>
    <row r="576" spans="1:10" ht="15" customHeight="1" x14ac:dyDescent="0.25">
      <c r="A576" s="8" t="str">
        <f>IF(COUNT($J$2:$J$1501)&gt;=575,575,"")</f>
        <v/>
      </c>
      <c r="B576" s="8" t="str">
        <f t="shared" si="40"/>
        <v/>
      </c>
      <c r="C576" s="8" t="str">
        <f t="shared" si="41"/>
        <v/>
      </c>
      <c r="D576" s="8" t="str">
        <f t="shared" si="42"/>
        <v/>
      </c>
      <c r="F576" s="4" t="str">
        <f>IF(Jugadores!B576="","",Jugadores!B576)</f>
        <v/>
      </c>
      <c r="G576" s="4" t="str">
        <f>IF(Jugadores!B576="","",Jugadores!A576)</f>
        <v/>
      </c>
      <c r="H576" s="4" t="str">
        <f>IF(F576="","",SUMIF('Estadísticas Jugadores'!$F$2:$F$7001,F576,'Estadísticas Jugadores'!$L$2:$L$7001))</f>
        <v/>
      </c>
      <c r="I576" s="4" t="str">
        <f t="shared" si="43"/>
        <v/>
      </c>
      <c r="J576" s="4" t="str">
        <f t="shared" si="44"/>
        <v/>
      </c>
    </row>
    <row r="577" spans="1:10" ht="15" customHeight="1" x14ac:dyDescent="0.25">
      <c r="A577" s="8" t="str">
        <f>IF(COUNT($J$2:$J$1501)&gt;=576,576,"")</f>
        <v/>
      </c>
      <c r="B577" s="8" t="str">
        <f t="shared" si="40"/>
        <v/>
      </c>
      <c r="C577" s="8" t="str">
        <f t="shared" si="41"/>
        <v/>
      </c>
      <c r="D577" s="8" t="str">
        <f t="shared" si="42"/>
        <v/>
      </c>
      <c r="F577" s="4" t="str">
        <f>IF(Jugadores!B577="","",Jugadores!B577)</f>
        <v/>
      </c>
      <c r="G577" s="4" t="str">
        <f>IF(Jugadores!B577="","",Jugadores!A577)</f>
        <v/>
      </c>
      <c r="H577" s="4" t="str">
        <f>IF(F577="","",SUMIF('Estadísticas Jugadores'!$F$2:$F$7001,F577,'Estadísticas Jugadores'!$L$2:$L$7001))</f>
        <v/>
      </c>
      <c r="I577" s="4" t="str">
        <f t="shared" si="43"/>
        <v/>
      </c>
      <c r="J577" s="4" t="str">
        <f t="shared" si="44"/>
        <v/>
      </c>
    </row>
    <row r="578" spans="1:10" ht="15" customHeight="1" x14ac:dyDescent="0.25">
      <c r="A578" s="8" t="str">
        <f>IF(COUNT($J$2:$J$1501)&gt;=577,577,"")</f>
        <v/>
      </c>
      <c r="B578" s="8" t="str">
        <f t="shared" ref="B578:B641" si="45">IF($A578="","",INDEX($F$2:$F$1501,MATCH($A578,$J$2:$J$1501,0)))</f>
        <v/>
      </c>
      <c r="C578" s="8" t="str">
        <f t="shared" ref="C578:C641" si="46">IF($A578="","",INDEX($G$2:$G$1501,MATCH($A578,$J$2:$J$1501,0)))</f>
        <v/>
      </c>
      <c r="D578" s="8" t="str">
        <f t="shared" ref="D578:D641" si="47">IF($A578="","",INDEX($H$2:$H$1501,MATCH($A578,$J$2:$J$1501,0)))</f>
        <v/>
      </c>
      <c r="F578" s="4" t="str">
        <f>IF(Jugadores!B578="","",Jugadores!B578)</f>
        <v/>
      </c>
      <c r="G578" s="4" t="str">
        <f>IF(Jugadores!B578="","",Jugadores!A578)</f>
        <v/>
      </c>
      <c r="H578" s="4" t="str">
        <f>IF(F578="","",SUMIF('Estadísticas Jugadores'!$F$2:$F$7001,F578,'Estadísticas Jugadores'!$L$2:$L$7001))</f>
        <v/>
      </c>
      <c r="I578" s="4" t="str">
        <f t="shared" ref="I578:I641" si="48">IF(F578="","",H578*1000-ROW()*0.0000001)</f>
        <v/>
      </c>
      <c r="J578" s="4" t="str">
        <f t="shared" ref="J578:J641" si="49">IF(F578="","",RANK(I578,$I$2:$I$1501))</f>
        <v/>
      </c>
    </row>
    <row r="579" spans="1:10" ht="15" customHeight="1" x14ac:dyDescent="0.25">
      <c r="A579" s="8" t="str">
        <f>IF(COUNT($J$2:$J$1501)&gt;=578,578,"")</f>
        <v/>
      </c>
      <c r="B579" s="8" t="str">
        <f t="shared" si="45"/>
        <v/>
      </c>
      <c r="C579" s="8" t="str">
        <f t="shared" si="46"/>
        <v/>
      </c>
      <c r="D579" s="8" t="str">
        <f t="shared" si="47"/>
        <v/>
      </c>
      <c r="F579" s="4" t="str">
        <f>IF(Jugadores!B579="","",Jugadores!B579)</f>
        <v/>
      </c>
      <c r="G579" s="4" t="str">
        <f>IF(Jugadores!B579="","",Jugadores!A579)</f>
        <v/>
      </c>
      <c r="H579" s="4" t="str">
        <f>IF(F579="","",SUMIF('Estadísticas Jugadores'!$F$2:$F$7001,F579,'Estadísticas Jugadores'!$L$2:$L$7001))</f>
        <v/>
      </c>
      <c r="I579" s="4" t="str">
        <f t="shared" si="48"/>
        <v/>
      </c>
      <c r="J579" s="4" t="str">
        <f t="shared" si="49"/>
        <v/>
      </c>
    </row>
    <row r="580" spans="1:10" ht="15" customHeight="1" x14ac:dyDescent="0.25">
      <c r="A580" s="8" t="str">
        <f>IF(COUNT($J$2:$J$1501)&gt;=579,579,"")</f>
        <v/>
      </c>
      <c r="B580" s="8" t="str">
        <f t="shared" si="45"/>
        <v/>
      </c>
      <c r="C580" s="8" t="str">
        <f t="shared" si="46"/>
        <v/>
      </c>
      <c r="D580" s="8" t="str">
        <f t="shared" si="47"/>
        <v/>
      </c>
      <c r="F580" s="4" t="str">
        <f>IF(Jugadores!B580="","",Jugadores!B580)</f>
        <v/>
      </c>
      <c r="G580" s="4" t="str">
        <f>IF(Jugadores!B580="","",Jugadores!A580)</f>
        <v/>
      </c>
      <c r="H580" s="4" t="str">
        <f>IF(F580="","",SUMIF('Estadísticas Jugadores'!$F$2:$F$7001,F580,'Estadísticas Jugadores'!$L$2:$L$7001))</f>
        <v/>
      </c>
      <c r="I580" s="4" t="str">
        <f t="shared" si="48"/>
        <v/>
      </c>
      <c r="J580" s="4" t="str">
        <f t="shared" si="49"/>
        <v/>
      </c>
    </row>
    <row r="581" spans="1:10" ht="15" customHeight="1" x14ac:dyDescent="0.25">
      <c r="A581" s="8" t="str">
        <f>IF(COUNT($J$2:$J$1501)&gt;=580,580,"")</f>
        <v/>
      </c>
      <c r="B581" s="8" t="str">
        <f t="shared" si="45"/>
        <v/>
      </c>
      <c r="C581" s="8" t="str">
        <f t="shared" si="46"/>
        <v/>
      </c>
      <c r="D581" s="8" t="str">
        <f t="shared" si="47"/>
        <v/>
      </c>
      <c r="F581" s="4" t="str">
        <f>IF(Jugadores!B581="","",Jugadores!B581)</f>
        <v/>
      </c>
      <c r="G581" s="4" t="str">
        <f>IF(Jugadores!B581="","",Jugadores!A581)</f>
        <v/>
      </c>
      <c r="H581" s="4" t="str">
        <f>IF(F581="","",SUMIF('Estadísticas Jugadores'!$F$2:$F$7001,F581,'Estadísticas Jugadores'!$L$2:$L$7001))</f>
        <v/>
      </c>
      <c r="I581" s="4" t="str">
        <f t="shared" si="48"/>
        <v/>
      </c>
      <c r="J581" s="4" t="str">
        <f t="shared" si="49"/>
        <v/>
      </c>
    </row>
    <row r="582" spans="1:10" ht="15" customHeight="1" x14ac:dyDescent="0.25">
      <c r="A582" s="8" t="str">
        <f>IF(COUNT($J$2:$J$1501)&gt;=581,581,"")</f>
        <v/>
      </c>
      <c r="B582" s="8" t="str">
        <f t="shared" si="45"/>
        <v/>
      </c>
      <c r="C582" s="8" t="str">
        <f t="shared" si="46"/>
        <v/>
      </c>
      <c r="D582" s="8" t="str">
        <f t="shared" si="47"/>
        <v/>
      </c>
      <c r="F582" s="4" t="str">
        <f>IF(Jugadores!B582="","",Jugadores!B582)</f>
        <v/>
      </c>
      <c r="G582" s="4" t="str">
        <f>IF(Jugadores!B582="","",Jugadores!A582)</f>
        <v/>
      </c>
      <c r="H582" s="4" t="str">
        <f>IF(F582="","",SUMIF('Estadísticas Jugadores'!$F$2:$F$7001,F582,'Estadísticas Jugadores'!$L$2:$L$7001))</f>
        <v/>
      </c>
      <c r="I582" s="4" t="str">
        <f t="shared" si="48"/>
        <v/>
      </c>
      <c r="J582" s="4" t="str">
        <f t="shared" si="49"/>
        <v/>
      </c>
    </row>
    <row r="583" spans="1:10" ht="15" customHeight="1" x14ac:dyDescent="0.25">
      <c r="A583" s="8" t="str">
        <f>IF(COUNT($J$2:$J$1501)&gt;=582,582,"")</f>
        <v/>
      </c>
      <c r="B583" s="8" t="str">
        <f t="shared" si="45"/>
        <v/>
      </c>
      <c r="C583" s="8" t="str">
        <f t="shared" si="46"/>
        <v/>
      </c>
      <c r="D583" s="8" t="str">
        <f t="shared" si="47"/>
        <v/>
      </c>
      <c r="F583" s="4" t="str">
        <f>IF(Jugadores!B583="","",Jugadores!B583)</f>
        <v/>
      </c>
      <c r="G583" s="4" t="str">
        <f>IF(Jugadores!B583="","",Jugadores!A583)</f>
        <v/>
      </c>
      <c r="H583" s="4" t="str">
        <f>IF(F583="","",SUMIF('Estadísticas Jugadores'!$F$2:$F$7001,F583,'Estadísticas Jugadores'!$L$2:$L$7001))</f>
        <v/>
      </c>
      <c r="I583" s="4" t="str">
        <f t="shared" si="48"/>
        <v/>
      </c>
      <c r="J583" s="4" t="str">
        <f t="shared" si="49"/>
        <v/>
      </c>
    </row>
    <row r="584" spans="1:10" ht="15" customHeight="1" x14ac:dyDescent="0.25">
      <c r="A584" s="8" t="str">
        <f>IF(COUNT($J$2:$J$1501)&gt;=583,583,"")</f>
        <v/>
      </c>
      <c r="B584" s="8" t="str">
        <f t="shared" si="45"/>
        <v/>
      </c>
      <c r="C584" s="8" t="str">
        <f t="shared" si="46"/>
        <v/>
      </c>
      <c r="D584" s="8" t="str">
        <f t="shared" si="47"/>
        <v/>
      </c>
      <c r="F584" s="4" t="str">
        <f>IF(Jugadores!B584="","",Jugadores!B584)</f>
        <v/>
      </c>
      <c r="G584" s="4" t="str">
        <f>IF(Jugadores!B584="","",Jugadores!A584)</f>
        <v/>
      </c>
      <c r="H584" s="4" t="str">
        <f>IF(F584="","",SUMIF('Estadísticas Jugadores'!$F$2:$F$7001,F584,'Estadísticas Jugadores'!$L$2:$L$7001))</f>
        <v/>
      </c>
      <c r="I584" s="4" t="str">
        <f t="shared" si="48"/>
        <v/>
      </c>
      <c r="J584" s="4" t="str">
        <f t="shared" si="49"/>
        <v/>
      </c>
    </row>
    <row r="585" spans="1:10" ht="15" customHeight="1" x14ac:dyDescent="0.25">
      <c r="A585" s="8" t="str">
        <f>IF(COUNT($J$2:$J$1501)&gt;=584,584,"")</f>
        <v/>
      </c>
      <c r="B585" s="8" t="str">
        <f t="shared" si="45"/>
        <v/>
      </c>
      <c r="C585" s="8" t="str">
        <f t="shared" si="46"/>
        <v/>
      </c>
      <c r="D585" s="8" t="str">
        <f t="shared" si="47"/>
        <v/>
      </c>
      <c r="F585" s="4" t="str">
        <f>IF(Jugadores!B585="","",Jugadores!B585)</f>
        <v/>
      </c>
      <c r="G585" s="4" t="str">
        <f>IF(Jugadores!B585="","",Jugadores!A585)</f>
        <v/>
      </c>
      <c r="H585" s="4" t="str">
        <f>IF(F585="","",SUMIF('Estadísticas Jugadores'!$F$2:$F$7001,F585,'Estadísticas Jugadores'!$L$2:$L$7001))</f>
        <v/>
      </c>
      <c r="I585" s="4" t="str">
        <f t="shared" si="48"/>
        <v/>
      </c>
      <c r="J585" s="4" t="str">
        <f t="shared" si="49"/>
        <v/>
      </c>
    </row>
    <row r="586" spans="1:10" ht="15" customHeight="1" x14ac:dyDescent="0.25">
      <c r="A586" s="8" t="str">
        <f>IF(COUNT($J$2:$J$1501)&gt;=585,585,"")</f>
        <v/>
      </c>
      <c r="B586" s="8" t="str">
        <f t="shared" si="45"/>
        <v/>
      </c>
      <c r="C586" s="8" t="str">
        <f t="shared" si="46"/>
        <v/>
      </c>
      <c r="D586" s="8" t="str">
        <f t="shared" si="47"/>
        <v/>
      </c>
      <c r="F586" s="4" t="str">
        <f>IF(Jugadores!B586="","",Jugadores!B586)</f>
        <v/>
      </c>
      <c r="G586" s="4" t="str">
        <f>IF(Jugadores!B586="","",Jugadores!A586)</f>
        <v/>
      </c>
      <c r="H586" s="4" t="str">
        <f>IF(F586="","",SUMIF('Estadísticas Jugadores'!$F$2:$F$7001,F586,'Estadísticas Jugadores'!$L$2:$L$7001))</f>
        <v/>
      </c>
      <c r="I586" s="4" t="str">
        <f t="shared" si="48"/>
        <v/>
      </c>
      <c r="J586" s="4" t="str">
        <f t="shared" si="49"/>
        <v/>
      </c>
    </row>
    <row r="587" spans="1:10" ht="15" customHeight="1" x14ac:dyDescent="0.25">
      <c r="A587" s="8" t="str">
        <f>IF(COUNT($J$2:$J$1501)&gt;=586,586,"")</f>
        <v/>
      </c>
      <c r="B587" s="8" t="str">
        <f t="shared" si="45"/>
        <v/>
      </c>
      <c r="C587" s="8" t="str">
        <f t="shared" si="46"/>
        <v/>
      </c>
      <c r="D587" s="8" t="str">
        <f t="shared" si="47"/>
        <v/>
      </c>
      <c r="F587" s="4" t="str">
        <f>IF(Jugadores!B587="","",Jugadores!B587)</f>
        <v/>
      </c>
      <c r="G587" s="4" t="str">
        <f>IF(Jugadores!B587="","",Jugadores!A587)</f>
        <v/>
      </c>
      <c r="H587" s="4" t="str">
        <f>IF(F587="","",SUMIF('Estadísticas Jugadores'!$F$2:$F$7001,F587,'Estadísticas Jugadores'!$L$2:$L$7001))</f>
        <v/>
      </c>
      <c r="I587" s="4" t="str">
        <f t="shared" si="48"/>
        <v/>
      </c>
      <c r="J587" s="4" t="str">
        <f t="shared" si="49"/>
        <v/>
      </c>
    </row>
    <row r="588" spans="1:10" ht="15" customHeight="1" x14ac:dyDescent="0.25">
      <c r="A588" s="8" t="str">
        <f>IF(COUNT($J$2:$J$1501)&gt;=587,587,"")</f>
        <v/>
      </c>
      <c r="B588" s="8" t="str">
        <f t="shared" si="45"/>
        <v/>
      </c>
      <c r="C588" s="8" t="str">
        <f t="shared" si="46"/>
        <v/>
      </c>
      <c r="D588" s="8" t="str">
        <f t="shared" si="47"/>
        <v/>
      </c>
      <c r="F588" s="4" t="str">
        <f>IF(Jugadores!B588="","",Jugadores!B588)</f>
        <v/>
      </c>
      <c r="G588" s="4" t="str">
        <f>IF(Jugadores!B588="","",Jugadores!A588)</f>
        <v/>
      </c>
      <c r="H588" s="4" t="str">
        <f>IF(F588="","",SUMIF('Estadísticas Jugadores'!$F$2:$F$7001,F588,'Estadísticas Jugadores'!$L$2:$L$7001))</f>
        <v/>
      </c>
      <c r="I588" s="4" t="str">
        <f t="shared" si="48"/>
        <v/>
      </c>
      <c r="J588" s="4" t="str">
        <f t="shared" si="49"/>
        <v/>
      </c>
    </row>
    <row r="589" spans="1:10" ht="15" customHeight="1" x14ac:dyDescent="0.25">
      <c r="A589" s="8" t="str">
        <f>IF(COUNT($J$2:$J$1501)&gt;=588,588,"")</f>
        <v/>
      </c>
      <c r="B589" s="8" t="str">
        <f t="shared" si="45"/>
        <v/>
      </c>
      <c r="C589" s="8" t="str">
        <f t="shared" si="46"/>
        <v/>
      </c>
      <c r="D589" s="8" t="str">
        <f t="shared" si="47"/>
        <v/>
      </c>
      <c r="F589" s="4" t="str">
        <f>IF(Jugadores!B589="","",Jugadores!B589)</f>
        <v/>
      </c>
      <c r="G589" s="4" t="str">
        <f>IF(Jugadores!B589="","",Jugadores!A589)</f>
        <v/>
      </c>
      <c r="H589" s="4" t="str">
        <f>IF(F589="","",SUMIF('Estadísticas Jugadores'!$F$2:$F$7001,F589,'Estadísticas Jugadores'!$L$2:$L$7001))</f>
        <v/>
      </c>
      <c r="I589" s="4" t="str">
        <f t="shared" si="48"/>
        <v/>
      </c>
      <c r="J589" s="4" t="str">
        <f t="shared" si="49"/>
        <v/>
      </c>
    </row>
    <row r="590" spans="1:10" ht="15" customHeight="1" x14ac:dyDescent="0.25">
      <c r="A590" s="8" t="str">
        <f>IF(COUNT($J$2:$J$1501)&gt;=589,589,"")</f>
        <v/>
      </c>
      <c r="B590" s="8" t="str">
        <f t="shared" si="45"/>
        <v/>
      </c>
      <c r="C590" s="8" t="str">
        <f t="shared" si="46"/>
        <v/>
      </c>
      <c r="D590" s="8" t="str">
        <f t="shared" si="47"/>
        <v/>
      </c>
      <c r="F590" s="4" t="str">
        <f>IF(Jugadores!B590="","",Jugadores!B590)</f>
        <v/>
      </c>
      <c r="G590" s="4" t="str">
        <f>IF(Jugadores!B590="","",Jugadores!A590)</f>
        <v/>
      </c>
      <c r="H590" s="4" t="str">
        <f>IF(F590="","",SUMIF('Estadísticas Jugadores'!$F$2:$F$7001,F590,'Estadísticas Jugadores'!$L$2:$L$7001))</f>
        <v/>
      </c>
      <c r="I590" s="4" t="str">
        <f t="shared" si="48"/>
        <v/>
      </c>
      <c r="J590" s="4" t="str">
        <f t="shared" si="49"/>
        <v/>
      </c>
    </row>
    <row r="591" spans="1:10" ht="15" customHeight="1" x14ac:dyDescent="0.25">
      <c r="A591" s="8" t="str">
        <f>IF(COUNT($J$2:$J$1501)&gt;=590,590,"")</f>
        <v/>
      </c>
      <c r="B591" s="8" t="str">
        <f t="shared" si="45"/>
        <v/>
      </c>
      <c r="C591" s="8" t="str">
        <f t="shared" si="46"/>
        <v/>
      </c>
      <c r="D591" s="8" t="str">
        <f t="shared" si="47"/>
        <v/>
      </c>
      <c r="F591" s="4" t="str">
        <f>IF(Jugadores!B591="","",Jugadores!B591)</f>
        <v/>
      </c>
      <c r="G591" s="4" t="str">
        <f>IF(Jugadores!B591="","",Jugadores!A591)</f>
        <v/>
      </c>
      <c r="H591" s="4" t="str">
        <f>IF(F591="","",SUMIF('Estadísticas Jugadores'!$F$2:$F$7001,F591,'Estadísticas Jugadores'!$L$2:$L$7001))</f>
        <v/>
      </c>
      <c r="I591" s="4" t="str">
        <f t="shared" si="48"/>
        <v/>
      </c>
      <c r="J591" s="4" t="str">
        <f t="shared" si="49"/>
        <v/>
      </c>
    </row>
    <row r="592" spans="1:10" ht="15" customHeight="1" x14ac:dyDescent="0.25">
      <c r="A592" s="8" t="str">
        <f>IF(COUNT($J$2:$J$1501)&gt;=591,591,"")</f>
        <v/>
      </c>
      <c r="B592" s="8" t="str">
        <f t="shared" si="45"/>
        <v/>
      </c>
      <c r="C592" s="8" t="str">
        <f t="shared" si="46"/>
        <v/>
      </c>
      <c r="D592" s="8" t="str">
        <f t="shared" si="47"/>
        <v/>
      </c>
      <c r="F592" s="4" t="str">
        <f>IF(Jugadores!B592="","",Jugadores!B592)</f>
        <v/>
      </c>
      <c r="G592" s="4" t="str">
        <f>IF(Jugadores!B592="","",Jugadores!A592)</f>
        <v/>
      </c>
      <c r="H592" s="4" t="str">
        <f>IF(F592="","",SUMIF('Estadísticas Jugadores'!$F$2:$F$7001,F592,'Estadísticas Jugadores'!$L$2:$L$7001))</f>
        <v/>
      </c>
      <c r="I592" s="4" t="str">
        <f t="shared" si="48"/>
        <v/>
      </c>
      <c r="J592" s="4" t="str">
        <f t="shared" si="49"/>
        <v/>
      </c>
    </row>
    <row r="593" spans="1:10" ht="15" customHeight="1" x14ac:dyDescent="0.25">
      <c r="A593" s="8" t="str">
        <f>IF(COUNT($J$2:$J$1501)&gt;=592,592,"")</f>
        <v/>
      </c>
      <c r="B593" s="8" t="str">
        <f t="shared" si="45"/>
        <v/>
      </c>
      <c r="C593" s="8" t="str">
        <f t="shared" si="46"/>
        <v/>
      </c>
      <c r="D593" s="8" t="str">
        <f t="shared" si="47"/>
        <v/>
      </c>
      <c r="F593" s="4" t="str">
        <f>IF(Jugadores!B593="","",Jugadores!B593)</f>
        <v/>
      </c>
      <c r="G593" s="4" t="str">
        <f>IF(Jugadores!B593="","",Jugadores!A593)</f>
        <v/>
      </c>
      <c r="H593" s="4" t="str">
        <f>IF(F593="","",SUMIF('Estadísticas Jugadores'!$F$2:$F$7001,F593,'Estadísticas Jugadores'!$L$2:$L$7001))</f>
        <v/>
      </c>
      <c r="I593" s="4" t="str">
        <f t="shared" si="48"/>
        <v/>
      </c>
      <c r="J593" s="4" t="str">
        <f t="shared" si="49"/>
        <v/>
      </c>
    </row>
    <row r="594" spans="1:10" ht="15" customHeight="1" x14ac:dyDescent="0.25">
      <c r="A594" s="8" t="str">
        <f>IF(COUNT($J$2:$J$1501)&gt;=593,593,"")</f>
        <v/>
      </c>
      <c r="B594" s="8" t="str">
        <f t="shared" si="45"/>
        <v/>
      </c>
      <c r="C594" s="8" t="str">
        <f t="shared" si="46"/>
        <v/>
      </c>
      <c r="D594" s="8" t="str">
        <f t="shared" si="47"/>
        <v/>
      </c>
      <c r="F594" s="4" t="str">
        <f>IF(Jugadores!B594="","",Jugadores!B594)</f>
        <v/>
      </c>
      <c r="G594" s="4" t="str">
        <f>IF(Jugadores!B594="","",Jugadores!A594)</f>
        <v/>
      </c>
      <c r="H594" s="4" t="str">
        <f>IF(F594="","",SUMIF('Estadísticas Jugadores'!$F$2:$F$7001,F594,'Estadísticas Jugadores'!$L$2:$L$7001))</f>
        <v/>
      </c>
      <c r="I594" s="4" t="str">
        <f t="shared" si="48"/>
        <v/>
      </c>
      <c r="J594" s="4" t="str">
        <f t="shared" si="49"/>
        <v/>
      </c>
    </row>
    <row r="595" spans="1:10" ht="15" customHeight="1" x14ac:dyDescent="0.25">
      <c r="A595" s="8" t="str">
        <f>IF(COUNT($J$2:$J$1501)&gt;=594,594,"")</f>
        <v/>
      </c>
      <c r="B595" s="8" t="str">
        <f t="shared" si="45"/>
        <v/>
      </c>
      <c r="C595" s="8" t="str">
        <f t="shared" si="46"/>
        <v/>
      </c>
      <c r="D595" s="8" t="str">
        <f t="shared" si="47"/>
        <v/>
      </c>
      <c r="F595" s="4" t="str">
        <f>IF(Jugadores!B595="","",Jugadores!B595)</f>
        <v/>
      </c>
      <c r="G595" s="4" t="str">
        <f>IF(Jugadores!B595="","",Jugadores!A595)</f>
        <v/>
      </c>
      <c r="H595" s="4" t="str">
        <f>IF(F595="","",SUMIF('Estadísticas Jugadores'!$F$2:$F$7001,F595,'Estadísticas Jugadores'!$L$2:$L$7001))</f>
        <v/>
      </c>
      <c r="I595" s="4" t="str">
        <f t="shared" si="48"/>
        <v/>
      </c>
      <c r="J595" s="4" t="str">
        <f t="shared" si="49"/>
        <v/>
      </c>
    </row>
    <row r="596" spans="1:10" ht="15" customHeight="1" x14ac:dyDescent="0.25">
      <c r="A596" s="8" t="str">
        <f>IF(COUNT($J$2:$J$1501)&gt;=595,595,"")</f>
        <v/>
      </c>
      <c r="B596" s="8" t="str">
        <f t="shared" si="45"/>
        <v/>
      </c>
      <c r="C596" s="8" t="str">
        <f t="shared" si="46"/>
        <v/>
      </c>
      <c r="D596" s="8" t="str">
        <f t="shared" si="47"/>
        <v/>
      </c>
      <c r="F596" s="4" t="str">
        <f>IF(Jugadores!B596="","",Jugadores!B596)</f>
        <v/>
      </c>
      <c r="G596" s="4" t="str">
        <f>IF(Jugadores!B596="","",Jugadores!A596)</f>
        <v/>
      </c>
      <c r="H596" s="4" t="str">
        <f>IF(F596="","",SUMIF('Estadísticas Jugadores'!$F$2:$F$7001,F596,'Estadísticas Jugadores'!$L$2:$L$7001))</f>
        <v/>
      </c>
      <c r="I596" s="4" t="str">
        <f t="shared" si="48"/>
        <v/>
      </c>
      <c r="J596" s="4" t="str">
        <f t="shared" si="49"/>
        <v/>
      </c>
    </row>
    <row r="597" spans="1:10" ht="15" customHeight="1" x14ac:dyDescent="0.25">
      <c r="A597" s="8" t="str">
        <f>IF(COUNT($J$2:$J$1501)&gt;=596,596,"")</f>
        <v/>
      </c>
      <c r="B597" s="8" t="str">
        <f t="shared" si="45"/>
        <v/>
      </c>
      <c r="C597" s="8" t="str">
        <f t="shared" si="46"/>
        <v/>
      </c>
      <c r="D597" s="8" t="str">
        <f t="shared" si="47"/>
        <v/>
      </c>
      <c r="F597" s="4" t="str">
        <f>IF(Jugadores!B597="","",Jugadores!B597)</f>
        <v/>
      </c>
      <c r="G597" s="4" t="str">
        <f>IF(Jugadores!B597="","",Jugadores!A597)</f>
        <v/>
      </c>
      <c r="H597" s="4" t="str">
        <f>IF(F597="","",SUMIF('Estadísticas Jugadores'!$F$2:$F$7001,F597,'Estadísticas Jugadores'!$L$2:$L$7001))</f>
        <v/>
      </c>
      <c r="I597" s="4" t="str">
        <f t="shared" si="48"/>
        <v/>
      </c>
      <c r="J597" s="4" t="str">
        <f t="shared" si="49"/>
        <v/>
      </c>
    </row>
    <row r="598" spans="1:10" ht="15" customHeight="1" x14ac:dyDescent="0.25">
      <c r="A598" s="8" t="str">
        <f>IF(COUNT($J$2:$J$1501)&gt;=597,597,"")</f>
        <v/>
      </c>
      <c r="B598" s="8" t="str">
        <f t="shared" si="45"/>
        <v/>
      </c>
      <c r="C598" s="8" t="str">
        <f t="shared" si="46"/>
        <v/>
      </c>
      <c r="D598" s="8" t="str">
        <f t="shared" si="47"/>
        <v/>
      </c>
      <c r="F598" s="4" t="str">
        <f>IF(Jugadores!B598="","",Jugadores!B598)</f>
        <v/>
      </c>
      <c r="G598" s="4" t="str">
        <f>IF(Jugadores!B598="","",Jugadores!A598)</f>
        <v/>
      </c>
      <c r="H598" s="4" t="str">
        <f>IF(F598="","",SUMIF('Estadísticas Jugadores'!$F$2:$F$7001,F598,'Estadísticas Jugadores'!$L$2:$L$7001))</f>
        <v/>
      </c>
      <c r="I598" s="4" t="str">
        <f t="shared" si="48"/>
        <v/>
      </c>
      <c r="J598" s="4" t="str">
        <f t="shared" si="49"/>
        <v/>
      </c>
    </row>
    <row r="599" spans="1:10" ht="15" customHeight="1" x14ac:dyDescent="0.25">
      <c r="A599" s="8" t="str">
        <f>IF(COUNT($J$2:$J$1501)&gt;=598,598,"")</f>
        <v/>
      </c>
      <c r="B599" s="8" t="str">
        <f t="shared" si="45"/>
        <v/>
      </c>
      <c r="C599" s="8" t="str">
        <f t="shared" si="46"/>
        <v/>
      </c>
      <c r="D599" s="8" t="str">
        <f t="shared" si="47"/>
        <v/>
      </c>
      <c r="F599" s="4" t="str">
        <f>IF(Jugadores!B599="","",Jugadores!B599)</f>
        <v/>
      </c>
      <c r="G599" s="4" t="str">
        <f>IF(Jugadores!B599="","",Jugadores!A599)</f>
        <v/>
      </c>
      <c r="H599" s="4" t="str">
        <f>IF(F599="","",SUMIF('Estadísticas Jugadores'!$F$2:$F$7001,F599,'Estadísticas Jugadores'!$L$2:$L$7001))</f>
        <v/>
      </c>
      <c r="I599" s="4" t="str">
        <f t="shared" si="48"/>
        <v/>
      </c>
      <c r="J599" s="4" t="str">
        <f t="shared" si="49"/>
        <v/>
      </c>
    </row>
    <row r="600" spans="1:10" ht="15" customHeight="1" x14ac:dyDescent="0.25">
      <c r="A600" s="8" t="str">
        <f>IF(COUNT($J$2:$J$1501)&gt;=599,599,"")</f>
        <v/>
      </c>
      <c r="B600" s="8" t="str">
        <f t="shared" si="45"/>
        <v/>
      </c>
      <c r="C600" s="8" t="str">
        <f t="shared" si="46"/>
        <v/>
      </c>
      <c r="D600" s="8" t="str">
        <f t="shared" si="47"/>
        <v/>
      </c>
      <c r="F600" s="4" t="str">
        <f>IF(Jugadores!B600="","",Jugadores!B600)</f>
        <v/>
      </c>
      <c r="G600" s="4" t="str">
        <f>IF(Jugadores!B600="","",Jugadores!A600)</f>
        <v/>
      </c>
      <c r="H600" s="4" t="str">
        <f>IF(F600="","",SUMIF('Estadísticas Jugadores'!$F$2:$F$7001,F600,'Estadísticas Jugadores'!$L$2:$L$7001))</f>
        <v/>
      </c>
      <c r="I600" s="4" t="str">
        <f t="shared" si="48"/>
        <v/>
      </c>
      <c r="J600" s="4" t="str">
        <f t="shared" si="49"/>
        <v/>
      </c>
    </row>
    <row r="601" spans="1:10" ht="15" customHeight="1" x14ac:dyDescent="0.25">
      <c r="A601" s="8" t="str">
        <f>IF(COUNT($J$2:$J$1501)&gt;=600,600,"")</f>
        <v/>
      </c>
      <c r="B601" s="8" t="str">
        <f t="shared" si="45"/>
        <v/>
      </c>
      <c r="C601" s="8" t="str">
        <f t="shared" si="46"/>
        <v/>
      </c>
      <c r="D601" s="8" t="str">
        <f t="shared" si="47"/>
        <v/>
      </c>
      <c r="F601" s="4" t="str">
        <f>IF(Jugadores!B601="","",Jugadores!B601)</f>
        <v/>
      </c>
      <c r="G601" s="4" t="str">
        <f>IF(Jugadores!B601="","",Jugadores!A601)</f>
        <v/>
      </c>
      <c r="H601" s="4" t="str">
        <f>IF(F601="","",SUMIF('Estadísticas Jugadores'!$F$2:$F$7001,F601,'Estadísticas Jugadores'!$L$2:$L$7001))</f>
        <v/>
      </c>
      <c r="I601" s="4" t="str">
        <f t="shared" si="48"/>
        <v/>
      </c>
      <c r="J601" s="4" t="str">
        <f t="shared" si="49"/>
        <v/>
      </c>
    </row>
    <row r="602" spans="1:10" ht="15" customHeight="1" x14ac:dyDescent="0.25">
      <c r="A602" s="8" t="str">
        <f>IF(COUNT($J$2:$J$1501)&gt;=601,601,"")</f>
        <v/>
      </c>
      <c r="B602" s="8" t="str">
        <f t="shared" si="45"/>
        <v/>
      </c>
      <c r="C602" s="8" t="str">
        <f t="shared" si="46"/>
        <v/>
      </c>
      <c r="D602" s="8" t="str">
        <f t="shared" si="47"/>
        <v/>
      </c>
      <c r="F602" s="4" t="str">
        <f>IF(Jugadores!B602="","",Jugadores!B602)</f>
        <v/>
      </c>
      <c r="G602" s="4" t="str">
        <f>IF(Jugadores!B602="","",Jugadores!A602)</f>
        <v/>
      </c>
      <c r="H602" s="4" t="str">
        <f>IF(F602="","",SUMIF('Estadísticas Jugadores'!$F$2:$F$7001,F602,'Estadísticas Jugadores'!$L$2:$L$7001))</f>
        <v/>
      </c>
      <c r="I602" s="4" t="str">
        <f t="shared" si="48"/>
        <v/>
      </c>
      <c r="J602" s="4" t="str">
        <f t="shared" si="49"/>
        <v/>
      </c>
    </row>
    <row r="603" spans="1:10" ht="15" customHeight="1" x14ac:dyDescent="0.25">
      <c r="A603" s="8" t="str">
        <f>IF(COUNT($J$2:$J$1501)&gt;=602,602,"")</f>
        <v/>
      </c>
      <c r="B603" s="8" t="str">
        <f t="shared" si="45"/>
        <v/>
      </c>
      <c r="C603" s="8" t="str">
        <f t="shared" si="46"/>
        <v/>
      </c>
      <c r="D603" s="8" t="str">
        <f t="shared" si="47"/>
        <v/>
      </c>
      <c r="F603" s="4" t="str">
        <f>IF(Jugadores!B603="","",Jugadores!B603)</f>
        <v/>
      </c>
      <c r="G603" s="4" t="str">
        <f>IF(Jugadores!B603="","",Jugadores!A603)</f>
        <v/>
      </c>
      <c r="H603" s="4" t="str">
        <f>IF(F603="","",SUMIF('Estadísticas Jugadores'!$F$2:$F$7001,F603,'Estadísticas Jugadores'!$L$2:$L$7001))</f>
        <v/>
      </c>
      <c r="I603" s="4" t="str">
        <f t="shared" si="48"/>
        <v/>
      </c>
      <c r="J603" s="4" t="str">
        <f t="shared" si="49"/>
        <v/>
      </c>
    </row>
    <row r="604" spans="1:10" ht="15" customHeight="1" x14ac:dyDescent="0.25">
      <c r="A604" s="8" t="str">
        <f>IF(COUNT($J$2:$J$1501)&gt;=603,603,"")</f>
        <v/>
      </c>
      <c r="B604" s="8" t="str">
        <f t="shared" si="45"/>
        <v/>
      </c>
      <c r="C604" s="8" t="str">
        <f t="shared" si="46"/>
        <v/>
      </c>
      <c r="D604" s="8" t="str">
        <f t="shared" si="47"/>
        <v/>
      </c>
      <c r="F604" s="4" t="str">
        <f>IF(Jugadores!B604="","",Jugadores!B604)</f>
        <v/>
      </c>
      <c r="G604" s="4" t="str">
        <f>IF(Jugadores!B604="","",Jugadores!A604)</f>
        <v/>
      </c>
      <c r="H604" s="4" t="str">
        <f>IF(F604="","",SUMIF('Estadísticas Jugadores'!$F$2:$F$7001,F604,'Estadísticas Jugadores'!$L$2:$L$7001))</f>
        <v/>
      </c>
      <c r="I604" s="4" t="str">
        <f t="shared" si="48"/>
        <v/>
      </c>
      <c r="J604" s="4" t="str">
        <f t="shared" si="49"/>
        <v/>
      </c>
    </row>
    <row r="605" spans="1:10" ht="15" customHeight="1" x14ac:dyDescent="0.25">
      <c r="A605" s="8" t="str">
        <f>IF(COUNT($J$2:$J$1501)&gt;=604,604,"")</f>
        <v/>
      </c>
      <c r="B605" s="8" t="str">
        <f t="shared" si="45"/>
        <v/>
      </c>
      <c r="C605" s="8" t="str">
        <f t="shared" si="46"/>
        <v/>
      </c>
      <c r="D605" s="8" t="str">
        <f t="shared" si="47"/>
        <v/>
      </c>
      <c r="F605" s="4" t="str">
        <f>IF(Jugadores!B605="","",Jugadores!B605)</f>
        <v/>
      </c>
      <c r="G605" s="4" t="str">
        <f>IF(Jugadores!B605="","",Jugadores!A605)</f>
        <v/>
      </c>
      <c r="H605" s="4" t="str">
        <f>IF(F605="","",SUMIF('Estadísticas Jugadores'!$F$2:$F$7001,F605,'Estadísticas Jugadores'!$L$2:$L$7001))</f>
        <v/>
      </c>
      <c r="I605" s="4" t="str">
        <f t="shared" si="48"/>
        <v/>
      </c>
      <c r="J605" s="4" t="str">
        <f t="shared" si="49"/>
        <v/>
      </c>
    </row>
    <row r="606" spans="1:10" ht="15" customHeight="1" x14ac:dyDescent="0.25">
      <c r="A606" s="8" t="str">
        <f>IF(COUNT($J$2:$J$1501)&gt;=605,605,"")</f>
        <v/>
      </c>
      <c r="B606" s="8" t="str">
        <f t="shared" si="45"/>
        <v/>
      </c>
      <c r="C606" s="8" t="str">
        <f t="shared" si="46"/>
        <v/>
      </c>
      <c r="D606" s="8" t="str">
        <f t="shared" si="47"/>
        <v/>
      </c>
      <c r="F606" s="4" t="str">
        <f>IF(Jugadores!B606="","",Jugadores!B606)</f>
        <v/>
      </c>
      <c r="G606" s="4" t="str">
        <f>IF(Jugadores!B606="","",Jugadores!A606)</f>
        <v/>
      </c>
      <c r="H606" s="4" t="str">
        <f>IF(F606="","",SUMIF('Estadísticas Jugadores'!$F$2:$F$7001,F606,'Estadísticas Jugadores'!$L$2:$L$7001))</f>
        <v/>
      </c>
      <c r="I606" s="4" t="str">
        <f t="shared" si="48"/>
        <v/>
      </c>
      <c r="J606" s="4" t="str">
        <f t="shared" si="49"/>
        <v/>
      </c>
    </row>
    <row r="607" spans="1:10" ht="15" customHeight="1" x14ac:dyDescent="0.25">
      <c r="A607" s="8" t="str">
        <f>IF(COUNT($J$2:$J$1501)&gt;=606,606,"")</f>
        <v/>
      </c>
      <c r="B607" s="8" t="str">
        <f t="shared" si="45"/>
        <v/>
      </c>
      <c r="C607" s="8" t="str">
        <f t="shared" si="46"/>
        <v/>
      </c>
      <c r="D607" s="8" t="str">
        <f t="shared" si="47"/>
        <v/>
      </c>
      <c r="F607" s="4" t="str">
        <f>IF(Jugadores!B607="","",Jugadores!B607)</f>
        <v/>
      </c>
      <c r="G607" s="4" t="str">
        <f>IF(Jugadores!B607="","",Jugadores!A607)</f>
        <v/>
      </c>
      <c r="H607" s="4" t="str">
        <f>IF(F607="","",SUMIF('Estadísticas Jugadores'!$F$2:$F$7001,F607,'Estadísticas Jugadores'!$L$2:$L$7001))</f>
        <v/>
      </c>
      <c r="I607" s="4" t="str">
        <f t="shared" si="48"/>
        <v/>
      </c>
      <c r="J607" s="4" t="str">
        <f t="shared" si="49"/>
        <v/>
      </c>
    </row>
    <row r="608" spans="1:10" ht="15" customHeight="1" x14ac:dyDescent="0.25">
      <c r="A608" s="8" t="str">
        <f>IF(COUNT($J$2:$J$1501)&gt;=607,607,"")</f>
        <v/>
      </c>
      <c r="B608" s="8" t="str">
        <f t="shared" si="45"/>
        <v/>
      </c>
      <c r="C608" s="8" t="str">
        <f t="shared" si="46"/>
        <v/>
      </c>
      <c r="D608" s="8" t="str">
        <f t="shared" si="47"/>
        <v/>
      </c>
      <c r="F608" s="4" t="str">
        <f>IF(Jugadores!B608="","",Jugadores!B608)</f>
        <v/>
      </c>
      <c r="G608" s="4" t="str">
        <f>IF(Jugadores!B608="","",Jugadores!A608)</f>
        <v/>
      </c>
      <c r="H608" s="4" t="str">
        <f>IF(F608="","",SUMIF('Estadísticas Jugadores'!$F$2:$F$7001,F608,'Estadísticas Jugadores'!$L$2:$L$7001))</f>
        <v/>
      </c>
      <c r="I608" s="4" t="str">
        <f t="shared" si="48"/>
        <v/>
      </c>
      <c r="J608" s="4" t="str">
        <f t="shared" si="49"/>
        <v/>
      </c>
    </row>
    <row r="609" spans="1:10" ht="15" customHeight="1" x14ac:dyDescent="0.25">
      <c r="A609" s="8" t="str">
        <f>IF(COUNT($J$2:$J$1501)&gt;=608,608,"")</f>
        <v/>
      </c>
      <c r="B609" s="8" t="str">
        <f t="shared" si="45"/>
        <v/>
      </c>
      <c r="C609" s="8" t="str">
        <f t="shared" si="46"/>
        <v/>
      </c>
      <c r="D609" s="8" t="str">
        <f t="shared" si="47"/>
        <v/>
      </c>
      <c r="F609" s="4" t="str">
        <f>IF(Jugadores!B609="","",Jugadores!B609)</f>
        <v/>
      </c>
      <c r="G609" s="4" t="str">
        <f>IF(Jugadores!B609="","",Jugadores!A609)</f>
        <v/>
      </c>
      <c r="H609" s="4" t="str">
        <f>IF(F609="","",SUMIF('Estadísticas Jugadores'!$F$2:$F$7001,F609,'Estadísticas Jugadores'!$L$2:$L$7001))</f>
        <v/>
      </c>
      <c r="I609" s="4" t="str">
        <f t="shared" si="48"/>
        <v/>
      </c>
      <c r="J609" s="4" t="str">
        <f t="shared" si="49"/>
        <v/>
      </c>
    </row>
    <row r="610" spans="1:10" ht="15" customHeight="1" x14ac:dyDescent="0.25">
      <c r="A610" s="8" t="str">
        <f>IF(COUNT($J$2:$J$1501)&gt;=609,609,"")</f>
        <v/>
      </c>
      <c r="B610" s="8" t="str">
        <f t="shared" si="45"/>
        <v/>
      </c>
      <c r="C610" s="8" t="str">
        <f t="shared" si="46"/>
        <v/>
      </c>
      <c r="D610" s="8" t="str">
        <f t="shared" si="47"/>
        <v/>
      </c>
      <c r="F610" s="4" t="str">
        <f>IF(Jugadores!B610="","",Jugadores!B610)</f>
        <v/>
      </c>
      <c r="G610" s="4" t="str">
        <f>IF(Jugadores!B610="","",Jugadores!A610)</f>
        <v/>
      </c>
      <c r="H610" s="4" t="str">
        <f>IF(F610="","",SUMIF('Estadísticas Jugadores'!$F$2:$F$7001,F610,'Estadísticas Jugadores'!$L$2:$L$7001))</f>
        <v/>
      </c>
      <c r="I610" s="4" t="str">
        <f t="shared" si="48"/>
        <v/>
      </c>
      <c r="J610" s="4" t="str">
        <f t="shared" si="49"/>
        <v/>
      </c>
    </row>
    <row r="611" spans="1:10" ht="15" customHeight="1" x14ac:dyDescent="0.25">
      <c r="A611" s="8" t="str">
        <f>IF(COUNT($J$2:$J$1501)&gt;=610,610,"")</f>
        <v/>
      </c>
      <c r="B611" s="8" t="str">
        <f t="shared" si="45"/>
        <v/>
      </c>
      <c r="C611" s="8" t="str">
        <f t="shared" si="46"/>
        <v/>
      </c>
      <c r="D611" s="8" t="str">
        <f t="shared" si="47"/>
        <v/>
      </c>
      <c r="F611" s="4" t="str">
        <f>IF(Jugadores!B611="","",Jugadores!B611)</f>
        <v/>
      </c>
      <c r="G611" s="4" t="str">
        <f>IF(Jugadores!B611="","",Jugadores!A611)</f>
        <v/>
      </c>
      <c r="H611" s="4" t="str">
        <f>IF(F611="","",SUMIF('Estadísticas Jugadores'!$F$2:$F$7001,F611,'Estadísticas Jugadores'!$L$2:$L$7001))</f>
        <v/>
      </c>
      <c r="I611" s="4" t="str">
        <f t="shared" si="48"/>
        <v/>
      </c>
      <c r="J611" s="4" t="str">
        <f t="shared" si="49"/>
        <v/>
      </c>
    </row>
    <row r="612" spans="1:10" ht="15" customHeight="1" x14ac:dyDescent="0.25">
      <c r="A612" s="8" t="str">
        <f>IF(COUNT($J$2:$J$1501)&gt;=611,611,"")</f>
        <v/>
      </c>
      <c r="B612" s="8" t="str">
        <f t="shared" si="45"/>
        <v/>
      </c>
      <c r="C612" s="8" t="str">
        <f t="shared" si="46"/>
        <v/>
      </c>
      <c r="D612" s="8" t="str">
        <f t="shared" si="47"/>
        <v/>
      </c>
      <c r="F612" s="4" t="str">
        <f>IF(Jugadores!B612="","",Jugadores!B612)</f>
        <v/>
      </c>
      <c r="G612" s="4" t="str">
        <f>IF(Jugadores!B612="","",Jugadores!A612)</f>
        <v/>
      </c>
      <c r="H612" s="4" t="str">
        <f>IF(F612="","",SUMIF('Estadísticas Jugadores'!$F$2:$F$7001,F612,'Estadísticas Jugadores'!$L$2:$L$7001))</f>
        <v/>
      </c>
      <c r="I612" s="4" t="str">
        <f t="shared" si="48"/>
        <v/>
      </c>
      <c r="J612" s="4" t="str">
        <f t="shared" si="49"/>
        <v/>
      </c>
    </row>
    <row r="613" spans="1:10" ht="15" customHeight="1" x14ac:dyDescent="0.25">
      <c r="A613" s="8" t="str">
        <f>IF(COUNT($J$2:$J$1501)&gt;=612,612,"")</f>
        <v/>
      </c>
      <c r="B613" s="8" t="str">
        <f t="shared" si="45"/>
        <v/>
      </c>
      <c r="C613" s="8" t="str">
        <f t="shared" si="46"/>
        <v/>
      </c>
      <c r="D613" s="8" t="str">
        <f t="shared" si="47"/>
        <v/>
      </c>
      <c r="F613" s="4" t="str">
        <f>IF(Jugadores!B613="","",Jugadores!B613)</f>
        <v/>
      </c>
      <c r="G613" s="4" t="str">
        <f>IF(Jugadores!B613="","",Jugadores!A613)</f>
        <v/>
      </c>
      <c r="H613" s="4" t="str">
        <f>IF(F613="","",SUMIF('Estadísticas Jugadores'!$F$2:$F$7001,F613,'Estadísticas Jugadores'!$L$2:$L$7001))</f>
        <v/>
      </c>
      <c r="I613" s="4" t="str">
        <f t="shared" si="48"/>
        <v/>
      </c>
      <c r="J613" s="4" t="str">
        <f t="shared" si="49"/>
        <v/>
      </c>
    </row>
    <row r="614" spans="1:10" ht="15" customHeight="1" x14ac:dyDescent="0.25">
      <c r="A614" s="8" t="str">
        <f>IF(COUNT($J$2:$J$1501)&gt;=613,613,"")</f>
        <v/>
      </c>
      <c r="B614" s="8" t="str">
        <f t="shared" si="45"/>
        <v/>
      </c>
      <c r="C614" s="8" t="str">
        <f t="shared" si="46"/>
        <v/>
      </c>
      <c r="D614" s="8" t="str">
        <f t="shared" si="47"/>
        <v/>
      </c>
      <c r="F614" s="4" t="str">
        <f>IF(Jugadores!B614="","",Jugadores!B614)</f>
        <v/>
      </c>
      <c r="G614" s="4" t="str">
        <f>IF(Jugadores!B614="","",Jugadores!A614)</f>
        <v/>
      </c>
      <c r="H614" s="4" t="str">
        <f>IF(F614="","",SUMIF('Estadísticas Jugadores'!$F$2:$F$7001,F614,'Estadísticas Jugadores'!$L$2:$L$7001))</f>
        <v/>
      </c>
      <c r="I614" s="4" t="str">
        <f t="shared" si="48"/>
        <v/>
      </c>
      <c r="J614" s="4" t="str">
        <f t="shared" si="49"/>
        <v/>
      </c>
    </row>
    <row r="615" spans="1:10" ht="15" customHeight="1" x14ac:dyDescent="0.25">
      <c r="A615" s="8" t="str">
        <f>IF(COUNT($J$2:$J$1501)&gt;=614,614,"")</f>
        <v/>
      </c>
      <c r="B615" s="8" t="str">
        <f t="shared" si="45"/>
        <v/>
      </c>
      <c r="C615" s="8" t="str">
        <f t="shared" si="46"/>
        <v/>
      </c>
      <c r="D615" s="8" t="str">
        <f t="shared" si="47"/>
        <v/>
      </c>
      <c r="F615" s="4" t="str">
        <f>IF(Jugadores!B615="","",Jugadores!B615)</f>
        <v/>
      </c>
      <c r="G615" s="4" t="str">
        <f>IF(Jugadores!B615="","",Jugadores!A615)</f>
        <v/>
      </c>
      <c r="H615" s="4" t="str">
        <f>IF(F615="","",SUMIF('Estadísticas Jugadores'!$F$2:$F$7001,F615,'Estadísticas Jugadores'!$L$2:$L$7001))</f>
        <v/>
      </c>
      <c r="I615" s="4" t="str">
        <f t="shared" si="48"/>
        <v/>
      </c>
      <c r="J615" s="4" t="str">
        <f t="shared" si="49"/>
        <v/>
      </c>
    </row>
    <row r="616" spans="1:10" ht="15" customHeight="1" x14ac:dyDescent="0.25">
      <c r="A616" s="8" t="str">
        <f>IF(COUNT($J$2:$J$1501)&gt;=615,615,"")</f>
        <v/>
      </c>
      <c r="B616" s="8" t="str">
        <f t="shared" si="45"/>
        <v/>
      </c>
      <c r="C616" s="8" t="str">
        <f t="shared" si="46"/>
        <v/>
      </c>
      <c r="D616" s="8" t="str">
        <f t="shared" si="47"/>
        <v/>
      </c>
      <c r="F616" s="4" t="str">
        <f>IF(Jugadores!B616="","",Jugadores!B616)</f>
        <v/>
      </c>
      <c r="G616" s="4" t="str">
        <f>IF(Jugadores!B616="","",Jugadores!A616)</f>
        <v/>
      </c>
      <c r="H616" s="4" t="str">
        <f>IF(F616="","",SUMIF('Estadísticas Jugadores'!$F$2:$F$7001,F616,'Estadísticas Jugadores'!$L$2:$L$7001))</f>
        <v/>
      </c>
      <c r="I616" s="4" t="str">
        <f t="shared" si="48"/>
        <v/>
      </c>
      <c r="J616" s="4" t="str">
        <f t="shared" si="49"/>
        <v/>
      </c>
    </row>
    <row r="617" spans="1:10" ht="15" customHeight="1" x14ac:dyDescent="0.25">
      <c r="A617" s="8" t="str">
        <f>IF(COUNT($J$2:$J$1501)&gt;=616,616,"")</f>
        <v/>
      </c>
      <c r="B617" s="8" t="str">
        <f t="shared" si="45"/>
        <v/>
      </c>
      <c r="C617" s="8" t="str">
        <f t="shared" si="46"/>
        <v/>
      </c>
      <c r="D617" s="8" t="str">
        <f t="shared" si="47"/>
        <v/>
      </c>
      <c r="F617" s="4" t="str">
        <f>IF(Jugadores!B617="","",Jugadores!B617)</f>
        <v/>
      </c>
      <c r="G617" s="4" t="str">
        <f>IF(Jugadores!B617="","",Jugadores!A617)</f>
        <v/>
      </c>
      <c r="H617" s="4" t="str">
        <f>IF(F617="","",SUMIF('Estadísticas Jugadores'!$F$2:$F$7001,F617,'Estadísticas Jugadores'!$L$2:$L$7001))</f>
        <v/>
      </c>
      <c r="I617" s="4" t="str">
        <f t="shared" si="48"/>
        <v/>
      </c>
      <c r="J617" s="4" t="str">
        <f t="shared" si="49"/>
        <v/>
      </c>
    </row>
    <row r="618" spans="1:10" ht="15" customHeight="1" x14ac:dyDescent="0.25">
      <c r="A618" s="8" t="str">
        <f>IF(COUNT($J$2:$J$1501)&gt;=617,617,"")</f>
        <v/>
      </c>
      <c r="B618" s="8" t="str">
        <f t="shared" si="45"/>
        <v/>
      </c>
      <c r="C618" s="8" t="str">
        <f t="shared" si="46"/>
        <v/>
      </c>
      <c r="D618" s="8" t="str">
        <f t="shared" si="47"/>
        <v/>
      </c>
      <c r="F618" s="4" t="str">
        <f>IF(Jugadores!B618="","",Jugadores!B618)</f>
        <v/>
      </c>
      <c r="G618" s="4" t="str">
        <f>IF(Jugadores!B618="","",Jugadores!A618)</f>
        <v/>
      </c>
      <c r="H618" s="4" t="str">
        <f>IF(F618="","",SUMIF('Estadísticas Jugadores'!$F$2:$F$7001,F618,'Estadísticas Jugadores'!$L$2:$L$7001))</f>
        <v/>
      </c>
      <c r="I618" s="4" t="str">
        <f t="shared" si="48"/>
        <v/>
      </c>
      <c r="J618" s="4" t="str">
        <f t="shared" si="49"/>
        <v/>
      </c>
    </row>
    <row r="619" spans="1:10" ht="15" customHeight="1" x14ac:dyDescent="0.25">
      <c r="A619" s="8" t="str">
        <f>IF(COUNT($J$2:$J$1501)&gt;=618,618,"")</f>
        <v/>
      </c>
      <c r="B619" s="8" t="str">
        <f t="shared" si="45"/>
        <v/>
      </c>
      <c r="C619" s="8" t="str">
        <f t="shared" si="46"/>
        <v/>
      </c>
      <c r="D619" s="8" t="str">
        <f t="shared" si="47"/>
        <v/>
      </c>
      <c r="F619" s="4" t="str">
        <f>IF(Jugadores!B619="","",Jugadores!B619)</f>
        <v/>
      </c>
      <c r="G619" s="4" t="str">
        <f>IF(Jugadores!B619="","",Jugadores!A619)</f>
        <v/>
      </c>
      <c r="H619" s="4" t="str">
        <f>IF(F619="","",SUMIF('Estadísticas Jugadores'!$F$2:$F$7001,F619,'Estadísticas Jugadores'!$L$2:$L$7001))</f>
        <v/>
      </c>
      <c r="I619" s="4" t="str">
        <f t="shared" si="48"/>
        <v/>
      </c>
      <c r="J619" s="4" t="str">
        <f t="shared" si="49"/>
        <v/>
      </c>
    </row>
    <row r="620" spans="1:10" ht="15" customHeight="1" x14ac:dyDescent="0.25">
      <c r="A620" s="8" t="str">
        <f>IF(COUNT($J$2:$J$1501)&gt;=619,619,"")</f>
        <v/>
      </c>
      <c r="B620" s="8" t="str">
        <f t="shared" si="45"/>
        <v/>
      </c>
      <c r="C620" s="8" t="str">
        <f t="shared" si="46"/>
        <v/>
      </c>
      <c r="D620" s="8" t="str">
        <f t="shared" si="47"/>
        <v/>
      </c>
      <c r="F620" s="4" t="str">
        <f>IF(Jugadores!B620="","",Jugadores!B620)</f>
        <v/>
      </c>
      <c r="G620" s="4" t="str">
        <f>IF(Jugadores!B620="","",Jugadores!A620)</f>
        <v/>
      </c>
      <c r="H620" s="4" t="str">
        <f>IF(F620="","",SUMIF('Estadísticas Jugadores'!$F$2:$F$7001,F620,'Estadísticas Jugadores'!$L$2:$L$7001))</f>
        <v/>
      </c>
      <c r="I620" s="4" t="str">
        <f t="shared" si="48"/>
        <v/>
      </c>
      <c r="J620" s="4" t="str">
        <f t="shared" si="49"/>
        <v/>
      </c>
    </row>
    <row r="621" spans="1:10" ht="15" customHeight="1" x14ac:dyDescent="0.25">
      <c r="A621" s="8" t="str">
        <f>IF(COUNT($J$2:$J$1501)&gt;=620,620,"")</f>
        <v/>
      </c>
      <c r="B621" s="8" t="str">
        <f t="shared" si="45"/>
        <v/>
      </c>
      <c r="C621" s="8" t="str">
        <f t="shared" si="46"/>
        <v/>
      </c>
      <c r="D621" s="8" t="str">
        <f t="shared" si="47"/>
        <v/>
      </c>
      <c r="F621" s="4" t="str">
        <f>IF(Jugadores!B621="","",Jugadores!B621)</f>
        <v/>
      </c>
      <c r="G621" s="4" t="str">
        <f>IF(Jugadores!B621="","",Jugadores!A621)</f>
        <v/>
      </c>
      <c r="H621" s="4" t="str">
        <f>IF(F621="","",SUMIF('Estadísticas Jugadores'!$F$2:$F$7001,F621,'Estadísticas Jugadores'!$L$2:$L$7001))</f>
        <v/>
      </c>
      <c r="I621" s="4" t="str">
        <f t="shared" si="48"/>
        <v/>
      </c>
      <c r="J621" s="4" t="str">
        <f t="shared" si="49"/>
        <v/>
      </c>
    </row>
    <row r="622" spans="1:10" ht="15" customHeight="1" x14ac:dyDescent="0.25">
      <c r="A622" s="8" t="str">
        <f>IF(COUNT($J$2:$J$1501)&gt;=621,621,"")</f>
        <v/>
      </c>
      <c r="B622" s="8" t="str">
        <f t="shared" si="45"/>
        <v/>
      </c>
      <c r="C622" s="8" t="str">
        <f t="shared" si="46"/>
        <v/>
      </c>
      <c r="D622" s="8" t="str">
        <f t="shared" si="47"/>
        <v/>
      </c>
      <c r="F622" s="4" t="str">
        <f>IF(Jugadores!B622="","",Jugadores!B622)</f>
        <v/>
      </c>
      <c r="G622" s="4" t="str">
        <f>IF(Jugadores!B622="","",Jugadores!A622)</f>
        <v/>
      </c>
      <c r="H622" s="4" t="str">
        <f>IF(F622="","",SUMIF('Estadísticas Jugadores'!$F$2:$F$7001,F622,'Estadísticas Jugadores'!$L$2:$L$7001))</f>
        <v/>
      </c>
      <c r="I622" s="4" t="str">
        <f t="shared" si="48"/>
        <v/>
      </c>
      <c r="J622" s="4" t="str">
        <f t="shared" si="49"/>
        <v/>
      </c>
    </row>
    <row r="623" spans="1:10" ht="15" customHeight="1" x14ac:dyDescent="0.25">
      <c r="A623" s="8" t="str">
        <f>IF(COUNT($J$2:$J$1501)&gt;=622,622,"")</f>
        <v/>
      </c>
      <c r="B623" s="8" t="str">
        <f t="shared" si="45"/>
        <v/>
      </c>
      <c r="C623" s="8" t="str">
        <f t="shared" si="46"/>
        <v/>
      </c>
      <c r="D623" s="8" t="str">
        <f t="shared" si="47"/>
        <v/>
      </c>
      <c r="F623" s="4" t="str">
        <f>IF(Jugadores!B623="","",Jugadores!B623)</f>
        <v/>
      </c>
      <c r="G623" s="4" t="str">
        <f>IF(Jugadores!B623="","",Jugadores!A623)</f>
        <v/>
      </c>
      <c r="H623" s="4" t="str">
        <f>IF(F623="","",SUMIF('Estadísticas Jugadores'!$F$2:$F$7001,F623,'Estadísticas Jugadores'!$L$2:$L$7001))</f>
        <v/>
      </c>
      <c r="I623" s="4" t="str">
        <f t="shared" si="48"/>
        <v/>
      </c>
      <c r="J623" s="4" t="str">
        <f t="shared" si="49"/>
        <v/>
      </c>
    </row>
    <row r="624" spans="1:10" ht="15" customHeight="1" x14ac:dyDescent="0.25">
      <c r="A624" s="8" t="str">
        <f>IF(COUNT($J$2:$J$1501)&gt;=623,623,"")</f>
        <v/>
      </c>
      <c r="B624" s="8" t="str">
        <f t="shared" si="45"/>
        <v/>
      </c>
      <c r="C624" s="8" t="str">
        <f t="shared" si="46"/>
        <v/>
      </c>
      <c r="D624" s="8" t="str">
        <f t="shared" si="47"/>
        <v/>
      </c>
      <c r="F624" s="4" t="str">
        <f>IF(Jugadores!B624="","",Jugadores!B624)</f>
        <v/>
      </c>
      <c r="G624" s="4" t="str">
        <f>IF(Jugadores!B624="","",Jugadores!A624)</f>
        <v/>
      </c>
      <c r="H624" s="4" t="str">
        <f>IF(F624="","",SUMIF('Estadísticas Jugadores'!$F$2:$F$7001,F624,'Estadísticas Jugadores'!$L$2:$L$7001))</f>
        <v/>
      </c>
      <c r="I624" s="4" t="str">
        <f t="shared" si="48"/>
        <v/>
      </c>
      <c r="J624" s="4" t="str">
        <f t="shared" si="49"/>
        <v/>
      </c>
    </row>
    <row r="625" spans="1:10" ht="15" customHeight="1" x14ac:dyDescent="0.25">
      <c r="A625" s="8" t="str">
        <f>IF(COUNT($J$2:$J$1501)&gt;=624,624,"")</f>
        <v/>
      </c>
      <c r="B625" s="8" t="str">
        <f t="shared" si="45"/>
        <v/>
      </c>
      <c r="C625" s="8" t="str">
        <f t="shared" si="46"/>
        <v/>
      </c>
      <c r="D625" s="8" t="str">
        <f t="shared" si="47"/>
        <v/>
      </c>
      <c r="F625" s="4" t="str">
        <f>IF(Jugadores!B625="","",Jugadores!B625)</f>
        <v/>
      </c>
      <c r="G625" s="4" t="str">
        <f>IF(Jugadores!B625="","",Jugadores!A625)</f>
        <v/>
      </c>
      <c r="H625" s="4" t="str">
        <f>IF(F625="","",SUMIF('Estadísticas Jugadores'!$F$2:$F$7001,F625,'Estadísticas Jugadores'!$L$2:$L$7001))</f>
        <v/>
      </c>
      <c r="I625" s="4" t="str">
        <f t="shared" si="48"/>
        <v/>
      </c>
      <c r="J625" s="4" t="str">
        <f t="shared" si="49"/>
        <v/>
      </c>
    </row>
    <row r="626" spans="1:10" ht="15" customHeight="1" x14ac:dyDescent="0.25">
      <c r="A626" s="8" t="str">
        <f>IF(COUNT($J$2:$J$1501)&gt;=625,625,"")</f>
        <v/>
      </c>
      <c r="B626" s="8" t="str">
        <f t="shared" si="45"/>
        <v/>
      </c>
      <c r="C626" s="8" t="str">
        <f t="shared" si="46"/>
        <v/>
      </c>
      <c r="D626" s="8" t="str">
        <f t="shared" si="47"/>
        <v/>
      </c>
      <c r="F626" s="4" t="str">
        <f>IF(Jugadores!B626="","",Jugadores!B626)</f>
        <v/>
      </c>
      <c r="G626" s="4" t="str">
        <f>IF(Jugadores!B626="","",Jugadores!A626)</f>
        <v/>
      </c>
      <c r="H626" s="4" t="str">
        <f>IF(F626="","",SUMIF('Estadísticas Jugadores'!$F$2:$F$7001,F626,'Estadísticas Jugadores'!$L$2:$L$7001))</f>
        <v/>
      </c>
      <c r="I626" s="4" t="str">
        <f t="shared" si="48"/>
        <v/>
      </c>
      <c r="J626" s="4" t="str">
        <f t="shared" si="49"/>
        <v/>
      </c>
    </row>
    <row r="627" spans="1:10" ht="15" customHeight="1" x14ac:dyDescent="0.25">
      <c r="A627" s="8" t="str">
        <f>IF(COUNT($J$2:$J$1501)&gt;=626,626,"")</f>
        <v/>
      </c>
      <c r="B627" s="8" t="str">
        <f t="shared" si="45"/>
        <v/>
      </c>
      <c r="C627" s="8" t="str">
        <f t="shared" si="46"/>
        <v/>
      </c>
      <c r="D627" s="8" t="str">
        <f t="shared" si="47"/>
        <v/>
      </c>
      <c r="F627" s="4" t="str">
        <f>IF(Jugadores!B627="","",Jugadores!B627)</f>
        <v/>
      </c>
      <c r="G627" s="4" t="str">
        <f>IF(Jugadores!B627="","",Jugadores!A627)</f>
        <v/>
      </c>
      <c r="H627" s="4" t="str">
        <f>IF(F627="","",SUMIF('Estadísticas Jugadores'!$F$2:$F$7001,F627,'Estadísticas Jugadores'!$L$2:$L$7001))</f>
        <v/>
      </c>
      <c r="I627" s="4" t="str">
        <f t="shared" si="48"/>
        <v/>
      </c>
      <c r="J627" s="4" t="str">
        <f t="shared" si="49"/>
        <v/>
      </c>
    </row>
    <row r="628" spans="1:10" ht="15" customHeight="1" x14ac:dyDescent="0.25">
      <c r="A628" s="8" t="str">
        <f>IF(COUNT($J$2:$J$1501)&gt;=627,627,"")</f>
        <v/>
      </c>
      <c r="B628" s="8" t="str">
        <f t="shared" si="45"/>
        <v/>
      </c>
      <c r="C628" s="8" t="str">
        <f t="shared" si="46"/>
        <v/>
      </c>
      <c r="D628" s="8" t="str">
        <f t="shared" si="47"/>
        <v/>
      </c>
      <c r="F628" s="4" t="str">
        <f>IF(Jugadores!B628="","",Jugadores!B628)</f>
        <v/>
      </c>
      <c r="G628" s="4" t="str">
        <f>IF(Jugadores!B628="","",Jugadores!A628)</f>
        <v/>
      </c>
      <c r="H628" s="4" t="str">
        <f>IF(F628="","",SUMIF('Estadísticas Jugadores'!$F$2:$F$7001,F628,'Estadísticas Jugadores'!$L$2:$L$7001))</f>
        <v/>
      </c>
      <c r="I628" s="4" t="str">
        <f t="shared" si="48"/>
        <v/>
      </c>
      <c r="J628" s="4" t="str">
        <f t="shared" si="49"/>
        <v/>
      </c>
    </row>
    <row r="629" spans="1:10" ht="15" customHeight="1" x14ac:dyDescent="0.25">
      <c r="A629" s="8" t="str">
        <f>IF(COUNT($J$2:$J$1501)&gt;=628,628,"")</f>
        <v/>
      </c>
      <c r="B629" s="8" t="str">
        <f t="shared" si="45"/>
        <v/>
      </c>
      <c r="C629" s="8" t="str">
        <f t="shared" si="46"/>
        <v/>
      </c>
      <c r="D629" s="8" t="str">
        <f t="shared" si="47"/>
        <v/>
      </c>
      <c r="F629" s="4" t="str">
        <f>IF(Jugadores!B629="","",Jugadores!B629)</f>
        <v/>
      </c>
      <c r="G629" s="4" t="str">
        <f>IF(Jugadores!B629="","",Jugadores!A629)</f>
        <v/>
      </c>
      <c r="H629" s="4" t="str">
        <f>IF(F629="","",SUMIF('Estadísticas Jugadores'!$F$2:$F$7001,F629,'Estadísticas Jugadores'!$L$2:$L$7001))</f>
        <v/>
      </c>
      <c r="I629" s="4" t="str">
        <f t="shared" si="48"/>
        <v/>
      </c>
      <c r="J629" s="4" t="str">
        <f t="shared" si="49"/>
        <v/>
      </c>
    </row>
    <row r="630" spans="1:10" ht="15" customHeight="1" x14ac:dyDescent="0.25">
      <c r="A630" s="8" t="str">
        <f>IF(COUNT($J$2:$J$1501)&gt;=629,629,"")</f>
        <v/>
      </c>
      <c r="B630" s="8" t="str">
        <f t="shared" si="45"/>
        <v/>
      </c>
      <c r="C630" s="8" t="str">
        <f t="shared" si="46"/>
        <v/>
      </c>
      <c r="D630" s="8" t="str">
        <f t="shared" si="47"/>
        <v/>
      </c>
      <c r="F630" s="4" t="str">
        <f>IF(Jugadores!B630="","",Jugadores!B630)</f>
        <v/>
      </c>
      <c r="G630" s="4" t="str">
        <f>IF(Jugadores!B630="","",Jugadores!A630)</f>
        <v/>
      </c>
      <c r="H630" s="4" t="str">
        <f>IF(F630="","",SUMIF('Estadísticas Jugadores'!$F$2:$F$7001,F630,'Estadísticas Jugadores'!$L$2:$L$7001))</f>
        <v/>
      </c>
      <c r="I630" s="4" t="str">
        <f t="shared" si="48"/>
        <v/>
      </c>
      <c r="J630" s="4" t="str">
        <f t="shared" si="49"/>
        <v/>
      </c>
    </row>
    <row r="631" spans="1:10" ht="15" customHeight="1" x14ac:dyDescent="0.25">
      <c r="A631" s="8" t="str">
        <f>IF(COUNT($J$2:$J$1501)&gt;=630,630,"")</f>
        <v/>
      </c>
      <c r="B631" s="8" t="str">
        <f t="shared" si="45"/>
        <v/>
      </c>
      <c r="C631" s="8" t="str">
        <f t="shared" si="46"/>
        <v/>
      </c>
      <c r="D631" s="8" t="str">
        <f t="shared" si="47"/>
        <v/>
      </c>
      <c r="F631" s="4" t="str">
        <f>IF(Jugadores!B631="","",Jugadores!B631)</f>
        <v/>
      </c>
      <c r="G631" s="4" t="str">
        <f>IF(Jugadores!B631="","",Jugadores!A631)</f>
        <v/>
      </c>
      <c r="H631" s="4" t="str">
        <f>IF(F631="","",SUMIF('Estadísticas Jugadores'!$F$2:$F$7001,F631,'Estadísticas Jugadores'!$L$2:$L$7001))</f>
        <v/>
      </c>
      <c r="I631" s="4" t="str">
        <f t="shared" si="48"/>
        <v/>
      </c>
      <c r="J631" s="4" t="str">
        <f t="shared" si="49"/>
        <v/>
      </c>
    </row>
    <row r="632" spans="1:10" ht="15" customHeight="1" x14ac:dyDescent="0.25">
      <c r="A632" s="8" t="str">
        <f>IF(COUNT($J$2:$J$1501)&gt;=631,631,"")</f>
        <v/>
      </c>
      <c r="B632" s="8" t="str">
        <f t="shared" si="45"/>
        <v/>
      </c>
      <c r="C632" s="8" t="str">
        <f t="shared" si="46"/>
        <v/>
      </c>
      <c r="D632" s="8" t="str">
        <f t="shared" si="47"/>
        <v/>
      </c>
      <c r="F632" s="4" t="str">
        <f>IF(Jugadores!B632="","",Jugadores!B632)</f>
        <v/>
      </c>
      <c r="G632" s="4" t="str">
        <f>IF(Jugadores!B632="","",Jugadores!A632)</f>
        <v/>
      </c>
      <c r="H632" s="4" t="str">
        <f>IF(F632="","",SUMIF('Estadísticas Jugadores'!$F$2:$F$7001,F632,'Estadísticas Jugadores'!$L$2:$L$7001))</f>
        <v/>
      </c>
      <c r="I632" s="4" t="str">
        <f t="shared" si="48"/>
        <v/>
      </c>
      <c r="J632" s="4" t="str">
        <f t="shared" si="49"/>
        <v/>
      </c>
    </row>
    <row r="633" spans="1:10" ht="15" customHeight="1" x14ac:dyDescent="0.25">
      <c r="A633" s="8" t="str">
        <f>IF(COUNT($J$2:$J$1501)&gt;=632,632,"")</f>
        <v/>
      </c>
      <c r="B633" s="8" t="str">
        <f t="shared" si="45"/>
        <v/>
      </c>
      <c r="C633" s="8" t="str">
        <f t="shared" si="46"/>
        <v/>
      </c>
      <c r="D633" s="8" t="str">
        <f t="shared" si="47"/>
        <v/>
      </c>
      <c r="F633" s="4" t="str">
        <f>IF(Jugadores!B633="","",Jugadores!B633)</f>
        <v/>
      </c>
      <c r="G633" s="4" t="str">
        <f>IF(Jugadores!B633="","",Jugadores!A633)</f>
        <v/>
      </c>
      <c r="H633" s="4" t="str">
        <f>IF(F633="","",SUMIF('Estadísticas Jugadores'!$F$2:$F$7001,F633,'Estadísticas Jugadores'!$L$2:$L$7001))</f>
        <v/>
      </c>
      <c r="I633" s="4" t="str">
        <f t="shared" si="48"/>
        <v/>
      </c>
      <c r="J633" s="4" t="str">
        <f t="shared" si="49"/>
        <v/>
      </c>
    </row>
    <row r="634" spans="1:10" ht="15" customHeight="1" x14ac:dyDescent="0.25">
      <c r="A634" s="8" t="str">
        <f>IF(COUNT($J$2:$J$1501)&gt;=633,633,"")</f>
        <v/>
      </c>
      <c r="B634" s="8" t="str">
        <f t="shared" si="45"/>
        <v/>
      </c>
      <c r="C634" s="8" t="str">
        <f t="shared" si="46"/>
        <v/>
      </c>
      <c r="D634" s="8" t="str">
        <f t="shared" si="47"/>
        <v/>
      </c>
      <c r="F634" s="4" t="str">
        <f>IF(Jugadores!B634="","",Jugadores!B634)</f>
        <v/>
      </c>
      <c r="G634" s="4" t="str">
        <f>IF(Jugadores!B634="","",Jugadores!A634)</f>
        <v/>
      </c>
      <c r="H634" s="4" t="str">
        <f>IF(F634="","",SUMIF('Estadísticas Jugadores'!$F$2:$F$7001,F634,'Estadísticas Jugadores'!$L$2:$L$7001))</f>
        <v/>
      </c>
      <c r="I634" s="4" t="str">
        <f t="shared" si="48"/>
        <v/>
      </c>
      <c r="J634" s="4" t="str">
        <f t="shared" si="49"/>
        <v/>
      </c>
    </row>
    <row r="635" spans="1:10" ht="15" customHeight="1" x14ac:dyDescent="0.25">
      <c r="A635" s="8" t="str">
        <f>IF(COUNT($J$2:$J$1501)&gt;=634,634,"")</f>
        <v/>
      </c>
      <c r="B635" s="8" t="str">
        <f t="shared" si="45"/>
        <v/>
      </c>
      <c r="C635" s="8" t="str">
        <f t="shared" si="46"/>
        <v/>
      </c>
      <c r="D635" s="8" t="str">
        <f t="shared" si="47"/>
        <v/>
      </c>
      <c r="F635" s="4" t="str">
        <f>IF(Jugadores!B635="","",Jugadores!B635)</f>
        <v/>
      </c>
      <c r="G635" s="4" t="str">
        <f>IF(Jugadores!B635="","",Jugadores!A635)</f>
        <v/>
      </c>
      <c r="H635" s="4" t="str">
        <f>IF(F635="","",SUMIF('Estadísticas Jugadores'!$F$2:$F$7001,F635,'Estadísticas Jugadores'!$L$2:$L$7001))</f>
        <v/>
      </c>
      <c r="I635" s="4" t="str">
        <f t="shared" si="48"/>
        <v/>
      </c>
      <c r="J635" s="4" t="str">
        <f t="shared" si="49"/>
        <v/>
      </c>
    </row>
    <row r="636" spans="1:10" ht="15" customHeight="1" x14ac:dyDescent="0.25">
      <c r="A636" s="8" t="str">
        <f>IF(COUNT($J$2:$J$1501)&gt;=635,635,"")</f>
        <v/>
      </c>
      <c r="B636" s="8" t="str">
        <f t="shared" si="45"/>
        <v/>
      </c>
      <c r="C636" s="8" t="str">
        <f t="shared" si="46"/>
        <v/>
      </c>
      <c r="D636" s="8" t="str">
        <f t="shared" si="47"/>
        <v/>
      </c>
      <c r="F636" s="4" t="str">
        <f>IF(Jugadores!B636="","",Jugadores!B636)</f>
        <v/>
      </c>
      <c r="G636" s="4" t="str">
        <f>IF(Jugadores!B636="","",Jugadores!A636)</f>
        <v/>
      </c>
      <c r="H636" s="4" t="str">
        <f>IF(F636="","",SUMIF('Estadísticas Jugadores'!$F$2:$F$7001,F636,'Estadísticas Jugadores'!$L$2:$L$7001))</f>
        <v/>
      </c>
      <c r="I636" s="4" t="str">
        <f t="shared" si="48"/>
        <v/>
      </c>
      <c r="J636" s="4" t="str">
        <f t="shared" si="49"/>
        <v/>
      </c>
    </row>
    <row r="637" spans="1:10" ht="15" customHeight="1" x14ac:dyDescent="0.25">
      <c r="A637" s="8" t="str">
        <f>IF(COUNT($J$2:$J$1501)&gt;=636,636,"")</f>
        <v/>
      </c>
      <c r="B637" s="8" t="str">
        <f t="shared" si="45"/>
        <v/>
      </c>
      <c r="C637" s="8" t="str">
        <f t="shared" si="46"/>
        <v/>
      </c>
      <c r="D637" s="8" t="str">
        <f t="shared" si="47"/>
        <v/>
      </c>
      <c r="F637" s="4" t="str">
        <f>IF(Jugadores!B637="","",Jugadores!B637)</f>
        <v/>
      </c>
      <c r="G637" s="4" t="str">
        <f>IF(Jugadores!B637="","",Jugadores!A637)</f>
        <v/>
      </c>
      <c r="H637" s="4" t="str">
        <f>IF(F637="","",SUMIF('Estadísticas Jugadores'!$F$2:$F$7001,F637,'Estadísticas Jugadores'!$L$2:$L$7001))</f>
        <v/>
      </c>
      <c r="I637" s="4" t="str">
        <f t="shared" si="48"/>
        <v/>
      </c>
      <c r="J637" s="4" t="str">
        <f t="shared" si="49"/>
        <v/>
      </c>
    </row>
    <row r="638" spans="1:10" ht="15" customHeight="1" x14ac:dyDescent="0.25">
      <c r="A638" s="8" t="str">
        <f>IF(COUNT($J$2:$J$1501)&gt;=637,637,"")</f>
        <v/>
      </c>
      <c r="B638" s="8" t="str">
        <f t="shared" si="45"/>
        <v/>
      </c>
      <c r="C638" s="8" t="str">
        <f t="shared" si="46"/>
        <v/>
      </c>
      <c r="D638" s="8" t="str">
        <f t="shared" si="47"/>
        <v/>
      </c>
      <c r="F638" s="4" t="str">
        <f>IF(Jugadores!B638="","",Jugadores!B638)</f>
        <v/>
      </c>
      <c r="G638" s="4" t="str">
        <f>IF(Jugadores!B638="","",Jugadores!A638)</f>
        <v/>
      </c>
      <c r="H638" s="4" t="str">
        <f>IF(F638="","",SUMIF('Estadísticas Jugadores'!$F$2:$F$7001,F638,'Estadísticas Jugadores'!$L$2:$L$7001))</f>
        <v/>
      </c>
      <c r="I638" s="4" t="str">
        <f t="shared" si="48"/>
        <v/>
      </c>
      <c r="J638" s="4" t="str">
        <f t="shared" si="49"/>
        <v/>
      </c>
    </row>
    <row r="639" spans="1:10" ht="15" customHeight="1" x14ac:dyDescent="0.25">
      <c r="A639" s="8" t="str">
        <f>IF(COUNT($J$2:$J$1501)&gt;=638,638,"")</f>
        <v/>
      </c>
      <c r="B639" s="8" t="str">
        <f t="shared" si="45"/>
        <v/>
      </c>
      <c r="C639" s="8" t="str">
        <f t="shared" si="46"/>
        <v/>
      </c>
      <c r="D639" s="8" t="str">
        <f t="shared" si="47"/>
        <v/>
      </c>
      <c r="F639" s="4" t="str">
        <f>IF(Jugadores!B639="","",Jugadores!B639)</f>
        <v/>
      </c>
      <c r="G639" s="4" t="str">
        <f>IF(Jugadores!B639="","",Jugadores!A639)</f>
        <v/>
      </c>
      <c r="H639" s="4" t="str">
        <f>IF(F639="","",SUMIF('Estadísticas Jugadores'!$F$2:$F$7001,F639,'Estadísticas Jugadores'!$L$2:$L$7001))</f>
        <v/>
      </c>
      <c r="I639" s="4" t="str">
        <f t="shared" si="48"/>
        <v/>
      </c>
      <c r="J639" s="4" t="str">
        <f t="shared" si="49"/>
        <v/>
      </c>
    </row>
    <row r="640" spans="1:10" ht="15" customHeight="1" x14ac:dyDescent="0.25">
      <c r="A640" s="8" t="str">
        <f>IF(COUNT($J$2:$J$1501)&gt;=639,639,"")</f>
        <v/>
      </c>
      <c r="B640" s="8" t="str">
        <f t="shared" si="45"/>
        <v/>
      </c>
      <c r="C640" s="8" t="str">
        <f t="shared" si="46"/>
        <v/>
      </c>
      <c r="D640" s="8" t="str">
        <f t="shared" si="47"/>
        <v/>
      </c>
      <c r="F640" s="4" t="str">
        <f>IF(Jugadores!B640="","",Jugadores!B640)</f>
        <v/>
      </c>
      <c r="G640" s="4" t="str">
        <f>IF(Jugadores!B640="","",Jugadores!A640)</f>
        <v/>
      </c>
      <c r="H640" s="4" t="str">
        <f>IF(F640="","",SUMIF('Estadísticas Jugadores'!$F$2:$F$7001,F640,'Estadísticas Jugadores'!$L$2:$L$7001))</f>
        <v/>
      </c>
      <c r="I640" s="4" t="str">
        <f t="shared" si="48"/>
        <v/>
      </c>
      <c r="J640" s="4" t="str">
        <f t="shared" si="49"/>
        <v/>
      </c>
    </row>
    <row r="641" spans="1:10" ht="15" customHeight="1" x14ac:dyDescent="0.25">
      <c r="A641" s="8" t="str">
        <f>IF(COUNT($J$2:$J$1501)&gt;=640,640,"")</f>
        <v/>
      </c>
      <c r="B641" s="8" t="str">
        <f t="shared" si="45"/>
        <v/>
      </c>
      <c r="C641" s="8" t="str">
        <f t="shared" si="46"/>
        <v/>
      </c>
      <c r="D641" s="8" t="str">
        <f t="shared" si="47"/>
        <v/>
      </c>
      <c r="F641" s="4" t="str">
        <f>IF(Jugadores!B641="","",Jugadores!B641)</f>
        <v/>
      </c>
      <c r="G641" s="4" t="str">
        <f>IF(Jugadores!B641="","",Jugadores!A641)</f>
        <v/>
      </c>
      <c r="H641" s="4" t="str">
        <f>IF(F641="","",SUMIF('Estadísticas Jugadores'!$F$2:$F$7001,F641,'Estadísticas Jugadores'!$L$2:$L$7001))</f>
        <v/>
      </c>
      <c r="I641" s="4" t="str">
        <f t="shared" si="48"/>
        <v/>
      </c>
      <c r="J641" s="4" t="str">
        <f t="shared" si="49"/>
        <v/>
      </c>
    </row>
    <row r="642" spans="1:10" ht="15" customHeight="1" x14ac:dyDescent="0.25">
      <c r="A642" s="8" t="str">
        <f>IF(COUNT($J$2:$J$1501)&gt;=641,641,"")</f>
        <v/>
      </c>
      <c r="B642" s="8" t="str">
        <f t="shared" ref="B642:B705" si="50">IF($A642="","",INDEX($F$2:$F$1501,MATCH($A642,$J$2:$J$1501,0)))</f>
        <v/>
      </c>
      <c r="C642" s="8" t="str">
        <f t="shared" ref="C642:C705" si="51">IF($A642="","",INDEX($G$2:$G$1501,MATCH($A642,$J$2:$J$1501,0)))</f>
        <v/>
      </c>
      <c r="D642" s="8" t="str">
        <f t="shared" ref="D642:D705" si="52">IF($A642="","",INDEX($H$2:$H$1501,MATCH($A642,$J$2:$J$1501,0)))</f>
        <v/>
      </c>
      <c r="F642" s="4" t="str">
        <f>IF(Jugadores!B642="","",Jugadores!B642)</f>
        <v/>
      </c>
      <c r="G642" s="4" t="str">
        <f>IF(Jugadores!B642="","",Jugadores!A642)</f>
        <v/>
      </c>
      <c r="H642" s="4" t="str">
        <f>IF(F642="","",SUMIF('Estadísticas Jugadores'!$F$2:$F$7001,F642,'Estadísticas Jugadores'!$L$2:$L$7001))</f>
        <v/>
      </c>
      <c r="I642" s="4" t="str">
        <f t="shared" ref="I642:I705" si="53">IF(F642="","",H642*1000-ROW()*0.0000001)</f>
        <v/>
      </c>
      <c r="J642" s="4" t="str">
        <f t="shared" ref="J642:J705" si="54">IF(F642="","",RANK(I642,$I$2:$I$1501))</f>
        <v/>
      </c>
    </row>
    <row r="643" spans="1:10" ht="15" customHeight="1" x14ac:dyDescent="0.25">
      <c r="A643" s="8" t="str">
        <f>IF(COUNT($J$2:$J$1501)&gt;=642,642,"")</f>
        <v/>
      </c>
      <c r="B643" s="8" t="str">
        <f t="shared" si="50"/>
        <v/>
      </c>
      <c r="C643" s="8" t="str">
        <f t="shared" si="51"/>
        <v/>
      </c>
      <c r="D643" s="8" t="str">
        <f t="shared" si="52"/>
        <v/>
      </c>
      <c r="F643" s="4" t="str">
        <f>IF(Jugadores!B643="","",Jugadores!B643)</f>
        <v/>
      </c>
      <c r="G643" s="4" t="str">
        <f>IF(Jugadores!B643="","",Jugadores!A643)</f>
        <v/>
      </c>
      <c r="H643" s="4" t="str">
        <f>IF(F643="","",SUMIF('Estadísticas Jugadores'!$F$2:$F$7001,F643,'Estadísticas Jugadores'!$L$2:$L$7001))</f>
        <v/>
      </c>
      <c r="I643" s="4" t="str">
        <f t="shared" si="53"/>
        <v/>
      </c>
      <c r="J643" s="4" t="str">
        <f t="shared" si="54"/>
        <v/>
      </c>
    </row>
    <row r="644" spans="1:10" ht="15" customHeight="1" x14ac:dyDescent="0.25">
      <c r="A644" s="8" t="str">
        <f>IF(COUNT($J$2:$J$1501)&gt;=643,643,"")</f>
        <v/>
      </c>
      <c r="B644" s="8" t="str">
        <f t="shared" si="50"/>
        <v/>
      </c>
      <c r="C644" s="8" t="str">
        <f t="shared" si="51"/>
        <v/>
      </c>
      <c r="D644" s="8" t="str">
        <f t="shared" si="52"/>
        <v/>
      </c>
      <c r="F644" s="4" t="str">
        <f>IF(Jugadores!B644="","",Jugadores!B644)</f>
        <v/>
      </c>
      <c r="G644" s="4" t="str">
        <f>IF(Jugadores!B644="","",Jugadores!A644)</f>
        <v/>
      </c>
      <c r="H644" s="4" t="str">
        <f>IF(F644="","",SUMIF('Estadísticas Jugadores'!$F$2:$F$7001,F644,'Estadísticas Jugadores'!$L$2:$L$7001))</f>
        <v/>
      </c>
      <c r="I644" s="4" t="str">
        <f t="shared" si="53"/>
        <v/>
      </c>
      <c r="J644" s="4" t="str">
        <f t="shared" si="54"/>
        <v/>
      </c>
    </row>
    <row r="645" spans="1:10" ht="15" customHeight="1" x14ac:dyDescent="0.25">
      <c r="A645" s="8" t="str">
        <f>IF(COUNT($J$2:$J$1501)&gt;=644,644,"")</f>
        <v/>
      </c>
      <c r="B645" s="8" t="str">
        <f t="shared" si="50"/>
        <v/>
      </c>
      <c r="C645" s="8" t="str">
        <f t="shared" si="51"/>
        <v/>
      </c>
      <c r="D645" s="8" t="str">
        <f t="shared" si="52"/>
        <v/>
      </c>
      <c r="F645" s="4" t="str">
        <f>IF(Jugadores!B645="","",Jugadores!B645)</f>
        <v/>
      </c>
      <c r="G645" s="4" t="str">
        <f>IF(Jugadores!B645="","",Jugadores!A645)</f>
        <v/>
      </c>
      <c r="H645" s="4" t="str">
        <f>IF(F645="","",SUMIF('Estadísticas Jugadores'!$F$2:$F$7001,F645,'Estadísticas Jugadores'!$L$2:$L$7001))</f>
        <v/>
      </c>
      <c r="I645" s="4" t="str">
        <f t="shared" si="53"/>
        <v/>
      </c>
      <c r="J645" s="4" t="str">
        <f t="shared" si="54"/>
        <v/>
      </c>
    </row>
    <row r="646" spans="1:10" ht="15" customHeight="1" x14ac:dyDescent="0.25">
      <c r="A646" s="8" t="str">
        <f>IF(COUNT($J$2:$J$1501)&gt;=645,645,"")</f>
        <v/>
      </c>
      <c r="B646" s="8" t="str">
        <f t="shared" si="50"/>
        <v/>
      </c>
      <c r="C646" s="8" t="str">
        <f t="shared" si="51"/>
        <v/>
      </c>
      <c r="D646" s="8" t="str">
        <f t="shared" si="52"/>
        <v/>
      </c>
      <c r="F646" s="4" t="str">
        <f>IF(Jugadores!B646="","",Jugadores!B646)</f>
        <v/>
      </c>
      <c r="G646" s="4" t="str">
        <f>IF(Jugadores!B646="","",Jugadores!A646)</f>
        <v/>
      </c>
      <c r="H646" s="4" t="str">
        <f>IF(F646="","",SUMIF('Estadísticas Jugadores'!$F$2:$F$7001,F646,'Estadísticas Jugadores'!$L$2:$L$7001))</f>
        <v/>
      </c>
      <c r="I646" s="4" t="str">
        <f t="shared" si="53"/>
        <v/>
      </c>
      <c r="J646" s="4" t="str">
        <f t="shared" si="54"/>
        <v/>
      </c>
    </row>
    <row r="647" spans="1:10" ht="15" customHeight="1" x14ac:dyDescent="0.25">
      <c r="A647" s="8" t="str">
        <f>IF(COUNT($J$2:$J$1501)&gt;=646,646,"")</f>
        <v/>
      </c>
      <c r="B647" s="8" t="str">
        <f t="shared" si="50"/>
        <v/>
      </c>
      <c r="C647" s="8" t="str">
        <f t="shared" si="51"/>
        <v/>
      </c>
      <c r="D647" s="8" t="str">
        <f t="shared" si="52"/>
        <v/>
      </c>
      <c r="F647" s="4" t="str">
        <f>IF(Jugadores!B647="","",Jugadores!B647)</f>
        <v/>
      </c>
      <c r="G647" s="4" t="str">
        <f>IF(Jugadores!B647="","",Jugadores!A647)</f>
        <v/>
      </c>
      <c r="H647" s="4" t="str">
        <f>IF(F647="","",SUMIF('Estadísticas Jugadores'!$F$2:$F$7001,F647,'Estadísticas Jugadores'!$L$2:$L$7001))</f>
        <v/>
      </c>
      <c r="I647" s="4" t="str">
        <f t="shared" si="53"/>
        <v/>
      </c>
      <c r="J647" s="4" t="str">
        <f t="shared" si="54"/>
        <v/>
      </c>
    </row>
    <row r="648" spans="1:10" ht="15" customHeight="1" x14ac:dyDescent="0.25">
      <c r="A648" s="8" t="str">
        <f>IF(COUNT($J$2:$J$1501)&gt;=647,647,"")</f>
        <v/>
      </c>
      <c r="B648" s="8" t="str">
        <f t="shared" si="50"/>
        <v/>
      </c>
      <c r="C648" s="8" t="str">
        <f t="shared" si="51"/>
        <v/>
      </c>
      <c r="D648" s="8" t="str">
        <f t="shared" si="52"/>
        <v/>
      </c>
      <c r="F648" s="4" t="str">
        <f>IF(Jugadores!B648="","",Jugadores!B648)</f>
        <v/>
      </c>
      <c r="G648" s="4" t="str">
        <f>IF(Jugadores!B648="","",Jugadores!A648)</f>
        <v/>
      </c>
      <c r="H648" s="4" t="str">
        <f>IF(F648="","",SUMIF('Estadísticas Jugadores'!$F$2:$F$7001,F648,'Estadísticas Jugadores'!$L$2:$L$7001))</f>
        <v/>
      </c>
      <c r="I648" s="4" t="str">
        <f t="shared" si="53"/>
        <v/>
      </c>
      <c r="J648" s="4" t="str">
        <f t="shared" si="54"/>
        <v/>
      </c>
    </row>
    <row r="649" spans="1:10" ht="15" customHeight="1" x14ac:dyDescent="0.25">
      <c r="A649" s="8" t="str">
        <f>IF(COUNT($J$2:$J$1501)&gt;=648,648,"")</f>
        <v/>
      </c>
      <c r="B649" s="8" t="str">
        <f t="shared" si="50"/>
        <v/>
      </c>
      <c r="C649" s="8" t="str">
        <f t="shared" si="51"/>
        <v/>
      </c>
      <c r="D649" s="8" t="str">
        <f t="shared" si="52"/>
        <v/>
      </c>
      <c r="F649" s="4" t="str">
        <f>IF(Jugadores!B649="","",Jugadores!B649)</f>
        <v/>
      </c>
      <c r="G649" s="4" t="str">
        <f>IF(Jugadores!B649="","",Jugadores!A649)</f>
        <v/>
      </c>
      <c r="H649" s="4" t="str">
        <f>IF(F649="","",SUMIF('Estadísticas Jugadores'!$F$2:$F$7001,F649,'Estadísticas Jugadores'!$L$2:$L$7001))</f>
        <v/>
      </c>
      <c r="I649" s="4" t="str">
        <f t="shared" si="53"/>
        <v/>
      </c>
      <c r="J649" s="4" t="str">
        <f t="shared" si="54"/>
        <v/>
      </c>
    </row>
    <row r="650" spans="1:10" ht="15" customHeight="1" x14ac:dyDescent="0.25">
      <c r="A650" s="8" t="str">
        <f>IF(COUNT($J$2:$J$1501)&gt;=649,649,"")</f>
        <v/>
      </c>
      <c r="B650" s="8" t="str">
        <f t="shared" si="50"/>
        <v/>
      </c>
      <c r="C650" s="8" t="str">
        <f t="shared" si="51"/>
        <v/>
      </c>
      <c r="D650" s="8" t="str">
        <f t="shared" si="52"/>
        <v/>
      </c>
      <c r="F650" s="4" t="str">
        <f>IF(Jugadores!B650="","",Jugadores!B650)</f>
        <v/>
      </c>
      <c r="G650" s="4" t="str">
        <f>IF(Jugadores!B650="","",Jugadores!A650)</f>
        <v/>
      </c>
      <c r="H650" s="4" t="str">
        <f>IF(F650="","",SUMIF('Estadísticas Jugadores'!$F$2:$F$7001,F650,'Estadísticas Jugadores'!$L$2:$L$7001))</f>
        <v/>
      </c>
      <c r="I650" s="4" t="str">
        <f t="shared" si="53"/>
        <v/>
      </c>
      <c r="J650" s="4" t="str">
        <f t="shared" si="54"/>
        <v/>
      </c>
    </row>
    <row r="651" spans="1:10" ht="15" customHeight="1" x14ac:dyDescent="0.25">
      <c r="A651" s="8" t="str">
        <f>IF(COUNT($J$2:$J$1501)&gt;=650,650,"")</f>
        <v/>
      </c>
      <c r="B651" s="8" t="str">
        <f t="shared" si="50"/>
        <v/>
      </c>
      <c r="C651" s="8" t="str">
        <f t="shared" si="51"/>
        <v/>
      </c>
      <c r="D651" s="8" t="str">
        <f t="shared" si="52"/>
        <v/>
      </c>
      <c r="F651" s="4" t="str">
        <f>IF(Jugadores!B651="","",Jugadores!B651)</f>
        <v/>
      </c>
      <c r="G651" s="4" t="str">
        <f>IF(Jugadores!B651="","",Jugadores!A651)</f>
        <v/>
      </c>
      <c r="H651" s="4" t="str">
        <f>IF(F651="","",SUMIF('Estadísticas Jugadores'!$F$2:$F$7001,F651,'Estadísticas Jugadores'!$L$2:$L$7001))</f>
        <v/>
      </c>
      <c r="I651" s="4" t="str">
        <f t="shared" si="53"/>
        <v/>
      </c>
      <c r="J651" s="4" t="str">
        <f t="shared" si="54"/>
        <v/>
      </c>
    </row>
    <row r="652" spans="1:10" ht="15" customHeight="1" x14ac:dyDescent="0.25">
      <c r="A652" s="8" t="str">
        <f>IF(COUNT($J$2:$J$1501)&gt;=651,651,"")</f>
        <v/>
      </c>
      <c r="B652" s="8" t="str">
        <f t="shared" si="50"/>
        <v/>
      </c>
      <c r="C652" s="8" t="str">
        <f t="shared" si="51"/>
        <v/>
      </c>
      <c r="D652" s="8" t="str">
        <f t="shared" si="52"/>
        <v/>
      </c>
      <c r="F652" s="4" t="str">
        <f>IF(Jugadores!B652="","",Jugadores!B652)</f>
        <v/>
      </c>
      <c r="G652" s="4" t="str">
        <f>IF(Jugadores!B652="","",Jugadores!A652)</f>
        <v/>
      </c>
      <c r="H652" s="4" t="str">
        <f>IF(F652="","",SUMIF('Estadísticas Jugadores'!$F$2:$F$7001,F652,'Estadísticas Jugadores'!$L$2:$L$7001))</f>
        <v/>
      </c>
      <c r="I652" s="4" t="str">
        <f t="shared" si="53"/>
        <v/>
      </c>
      <c r="J652" s="4" t="str">
        <f t="shared" si="54"/>
        <v/>
      </c>
    </row>
    <row r="653" spans="1:10" ht="15" customHeight="1" x14ac:dyDescent="0.25">
      <c r="A653" s="8" t="str">
        <f>IF(COUNT($J$2:$J$1501)&gt;=652,652,"")</f>
        <v/>
      </c>
      <c r="B653" s="8" t="str">
        <f t="shared" si="50"/>
        <v/>
      </c>
      <c r="C653" s="8" t="str">
        <f t="shared" si="51"/>
        <v/>
      </c>
      <c r="D653" s="8" t="str">
        <f t="shared" si="52"/>
        <v/>
      </c>
      <c r="F653" s="4" t="str">
        <f>IF(Jugadores!B653="","",Jugadores!B653)</f>
        <v/>
      </c>
      <c r="G653" s="4" t="str">
        <f>IF(Jugadores!B653="","",Jugadores!A653)</f>
        <v/>
      </c>
      <c r="H653" s="4" t="str">
        <f>IF(F653="","",SUMIF('Estadísticas Jugadores'!$F$2:$F$7001,F653,'Estadísticas Jugadores'!$L$2:$L$7001))</f>
        <v/>
      </c>
      <c r="I653" s="4" t="str">
        <f t="shared" si="53"/>
        <v/>
      </c>
      <c r="J653" s="4" t="str">
        <f t="shared" si="54"/>
        <v/>
      </c>
    </row>
    <row r="654" spans="1:10" ht="15" customHeight="1" x14ac:dyDescent="0.25">
      <c r="A654" s="8" t="str">
        <f>IF(COUNT($J$2:$J$1501)&gt;=653,653,"")</f>
        <v/>
      </c>
      <c r="B654" s="8" t="str">
        <f t="shared" si="50"/>
        <v/>
      </c>
      <c r="C654" s="8" t="str">
        <f t="shared" si="51"/>
        <v/>
      </c>
      <c r="D654" s="8" t="str">
        <f t="shared" si="52"/>
        <v/>
      </c>
      <c r="F654" s="4" t="str">
        <f>IF(Jugadores!B654="","",Jugadores!B654)</f>
        <v/>
      </c>
      <c r="G654" s="4" t="str">
        <f>IF(Jugadores!B654="","",Jugadores!A654)</f>
        <v/>
      </c>
      <c r="H654" s="4" t="str">
        <f>IF(F654="","",SUMIF('Estadísticas Jugadores'!$F$2:$F$7001,F654,'Estadísticas Jugadores'!$L$2:$L$7001))</f>
        <v/>
      </c>
      <c r="I654" s="4" t="str">
        <f t="shared" si="53"/>
        <v/>
      </c>
      <c r="J654" s="4" t="str">
        <f t="shared" si="54"/>
        <v/>
      </c>
    </row>
    <row r="655" spans="1:10" ht="15" customHeight="1" x14ac:dyDescent="0.25">
      <c r="A655" s="8" t="str">
        <f>IF(COUNT($J$2:$J$1501)&gt;=654,654,"")</f>
        <v/>
      </c>
      <c r="B655" s="8" t="str">
        <f t="shared" si="50"/>
        <v/>
      </c>
      <c r="C655" s="8" t="str">
        <f t="shared" si="51"/>
        <v/>
      </c>
      <c r="D655" s="8" t="str">
        <f t="shared" si="52"/>
        <v/>
      </c>
      <c r="F655" s="4" t="str">
        <f>IF(Jugadores!B655="","",Jugadores!B655)</f>
        <v/>
      </c>
      <c r="G655" s="4" t="str">
        <f>IF(Jugadores!B655="","",Jugadores!A655)</f>
        <v/>
      </c>
      <c r="H655" s="4" t="str">
        <f>IF(F655="","",SUMIF('Estadísticas Jugadores'!$F$2:$F$7001,F655,'Estadísticas Jugadores'!$L$2:$L$7001))</f>
        <v/>
      </c>
      <c r="I655" s="4" t="str">
        <f t="shared" si="53"/>
        <v/>
      </c>
      <c r="J655" s="4" t="str">
        <f t="shared" si="54"/>
        <v/>
      </c>
    </row>
    <row r="656" spans="1:10" ht="15" customHeight="1" x14ac:dyDescent="0.25">
      <c r="A656" s="8" t="str">
        <f>IF(COUNT($J$2:$J$1501)&gt;=655,655,"")</f>
        <v/>
      </c>
      <c r="B656" s="8" t="str">
        <f t="shared" si="50"/>
        <v/>
      </c>
      <c r="C656" s="8" t="str">
        <f t="shared" si="51"/>
        <v/>
      </c>
      <c r="D656" s="8" t="str">
        <f t="shared" si="52"/>
        <v/>
      </c>
      <c r="F656" s="4" t="str">
        <f>IF(Jugadores!B656="","",Jugadores!B656)</f>
        <v/>
      </c>
      <c r="G656" s="4" t="str">
        <f>IF(Jugadores!B656="","",Jugadores!A656)</f>
        <v/>
      </c>
      <c r="H656" s="4" t="str">
        <f>IF(F656="","",SUMIF('Estadísticas Jugadores'!$F$2:$F$7001,F656,'Estadísticas Jugadores'!$L$2:$L$7001))</f>
        <v/>
      </c>
      <c r="I656" s="4" t="str">
        <f t="shared" si="53"/>
        <v/>
      </c>
      <c r="J656" s="4" t="str">
        <f t="shared" si="54"/>
        <v/>
      </c>
    </row>
    <row r="657" spans="1:10" ht="15" customHeight="1" x14ac:dyDescent="0.25">
      <c r="A657" s="8" t="str">
        <f>IF(COUNT($J$2:$J$1501)&gt;=656,656,"")</f>
        <v/>
      </c>
      <c r="B657" s="8" t="str">
        <f t="shared" si="50"/>
        <v/>
      </c>
      <c r="C657" s="8" t="str">
        <f t="shared" si="51"/>
        <v/>
      </c>
      <c r="D657" s="8" t="str">
        <f t="shared" si="52"/>
        <v/>
      </c>
      <c r="F657" s="4" t="str">
        <f>IF(Jugadores!B657="","",Jugadores!B657)</f>
        <v/>
      </c>
      <c r="G657" s="4" t="str">
        <f>IF(Jugadores!B657="","",Jugadores!A657)</f>
        <v/>
      </c>
      <c r="H657" s="4" t="str">
        <f>IF(F657="","",SUMIF('Estadísticas Jugadores'!$F$2:$F$7001,F657,'Estadísticas Jugadores'!$L$2:$L$7001))</f>
        <v/>
      </c>
      <c r="I657" s="4" t="str">
        <f t="shared" si="53"/>
        <v/>
      </c>
      <c r="J657" s="4" t="str">
        <f t="shared" si="54"/>
        <v/>
      </c>
    </row>
    <row r="658" spans="1:10" ht="15" customHeight="1" x14ac:dyDescent="0.25">
      <c r="A658" s="8" t="str">
        <f>IF(COUNT($J$2:$J$1501)&gt;=657,657,"")</f>
        <v/>
      </c>
      <c r="B658" s="8" t="str">
        <f t="shared" si="50"/>
        <v/>
      </c>
      <c r="C658" s="8" t="str">
        <f t="shared" si="51"/>
        <v/>
      </c>
      <c r="D658" s="8" t="str">
        <f t="shared" si="52"/>
        <v/>
      </c>
      <c r="F658" s="4" t="str">
        <f>IF(Jugadores!B658="","",Jugadores!B658)</f>
        <v/>
      </c>
      <c r="G658" s="4" t="str">
        <f>IF(Jugadores!B658="","",Jugadores!A658)</f>
        <v/>
      </c>
      <c r="H658" s="4" t="str">
        <f>IF(F658="","",SUMIF('Estadísticas Jugadores'!$F$2:$F$7001,F658,'Estadísticas Jugadores'!$L$2:$L$7001))</f>
        <v/>
      </c>
      <c r="I658" s="4" t="str">
        <f t="shared" si="53"/>
        <v/>
      </c>
      <c r="J658" s="4" t="str">
        <f t="shared" si="54"/>
        <v/>
      </c>
    </row>
    <row r="659" spans="1:10" ht="15" customHeight="1" x14ac:dyDescent="0.25">
      <c r="A659" s="8" t="str">
        <f>IF(COUNT($J$2:$J$1501)&gt;=658,658,"")</f>
        <v/>
      </c>
      <c r="B659" s="8" t="str">
        <f t="shared" si="50"/>
        <v/>
      </c>
      <c r="C659" s="8" t="str">
        <f t="shared" si="51"/>
        <v/>
      </c>
      <c r="D659" s="8" t="str">
        <f t="shared" si="52"/>
        <v/>
      </c>
      <c r="F659" s="4" t="str">
        <f>IF(Jugadores!B659="","",Jugadores!B659)</f>
        <v/>
      </c>
      <c r="G659" s="4" t="str">
        <f>IF(Jugadores!B659="","",Jugadores!A659)</f>
        <v/>
      </c>
      <c r="H659" s="4" t="str">
        <f>IF(F659="","",SUMIF('Estadísticas Jugadores'!$F$2:$F$7001,F659,'Estadísticas Jugadores'!$L$2:$L$7001))</f>
        <v/>
      </c>
      <c r="I659" s="4" t="str">
        <f t="shared" si="53"/>
        <v/>
      </c>
      <c r="J659" s="4" t="str">
        <f t="shared" si="54"/>
        <v/>
      </c>
    </row>
    <row r="660" spans="1:10" ht="15" customHeight="1" x14ac:dyDescent="0.25">
      <c r="A660" s="8" t="str">
        <f>IF(COUNT($J$2:$J$1501)&gt;=659,659,"")</f>
        <v/>
      </c>
      <c r="B660" s="8" t="str">
        <f t="shared" si="50"/>
        <v/>
      </c>
      <c r="C660" s="8" t="str">
        <f t="shared" si="51"/>
        <v/>
      </c>
      <c r="D660" s="8" t="str">
        <f t="shared" si="52"/>
        <v/>
      </c>
      <c r="F660" s="4" t="str">
        <f>IF(Jugadores!B660="","",Jugadores!B660)</f>
        <v/>
      </c>
      <c r="G660" s="4" t="str">
        <f>IF(Jugadores!B660="","",Jugadores!A660)</f>
        <v/>
      </c>
      <c r="H660" s="4" t="str">
        <f>IF(F660="","",SUMIF('Estadísticas Jugadores'!$F$2:$F$7001,F660,'Estadísticas Jugadores'!$L$2:$L$7001))</f>
        <v/>
      </c>
      <c r="I660" s="4" t="str">
        <f t="shared" si="53"/>
        <v/>
      </c>
      <c r="J660" s="4" t="str">
        <f t="shared" si="54"/>
        <v/>
      </c>
    </row>
    <row r="661" spans="1:10" ht="15" customHeight="1" x14ac:dyDescent="0.25">
      <c r="A661" s="8" t="str">
        <f>IF(COUNT($J$2:$J$1501)&gt;=660,660,"")</f>
        <v/>
      </c>
      <c r="B661" s="8" t="str">
        <f t="shared" si="50"/>
        <v/>
      </c>
      <c r="C661" s="8" t="str">
        <f t="shared" si="51"/>
        <v/>
      </c>
      <c r="D661" s="8" t="str">
        <f t="shared" si="52"/>
        <v/>
      </c>
      <c r="F661" s="4" t="str">
        <f>IF(Jugadores!B661="","",Jugadores!B661)</f>
        <v/>
      </c>
      <c r="G661" s="4" t="str">
        <f>IF(Jugadores!B661="","",Jugadores!A661)</f>
        <v/>
      </c>
      <c r="H661" s="4" t="str">
        <f>IF(F661="","",SUMIF('Estadísticas Jugadores'!$F$2:$F$7001,F661,'Estadísticas Jugadores'!$L$2:$L$7001))</f>
        <v/>
      </c>
      <c r="I661" s="4" t="str">
        <f t="shared" si="53"/>
        <v/>
      </c>
      <c r="J661" s="4" t="str">
        <f t="shared" si="54"/>
        <v/>
      </c>
    </row>
    <row r="662" spans="1:10" ht="15" customHeight="1" x14ac:dyDescent="0.25">
      <c r="A662" s="8" t="str">
        <f>IF(COUNT($J$2:$J$1501)&gt;=661,661,"")</f>
        <v/>
      </c>
      <c r="B662" s="8" t="str">
        <f t="shared" si="50"/>
        <v/>
      </c>
      <c r="C662" s="8" t="str">
        <f t="shared" si="51"/>
        <v/>
      </c>
      <c r="D662" s="8" t="str">
        <f t="shared" si="52"/>
        <v/>
      </c>
      <c r="F662" s="4" t="str">
        <f>IF(Jugadores!B662="","",Jugadores!B662)</f>
        <v/>
      </c>
      <c r="G662" s="4" t="str">
        <f>IF(Jugadores!B662="","",Jugadores!A662)</f>
        <v/>
      </c>
      <c r="H662" s="4" t="str">
        <f>IF(F662="","",SUMIF('Estadísticas Jugadores'!$F$2:$F$7001,F662,'Estadísticas Jugadores'!$L$2:$L$7001))</f>
        <v/>
      </c>
      <c r="I662" s="4" t="str">
        <f t="shared" si="53"/>
        <v/>
      </c>
      <c r="J662" s="4" t="str">
        <f t="shared" si="54"/>
        <v/>
      </c>
    </row>
    <row r="663" spans="1:10" ht="15" customHeight="1" x14ac:dyDescent="0.25">
      <c r="A663" s="8" t="str">
        <f>IF(COUNT($J$2:$J$1501)&gt;=662,662,"")</f>
        <v/>
      </c>
      <c r="B663" s="8" t="str">
        <f t="shared" si="50"/>
        <v/>
      </c>
      <c r="C663" s="8" t="str">
        <f t="shared" si="51"/>
        <v/>
      </c>
      <c r="D663" s="8" t="str">
        <f t="shared" si="52"/>
        <v/>
      </c>
      <c r="F663" s="4" t="str">
        <f>IF(Jugadores!B663="","",Jugadores!B663)</f>
        <v/>
      </c>
      <c r="G663" s="4" t="str">
        <f>IF(Jugadores!B663="","",Jugadores!A663)</f>
        <v/>
      </c>
      <c r="H663" s="4" t="str">
        <f>IF(F663="","",SUMIF('Estadísticas Jugadores'!$F$2:$F$7001,F663,'Estadísticas Jugadores'!$L$2:$L$7001))</f>
        <v/>
      </c>
      <c r="I663" s="4" t="str">
        <f t="shared" si="53"/>
        <v/>
      </c>
      <c r="J663" s="4" t="str">
        <f t="shared" si="54"/>
        <v/>
      </c>
    </row>
    <row r="664" spans="1:10" ht="15" customHeight="1" x14ac:dyDescent="0.25">
      <c r="A664" s="8" t="str">
        <f>IF(COUNT($J$2:$J$1501)&gt;=663,663,"")</f>
        <v/>
      </c>
      <c r="B664" s="8" t="str">
        <f t="shared" si="50"/>
        <v/>
      </c>
      <c r="C664" s="8" t="str">
        <f t="shared" si="51"/>
        <v/>
      </c>
      <c r="D664" s="8" t="str">
        <f t="shared" si="52"/>
        <v/>
      </c>
      <c r="F664" s="4" t="str">
        <f>IF(Jugadores!B664="","",Jugadores!B664)</f>
        <v/>
      </c>
      <c r="G664" s="4" t="str">
        <f>IF(Jugadores!B664="","",Jugadores!A664)</f>
        <v/>
      </c>
      <c r="H664" s="4" t="str">
        <f>IF(F664="","",SUMIF('Estadísticas Jugadores'!$F$2:$F$7001,F664,'Estadísticas Jugadores'!$L$2:$L$7001))</f>
        <v/>
      </c>
      <c r="I664" s="4" t="str">
        <f t="shared" si="53"/>
        <v/>
      </c>
      <c r="J664" s="4" t="str">
        <f t="shared" si="54"/>
        <v/>
      </c>
    </row>
    <row r="665" spans="1:10" ht="15" customHeight="1" x14ac:dyDescent="0.25">
      <c r="A665" s="8" t="str">
        <f>IF(COUNT($J$2:$J$1501)&gt;=664,664,"")</f>
        <v/>
      </c>
      <c r="B665" s="8" t="str">
        <f t="shared" si="50"/>
        <v/>
      </c>
      <c r="C665" s="8" t="str">
        <f t="shared" si="51"/>
        <v/>
      </c>
      <c r="D665" s="8" t="str">
        <f t="shared" si="52"/>
        <v/>
      </c>
      <c r="F665" s="4" t="str">
        <f>IF(Jugadores!B665="","",Jugadores!B665)</f>
        <v/>
      </c>
      <c r="G665" s="4" t="str">
        <f>IF(Jugadores!B665="","",Jugadores!A665)</f>
        <v/>
      </c>
      <c r="H665" s="4" t="str">
        <f>IF(F665="","",SUMIF('Estadísticas Jugadores'!$F$2:$F$7001,F665,'Estadísticas Jugadores'!$L$2:$L$7001))</f>
        <v/>
      </c>
      <c r="I665" s="4" t="str">
        <f t="shared" si="53"/>
        <v/>
      </c>
      <c r="J665" s="4" t="str">
        <f t="shared" si="54"/>
        <v/>
      </c>
    </row>
    <row r="666" spans="1:10" ht="15" customHeight="1" x14ac:dyDescent="0.25">
      <c r="A666" s="8" t="str">
        <f>IF(COUNT($J$2:$J$1501)&gt;=665,665,"")</f>
        <v/>
      </c>
      <c r="B666" s="8" t="str">
        <f t="shared" si="50"/>
        <v/>
      </c>
      <c r="C666" s="8" t="str">
        <f t="shared" si="51"/>
        <v/>
      </c>
      <c r="D666" s="8" t="str">
        <f t="shared" si="52"/>
        <v/>
      </c>
      <c r="F666" s="4" t="str">
        <f>IF(Jugadores!B666="","",Jugadores!B666)</f>
        <v/>
      </c>
      <c r="G666" s="4" t="str">
        <f>IF(Jugadores!B666="","",Jugadores!A666)</f>
        <v/>
      </c>
      <c r="H666" s="4" t="str">
        <f>IF(F666="","",SUMIF('Estadísticas Jugadores'!$F$2:$F$7001,F666,'Estadísticas Jugadores'!$L$2:$L$7001))</f>
        <v/>
      </c>
      <c r="I666" s="4" t="str">
        <f t="shared" si="53"/>
        <v/>
      </c>
      <c r="J666" s="4" t="str">
        <f t="shared" si="54"/>
        <v/>
      </c>
    </row>
    <row r="667" spans="1:10" ht="15" customHeight="1" x14ac:dyDescent="0.25">
      <c r="A667" s="8" t="str">
        <f>IF(COUNT($J$2:$J$1501)&gt;=666,666,"")</f>
        <v/>
      </c>
      <c r="B667" s="8" t="str">
        <f t="shared" si="50"/>
        <v/>
      </c>
      <c r="C667" s="8" t="str">
        <f t="shared" si="51"/>
        <v/>
      </c>
      <c r="D667" s="8" t="str">
        <f t="shared" si="52"/>
        <v/>
      </c>
      <c r="F667" s="4" t="str">
        <f>IF(Jugadores!B667="","",Jugadores!B667)</f>
        <v/>
      </c>
      <c r="G667" s="4" t="str">
        <f>IF(Jugadores!B667="","",Jugadores!A667)</f>
        <v/>
      </c>
      <c r="H667" s="4" t="str">
        <f>IF(F667="","",SUMIF('Estadísticas Jugadores'!$F$2:$F$7001,F667,'Estadísticas Jugadores'!$L$2:$L$7001))</f>
        <v/>
      </c>
      <c r="I667" s="4" t="str">
        <f t="shared" si="53"/>
        <v/>
      </c>
      <c r="J667" s="4" t="str">
        <f t="shared" si="54"/>
        <v/>
      </c>
    </row>
    <row r="668" spans="1:10" ht="15" customHeight="1" x14ac:dyDescent="0.25">
      <c r="A668" s="8" t="str">
        <f>IF(COUNT($J$2:$J$1501)&gt;=667,667,"")</f>
        <v/>
      </c>
      <c r="B668" s="8" t="str">
        <f t="shared" si="50"/>
        <v/>
      </c>
      <c r="C668" s="8" t="str">
        <f t="shared" si="51"/>
        <v/>
      </c>
      <c r="D668" s="8" t="str">
        <f t="shared" si="52"/>
        <v/>
      </c>
      <c r="F668" s="4" t="str">
        <f>IF(Jugadores!B668="","",Jugadores!B668)</f>
        <v/>
      </c>
      <c r="G668" s="4" t="str">
        <f>IF(Jugadores!B668="","",Jugadores!A668)</f>
        <v/>
      </c>
      <c r="H668" s="4" t="str">
        <f>IF(F668="","",SUMIF('Estadísticas Jugadores'!$F$2:$F$7001,F668,'Estadísticas Jugadores'!$L$2:$L$7001))</f>
        <v/>
      </c>
      <c r="I668" s="4" t="str">
        <f t="shared" si="53"/>
        <v/>
      </c>
      <c r="J668" s="4" t="str">
        <f t="shared" si="54"/>
        <v/>
      </c>
    </row>
    <row r="669" spans="1:10" ht="15" customHeight="1" x14ac:dyDescent="0.25">
      <c r="A669" s="8" t="str">
        <f>IF(COUNT($J$2:$J$1501)&gt;=668,668,"")</f>
        <v/>
      </c>
      <c r="B669" s="8" t="str">
        <f t="shared" si="50"/>
        <v/>
      </c>
      <c r="C669" s="8" t="str">
        <f t="shared" si="51"/>
        <v/>
      </c>
      <c r="D669" s="8" t="str">
        <f t="shared" si="52"/>
        <v/>
      </c>
      <c r="F669" s="4" t="str">
        <f>IF(Jugadores!B669="","",Jugadores!B669)</f>
        <v/>
      </c>
      <c r="G669" s="4" t="str">
        <f>IF(Jugadores!B669="","",Jugadores!A669)</f>
        <v/>
      </c>
      <c r="H669" s="4" t="str">
        <f>IF(F669="","",SUMIF('Estadísticas Jugadores'!$F$2:$F$7001,F669,'Estadísticas Jugadores'!$L$2:$L$7001))</f>
        <v/>
      </c>
      <c r="I669" s="4" t="str">
        <f t="shared" si="53"/>
        <v/>
      </c>
      <c r="J669" s="4" t="str">
        <f t="shared" si="54"/>
        <v/>
      </c>
    </row>
    <row r="670" spans="1:10" ht="15" customHeight="1" x14ac:dyDescent="0.25">
      <c r="A670" s="8" t="str">
        <f>IF(COUNT($J$2:$J$1501)&gt;=669,669,"")</f>
        <v/>
      </c>
      <c r="B670" s="8" t="str">
        <f t="shared" si="50"/>
        <v/>
      </c>
      <c r="C670" s="8" t="str">
        <f t="shared" si="51"/>
        <v/>
      </c>
      <c r="D670" s="8" t="str">
        <f t="shared" si="52"/>
        <v/>
      </c>
      <c r="F670" s="4" t="str">
        <f>IF(Jugadores!B670="","",Jugadores!B670)</f>
        <v/>
      </c>
      <c r="G670" s="4" t="str">
        <f>IF(Jugadores!B670="","",Jugadores!A670)</f>
        <v/>
      </c>
      <c r="H670" s="4" t="str">
        <f>IF(F670="","",SUMIF('Estadísticas Jugadores'!$F$2:$F$7001,F670,'Estadísticas Jugadores'!$L$2:$L$7001))</f>
        <v/>
      </c>
      <c r="I670" s="4" t="str">
        <f t="shared" si="53"/>
        <v/>
      </c>
      <c r="J670" s="4" t="str">
        <f t="shared" si="54"/>
        <v/>
      </c>
    </row>
    <row r="671" spans="1:10" ht="15" customHeight="1" x14ac:dyDescent="0.25">
      <c r="A671" s="8" t="str">
        <f>IF(COUNT($J$2:$J$1501)&gt;=670,670,"")</f>
        <v/>
      </c>
      <c r="B671" s="8" t="str">
        <f t="shared" si="50"/>
        <v/>
      </c>
      <c r="C671" s="8" t="str">
        <f t="shared" si="51"/>
        <v/>
      </c>
      <c r="D671" s="8" t="str">
        <f t="shared" si="52"/>
        <v/>
      </c>
      <c r="F671" s="4" t="str">
        <f>IF(Jugadores!B671="","",Jugadores!B671)</f>
        <v/>
      </c>
      <c r="G671" s="4" t="str">
        <f>IF(Jugadores!B671="","",Jugadores!A671)</f>
        <v/>
      </c>
      <c r="H671" s="4" t="str">
        <f>IF(F671="","",SUMIF('Estadísticas Jugadores'!$F$2:$F$7001,F671,'Estadísticas Jugadores'!$L$2:$L$7001))</f>
        <v/>
      </c>
      <c r="I671" s="4" t="str">
        <f t="shared" si="53"/>
        <v/>
      </c>
      <c r="J671" s="4" t="str">
        <f t="shared" si="54"/>
        <v/>
      </c>
    </row>
    <row r="672" spans="1:10" ht="15" customHeight="1" x14ac:dyDescent="0.25">
      <c r="A672" s="8" t="str">
        <f>IF(COUNT($J$2:$J$1501)&gt;=671,671,"")</f>
        <v/>
      </c>
      <c r="B672" s="8" t="str">
        <f t="shared" si="50"/>
        <v/>
      </c>
      <c r="C672" s="8" t="str">
        <f t="shared" si="51"/>
        <v/>
      </c>
      <c r="D672" s="8" t="str">
        <f t="shared" si="52"/>
        <v/>
      </c>
      <c r="F672" s="4" t="str">
        <f>IF(Jugadores!B672="","",Jugadores!B672)</f>
        <v/>
      </c>
      <c r="G672" s="4" t="str">
        <f>IF(Jugadores!B672="","",Jugadores!A672)</f>
        <v/>
      </c>
      <c r="H672" s="4" t="str">
        <f>IF(F672="","",SUMIF('Estadísticas Jugadores'!$F$2:$F$7001,F672,'Estadísticas Jugadores'!$L$2:$L$7001))</f>
        <v/>
      </c>
      <c r="I672" s="4" t="str">
        <f t="shared" si="53"/>
        <v/>
      </c>
      <c r="J672" s="4" t="str">
        <f t="shared" si="54"/>
        <v/>
      </c>
    </row>
    <row r="673" spans="1:10" ht="15" customHeight="1" x14ac:dyDescent="0.25">
      <c r="A673" s="8" t="str">
        <f>IF(COUNT($J$2:$J$1501)&gt;=672,672,"")</f>
        <v/>
      </c>
      <c r="B673" s="8" t="str">
        <f t="shared" si="50"/>
        <v/>
      </c>
      <c r="C673" s="8" t="str">
        <f t="shared" si="51"/>
        <v/>
      </c>
      <c r="D673" s="8" t="str">
        <f t="shared" si="52"/>
        <v/>
      </c>
      <c r="F673" s="4" t="str">
        <f>IF(Jugadores!B673="","",Jugadores!B673)</f>
        <v/>
      </c>
      <c r="G673" s="4" t="str">
        <f>IF(Jugadores!B673="","",Jugadores!A673)</f>
        <v/>
      </c>
      <c r="H673" s="4" t="str">
        <f>IF(F673="","",SUMIF('Estadísticas Jugadores'!$F$2:$F$7001,F673,'Estadísticas Jugadores'!$L$2:$L$7001))</f>
        <v/>
      </c>
      <c r="I673" s="4" t="str">
        <f t="shared" si="53"/>
        <v/>
      </c>
      <c r="J673" s="4" t="str">
        <f t="shared" si="54"/>
        <v/>
      </c>
    </row>
    <row r="674" spans="1:10" ht="15" customHeight="1" x14ac:dyDescent="0.25">
      <c r="A674" s="8" t="str">
        <f>IF(COUNT($J$2:$J$1501)&gt;=673,673,"")</f>
        <v/>
      </c>
      <c r="B674" s="8" t="str">
        <f t="shared" si="50"/>
        <v/>
      </c>
      <c r="C674" s="8" t="str">
        <f t="shared" si="51"/>
        <v/>
      </c>
      <c r="D674" s="8" t="str">
        <f t="shared" si="52"/>
        <v/>
      </c>
      <c r="F674" s="4" t="str">
        <f>IF(Jugadores!B674="","",Jugadores!B674)</f>
        <v/>
      </c>
      <c r="G674" s="4" t="str">
        <f>IF(Jugadores!B674="","",Jugadores!A674)</f>
        <v/>
      </c>
      <c r="H674" s="4" t="str">
        <f>IF(F674="","",SUMIF('Estadísticas Jugadores'!$F$2:$F$7001,F674,'Estadísticas Jugadores'!$L$2:$L$7001))</f>
        <v/>
      </c>
      <c r="I674" s="4" t="str">
        <f t="shared" si="53"/>
        <v/>
      </c>
      <c r="J674" s="4" t="str">
        <f t="shared" si="54"/>
        <v/>
      </c>
    </row>
    <row r="675" spans="1:10" ht="15" customHeight="1" x14ac:dyDescent="0.25">
      <c r="A675" s="8" t="str">
        <f>IF(COUNT($J$2:$J$1501)&gt;=674,674,"")</f>
        <v/>
      </c>
      <c r="B675" s="8" t="str">
        <f t="shared" si="50"/>
        <v/>
      </c>
      <c r="C675" s="8" t="str">
        <f t="shared" si="51"/>
        <v/>
      </c>
      <c r="D675" s="8" t="str">
        <f t="shared" si="52"/>
        <v/>
      </c>
      <c r="F675" s="4" t="str">
        <f>IF(Jugadores!B675="","",Jugadores!B675)</f>
        <v/>
      </c>
      <c r="G675" s="4" t="str">
        <f>IF(Jugadores!B675="","",Jugadores!A675)</f>
        <v/>
      </c>
      <c r="H675" s="4" t="str">
        <f>IF(F675="","",SUMIF('Estadísticas Jugadores'!$F$2:$F$7001,F675,'Estadísticas Jugadores'!$L$2:$L$7001))</f>
        <v/>
      </c>
      <c r="I675" s="4" t="str">
        <f t="shared" si="53"/>
        <v/>
      </c>
      <c r="J675" s="4" t="str">
        <f t="shared" si="54"/>
        <v/>
      </c>
    </row>
    <row r="676" spans="1:10" ht="15" customHeight="1" x14ac:dyDescent="0.25">
      <c r="A676" s="8" t="str">
        <f>IF(COUNT($J$2:$J$1501)&gt;=675,675,"")</f>
        <v/>
      </c>
      <c r="B676" s="8" t="str">
        <f t="shared" si="50"/>
        <v/>
      </c>
      <c r="C676" s="8" t="str">
        <f t="shared" si="51"/>
        <v/>
      </c>
      <c r="D676" s="8" t="str">
        <f t="shared" si="52"/>
        <v/>
      </c>
      <c r="F676" s="4" t="str">
        <f>IF(Jugadores!B676="","",Jugadores!B676)</f>
        <v/>
      </c>
      <c r="G676" s="4" t="str">
        <f>IF(Jugadores!B676="","",Jugadores!A676)</f>
        <v/>
      </c>
      <c r="H676" s="4" t="str">
        <f>IF(F676="","",SUMIF('Estadísticas Jugadores'!$F$2:$F$7001,F676,'Estadísticas Jugadores'!$L$2:$L$7001))</f>
        <v/>
      </c>
      <c r="I676" s="4" t="str">
        <f t="shared" si="53"/>
        <v/>
      </c>
      <c r="J676" s="4" t="str">
        <f t="shared" si="54"/>
        <v/>
      </c>
    </row>
    <row r="677" spans="1:10" ht="15" customHeight="1" x14ac:dyDescent="0.25">
      <c r="A677" s="8" t="str">
        <f>IF(COUNT($J$2:$J$1501)&gt;=676,676,"")</f>
        <v/>
      </c>
      <c r="B677" s="8" t="str">
        <f t="shared" si="50"/>
        <v/>
      </c>
      <c r="C677" s="8" t="str">
        <f t="shared" si="51"/>
        <v/>
      </c>
      <c r="D677" s="8" t="str">
        <f t="shared" si="52"/>
        <v/>
      </c>
      <c r="F677" s="4" t="str">
        <f>IF(Jugadores!B677="","",Jugadores!B677)</f>
        <v/>
      </c>
      <c r="G677" s="4" t="str">
        <f>IF(Jugadores!B677="","",Jugadores!A677)</f>
        <v/>
      </c>
      <c r="H677" s="4" t="str">
        <f>IF(F677="","",SUMIF('Estadísticas Jugadores'!$F$2:$F$7001,F677,'Estadísticas Jugadores'!$L$2:$L$7001))</f>
        <v/>
      </c>
      <c r="I677" s="4" t="str">
        <f t="shared" si="53"/>
        <v/>
      </c>
      <c r="J677" s="4" t="str">
        <f t="shared" si="54"/>
        <v/>
      </c>
    </row>
    <row r="678" spans="1:10" ht="15" customHeight="1" x14ac:dyDescent="0.25">
      <c r="A678" s="8" t="str">
        <f>IF(COUNT($J$2:$J$1501)&gt;=677,677,"")</f>
        <v/>
      </c>
      <c r="B678" s="8" t="str">
        <f t="shared" si="50"/>
        <v/>
      </c>
      <c r="C678" s="8" t="str">
        <f t="shared" si="51"/>
        <v/>
      </c>
      <c r="D678" s="8" t="str">
        <f t="shared" si="52"/>
        <v/>
      </c>
      <c r="F678" s="4" t="str">
        <f>IF(Jugadores!B678="","",Jugadores!B678)</f>
        <v/>
      </c>
      <c r="G678" s="4" t="str">
        <f>IF(Jugadores!B678="","",Jugadores!A678)</f>
        <v/>
      </c>
      <c r="H678" s="4" t="str">
        <f>IF(F678="","",SUMIF('Estadísticas Jugadores'!$F$2:$F$7001,F678,'Estadísticas Jugadores'!$L$2:$L$7001))</f>
        <v/>
      </c>
      <c r="I678" s="4" t="str">
        <f t="shared" si="53"/>
        <v/>
      </c>
      <c r="J678" s="4" t="str">
        <f t="shared" si="54"/>
        <v/>
      </c>
    </row>
    <row r="679" spans="1:10" ht="15" customHeight="1" x14ac:dyDescent="0.25">
      <c r="A679" s="8" t="str">
        <f>IF(COUNT($J$2:$J$1501)&gt;=678,678,"")</f>
        <v/>
      </c>
      <c r="B679" s="8" t="str">
        <f t="shared" si="50"/>
        <v/>
      </c>
      <c r="C679" s="8" t="str">
        <f t="shared" si="51"/>
        <v/>
      </c>
      <c r="D679" s="8" t="str">
        <f t="shared" si="52"/>
        <v/>
      </c>
      <c r="F679" s="4" t="str">
        <f>IF(Jugadores!B679="","",Jugadores!B679)</f>
        <v/>
      </c>
      <c r="G679" s="4" t="str">
        <f>IF(Jugadores!B679="","",Jugadores!A679)</f>
        <v/>
      </c>
      <c r="H679" s="4" t="str">
        <f>IF(F679="","",SUMIF('Estadísticas Jugadores'!$F$2:$F$7001,F679,'Estadísticas Jugadores'!$L$2:$L$7001))</f>
        <v/>
      </c>
      <c r="I679" s="4" t="str">
        <f t="shared" si="53"/>
        <v/>
      </c>
      <c r="J679" s="4" t="str">
        <f t="shared" si="54"/>
        <v/>
      </c>
    </row>
    <row r="680" spans="1:10" ht="15" customHeight="1" x14ac:dyDescent="0.25">
      <c r="A680" s="8" t="str">
        <f>IF(COUNT($J$2:$J$1501)&gt;=679,679,"")</f>
        <v/>
      </c>
      <c r="B680" s="8" t="str">
        <f t="shared" si="50"/>
        <v/>
      </c>
      <c r="C680" s="8" t="str">
        <f t="shared" si="51"/>
        <v/>
      </c>
      <c r="D680" s="8" t="str">
        <f t="shared" si="52"/>
        <v/>
      </c>
      <c r="F680" s="4" t="str">
        <f>IF(Jugadores!B680="","",Jugadores!B680)</f>
        <v/>
      </c>
      <c r="G680" s="4" t="str">
        <f>IF(Jugadores!B680="","",Jugadores!A680)</f>
        <v/>
      </c>
      <c r="H680" s="4" t="str">
        <f>IF(F680="","",SUMIF('Estadísticas Jugadores'!$F$2:$F$7001,F680,'Estadísticas Jugadores'!$L$2:$L$7001))</f>
        <v/>
      </c>
      <c r="I680" s="4" t="str">
        <f t="shared" si="53"/>
        <v/>
      </c>
      <c r="J680" s="4" t="str">
        <f t="shared" si="54"/>
        <v/>
      </c>
    </row>
    <row r="681" spans="1:10" ht="15" customHeight="1" x14ac:dyDescent="0.25">
      <c r="A681" s="8" t="str">
        <f>IF(COUNT($J$2:$J$1501)&gt;=680,680,"")</f>
        <v/>
      </c>
      <c r="B681" s="8" t="str">
        <f t="shared" si="50"/>
        <v/>
      </c>
      <c r="C681" s="8" t="str">
        <f t="shared" si="51"/>
        <v/>
      </c>
      <c r="D681" s="8" t="str">
        <f t="shared" si="52"/>
        <v/>
      </c>
      <c r="F681" s="4" t="str">
        <f>IF(Jugadores!B681="","",Jugadores!B681)</f>
        <v/>
      </c>
      <c r="G681" s="4" t="str">
        <f>IF(Jugadores!B681="","",Jugadores!A681)</f>
        <v/>
      </c>
      <c r="H681" s="4" t="str">
        <f>IF(F681="","",SUMIF('Estadísticas Jugadores'!$F$2:$F$7001,F681,'Estadísticas Jugadores'!$L$2:$L$7001))</f>
        <v/>
      </c>
      <c r="I681" s="4" t="str">
        <f t="shared" si="53"/>
        <v/>
      </c>
      <c r="J681" s="4" t="str">
        <f t="shared" si="54"/>
        <v/>
      </c>
    </row>
    <row r="682" spans="1:10" ht="15" customHeight="1" x14ac:dyDescent="0.25">
      <c r="A682" s="8" t="str">
        <f>IF(COUNT($J$2:$J$1501)&gt;=681,681,"")</f>
        <v/>
      </c>
      <c r="B682" s="8" t="str">
        <f t="shared" si="50"/>
        <v/>
      </c>
      <c r="C682" s="8" t="str">
        <f t="shared" si="51"/>
        <v/>
      </c>
      <c r="D682" s="8" t="str">
        <f t="shared" si="52"/>
        <v/>
      </c>
      <c r="F682" s="4" t="str">
        <f>IF(Jugadores!B682="","",Jugadores!B682)</f>
        <v/>
      </c>
      <c r="G682" s="4" t="str">
        <f>IF(Jugadores!B682="","",Jugadores!A682)</f>
        <v/>
      </c>
      <c r="H682" s="4" t="str">
        <f>IF(F682="","",SUMIF('Estadísticas Jugadores'!$F$2:$F$7001,F682,'Estadísticas Jugadores'!$L$2:$L$7001))</f>
        <v/>
      </c>
      <c r="I682" s="4" t="str">
        <f t="shared" si="53"/>
        <v/>
      </c>
      <c r="J682" s="4" t="str">
        <f t="shared" si="54"/>
        <v/>
      </c>
    </row>
    <row r="683" spans="1:10" ht="15" customHeight="1" x14ac:dyDescent="0.25">
      <c r="A683" s="8" t="str">
        <f>IF(COUNT($J$2:$J$1501)&gt;=682,682,"")</f>
        <v/>
      </c>
      <c r="B683" s="8" t="str">
        <f t="shared" si="50"/>
        <v/>
      </c>
      <c r="C683" s="8" t="str">
        <f t="shared" si="51"/>
        <v/>
      </c>
      <c r="D683" s="8" t="str">
        <f t="shared" si="52"/>
        <v/>
      </c>
      <c r="F683" s="4" t="str">
        <f>IF(Jugadores!B683="","",Jugadores!B683)</f>
        <v/>
      </c>
      <c r="G683" s="4" t="str">
        <f>IF(Jugadores!B683="","",Jugadores!A683)</f>
        <v/>
      </c>
      <c r="H683" s="4" t="str">
        <f>IF(F683="","",SUMIF('Estadísticas Jugadores'!$F$2:$F$7001,F683,'Estadísticas Jugadores'!$L$2:$L$7001))</f>
        <v/>
      </c>
      <c r="I683" s="4" t="str">
        <f t="shared" si="53"/>
        <v/>
      </c>
      <c r="J683" s="4" t="str">
        <f t="shared" si="54"/>
        <v/>
      </c>
    </row>
    <row r="684" spans="1:10" ht="15" customHeight="1" x14ac:dyDescent="0.25">
      <c r="A684" s="8" t="str">
        <f>IF(COUNT($J$2:$J$1501)&gt;=683,683,"")</f>
        <v/>
      </c>
      <c r="B684" s="8" t="str">
        <f t="shared" si="50"/>
        <v/>
      </c>
      <c r="C684" s="8" t="str">
        <f t="shared" si="51"/>
        <v/>
      </c>
      <c r="D684" s="8" t="str">
        <f t="shared" si="52"/>
        <v/>
      </c>
      <c r="F684" s="4" t="str">
        <f>IF(Jugadores!B684="","",Jugadores!B684)</f>
        <v/>
      </c>
      <c r="G684" s="4" t="str">
        <f>IF(Jugadores!B684="","",Jugadores!A684)</f>
        <v/>
      </c>
      <c r="H684" s="4" t="str">
        <f>IF(F684="","",SUMIF('Estadísticas Jugadores'!$F$2:$F$7001,F684,'Estadísticas Jugadores'!$L$2:$L$7001))</f>
        <v/>
      </c>
      <c r="I684" s="4" t="str">
        <f t="shared" si="53"/>
        <v/>
      </c>
      <c r="J684" s="4" t="str">
        <f t="shared" si="54"/>
        <v/>
      </c>
    </row>
    <row r="685" spans="1:10" ht="15" customHeight="1" x14ac:dyDescent="0.25">
      <c r="A685" s="8" t="str">
        <f>IF(COUNT($J$2:$J$1501)&gt;=684,684,"")</f>
        <v/>
      </c>
      <c r="B685" s="8" t="str">
        <f t="shared" si="50"/>
        <v/>
      </c>
      <c r="C685" s="8" t="str">
        <f t="shared" si="51"/>
        <v/>
      </c>
      <c r="D685" s="8" t="str">
        <f t="shared" si="52"/>
        <v/>
      </c>
      <c r="F685" s="4" t="str">
        <f>IF(Jugadores!B685="","",Jugadores!B685)</f>
        <v/>
      </c>
      <c r="G685" s="4" t="str">
        <f>IF(Jugadores!B685="","",Jugadores!A685)</f>
        <v/>
      </c>
      <c r="H685" s="4" t="str">
        <f>IF(F685="","",SUMIF('Estadísticas Jugadores'!$F$2:$F$7001,F685,'Estadísticas Jugadores'!$L$2:$L$7001))</f>
        <v/>
      </c>
      <c r="I685" s="4" t="str">
        <f t="shared" si="53"/>
        <v/>
      </c>
      <c r="J685" s="4" t="str">
        <f t="shared" si="54"/>
        <v/>
      </c>
    </row>
    <row r="686" spans="1:10" ht="15" customHeight="1" x14ac:dyDescent="0.25">
      <c r="A686" s="8" t="str">
        <f>IF(COUNT($J$2:$J$1501)&gt;=685,685,"")</f>
        <v/>
      </c>
      <c r="B686" s="8" t="str">
        <f t="shared" si="50"/>
        <v/>
      </c>
      <c r="C686" s="8" t="str">
        <f t="shared" si="51"/>
        <v/>
      </c>
      <c r="D686" s="8" t="str">
        <f t="shared" si="52"/>
        <v/>
      </c>
      <c r="F686" s="4" t="str">
        <f>IF(Jugadores!B686="","",Jugadores!B686)</f>
        <v/>
      </c>
      <c r="G686" s="4" t="str">
        <f>IF(Jugadores!B686="","",Jugadores!A686)</f>
        <v/>
      </c>
      <c r="H686" s="4" t="str">
        <f>IF(F686="","",SUMIF('Estadísticas Jugadores'!$F$2:$F$7001,F686,'Estadísticas Jugadores'!$L$2:$L$7001))</f>
        <v/>
      </c>
      <c r="I686" s="4" t="str">
        <f t="shared" si="53"/>
        <v/>
      </c>
      <c r="J686" s="4" t="str">
        <f t="shared" si="54"/>
        <v/>
      </c>
    </row>
    <row r="687" spans="1:10" ht="15" customHeight="1" x14ac:dyDescent="0.25">
      <c r="A687" s="8" t="str">
        <f>IF(COUNT($J$2:$J$1501)&gt;=686,686,"")</f>
        <v/>
      </c>
      <c r="B687" s="8" t="str">
        <f t="shared" si="50"/>
        <v/>
      </c>
      <c r="C687" s="8" t="str">
        <f t="shared" si="51"/>
        <v/>
      </c>
      <c r="D687" s="8" t="str">
        <f t="shared" si="52"/>
        <v/>
      </c>
      <c r="F687" s="4" t="str">
        <f>IF(Jugadores!B687="","",Jugadores!B687)</f>
        <v/>
      </c>
      <c r="G687" s="4" t="str">
        <f>IF(Jugadores!B687="","",Jugadores!A687)</f>
        <v/>
      </c>
      <c r="H687" s="4" t="str">
        <f>IF(F687="","",SUMIF('Estadísticas Jugadores'!$F$2:$F$7001,F687,'Estadísticas Jugadores'!$L$2:$L$7001))</f>
        <v/>
      </c>
      <c r="I687" s="4" t="str">
        <f t="shared" si="53"/>
        <v/>
      </c>
      <c r="J687" s="4" t="str">
        <f t="shared" si="54"/>
        <v/>
      </c>
    </row>
    <row r="688" spans="1:10" ht="15" customHeight="1" x14ac:dyDescent="0.25">
      <c r="A688" s="8" t="str">
        <f>IF(COUNT($J$2:$J$1501)&gt;=687,687,"")</f>
        <v/>
      </c>
      <c r="B688" s="8" t="str">
        <f t="shared" si="50"/>
        <v/>
      </c>
      <c r="C688" s="8" t="str">
        <f t="shared" si="51"/>
        <v/>
      </c>
      <c r="D688" s="8" t="str">
        <f t="shared" si="52"/>
        <v/>
      </c>
      <c r="F688" s="4" t="str">
        <f>IF(Jugadores!B688="","",Jugadores!B688)</f>
        <v/>
      </c>
      <c r="G688" s="4" t="str">
        <f>IF(Jugadores!B688="","",Jugadores!A688)</f>
        <v/>
      </c>
      <c r="H688" s="4" t="str">
        <f>IF(F688="","",SUMIF('Estadísticas Jugadores'!$F$2:$F$7001,F688,'Estadísticas Jugadores'!$L$2:$L$7001))</f>
        <v/>
      </c>
      <c r="I688" s="4" t="str">
        <f t="shared" si="53"/>
        <v/>
      </c>
      <c r="J688" s="4" t="str">
        <f t="shared" si="54"/>
        <v/>
      </c>
    </row>
    <row r="689" spans="1:10" ht="15" customHeight="1" x14ac:dyDescent="0.25">
      <c r="A689" s="8" t="str">
        <f>IF(COUNT($J$2:$J$1501)&gt;=688,688,"")</f>
        <v/>
      </c>
      <c r="B689" s="8" t="str">
        <f t="shared" si="50"/>
        <v/>
      </c>
      <c r="C689" s="8" t="str">
        <f t="shared" si="51"/>
        <v/>
      </c>
      <c r="D689" s="8" t="str">
        <f t="shared" si="52"/>
        <v/>
      </c>
      <c r="F689" s="4" t="str">
        <f>IF(Jugadores!B689="","",Jugadores!B689)</f>
        <v/>
      </c>
      <c r="G689" s="4" t="str">
        <f>IF(Jugadores!B689="","",Jugadores!A689)</f>
        <v/>
      </c>
      <c r="H689" s="4" t="str">
        <f>IF(F689="","",SUMIF('Estadísticas Jugadores'!$F$2:$F$7001,F689,'Estadísticas Jugadores'!$L$2:$L$7001))</f>
        <v/>
      </c>
      <c r="I689" s="4" t="str">
        <f t="shared" si="53"/>
        <v/>
      </c>
      <c r="J689" s="4" t="str">
        <f t="shared" si="54"/>
        <v/>
      </c>
    </row>
    <row r="690" spans="1:10" ht="15" customHeight="1" x14ac:dyDescent="0.25">
      <c r="A690" s="8" t="str">
        <f>IF(COUNT($J$2:$J$1501)&gt;=689,689,"")</f>
        <v/>
      </c>
      <c r="B690" s="8" t="str">
        <f t="shared" si="50"/>
        <v/>
      </c>
      <c r="C690" s="8" t="str">
        <f t="shared" si="51"/>
        <v/>
      </c>
      <c r="D690" s="8" t="str">
        <f t="shared" si="52"/>
        <v/>
      </c>
      <c r="F690" s="4" t="str">
        <f>IF(Jugadores!B690="","",Jugadores!B690)</f>
        <v/>
      </c>
      <c r="G690" s="4" t="str">
        <f>IF(Jugadores!B690="","",Jugadores!A690)</f>
        <v/>
      </c>
      <c r="H690" s="4" t="str">
        <f>IF(F690="","",SUMIF('Estadísticas Jugadores'!$F$2:$F$7001,F690,'Estadísticas Jugadores'!$L$2:$L$7001))</f>
        <v/>
      </c>
      <c r="I690" s="4" t="str">
        <f t="shared" si="53"/>
        <v/>
      </c>
      <c r="J690" s="4" t="str">
        <f t="shared" si="54"/>
        <v/>
      </c>
    </row>
    <row r="691" spans="1:10" ht="15" customHeight="1" x14ac:dyDescent="0.25">
      <c r="A691" s="8" t="str">
        <f>IF(COUNT($J$2:$J$1501)&gt;=690,690,"")</f>
        <v/>
      </c>
      <c r="B691" s="8" t="str">
        <f t="shared" si="50"/>
        <v/>
      </c>
      <c r="C691" s="8" t="str">
        <f t="shared" si="51"/>
        <v/>
      </c>
      <c r="D691" s="8" t="str">
        <f t="shared" si="52"/>
        <v/>
      </c>
      <c r="F691" s="4" t="str">
        <f>IF(Jugadores!B691="","",Jugadores!B691)</f>
        <v/>
      </c>
      <c r="G691" s="4" t="str">
        <f>IF(Jugadores!B691="","",Jugadores!A691)</f>
        <v/>
      </c>
      <c r="H691" s="4" t="str">
        <f>IF(F691="","",SUMIF('Estadísticas Jugadores'!$F$2:$F$7001,F691,'Estadísticas Jugadores'!$L$2:$L$7001))</f>
        <v/>
      </c>
      <c r="I691" s="4" t="str">
        <f t="shared" si="53"/>
        <v/>
      </c>
      <c r="J691" s="4" t="str">
        <f t="shared" si="54"/>
        <v/>
      </c>
    </row>
    <row r="692" spans="1:10" ht="15" customHeight="1" x14ac:dyDescent="0.25">
      <c r="A692" s="8" t="str">
        <f>IF(COUNT($J$2:$J$1501)&gt;=691,691,"")</f>
        <v/>
      </c>
      <c r="B692" s="8" t="str">
        <f t="shared" si="50"/>
        <v/>
      </c>
      <c r="C692" s="8" t="str">
        <f t="shared" si="51"/>
        <v/>
      </c>
      <c r="D692" s="8" t="str">
        <f t="shared" si="52"/>
        <v/>
      </c>
      <c r="F692" s="4" t="str">
        <f>IF(Jugadores!B692="","",Jugadores!B692)</f>
        <v/>
      </c>
      <c r="G692" s="4" t="str">
        <f>IF(Jugadores!B692="","",Jugadores!A692)</f>
        <v/>
      </c>
      <c r="H692" s="4" t="str">
        <f>IF(F692="","",SUMIF('Estadísticas Jugadores'!$F$2:$F$7001,F692,'Estadísticas Jugadores'!$L$2:$L$7001))</f>
        <v/>
      </c>
      <c r="I692" s="4" t="str">
        <f t="shared" si="53"/>
        <v/>
      </c>
      <c r="J692" s="4" t="str">
        <f t="shared" si="54"/>
        <v/>
      </c>
    </row>
    <row r="693" spans="1:10" ht="15" customHeight="1" x14ac:dyDescent="0.25">
      <c r="A693" s="8" t="str">
        <f>IF(COUNT($J$2:$J$1501)&gt;=692,692,"")</f>
        <v/>
      </c>
      <c r="B693" s="8" t="str">
        <f t="shared" si="50"/>
        <v/>
      </c>
      <c r="C693" s="8" t="str">
        <f t="shared" si="51"/>
        <v/>
      </c>
      <c r="D693" s="8" t="str">
        <f t="shared" si="52"/>
        <v/>
      </c>
      <c r="F693" s="4" t="str">
        <f>IF(Jugadores!B693="","",Jugadores!B693)</f>
        <v/>
      </c>
      <c r="G693" s="4" t="str">
        <f>IF(Jugadores!B693="","",Jugadores!A693)</f>
        <v/>
      </c>
      <c r="H693" s="4" t="str">
        <f>IF(F693="","",SUMIF('Estadísticas Jugadores'!$F$2:$F$7001,F693,'Estadísticas Jugadores'!$L$2:$L$7001))</f>
        <v/>
      </c>
      <c r="I693" s="4" t="str">
        <f t="shared" si="53"/>
        <v/>
      </c>
      <c r="J693" s="4" t="str">
        <f t="shared" si="54"/>
        <v/>
      </c>
    </row>
    <row r="694" spans="1:10" ht="15" customHeight="1" x14ac:dyDescent="0.25">
      <c r="A694" s="8" t="str">
        <f>IF(COUNT($J$2:$J$1501)&gt;=693,693,"")</f>
        <v/>
      </c>
      <c r="B694" s="8" t="str">
        <f t="shared" si="50"/>
        <v/>
      </c>
      <c r="C694" s="8" t="str">
        <f t="shared" si="51"/>
        <v/>
      </c>
      <c r="D694" s="8" t="str">
        <f t="shared" si="52"/>
        <v/>
      </c>
      <c r="F694" s="4" t="str">
        <f>IF(Jugadores!B694="","",Jugadores!B694)</f>
        <v/>
      </c>
      <c r="G694" s="4" t="str">
        <f>IF(Jugadores!B694="","",Jugadores!A694)</f>
        <v/>
      </c>
      <c r="H694" s="4" t="str">
        <f>IF(F694="","",SUMIF('Estadísticas Jugadores'!$F$2:$F$7001,F694,'Estadísticas Jugadores'!$L$2:$L$7001))</f>
        <v/>
      </c>
      <c r="I694" s="4" t="str">
        <f t="shared" si="53"/>
        <v/>
      </c>
      <c r="J694" s="4" t="str">
        <f t="shared" si="54"/>
        <v/>
      </c>
    </row>
    <row r="695" spans="1:10" ht="15" customHeight="1" x14ac:dyDescent="0.25">
      <c r="A695" s="8" t="str">
        <f>IF(COUNT($J$2:$J$1501)&gt;=694,694,"")</f>
        <v/>
      </c>
      <c r="B695" s="8" t="str">
        <f t="shared" si="50"/>
        <v/>
      </c>
      <c r="C695" s="8" t="str">
        <f t="shared" si="51"/>
        <v/>
      </c>
      <c r="D695" s="8" t="str">
        <f t="shared" si="52"/>
        <v/>
      </c>
      <c r="F695" s="4" t="str">
        <f>IF(Jugadores!B695="","",Jugadores!B695)</f>
        <v/>
      </c>
      <c r="G695" s="4" t="str">
        <f>IF(Jugadores!B695="","",Jugadores!A695)</f>
        <v/>
      </c>
      <c r="H695" s="4" t="str">
        <f>IF(F695="","",SUMIF('Estadísticas Jugadores'!$F$2:$F$7001,F695,'Estadísticas Jugadores'!$L$2:$L$7001))</f>
        <v/>
      </c>
      <c r="I695" s="4" t="str">
        <f t="shared" si="53"/>
        <v/>
      </c>
      <c r="J695" s="4" t="str">
        <f t="shared" si="54"/>
        <v/>
      </c>
    </row>
    <row r="696" spans="1:10" ht="15" customHeight="1" x14ac:dyDescent="0.25">
      <c r="A696" s="8" t="str">
        <f>IF(COUNT($J$2:$J$1501)&gt;=695,695,"")</f>
        <v/>
      </c>
      <c r="B696" s="8" t="str">
        <f t="shared" si="50"/>
        <v/>
      </c>
      <c r="C696" s="8" t="str">
        <f t="shared" si="51"/>
        <v/>
      </c>
      <c r="D696" s="8" t="str">
        <f t="shared" si="52"/>
        <v/>
      </c>
      <c r="F696" s="4" t="str">
        <f>IF(Jugadores!B696="","",Jugadores!B696)</f>
        <v/>
      </c>
      <c r="G696" s="4" t="str">
        <f>IF(Jugadores!B696="","",Jugadores!A696)</f>
        <v/>
      </c>
      <c r="H696" s="4" t="str">
        <f>IF(F696="","",SUMIF('Estadísticas Jugadores'!$F$2:$F$7001,F696,'Estadísticas Jugadores'!$L$2:$L$7001))</f>
        <v/>
      </c>
      <c r="I696" s="4" t="str">
        <f t="shared" si="53"/>
        <v/>
      </c>
      <c r="J696" s="4" t="str">
        <f t="shared" si="54"/>
        <v/>
      </c>
    </row>
    <row r="697" spans="1:10" ht="15" customHeight="1" x14ac:dyDescent="0.25">
      <c r="A697" s="8" t="str">
        <f>IF(COUNT($J$2:$J$1501)&gt;=696,696,"")</f>
        <v/>
      </c>
      <c r="B697" s="8" t="str">
        <f t="shared" si="50"/>
        <v/>
      </c>
      <c r="C697" s="8" t="str">
        <f t="shared" si="51"/>
        <v/>
      </c>
      <c r="D697" s="8" t="str">
        <f t="shared" si="52"/>
        <v/>
      </c>
      <c r="F697" s="4" t="str">
        <f>IF(Jugadores!B697="","",Jugadores!B697)</f>
        <v/>
      </c>
      <c r="G697" s="4" t="str">
        <f>IF(Jugadores!B697="","",Jugadores!A697)</f>
        <v/>
      </c>
      <c r="H697" s="4" t="str">
        <f>IF(F697="","",SUMIF('Estadísticas Jugadores'!$F$2:$F$7001,F697,'Estadísticas Jugadores'!$L$2:$L$7001))</f>
        <v/>
      </c>
      <c r="I697" s="4" t="str">
        <f t="shared" si="53"/>
        <v/>
      </c>
      <c r="J697" s="4" t="str">
        <f t="shared" si="54"/>
        <v/>
      </c>
    </row>
    <row r="698" spans="1:10" ht="15" customHeight="1" x14ac:dyDescent="0.25">
      <c r="A698" s="8" t="str">
        <f>IF(COUNT($J$2:$J$1501)&gt;=697,697,"")</f>
        <v/>
      </c>
      <c r="B698" s="8" t="str">
        <f t="shared" si="50"/>
        <v/>
      </c>
      <c r="C698" s="8" t="str">
        <f t="shared" si="51"/>
        <v/>
      </c>
      <c r="D698" s="8" t="str">
        <f t="shared" si="52"/>
        <v/>
      </c>
      <c r="F698" s="4" t="str">
        <f>IF(Jugadores!B698="","",Jugadores!B698)</f>
        <v/>
      </c>
      <c r="G698" s="4" t="str">
        <f>IF(Jugadores!B698="","",Jugadores!A698)</f>
        <v/>
      </c>
      <c r="H698" s="4" t="str">
        <f>IF(F698="","",SUMIF('Estadísticas Jugadores'!$F$2:$F$7001,F698,'Estadísticas Jugadores'!$L$2:$L$7001))</f>
        <v/>
      </c>
      <c r="I698" s="4" t="str">
        <f t="shared" si="53"/>
        <v/>
      </c>
      <c r="J698" s="4" t="str">
        <f t="shared" si="54"/>
        <v/>
      </c>
    </row>
    <row r="699" spans="1:10" ht="15" customHeight="1" x14ac:dyDescent="0.25">
      <c r="A699" s="8" t="str">
        <f>IF(COUNT($J$2:$J$1501)&gt;=698,698,"")</f>
        <v/>
      </c>
      <c r="B699" s="8" t="str">
        <f t="shared" si="50"/>
        <v/>
      </c>
      <c r="C699" s="8" t="str">
        <f t="shared" si="51"/>
        <v/>
      </c>
      <c r="D699" s="8" t="str">
        <f t="shared" si="52"/>
        <v/>
      </c>
      <c r="F699" s="4" t="str">
        <f>IF(Jugadores!B699="","",Jugadores!B699)</f>
        <v/>
      </c>
      <c r="G699" s="4" t="str">
        <f>IF(Jugadores!B699="","",Jugadores!A699)</f>
        <v/>
      </c>
      <c r="H699" s="4" t="str">
        <f>IF(F699="","",SUMIF('Estadísticas Jugadores'!$F$2:$F$7001,F699,'Estadísticas Jugadores'!$L$2:$L$7001))</f>
        <v/>
      </c>
      <c r="I699" s="4" t="str">
        <f t="shared" si="53"/>
        <v/>
      </c>
      <c r="J699" s="4" t="str">
        <f t="shared" si="54"/>
        <v/>
      </c>
    </row>
    <row r="700" spans="1:10" ht="15" customHeight="1" x14ac:dyDescent="0.25">
      <c r="A700" s="8" t="str">
        <f>IF(COUNT($J$2:$J$1501)&gt;=699,699,"")</f>
        <v/>
      </c>
      <c r="B700" s="8" t="str">
        <f t="shared" si="50"/>
        <v/>
      </c>
      <c r="C700" s="8" t="str">
        <f t="shared" si="51"/>
        <v/>
      </c>
      <c r="D700" s="8" t="str">
        <f t="shared" si="52"/>
        <v/>
      </c>
      <c r="F700" s="4" t="str">
        <f>IF(Jugadores!B700="","",Jugadores!B700)</f>
        <v/>
      </c>
      <c r="G700" s="4" t="str">
        <f>IF(Jugadores!B700="","",Jugadores!A700)</f>
        <v/>
      </c>
      <c r="H700" s="4" t="str">
        <f>IF(F700="","",SUMIF('Estadísticas Jugadores'!$F$2:$F$7001,F700,'Estadísticas Jugadores'!$L$2:$L$7001))</f>
        <v/>
      </c>
      <c r="I700" s="4" t="str">
        <f t="shared" si="53"/>
        <v/>
      </c>
      <c r="J700" s="4" t="str">
        <f t="shared" si="54"/>
        <v/>
      </c>
    </row>
    <row r="701" spans="1:10" ht="15" customHeight="1" x14ac:dyDescent="0.25">
      <c r="A701" s="8" t="str">
        <f>IF(COUNT($J$2:$J$1501)&gt;=700,700,"")</f>
        <v/>
      </c>
      <c r="B701" s="8" t="str">
        <f t="shared" si="50"/>
        <v/>
      </c>
      <c r="C701" s="8" t="str">
        <f t="shared" si="51"/>
        <v/>
      </c>
      <c r="D701" s="8" t="str">
        <f t="shared" si="52"/>
        <v/>
      </c>
      <c r="F701" s="4" t="str">
        <f>IF(Jugadores!B701="","",Jugadores!B701)</f>
        <v/>
      </c>
      <c r="G701" s="4" t="str">
        <f>IF(Jugadores!B701="","",Jugadores!A701)</f>
        <v/>
      </c>
      <c r="H701" s="4" t="str">
        <f>IF(F701="","",SUMIF('Estadísticas Jugadores'!$F$2:$F$7001,F701,'Estadísticas Jugadores'!$L$2:$L$7001))</f>
        <v/>
      </c>
      <c r="I701" s="4" t="str">
        <f t="shared" si="53"/>
        <v/>
      </c>
      <c r="J701" s="4" t="str">
        <f t="shared" si="54"/>
        <v/>
      </c>
    </row>
    <row r="702" spans="1:10" ht="15" customHeight="1" x14ac:dyDescent="0.25">
      <c r="A702" s="8" t="str">
        <f>IF(COUNT($J$2:$J$1501)&gt;=701,701,"")</f>
        <v/>
      </c>
      <c r="B702" s="8" t="str">
        <f t="shared" si="50"/>
        <v/>
      </c>
      <c r="C702" s="8" t="str">
        <f t="shared" si="51"/>
        <v/>
      </c>
      <c r="D702" s="8" t="str">
        <f t="shared" si="52"/>
        <v/>
      </c>
      <c r="F702" s="4" t="str">
        <f>IF(Jugadores!B702="","",Jugadores!B702)</f>
        <v/>
      </c>
      <c r="G702" s="4" t="str">
        <f>IF(Jugadores!B702="","",Jugadores!A702)</f>
        <v/>
      </c>
      <c r="H702" s="4" t="str">
        <f>IF(F702="","",SUMIF('Estadísticas Jugadores'!$F$2:$F$7001,F702,'Estadísticas Jugadores'!$L$2:$L$7001))</f>
        <v/>
      </c>
      <c r="I702" s="4" t="str">
        <f t="shared" si="53"/>
        <v/>
      </c>
      <c r="J702" s="4" t="str">
        <f t="shared" si="54"/>
        <v/>
      </c>
    </row>
    <row r="703" spans="1:10" ht="15" customHeight="1" x14ac:dyDescent="0.25">
      <c r="A703" s="8" t="str">
        <f>IF(COUNT($J$2:$J$1501)&gt;=702,702,"")</f>
        <v/>
      </c>
      <c r="B703" s="8" t="str">
        <f t="shared" si="50"/>
        <v/>
      </c>
      <c r="C703" s="8" t="str">
        <f t="shared" si="51"/>
        <v/>
      </c>
      <c r="D703" s="8" t="str">
        <f t="shared" si="52"/>
        <v/>
      </c>
      <c r="F703" s="4" t="str">
        <f>IF(Jugadores!B703="","",Jugadores!B703)</f>
        <v/>
      </c>
      <c r="G703" s="4" t="str">
        <f>IF(Jugadores!B703="","",Jugadores!A703)</f>
        <v/>
      </c>
      <c r="H703" s="4" t="str">
        <f>IF(F703="","",SUMIF('Estadísticas Jugadores'!$F$2:$F$7001,F703,'Estadísticas Jugadores'!$L$2:$L$7001))</f>
        <v/>
      </c>
      <c r="I703" s="4" t="str">
        <f t="shared" si="53"/>
        <v/>
      </c>
      <c r="J703" s="4" t="str">
        <f t="shared" si="54"/>
        <v/>
      </c>
    </row>
    <row r="704" spans="1:10" ht="15" customHeight="1" x14ac:dyDescent="0.25">
      <c r="A704" s="8" t="str">
        <f>IF(COUNT($J$2:$J$1501)&gt;=703,703,"")</f>
        <v/>
      </c>
      <c r="B704" s="8" t="str">
        <f t="shared" si="50"/>
        <v/>
      </c>
      <c r="C704" s="8" t="str">
        <f t="shared" si="51"/>
        <v/>
      </c>
      <c r="D704" s="8" t="str">
        <f t="shared" si="52"/>
        <v/>
      </c>
      <c r="F704" s="4" t="str">
        <f>IF(Jugadores!B704="","",Jugadores!B704)</f>
        <v/>
      </c>
      <c r="G704" s="4" t="str">
        <f>IF(Jugadores!B704="","",Jugadores!A704)</f>
        <v/>
      </c>
      <c r="H704" s="4" t="str">
        <f>IF(F704="","",SUMIF('Estadísticas Jugadores'!$F$2:$F$7001,F704,'Estadísticas Jugadores'!$L$2:$L$7001))</f>
        <v/>
      </c>
      <c r="I704" s="4" t="str">
        <f t="shared" si="53"/>
        <v/>
      </c>
      <c r="J704" s="4" t="str">
        <f t="shared" si="54"/>
        <v/>
      </c>
    </row>
    <row r="705" spans="1:10" ht="15" customHeight="1" x14ac:dyDescent="0.25">
      <c r="A705" s="8" t="str">
        <f>IF(COUNT($J$2:$J$1501)&gt;=704,704,"")</f>
        <v/>
      </c>
      <c r="B705" s="8" t="str">
        <f t="shared" si="50"/>
        <v/>
      </c>
      <c r="C705" s="8" t="str">
        <f t="shared" si="51"/>
        <v/>
      </c>
      <c r="D705" s="8" t="str">
        <f t="shared" si="52"/>
        <v/>
      </c>
      <c r="F705" s="4" t="str">
        <f>IF(Jugadores!B705="","",Jugadores!B705)</f>
        <v/>
      </c>
      <c r="G705" s="4" t="str">
        <f>IF(Jugadores!B705="","",Jugadores!A705)</f>
        <v/>
      </c>
      <c r="H705" s="4" t="str">
        <f>IF(F705="","",SUMIF('Estadísticas Jugadores'!$F$2:$F$7001,F705,'Estadísticas Jugadores'!$L$2:$L$7001))</f>
        <v/>
      </c>
      <c r="I705" s="4" t="str">
        <f t="shared" si="53"/>
        <v/>
      </c>
      <c r="J705" s="4" t="str">
        <f t="shared" si="54"/>
        <v/>
      </c>
    </row>
    <row r="706" spans="1:10" ht="15" customHeight="1" x14ac:dyDescent="0.25">
      <c r="A706" s="8" t="str">
        <f>IF(COUNT($J$2:$J$1501)&gt;=705,705,"")</f>
        <v/>
      </c>
      <c r="B706" s="8" t="str">
        <f t="shared" ref="B706:B769" si="55">IF($A706="","",INDEX($F$2:$F$1501,MATCH($A706,$J$2:$J$1501,0)))</f>
        <v/>
      </c>
      <c r="C706" s="8" t="str">
        <f t="shared" ref="C706:C769" si="56">IF($A706="","",INDEX($G$2:$G$1501,MATCH($A706,$J$2:$J$1501,0)))</f>
        <v/>
      </c>
      <c r="D706" s="8" t="str">
        <f t="shared" ref="D706:D769" si="57">IF($A706="","",INDEX($H$2:$H$1501,MATCH($A706,$J$2:$J$1501,0)))</f>
        <v/>
      </c>
      <c r="F706" s="4" t="str">
        <f>IF(Jugadores!B706="","",Jugadores!B706)</f>
        <v/>
      </c>
      <c r="G706" s="4" t="str">
        <f>IF(Jugadores!B706="","",Jugadores!A706)</f>
        <v/>
      </c>
      <c r="H706" s="4" t="str">
        <f>IF(F706="","",SUMIF('Estadísticas Jugadores'!$F$2:$F$7001,F706,'Estadísticas Jugadores'!$L$2:$L$7001))</f>
        <v/>
      </c>
      <c r="I706" s="4" t="str">
        <f t="shared" ref="I706:I769" si="58">IF(F706="","",H706*1000-ROW()*0.0000001)</f>
        <v/>
      </c>
      <c r="J706" s="4" t="str">
        <f t="shared" ref="J706:J769" si="59">IF(F706="","",RANK(I706,$I$2:$I$1501))</f>
        <v/>
      </c>
    </row>
    <row r="707" spans="1:10" ht="15" customHeight="1" x14ac:dyDescent="0.25">
      <c r="A707" s="8" t="str">
        <f>IF(COUNT($J$2:$J$1501)&gt;=706,706,"")</f>
        <v/>
      </c>
      <c r="B707" s="8" t="str">
        <f t="shared" si="55"/>
        <v/>
      </c>
      <c r="C707" s="8" t="str">
        <f t="shared" si="56"/>
        <v/>
      </c>
      <c r="D707" s="8" t="str">
        <f t="shared" si="57"/>
        <v/>
      </c>
      <c r="F707" s="4" t="str">
        <f>IF(Jugadores!B707="","",Jugadores!B707)</f>
        <v/>
      </c>
      <c r="G707" s="4" t="str">
        <f>IF(Jugadores!B707="","",Jugadores!A707)</f>
        <v/>
      </c>
      <c r="H707" s="4" t="str">
        <f>IF(F707="","",SUMIF('Estadísticas Jugadores'!$F$2:$F$7001,F707,'Estadísticas Jugadores'!$L$2:$L$7001))</f>
        <v/>
      </c>
      <c r="I707" s="4" t="str">
        <f t="shared" si="58"/>
        <v/>
      </c>
      <c r="J707" s="4" t="str">
        <f t="shared" si="59"/>
        <v/>
      </c>
    </row>
    <row r="708" spans="1:10" ht="15" customHeight="1" x14ac:dyDescent="0.25">
      <c r="A708" s="8" t="str">
        <f>IF(COUNT($J$2:$J$1501)&gt;=707,707,"")</f>
        <v/>
      </c>
      <c r="B708" s="8" t="str">
        <f t="shared" si="55"/>
        <v/>
      </c>
      <c r="C708" s="8" t="str">
        <f t="shared" si="56"/>
        <v/>
      </c>
      <c r="D708" s="8" t="str">
        <f t="shared" si="57"/>
        <v/>
      </c>
      <c r="F708" s="4" t="str">
        <f>IF(Jugadores!B708="","",Jugadores!B708)</f>
        <v/>
      </c>
      <c r="G708" s="4" t="str">
        <f>IF(Jugadores!B708="","",Jugadores!A708)</f>
        <v/>
      </c>
      <c r="H708" s="4" t="str">
        <f>IF(F708="","",SUMIF('Estadísticas Jugadores'!$F$2:$F$7001,F708,'Estadísticas Jugadores'!$L$2:$L$7001))</f>
        <v/>
      </c>
      <c r="I708" s="4" t="str">
        <f t="shared" si="58"/>
        <v/>
      </c>
      <c r="J708" s="4" t="str">
        <f t="shared" si="59"/>
        <v/>
      </c>
    </row>
    <row r="709" spans="1:10" ht="15" customHeight="1" x14ac:dyDescent="0.25">
      <c r="A709" s="8" t="str">
        <f>IF(COUNT($J$2:$J$1501)&gt;=708,708,"")</f>
        <v/>
      </c>
      <c r="B709" s="8" t="str">
        <f t="shared" si="55"/>
        <v/>
      </c>
      <c r="C709" s="8" t="str">
        <f t="shared" si="56"/>
        <v/>
      </c>
      <c r="D709" s="8" t="str">
        <f t="shared" si="57"/>
        <v/>
      </c>
      <c r="F709" s="4" t="str">
        <f>IF(Jugadores!B709="","",Jugadores!B709)</f>
        <v/>
      </c>
      <c r="G709" s="4" t="str">
        <f>IF(Jugadores!B709="","",Jugadores!A709)</f>
        <v/>
      </c>
      <c r="H709" s="4" t="str">
        <f>IF(F709="","",SUMIF('Estadísticas Jugadores'!$F$2:$F$7001,F709,'Estadísticas Jugadores'!$L$2:$L$7001))</f>
        <v/>
      </c>
      <c r="I709" s="4" t="str">
        <f t="shared" si="58"/>
        <v/>
      </c>
      <c r="J709" s="4" t="str">
        <f t="shared" si="59"/>
        <v/>
      </c>
    </row>
    <row r="710" spans="1:10" ht="15" customHeight="1" x14ac:dyDescent="0.25">
      <c r="A710" s="8" t="str">
        <f>IF(COUNT($J$2:$J$1501)&gt;=709,709,"")</f>
        <v/>
      </c>
      <c r="B710" s="8" t="str">
        <f t="shared" si="55"/>
        <v/>
      </c>
      <c r="C710" s="8" t="str">
        <f t="shared" si="56"/>
        <v/>
      </c>
      <c r="D710" s="8" t="str">
        <f t="shared" si="57"/>
        <v/>
      </c>
      <c r="F710" s="4" t="str">
        <f>IF(Jugadores!B710="","",Jugadores!B710)</f>
        <v/>
      </c>
      <c r="G710" s="4" t="str">
        <f>IF(Jugadores!B710="","",Jugadores!A710)</f>
        <v/>
      </c>
      <c r="H710" s="4" t="str">
        <f>IF(F710="","",SUMIF('Estadísticas Jugadores'!$F$2:$F$7001,F710,'Estadísticas Jugadores'!$L$2:$L$7001))</f>
        <v/>
      </c>
      <c r="I710" s="4" t="str">
        <f t="shared" si="58"/>
        <v/>
      </c>
      <c r="J710" s="4" t="str">
        <f t="shared" si="59"/>
        <v/>
      </c>
    </row>
    <row r="711" spans="1:10" ht="15" customHeight="1" x14ac:dyDescent="0.25">
      <c r="A711" s="8" t="str">
        <f>IF(COUNT($J$2:$J$1501)&gt;=710,710,"")</f>
        <v/>
      </c>
      <c r="B711" s="8" t="str">
        <f t="shared" si="55"/>
        <v/>
      </c>
      <c r="C711" s="8" t="str">
        <f t="shared" si="56"/>
        <v/>
      </c>
      <c r="D711" s="8" t="str">
        <f t="shared" si="57"/>
        <v/>
      </c>
      <c r="F711" s="4" t="str">
        <f>IF(Jugadores!B711="","",Jugadores!B711)</f>
        <v/>
      </c>
      <c r="G711" s="4" t="str">
        <f>IF(Jugadores!B711="","",Jugadores!A711)</f>
        <v/>
      </c>
      <c r="H711" s="4" t="str">
        <f>IF(F711="","",SUMIF('Estadísticas Jugadores'!$F$2:$F$7001,F711,'Estadísticas Jugadores'!$L$2:$L$7001))</f>
        <v/>
      </c>
      <c r="I711" s="4" t="str">
        <f t="shared" si="58"/>
        <v/>
      </c>
      <c r="J711" s="4" t="str">
        <f t="shared" si="59"/>
        <v/>
      </c>
    </row>
    <row r="712" spans="1:10" ht="15" customHeight="1" x14ac:dyDescent="0.25">
      <c r="A712" s="8" t="str">
        <f>IF(COUNT($J$2:$J$1501)&gt;=711,711,"")</f>
        <v/>
      </c>
      <c r="B712" s="8" t="str">
        <f t="shared" si="55"/>
        <v/>
      </c>
      <c r="C712" s="8" t="str">
        <f t="shared" si="56"/>
        <v/>
      </c>
      <c r="D712" s="8" t="str">
        <f t="shared" si="57"/>
        <v/>
      </c>
      <c r="F712" s="4" t="str">
        <f>IF(Jugadores!B712="","",Jugadores!B712)</f>
        <v/>
      </c>
      <c r="G712" s="4" t="str">
        <f>IF(Jugadores!B712="","",Jugadores!A712)</f>
        <v/>
      </c>
      <c r="H712" s="4" t="str">
        <f>IF(F712="","",SUMIF('Estadísticas Jugadores'!$F$2:$F$7001,F712,'Estadísticas Jugadores'!$L$2:$L$7001))</f>
        <v/>
      </c>
      <c r="I712" s="4" t="str">
        <f t="shared" si="58"/>
        <v/>
      </c>
      <c r="J712" s="4" t="str">
        <f t="shared" si="59"/>
        <v/>
      </c>
    </row>
    <row r="713" spans="1:10" ht="15" customHeight="1" x14ac:dyDescent="0.25">
      <c r="A713" s="8" t="str">
        <f>IF(COUNT($J$2:$J$1501)&gt;=712,712,"")</f>
        <v/>
      </c>
      <c r="B713" s="8" t="str">
        <f t="shared" si="55"/>
        <v/>
      </c>
      <c r="C713" s="8" t="str">
        <f t="shared" si="56"/>
        <v/>
      </c>
      <c r="D713" s="8" t="str">
        <f t="shared" si="57"/>
        <v/>
      </c>
      <c r="F713" s="4" t="str">
        <f>IF(Jugadores!B713="","",Jugadores!B713)</f>
        <v/>
      </c>
      <c r="G713" s="4" t="str">
        <f>IF(Jugadores!B713="","",Jugadores!A713)</f>
        <v/>
      </c>
      <c r="H713" s="4" t="str">
        <f>IF(F713="","",SUMIF('Estadísticas Jugadores'!$F$2:$F$7001,F713,'Estadísticas Jugadores'!$L$2:$L$7001))</f>
        <v/>
      </c>
      <c r="I713" s="4" t="str">
        <f t="shared" si="58"/>
        <v/>
      </c>
      <c r="J713" s="4" t="str">
        <f t="shared" si="59"/>
        <v/>
      </c>
    </row>
    <row r="714" spans="1:10" ht="15" customHeight="1" x14ac:dyDescent="0.25">
      <c r="A714" s="8" t="str">
        <f>IF(COUNT($J$2:$J$1501)&gt;=713,713,"")</f>
        <v/>
      </c>
      <c r="B714" s="8" t="str">
        <f t="shared" si="55"/>
        <v/>
      </c>
      <c r="C714" s="8" t="str">
        <f t="shared" si="56"/>
        <v/>
      </c>
      <c r="D714" s="8" t="str">
        <f t="shared" si="57"/>
        <v/>
      </c>
      <c r="F714" s="4" t="str">
        <f>IF(Jugadores!B714="","",Jugadores!B714)</f>
        <v/>
      </c>
      <c r="G714" s="4" t="str">
        <f>IF(Jugadores!B714="","",Jugadores!A714)</f>
        <v/>
      </c>
      <c r="H714" s="4" t="str">
        <f>IF(F714="","",SUMIF('Estadísticas Jugadores'!$F$2:$F$7001,F714,'Estadísticas Jugadores'!$L$2:$L$7001))</f>
        <v/>
      </c>
      <c r="I714" s="4" t="str">
        <f t="shared" si="58"/>
        <v/>
      </c>
      <c r="J714" s="4" t="str">
        <f t="shared" si="59"/>
        <v/>
      </c>
    </row>
    <row r="715" spans="1:10" ht="15" customHeight="1" x14ac:dyDescent="0.25">
      <c r="A715" s="8" t="str">
        <f>IF(COUNT($J$2:$J$1501)&gt;=714,714,"")</f>
        <v/>
      </c>
      <c r="B715" s="8" t="str">
        <f t="shared" si="55"/>
        <v/>
      </c>
      <c r="C715" s="8" t="str">
        <f t="shared" si="56"/>
        <v/>
      </c>
      <c r="D715" s="8" t="str">
        <f t="shared" si="57"/>
        <v/>
      </c>
      <c r="F715" s="4" t="str">
        <f>IF(Jugadores!B715="","",Jugadores!B715)</f>
        <v/>
      </c>
      <c r="G715" s="4" t="str">
        <f>IF(Jugadores!B715="","",Jugadores!A715)</f>
        <v/>
      </c>
      <c r="H715" s="4" t="str">
        <f>IF(F715="","",SUMIF('Estadísticas Jugadores'!$F$2:$F$7001,F715,'Estadísticas Jugadores'!$L$2:$L$7001))</f>
        <v/>
      </c>
      <c r="I715" s="4" t="str">
        <f t="shared" si="58"/>
        <v/>
      </c>
      <c r="J715" s="4" t="str">
        <f t="shared" si="59"/>
        <v/>
      </c>
    </row>
    <row r="716" spans="1:10" ht="15" customHeight="1" x14ac:dyDescent="0.25">
      <c r="A716" s="8" t="str">
        <f>IF(COUNT($J$2:$J$1501)&gt;=715,715,"")</f>
        <v/>
      </c>
      <c r="B716" s="8" t="str">
        <f t="shared" si="55"/>
        <v/>
      </c>
      <c r="C716" s="8" t="str">
        <f t="shared" si="56"/>
        <v/>
      </c>
      <c r="D716" s="8" t="str">
        <f t="shared" si="57"/>
        <v/>
      </c>
      <c r="F716" s="4" t="str">
        <f>IF(Jugadores!B716="","",Jugadores!B716)</f>
        <v/>
      </c>
      <c r="G716" s="4" t="str">
        <f>IF(Jugadores!B716="","",Jugadores!A716)</f>
        <v/>
      </c>
      <c r="H716" s="4" t="str">
        <f>IF(F716="","",SUMIF('Estadísticas Jugadores'!$F$2:$F$7001,F716,'Estadísticas Jugadores'!$L$2:$L$7001))</f>
        <v/>
      </c>
      <c r="I716" s="4" t="str">
        <f t="shared" si="58"/>
        <v/>
      </c>
      <c r="J716" s="4" t="str">
        <f t="shared" si="59"/>
        <v/>
      </c>
    </row>
    <row r="717" spans="1:10" ht="15" customHeight="1" x14ac:dyDescent="0.25">
      <c r="A717" s="8" t="str">
        <f>IF(COUNT($J$2:$J$1501)&gt;=716,716,"")</f>
        <v/>
      </c>
      <c r="B717" s="8" t="str">
        <f t="shared" si="55"/>
        <v/>
      </c>
      <c r="C717" s="8" t="str">
        <f t="shared" si="56"/>
        <v/>
      </c>
      <c r="D717" s="8" t="str">
        <f t="shared" si="57"/>
        <v/>
      </c>
      <c r="F717" s="4" t="str">
        <f>IF(Jugadores!B717="","",Jugadores!B717)</f>
        <v/>
      </c>
      <c r="G717" s="4" t="str">
        <f>IF(Jugadores!B717="","",Jugadores!A717)</f>
        <v/>
      </c>
      <c r="H717" s="4" t="str">
        <f>IF(F717="","",SUMIF('Estadísticas Jugadores'!$F$2:$F$7001,F717,'Estadísticas Jugadores'!$L$2:$L$7001))</f>
        <v/>
      </c>
      <c r="I717" s="4" t="str">
        <f t="shared" si="58"/>
        <v/>
      </c>
      <c r="J717" s="4" t="str">
        <f t="shared" si="59"/>
        <v/>
      </c>
    </row>
    <row r="718" spans="1:10" ht="15" customHeight="1" x14ac:dyDescent="0.25">
      <c r="A718" s="8" t="str">
        <f>IF(COUNT($J$2:$J$1501)&gt;=717,717,"")</f>
        <v/>
      </c>
      <c r="B718" s="8" t="str">
        <f t="shared" si="55"/>
        <v/>
      </c>
      <c r="C718" s="8" t="str">
        <f t="shared" si="56"/>
        <v/>
      </c>
      <c r="D718" s="8" t="str">
        <f t="shared" si="57"/>
        <v/>
      </c>
      <c r="F718" s="4" t="str">
        <f>IF(Jugadores!B718="","",Jugadores!B718)</f>
        <v/>
      </c>
      <c r="G718" s="4" t="str">
        <f>IF(Jugadores!B718="","",Jugadores!A718)</f>
        <v/>
      </c>
      <c r="H718" s="4" t="str">
        <f>IF(F718="","",SUMIF('Estadísticas Jugadores'!$F$2:$F$7001,F718,'Estadísticas Jugadores'!$L$2:$L$7001))</f>
        <v/>
      </c>
      <c r="I718" s="4" t="str">
        <f t="shared" si="58"/>
        <v/>
      </c>
      <c r="J718" s="4" t="str">
        <f t="shared" si="59"/>
        <v/>
      </c>
    </row>
    <row r="719" spans="1:10" ht="15" customHeight="1" x14ac:dyDescent="0.25">
      <c r="A719" s="8" t="str">
        <f>IF(COUNT($J$2:$J$1501)&gt;=718,718,"")</f>
        <v/>
      </c>
      <c r="B719" s="8" t="str">
        <f t="shared" si="55"/>
        <v/>
      </c>
      <c r="C719" s="8" t="str">
        <f t="shared" si="56"/>
        <v/>
      </c>
      <c r="D719" s="8" t="str">
        <f t="shared" si="57"/>
        <v/>
      </c>
      <c r="F719" s="4" t="str">
        <f>IF(Jugadores!B719="","",Jugadores!B719)</f>
        <v/>
      </c>
      <c r="G719" s="4" t="str">
        <f>IF(Jugadores!B719="","",Jugadores!A719)</f>
        <v/>
      </c>
      <c r="H719" s="4" t="str">
        <f>IF(F719="","",SUMIF('Estadísticas Jugadores'!$F$2:$F$7001,F719,'Estadísticas Jugadores'!$L$2:$L$7001))</f>
        <v/>
      </c>
      <c r="I719" s="4" t="str">
        <f t="shared" si="58"/>
        <v/>
      </c>
      <c r="J719" s="4" t="str">
        <f t="shared" si="59"/>
        <v/>
      </c>
    </row>
    <row r="720" spans="1:10" ht="15" customHeight="1" x14ac:dyDescent="0.25">
      <c r="A720" s="8" t="str">
        <f>IF(COUNT($J$2:$J$1501)&gt;=719,719,"")</f>
        <v/>
      </c>
      <c r="B720" s="8" t="str">
        <f t="shared" si="55"/>
        <v/>
      </c>
      <c r="C720" s="8" t="str">
        <f t="shared" si="56"/>
        <v/>
      </c>
      <c r="D720" s="8" t="str">
        <f t="shared" si="57"/>
        <v/>
      </c>
      <c r="F720" s="4" t="str">
        <f>IF(Jugadores!B720="","",Jugadores!B720)</f>
        <v/>
      </c>
      <c r="G720" s="4" t="str">
        <f>IF(Jugadores!B720="","",Jugadores!A720)</f>
        <v/>
      </c>
      <c r="H720" s="4" t="str">
        <f>IF(F720="","",SUMIF('Estadísticas Jugadores'!$F$2:$F$7001,F720,'Estadísticas Jugadores'!$L$2:$L$7001))</f>
        <v/>
      </c>
      <c r="I720" s="4" t="str">
        <f t="shared" si="58"/>
        <v/>
      </c>
      <c r="J720" s="4" t="str">
        <f t="shared" si="59"/>
        <v/>
      </c>
    </row>
    <row r="721" spans="1:10" ht="15" customHeight="1" x14ac:dyDescent="0.25">
      <c r="A721" s="8" t="str">
        <f>IF(COUNT($J$2:$J$1501)&gt;=720,720,"")</f>
        <v/>
      </c>
      <c r="B721" s="8" t="str">
        <f t="shared" si="55"/>
        <v/>
      </c>
      <c r="C721" s="8" t="str">
        <f t="shared" si="56"/>
        <v/>
      </c>
      <c r="D721" s="8" t="str">
        <f t="shared" si="57"/>
        <v/>
      </c>
      <c r="F721" s="4" t="str">
        <f>IF(Jugadores!B721="","",Jugadores!B721)</f>
        <v/>
      </c>
      <c r="G721" s="4" t="str">
        <f>IF(Jugadores!B721="","",Jugadores!A721)</f>
        <v/>
      </c>
      <c r="H721" s="4" t="str">
        <f>IF(F721="","",SUMIF('Estadísticas Jugadores'!$F$2:$F$7001,F721,'Estadísticas Jugadores'!$L$2:$L$7001))</f>
        <v/>
      </c>
      <c r="I721" s="4" t="str">
        <f t="shared" si="58"/>
        <v/>
      </c>
      <c r="J721" s="4" t="str">
        <f t="shared" si="59"/>
        <v/>
      </c>
    </row>
    <row r="722" spans="1:10" ht="15" customHeight="1" x14ac:dyDescent="0.25">
      <c r="A722" s="8" t="str">
        <f>IF(COUNT($J$2:$J$1501)&gt;=721,721,"")</f>
        <v/>
      </c>
      <c r="B722" s="8" t="str">
        <f t="shared" si="55"/>
        <v/>
      </c>
      <c r="C722" s="8" t="str">
        <f t="shared" si="56"/>
        <v/>
      </c>
      <c r="D722" s="8" t="str">
        <f t="shared" si="57"/>
        <v/>
      </c>
      <c r="F722" s="4" t="str">
        <f>IF(Jugadores!B722="","",Jugadores!B722)</f>
        <v/>
      </c>
      <c r="G722" s="4" t="str">
        <f>IF(Jugadores!B722="","",Jugadores!A722)</f>
        <v/>
      </c>
      <c r="H722" s="4" t="str">
        <f>IF(F722="","",SUMIF('Estadísticas Jugadores'!$F$2:$F$7001,F722,'Estadísticas Jugadores'!$L$2:$L$7001))</f>
        <v/>
      </c>
      <c r="I722" s="4" t="str">
        <f t="shared" si="58"/>
        <v/>
      </c>
      <c r="J722" s="4" t="str">
        <f t="shared" si="59"/>
        <v/>
      </c>
    </row>
    <row r="723" spans="1:10" ht="15" customHeight="1" x14ac:dyDescent="0.25">
      <c r="A723" s="8" t="str">
        <f>IF(COUNT($J$2:$J$1501)&gt;=722,722,"")</f>
        <v/>
      </c>
      <c r="B723" s="8" t="str">
        <f t="shared" si="55"/>
        <v/>
      </c>
      <c r="C723" s="8" t="str">
        <f t="shared" si="56"/>
        <v/>
      </c>
      <c r="D723" s="8" t="str">
        <f t="shared" si="57"/>
        <v/>
      </c>
      <c r="F723" s="4" t="str">
        <f>IF(Jugadores!B723="","",Jugadores!B723)</f>
        <v/>
      </c>
      <c r="G723" s="4" t="str">
        <f>IF(Jugadores!B723="","",Jugadores!A723)</f>
        <v/>
      </c>
      <c r="H723" s="4" t="str">
        <f>IF(F723="","",SUMIF('Estadísticas Jugadores'!$F$2:$F$7001,F723,'Estadísticas Jugadores'!$L$2:$L$7001))</f>
        <v/>
      </c>
      <c r="I723" s="4" t="str">
        <f t="shared" si="58"/>
        <v/>
      </c>
      <c r="J723" s="4" t="str">
        <f t="shared" si="59"/>
        <v/>
      </c>
    </row>
    <row r="724" spans="1:10" ht="15" customHeight="1" x14ac:dyDescent="0.25">
      <c r="A724" s="8" t="str">
        <f>IF(COUNT($J$2:$J$1501)&gt;=723,723,"")</f>
        <v/>
      </c>
      <c r="B724" s="8" t="str">
        <f t="shared" si="55"/>
        <v/>
      </c>
      <c r="C724" s="8" t="str">
        <f t="shared" si="56"/>
        <v/>
      </c>
      <c r="D724" s="8" t="str">
        <f t="shared" si="57"/>
        <v/>
      </c>
      <c r="F724" s="4" t="str">
        <f>IF(Jugadores!B724="","",Jugadores!B724)</f>
        <v/>
      </c>
      <c r="G724" s="4" t="str">
        <f>IF(Jugadores!B724="","",Jugadores!A724)</f>
        <v/>
      </c>
      <c r="H724" s="4" t="str">
        <f>IF(F724="","",SUMIF('Estadísticas Jugadores'!$F$2:$F$7001,F724,'Estadísticas Jugadores'!$L$2:$L$7001))</f>
        <v/>
      </c>
      <c r="I724" s="4" t="str">
        <f t="shared" si="58"/>
        <v/>
      </c>
      <c r="J724" s="4" t="str">
        <f t="shared" si="59"/>
        <v/>
      </c>
    </row>
    <row r="725" spans="1:10" ht="15" customHeight="1" x14ac:dyDescent="0.25">
      <c r="A725" s="8" t="str">
        <f>IF(COUNT($J$2:$J$1501)&gt;=724,724,"")</f>
        <v/>
      </c>
      <c r="B725" s="8" t="str">
        <f t="shared" si="55"/>
        <v/>
      </c>
      <c r="C725" s="8" t="str">
        <f t="shared" si="56"/>
        <v/>
      </c>
      <c r="D725" s="8" t="str">
        <f t="shared" si="57"/>
        <v/>
      </c>
      <c r="F725" s="4" t="str">
        <f>IF(Jugadores!B725="","",Jugadores!B725)</f>
        <v/>
      </c>
      <c r="G725" s="4" t="str">
        <f>IF(Jugadores!B725="","",Jugadores!A725)</f>
        <v/>
      </c>
      <c r="H725" s="4" t="str">
        <f>IF(F725="","",SUMIF('Estadísticas Jugadores'!$F$2:$F$7001,F725,'Estadísticas Jugadores'!$L$2:$L$7001))</f>
        <v/>
      </c>
      <c r="I725" s="4" t="str">
        <f t="shared" si="58"/>
        <v/>
      </c>
      <c r="J725" s="4" t="str">
        <f t="shared" si="59"/>
        <v/>
      </c>
    </row>
    <row r="726" spans="1:10" ht="15" customHeight="1" x14ac:dyDescent="0.25">
      <c r="A726" s="8" t="str">
        <f>IF(COUNT($J$2:$J$1501)&gt;=725,725,"")</f>
        <v/>
      </c>
      <c r="B726" s="8" t="str">
        <f t="shared" si="55"/>
        <v/>
      </c>
      <c r="C726" s="8" t="str">
        <f t="shared" si="56"/>
        <v/>
      </c>
      <c r="D726" s="8" t="str">
        <f t="shared" si="57"/>
        <v/>
      </c>
      <c r="F726" s="4" t="str">
        <f>IF(Jugadores!B726="","",Jugadores!B726)</f>
        <v/>
      </c>
      <c r="G726" s="4" t="str">
        <f>IF(Jugadores!B726="","",Jugadores!A726)</f>
        <v/>
      </c>
      <c r="H726" s="4" t="str">
        <f>IF(F726="","",SUMIF('Estadísticas Jugadores'!$F$2:$F$7001,F726,'Estadísticas Jugadores'!$L$2:$L$7001))</f>
        <v/>
      </c>
      <c r="I726" s="4" t="str">
        <f t="shared" si="58"/>
        <v/>
      </c>
      <c r="J726" s="4" t="str">
        <f t="shared" si="59"/>
        <v/>
      </c>
    </row>
    <row r="727" spans="1:10" ht="15" customHeight="1" x14ac:dyDescent="0.25">
      <c r="A727" s="8" t="str">
        <f>IF(COUNT($J$2:$J$1501)&gt;=726,726,"")</f>
        <v/>
      </c>
      <c r="B727" s="8" t="str">
        <f t="shared" si="55"/>
        <v/>
      </c>
      <c r="C727" s="8" t="str">
        <f t="shared" si="56"/>
        <v/>
      </c>
      <c r="D727" s="8" t="str">
        <f t="shared" si="57"/>
        <v/>
      </c>
      <c r="F727" s="4" t="str">
        <f>IF(Jugadores!B727="","",Jugadores!B727)</f>
        <v/>
      </c>
      <c r="G727" s="4" t="str">
        <f>IF(Jugadores!B727="","",Jugadores!A727)</f>
        <v/>
      </c>
      <c r="H727" s="4" t="str">
        <f>IF(F727="","",SUMIF('Estadísticas Jugadores'!$F$2:$F$7001,F727,'Estadísticas Jugadores'!$L$2:$L$7001))</f>
        <v/>
      </c>
      <c r="I727" s="4" t="str">
        <f t="shared" si="58"/>
        <v/>
      </c>
      <c r="J727" s="4" t="str">
        <f t="shared" si="59"/>
        <v/>
      </c>
    </row>
    <row r="728" spans="1:10" ht="15" customHeight="1" x14ac:dyDescent="0.25">
      <c r="A728" s="8" t="str">
        <f>IF(COUNT($J$2:$J$1501)&gt;=727,727,"")</f>
        <v/>
      </c>
      <c r="B728" s="8" t="str">
        <f t="shared" si="55"/>
        <v/>
      </c>
      <c r="C728" s="8" t="str">
        <f t="shared" si="56"/>
        <v/>
      </c>
      <c r="D728" s="8" t="str">
        <f t="shared" si="57"/>
        <v/>
      </c>
      <c r="F728" s="4" t="str">
        <f>IF(Jugadores!B728="","",Jugadores!B728)</f>
        <v/>
      </c>
      <c r="G728" s="4" t="str">
        <f>IF(Jugadores!B728="","",Jugadores!A728)</f>
        <v/>
      </c>
      <c r="H728" s="4" t="str">
        <f>IF(F728="","",SUMIF('Estadísticas Jugadores'!$F$2:$F$7001,F728,'Estadísticas Jugadores'!$L$2:$L$7001))</f>
        <v/>
      </c>
      <c r="I728" s="4" t="str">
        <f t="shared" si="58"/>
        <v/>
      </c>
      <c r="J728" s="4" t="str">
        <f t="shared" si="59"/>
        <v/>
      </c>
    </row>
    <row r="729" spans="1:10" ht="15" customHeight="1" x14ac:dyDescent="0.25">
      <c r="A729" s="8" t="str">
        <f>IF(COUNT($J$2:$J$1501)&gt;=728,728,"")</f>
        <v/>
      </c>
      <c r="B729" s="8" t="str">
        <f t="shared" si="55"/>
        <v/>
      </c>
      <c r="C729" s="8" t="str">
        <f t="shared" si="56"/>
        <v/>
      </c>
      <c r="D729" s="8" t="str">
        <f t="shared" si="57"/>
        <v/>
      </c>
      <c r="F729" s="4" t="str">
        <f>IF(Jugadores!B729="","",Jugadores!B729)</f>
        <v/>
      </c>
      <c r="G729" s="4" t="str">
        <f>IF(Jugadores!B729="","",Jugadores!A729)</f>
        <v/>
      </c>
      <c r="H729" s="4" t="str">
        <f>IF(F729="","",SUMIF('Estadísticas Jugadores'!$F$2:$F$7001,F729,'Estadísticas Jugadores'!$L$2:$L$7001))</f>
        <v/>
      </c>
      <c r="I729" s="4" t="str">
        <f t="shared" si="58"/>
        <v/>
      </c>
      <c r="J729" s="4" t="str">
        <f t="shared" si="59"/>
        <v/>
      </c>
    </row>
    <row r="730" spans="1:10" ht="15" customHeight="1" x14ac:dyDescent="0.25">
      <c r="A730" s="8" t="str">
        <f>IF(COUNT($J$2:$J$1501)&gt;=729,729,"")</f>
        <v/>
      </c>
      <c r="B730" s="8" t="str">
        <f t="shared" si="55"/>
        <v/>
      </c>
      <c r="C730" s="8" t="str">
        <f t="shared" si="56"/>
        <v/>
      </c>
      <c r="D730" s="8" t="str">
        <f t="shared" si="57"/>
        <v/>
      </c>
      <c r="F730" s="4" t="str">
        <f>IF(Jugadores!B730="","",Jugadores!B730)</f>
        <v/>
      </c>
      <c r="G730" s="4" t="str">
        <f>IF(Jugadores!B730="","",Jugadores!A730)</f>
        <v/>
      </c>
      <c r="H730" s="4" t="str">
        <f>IF(F730="","",SUMIF('Estadísticas Jugadores'!$F$2:$F$7001,F730,'Estadísticas Jugadores'!$L$2:$L$7001))</f>
        <v/>
      </c>
      <c r="I730" s="4" t="str">
        <f t="shared" si="58"/>
        <v/>
      </c>
      <c r="J730" s="4" t="str">
        <f t="shared" si="59"/>
        <v/>
      </c>
    </row>
    <row r="731" spans="1:10" ht="15" customHeight="1" x14ac:dyDescent="0.25">
      <c r="A731" s="8" t="str">
        <f>IF(COUNT($J$2:$J$1501)&gt;=730,730,"")</f>
        <v/>
      </c>
      <c r="B731" s="8" t="str">
        <f t="shared" si="55"/>
        <v/>
      </c>
      <c r="C731" s="8" t="str">
        <f t="shared" si="56"/>
        <v/>
      </c>
      <c r="D731" s="8" t="str">
        <f t="shared" si="57"/>
        <v/>
      </c>
      <c r="F731" s="4" t="str">
        <f>IF(Jugadores!B731="","",Jugadores!B731)</f>
        <v/>
      </c>
      <c r="G731" s="4" t="str">
        <f>IF(Jugadores!B731="","",Jugadores!A731)</f>
        <v/>
      </c>
      <c r="H731" s="4" t="str">
        <f>IF(F731="","",SUMIF('Estadísticas Jugadores'!$F$2:$F$7001,F731,'Estadísticas Jugadores'!$L$2:$L$7001))</f>
        <v/>
      </c>
      <c r="I731" s="4" t="str">
        <f t="shared" si="58"/>
        <v/>
      </c>
      <c r="J731" s="4" t="str">
        <f t="shared" si="59"/>
        <v/>
      </c>
    </row>
    <row r="732" spans="1:10" ht="15" customHeight="1" x14ac:dyDescent="0.25">
      <c r="A732" s="8" t="str">
        <f>IF(COUNT($J$2:$J$1501)&gt;=731,731,"")</f>
        <v/>
      </c>
      <c r="B732" s="8" t="str">
        <f t="shared" si="55"/>
        <v/>
      </c>
      <c r="C732" s="8" t="str">
        <f t="shared" si="56"/>
        <v/>
      </c>
      <c r="D732" s="8" t="str">
        <f t="shared" si="57"/>
        <v/>
      </c>
      <c r="F732" s="4" t="str">
        <f>IF(Jugadores!B732="","",Jugadores!B732)</f>
        <v/>
      </c>
      <c r="G732" s="4" t="str">
        <f>IF(Jugadores!B732="","",Jugadores!A732)</f>
        <v/>
      </c>
      <c r="H732" s="4" t="str">
        <f>IF(F732="","",SUMIF('Estadísticas Jugadores'!$F$2:$F$7001,F732,'Estadísticas Jugadores'!$L$2:$L$7001))</f>
        <v/>
      </c>
      <c r="I732" s="4" t="str">
        <f t="shared" si="58"/>
        <v/>
      </c>
      <c r="J732" s="4" t="str">
        <f t="shared" si="59"/>
        <v/>
      </c>
    </row>
    <row r="733" spans="1:10" ht="15" customHeight="1" x14ac:dyDescent="0.25">
      <c r="A733" s="8" t="str">
        <f>IF(COUNT($J$2:$J$1501)&gt;=732,732,"")</f>
        <v/>
      </c>
      <c r="B733" s="8" t="str">
        <f t="shared" si="55"/>
        <v/>
      </c>
      <c r="C733" s="8" t="str">
        <f t="shared" si="56"/>
        <v/>
      </c>
      <c r="D733" s="8" t="str">
        <f t="shared" si="57"/>
        <v/>
      </c>
      <c r="F733" s="4" t="str">
        <f>IF(Jugadores!B733="","",Jugadores!B733)</f>
        <v/>
      </c>
      <c r="G733" s="4" t="str">
        <f>IF(Jugadores!B733="","",Jugadores!A733)</f>
        <v/>
      </c>
      <c r="H733" s="4" t="str">
        <f>IF(F733="","",SUMIF('Estadísticas Jugadores'!$F$2:$F$7001,F733,'Estadísticas Jugadores'!$L$2:$L$7001))</f>
        <v/>
      </c>
      <c r="I733" s="4" t="str">
        <f t="shared" si="58"/>
        <v/>
      </c>
      <c r="J733" s="4" t="str">
        <f t="shared" si="59"/>
        <v/>
      </c>
    </row>
    <row r="734" spans="1:10" ht="15" customHeight="1" x14ac:dyDescent="0.25">
      <c r="A734" s="8" t="str">
        <f>IF(COUNT($J$2:$J$1501)&gt;=733,733,"")</f>
        <v/>
      </c>
      <c r="B734" s="8" t="str">
        <f t="shared" si="55"/>
        <v/>
      </c>
      <c r="C734" s="8" t="str">
        <f t="shared" si="56"/>
        <v/>
      </c>
      <c r="D734" s="8" t="str">
        <f t="shared" si="57"/>
        <v/>
      </c>
      <c r="F734" s="4" t="str">
        <f>IF(Jugadores!B734="","",Jugadores!B734)</f>
        <v/>
      </c>
      <c r="G734" s="4" t="str">
        <f>IF(Jugadores!B734="","",Jugadores!A734)</f>
        <v/>
      </c>
      <c r="H734" s="4" t="str">
        <f>IF(F734="","",SUMIF('Estadísticas Jugadores'!$F$2:$F$7001,F734,'Estadísticas Jugadores'!$L$2:$L$7001))</f>
        <v/>
      </c>
      <c r="I734" s="4" t="str">
        <f t="shared" si="58"/>
        <v/>
      </c>
      <c r="J734" s="4" t="str">
        <f t="shared" si="59"/>
        <v/>
      </c>
    </row>
    <row r="735" spans="1:10" ht="15" customHeight="1" x14ac:dyDescent="0.25">
      <c r="A735" s="8" t="str">
        <f>IF(COUNT($J$2:$J$1501)&gt;=734,734,"")</f>
        <v/>
      </c>
      <c r="B735" s="8" t="str">
        <f t="shared" si="55"/>
        <v/>
      </c>
      <c r="C735" s="8" t="str">
        <f t="shared" si="56"/>
        <v/>
      </c>
      <c r="D735" s="8" t="str">
        <f t="shared" si="57"/>
        <v/>
      </c>
      <c r="F735" s="4" t="str">
        <f>IF(Jugadores!B735="","",Jugadores!B735)</f>
        <v/>
      </c>
      <c r="G735" s="4" t="str">
        <f>IF(Jugadores!B735="","",Jugadores!A735)</f>
        <v/>
      </c>
      <c r="H735" s="4" t="str">
        <f>IF(F735="","",SUMIF('Estadísticas Jugadores'!$F$2:$F$7001,F735,'Estadísticas Jugadores'!$L$2:$L$7001))</f>
        <v/>
      </c>
      <c r="I735" s="4" t="str">
        <f t="shared" si="58"/>
        <v/>
      </c>
      <c r="J735" s="4" t="str">
        <f t="shared" si="59"/>
        <v/>
      </c>
    </row>
    <row r="736" spans="1:10" ht="15" customHeight="1" x14ac:dyDescent="0.25">
      <c r="A736" s="8" t="str">
        <f>IF(COUNT($J$2:$J$1501)&gt;=735,735,"")</f>
        <v/>
      </c>
      <c r="B736" s="8" t="str">
        <f t="shared" si="55"/>
        <v/>
      </c>
      <c r="C736" s="8" t="str">
        <f t="shared" si="56"/>
        <v/>
      </c>
      <c r="D736" s="8" t="str">
        <f t="shared" si="57"/>
        <v/>
      </c>
      <c r="F736" s="4" t="str">
        <f>IF(Jugadores!B736="","",Jugadores!B736)</f>
        <v/>
      </c>
      <c r="G736" s="4" t="str">
        <f>IF(Jugadores!B736="","",Jugadores!A736)</f>
        <v/>
      </c>
      <c r="H736" s="4" t="str">
        <f>IF(F736="","",SUMIF('Estadísticas Jugadores'!$F$2:$F$7001,F736,'Estadísticas Jugadores'!$L$2:$L$7001))</f>
        <v/>
      </c>
      <c r="I736" s="4" t="str">
        <f t="shared" si="58"/>
        <v/>
      </c>
      <c r="J736" s="4" t="str">
        <f t="shared" si="59"/>
        <v/>
      </c>
    </row>
    <row r="737" spans="1:10" ht="15" customHeight="1" x14ac:dyDescent="0.25">
      <c r="A737" s="8" t="str">
        <f>IF(COUNT($J$2:$J$1501)&gt;=736,736,"")</f>
        <v/>
      </c>
      <c r="B737" s="8" t="str">
        <f t="shared" si="55"/>
        <v/>
      </c>
      <c r="C737" s="8" t="str">
        <f t="shared" si="56"/>
        <v/>
      </c>
      <c r="D737" s="8" t="str">
        <f t="shared" si="57"/>
        <v/>
      </c>
      <c r="F737" s="4" t="str">
        <f>IF(Jugadores!B737="","",Jugadores!B737)</f>
        <v/>
      </c>
      <c r="G737" s="4" t="str">
        <f>IF(Jugadores!B737="","",Jugadores!A737)</f>
        <v/>
      </c>
      <c r="H737" s="4" t="str">
        <f>IF(F737="","",SUMIF('Estadísticas Jugadores'!$F$2:$F$7001,F737,'Estadísticas Jugadores'!$L$2:$L$7001))</f>
        <v/>
      </c>
      <c r="I737" s="4" t="str">
        <f t="shared" si="58"/>
        <v/>
      </c>
      <c r="J737" s="4" t="str">
        <f t="shared" si="59"/>
        <v/>
      </c>
    </row>
    <row r="738" spans="1:10" ht="15" customHeight="1" x14ac:dyDescent="0.25">
      <c r="A738" s="8" t="str">
        <f>IF(COUNT($J$2:$J$1501)&gt;=737,737,"")</f>
        <v/>
      </c>
      <c r="B738" s="8" t="str">
        <f t="shared" si="55"/>
        <v/>
      </c>
      <c r="C738" s="8" t="str">
        <f t="shared" si="56"/>
        <v/>
      </c>
      <c r="D738" s="8" t="str">
        <f t="shared" si="57"/>
        <v/>
      </c>
      <c r="F738" s="4" t="str">
        <f>IF(Jugadores!B738="","",Jugadores!B738)</f>
        <v/>
      </c>
      <c r="G738" s="4" t="str">
        <f>IF(Jugadores!B738="","",Jugadores!A738)</f>
        <v/>
      </c>
      <c r="H738" s="4" t="str">
        <f>IF(F738="","",SUMIF('Estadísticas Jugadores'!$F$2:$F$7001,F738,'Estadísticas Jugadores'!$L$2:$L$7001))</f>
        <v/>
      </c>
      <c r="I738" s="4" t="str">
        <f t="shared" si="58"/>
        <v/>
      </c>
      <c r="J738" s="4" t="str">
        <f t="shared" si="59"/>
        <v/>
      </c>
    </row>
    <row r="739" spans="1:10" ht="15" customHeight="1" x14ac:dyDescent="0.25">
      <c r="A739" s="8" t="str">
        <f>IF(COUNT($J$2:$J$1501)&gt;=738,738,"")</f>
        <v/>
      </c>
      <c r="B739" s="8" t="str">
        <f t="shared" si="55"/>
        <v/>
      </c>
      <c r="C739" s="8" t="str">
        <f t="shared" si="56"/>
        <v/>
      </c>
      <c r="D739" s="8" t="str">
        <f t="shared" si="57"/>
        <v/>
      </c>
      <c r="F739" s="4" t="str">
        <f>IF(Jugadores!B739="","",Jugadores!B739)</f>
        <v/>
      </c>
      <c r="G739" s="4" t="str">
        <f>IF(Jugadores!B739="","",Jugadores!A739)</f>
        <v/>
      </c>
      <c r="H739" s="4" t="str">
        <f>IF(F739="","",SUMIF('Estadísticas Jugadores'!$F$2:$F$7001,F739,'Estadísticas Jugadores'!$L$2:$L$7001))</f>
        <v/>
      </c>
      <c r="I739" s="4" t="str">
        <f t="shared" si="58"/>
        <v/>
      </c>
      <c r="J739" s="4" t="str">
        <f t="shared" si="59"/>
        <v/>
      </c>
    </row>
    <row r="740" spans="1:10" ht="15" customHeight="1" x14ac:dyDescent="0.25">
      <c r="A740" s="8" t="str">
        <f>IF(COUNT($J$2:$J$1501)&gt;=739,739,"")</f>
        <v/>
      </c>
      <c r="B740" s="8" t="str">
        <f t="shared" si="55"/>
        <v/>
      </c>
      <c r="C740" s="8" t="str">
        <f t="shared" si="56"/>
        <v/>
      </c>
      <c r="D740" s="8" t="str">
        <f t="shared" si="57"/>
        <v/>
      </c>
      <c r="F740" s="4" t="str">
        <f>IF(Jugadores!B740="","",Jugadores!B740)</f>
        <v/>
      </c>
      <c r="G740" s="4" t="str">
        <f>IF(Jugadores!B740="","",Jugadores!A740)</f>
        <v/>
      </c>
      <c r="H740" s="4" t="str">
        <f>IF(F740="","",SUMIF('Estadísticas Jugadores'!$F$2:$F$7001,F740,'Estadísticas Jugadores'!$L$2:$L$7001))</f>
        <v/>
      </c>
      <c r="I740" s="4" t="str">
        <f t="shared" si="58"/>
        <v/>
      </c>
      <c r="J740" s="4" t="str">
        <f t="shared" si="59"/>
        <v/>
      </c>
    </row>
    <row r="741" spans="1:10" ht="15" customHeight="1" x14ac:dyDescent="0.25">
      <c r="A741" s="8" t="str">
        <f>IF(COUNT($J$2:$J$1501)&gt;=740,740,"")</f>
        <v/>
      </c>
      <c r="B741" s="8" t="str">
        <f t="shared" si="55"/>
        <v/>
      </c>
      <c r="C741" s="8" t="str">
        <f t="shared" si="56"/>
        <v/>
      </c>
      <c r="D741" s="8" t="str">
        <f t="shared" si="57"/>
        <v/>
      </c>
      <c r="F741" s="4" t="str">
        <f>IF(Jugadores!B741="","",Jugadores!B741)</f>
        <v/>
      </c>
      <c r="G741" s="4" t="str">
        <f>IF(Jugadores!B741="","",Jugadores!A741)</f>
        <v/>
      </c>
      <c r="H741" s="4" t="str">
        <f>IF(F741="","",SUMIF('Estadísticas Jugadores'!$F$2:$F$7001,F741,'Estadísticas Jugadores'!$L$2:$L$7001))</f>
        <v/>
      </c>
      <c r="I741" s="4" t="str">
        <f t="shared" si="58"/>
        <v/>
      </c>
      <c r="J741" s="4" t="str">
        <f t="shared" si="59"/>
        <v/>
      </c>
    </row>
    <row r="742" spans="1:10" ht="15" customHeight="1" x14ac:dyDescent="0.25">
      <c r="A742" s="8" t="str">
        <f>IF(COUNT($J$2:$J$1501)&gt;=741,741,"")</f>
        <v/>
      </c>
      <c r="B742" s="8" t="str">
        <f t="shared" si="55"/>
        <v/>
      </c>
      <c r="C742" s="8" t="str">
        <f t="shared" si="56"/>
        <v/>
      </c>
      <c r="D742" s="8" t="str">
        <f t="shared" si="57"/>
        <v/>
      </c>
      <c r="F742" s="4" t="str">
        <f>IF(Jugadores!B742="","",Jugadores!B742)</f>
        <v/>
      </c>
      <c r="G742" s="4" t="str">
        <f>IF(Jugadores!B742="","",Jugadores!A742)</f>
        <v/>
      </c>
      <c r="H742" s="4" t="str">
        <f>IF(F742="","",SUMIF('Estadísticas Jugadores'!$F$2:$F$7001,F742,'Estadísticas Jugadores'!$L$2:$L$7001))</f>
        <v/>
      </c>
      <c r="I742" s="4" t="str">
        <f t="shared" si="58"/>
        <v/>
      </c>
      <c r="J742" s="4" t="str">
        <f t="shared" si="59"/>
        <v/>
      </c>
    </row>
    <row r="743" spans="1:10" ht="15" customHeight="1" x14ac:dyDescent="0.25">
      <c r="A743" s="8" t="str">
        <f>IF(COUNT($J$2:$J$1501)&gt;=742,742,"")</f>
        <v/>
      </c>
      <c r="B743" s="8" t="str">
        <f t="shared" si="55"/>
        <v/>
      </c>
      <c r="C743" s="8" t="str">
        <f t="shared" si="56"/>
        <v/>
      </c>
      <c r="D743" s="8" t="str">
        <f t="shared" si="57"/>
        <v/>
      </c>
      <c r="F743" s="4" t="str">
        <f>IF(Jugadores!B743="","",Jugadores!B743)</f>
        <v/>
      </c>
      <c r="G743" s="4" t="str">
        <f>IF(Jugadores!B743="","",Jugadores!A743)</f>
        <v/>
      </c>
      <c r="H743" s="4" t="str">
        <f>IF(F743="","",SUMIF('Estadísticas Jugadores'!$F$2:$F$7001,F743,'Estadísticas Jugadores'!$L$2:$L$7001))</f>
        <v/>
      </c>
      <c r="I743" s="4" t="str">
        <f t="shared" si="58"/>
        <v/>
      </c>
      <c r="J743" s="4" t="str">
        <f t="shared" si="59"/>
        <v/>
      </c>
    </row>
    <row r="744" spans="1:10" ht="15" customHeight="1" x14ac:dyDescent="0.25">
      <c r="A744" s="8" t="str">
        <f>IF(COUNT($J$2:$J$1501)&gt;=743,743,"")</f>
        <v/>
      </c>
      <c r="B744" s="8" t="str">
        <f t="shared" si="55"/>
        <v/>
      </c>
      <c r="C744" s="8" t="str">
        <f t="shared" si="56"/>
        <v/>
      </c>
      <c r="D744" s="8" t="str">
        <f t="shared" si="57"/>
        <v/>
      </c>
      <c r="F744" s="4" t="str">
        <f>IF(Jugadores!B744="","",Jugadores!B744)</f>
        <v/>
      </c>
      <c r="G744" s="4" t="str">
        <f>IF(Jugadores!B744="","",Jugadores!A744)</f>
        <v/>
      </c>
      <c r="H744" s="4" t="str">
        <f>IF(F744="","",SUMIF('Estadísticas Jugadores'!$F$2:$F$7001,F744,'Estadísticas Jugadores'!$L$2:$L$7001))</f>
        <v/>
      </c>
      <c r="I744" s="4" t="str">
        <f t="shared" si="58"/>
        <v/>
      </c>
      <c r="J744" s="4" t="str">
        <f t="shared" si="59"/>
        <v/>
      </c>
    </row>
    <row r="745" spans="1:10" ht="15" customHeight="1" x14ac:dyDescent="0.25">
      <c r="A745" s="8" t="str">
        <f>IF(COUNT($J$2:$J$1501)&gt;=744,744,"")</f>
        <v/>
      </c>
      <c r="B745" s="8" t="str">
        <f t="shared" si="55"/>
        <v/>
      </c>
      <c r="C745" s="8" t="str">
        <f t="shared" si="56"/>
        <v/>
      </c>
      <c r="D745" s="8" t="str">
        <f t="shared" si="57"/>
        <v/>
      </c>
      <c r="F745" s="4" t="str">
        <f>IF(Jugadores!B745="","",Jugadores!B745)</f>
        <v/>
      </c>
      <c r="G745" s="4" t="str">
        <f>IF(Jugadores!B745="","",Jugadores!A745)</f>
        <v/>
      </c>
      <c r="H745" s="4" t="str">
        <f>IF(F745="","",SUMIF('Estadísticas Jugadores'!$F$2:$F$7001,F745,'Estadísticas Jugadores'!$L$2:$L$7001))</f>
        <v/>
      </c>
      <c r="I745" s="4" t="str">
        <f t="shared" si="58"/>
        <v/>
      </c>
      <c r="J745" s="4" t="str">
        <f t="shared" si="59"/>
        <v/>
      </c>
    </row>
    <row r="746" spans="1:10" ht="15" customHeight="1" x14ac:dyDescent="0.25">
      <c r="A746" s="8" t="str">
        <f>IF(COUNT($J$2:$J$1501)&gt;=745,745,"")</f>
        <v/>
      </c>
      <c r="B746" s="8" t="str">
        <f t="shared" si="55"/>
        <v/>
      </c>
      <c r="C746" s="8" t="str">
        <f t="shared" si="56"/>
        <v/>
      </c>
      <c r="D746" s="8" t="str">
        <f t="shared" si="57"/>
        <v/>
      </c>
      <c r="F746" s="4" t="str">
        <f>IF(Jugadores!B746="","",Jugadores!B746)</f>
        <v/>
      </c>
      <c r="G746" s="4" t="str">
        <f>IF(Jugadores!B746="","",Jugadores!A746)</f>
        <v/>
      </c>
      <c r="H746" s="4" t="str">
        <f>IF(F746="","",SUMIF('Estadísticas Jugadores'!$F$2:$F$7001,F746,'Estadísticas Jugadores'!$L$2:$L$7001))</f>
        <v/>
      </c>
      <c r="I746" s="4" t="str">
        <f t="shared" si="58"/>
        <v/>
      </c>
      <c r="J746" s="4" t="str">
        <f t="shared" si="59"/>
        <v/>
      </c>
    </row>
    <row r="747" spans="1:10" ht="15" customHeight="1" x14ac:dyDescent="0.25">
      <c r="A747" s="8" t="str">
        <f>IF(COUNT($J$2:$J$1501)&gt;=746,746,"")</f>
        <v/>
      </c>
      <c r="B747" s="8" t="str">
        <f t="shared" si="55"/>
        <v/>
      </c>
      <c r="C747" s="8" t="str">
        <f t="shared" si="56"/>
        <v/>
      </c>
      <c r="D747" s="8" t="str">
        <f t="shared" si="57"/>
        <v/>
      </c>
      <c r="F747" s="4" t="str">
        <f>IF(Jugadores!B747="","",Jugadores!B747)</f>
        <v/>
      </c>
      <c r="G747" s="4" t="str">
        <f>IF(Jugadores!B747="","",Jugadores!A747)</f>
        <v/>
      </c>
      <c r="H747" s="4" t="str">
        <f>IF(F747="","",SUMIF('Estadísticas Jugadores'!$F$2:$F$7001,F747,'Estadísticas Jugadores'!$L$2:$L$7001))</f>
        <v/>
      </c>
      <c r="I747" s="4" t="str">
        <f t="shared" si="58"/>
        <v/>
      </c>
      <c r="J747" s="4" t="str">
        <f t="shared" si="59"/>
        <v/>
      </c>
    </row>
    <row r="748" spans="1:10" ht="15" customHeight="1" x14ac:dyDescent="0.25">
      <c r="A748" s="8" t="str">
        <f>IF(COUNT($J$2:$J$1501)&gt;=747,747,"")</f>
        <v/>
      </c>
      <c r="B748" s="8" t="str">
        <f t="shared" si="55"/>
        <v/>
      </c>
      <c r="C748" s="8" t="str">
        <f t="shared" si="56"/>
        <v/>
      </c>
      <c r="D748" s="8" t="str">
        <f t="shared" si="57"/>
        <v/>
      </c>
      <c r="F748" s="4" t="str">
        <f>IF(Jugadores!B748="","",Jugadores!B748)</f>
        <v/>
      </c>
      <c r="G748" s="4" t="str">
        <f>IF(Jugadores!B748="","",Jugadores!A748)</f>
        <v/>
      </c>
      <c r="H748" s="4" t="str">
        <f>IF(F748="","",SUMIF('Estadísticas Jugadores'!$F$2:$F$7001,F748,'Estadísticas Jugadores'!$L$2:$L$7001))</f>
        <v/>
      </c>
      <c r="I748" s="4" t="str">
        <f t="shared" si="58"/>
        <v/>
      </c>
      <c r="J748" s="4" t="str">
        <f t="shared" si="59"/>
        <v/>
      </c>
    </row>
    <row r="749" spans="1:10" ht="15" customHeight="1" x14ac:dyDescent="0.25">
      <c r="A749" s="8" t="str">
        <f>IF(COUNT($J$2:$J$1501)&gt;=748,748,"")</f>
        <v/>
      </c>
      <c r="B749" s="8" t="str">
        <f t="shared" si="55"/>
        <v/>
      </c>
      <c r="C749" s="8" t="str">
        <f t="shared" si="56"/>
        <v/>
      </c>
      <c r="D749" s="8" t="str">
        <f t="shared" si="57"/>
        <v/>
      </c>
      <c r="F749" s="4" t="str">
        <f>IF(Jugadores!B749="","",Jugadores!B749)</f>
        <v/>
      </c>
      <c r="G749" s="4" t="str">
        <f>IF(Jugadores!B749="","",Jugadores!A749)</f>
        <v/>
      </c>
      <c r="H749" s="4" t="str">
        <f>IF(F749="","",SUMIF('Estadísticas Jugadores'!$F$2:$F$7001,F749,'Estadísticas Jugadores'!$L$2:$L$7001))</f>
        <v/>
      </c>
      <c r="I749" s="4" t="str">
        <f t="shared" si="58"/>
        <v/>
      </c>
      <c r="J749" s="4" t="str">
        <f t="shared" si="59"/>
        <v/>
      </c>
    </row>
    <row r="750" spans="1:10" ht="15" customHeight="1" x14ac:dyDescent="0.25">
      <c r="A750" s="8" t="str">
        <f>IF(COUNT($J$2:$J$1501)&gt;=749,749,"")</f>
        <v/>
      </c>
      <c r="B750" s="8" t="str">
        <f t="shared" si="55"/>
        <v/>
      </c>
      <c r="C750" s="8" t="str">
        <f t="shared" si="56"/>
        <v/>
      </c>
      <c r="D750" s="8" t="str">
        <f t="shared" si="57"/>
        <v/>
      </c>
      <c r="F750" s="4" t="str">
        <f>IF(Jugadores!B750="","",Jugadores!B750)</f>
        <v/>
      </c>
      <c r="G750" s="4" t="str">
        <f>IF(Jugadores!B750="","",Jugadores!A750)</f>
        <v/>
      </c>
      <c r="H750" s="4" t="str">
        <f>IF(F750="","",SUMIF('Estadísticas Jugadores'!$F$2:$F$7001,F750,'Estadísticas Jugadores'!$L$2:$L$7001))</f>
        <v/>
      </c>
      <c r="I750" s="4" t="str">
        <f t="shared" si="58"/>
        <v/>
      </c>
      <c r="J750" s="4" t="str">
        <f t="shared" si="59"/>
        <v/>
      </c>
    </row>
    <row r="751" spans="1:10" ht="15" customHeight="1" x14ac:dyDescent="0.25">
      <c r="A751" s="8" t="str">
        <f>IF(COUNT($J$2:$J$1501)&gt;=750,750,"")</f>
        <v/>
      </c>
      <c r="B751" s="8" t="str">
        <f t="shared" si="55"/>
        <v/>
      </c>
      <c r="C751" s="8" t="str">
        <f t="shared" si="56"/>
        <v/>
      </c>
      <c r="D751" s="8" t="str">
        <f t="shared" si="57"/>
        <v/>
      </c>
      <c r="F751" s="4" t="str">
        <f>IF(Jugadores!B751="","",Jugadores!B751)</f>
        <v/>
      </c>
      <c r="G751" s="4" t="str">
        <f>IF(Jugadores!B751="","",Jugadores!A751)</f>
        <v/>
      </c>
      <c r="H751" s="4" t="str">
        <f>IF(F751="","",SUMIF('Estadísticas Jugadores'!$F$2:$F$7001,F751,'Estadísticas Jugadores'!$L$2:$L$7001))</f>
        <v/>
      </c>
      <c r="I751" s="4" t="str">
        <f t="shared" si="58"/>
        <v/>
      </c>
      <c r="J751" s="4" t="str">
        <f t="shared" si="59"/>
        <v/>
      </c>
    </row>
    <row r="752" spans="1:10" ht="15" customHeight="1" x14ac:dyDescent="0.25">
      <c r="A752" s="8" t="str">
        <f>IF(COUNT($J$2:$J$1501)&gt;=751,751,"")</f>
        <v/>
      </c>
      <c r="B752" s="8" t="str">
        <f t="shared" si="55"/>
        <v/>
      </c>
      <c r="C752" s="8" t="str">
        <f t="shared" si="56"/>
        <v/>
      </c>
      <c r="D752" s="8" t="str">
        <f t="shared" si="57"/>
        <v/>
      </c>
      <c r="F752" s="4" t="str">
        <f>IF(Jugadores!B752="","",Jugadores!B752)</f>
        <v/>
      </c>
      <c r="G752" s="4" t="str">
        <f>IF(Jugadores!B752="","",Jugadores!A752)</f>
        <v/>
      </c>
      <c r="H752" s="4" t="str">
        <f>IF(F752="","",SUMIF('Estadísticas Jugadores'!$F$2:$F$7001,F752,'Estadísticas Jugadores'!$L$2:$L$7001))</f>
        <v/>
      </c>
      <c r="I752" s="4" t="str">
        <f t="shared" si="58"/>
        <v/>
      </c>
      <c r="J752" s="4" t="str">
        <f t="shared" si="59"/>
        <v/>
      </c>
    </row>
    <row r="753" spans="1:10" ht="15" customHeight="1" x14ac:dyDescent="0.25">
      <c r="A753" s="8" t="str">
        <f>IF(COUNT($J$2:$J$1501)&gt;=752,752,"")</f>
        <v/>
      </c>
      <c r="B753" s="8" t="str">
        <f t="shared" si="55"/>
        <v/>
      </c>
      <c r="C753" s="8" t="str">
        <f t="shared" si="56"/>
        <v/>
      </c>
      <c r="D753" s="8" t="str">
        <f t="shared" si="57"/>
        <v/>
      </c>
      <c r="F753" s="4" t="str">
        <f>IF(Jugadores!B753="","",Jugadores!B753)</f>
        <v/>
      </c>
      <c r="G753" s="4" t="str">
        <f>IF(Jugadores!B753="","",Jugadores!A753)</f>
        <v/>
      </c>
      <c r="H753" s="4" t="str">
        <f>IF(F753="","",SUMIF('Estadísticas Jugadores'!$F$2:$F$7001,F753,'Estadísticas Jugadores'!$L$2:$L$7001))</f>
        <v/>
      </c>
      <c r="I753" s="4" t="str">
        <f t="shared" si="58"/>
        <v/>
      </c>
      <c r="J753" s="4" t="str">
        <f t="shared" si="59"/>
        <v/>
      </c>
    </row>
    <row r="754" spans="1:10" ht="15" customHeight="1" x14ac:dyDescent="0.25">
      <c r="A754" s="8" t="str">
        <f>IF(COUNT($J$2:$J$1501)&gt;=753,753,"")</f>
        <v/>
      </c>
      <c r="B754" s="8" t="str">
        <f t="shared" si="55"/>
        <v/>
      </c>
      <c r="C754" s="8" t="str">
        <f t="shared" si="56"/>
        <v/>
      </c>
      <c r="D754" s="8" t="str">
        <f t="shared" si="57"/>
        <v/>
      </c>
      <c r="F754" s="4" t="str">
        <f>IF(Jugadores!B754="","",Jugadores!B754)</f>
        <v/>
      </c>
      <c r="G754" s="4" t="str">
        <f>IF(Jugadores!B754="","",Jugadores!A754)</f>
        <v/>
      </c>
      <c r="H754" s="4" t="str">
        <f>IF(F754="","",SUMIF('Estadísticas Jugadores'!$F$2:$F$7001,F754,'Estadísticas Jugadores'!$L$2:$L$7001))</f>
        <v/>
      </c>
      <c r="I754" s="4" t="str">
        <f t="shared" si="58"/>
        <v/>
      </c>
      <c r="J754" s="4" t="str">
        <f t="shared" si="59"/>
        <v/>
      </c>
    </row>
    <row r="755" spans="1:10" ht="15" customHeight="1" x14ac:dyDescent="0.25">
      <c r="A755" s="8" t="str">
        <f>IF(COUNT($J$2:$J$1501)&gt;=754,754,"")</f>
        <v/>
      </c>
      <c r="B755" s="8" t="str">
        <f t="shared" si="55"/>
        <v/>
      </c>
      <c r="C755" s="8" t="str">
        <f t="shared" si="56"/>
        <v/>
      </c>
      <c r="D755" s="8" t="str">
        <f t="shared" si="57"/>
        <v/>
      </c>
      <c r="F755" s="4" t="str">
        <f>IF(Jugadores!B755="","",Jugadores!B755)</f>
        <v/>
      </c>
      <c r="G755" s="4" t="str">
        <f>IF(Jugadores!B755="","",Jugadores!A755)</f>
        <v/>
      </c>
      <c r="H755" s="4" t="str">
        <f>IF(F755="","",SUMIF('Estadísticas Jugadores'!$F$2:$F$7001,F755,'Estadísticas Jugadores'!$L$2:$L$7001))</f>
        <v/>
      </c>
      <c r="I755" s="4" t="str">
        <f t="shared" si="58"/>
        <v/>
      </c>
      <c r="J755" s="4" t="str">
        <f t="shared" si="59"/>
        <v/>
      </c>
    </row>
    <row r="756" spans="1:10" ht="15" customHeight="1" x14ac:dyDescent="0.25">
      <c r="A756" s="8" t="str">
        <f>IF(COUNT($J$2:$J$1501)&gt;=755,755,"")</f>
        <v/>
      </c>
      <c r="B756" s="8" t="str">
        <f t="shared" si="55"/>
        <v/>
      </c>
      <c r="C756" s="8" t="str">
        <f t="shared" si="56"/>
        <v/>
      </c>
      <c r="D756" s="8" t="str">
        <f t="shared" si="57"/>
        <v/>
      </c>
      <c r="F756" s="4" t="str">
        <f>IF(Jugadores!B756="","",Jugadores!B756)</f>
        <v/>
      </c>
      <c r="G756" s="4" t="str">
        <f>IF(Jugadores!B756="","",Jugadores!A756)</f>
        <v/>
      </c>
      <c r="H756" s="4" t="str">
        <f>IF(F756="","",SUMIF('Estadísticas Jugadores'!$F$2:$F$7001,F756,'Estadísticas Jugadores'!$L$2:$L$7001))</f>
        <v/>
      </c>
      <c r="I756" s="4" t="str">
        <f t="shared" si="58"/>
        <v/>
      </c>
      <c r="J756" s="4" t="str">
        <f t="shared" si="59"/>
        <v/>
      </c>
    </row>
    <row r="757" spans="1:10" ht="15" customHeight="1" x14ac:dyDescent="0.25">
      <c r="A757" s="8" t="str">
        <f>IF(COUNT($J$2:$J$1501)&gt;=756,756,"")</f>
        <v/>
      </c>
      <c r="B757" s="8" t="str">
        <f t="shared" si="55"/>
        <v/>
      </c>
      <c r="C757" s="8" t="str">
        <f t="shared" si="56"/>
        <v/>
      </c>
      <c r="D757" s="8" t="str">
        <f t="shared" si="57"/>
        <v/>
      </c>
      <c r="F757" s="4" t="str">
        <f>IF(Jugadores!B757="","",Jugadores!B757)</f>
        <v/>
      </c>
      <c r="G757" s="4" t="str">
        <f>IF(Jugadores!B757="","",Jugadores!A757)</f>
        <v/>
      </c>
      <c r="H757" s="4" t="str">
        <f>IF(F757="","",SUMIF('Estadísticas Jugadores'!$F$2:$F$7001,F757,'Estadísticas Jugadores'!$L$2:$L$7001))</f>
        <v/>
      </c>
      <c r="I757" s="4" t="str">
        <f t="shared" si="58"/>
        <v/>
      </c>
      <c r="J757" s="4" t="str">
        <f t="shared" si="59"/>
        <v/>
      </c>
    </row>
    <row r="758" spans="1:10" ht="15" customHeight="1" x14ac:dyDescent="0.25">
      <c r="A758" s="8" t="str">
        <f>IF(COUNT($J$2:$J$1501)&gt;=757,757,"")</f>
        <v/>
      </c>
      <c r="B758" s="8" t="str">
        <f t="shared" si="55"/>
        <v/>
      </c>
      <c r="C758" s="8" t="str">
        <f t="shared" si="56"/>
        <v/>
      </c>
      <c r="D758" s="8" t="str">
        <f t="shared" si="57"/>
        <v/>
      </c>
      <c r="F758" s="4" t="str">
        <f>IF(Jugadores!B758="","",Jugadores!B758)</f>
        <v/>
      </c>
      <c r="G758" s="4" t="str">
        <f>IF(Jugadores!B758="","",Jugadores!A758)</f>
        <v/>
      </c>
      <c r="H758" s="4" t="str">
        <f>IF(F758="","",SUMIF('Estadísticas Jugadores'!$F$2:$F$7001,F758,'Estadísticas Jugadores'!$L$2:$L$7001))</f>
        <v/>
      </c>
      <c r="I758" s="4" t="str">
        <f t="shared" si="58"/>
        <v/>
      </c>
      <c r="J758" s="4" t="str">
        <f t="shared" si="59"/>
        <v/>
      </c>
    </row>
    <row r="759" spans="1:10" ht="15" customHeight="1" x14ac:dyDescent="0.25">
      <c r="A759" s="8" t="str">
        <f>IF(COUNT($J$2:$J$1501)&gt;=758,758,"")</f>
        <v/>
      </c>
      <c r="B759" s="8" t="str">
        <f t="shared" si="55"/>
        <v/>
      </c>
      <c r="C759" s="8" t="str">
        <f t="shared" si="56"/>
        <v/>
      </c>
      <c r="D759" s="8" t="str">
        <f t="shared" si="57"/>
        <v/>
      </c>
      <c r="F759" s="4" t="str">
        <f>IF(Jugadores!B759="","",Jugadores!B759)</f>
        <v/>
      </c>
      <c r="G759" s="4" t="str">
        <f>IF(Jugadores!B759="","",Jugadores!A759)</f>
        <v/>
      </c>
      <c r="H759" s="4" t="str">
        <f>IF(F759="","",SUMIF('Estadísticas Jugadores'!$F$2:$F$7001,F759,'Estadísticas Jugadores'!$L$2:$L$7001))</f>
        <v/>
      </c>
      <c r="I759" s="4" t="str">
        <f t="shared" si="58"/>
        <v/>
      </c>
      <c r="J759" s="4" t="str">
        <f t="shared" si="59"/>
        <v/>
      </c>
    </row>
    <row r="760" spans="1:10" ht="15" customHeight="1" x14ac:dyDescent="0.25">
      <c r="A760" s="8" t="str">
        <f>IF(COUNT($J$2:$J$1501)&gt;=759,759,"")</f>
        <v/>
      </c>
      <c r="B760" s="8" t="str">
        <f t="shared" si="55"/>
        <v/>
      </c>
      <c r="C760" s="8" t="str">
        <f t="shared" si="56"/>
        <v/>
      </c>
      <c r="D760" s="8" t="str">
        <f t="shared" si="57"/>
        <v/>
      </c>
      <c r="F760" s="4" t="str">
        <f>IF(Jugadores!B760="","",Jugadores!B760)</f>
        <v/>
      </c>
      <c r="G760" s="4" t="str">
        <f>IF(Jugadores!B760="","",Jugadores!A760)</f>
        <v/>
      </c>
      <c r="H760" s="4" t="str">
        <f>IF(F760="","",SUMIF('Estadísticas Jugadores'!$F$2:$F$7001,F760,'Estadísticas Jugadores'!$L$2:$L$7001))</f>
        <v/>
      </c>
      <c r="I760" s="4" t="str">
        <f t="shared" si="58"/>
        <v/>
      </c>
      <c r="J760" s="4" t="str">
        <f t="shared" si="59"/>
        <v/>
      </c>
    </row>
    <row r="761" spans="1:10" ht="15" customHeight="1" x14ac:dyDescent="0.25">
      <c r="A761" s="8" t="str">
        <f>IF(COUNT($J$2:$J$1501)&gt;=760,760,"")</f>
        <v/>
      </c>
      <c r="B761" s="8" t="str">
        <f t="shared" si="55"/>
        <v/>
      </c>
      <c r="C761" s="8" t="str">
        <f t="shared" si="56"/>
        <v/>
      </c>
      <c r="D761" s="8" t="str">
        <f t="shared" si="57"/>
        <v/>
      </c>
      <c r="F761" s="4" t="str">
        <f>IF(Jugadores!B761="","",Jugadores!B761)</f>
        <v/>
      </c>
      <c r="G761" s="4" t="str">
        <f>IF(Jugadores!B761="","",Jugadores!A761)</f>
        <v/>
      </c>
      <c r="H761" s="4" t="str">
        <f>IF(F761="","",SUMIF('Estadísticas Jugadores'!$F$2:$F$7001,F761,'Estadísticas Jugadores'!$L$2:$L$7001))</f>
        <v/>
      </c>
      <c r="I761" s="4" t="str">
        <f t="shared" si="58"/>
        <v/>
      </c>
      <c r="J761" s="4" t="str">
        <f t="shared" si="59"/>
        <v/>
      </c>
    </row>
    <row r="762" spans="1:10" ht="15" customHeight="1" x14ac:dyDescent="0.25">
      <c r="A762" s="8" t="str">
        <f>IF(COUNT($J$2:$J$1501)&gt;=761,761,"")</f>
        <v/>
      </c>
      <c r="B762" s="8" t="str">
        <f t="shared" si="55"/>
        <v/>
      </c>
      <c r="C762" s="8" t="str">
        <f t="shared" si="56"/>
        <v/>
      </c>
      <c r="D762" s="8" t="str">
        <f t="shared" si="57"/>
        <v/>
      </c>
      <c r="F762" s="4" t="str">
        <f>IF(Jugadores!B762="","",Jugadores!B762)</f>
        <v/>
      </c>
      <c r="G762" s="4" t="str">
        <f>IF(Jugadores!B762="","",Jugadores!A762)</f>
        <v/>
      </c>
      <c r="H762" s="4" t="str">
        <f>IF(F762="","",SUMIF('Estadísticas Jugadores'!$F$2:$F$7001,F762,'Estadísticas Jugadores'!$L$2:$L$7001))</f>
        <v/>
      </c>
      <c r="I762" s="4" t="str">
        <f t="shared" si="58"/>
        <v/>
      </c>
      <c r="J762" s="4" t="str">
        <f t="shared" si="59"/>
        <v/>
      </c>
    </row>
    <row r="763" spans="1:10" ht="15" customHeight="1" x14ac:dyDescent="0.25">
      <c r="A763" s="8" t="str">
        <f>IF(COUNT($J$2:$J$1501)&gt;=762,762,"")</f>
        <v/>
      </c>
      <c r="B763" s="8" t="str">
        <f t="shared" si="55"/>
        <v/>
      </c>
      <c r="C763" s="8" t="str">
        <f t="shared" si="56"/>
        <v/>
      </c>
      <c r="D763" s="8" t="str">
        <f t="shared" si="57"/>
        <v/>
      </c>
      <c r="F763" s="4" t="str">
        <f>IF(Jugadores!B763="","",Jugadores!B763)</f>
        <v/>
      </c>
      <c r="G763" s="4" t="str">
        <f>IF(Jugadores!B763="","",Jugadores!A763)</f>
        <v/>
      </c>
      <c r="H763" s="4" t="str">
        <f>IF(F763="","",SUMIF('Estadísticas Jugadores'!$F$2:$F$7001,F763,'Estadísticas Jugadores'!$L$2:$L$7001))</f>
        <v/>
      </c>
      <c r="I763" s="4" t="str">
        <f t="shared" si="58"/>
        <v/>
      </c>
      <c r="J763" s="4" t="str">
        <f t="shared" si="59"/>
        <v/>
      </c>
    </row>
    <row r="764" spans="1:10" ht="15" customHeight="1" x14ac:dyDescent="0.25">
      <c r="A764" s="8" t="str">
        <f>IF(COUNT($J$2:$J$1501)&gt;=763,763,"")</f>
        <v/>
      </c>
      <c r="B764" s="8" t="str">
        <f t="shared" si="55"/>
        <v/>
      </c>
      <c r="C764" s="8" t="str">
        <f t="shared" si="56"/>
        <v/>
      </c>
      <c r="D764" s="8" t="str">
        <f t="shared" si="57"/>
        <v/>
      </c>
      <c r="F764" s="4" t="str">
        <f>IF(Jugadores!B764="","",Jugadores!B764)</f>
        <v/>
      </c>
      <c r="G764" s="4" t="str">
        <f>IF(Jugadores!B764="","",Jugadores!A764)</f>
        <v/>
      </c>
      <c r="H764" s="4" t="str">
        <f>IF(F764="","",SUMIF('Estadísticas Jugadores'!$F$2:$F$7001,F764,'Estadísticas Jugadores'!$L$2:$L$7001))</f>
        <v/>
      </c>
      <c r="I764" s="4" t="str">
        <f t="shared" si="58"/>
        <v/>
      </c>
      <c r="J764" s="4" t="str">
        <f t="shared" si="59"/>
        <v/>
      </c>
    </row>
    <row r="765" spans="1:10" ht="15" customHeight="1" x14ac:dyDescent="0.25">
      <c r="A765" s="8" t="str">
        <f>IF(COUNT($J$2:$J$1501)&gt;=764,764,"")</f>
        <v/>
      </c>
      <c r="B765" s="8" t="str">
        <f t="shared" si="55"/>
        <v/>
      </c>
      <c r="C765" s="8" t="str">
        <f t="shared" si="56"/>
        <v/>
      </c>
      <c r="D765" s="8" t="str">
        <f t="shared" si="57"/>
        <v/>
      </c>
      <c r="F765" s="4" t="str">
        <f>IF(Jugadores!B765="","",Jugadores!B765)</f>
        <v/>
      </c>
      <c r="G765" s="4" t="str">
        <f>IF(Jugadores!B765="","",Jugadores!A765)</f>
        <v/>
      </c>
      <c r="H765" s="4" t="str">
        <f>IF(F765="","",SUMIF('Estadísticas Jugadores'!$F$2:$F$7001,F765,'Estadísticas Jugadores'!$L$2:$L$7001))</f>
        <v/>
      </c>
      <c r="I765" s="4" t="str">
        <f t="shared" si="58"/>
        <v/>
      </c>
      <c r="J765" s="4" t="str">
        <f t="shared" si="59"/>
        <v/>
      </c>
    </row>
    <row r="766" spans="1:10" ht="15" customHeight="1" x14ac:dyDescent="0.25">
      <c r="A766" s="8" t="str">
        <f>IF(COUNT($J$2:$J$1501)&gt;=765,765,"")</f>
        <v/>
      </c>
      <c r="B766" s="8" t="str">
        <f t="shared" si="55"/>
        <v/>
      </c>
      <c r="C766" s="8" t="str">
        <f t="shared" si="56"/>
        <v/>
      </c>
      <c r="D766" s="8" t="str">
        <f t="shared" si="57"/>
        <v/>
      </c>
      <c r="F766" s="4" t="str">
        <f>IF(Jugadores!B766="","",Jugadores!B766)</f>
        <v/>
      </c>
      <c r="G766" s="4" t="str">
        <f>IF(Jugadores!B766="","",Jugadores!A766)</f>
        <v/>
      </c>
      <c r="H766" s="4" t="str">
        <f>IF(F766="","",SUMIF('Estadísticas Jugadores'!$F$2:$F$7001,F766,'Estadísticas Jugadores'!$L$2:$L$7001))</f>
        <v/>
      </c>
      <c r="I766" s="4" t="str">
        <f t="shared" si="58"/>
        <v/>
      </c>
      <c r="J766" s="4" t="str">
        <f t="shared" si="59"/>
        <v/>
      </c>
    </row>
    <row r="767" spans="1:10" ht="15" customHeight="1" x14ac:dyDescent="0.25">
      <c r="A767" s="8" t="str">
        <f>IF(COUNT($J$2:$J$1501)&gt;=766,766,"")</f>
        <v/>
      </c>
      <c r="B767" s="8" t="str">
        <f t="shared" si="55"/>
        <v/>
      </c>
      <c r="C767" s="8" t="str">
        <f t="shared" si="56"/>
        <v/>
      </c>
      <c r="D767" s="8" t="str">
        <f t="shared" si="57"/>
        <v/>
      </c>
      <c r="F767" s="4" t="str">
        <f>IF(Jugadores!B767="","",Jugadores!B767)</f>
        <v/>
      </c>
      <c r="G767" s="4" t="str">
        <f>IF(Jugadores!B767="","",Jugadores!A767)</f>
        <v/>
      </c>
      <c r="H767" s="4" t="str">
        <f>IF(F767="","",SUMIF('Estadísticas Jugadores'!$F$2:$F$7001,F767,'Estadísticas Jugadores'!$L$2:$L$7001))</f>
        <v/>
      </c>
      <c r="I767" s="4" t="str">
        <f t="shared" si="58"/>
        <v/>
      </c>
      <c r="J767" s="4" t="str">
        <f t="shared" si="59"/>
        <v/>
      </c>
    </row>
    <row r="768" spans="1:10" ht="15" customHeight="1" x14ac:dyDescent="0.25">
      <c r="A768" s="8" t="str">
        <f>IF(COUNT($J$2:$J$1501)&gt;=767,767,"")</f>
        <v/>
      </c>
      <c r="B768" s="8" t="str">
        <f t="shared" si="55"/>
        <v/>
      </c>
      <c r="C768" s="8" t="str">
        <f t="shared" si="56"/>
        <v/>
      </c>
      <c r="D768" s="8" t="str">
        <f t="shared" si="57"/>
        <v/>
      </c>
      <c r="F768" s="4" t="str">
        <f>IF(Jugadores!B768="","",Jugadores!B768)</f>
        <v/>
      </c>
      <c r="G768" s="4" t="str">
        <f>IF(Jugadores!B768="","",Jugadores!A768)</f>
        <v/>
      </c>
      <c r="H768" s="4" t="str">
        <f>IF(F768="","",SUMIF('Estadísticas Jugadores'!$F$2:$F$7001,F768,'Estadísticas Jugadores'!$L$2:$L$7001))</f>
        <v/>
      </c>
      <c r="I768" s="4" t="str">
        <f t="shared" si="58"/>
        <v/>
      </c>
      <c r="J768" s="4" t="str">
        <f t="shared" si="59"/>
        <v/>
      </c>
    </row>
    <row r="769" spans="1:10" ht="15" customHeight="1" x14ac:dyDescent="0.25">
      <c r="A769" s="8" t="str">
        <f>IF(COUNT($J$2:$J$1501)&gt;=768,768,"")</f>
        <v/>
      </c>
      <c r="B769" s="8" t="str">
        <f t="shared" si="55"/>
        <v/>
      </c>
      <c r="C769" s="8" t="str">
        <f t="shared" si="56"/>
        <v/>
      </c>
      <c r="D769" s="8" t="str">
        <f t="shared" si="57"/>
        <v/>
      </c>
      <c r="F769" s="4" t="str">
        <f>IF(Jugadores!B769="","",Jugadores!B769)</f>
        <v/>
      </c>
      <c r="G769" s="4" t="str">
        <f>IF(Jugadores!B769="","",Jugadores!A769)</f>
        <v/>
      </c>
      <c r="H769" s="4" t="str">
        <f>IF(F769="","",SUMIF('Estadísticas Jugadores'!$F$2:$F$7001,F769,'Estadísticas Jugadores'!$L$2:$L$7001))</f>
        <v/>
      </c>
      <c r="I769" s="4" t="str">
        <f t="shared" si="58"/>
        <v/>
      </c>
      <c r="J769" s="4" t="str">
        <f t="shared" si="59"/>
        <v/>
      </c>
    </row>
    <row r="770" spans="1:10" ht="15" customHeight="1" x14ac:dyDescent="0.25">
      <c r="A770" s="8" t="str">
        <f>IF(COUNT($J$2:$J$1501)&gt;=769,769,"")</f>
        <v/>
      </c>
      <c r="B770" s="8" t="str">
        <f t="shared" ref="B770:B833" si="60">IF($A770="","",INDEX($F$2:$F$1501,MATCH($A770,$J$2:$J$1501,0)))</f>
        <v/>
      </c>
      <c r="C770" s="8" t="str">
        <f t="shared" ref="C770:C833" si="61">IF($A770="","",INDEX($G$2:$G$1501,MATCH($A770,$J$2:$J$1501,0)))</f>
        <v/>
      </c>
      <c r="D770" s="8" t="str">
        <f t="shared" ref="D770:D833" si="62">IF($A770="","",INDEX($H$2:$H$1501,MATCH($A770,$J$2:$J$1501,0)))</f>
        <v/>
      </c>
      <c r="F770" s="4" t="str">
        <f>IF(Jugadores!B770="","",Jugadores!B770)</f>
        <v/>
      </c>
      <c r="G770" s="4" t="str">
        <f>IF(Jugadores!B770="","",Jugadores!A770)</f>
        <v/>
      </c>
      <c r="H770" s="4" t="str">
        <f>IF(F770="","",SUMIF('Estadísticas Jugadores'!$F$2:$F$7001,F770,'Estadísticas Jugadores'!$L$2:$L$7001))</f>
        <v/>
      </c>
      <c r="I770" s="4" t="str">
        <f t="shared" ref="I770:I833" si="63">IF(F770="","",H770*1000-ROW()*0.0000001)</f>
        <v/>
      </c>
      <c r="J770" s="4" t="str">
        <f t="shared" ref="J770:J833" si="64">IF(F770="","",RANK(I770,$I$2:$I$1501))</f>
        <v/>
      </c>
    </row>
    <row r="771" spans="1:10" ht="15" customHeight="1" x14ac:dyDescent="0.25">
      <c r="A771" s="8" t="str">
        <f>IF(COUNT($J$2:$J$1501)&gt;=770,770,"")</f>
        <v/>
      </c>
      <c r="B771" s="8" t="str">
        <f t="shared" si="60"/>
        <v/>
      </c>
      <c r="C771" s="8" t="str">
        <f t="shared" si="61"/>
        <v/>
      </c>
      <c r="D771" s="8" t="str">
        <f t="shared" si="62"/>
        <v/>
      </c>
      <c r="F771" s="4" t="str">
        <f>IF(Jugadores!B771="","",Jugadores!B771)</f>
        <v/>
      </c>
      <c r="G771" s="4" t="str">
        <f>IF(Jugadores!B771="","",Jugadores!A771)</f>
        <v/>
      </c>
      <c r="H771" s="4" t="str">
        <f>IF(F771="","",SUMIF('Estadísticas Jugadores'!$F$2:$F$7001,F771,'Estadísticas Jugadores'!$L$2:$L$7001))</f>
        <v/>
      </c>
      <c r="I771" s="4" t="str">
        <f t="shared" si="63"/>
        <v/>
      </c>
      <c r="J771" s="4" t="str">
        <f t="shared" si="64"/>
        <v/>
      </c>
    </row>
    <row r="772" spans="1:10" ht="15" customHeight="1" x14ac:dyDescent="0.25">
      <c r="A772" s="8" t="str">
        <f>IF(COUNT($J$2:$J$1501)&gt;=771,771,"")</f>
        <v/>
      </c>
      <c r="B772" s="8" t="str">
        <f t="shared" si="60"/>
        <v/>
      </c>
      <c r="C772" s="8" t="str">
        <f t="shared" si="61"/>
        <v/>
      </c>
      <c r="D772" s="8" t="str">
        <f t="shared" si="62"/>
        <v/>
      </c>
      <c r="F772" s="4" t="str">
        <f>IF(Jugadores!B772="","",Jugadores!B772)</f>
        <v/>
      </c>
      <c r="G772" s="4" t="str">
        <f>IF(Jugadores!B772="","",Jugadores!A772)</f>
        <v/>
      </c>
      <c r="H772" s="4" t="str">
        <f>IF(F772="","",SUMIF('Estadísticas Jugadores'!$F$2:$F$7001,F772,'Estadísticas Jugadores'!$L$2:$L$7001))</f>
        <v/>
      </c>
      <c r="I772" s="4" t="str">
        <f t="shared" si="63"/>
        <v/>
      </c>
      <c r="J772" s="4" t="str">
        <f t="shared" si="64"/>
        <v/>
      </c>
    </row>
    <row r="773" spans="1:10" ht="15" customHeight="1" x14ac:dyDescent="0.25">
      <c r="A773" s="8" t="str">
        <f>IF(COUNT($J$2:$J$1501)&gt;=772,772,"")</f>
        <v/>
      </c>
      <c r="B773" s="8" t="str">
        <f t="shared" si="60"/>
        <v/>
      </c>
      <c r="C773" s="8" t="str">
        <f t="shared" si="61"/>
        <v/>
      </c>
      <c r="D773" s="8" t="str">
        <f t="shared" si="62"/>
        <v/>
      </c>
      <c r="F773" s="4" t="str">
        <f>IF(Jugadores!B773="","",Jugadores!B773)</f>
        <v/>
      </c>
      <c r="G773" s="4" t="str">
        <f>IF(Jugadores!B773="","",Jugadores!A773)</f>
        <v/>
      </c>
      <c r="H773" s="4" t="str">
        <f>IF(F773="","",SUMIF('Estadísticas Jugadores'!$F$2:$F$7001,F773,'Estadísticas Jugadores'!$L$2:$L$7001))</f>
        <v/>
      </c>
      <c r="I773" s="4" t="str">
        <f t="shared" si="63"/>
        <v/>
      </c>
      <c r="J773" s="4" t="str">
        <f t="shared" si="64"/>
        <v/>
      </c>
    </row>
    <row r="774" spans="1:10" ht="15" customHeight="1" x14ac:dyDescent="0.25">
      <c r="A774" s="8" t="str">
        <f>IF(COUNT($J$2:$J$1501)&gt;=773,773,"")</f>
        <v/>
      </c>
      <c r="B774" s="8" t="str">
        <f t="shared" si="60"/>
        <v/>
      </c>
      <c r="C774" s="8" t="str">
        <f t="shared" si="61"/>
        <v/>
      </c>
      <c r="D774" s="8" t="str">
        <f t="shared" si="62"/>
        <v/>
      </c>
      <c r="F774" s="4" t="str">
        <f>IF(Jugadores!B774="","",Jugadores!B774)</f>
        <v/>
      </c>
      <c r="G774" s="4" t="str">
        <f>IF(Jugadores!B774="","",Jugadores!A774)</f>
        <v/>
      </c>
      <c r="H774" s="4" t="str">
        <f>IF(F774="","",SUMIF('Estadísticas Jugadores'!$F$2:$F$7001,F774,'Estadísticas Jugadores'!$L$2:$L$7001))</f>
        <v/>
      </c>
      <c r="I774" s="4" t="str">
        <f t="shared" si="63"/>
        <v/>
      </c>
      <c r="J774" s="4" t="str">
        <f t="shared" si="64"/>
        <v/>
      </c>
    </row>
    <row r="775" spans="1:10" ht="15" customHeight="1" x14ac:dyDescent="0.25">
      <c r="A775" s="8" t="str">
        <f>IF(COUNT($J$2:$J$1501)&gt;=774,774,"")</f>
        <v/>
      </c>
      <c r="B775" s="8" t="str">
        <f t="shared" si="60"/>
        <v/>
      </c>
      <c r="C775" s="8" t="str">
        <f t="shared" si="61"/>
        <v/>
      </c>
      <c r="D775" s="8" t="str">
        <f t="shared" si="62"/>
        <v/>
      </c>
      <c r="F775" s="4" t="str">
        <f>IF(Jugadores!B775="","",Jugadores!B775)</f>
        <v/>
      </c>
      <c r="G775" s="4" t="str">
        <f>IF(Jugadores!B775="","",Jugadores!A775)</f>
        <v/>
      </c>
      <c r="H775" s="4" t="str">
        <f>IF(F775="","",SUMIF('Estadísticas Jugadores'!$F$2:$F$7001,F775,'Estadísticas Jugadores'!$L$2:$L$7001))</f>
        <v/>
      </c>
      <c r="I775" s="4" t="str">
        <f t="shared" si="63"/>
        <v/>
      </c>
      <c r="J775" s="4" t="str">
        <f t="shared" si="64"/>
        <v/>
      </c>
    </row>
    <row r="776" spans="1:10" ht="15" customHeight="1" x14ac:dyDescent="0.25">
      <c r="A776" s="8" t="str">
        <f>IF(COUNT($J$2:$J$1501)&gt;=775,775,"")</f>
        <v/>
      </c>
      <c r="B776" s="8" t="str">
        <f t="shared" si="60"/>
        <v/>
      </c>
      <c r="C776" s="8" t="str">
        <f t="shared" si="61"/>
        <v/>
      </c>
      <c r="D776" s="8" t="str">
        <f t="shared" si="62"/>
        <v/>
      </c>
      <c r="F776" s="4" t="str">
        <f>IF(Jugadores!B776="","",Jugadores!B776)</f>
        <v/>
      </c>
      <c r="G776" s="4" t="str">
        <f>IF(Jugadores!B776="","",Jugadores!A776)</f>
        <v/>
      </c>
      <c r="H776" s="4" t="str">
        <f>IF(F776="","",SUMIF('Estadísticas Jugadores'!$F$2:$F$7001,F776,'Estadísticas Jugadores'!$L$2:$L$7001))</f>
        <v/>
      </c>
      <c r="I776" s="4" t="str">
        <f t="shared" si="63"/>
        <v/>
      </c>
      <c r="J776" s="4" t="str">
        <f t="shared" si="64"/>
        <v/>
      </c>
    </row>
    <row r="777" spans="1:10" ht="15" customHeight="1" x14ac:dyDescent="0.25">
      <c r="A777" s="8" t="str">
        <f>IF(COUNT($J$2:$J$1501)&gt;=776,776,"")</f>
        <v/>
      </c>
      <c r="B777" s="8" t="str">
        <f t="shared" si="60"/>
        <v/>
      </c>
      <c r="C777" s="8" t="str">
        <f t="shared" si="61"/>
        <v/>
      </c>
      <c r="D777" s="8" t="str">
        <f t="shared" si="62"/>
        <v/>
      </c>
      <c r="F777" s="4" t="str">
        <f>IF(Jugadores!B777="","",Jugadores!B777)</f>
        <v/>
      </c>
      <c r="G777" s="4" t="str">
        <f>IF(Jugadores!B777="","",Jugadores!A777)</f>
        <v/>
      </c>
      <c r="H777" s="4" t="str">
        <f>IF(F777="","",SUMIF('Estadísticas Jugadores'!$F$2:$F$7001,F777,'Estadísticas Jugadores'!$L$2:$L$7001))</f>
        <v/>
      </c>
      <c r="I777" s="4" t="str">
        <f t="shared" si="63"/>
        <v/>
      </c>
      <c r="J777" s="4" t="str">
        <f t="shared" si="64"/>
        <v/>
      </c>
    </row>
    <row r="778" spans="1:10" ht="15" customHeight="1" x14ac:dyDescent="0.25">
      <c r="A778" s="8" t="str">
        <f>IF(COUNT($J$2:$J$1501)&gt;=777,777,"")</f>
        <v/>
      </c>
      <c r="B778" s="8" t="str">
        <f t="shared" si="60"/>
        <v/>
      </c>
      <c r="C778" s="8" t="str">
        <f t="shared" si="61"/>
        <v/>
      </c>
      <c r="D778" s="8" t="str">
        <f t="shared" si="62"/>
        <v/>
      </c>
      <c r="F778" s="4" t="str">
        <f>IF(Jugadores!B778="","",Jugadores!B778)</f>
        <v/>
      </c>
      <c r="G778" s="4" t="str">
        <f>IF(Jugadores!B778="","",Jugadores!A778)</f>
        <v/>
      </c>
      <c r="H778" s="4" t="str">
        <f>IF(F778="","",SUMIF('Estadísticas Jugadores'!$F$2:$F$7001,F778,'Estadísticas Jugadores'!$L$2:$L$7001))</f>
        <v/>
      </c>
      <c r="I778" s="4" t="str">
        <f t="shared" si="63"/>
        <v/>
      </c>
      <c r="J778" s="4" t="str">
        <f t="shared" si="64"/>
        <v/>
      </c>
    </row>
    <row r="779" spans="1:10" ht="15" customHeight="1" x14ac:dyDescent="0.25">
      <c r="A779" s="8" t="str">
        <f>IF(COUNT($J$2:$J$1501)&gt;=778,778,"")</f>
        <v/>
      </c>
      <c r="B779" s="8" t="str">
        <f t="shared" si="60"/>
        <v/>
      </c>
      <c r="C779" s="8" t="str">
        <f t="shared" si="61"/>
        <v/>
      </c>
      <c r="D779" s="8" t="str">
        <f t="shared" si="62"/>
        <v/>
      </c>
      <c r="F779" s="4" t="str">
        <f>IF(Jugadores!B779="","",Jugadores!B779)</f>
        <v/>
      </c>
      <c r="G779" s="4" t="str">
        <f>IF(Jugadores!B779="","",Jugadores!A779)</f>
        <v/>
      </c>
      <c r="H779" s="4" t="str">
        <f>IF(F779="","",SUMIF('Estadísticas Jugadores'!$F$2:$F$7001,F779,'Estadísticas Jugadores'!$L$2:$L$7001))</f>
        <v/>
      </c>
      <c r="I779" s="4" t="str">
        <f t="shared" si="63"/>
        <v/>
      </c>
      <c r="J779" s="4" t="str">
        <f t="shared" si="64"/>
        <v/>
      </c>
    </row>
    <row r="780" spans="1:10" ht="15" customHeight="1" x14ac:dyDescent="0.25">
      <c r="A780" s="8" t="str">
        <f>IF(COUNT($J$2:$J$1501)&gt;=779,779,"")</f>
        <v/>
      </c>
      <c r="B780" s="8" t="str">
        <f t="shared" si="60"/>
        <v/>
      </c>
      <c r="C780" s="8" t="str">
        <f t="shared" si="61"/>
        <v/>
      </c>
      <c r="D780" s="8" t="str">
        <f t="shared" si="62"/>
        <v/>
      </c>
      <c r="F780" s="4" t="str">
        <f>IF(Jugadores!B780="","",Jugadores!B780)</f>
        <v/>
      </c>
      <c r="G780" s="4" t="str">
        <f>IF(Jugadores!B780="","",Jugadores!A780)</f>
        <v/>
      </c>
      <c r="H780" s="4" t="str">
        <f>IF(F780="","",SUMIF('Estadísticas Jugadores'!$F$2:$F$7001,F780,'Estadísticas Jugadores'!$L$2:$L$7001))</f>
        <v/>
      </c>
      <c r="I780" s="4" t="str">
        <f t="shared" si="63"/>
        <v/>
      </c>
      <c r="J780" s="4" t="str">
        <f t="shared" si="64"/>
        <v/>
      </c>
    </row>
    <row r="781" spans="1:10" ht="15" customHeight="1" x14ac:dyDescent="0.25">
      <c r="A781" s="8" t="str">
        <f>IF(COUNT($J$2:$J$1501)&gt;=780,780,"")</f>
        <v/>
      </c>
      <c r="B781" s="8" t="str">
        <f t="shared" si="60"/>
        <v/>
      </c>
      <c r="C781" s="8" t="str">
        <f t="shared" si="61"/>
        <v/>
      </c>
      <c r="D781" s="8" t="str">
        <f t="shared" si="62"/>
        <v/>
      </c>
      <c r="F781" s="4" t="str">
        <f>IF(Jugadores!B781="","",Jugadores!B781)</f>
        <v/>
      </c>
      <c r="G781" s="4" t="str">
        <f>IF(Jugadores!B781="","",Jugadores!A781)</f>
        <v/>
      </c>
      <c r="H781" s="4" t="str">
        <f>IF(F781="","",SUMIF('Estadísticas Jugadores'!$F$2:$F$7001,F781,'Estadísticas Jugadores'!$L$2:$L$7001))</f>
        <v/>
      </c>
      <c r="I781" s="4" t="str">
        <f t="shared" si="63"/>
        <v/>
      </c>
      <c r="J781" s="4" t="str">
        <f t="shared" si="64"/>
        <v/>
      </c>
    </row>
    <row r="782" spans="1:10" ht="15" customHeight="1" x14ac:dyDescent="0.25">
      <c r="A782" s="8" t="str">
        <f>IF(COUNT($J$2:$J$1501)&gt;=781,781,"")</f>
        <v/>
      </c>
      <c r="B782" s="8" t="str">
        <f t="shared" si="60"/>
        <v/>
      </c>
      <c r="C782" s="8" t="str">
        <f t="shared" si="61"/>
        <v/>
      </c>
      <c r="D782" s="8" t="str">
        <f t="shared" si="62"/>
        <v/>
      </c>
      <c r="F782" s="4" t="str">
        <f>IF(Jugadores!B782="","",Jugadores!B782)</f>
        <v/>
      </c>
      <c r="G782" s="4" t="str">
        <f>IF(Jugadores!B782="","",Jugadores!A782)</f>
        <v/>
      </c>
      <c r="H782" s="4" t="str">
        <f>IF(F782="","",SUMIF('Estadísticas Jugadores'!$F$2:$F$7001,F782,'Estadísticas Jugadores'!$L$2:$L$7001))</f>
        <v/>
      </c>
      <c r="I782" s="4" t="str">
        <f t="shared" si="63"/>
        <v/>
      </c>
      <c r="J782" s="4" t="str">
        <f t="shared" si="64"/>
        <v/>
      </c>
    </row>
    <row r="783" spans="1:10" ht="15" customHeight="1" x14ac:dyDescent="0.25">
      <c r="A783" s="8" t="str">
        <f>IF(COUNT($J$2:$J$1501)&gt;=782,782,"")</f>
        <v/>
      </c>
      <c r="B783" s="8" t="str">
        <f t="shared" si="60"/>
        <v/>
      </c>
      <c r="C783" s="8" t="str">
        <f t="shared" si="61"/>
        <v/>
      </c>
      <c r="D783" s="8" t="str">
        <f t="shared" si="62"/>
        <v/>
      </c>
      <c r="F783" s="4" t="str">
        <f>IF(Jugadores!B783="","",Jugadores!B783)</f>
        <v/>
      </c>
      <c r="G783" s="4" t="str">
        <f>IF(Jugadores!B783="","",Jugadores!A783)</f>
        <v/>
      </c>
      <c r="H783" s="4" t="str">
        <f>IF(F783="","",SUMIF('Estadísticas Jugadores'!$F$2:$F$7001,F783,'Estadísticas Jugadores'!$L$2:$L$7001))</f>
        <v/>
      </c>
      <c r="I783" s="4" t="str">
        <f t="shared" si="63"/>
        <v/>
      </c>
      <c r="J783" s="4" t="str">
        <f t="shared" si="64"/>
        <v/>
      </c>
    </row>
    <row r="784" spans="1:10" ht="15" customHeight="1" x14ac:dyDescent="0.25">
      <c r="A784" s="8" t="str">
        <f>IF(COUNT($J$2:$J$1501)&gt;=783,783,"")</f>
        <v/>
      </c>
      <c r="B784" s="8" t="str">
        <f t="shared" si="60"/>
        <v/>
      </c>
      <c r="C784" s="8" t="str">
        <f t="shared" si="61"/>
        <v/>
      </c>
      <c r="D784" s="8" t="str">
        <f t="shared" si="62"/>
        <v/>
      </c>
      <c r="F784" s="4" t="str">
        <f>IF(Jugadores!B784="","",Jugadores!B784)</f>
        <v/>
      </c>
      <c r="G784" s="4" t="str">
        <f>IF(Jugadores!B784="","",Jugadores!A784)</f>
        <v/>
      </c>
      <c r="H784" s="4" t="str">
        <f>IF(F784="","",SUMIF('Estadísticas Jugadores'!$F$2:$F$7001,F784,'Estadísticas Jugadores'!$L$2:$L$7001))</f>
        <v/>
      </c>
      <c r="I784" s="4" t="str">
        <f t="shared" si="63"/>
        <v/>
      </c>
      <c r="J784" s="4" t="str">
        <f t="shared" si="64"/>
        <v/>
      </c>
    </row>
    <row r="785" spans="1:10" ht="15" customHeight="1" x14ac:dyDescent="0.25">
      <c r="A785" s="8" t="str">
        <f>IF(COUNT($J$2:$J$1501)&gt;=784,784,"")</f>
        <v/>
      </c>
      <c r="B785" s="8" t="str">
        <f t="shared" si="60"/>
        <v/>
      </c>
      <c r="C785" s="8" t="str">
        <f t="shared" si="61"/>
        <v/>
      </c>
      <c r="D785" s="8" t="str">
        <f t="shared" si="62"/>
        <v/>
      </c>
      <c r="F785" s="4" t="str">
        <f>IF(Jugadores!B785="","",Jugadores!B785)</f>
        <v/>
      </c>
      <c r="G785" s="4" t="str">
        <f>IF(Jugadores!B785="","",Jugadores!A785)</f>
        <v/>
      </c>
      <c r="H785" s="4" t="str">
        <f>IF(F785="","",SUMIF('Estadísticas Jugadores'!$F$2:$F$7001,F785,'Estadísticas Jugadores'!$L$2:$L$7001))</f>
        <v/>
      </c>
      <c r="I785" s="4" t="str">
        <f t="shared" si="63"/>
        <v/>
      </c>
      <c r="J785" s="4" t="str">
        <f t="shared" si="64"/>
        <v/>
      </c>
    </row>
    <row r="786" spans="1:10" ht="15" customHeight="1" x14ac:dyDescent="0.25">
      <c r="A786" s="8" t="str">
        <f>IF(COUNT($J$2:$J$1501)&gt;=785,785,"")</f>
        <v/>
      </c>
      <c r="B786" s="8" t="str">
        <f t="shared" si="60"/>
        <v/>
      </c>
      <c r="C786" s="8" t="str">
        <f t="shared" si="61"/>
        <v/>
      </c>
      <c r="D786" s="8" t="str">
        <f t="shared" si="62"/>
        <v/>
      </c>
      <c r="F786" s="4" t="str">
        <f>IF(Jugadores!B786="","",Jugadores!B786)</f>
        <v/>
      </c>
      <c r="G786" s="4" t="str">
        <f>IF(Jugadores!B786="","",Jugadores!A786)</f>
        <v/>
      </c>
      <c r="H786" s="4" t="str">
        <f>IF(F786="","",SUMIF('Estadísticas Jugadores'!$F$2:$F$7001,F786,'Estadísticas Jugadores'!$L$2:$L$7001))</f>
        <v/>
      </c>
      <c r="I786" s="4" t="str">
        <f t="shared" si="63"/>
        <v/>
      </c>
      <c r="J786" s="4" t="str">
        <f t="shared" si="64"/>
        <v/>
      </c>
    </row>
    <row r="787" spans="1:10" ht="15" customHeight="1" x14ac:dyDescent="0.25">
      <c r="A787" s="8" t="str">
        <f>IF(COUNT($J$2:$J$1501)&gt;=786,786,"")</f>
        <v/>
      </c>
      <c r="B787" s="8" t="str">
        <f t="shared" si="60"/>
        <v/>
      </c>
      <c r="C787" s="8" t="str">
        <f t="shared" si="61"/>
        <v/>
      </c>
      <c r="D787" s="8" t="str">
        <f t="shared" si="62"/>
        <v/>
      </c>
      <c r="F787" s="4" t="str">
        <f>IF(Jugadores!B787="","",Jugadores!B787)</f>
        <v/>
      </c>
      <c r="G787" s="4" t="str">
        <f>IF(Jugadores!B787="","",Jugadores!A787)</f>
        <v/>
      </c>
      <c r="H787" s="4" t="str">
        <f>IF(F787="","",SUMIF('Estadísticas Jugadores'!$F$2:$F$7001,F787,'Estadísticas Jugadores'!$L$2:$L$7001))</f>
        <v/>
      </c>
      <c r="I787" s="4" t="str">
        <f t="shared" si="63"/>
        <v/>
      </c>
      <c r="J787" s="4" t="str">
        <f t="shared" si="64"/>
        <v/>
      </c>
    </row>
    <row r="788" spans="1:10" ht="15" customHeight="1" x14ac:dyDescent="0.25">
      <c r="A788" s="8" t="str">
        <f>IF(COUNT($J$2:$J$1501)&gt;=787,787,"")</f>
        <v/>
      </c>
      <c r="B788" s="8" t="str">
        <f t="shared" si="60"/>
        <v/>
      </c>
      <c r="C788" s="8" t="str">
        <f t="shared" si="61"/>
        <v/>
      </c>
      <c r="D788" s="8" t="str">
        <f t="shared" si="62"/>
        <v/>
      </c>
      <c r="F788" s="4" t="str">
        <f>IF(Jugadores!B788="","",Jugadores!B788)</f>
        <v/>
      </c>
      <c r="G788" s="4" t="str">
        <f>IF(Jugadores!B788="","",Jugadores!A788)</f>
        <v/>
      </c>
      <c r="H788" s="4" t="str">
        <f>IF(F788="","",SUMIF('Estadísticas Jugadores'!$F$2:$F$7001,F788,'Estadísticas Jugadores'!$L$2:$L$7001))</f>
        <v/>
      </c>
      <c r="I788" s="4" t="str">
        <f t="shared" si="63"/>
        <v/>
      </c>
      <c r="J788" s="4" t="str">
        <f t="shared" si="64"/>
        <v/>
      </c>
    </row>
    <row r="789" spans="1:10" ht="15" customHeight="1" x14ac:dyDescent="0.25">
      <c r="A789" s="8" t="str">
        <f>IF(COUNT($J$2:$J$1501)&gt;=788,788,"")</f>
        <v/>
      </c>
      <c r="B789" s="8" t="str">
        <f t="shared" si="60"/>
        <v/>
      </c>
      <c r="C789" s="8" t="str">
        <f t="shared" si="61"/>
        <v/>
      </c>
      <c r="D789" s="8" t="str">
        <f t="shared" si="62"/>
        <v/>
      </c>
      <c r="F789" s="4" t="str">
        <f>IF(Jugadores!B789="","",Jugadores!B789)</f>
        <v/>
      </c>
      <c r="G789" s="4" t="str">
        <f>IF(Jugadores!B789="","",Jugadores!A789)</f>
        <v/>
      </c>
      <c r="H789" s="4" t="str">
        <f>IF(F789="","",SUMIF('Estadísticas Jugadores'!$F$2:$F$7001,F789,'Estadísticas Jugadores'!$L$2:$L$7001))</f>
        <v/>
      </c>
      <c r="I789" s="4" t="str">
        <f t="shared" si="63"/>
        <v/>
      </c>
      <c r="J789" s="4" t="str">
        <f t="shared" si="64"/>
        <v/>
      </c>
    </row>
    <row r="790" spans="1:10" ht="15" customHeight="1" x14ac:dyDescent="0.25">
      <c r="A790" s="8" t="str">
        <f>IF(COUNT($J$2:$J$1501)&gt;=789,789,"")</f>
        <v/>
      </c>
      <c r="B790" s="8" t="str">
        <f t="shared" si="60"/>
        <v/>
      </c>
      <c r="C790" s="8" t="str">
        <f t="shared" si="61"/>
        <v/>
      </c>
      <c r="D790" s="8" t="str">
        <f t="shared" si="62"/>
        <v/>
      </c>
      <c r="F790" s="4" t="str">
        <f>IF(Jugadores!B790="","",Jugadores!B790)</f>
        <v/>
      </c>
      <c r="G790" s="4" t="str">
        <f>IF(Jugadores!B790="","",Jugadores!A790)</f>
        <v/>
      </c>
      <c r="H790" s="4" t="str">
        <f>IF(F790="","",SUMIF('Estadísticas Jugadores'!$F$2:$F$7001,F790,'Estadísticas Jugadores'!$L$2:$L$7001))</f>
        <v/>
      </c>
      <c r="I790" s="4" t="str">
        <f t="shared" si="63"/>
        <v/>
      </c>
      <c r="J790" s="4" t="str">
        <f t="shared" si="64"/>
        <v/>
      </c>
    </row>
    <row r="791" spans="1:10" ht="15" customHeight="1" x14ac:dyDescent="0.25">
      <c r="A791" s="8" t="str">
        <f>IF(COUNT($J$2:$J$1501)&gt;=790,790,"")</f>
        <v/>
      </c>
      <c r="B791" s="8" t="str">
        <f t="shared" si="60"/>
        <v/>
      </c>
      <c r="C791" s="8" t="str">
        <f t="shared" si="61"/>
        <v/>
      </c>
      <c r="D791" s="8" t="str">
        <f t="shared" si="62"/>
        <v/>
      </c>
      <c r="F791" s="4" t="str">
        <f>IF(Jugadores!B791="","",Jugadores!B791)</f>
        <v/>
      </c>
      <c r="G791" s="4" t="str">
        <f>IF(Jugadores!B791="","",Jugadores!A791)</f>
        <v/>
      </c>
      <c r="H791" s="4" t="str">
        <f>IF(F791="","",SUMIF('Estadísticas Jugadores'!$F$2:$F$7001,F791,'Estadísticas Jugadores'!$L$2:$L$7001))</f>
        <v/>
      </c>
      <c r="I791" s="4" t="str">
        <f t="shared" si="63"/>
        <v/>
      </c>
      <c r="J791" s="4" t="str">
        <f t="shared" si="64"/>
        <v/>
      </c>
    </row>
    <row r="792" spans="1:10" ht="15" customHeight="1" x14ac:dyDescent="0.25">
      <c r="A792" s="8" t="str">
        <f>IF(COUNT($J$2:$J$1501)&gt;=791,791,"")</f>
        <v/>
      </c>
      <c r="B792" s="8" t="str">
        <f t="shared" si="60"/>
        <v/>
      </c>
      <c r="C792" s="8" t="str">
        <f t="shared" si="61"/>
        <v/>
      </c>
      <c r="D792" s="8" t="str">
        <f t="shared" si="62"/>
        <v/>
      </c>
      <c r="F792" s="4" t="str">
        <f>IF(Jugadores!B792="","",Jugadores!B792)</f>
        <v/>
      </c>
      <c r="G792" s="4" t="str">
        <f>IF(Jugadores!B792="","",Jugadores!A792)</f>
        <v/>
      </c>
      <c r="H792" s="4" t="str">
        <f>IF(F792="","",SUMIF('Estadísticas Jugadores'!$F$2:$F$7001,F792,'Estadísticas Jugadores'!$L$2:$L$7001))</f>
        <v/>
      </c>
      <c r="I792" s="4" t="str">
        <f t="shared" si="63"/>
        <v/>
      </c>
      <c r="J792" s="4" t="str">
        <f t="shared" si="64"/>
        <v/>
      </c>
    </row>
    <row r="793" spans="1:10" ht="15" customHeight="1" x14ac:dyDescent="0.25">
      <c r="A793" s="8" t="str">
        <f>IF(COUNT($J$2:$J$1501)&gt;=792,792,"")</f>
        <v/>
      </c>
      <c r="B793" s="8" t="str">
        <f t="shared" si="60"/>
        <v/>
      </c>
      <c r="C793" s="8" t="str">
        <f t="shared" si="61"/>
        <v/>
      </c>
      <c r="D793" s="8" t="str">
        <f t="shared" si="62"/>
        <v/>
      </c>
      <c r="F793" s="4" t="str">
        <f>IF(Jugadores!B793="","",Jugadores!B793)</f>
        <v/>
      </c>
      <c r="G793" s="4" t="str">
        <f>IF(Jugadores!B793="","",Jugadores!A793)</f>
        <v/>
      </c>
      <c r="H793" s="4" t="str">
        <f>IF(F793="","",SUMIF('Estadísticas Jugadores'!$F$2:$F$7001,F793,'Estadísticas Jugadores'!$L$2:$L$7001))</f>
        <v/>
      </c>
      <c r="I793" s="4" t="str">
        <f t="shared" si="63"/>
        <v/>
      </c>
      <c r="J793" s="4" t="str">
        <f t="shared" si="64"/>
        <v/>
      </c>
    </row>
    <row r="794" spans="1:10" ht="15" customHeight="1" x14ac:dyDescent="0.25">
      <c r="A794" s="8" t="str">
        <f>IF(COUNT($J$2:$J$1501)&gt;=793,793,"")</f>
        <v/>
      </c>
      <c r="B794" s="8" t="str">
        <f t="shared" si="60"/>
        <v/>
      </c>
      <c r="C794" s="8" t="str">
        <f t="shared" si="61"/>
        <v/>
      </c>
      <c r="D794" s="8" t="str">
        <f t="shared" si="62"/>
        <v/>
      </c>
      <c r="F794" s="4" t="str">
        <f>IF(Jugadores!B794="","",Jugadores!B794)</f>
        <v/>
      </c>
      <c r="G794" s="4" t="str">
        <f>IF(Jugadores!B794="","",Jugadores!A794)</f>
        <v/>
      </c>
      <c r="H794" s="4" t="str">
        <f>IF(F794="","",SUMIF('Estadísticas Jugadores'!$F$2:$F$7001,F794,'Estadísticas Jugadores'!$L$2:$L$7001))</f>
        <v/>
      </c>
      <c r="I794" s="4" t="str">
        <f t="shared" si="63"/>
        <v/>
      </c>
      <c r="J794" s="4" t="str">
        <f t="shared" si="64"/>
        <v/>
      </c>
    </row>
    <row r="795" spans="1:10" ht="15" customHeight="1" x14ac:dyDescent="0.25">
      <c r="A795" s="8" t="str">
        <f>IF(COUNT($J$2:$J$1501)&gt;=794,794,"")</f>
        <v/>
      </c>
      <c r="B795" s="8" t="str">
        <f t="shared" si="60"/>
        <v/>
      </c>
      <c r="C795" s="8" t="str">
        <f t="shared" si="61"/>
        <v/>
      </c>
      <c r="D795" s="8" t="str">
        <f t="shared" si="62"/>
        <v/>
      </c>
      <c r="F795" s="4" t="str">
        <f>IF(Jugadores!B795="","",Jugadores!B795)</f>
        <v/>
      </c>
      <c r="G795" s="4" t="str">
        <f>IF(Jugadores!B795="","",Jugadores!A795)</f>
        <v/>
      </c>
      <c r="H795" s="4" t="str">
        <f>IF(F795="","",SUMIF('Estadísticas Jugadores'!$F$2:$F$7001,F795,'Estadísticas Jugadores'!$L$2:$L$7001))</f>
        <v/>
      </c>
      <c r="I795" s="4" t="str">
        <f t="shared" si="63"/>
        <v/>
      </c>
      <c r="J795" s="4" t="str">
        <f t="shared" si="64"/>
        <v/>
      </c>
    </row>
    <row r="796" spans="1:10" ht="15" customHeight="1" x14ac:dyDescent="0.25">
      <c r="A796" s="8" t="str">
        <f>IF(COUNT($J$2:$J$1501)&gt;=795,795,"")</f>
        <v/>
      </c>
      <c r="B796" s="8" t="str">
        <f t="shared" si="60"/>
        <v/>
      </c>
      <c r="C796" s="8" t="str">
        <f t="shared" si="61"/>
        <v/>
      </c>
      <c r="D796" s="8" t="str">
        <f t="shared" si="62"/>
        <v/>
      </c>
      <c r="F796" s="4" t="str">
        <f>IF(Jugadores!B796="","",Jugadores!B796)</f>
        <v/>
      </c>
      <c r="G796" s="4" t="str">
        <f>IF(Jugadores!B796="","",Jugadores!A796)</f>
        <v/>
      </c>
      <c r="H796" s="4" t="str">
        <f>IF(F796="","",SUMIF('Estadísticas Jugadores'!$F$2:$F$7001,F796,'Estadísticas Jugadores'!$L$2:$L$7001))</f>
        <v/>
      </c>
      <c r="I796" s="4" t="str">
        <f t="shared" si="63"/>
        <v/>
      </c>
      <c r="J796" s="4" t="str">
        <f t="shared" si="64"/>
        <v/>
      </c>
    </row>
    <row r="797" spans="1:10" ht="15" customHeight="1" x14ac:dyDescent="0.25">
      <c r="A797" s="8" t="str">
        <f>IF(COUNT($J$2:$J$1501)&gt;=796,796,"")</f>
        <v/>
      </c>
      <c r="B797" s="8" t="str">
        <f t="shared" si="60"/>
        <v/>
      </c>
      <c r="C797" s="8" t="str">
        <f t="shared" si="61"/>
        <v/>
      </c>
      <c r="D797" s="8" t="str">
        <f t="shared" si="62"/>
        <v/>
      </c>
      <c r="F797" s="4" t="str">
        <f>IF(Jugadores!B797="","",Jugadores!B797)</f>
        <v/>
      </c>
      <c r="G797" s="4" t="str">
        <f>IF(Jugadores!B797="","",Jugadores!A797)</f>
        <v/>
      </c>
      <c r="H797" s="4" t="str">
        <f>IF(F797="","",SUMIF('Estadísticas Jugadores'!$F$2:$F$7001,F797,'Estadísticas Jugadores'!$L$2:$L$7001))</f>
        <v/>
      </c>
      <c r="I797" s="4" t="str">
        <f t="shared" si="63"/>
        <v/>
      </c>
      <c r="J797" s="4" t="str">
        <f t="shared" si="64"/>
        <v/>
      </c>
    </row>
    <row r="798" spans="1:10" ht="15" customHeight="1" x14ac:dyDescent="0.25">
      <c r="A798" s="8" t="str">
        <f>IF(COUNT($J$2:$J$1501)&gt;=797,797,"")</f>
        <v/>
      </c>
      <c r="B798" s="8" t="str">
        <f t="shared" si="60"/>
        <v/>
      </c>
      <c r="C798" s="8" t="str">
        <f t="shared" si="61"/>
        <v/>
      </c>
      <c r="D798" s="8" t="str">
        <f t="shared" si="62"/>
        <v/>
      </c>
      <c r="F798" s="4" t="str">
        <f>IF(Jugadores!B798="","",Jugadores!B798)</f>
        <v/>
      </c>
      <c r="G798" s="4" t="str">
        <f>IF(Jugadores!B798="","",Jugadores!A798)</f>
        <v/>
      </c>
      <c r="H798" s="4" t="str">
        <f>IF(F798="","",SUMIF('Estadísticas Jugadores'!$F$2:$F$7001,F798,'Estadísticas Jugadores'!$L$2:$L$7001))</f>
        <v/>
      </c>
      <c r="I798" s="4" t="str">
        <f t="shared" si="63"/>
        <v/>
      </c>
      <c r="J798" s="4" t="str">
        <f t="shared" si="64"/>
        <v/>
      </c>
    </row>
    <row r="799" spans="1:10" ht="15" customHeight="1" x14ac:dyDescent="0.25">
      <c r="A799" s="8" t="str">
        <f>IF(COUNT($J$2:$J$1501)&gt;=798,798,"")</f>
        <v/>
      </c>
      <c r="B799" s="8" t="str">
        <f t="shared" si="60"/>
        <v/>
      </c>
      <c r="C799" s="8" t="str">
        <f t="shared" si="61"/>
        <v/>
      </c>
      <c r="D799" s="8" t="str">
        <f t="shared" si="62"/>
        <v/>
      </c>
      <c r="F799" s="4" t="str">
        <f>IF(Jugadores!B799="","",Jugadores!B799)</f>
        <v/>
      </c>
      <c r="G799" s="4" t="str">
        <f>IF(Jugadores!B799="","",Jugadores!A799)</f>
        <v/>
      </c>
      <c r="H799" s="4" t="str">
        <f>IF(F799="","",SUMIF('Estadísticas Jugadores'!$F$2:$F$7001,F799,'Estadísticas Jugadores'!$L$2:$L$7001))</f>
        <v/>
      </c>
      <c r="I799" s="4" t="str">
        <f t="shared" si="63"/>
        <v/>
      </c>
      <c r="J799" s="4" t="str">
        <f t="shared" si="64"/>
        <v/>
      </c>
    </row>
    <row r="800" spans="1:10" ht="15" customHeight="1" x14ac:dyDescent="0.25">
      <c r="A800" s="8" t="str">
        <f>IF(COUNT($J$2:$J$1501)&gt;=799,799,"")</f>
        <v/>
      </c>
      <c r="B800" s="8" t="str">
        <f t="shared" si="60"/>
        <v/>
      </c>
      <c r="C800" s="8" t="str">
        <f t="shared" si="61"/>
        <v/>
      </c>
      <c r="D800" s="8" t="str">
        <f t="shared" si="62"/>
        <v/>
      </c>
      <c r="F800" s="4" t="str">
        <f>IF(Jugadores!B800="","",Jugadores!B800)</f>
        <v/>
      </c>
      <c r="G800" s="4" t="str">
        <f>IF(Jugadores!B800="","",Jugadores!A800)</f>
        <v/>
      </c>
      <c r="H800" s="4" t="str">
        <f>IF(F800="","",SUMIF('Estadísticas Jugadores'!$F$2:$F$7001,F800,'Estadísticas Jugadores'!$L$2:$L$7001))</f>
        <v/>
      </c>
      <c r="I800" s="4" t="str">
        <f t="shared" si="63"/>
        <v/>
      </c>
      <c r="J800" s="4" t="str">
        <f t="shared" si="64"/>
        <v/>
      </c>
    </row>
    <row r="801" spans="1:10" ht="15" customHeight="1" x14ac:dyDescent="0.25">
      <c r="A801" s="8" t="str">
        <f>IF(COUNT($J$2:$J$1501)&gt;=800,800,"")</f>
        <v/>
      </c>
      <c r="B801" s="8" t="str">
        <f t="shared" si="60"/>
        <v/>
      </c>
      <c r="C801" s="8" t="str">
        <f t="shared" si="61"/>
        <v/>
      </c>
      <c r="D801" s="8" t="str">
        <f t="shared" si="62"/>
        <v/>
      </c>
      <c r="F801" s="4" t="str">
        <f>IF(Jugadores!B801="","",Jugadores!B801)</f>
        <v/>
      </c>
      <c r="G801" s="4" t="str">
        <f>IF(Jugadores!B801="","",Jugadores!A801)</f>
        <v/>
      </c>
      <c r="H801" s="4" t="str">
        <f>IF(F801="","",SUMIF('Estadísticas Jugadores'!$F$2:$F$7001,F801,'Estadísticas Jugadores'!$L$2:$L$7001))</f>
        <v/>
      </c>
      <c r="I801" s="4" t="str">
        <f t="shared" si="63"/>
        <v/>
      </c>
      <c r="J801" s="4" t="str">
        <f t="shared" si="64"/>
        <v/>
      </c>
    </row>
    <row r="802" spans="1:10" ht="15" customHeight="1" x14ac:dyDescent="0.25">
      <c r="A802" s="8" t="str">
        <f>IF(COUNT($J$2:$J$1501)&gt;=801,801,"")</f>
        <v/>
      </c>
      <c r="B802" s="8" t="str">
        <f t="shared" si="60"/>
        <v/>
      </c>
      <c r="C802" s="8" t="str">
        <f t="shared" si="61"/>
        <v/>
      </c>
      <c r="D802" s="8" t="str">
        <f t="shared" si="62"/>
        <v/>
      </c>
      <c r="F802" s="4" t="str">
        <f>IF(Jugadores!B802="","",Jugadores!B802)</f>
        <v/>
      </c>
      <c r="G802" s="4" t="str">
        <f>IF(Jugadores!B802="","",Jugadores!A802)</f>
        <v/>
      </c>
      <c r="H802" s="4" t="str">
        <f>IF(F802="","",SUMIF('Estadísticas Jugadores'!$F$2:$F$7001,F802,'Estadísticas Jugadores'!$L$2:$L$7001))</f>
        <v/>
      </c>
      <c r="I802" s="4" t="str">
        <f t="shared" si="63"/>
        <v/>
      </c>
      <c r="J802" s="4" t="str">
        <f t="shared" si="64"/>
        <v/>
      </c>
    </row>
    <row r="803" spans="1:10" ht="15" customHeight="1" x14ac:dyDescent="0.25">
      <c r="A803" s="8" t="str">
        <f>IF(COUNT($J$2:$J$1501)&gt;=802,802,"")</f>
        <v/>
      </c>
      <c r="B803" s="8" t="str">
        <f t="shared" si="60"/>
        <v/>
      </c>
      <c r="C803" s="8" t="str">
        <f t="shared" si="61"/>
        <v/>
      </c>
      <c r="D803" s="8" t="str">
        <f t="shared" si="62"/>
        <v/>
      </c>
      <c r="F803" s="4" t="str">
        <f>IF(Jugadores!B803="","",Jugadores!B803)</f>
        <v/>
      </c>
      <c r="G803" s="4" t="str">
        <f>IF(Jugadores!B803="","",Jugadores!A803)</f>
        <v/>
      </c>
      <c r="H803" s="4" t="str">
        <f>IF(F803="","",SUMIF('Estadísticas Jugadores'!$F$2:$F$7001,F803,'Estadísticas Jugadores'!$L$2:$L$7001))</f>
        <v/>
      </c>
      <c r="I803" s="4" t="str">
        <f t="shared" si="63"/>
        <v/>
      </c>
      <c r="J803" s="4" t="str">
        <f t="shared" si="64"/>
        <v/>
      </c>
    </row>
    <row r="804" spans="1:10" ht="15" customHeight="1" x14ac:dyDescent="0.25">
      <c r="A804" s="8" t="str">
        <f>IF(COUNT($J$2:$J$1501)&gt;=803,803,"")</f>
        <v/>
      </c>
      <c r="B804" s="8" t="str">
        <f t="shared" si="60"/>
        <v/>
      </c>
      <c r="C804" s="8" t="str">
        <f t="shared" si="61"/>
        <v/>
      </c>
      <c r="D804" s="8" t="str">
        <f t="shared" si="62"/>
        <v/>
      </c>
      <c r="F804" s="4" t="str">
        <f>IF(Jugadores!B804="","",Jugadores!B804)</f>
        <v/>
      </c>
      <c r="G804" s="4" t="str">
        <f>IF(Jugadores!B804="","",Jugadores!A804)</f>
        <v/>
      </c>
      <c r="H804" s="4" t="str">
        <f>IF(F804="","",SUMIF('Estadísticas Jugadores'!$F$2:$F$7001,F804,'Estadísticas Jugadores'!$L$2:$L$7001))</f>
        <v/>
      </c>
      <c r="I804" s="4" t="str">
        <f t="shared" si="63"/>
        <v/>
      </c>
      <c r="J804" s="4" t="str">
        <f t="shared" si="64"/>
        <v/>
      </c>
    </row>
    <row r="805" spans="1:10" ht="15" customHeight="1" x14ac:dyDescent="0.25">
      <c r="A805" s="8" t="str">
        <f>IF(COUNT($J$2:$J$1501)&gt;=804,804,"")</f>
        <v/>
      </c>
      <c r="B805" s="8" t="str">
        <f t="shared" si="60"/>
        <v/>
      </c>
      <c r="C805" s="8" t="str">
        <f t="shared" si="61"/>
        <v/>
      </c>
      <c r="D805" s="8" t="str">
        <f t="shared" si="62"/>
        <v/>
      </c>
      <c r="F805" s="4" t="str">
        <f>IF(Jugadores!B805="","",Jugadores!B805)</f>
        <v/>
      </c>
      <c r="G805" s="4" t="str">
        <f>IF(Jugadores!B805="","",Jugadores!A805)</f>
        <v/>
      </c>
      <c r="H805" s="4" t="str">
        <f>IF(F805="","",SUMIF('Estadísticas Jugadores'!$F$2:$F$7001,F805,'Estadísticas Jugadores'!$L$2:$L$7001))</f>
        <v/>
      </c>
      <c r="I805" s="4" t="str">
        <f t="shared" si="63"/>
        <v/>
      </c>
      <c r="J805" s="4" t="str">
        <f t="shared" si="64"/>
        <v/>
      </c>
    </row>
    <row r="806" spans="1:10" ht="15" customHeight="1" x14ac:dyDescent="0.25">
      <c r="A806" s="8" t="str">
        <f>IF(COUNT($J$2:$J$1501)&gt;=805,805,"")</f>
        <v/>
      </c>
      <c r="B806" s="8" t="str">
        <f t="shared" si="60"/>
        <v/>
      </c>
      <c r="C806" s="8" t="str">
        <f t="shared" si="61"/>
        <v/>
      </c>
      <c r="D806" s="8" t="str">
        <f t="shared" si="62"/>
        <v/>
      </c>
      <c r="F806" s="4" t="str">
        <f>IF(Jugadores!B806="","",Jugadores!B806)</f>
        <v/>
      </c>
      <c r="G806" s="4" t="str">
        <f>IF(Jugadores!B806="","",Jugadores!A806)</f>
        <v/>
      </c>
      <c r="H806" s="4" t="str">
        <f>IF(F806="","",SUMIF('Estadísticas Jugadores'!$F$2:$F$7001,F806,'Estadísticas Jugadores'!$L$2:$L$7001))</f>
        <v/>
      </c>
      <c r="I806" s="4" t="str">
        <f t="shared" si="63"/>
        <v/>
      </c>
      <c r="J806" s="4" t="str">
        <f t="shared" si="64"/>
        <v/>
      </c>
    </row>
    <row r="807" spans="1:10" ht="15" customHeight="1" x14ac:dyDescent="0.25">
      <c r="A807" s="8" t="str">
        <f>IF(COUNT($J$2:$J$1501)&gt;=806,806,"")</f>
        <v/>
      </c>
      <c r="B807" s="8" t="str">
        <f t="shared" si="60"/>
        <v/>
      </c>
      <c r="C807" s="8" t="str">
        <f t="shared" si="61"/>
        <v/>
      </c>
      <c r="D807" s="8" t="str">
        <f t="shared" si="62"/>
        <v/>
      </c>
      <c r="F807" s="4" t="str">
        <f>IF(Jugadores!B807="","",Jugadores!B807)</f>
        <v/>
      </c>
      <c r="G807" s="4" t="str">
        <f>IF(Jugadores!B807="","",Jugadores!A807)</f>
        <v/>
      </c>
      <c r="H807" s="4" t="str">
        <f>IF(F807="","",SUMIF('Estadísticas Jugadores'!$F$2:$F$7001,F807,'Estadísticas Jugadores'!$L$2:$L$7001))</f>
        <v/>
      </c>
      <c r="I807" s="4" t="str">
        <f t="shared" si="63"/>
        <v/>
      </c>
      <c r="J807" s="4" t="str">
        <f t="shared" si="64"/>
        <v/>
      </c>
    </row>
    <row r="808" spans="1:10" ht="15" customHeight="1" x14ac:dyDescent="0.25">
      <c r="A808" s="8" t="str">
        <f>IF(COUNT($J$2:$J$1501)&gt;=807,807,"")</f>
        <v/>
      </c>
      <c r="B808" s="8" t="str">
        <f t="shared" si="60"/>
        <v/>
      </c>
      <c r="C808" s="8" t="str">
        <f t="shared" si="61"/>
        <v/>
      </c>
      <c r="D808" s="8" t="str">
        <f t="shared" si="62"/>
        <v/>
      </c>
      <c r="F808" s="4" t="str">
        <f>IF(Jugadores!B808="","",Jugadores!B808)</f>
        <v/>
      </c>
      <c r="G808" s="4" t="str">
        <f>IF(Jugadores!B808="","",Jugadores!A808)</f>
        <v/>
      </c>
      <c r="H808" s="4" t="str">
        <f>IF(F808="","",SUMIF('Estadísticas Jugadores'!$F$2:$F$7001,F808,'Estadísticas Jugadores'!$L$2:$L$7001))</f>
        <v/>
      </c>
      <c r="I808" s="4" t="str">
        <f t="shared" si="63"/>
        <v/>
      </c>
      <c r="J808" s="4" t="str">
        <f t="shared" si="64"/>
        <v/>
      </c>
    </row>
    <row r="809" spans="1:10" ht="15" customHeight="1" x14ac:dyDescent="0.25">
      <c r="A809" s="8" t="str">
        <f>IF(COUNT($J$2:$J$1501)&gt;=808,808,"")</f>
        <v/>
      </c>
      <c r="B809" s="8" t="str">
        <f t="shared" si="60"/>
        <v/>
      </c>
      <c r="C809" s="8" t="str">
        <f t="shared" si="61"/>
        <v/>
      </c>
      <c r="D809" s="8" t="str">
        <f t="shared" si="62"/>
        <v/>
      </c>
      <c r="F809" s="4" t="str">
        <f>IF(Jugadores!B809="","",Jugadores!B809)</f>
        <v/>
      </c>
      <c r="G809" s="4" t="str">
        <f>IF(Jugadores!B809="","",Jugadores!A809)</f>
        <v/>
      </c>
      <c r="H809" s="4" t="str">
        <f>IF(F809="","",SUMIF('Estadísticas Jugadores'!$F$2:$F$7001,F809,'Estadísticas Jugadores'!$L$2:$L$7001))</f>
        <v/>
      </c>
      <c r="I809" s="4" t="str">
        <f t="shared" si="63"/>
        <v/>
      </c>
      <c r="J809" s="4" t="str">
        <f t="shared" si="64"/>
        <v/>
      </c>
    </row>
    <row r="810" spans="1:10" ht="15" customHeight="1" x14ac:dyDescent="0.25">
      <c r="A810" s="8" t="str">
        <f>IF(COUNT($J$2:$J$1501)&gt;=809,809,"")</f>
        <v/>
      </c>
      <c r="B810" s="8" t="str">
        <f t="shared" si="60"/>
        <v/>
      </c>
      <c r="C810" s="8" t="str">
        <f t="shared" si="61"/>
        <v/>
      </c>
      <c r="D810" s="8" t="str">
        <f t="shared" si="62"/>
        <v/>
      </c>
      <c r="F810" s="4" t="str">
        <f>IF(Jugadores!B810="","",Jugadores!B810)</f>
        <v/>
      </c>
      <c r="G810" s="4" t="str">
        <f>IF(Jugadores!B810="","",Jugadores!A810)</f>
        <v/>
      </c>
      <c r="H810" s="4" t="str">
        <f>IF(F810="","",SUMIF('Estadísticas Jugadores'!$F$2:$F$7001,F810,'Estadísticas Jugadores'!$L$2:$L$7001))</f>
        <v/>
      </c>
      <c r="I810" s="4" t="str">
        <f t="shared" si="63"/>
        <v/>
      </c>
      <c r="J810" s="4" t="str">
        <f t="shared" si="64"/>
        <v/>
      </c>
    </row>
    <row r="811" spans="1:10" ht="15" customHeight="1" x14ac:dyDescent="0.25">
      <c r="A811" s="8" t="str">
        <f>IF(COUNT($J$2:$J$1501)&gt;=810,810,"")</f>
        <v/>
      </c>
      <c r="B811" s="8" t="str">
        <f t="shared" si="60"/>
        <v/>
      </c>
      <c r="C811" s="8" t="str">
        <f t="shared" si="61"/>
        <v/>
      </c>
      <c r="D811" s="8" t="str">
        <f t="shared" si="62"/>
        <v/>
      </c>
      <c r="F811" s="4" t="str">
        <f>IF(Jugadores!B811="","",Jugadores!B811)</f>
        <v/>
      </c>
      <c r="G811" s="4" t="str">
        <f>IF(Jugadores!B811="","",Jugadores!A811)</f>
        <v/>
      </c>
      <c r="H811" s="4" t="str">
        <f>IF(F811="","",SUMIF('Estadísticas Jugadores'!$F$2:$F$7001,F811,'Estadísticas Jugadores'!$L$2:$L$7001))</f>
        <v/>
      </c>
      <c r="I811" s="4" t="str">
        <f t="shared" si="63"/>
        <v/>
      </c>
      <c r="J811" s="4" t="str">
        <f t="shared" si="64"/>
        <v/>
      </c>
    </row>
    <row r="812" spans="1:10" ht="15" customHeight="1" x14ac:dyDescent="0.25">
      <c r="A812" s="8" t="str">
        <f>IF(COUNT($J$2:$J$1501)&gt;=811,811,"")</f>
        <v/>
      </c>
      <c r="B812" s="8" t="str">
        <f t="shared" si="60"/>
        <v/>
      </c>
      <c r="C812" s="8" t="str">
        <f t="shared" si="61"/>
        <v/>
      </c>
      <c r="D812" s="8" t="str">
        <f t="shared" si="62"/>
        <v/>
      </c>
      <c r="F812" s="4" t="str">
        <f>IF(Jugadores!B812="","",Jugadores!B812)</f>
        <v/>
      </c>
      <c r="G812" s="4" t="str">
        <f>IF(Jugadores!B812="","",Jugadores!A812)</f>
        <v/>
      </c>
      <c r="H812" s="4" t="str">
        <f>IF(F812="","",SUMIF('Estadísticas Jugadores'!$F$2:$F$7001,F812,'Estadísticas Jugadores'!$L$2:$L$7001))</f>
        <v/>
      </c>
      <c r="I812" s="4" t="str">
        <f t="shared" si="63"/>
        <v/>
      </c>
      <c r="J812" s="4" t="str">
        <f t="shared" si="64"/>
        <v/>
      </c>
    </row>
    <row r="813" spans="1:10" ht="15" customHeight="1" x14ac:dyDescent="0.25">
      <c r="A813" s="8" t="str">
        <f>IF(COUNT($J$2:$J$1501)&gt;=812,812,"")</f>
        <v/>
      </c>
      <c r="B813" s="8" t="str">
        <f t="shared" si="60"/>
        <v/>
      </c>
      <c r="C813" s="8" t="str">
        <f t="shared" si="61"/>
        <v/>
      </c>
      <c r="D813" s="8" t="str">
        <f t="shared" si="62"/>
        <v/>
      </c>
      <c r="F813" s="4" t="str">
        <f>IF(Jugadores!B813="","",Jugadores!B813)</f>
        <v/>
      </c>
      <c r="G813" s="4" t="str">
        <f>IF(Jugadores!B813="","",Jugadores!A813)</f>
        <v/>
      </c>
      <c r="H813" s="4" t="str">
        <f>IF(F813="","",SUMIF('Estadísticas Jugadores'!$F$2:$F$7001,F813,'Estadísticas Jugadores'!$L$2:$L$7001))</f>
        <v/>
      </c>
      <c r="I813" s="4" t="str">
        <f t="shared" si="63"/>
        <v/>
      </c>
      <c r="J813" s="4" t="str">
        <f t="shared" si="64"/>
        <v/>
      </c>
    </row>
    <row r="814" spans="1:10" ht="15" customHeight="1" x14ac:dyDescent="0.25">
      <c r="A814" s="8" t="str">
        <f>IF(COUNT($J$2:$J$1501)&gt;=813,813,"")</f>
        <v/>
      </c>
      <c r="B814" s="8" t="str">
        <f t="shared" si="60"/>
        <v/>
      </c>
      <c r="C814" s="8" t="str">
        <f t="shared" si="61"/>
        <v/>
      </c>
      <c r="D814" s="8" t="str">
        <f t="shared" si="62"/>
        <v/>
      </c>
      <c r="F814" s="4" t="str">
        <f>IF(Jugadores!B814="","",Jugadores!B814)</f>
        <v/>
      </c>
      <c r="G814" s="4" t="str">
        <f>IF(Jugadores!B814="","",Jugadores!A814)</f>
        <v/>
      </c>
      <c r="H814" s="4" t="str">
        <f>IF(F814="","",SUMIF('Estadísticas Jugadores'!$F$2:$F$7001,F814,'Estadísticas Jugadores'!$L$2:$L$7001))</f>
        <v/>
      </c>
      <c r="I814" s="4" t="str">
        <f t="shared" si="63"/>
        <v/>
      </c>
      <c r="J814" s="4" t="str">
        <f t="shared" si="64"/>
        <v/>
      </c>
    </row>
    <row r="815" spans="1:10" ht="15" customHeight="1" x14ac:dyDescent="0.25">
      <c r="A815" s="8" t="str">
        <f>IF(COUNT($J$2:$J$1501)&gt;=814,814,"")</f>
        <v/>
      </c>
      <c r="B815" s="8" t="str">
        <f t="shared" si="60"/>
        <v/>
      </c>
      <c r="C815" s="8" t="str">
        <f t="shared" si="61"/>
        <v/>
      </c>
      <c r="D815" s="8" t="str">
        <f t="shared" si="62"/>
        <v/>
      </c>
      <c r="F815" s="4" t="str">
        <f>IF(Jugadores!B815="","",Jugadores!B815)</f>
        <v/>
      </c>
      <c r="G815" s="4" t="str">
        <f>IF(Jugadores!B815="","",Jugadores!A815)</f>
        <v/>
      </c>
      <c r="H815" s="4" t="str">
        <f>IF(F815="","",SUMIF('Estadísticas Jugadores'!$F$2:$F$7001,F815,'Estadísticas Jugadores'!$L$2:$L$7001))</f>
        <v/>
      </c>
      <c r="I815" s="4" t="str">
        <f t="shared" si="63"/>
        <v/>
      </c>
      <c r="J815" s="4" t="str">
        <f t="shared" si="64"/>
        <v/>
      </c>
    </row>
    <row r="816" spans="1:10" ht="15" customHeight="1" x14ac:dyDescent="0.25">
      <c r="A816" s="8" t="str">
        <f>IF(COUNT($J$2:$J$1501)&gt;=815,815,"")</f>
        <v/>
      </c>
      <c r="B816" s="8" t="str">
        <f t="shared" si="60"/>
        <v/>
      </c>
      <c r="C816" s="8" t="str">
        <f t="shared" si="61"/>
        <v/>
      </c>
      <c r="D816" s="8" t="str">
        <f t="shared" si="62"/>
        <v/>
      </c>
      <c r="F816" s="4" t="str">
        <f>IF(Jugadores!B816="","",Jugadores!B816)</f>
        <v/>
      </c>
      <c r="G816" s="4" t="str">
        <f>IF(Jugadores!B816="","",Jugadores!A816)</f>
        <v/>
      </c>
      <c r="H816" s="4" t="str">
        <f>IF(F816="","",SUMIF('Estadísticas Jugadores'!$F$2:$F$7001,F816,'Estadísticas Jugadores'!$L$2:$L$7001))</f>
        <v/>
      </c>
      <c r="I816" s="4" t="str">
        <f t="shared" si="63"/>
        <v/>
      </c>
      <c r="J816" s="4" t="str">
        <f t="shared" si="64"/>
        <v/>
      </c>
    </row>
    <row r="817" spans="1:10" ht="15" customHeight="1" x14ac:dyDescent="0.25">
      <c r="A817" s="8" t="str">
        <f>IF(COUNT($J$2:$J$1501)&gt;=816,816,"")</f>
        <v/>
      </c>
      <c r="B817" s="8" t="str">
        <f t="shared" si="60"/>
        <v/>
      </c>
      <c r="C817" s="8" t="str">
        <f t="shared" si="61"/>
        <v/>
      </c>
      <c r="D817" s="8" t="str">
        <f t="shared" si="62"/>
        <v/>
      </c>
      <c r="F817" s="4" t="str">
        <f>IF(Jugadores!B817="","",Jugadores!B817)</f>
        <v/>
      </c>
      <c r="G817" s="4" t="str">
        <f>IF(Jugadores!B817="","",Jugadores!A817)</f>
        <v/>
      </c>
      <c r="H817" s="4" t="str">
        <f>IF(F817="","",SUMIF('Estadísticas Jugadores'!$F$2:$F$7001,F817,'Estadísticas Jugadores'!$L$2:$L$7001))</f>
        <v/>
      </c>
      <c r="I817" s="4" t="str">
        <f t="shared" si="63"/>
        <v/>
      </c>
      <c r="J817" s="4" t="str">
        <f t="shared" si="64"/>
        <v/>
      </c>
    </row>
    <row r="818" spans="1:10" ht="15" customHeight="1" x14ac:dyDescent="0.25">
      <c r="A818" s="8" t="str">
        <f>IF(COUNT($J$2:$J$1501)&gt;=817,817,"")</f>
        <v/>
      </c>
      <c r="B818" s="8" t="str">
        <f t="shared" si="60"/>
        <v/>
      </c>
      <c r="C818" s="8" t="str">
        <f t="shared" si="61"/>
        <v/>
      </c>
      <c r="D818" s="8" t="str">
        <f t="shared" si="62"/>
        <v/>
      </c>
      <c r="F818" s="4" t="str">
        <f>IF(Jugadores!B818="","",Jugadores!B818)</f>
        <v/>
      </c>
      <c r="G818" s="4" t="str">
        <f>IF(Jugadores!B818="","",Jugadores!A818)</f>
        <v/>
      </c>
      <c r="H818" s="4" t="str">
        <f>IF(F818="","",SUMIF('Estadísticas Jugadores'!$F$2:$F$7001,F818,'Estadísticas Jugadores'!$L$2:$L$7001))</f>
        <v/>
      </c>
      <c r="I818" s="4" t="str">
        <f t="shared" si="63"/>
        <v/>
      </c>
      <c r="J818" s="4" t="str">
        <f t="shared" si="64"/>
        <v/>
      </c>
    </row>
    <row r="819" spans="1:10" ht="15" customHeight="1" x14ac:dyDescent="0.25">
      <c r="A819" s="8" t="str">
        <f>IF(COUNT($J$2:$J$1501)&gt;=818,818,"")</f>
        <v/>
      </c>
      <c r="B819" s="8" t="str">
        <f t="shared" si="60"/>
        <v/>
      </c>
      <c r="C819" s="8" t="str">
        <f t="shared" si="61"/>
        <v/>
      </c>
      <c r="D819" s="8" t="str">
        <f t="shared" si="62"/>
        <v/>
      </c>
      <c r="F819" s="4" t="str">
        <f>IF(Jugadores!B819="","",Jugadores!B819)</f>
        <v/>
      </c>
      <c r="G819" s="4" t="str">
        <f>IF(Jugadores!B819="","",Jugadores!A819)</f>
        <v/>
      </c>
      <c r="H819" s="4" t="str">
        <f>IF(F819="","",SUMIF('Estadísticas Jugadores'!$F$2:$F$7001,F819,'Estadísticas Jugadores'!$L$2:$L$7001))</f>
        <v/>
      </c>
      <c r="I819" s="4" t="str">
        <f t="shared" si="63"/>
        <v/>
      </c>
      <c r="J819" s="4" t="str">
        <f t="shared" si="64"/>
        <v/>
      </c>
    </row>
    <row r="820" spans="1:10" ht="15" customHeight="1" x14ac:dyDescent="0.25">
      <c r="A820" s="8" t="str">
        <f>IF(COUNT($J$2:$J$1501)&gt;=819,819,"")</f>
        <v/>
      </c>
      <c r="B820" s="8" t="str">
        <f t="shared" si="60"/>
        <v/>
      </c>
      <c r="C820" s="8" t="str">
        <f t="shared" si="61"/>
        <v/>
      </c>
      <c r="D820" s="8" t="str">
        <f t="shared" si="62"/>
        <v/>
      </c>
      <c r="F820" s="4" t="str">
        <f>IF(Jugadores!B820="","",Jugadores!B820)</f>
        <v/>
      </c>
      <c r="G820" s="4" t="str">
        <f>IF(Jugadores!B820="","",Jugadores!A820)</f>
        <v/>
      </c>
      <c r="H820" s="4" t="str">
        <f>IF(F820="","",SUMIF('Estadísticas Jugadores'!$F$2:$F$7001,F820,'Estadísticas Jugadores'!$L$2:$L$7001))</f>
        <v/>
      </c>
      <c r="I820" s="4" t="str">
        <f t="shared" si="63"/>
        <v/>
      </c>
      <c r="J820" s="4" t="str">
        <f t="shared" si="64"/>
        <v/>
      </c>
    </row>
    <row r="821" spans="1:10" ht="15" customHeight="1" x14ac:dyDescent="0.25">
      <c r="A821" s="8" t="str">
        <f>IF(COUNT($J$2:$J$1501)&gt;=820,820,"")</f>
        <v/>
      </c>
      <c r="B821" s="8" t="str">
        <f t="shared" si="60"/>
        <v/>
      </c>
      <c r="C821" s="8" t="str">
        <f t="shared" si="61"/>
        <v/>
      </c>
      <c r="D821" s="8" t="str">
        <f t="shared" si="62"/>
        <v/>
      </c>
      <c r="F821" s="4" t="str">
        <f>IF(Jugadores!B821="","",Jugadores!B821)</f>
        <v/>
      </c>
      <c r="G821" s="4" t="str">
        <f>IF(Jugadores!B821="","",Jugadores!A821)</f>
        <v/>
      </c>
      <c r="H821" s="4" t="str">
        <f>IF(F821="","",SUMIF('Estadísticas Jugadores'!$F$2:$F$7001,F821,'Estadísticas Jugadores'!$L$2:$L$7001))</f>
        <v/>
      </c>
      <c r="I821" s="4" t="str">
        <f t="shared" si="63"/>
        <v/>
      </c>
      <c r="J821" s="4" t="str">
        <f t="shared" si="64"/>
        <v/>
      </c>
    </row>
    <row r="822" spans="1:10" ht="15" customHeight="1" x14ac:dyDescent="0.25">
      <c r="A822" s="8" t="str">
        <f>IF(COUNT($J$2:$J$1501)&gt;=821,821,"")</f>
        <v/>
      </c>
      <c r="B822" s="8" t="str">
        <f t="shared" si="60"/>
        <v/>
      </c>
      <c r="C822" s="8" t="str">
        <f t="shared" si="61"/>
        <v/>
      </c>
      <c r="D822" s="8" t="str">
        <f t="shared" si="62"/>
        <v/>
      </c>
      <c r="F822" s="4" t="str">
        <f>IF(Jugadores!B822="","",Jugadores!B822)</f>
        <v/>
      </c>
      <c r="G822" s="4" t="str">
        <f>IF(Jugadores!B822="","",Jugadores!A822)</f>
        <v/>
      </c>
      <c r="H822" s="4" t="str">
        <f>IF(F822="","",SUMIF('Estadísticas Jugadores'!$F$2:$F$7001,F822,'Estadísticas Jugadores'!$L$2:$L$7001))</f>
        <v/>
      </c>
      <c r="I822" s="4" t="str">
        <f t="shared" si="63"/>
        <v/>
      </c>
      <c r="J822" s="4" t="str">
        <f t="shared" si="64"/>
        <v/>
      </c>
    </row>
    <row r="823" spans="1:10" ht="15" customHeight="1" x14ac:dyDescent="0.25">
      <c r="A823" s="8" t="str">
        <f>IF(COUNT($J$2:$J$1501)&gt;=822,822,"")</f>
        <v/>
      </c>
      <c r="B823" s="8" t="str">
        <f t="shared" si="60"/>
        <v/>
      </c>
      <c r="C823" s="8" t="str">
        <f t="shared" si="61"/>
        <v/>
      </c>
      <c r="D823" s="8" t="str">
        <f t="shared" si="62"/>
        <v/>
      </c>
      <c r="F823" s="4" t="str">
        <f>IF(Jugadores!B823="","",Jugadores!B823)</f>
        <v/>
      </c>
      <c r="G823" s="4" t="str">
        <f>IF(Jugadores!B823="","",Jugadores!A823)</f>
        <v/>
      </c>
      <c r="H823" s="4" t="str">
        <f>IF(F823="","",SUMIF('Estadísticas Jugadores'!$F$2:$F$7001,F823,'Estadísticas Jugadores'!$L$2:$L$7001))</f>
        <v/>
      </c>
      <c r="I823" s="4" t="str">
        <f t="shared" si="63"/>
        <v/>
      </c>
      <c r="J823" s="4" t="str">
        <f t="shared" si="64"/>
        <v/>
      </c>
    </row>
    <row r="824" spans="1:10" ht="15" customHeight="1" x14ac:dyDescent="0.25">
      <c r="A824" s="8" t="str">
        <f>IF(COUNT($J$2:$J$1501)&gt;=823,823,"")</f>
        <v/>
      </c>
      <c r="B824" s="8" t="str">
        <f t="shared" si="60"/>
        <v/>
      </c>
      <c r="C824" s="8" t="str">
        <f t="shared" si="61"/>
        <v/>
      </c>
      <c r="D824" s="8" t="str">
        <f t="shared" si="62"/>
        <v/>
      </c>
      <c r="F824" s="4" t="str">
        <f>IF(Jugadores!B824="","",Jugadores!B824)</f>
        <v/>
      </c>
      <c r="G824" s="4" t="str">
        <f>IF(Jugadores!B824="","",Jugadores!A824)</f>
        <v/>
      </c>
      <c r="H824" s="4" t="str">
        <f>IF(F824="","",SUMIF('Estadísticas Jugadores'!$F$2:$F$7001,F824,'Estadísticas Jugadores'!$L$2:$L$7001))</f>
        <v/>
      </c>
      <c r="I824" s="4" t="str">
        <f t="shared" si="63"/>
        <v/>
      </c>
      <c r="J824" s="4" t="str">
        <f t="shared" si="64"/>
        <v/>
      </c>
    </row>
    <row r="825" spans="1:10" ht="15" customHeight="1" x14ac:dyDescent="0.25">
      <c r="A825" s="8" t="str">
        <f>IF(COUNT($J$2:$J$1501)&gt;=824,824,"")</f>
        <v/>
      </c>
      <c r="B825" s="8" t="str">
        <f t="shared" si="60"/>
        <v/>
      </c>
      <c r="C825" s="8" t="str">
        <f t="shared" si="61"/>
        <v/>
      </c>
      <c r="D825" s="8" t="str">
        <f t="shared" si="62"/>
        <v/>
      </c>
      <c r="F825" s="4" t="str">
        <f>IF(Jugadores!B825="","",Jugadores!B825)</f>
        <v/>
      </c>
      <c r="G825" s="4" t="str">
        <f>IF(Jugadores!B825="","",Jugadores!A825)</f>
        <v/>
      </c>
      <c r="H825" s="4" t="str">
        <f>IF(F825="","",SUMIF('Estadísticas Jugadores'!$F$2:$F$7001,F825,'Estadísticas Jugadores'!$L$2:$L$7001))</f>
        <v/>
      </c>
      <c r="I825" s="4" t="str">
        <f t="shared" si="63"/>
        <v/>
      </c>
      <c r="J825" s="4" t="str">
        <f t="shared" si="64"/>
        <v/>
      </c>
    </row>
    <row r="826" spans="1:10" ht="15" customHeight="1" x14ac:dyDescent="0.25">
      <c r="A826" s="8" t="str">
        <f>IF(COUNT($J$2:$J$1501)&gt;=825,825,"")</f>
        <v/>
      </c>
      <c r="B826" s="8" t="str">
        <f t="shared" si="60"/>
        <v/>
      </c>
      <c r="C826" s="8" t="str">
        <f t="shared" si="61"/>
        <v/>
      </c>
      <c r="D826" s="8" t="str">
        <f t="shared" si="62"/>
        <v/>
      </c>
      <c r="F826" s="4" t="str">
        <f>IF(Jugadores!B826="","",Jugadores!B826)</f>
        <v/>
      </c>
      <c r="G826" s="4" t="str">
        <f>IF(Jugadores!B826="","",Jugadores!A826)</f>
        <v/>
      </c>
      <c r="H826" s="4" t="str">
        <f>IF(F826="","",SUMIF('Estadísticas Jugadores'!$F$2:$F$7001,F826,'Estadísticas Jugadores'!$L$2:$L$7001))</f>
        <v/>
      </c>
      <c r="I826" s="4" t="str">
        <f t="shared" si="63"/>
        <v/>
      </c>
      <c r="J826" s="4" t="str">
        <f t="shared" si="64"/>
        <v/>
      </c>
    </row>
    <row r="827" spans="1:10" ht="15" customHeight="1" x14ac:dyDescent="0.25">
      <c r="A827" s="8" t="str">
        <f>IF(COUNT($J$2:$J$1501)&gt;=826,826,"")</f>
        <v/>
      </c>
      <c r="B827" s="8" t="str">
        <f t="shared" si="60"/>
        <v/>
      </c>
      <c r="C827" s="8" t="str">
        <f t="shared" si="61"/>
        <v/>
      </c>
      <c r="D827" s="8" t="str">
        <f t="shared" si="62"/>
        <v/>
      </c>
      <c r="F827" s="4" t="str">
        <f>IF(Jugadores!B827="","",Jugadores!B827)</f>
        <v/>
      </c>
      <c r="G827" s="4" t="str">
        <f>IF(Jugadores!B827="","",Jugadores!A827)</f>
        <v/>
      </c>
      <c r="H827" s="4" t="str">
        <f>IF(F827="","",SUMIF('Estadísticas Jugadores'!$F$2:$F$7001,F827,'Estadísticas Jugadores'!$L$2:$L$7001))</f>
        <v/>
      </c>
      <c r="I827" s="4" t="str">
        <f t="shared" si="63"/>
        <v/>
      </c>
      <c r="J827" s="4" t="str">
        <f t="shared" si="64"/>
        <v/>
      </c>
    </row>
    <row r="828" spans="1:10" ht="15" customHeight="1" x14ac:dyDescent="0.25">
      <c r="A828" s="8" t="str">
        <f>IF(COUNT($J$2:$J$1501)&gt;=827,827,"")</f>
        <v/>
      </c>
      <c r="B828" s="8" t="str">
        <f t="shared" si="60"/>
        <v/>
      </c>
      <c r="C828" s="8" t="str">
        <f t="shared" si="61"/>
        <v/>
      </c>
      <c r="D828" s="8" t="str">
        <f t="shared" si="62"/>
        <v/>
      </c>
      <c r="F828" s="4" t="str">
        <f>IF(Jugadores!B828="","",Jugadores!B828)</f>
        <v/>
      </c>
      <c r="G828" s="4" t="str">
        <f>IF(Jugadores!B828="","",Jugadores!A828)</f>
        <v/>
      </c>
      <c r="H828" s="4" t="str">
        <f>IF(F828="","",SUMIF('Estadísticas Jugadores'!$F$2:$F$7001,F828,'Estadísticas Jugadores'!$L$2:$L$7001))</f>
        <v/>
      </c>
      <c r="I828" s="4" t="str">
        <f t="shared" si="63"/>
        <v/>
      </c>
      <c r="J828" s="4" t="str">
        <f t="shared" si="64"/>
        <v/>
      </c>
    </row>
    <row r="829" spans="1:10" ht="15" customHeight="1" x14ac:dyDescent="0.25">
      <c r="A829" s="8" t="str">
        <f>IF(COUNT($J$2:$J$1501)&gt;=828,828,"")</f>
        <v/>
      </c>
      <c r="B829" s="8" t="str">
        <f t="shared" si="60"/>
        <v/>
      </c>
      <c r="C829" s="8" t="str">
        <f t="shared" si="61"/>
        <v/>
      </c>
      <c r="D829" s="8" t="str">
        <f t="shared" si="62"/>
        <v/>
      </c>
      <c r="F829" s="4" t="str">
        <f>IF(Jugadores!B829="","",Jugadores!B829)</f>
        <v/>
      </c>
      <c r="G829" s="4" t="str">
        <f>IF(Jugadores!B829="","",Jugadores!A829)</f>
        <v/>
      </c>
      <c r="H829" s="4" t="str">
        <f>IF(F829="","",SUMIF('Estadísticas Jugadores'!$F$2:$F$7001,F829,'Estadísticas Jugadores'!$L$2:$L$7001))</f>
        <v/>
      </c>
      <c r="I829" s="4" t="str">
        <f t="shared" si="63"/>
        <v/>
      </c>
      <c r="J829" s="4" t="str">
        <f t="shared" si="64"/>
        <v/>
      </c>
    </row>
    <row r="830" spans="1:10" ht="15" customHeight="1" x14ac:dyDescent="0.25">
      <c r="A830" s="8" t="str">
        <f>IF(COUNT($J$2:$J$1501)&gt;=829,829,"")</f>
        <v/>
      </c>
      <c r="B830" s="8" t="str">
        <f t="shared" si="60"/>
        <v/>
      </c>
      <c r="C830" s="8" t="str">
        <f t="shared" si="61"/>
        <v/>
      </c>
      <c r="D830" s="8" t="str">
        <f t="shared" si="62"/>
        <v/>
      </c>
      <c r="F830" s="4" t="str">
        <f>IF(Jugadores!B830="","",Jugadores!B830)</f>
        <v/>
      </c>
      <c r="G830" s="4" t="str">
        <f>IF(Jugadores!B830="","",Jugadores!A830)</f>
        <v/>
      </c>
      <c r="H830" s="4" t="str">
        <f>IF(F830="","",SUMIF('Estadísticas Jugadores'!$F$2:$F$7001,F830,'Estadísticas Jugadores'!$L$2:$L$7001))</f>
        <v/>
      </c>
      <c r="I830" s="4" t="str">
        <f t="shared" si="63"/>
        <v/>
      </c>
      <c r="J830" s="4" t="str">
        <f t="shared" si="64"/>
        <v/>
      </c>
    </row>
    <row r="831" spans="1:10" ht="15" customHeight="1" x14ac:dyDescent="0.25">
      <c r="A831" s="8" t="str">
        <f>IF(COUNT($J$2:$J$1501)&gt;=830,830,"")</f>
        <v/>
      </c>
      <c r="B831" s="8" t="str">
        <f t="shared" si="60"/>
        <v/>
      </c>
      <c r="C831" s="8" t="str">
        <f t="shared" si="61"/>
        <v/>
      </c>
      <c r="D831" s="8" t="str">
        <f t="shared" si="62"/>
        <v/>
      </c>
      <c r="F831" s="4" t="str">
        <f>IF(Jugadores!B831="","",Jugadores!B831)</f>
        <v/>
      </c>
      <c r="G831" s="4" t="str">
        <f>IF(Jugadores!B831="","",Jugadores!A831)</f>
        <v/>
      </c>
      <c r="H831" s="4" t="str">
        <f>IF(F831="","",SUMIF('Estadísticas Jugadores'!$F$2:$F$7001,F831,'Estadísticas Jugadores'!$L$2:$L$7001))</f>
        <v/>
      </c>
      <c r="I831" s="4" t="str">
        <f t="shared" si="63"/>
        <v/>
      </c>
      <c r="J831" s="4" t="str">
        <f t="shared" si="64"/>
        <v/>
      </c>
    </row>
    <row r="832" spans="1:10" ht="15" customHeight="1" x14ac:dyDescent="0.25">
      <c r="A832" s="8" t="str">
        <f>IF(COUNT($J$2:$J$1501)&gt;=831,831,"")</f>
        <v/>
      </c>
      <c r="B832" s="8" t="str">
        <f t="shared" si="60"/>
        <v/>
      </c>
      <c r="C832" s="8" t="str">
        <f t="shared" si="61"/>
        <v/>
      </c>
      <c r="D832" s="8" t="str">
        <f t="shared" si="62"/>
        <v/>
      </c>
      <c r="F832" s="4" t="str">
        <f>IF(Jugadores!B832="","",Jugadores!B832)</f>
        <v/>
      </c>
      <c r="G832" s="4" t="str">
        <f>IF(Jugadores!B832="","",Jugadores!A832)</f>
        <v/>
      </c>
      <c r="H832" s="4" t="str">
        <f>IF(F832="","",SUMIF('Estadísticas Jugadores'!$F$2:$F$7001,F832,'Estadísticas Jugadores'!$L$2:$L$7001))</f>
        <v/>
      </c>
      <c r="I832" s="4" t="str">
        <f t="shared" si="63"/>
        <v/>
      </c>
      <c r="J832" s="4" t="str">
        <f t="shared" si="64"/>
        <v/>
      </c>
    </row>
    <row r="833" spans="1:10" ht="15" customHeight="1" x14ac:dyDescent="0.25">
      <c r="A833" s="8" t="str">
        <f>IF(COUNT($J$2:$J$1501)&gt;=832,832,"")</f>
        <v/>
      </c>
      <c r="B833" s="8" t="str">
        <f t="shared" si="60"/>
        <v/>
      </c>
      <c r="C833" s="8" t="str">
        <f t="shared" si="61"/>
        <v/>
      </c>
      <c r="D833" s="8" t="str">
        <f t="shared" si="62"/>
        <v/>
      </c>
      <c r="F833" s="4" t="str">
        <f>IF(Jugadores!B833="","",Jugadores!B833)</f>
        <v/>
      </c>
      <c r="G833" s="4" t="str">
        <f>IF(Jugadores!B833="","",Jugadores!A833)</f>
        <v/>
      </c>
      <c r="H833" s="4" t="str">
        <f>IF(F833="","",SUMIF('Estadísticas Jugadores'!$F$2:$F$7001,F833,'Estadísticas Jugadores'!$L$2:$L$7001))</f>
        <v/>
      </c>
      <c r="I833" s="4" t="str">
        <f t="shared" si="63"/>
        <v/>
      </c>
      <c r="J833" s="4" t="str">
        <f t="shared" si="64"/>
        <v/>
      </c>
    </row>
    <row r="834" spans="1:10" ht="15" customHeight="1" x14ac:dyDescent="0.25">
      <c r="A834" s="8" t="str">
        <f>IF(COUNT($J$2:$J$1501)&gt;=833,833,"")</f>
        <v/>
      </c>
      <c r="B834" s="8" t="str">
        <f t="shared" ref="B834:B897" si="65">IF($A834="","",INDEX($F$2:$F$1501,MATCH($A834,$J$2:$J$1501,0)))</f>
        <v/>
      </c>
      <c r="C834" s="8" t="str">
        <f t="shared" ref="C834:C897" si="66">IF($A834="","",INDEX($G$2:$G$1501,MATCH($A834,$J$2:$J$1501,0)))</f>
        <v/>
      </c>
      <c r="D834" s="8" t="str">
        <f t="shared" ref="D834:D897" si="67">IF($A834="","",INDEX($H$2:$H$1501,MATCH($A834,$J$2:$J$1501,0)))</f>
        <v/>
      </c>
      <c r="F834" s="4" t="str">
        <f>IF(Jugadores!B834="","",Jugadores!B834)</f>
        <v/>
      </c>
      <c r="G834" s="4" t="str">
        <f>IF(Jugadores!B834="","",Jugadores!A834)</f>
        <v/>
      </c>
      <c r="H834" s="4" t="str">
        <f>IF(F834="","",SUMIF('Estadísticas Jugadores'!$F$2:$F$7001,F834,'Estadísticas Jugadores'!$L$2:$L$7001))</f>
        <v/>
      </c>
      <c r="I834" s="4" t="str">
        <f t="shared" ref="I834:I897" si="68">IF(F834="","",H834*1000-ROW()*0.0000001)</f>
        <v/>
      </c>
      <c r="J834" s="4" t="str">
        <f t="shared" ref="J834:J897" si="69">IF(F834="","",RANK(I834,$I$2:$I$1501))</f>
        <v/>
      </c>
    </row>
    <row r="835" spans="1:10" ht="15" customHeight="1" x14ac:dyDescent="0.25">
      <c r="A835" s="8" t="str">
        <f>IF(COUNT($J$2:$J$1501)&gt;=834,834,"")</f>
        <v/>
      </c>
      <c r="B835" s="8" t="str">
        <f t="shared" si="65"/>
        <v/>
      </c>
      <c r="C835" s="8" t="str">
        <f t="shared" si="66"/>
        <v/>
      </c>
      <c r="D835" s="8" t="str">
        <f t="shared" si="67"/>
        <v/>
      </c>
      <c r="F835" s="4" t="str">
        <f>IF(Jugadores!B835="","",Jugadores!B835)</f>
        <v/>
      </c>
      <c r="G835" s="4" t="str">
        <f>IF(Jugadores!B835="","",Jugadores!A835)</f>
        <v/>
      </c>
      <c r="H835" s="4" t="str">
        <f>IF(F835="","",SUMIF('Estadísticas Jugadores'!$F$2:$F$7001,F835,'Estadísticas Jugadores'!$L$2:$L$7001))</f>
        <v/>
      </c>
      <c r="I835" s="4" t="str">
        <f t="shared" si="68"/>
        <v/>
      </c>
      <c r="J835" s="4" t="str">
        <f t="shared" si="69"/>
        <v/>
      </c>
    </row>
    <row r="836" spans="1:10" ht="15" customHeight="1" x14ac:dyDescent="0.25">
      <c r="A836" s="8" t="str">
        <f>IF(COUNT($J$2:$J$1501)&gt;=835,835,"")</f>
        <v/>
      </c>
      <c r="B836" s="8" t="str">
        <f t="shared" si="65"/>
        <v/>
      </c>
      <c r="C836" s="8" t="str">
        <f t="shared" si="66"/>
        <v/>
      </c>
      <c r="D836" s="8" t="str">
        <f t="shared" si="67"/>
        <v/>
      </c>
      <c r="F836" s="4" t="str">
        <f>IF(Jugadores!B836="","",Jugadores!B836)</f>
        <v/>
      </c>
      <c r="G836" s="4" t="str">
        <f>IF(Jugadores!B836="","",Jugadores!A836)</f>
        <v/>
      </c>
      <c r="H836" s="4" t="str">
        <f>IF(F836="","",SUMIF('Estadísticas Jugadores'!$F$2:$F$7001,F836,'Estadísticas Jugadores'!$L$2:$L$7001))</f>
        <v/>
      </c>
      <c r="I836" s="4" t="str">
        <f t="shared" si="68"/>
        <v/>
      </c>
      <c r="J836" s="4" t="str">
        <f t="shared" si="69"/>
        <v/>
      </c>
    </row>
    <row r="837" spans="1:10" ht="15" customHeight="1" x14ac:dyDescent="0.25">
      <c r="A837" s="8" t="str">
        <f>IF(COUNT($J$2:$J$1501)&gt;=836,836,"")</f>
        <v/>
      </c>
      <c r="B837" s="8" t="str">
        <f t="shared" si="65"/>
        <v/>
      </c>
      <c r="C837" s="8" t="str">
        <f t="shared" si="66"/>
        <v/>
      </c>
      <c r="D837" s="8" t="str">
        <f t="shared" si="67"/>
        <v/>
      </c>
      <c r="F837" s="4" t="str">
        <f>IF(Jugadores!B837="","",Jugadores!B837)</f>
        <v/>
      </c>
      <c r="G837" s="4" t="str">
        <f>IF(Jugadores!B837="","",Jugadores!A837)</f>
        <v/>
      </c>
      <c r="H837" s="4" t="str">
        <f>IF(F837="","",SUMIF('Estadísticas Jugadores'!$F$2:$F$7001,F837,'Estadísticas Jugadores'!$L$2:$L$7001))</f>
        <v/>
      </c>
      <c r="I837" s="4" t="str">
        <f t="shared" si="68"/>
        <v/>
      </c>
      <c r="J837" s="4" t="str">
        <f t="shared" si="69"/>
        <v/>
      </c>
    </row>
    <row r="838" spans="1:10" ht="15" customHeight="1" x14ac:dyDescent="0.25">
      <c r="A838" s="8" t="str">
        <f>IF(COUNT($J$2:$J$1501)&gt;=837,837,"")</f>
        <v/>
      </c>
      <c r="B838" s="8" t="str">
        <f t="shared" si="65"/>
        <v/>
      </c>
      <c r="C838" s="8" t="str">
        <f t="shared" si="66"/>
        <v/>
      </c>
      <c r="D838" s="8" t="str">
        <f t="shared" si="67"/>
        <v/>
      </c>
      <c r="F838" s="4" t="str">
        <f>IF(Jugadores!B838="","",Jugadores!B838)</f>
        <v/>
      </c>
      <c r="G838" s="4" t="str">
        <f>IF(Jugadores!B838="","",Jugadores!A838)</f>
        <v/>
      </c>
      <c r="H838" s="4" t="str">
        <f>IF(F838="","",SUMIF('Estadísticas Jugadores'!$F$2:$F$7001,F838,'Estadísticas Jugadores'!$L$2:$L$7001))</f>
        <v/>
      </c>
      <c r="I838" s="4" t="str">
        <f t="shared" si="68"/>
        <v/>
      </c>
      <c r="J838" s="4" t="str">
        <f t="shared" si="69"/>
        <v/>
      </c>
    </row>
    <row r="839" spans="1:10" ht="15" customHeight="1" x14ac:dyDescent="0.25">
      <c r="A839" s="8" t="str">
        <f>IF(COUNT($J$2:$J$1501)&gt;=838,838,"")</f>
        <v/>
      </c>
      <c r="B839" s="8" t="str">
        <f t="shared" si="65"/>
        <v/>
      </c>
      <c r="C839" s="8" t="str">
        <f t="shared" si="66"/>
        <v/>
      </c>
      <c r="D839" s="8" t="str">
        <f t="shared" si="67"/>
        <v/>
      </c>
      <c r="F839" s="4" t="str">
        <f>IF(Jugadores!B839="","",Jugadores!B839)</f>
        <v/>
      </c>
      <c r="G839" s="4" t="str">
        <f>IF(Jugadores!B839="","",Jugadores!A839)</f>
        <v/>
      </c>
      <c r="H839" s="4" t="str">
        <f>IF(F839="","",SUMIF('Estadísticas Jugadores'!$F$2:$F$7001,F839,'Estadísticas Jugadores'!$L$2:$L$7001))</f>
        <v/>
      </c>
      <c r="I839" s="4" t="str">
        <f t="shared" si="68"/>
        <v/>
      </c>
      <c r="J839" s="4" t="str">
        <f t="shared" si="69"/>
        <v/>
      </c>
    </row>
    <row r="840" spans="1:10" ht="15" customHeight="1" x14ac:dyDescent="0.25">
      <c r="A840" s="8" t="str">
        <f>IF(COUNT($J$2:$J$1501)&gt;=839,839,"")</f>
        <v/>
      </c>
      <c r="B840" s="8" t="str">
        <f t="shared" si="65"/>
        <v/>
      </c>
      <c r="C840" s="8" t="str">
        <f t="shared" si="66"/>
        <v/>
      </c>
      <c r="D840" s="8" t="str">
        <f t="shared" si="67"/>
        <v/>
      </c>
      <c r="F840" s="4" t="str">
        <f>IF(Jugadores!B840="","",Jugadores!B840)</f>
        <v/>
      </c>
      <c r="G840" s="4" t="str">
        <f>IF(Jugadores!B840="","",Jugadores!A840)</f>
        <v/>
      </c>
      <c r="H840" s="4" t="str">
        <f>IF(F840="","",SUMIF('Estadísticas Jugadores'!$F$2:$F$7001,F840,'Estadísticas Jugadores'!$L$2:$L$7001))</f>
        <v/>
      </c>
      <c r="I840" s="4" t="str">
        <f t="shared" si="68"/>
        <v/>
      </c>
      <c r="J840" s="4" t="str">
        <f t="shared" si="69"/>
        <v/>
      </c>
    </row>
    <row r="841" spans="1:10" ht="15" customHeight="1" x14ac:dyDescent="0.25">
      <c r="A841" s="8" t="str">
        <f>IF(COUNT($J$2:$J$1501)&gt;=840,840,"")</f>
        <v/>
      </c>
      <c r="B841" s="8" t="str">
        <f t="shared" si="65"/>
        <v/>
      </c>
      <c r="C841" s="8" t="str">
        <f t="shared" si="66"/>
        <v/>
      </c>
      <c r="D841" s="8" t="str">
        <f t="shared" si="67"/>
        <v/>
      </c>
      <c r="F841" s="4" t="str">
        <f>IF(Jugadores!B841="","",Jugadores!B841)</f>
        <v/>
      </c>
      <c r="G841" s="4" t="str">
        <f>IF(Jugadores!B841="","",Jugadores!A841)</f>
        <v/>
      </c>
      <c r="H841" s="4" t="str">
        <f>IF(F841="","",SUMIF('Estadísticas Jugadores'!$F$2:$F$7001,F841,'Estadísticas Jugadores'!$L$2:$L$7001))</f>
        <v/>
      </c>
      <c r="I841" s="4" t="str">
        <f t="shared" si="68"/>
        <v/>
      </c>
      <c r="J841" s="4" t="str">
        <f t="shared" si="69"/>
        <v/>
      </c>
    </row>
    <row r="842" spans="1:10" ht="15" customHeight="1" x14ac:dyDescent="0.25">
      <c r="A842" s="8" t="str">
        <f>IF(COUNT($J$2:$J$1501)&gt;=841,841,"")</f>
        <v/>
      </c>
      <c r="B842" s="8" t="str">
        <f t="shared" si="65"/>
        <v/>
      </c>
      <c r="C842" s="8" t="str">
        <f t="shared" si="66"/>
        <v/>
      </c>
      <c r="D842" s="8" t="str">
        <f t="shared" si="67"/>
        <v/>
      </c>
      <c r="F842" s="4" t="str">
        <f>IF(Jugadores!B842="","",Jugadores!B842)</f>
        <v/>
      </c>
      <c r="G842" s="4" t="str">
        <f>IF(Jugadores!B842="","",Jugadores!A842)</f>
        <v/>
      </c>
      <c r="H842" s="4" t="str">
        <f>IF(F842="","",SUMIF('Estadísticas Jugadores'!$F$2:$F$7001,F842,'Estadísticas Jugadores'!$L$2:$L$7001))</f>
        <v/>
      </c>
      <c r="I842" s="4" t="str">
        <f t="shared" si="68"/>
        <v/>
      </c>
      <c r="J842" s="4" t="str">
        <f t="shared" si="69"/>
        <v/>
      </c>
    </row>
    <row r="843" spans="1:10" ht="15" customHeight="1" x14ac:dyDescent="0.25">
      <c r="A843" s="8" t="str">
        <f>IF(COUNT($J$2:$J$1501)&gt;=842,842,"")</f>
        <v/>
      </c>
      <c r="B843" s="8" t="str">
        <f t="shared" si="65"/>
        <v/>
      </c>
      <c r="C843" s="8" t="str">
        <f t="shared" si="66"/>
        <v/>
      </c>
      <c r="D843" s="8" t="str">
        <f t="shared" si="67"/>
        <v/>
      </c>
      <c r="F843" s="4" t="str">
        <f>IF(Jugadores!B843="","",Jugadores!B843)</f>
        <v/>
      </c>
      <c r="G843" s="4" t="str">
        <f>IF(Jugadores!B843="","",Jugadores!A843)</f>
        <v/>
      </c>
      <c r="H843" s="4" t="str">
        <f>IF(F843="","",SUMIF('Estadísticas Jugadores'!$F$2:$F$7001,F843,'Estadísticas Jugadores'!$L$2:$L$7001))</f>
        <v/>
      </c>
      <c r="I843" s="4" t="str">
        <f t="shared" si="68"/>
        <v/>
      </c>
      <c r="J843" s="4" t="str">
        <f t="shared" si="69"/>
        <v/>
      </c>
    </row>
    <row r="844" spans="1:10" ht="15" customHeight="1" x14ac:dyDescent="0.25">
      <c r="A844" s="8" t="str">
        <f>IF(COUNT($J$2:$J$1501)&gt;=843,843,"")</f>
        <v/>
      </c>
      <c r="B844" s="8" t="str">
        <f t="shared" si="65"/>
        <v/>
      </c>
      <c r="C844" s="8" t="str">
        <f t="shared" si="66"/>
        <v/>
      </c>
      <c r="D844" s="8" t="str">
        <f t="shared" si="67"/>
        <v/>
      </c>
      <c r="F844" s="4" t="str">
        <f>IF(Jugadores!B844="","",Jugadores!B844)</f>
        <v/>
      </c>
      <c r="G844" s="4" t="str">
        <f>IF(Jugadores!B844="","",Jugadores!A844)</f>
        <v/>
      </c>
      <c r="H844" s="4" t="str">
        <f>IF(F844="","",SUMIF('Estadísticas Jugadores'!$F$2:$F$7001,F844,'Estadísticas Jugadores'!$L$2:$L$7001))</f>
        <v/>
      </c>
      <c r="I844" s="4" t="str">
        <f t="shared" si="68"/>
        <v/>
      </c>
      <c r="J844" s="4" t="str">
        <f t="shared" si="69"/>
        <v/>
      </c>
    </row>
    <row r="845" spans="1:10" ht="15" customHeight="1" x14ac:dyDescent="0.25">
      <c r="A845" s="8" t="str">
        <f>IF(COUNT($J$2:$J$1501)&gt;=844,844,"")</f>
        <v/>
      </c>
      <c r="B845" s="8" t="str">
        <f t="shared" si="65"/>
        <v/>
      </c>
      <c r="C845" s="8" t="str">
        <f t="shared" si="66"/>
        <v/>
      </c>
      <c r="D845" s="8" t="str">
        <f t="shared" si="67"/>
        <v/>
      </c>
      <c r="F845" s="4" t="str">
        <f>IF(Jugadores!B845="","",Jugadores!B845)</f>
        <v/>
      </c>
      <c r="G845" s="4" t="str">
        <f>IF(Jugadores!B845="","",Jugadores!A845)</f>
        <v/>
      </c>
      <c r="H845" s="4" t="str">
        <f>IF(F845="","",SUMIF('Estadísticas Jugadores'!$F$2:$F$7001,F845,'Estadísticas Jugadores'!$L$2:$L$7001))</f>
        <v/>
      </c>
      <c r="I845" s="4" t="str">
        <f t="shared" si="68"/>
        <v/>
      </c>
      <c r="J845" s="4" t="str">
        <f t="shared" si="69"/>
        <v/>
      </c>
    </row>
    <row r="846" spans="1:10" ht="15" customHeight="1" x14ac:dyDescent="0.25">
      <c r="A846" s="8" t="str">
        <f>IF(COUNT($J$2:$J$1501)&gt;=845,845,"")</f>
        <v/>
      </c>
      <c r="B846" s="8" t="str">
        <f t="shared" si="65"/>
        <v/>
      </c>
      <c r="C846" s="8" t="str">
        <f t="shared" si="66"/>
        <v/>
      </c>
      <c r="D846" s="8" t="str">
        <f t="shared" si="67"/>
        <v/>
      </c>
      <c r="F846" s="4" t="str">
        <f>IF(Jugadores!B846="","",Jugadores!B846)</f>
        <v/>
      </c>
      <c r="G846" s="4" t="str">
        <f>IF(Jugadores!B846="","",Jugadores!A846)</f>
        <v/>
      </c>
      <c r="H846" s="4" t="str">
        <f>IF(F846="","",SUMIF('Estadísticas Jugadores'!$F$2:$F$7001,F846,'Estadísticas Jugadores'!$L$2:$L$7001))</f>
        <v/>
      </c>
      <c r="I846" s="4" t="str">
        <f t="shared" si="68"/>
        <v/>
      </c>
      <c r="J846" s="4" t="str">
        <f t="shared" si="69"/>
        <v/>
      </c>
    </row>
    <row r="847" spans="1:10" ht="15" customHeight="1" x14ac:dyDescent="0.25">
      <c r="A847" s="8" t="str">
        <f>IF(COUNT($J$2:$J$1501)&gt;=846,846,"")</f>
        <v/>
      </c>
      <c r="B847" s="8" t="str">
        <f t="shared" si="65"/>
        <v/>
      </c>
      <c r="C847" s="8" t="str">
        <f t="shared" si="66"/>
        <v/>
      </c>
      <c r="D847" s="8" t="str">
        <f t="shared" si="67"/>
        <v/>
      </c>
      <c r="F847" s="4" t="str">
        <f>IF(Jugadores!B847="","",Jugadores!B847)</f>
        <v/>
      </c>
      <c r="G847" s="4" t="str">
        <f>IF(Jugadores!B847="","",Jugadores!A847)</f>
        <v/>
      </c>
      <c r="H847" s="4" t="str">
        <f>IF(F847="","",SUMIF('Estadísticas Jugadores'!$F$2:$F$7001,F847,'Estadísticas Jugadores'!$L$2:$L$7001))</f>
        <v/>
      </c>
      <c r="I847" s="4" t="str">
        <f t="shared" si="68"/>
        <v/>
      </c>
      <c r="J847" s="4" t="str">
        <f t="shared" si="69"/>
        <v/>
      </c>
    </row>
    <row r="848" spans="1:10" ht="15" customHeight="1" x14ac:dyDescent="0.25">
      <c r="A848" s="8" t="str">
        <f>IF(COUNT($J$2:$J$1501)&gt;=847,847,"")</f>
        <v/>
      </c>
      <c r="B848" s="8" t="str">
        <f t="shared" si="65"/>
        <v/>
      </c>
      <c r="C848" s="8" t="str">
        <f t="shared" si="66"/>
        <v/>
      </c>
      <c r="D848" s="8" t="str">
        <f t="shared" si="67"/>
        <v/>
      </c>
      <c r="F848" s="4" t="str">
        <f>IF(Jugadores!B848="","",Jugadores!B848)</f>
        <v/>
      </c>
      <c r="G848" s="4" t="str">
        <f>IF(Jugadores!B848="","",Jugadores!A848)</f>
        <v/>
      </c>
      <c r="H848" s="4" t="str">
        <f>IF(F848="","",SUMIF('Estadísticas Jugadores'!$F$2:$F$7001,F848,'Estadísticas Jugadores'!$L$2:$L$7001))</f>
        <v/>
      </c>
      <c r="I848" s="4" t="str">
        <f t="shared" si="68"/>
        <v/>
      </c>
      <c r="J848" s="4" t="str">
        <f t="shared" si="69"/>
        <v/>
      </c>
    </row>
    <row r="849" spans="1:10" ht="15" customHeight="1" x14ac:dyDescent="0.25">
      <c r="A849" s="8" t="str">
        <f>IF(COUNT($J$2:$J$1501)&gt;=848,848,"")</f>
        <v/>
      </c>
      <c r="B849" s="8" t="str">
        <f t="shared" si="65"/>
        <v/>
      </c>
      <c r="C849" s="8" t="str">
        <f t="shared" si="66"/>
        <v/>
      </c>
      <c r="D849" s="8" t="str">
        <f t="shared" si="67"/>
        <v/>
      </c>
      <c r="F849" s="4" t="str">
        <f>IF(Jugadores!B849="","",Jugadores!B849)</f>
        <v/>
      </c>
      <c r="G849" s="4" t="str">
        <f>IF(Jugadores!B849="","",Jugadores!A849)</f>
        <v/>
      </c>
      <c r="H849" s="4" t="str">
        <f>IF(F849="","",SUMIF('Estadísticas Jugadores'!$F$2:$F$7001,F849,'Estadísticas Jugadores'!$L$2:$L$7001))</f>
        <v/>
      </c>
      <c r="I849" s="4" t="str">
        <f t="shared" si="68"/>
        <v/>
      </c>
      <c r="J849" s="4" t="str">
        <f t="shared" si="69"/>
        <v/>
      </c>
    </row>
    <row r="850" spans="1:10" ht="15" customHeight="1" x14ac:dyDescent="0.25">
      <c r="A850" s="8" t="str">
        <f>IF(COUNT($J$2:$J$1501)&gt;=849,849,"")</f>
        <v/>
      </c>
      <c r="B850" s="8" t="str">
        <f t="shared" si="65"/>
        <v/>
      </c>
      <c r="C850" s="8" t="str">
        <f t="shared" si="66"/>
        <v/>
      </c>
      <c r="D850" s="8" t="str">
        <f t="shared" si="67"/>
        <v/>
      </c>
      <c r="F850" s="4" t="str">
        <f>IF(Jugadores!B850="","",Jugadores!B850)</f>
        <v/>
      </c>
      <c r="G850" s="4" t="str">
        <f>IF(Jugadores!B850="","",Jugadores!A850)</f>
        <v/>
      </c>
      <c r="H850" s="4" t="str">
        <f>IF(F850="","",SUMIF('Estadísticas Jugadores'!$F$2:$F$7001,F850,'Estadísticas Jugadores'!$L$2:$L$7001))</f>
        <v/>
      </c>
      <c r="I850" s="4" t="str">
        <f t="shared" si="68"/>
        <v/>
      </c>
      <c r="J850" s="4" t="str">
        <f t="shared" si="69"/>
        <v/>
      </c>
    </row>
    <row r="851" spans="1:10" ht="15" customHeight="1" x14ac:dyDescent="0.25">
      <c r="A851" s="8" t="str">
        <f>IF(COUNT($J$2:$J$1501)&gt;=850,850,"")</f>
        <v/>
      </c>
      <c r="B851" s="8" t="str">
        <f t="shared" si="65"/>
        <v/>
      </c>
      <c r="C851" s="8" t="str">
        <f t="shared" si="66"/>
        <v/>
      </c>
      <c r="D851" s="8" t="str">
        <f t="shared" si="67"/>
        <v/>
      </c>
      <c r="F851" s="4" t="str">
        <f>IF(Jugadores!B851="","",Jugadores!B851)</f>
        <v/>
      </c>
      <c r="G851" s="4" t="str">
        <f>IF(Jugadores!B851="","",Jugadores!A851)</f>
        <v/>
      </c>
      <c r="H851" s="4" t="str">
        <f>IF(F851="","",SUMIF('Estadísticas Jugadores'!$F$2:$F$7001,F851,'Estadísticas Jugadores'!$L$2:$L$7001))</f>
        <v/>
      </c>
      <c r="I851" s="4" t="str">
        <f t="shared" si="68"/>
        <v/>
      </c>
      <c r="J851" s="4" t="str">
        <f t="shared" si="69"/>
        <v/>
      </c>
    </row>
    <row r="852" spans="1:10" ht="15" customHeight="1" x14ac:dyDescent="0.25">
      <c r="A852" s="8" t="str">
        <f>IF(COUNT($J$2:$J$1501)&gt;=851,851,"")</f>
        <v/>
      </c>
      <c r="B852" s="8" t="str">
        <f t="shared" si="65"/>
        <v/>
      </c>
      <c r="C852" s="8" t="str">
        <f t="shared" si="66"/>
        <v/>
      </c>
      <c r="D852" s="8" t="str">
        <f t="shared" si="67"/>
        <v/>
      </c>
      <c r="F852" s="4" t="str">
        <f>IF(Jugadores!B852="","",Jugadores!B852)</f>
        <v/>
      </c>
      <c r="G852" s="4" t="str">
        <f>IF(Jugadores!B852="","",Jugadores!A852)</f>
        <v/>
      </c>
      <c r="H852" s="4" t="str">
        <f>IF(F852="","",SUMIF('Estadísticas Jugadores'!$F$2:$F$7001,F852,'Estadísticas Jugadores'!$L$2:$L$7001))</f>
        <v/>
      </c>
      <c r="I852" s="4" t="str">
        <f t="shared" si="68"/>
        <v/>
      </c>
      <c r="J852" s="4" t="str">
        <f t="shared" si="69"/>
        <v/>
      </c>
    </row>
    <row r="853" spans="1:10" ht="15" customHeight="1" x14ac:dyDescent="0.25">
      <c r="A853" s="8" t="str">
        <f>IF(COUNT($J$2:$J$1501)&gt;=852,852,"")</f>
        <v/>
      </c>
      <c r="B853" s="8" t="str">
        <f t="shared" si="65"/>
        <v/>
      </c>
      <c r="C853" s="8" t="str">
        <f t="shared" si="66"/>
        <v/>
      </c>
      <c r="D853" s="8" t="str">
        <f t="shared" si="67"/>
        <v/>
      </c>
      <c r="F853" s="4" t="str">
        <f>IF(Jugadores!B853="","",Jugadores!B853)</f>
        <v/>
      </c>
      <c r="G853" s="4" t="str">
        <f>IF(Jugadores!B853="","",Jugadores!A853)</f>
        <v/>
      </c>
      <c r="H853" s="4" t="str">
        <f>IF(F853="","",SUMIF('Estadísticas Jugadores'!$F$2:$F$7001,F853,'Estadísticas Jugadores'!$L$2:$L$7001))</f>
        <v/>
      </c>
      <c r="I853" s="4" t="str">
        <f t="shared" si="68"/>
        <v/>
      </c>
      <c r="J853" s="4" t="str">
        <f t="shared" si="69"/>
        <v/>
      </c>
    </row>
    <row r="854" spans="1:10" ht="15" customHeight="1" x14ac:dyDescent="0.25">
      <c r="A854" s="8" t="str">
        <f>IF(COUNT($J$2:$J$1501)&gt;=853,853,"")</f>
        <v/>
      </c>
      <c r="B854" s="8" t="str">
        <f t="shared" si="65"/>
        <v/>
      </c>
      <c r="C854" s="8" t="str">
        <f t="shared" si="66"/>
        <v/>
      </c>
      <c r="D854" s="8" t="str">
        <f t="shared" si="67"/>
        <v/>
      </c>
      <c r="F854" s="4" t="str">
        <f>IF(Jugadores!B854="","",Jugadores!B854)</f>
        <v/>
      </c>
      <c r="G854" s="4" t="str">
        <f>IF(Jugadores!B854="","",Jugadores!A854)</f>
        <v/>
      </c>
      <c r="H854" s="4" t="str">
        <f>IF(F854="","",SUMIF('Estadísticas Jugadores'!$F$2:$F$7001,F854,'Estadísticas Jugadores'!$L$2:$L$7001))</f>
        <v/>
      </c>
      <c r="I854" s="4" t="str">
        <f t="shared" si="68"/>
        <v/>
      </c>
      <c r="J854" s="4" t="str">
        <f t="shared" si="69"/>
        <v/>
      </c>
    </row>
    <row r="855" spans="1:10" ht="15" customHeight="1" x14ac:dyDescent="0.25">
      <c r="A855" s="8" t="str">
        <f>IF(COUNT($J$2:$J$1501)&gt;=854,854,"")</f>
        <v/>
      </c>
      <c r="B855" s="8" t="str">
        <f t="shared" si="65"/>
        <v/>
      </c>
      <c r="C855" s="8" t="str">
        <f t="shared" si="66"/>
        <v/>
      </c>
      <c r="D855" s="8" t="str">
        <f t="shared" si="67"/>
        <v/>
      </c>
      <c r="F855" s="4" t="str">
        <f>IF(Jugadores!B855="","",Jugadores!B855)</f>
        <v/>
      </c>
      <c r="G855" s="4" t="str">
        <f>IF(Jugadores!B855="","",Jugadores!A855)</f>
        <v/>
      </c>
      <c r="H855" s="4" t="str">
        <f>IF(F855="","",SUMIF('Estadísticas Jugadores'!$F$2:$F$7001,F855,'Estadísticas Jugadores'!$L$2:$L$7001))</f>
        <v/>
      </c>
      <c r="I855" s="4" t="str">
        <f t="shared" si="68"/>
        <v/>
      </c>
      <c r="J855" s="4" t="str">
        <f t="shared" si="69"/>
        <v/>
      </c>
    </row>
    <row r="856" spans="1:10" ht="15" customHeight="1" x14ac:dyDescent="0.25">
      <c r="A856" s="8" t="str">
        <f>IF(COUNT($J$2:$J$1501)&gt;=855,855,"")</f>
        <v/>
      </c>
      <c r="B856" s="8" t="str">
        <f t="shared" si="65"/>
        <v/>
      </c>
      <c r="C856" s="8" t="str">
        <f t="shared" si="66"/>
        <v/>
      </c>
      <c r="D856" s="8" t="str">
        <f t="shared" si="67"/>
        <v/>
      </c>
      <c r="F856" s="4" t="str">
        <f>IF(Jugadores!B856="","",Jugadores!B856)</f>
        <v/>
      </c>
      <c r="G856" s="4" t="str">
        <f>IF(Jugadores!B856="","",Jugadores!A856)</f>
        <v/>
      </c>
      <c r="H856" s="4" t="str">
        <f>IF(F856="","",SUMIF('Estadísticas Jugadores'!$F$2:$F$7001,F856,'Estadísticas Jugadores'!$L$2:$L$7001))</f>
        <v/>
      </c>
      <c r="I856" s="4" t="str">
        <f t="shared" si="68"/>
        <v/>
      </c>
      <c r="J856" s="4" t="str">
        <f t="shared" si="69"/>
        <v/>
      </c>
    </row>
    <row r="857" spans="1:10" ht="15" customHeight="1" x14ac:dyDescent="0.25">
      <c r="A857" s="8" t="str">
        <f>IF(COUNT($J$2:$J$1501)&gt;=856,856,"")</f>
        <v/>
      </c>
      <c r="B857" s="8" t="str">
        <f t="shared" si="65"/>
        <v/>
      </c>
      <c r="C857" s="8" t="str">
        <f t="shared" si="66"/>
        <v/>
      </c>
      <c r="D857" s="8" t="str">
        <f t="shared" si="67"/>
        <v/>
      </c>
      <c r="F857" s="4" t="str">
        <f>IF(Jugadores!B857="","",Jugadores!B857)</f>
        <v/>
      </c>
      <c r="G857" s="4" t="str">
        <f>IF(Jugadores!B857="","",Jugadores!A857)</f>
        <v/>
      </c>
      <c r="H857" s="4" t="str">
        <f>IF(F857="","",SUMIF('Estadísticas Jugadores'!$F$2:$F$7001,F857,'Estadísticas Jugadores'!$L$2:$L$7001))</f>
        <v/>
      </c>
      <c r="I857" s="4" t="str">
        <f t="shared" si="68"/>
        <v/>
      </c>
      <c r="J857" s="4" t="str">
        <f t="shared" si="69"/>
        <v/>
      </c>
    </row>
    <row r="858" spans="1:10" ht="15" customHeight="1" x14ac:dyDescent="0.25">
      <c r="A858" s="8" t="str">
        <f>IF(COUNT($J$2:$J$1501)&gt;=857,857,"")</f>
        <v/>
      </c>
      <c r="B858" s="8" t="str">
        <f t="shared" si="65"/>
        <v/>
      </c>
      <c r="C858" s="8" t="str">
        <f t="shared" si="66"/>
        <v/>
      </c>
      <c r="D858" s="8" t="str">
        <f t="shared" si="67"/>
        <v/>
      </c>
      <c r="F858" s="4" t="str">
        <f>IF(Jugadores!B858="","",Jugadores!B858)</f>
        <v/>
      </c>
      <c r="G858" s="4" t="str">
        <f>IF(Jugadores!B858="","",Jugadores!A858)</f>
        <v/>
      </c>
      <c r="H858" s="4" t="str">
        <f>IF(F858="","",SUMIF('Estadísticas Jugadores'!$F$2:$F$7001,F858,'Estadísticas Jugadores'!$L$2:$L$7001))</f>
        <v/>
      </c>
      <c r="I858" s="4" t="str">
        <f t="shared" si="68"/>
        <v/>
      </c>
      <c r="J858" s="4" t="str">
        <f t="shared" si="69"/>
        <v/>
      </c>
    </row>
    <row r="859" spans="1:10" ht="15" customHeight="1" x14ac:dyDescent="0.25">
      <c r="A859" s="8" t="str">
        <f>IF(COUNT($J$2:$J$1501)&gt;=858,858,"")</f>
        <v/>
      </c>
      <c r="B859" s="8" t="str">
        <f t="shared" si="65"/>
        <v/>
      </c>
      <c r="C859" s="8" t="str">
        <f t="shared" si="66"/>
        <v/>
      </c>
      <c r="D859" s="8" t="str">
        <f t="shared" si="67"/>
        <v/>
      </c>
      <c r="F859" s="4" t="str">
        <f>IF(Jugadores!B859="","",Jugadores!B859)</f>
        <v/>
      </c>
      <c r="G859" s="4" t="str">
        <f>IF(Jugadores!B859="","",Jugadores!A859)</f>
        <v/>
      </c>
      <c r="H859" s="4" t="str">
        <f>IF(F859="","",SUMIF('Estadísticas Jugadores'!$F$2:$F$7001,F859,'Estadísticas Jugadores'!$L$2:$L$7001))</f>
        <v/>
      </c>
      <c r="I859" s="4" t="str">
        <f t="shared" si="68"/>
        <v/>
      </c>
      <c r="J859" s="4" t="str">
        <f t="shared" si="69"/>
        <v/>
      </c>
    </row>
    <row r="860" spans="1:10" ht="15" customHeight="1" x14ac:dyDescent="0.25">
      <c r="A860" s="8" t="str">
        <f>IF(COUNT($J$2:$J$1501)&gt;=859,859,"")</f>
        <v/>
      </c>
      <c r="B860" s="8" t="str">
        <f t="shared" si="65"/>
        <v/>
      </c>
      <c r="C860" s="8" t="str">
        <f t="shared" si="66"/>
        <v/>
      </c>
      <c r="D860" s="8" t="str">
        <f t="shared" si="67"/>
        <v/>
      </c>
      <c r="F860" s="4" t="str">
        <f>IF(Jugadores!B860="","",Jugadores!B860)</f>
        <v/>
      </c>
      <c r="G860" s="4" t="str">
        <f>IF(Jugadores!B860="","",Jugadores!A860)</f>
        <v/>
      </c>
      <c r="H860" s="4" t="str">
        <f>IF(F860="","",SUMIF('Estadísticas Jugadores'!$F$2:$F$7001,F860,'Estadísticas Jugadores'!$L$2:$L$7001))</f>
        <v/>
      </c>
      <c r="I860" s="4" t="str">
        <f t="shared" si="68"/>
        <v/>
      </c>
      <c r="J860" s="4" t="str">
        <f t="shared" si="69"/>
        <v/>
      </c>
    </row>
    <row r="861" spans="1:10" ht="15" customHeight="1" x14ac:dyDescent="0.25">
      <c r="A861" s="8" t="str">
        <f>IF(COUNT($J$2:$J$1501)&gt;=860,860,"")</f>
        <v/>
      </c>
      <c r="B861" s="8" t="str">
        <f t="shared" si="65"/>
        <v/>
      </c>
      <c r="C861" s="8" t="str">
        <f t="shared" si="66"/>
        <v/>
      </c>
      <c r="D861" s="8" t="str">
        <f t="shared" si="67"/>
        <v/>
      </c>
      <c r="F861" s="4" t="str">
        <f>IF(Jugadores!B861="","",Jugadores!B861)</f>
        <v/>
      </c>
      <c r="G861" s="4" t="str">
        <f>IF(Jugadores!B861="","",Jugadores!A861)</f>
        <v/>
      </c>
      <c r="H861" s="4" t="str">
        <f>IF(F861="","",SUMIF('Estadísticas Jugadores'!$F$2:$F$7001,F861,'Estadísticas Jugadores'!$L$2:$L$7001))</f>
        <v/>
      </c>
      <c r="I861" s="4" t="str">
        <f t="shared" si="68"/>
        <v/>
      </c>
      <c r="J861" s="4" t="str">
        <f t="shared" si="69"/>
        <v/>
      </c>
    </row>
    <row r="862" spans="1:10" ht="15" customHeight="1" x14ac:dyDescent="0.25">
      <c r="A862" s="8" t="str">
        <f>IF(COUNT($J$2:$J$1501)&gt;=861,861,"")</f>
        <v/>
      </c>
      <c r="B862" s="8" t="str">
        <f t="shared" si="65"/>
        <v/>
      </c>
      <c r="C862" s="8" t="str">
        <f t="shared" si="66"/>
        <v/>
      </c>
      <c r="D862" s="8" t="str">
        <f t="shared" si="67"/>
        <v/>
      </c>
      <c r="F862" s="4" t="str">
        <f>IF(Jugadores!B862="","",Jugadores!B862)</f>
        <v/>
      </c>
      <c r="G862" s="4" t="str">
        <f>IF(Jugadores!B862="","",Jugadores!A862)</f>
        <v/>
      </c>
      <c r="H862" s="4" t="str">
        <f>IF(F862="","",SUMIF('Estadísticas Jugadores'!$F$2:$F$7001,F862,'Estadísticas Jugadores'!$L$2:$L$7001))</f>
        <v/>
      </c>
      <c r="I862" s="4" t="str">
        <f t="shared" si="68"/>
        <v/>
      </c>
      <c r="J862" s="4" t="str">
        <f t="shared" si="69"/>
        <v/>
      </c>
    </row>
    <row r="863" spans="1:10" ht="15" customHeight="1" x14ac:dyDescent="0.25">
      <c r="A863" s="8" t="str">
        <f>IF(COUNT($J$2:$J$1501)&gt;=862,862,"")</f>
        <v/>
      </c>
      <c r="B863" s="8" t="str">
        <f t="shared" si="65"/>
        <v/>
      </c>
      <c r="C863" s="8" t="str">
        <f t="shared" si="66"/>
        <v/>
      </c>
      <c r="D863" s="8" t="str">
        <f t="shared" si="67"/>
        <v/>
      </c>
      <c r="F863" s="4" t="str">
        <f>IF(Jugadores!B863="","",Jugadores!B863)</f>
        <v/>
      </c>
      <c r="G863" s="4" t="str">
        <f>IF(Jugadores!B863="","",Jugadores!A863)</f>
        <v/>
      </c>
      <c r="H863" s="4" t="str">
        <f>IF(F863="","",SUMIF('Estadísticas Jugadores'!$F$2:$F$7001,F863,'Estadísticas Jugadores'!$L$2:$L$7001))</f>
        <v/>
      </c>
      <c r="I863" s="4" t="str">
        <f t="shared" si="68"/>
        <v/>
      </c>
      <c r="J863" s="4" t="str">
        <f t="shared" si="69"/>
        <v/>
      </c>
    </row>
    <row r="864" spans="1:10" ht="15" customHeight="1" x14ac:dyDescent="0.25">
      <c r="A864" s="8" t="str">
        <f>IF(COUNT($J$2:$J$1501)&gt;=863,863,"")</f>
        <v/>
      </c>
      <c r="B864" s="8" t="str">
        <f t="shared" si="65"/>
        <v/>
      </c>
      <c r="C864" s="8" t="str">
        <f t="shared" si="66"/>
        <v/>
      </c>
      <c r="D864" s="8" t="str">
        <f t="shared" si="67"/>
        <v/>
      </c>
      <c r="F864" s="4" t="str">
        <f>IF(Jugadores!B864="","",Jugadores!B864)</f>
        <v/>
      </c>
      <c r="G864" s="4" t="str">
        <f>IF(Jugadores!B864="","",Jugadores!A864)</f>
        <v/>
      </c>
      <c r="H864" s="4" t="str">
        <f>IF(F864="","",SUMIF('Estadísticas Jugadores'!$F$2:$F$7001,F864,'Estadísticas Jugadores'!$L$2:$L$7001))</f>
        <v/>
      </c>
      <c r="I864" s="4" t="str">
        <f t="shared" si="68"/>
        <v/>
      </c>
      <c r="J864" s="4" t="str">
        <f t="shared" si="69"/>
        <v/>
      </c>
    </row>
    <row r="865" spans="1:10" ht="15" customHeight="1" x14ac:dyDescent="0.25">
      <c r="A865" s="8" t="str">
        <f>IF(COUNT($J$2:$J$1501)&gt;=864,864,"")</f>
        <v/>
      </c>
      <c r="B865" s="8" t="str">
        <f t="shared" si="65"/>
        <v/>
      </c>
      <c r="C865" s="8" t="str">
        <f t="shared" si="66"/>
        <v/>
      </c>
      <c r="D865" s="8" t="str">
        <f t="shared" si="67"/>
        <v/>
      </c>
      <c r="F865" s="4" t="str">
        <f>IF(Jugadores!B865="","",Jugadores!B865)</f>
        <v/>
      </c>
      <c r="G865" s="4" t="str">
        <f>IF(Jugadores!B865="","",Jugadores!A865)</f>
        <v/>
      </c>
      <c r="H865" s="4" t="str">
        <f>IF(F865="","",SUMIF('Estadísticas Jugadores'!$F$2:$F$7001,F865,'Estadísticas Jugadores'!$L$2:$L$7001))</f>
        <v/>
      </c>
      <c r="I865" s="4" t="str">
        <f t="shared" si="68"/>
        <v/>
      </c>
      <c r="J865" s="4" t="str">
        <f t="shared" si="69"/>
        <v/>
      </c>
    </row>
    <row r="866" spans="1:10" ht="15" customHeight="1" x14ac:dyDescent="0.25">
      <c r="A866" s="8" t="str">
        <f>IF(COUNT($J$2:$J$1501)&gt;=865,865,"")</f>
        <v/>
      </c>
      <c r="B866" s="8" t="str">
        <f t="shared" si="65"/>
        <v/>
      </c>
      <c r="C866" s="8" t="str">
        <f t="shared" si="66"/>
        <v/>
      </c>
      <c r="D866" s="8" t="str">
        <f t="shared" si="67"/>
        <v/>
      </c>
      <c r="F866" s="4" t="str">
        <f>IF(Jugadores!B866="","",Jugadores!B866)</f>
        <v/>
      </c>
      <c r="G866" s="4" t="str">
        <f>IF(Jugadores!B866="","",Jugadores!A866)</f>
        <v/>
      </c>
      <c r="H866" s="4" t="str">
        <f>IF(F866="","",SUMIF('Estadísticas Jugadores'!$F$2:$F$7001,F866,'Estadísticas Jugadores'!$L$2:$L$7001))</f>
        <v/>
      </c>
      <c r="I866" s="4" t="str">
        <f t="shared" si="68"/>
        <v/>
      </c>
      <c r="J866" s="4" t="str">
        <f t="shared" si="69"/>
        <v/>
      </c>
    </row>
    <row r="867" spans="1:10" ht="15" customHeight="1" x14ac:dyDescent="0.25">
      <c r="A867" s="8" t="str">
        <f>IF(COUNT($J$2:$J$1501)&gt;=866,866,"")</f>
        <v/>
      </c>
      <c r="B867" s="8" t="str">
        <f t="shared" si="65"/>
        <v/>
      </c>
      <c r="C867" s="8" t="str">
        <f t="shared" si="66"/>
        <v/>
      </c>
      <c r="D867" s="8" t="str">
        <f t="shared" si="67"/>
        <v/>
      </c>
      <c r="F867" s="4" t="str">
        <f>IF(Jugadores!B867="","",Jugadores!B867)</f>
        <v/>
      </c>
      <c r="G867" s="4" t="str">
        <f>IF(Jugadores!B867="","",Jugadores!A867)</f>
        <v/>
      </c>
      <c r="H867" s="4" t="str">
        <f>IF(F867="","",SUMIF('Estadísticas Jugadores'!$F$2:$F$7001,F867,'Estadísticas Jugadores'!$L$2:$L$7001))</f>
        <v/>
      </c>
      <c r="I867" s="4" t="str">
        <f t="shared" si="68"/>
        <v/>
      </c>
      <c r="J867" s="4" t="str">
        <f t="shared" si="69"/>
        <v/>
      </c>
    </row>
    <row r="868" spans="1:10" ht="15" customHeight="1" x14ac:dyDescent="0.25">
      <c r="A868" s="8" t="str">
        <f>IF(COUNT($J$2:$J$1501)&gt;=867,867,"")</f>
        <v/>
      </c>
      <c r="B868" s="8" t="str">
        <f t="shared" si="65"/>
        <v/>
      </c>
      <c r="C868" s="8" t="str">
        <f t="shared" si="66"/>
        <v/>
      </c>
      <c r="D868" s="8" t="str">
        <f t="shared" si="67"/>
        <v/>
      </c>
      <c r="F868" s="4" t="str">
        <f>IF(Jugadores!B868="","",Jugadores!B868)</f>
        <v/>
      </c>
      <c r="G868" s="4" t="str">
        <f>IF(Jugadores!B868="","",Jugadores!A868)</f>
        <v/>
      </c>
      <c r="H868" s="4" t="str">
        <f>IF(F868="","",SUMIF('Estadísticas Jugadores'!$F$2:$F$7001,F868,'Estadísticas Jugadores'!$L$2:$L$7001))</f>
        <v/>
      </c>
      <c r="I868" s="4" t="str">
        <f t="shared" si="68"/>
        <v/>
      </c>
      <c r="J868" s="4" t="str">
        <f t="shared" si="69"/>
        <v/>
      </c>
    </row>
    <row r="869" spans="1:10" ht="15" customHeight="1" x14ac:dyDescent="0.25">
      <c r="A869" s="8" t="str">
        <f>IF(COUNT($J$2:$J$1501)&gt;=868,868,"")</f>
        <v/>
      </c>
      <c r="B869" s="8" t="str">
        <f t="shared" si="65"/>
        <v/>
      </c>
      <c r="C869" s="8" t="str">
        <f t="shared" si="66"/>
        <v/>
      </c>
      <c r="D869" s="8" t="str">
        <f t="shared" si="67"/>
        <v/>
      </c>
      <c r="F869" s="4" t="str">
        <f>IF(Jugadores!B869="","",Jugadores!B869)</f>
        <v/>
      </c>
      <c r="G869" s="4" t="str">
        <f>IF(Jugadores!B869="","",Jugadores!A869)</f>
        <v/>
      </c>
      <c r="H869" s="4" t="str">
        <f>IF(F869="","",SUMIF('Estadísticas Jugadores'!$F$2:$F$7001,F869,'Estadísticas Jugadores'!$L$2:$L$7001))</f>
        <v/>
      </c>
      <c r="I869" s="4" t="str">
        <f t="shared" si="68"/>
        <v/>
      </c>
      <c r="J869" s="4" t="str">
        <f t="shared" si="69"/>
        <v/>
      </c>
    </row>
    <row r="870" spans="1:10" ht="15" customHeight="1" x14ac:dyDescent="0.25">
      <c r="A870" s="8" t="str">
        <f>IF(COUNT($J$2:$J$1501)&gt;=869,869,"")</f>
        <v/>
      </c>
      <c r="B870" s="8" t="str">
        <f t="shared" si="65"/>
        <v/>
      </c>
      <c r="C870" s="8" t="str">
        <f t="shared" si="66"/>
        <v/>
      </c>
      <c r="D870" s="8" t="str">
        <f t="shared" si="67"/>
        <v/>
      </c>
      <c r="F870" s="4" t="str">
        <f>IF(Jugadores!B870="","",Jugadores!B870)</f>
        <v/>
      </c>
      <c r="G870" s="4" t="str">
        <f>IF(Jugadores!B870="","",Jugadores!A870)</f>
        <v/>
      </c>
      <c r="H870" s="4" t="str">
        <f>IF(F870="","",SUMIF('Estadísticas Jugadores'!$F$2:$F$7001,F870,'Estadísticas Jugadores'!$L$2:$L$7001))</f>
        <v/>
      </c>
      <c r="I870" s="4" t="str">
        <f t="shared" si="68"/>
        <v/>
      </c>
      <c r="J870" s="4" t="str">
        <f t="shared" si="69"/>
        <v/>
      </c>
    </row>
    <row r="871" spans="1:10" ht="15" customHeight="1" x14ac:dyDescent="0.25">
      <c r="A871" s="8" t="str">
        <f>IF(COUNT($J$2:$J$1501)&gt;=870,870,"")</f>
        <v/>
      </c>
      <c r="B871" s="8" t="str">
        <f t="shared" si="65"/>
        <v/>
      </c>
      <c r="C871" s="8" t="str">
        <f t="shared" si="66"/>
        <v/>
      </c>
      <c r="D871" s="8" t="str">
        <f t="shared" si="67"/>
        <v/>
      </c>
      <c r="F871" s="4" t="str">
        <f>IF(Jugadores!B871="","",Jugadores!B871)</f>
        <v/>
      </c>
      <c r="G871" s="4" t="str">
        <f>IF(Jugadores!B871="","",Jugadores!A871)</f>
        <v/>
      </c>
      <c r="H871" s="4" t="str">
        <f>IF(F871="","",SUMIF('Estadísticas Jugadores'!$F$2:$F$7001,F871,'Estadísticas Jugadores'!$L$2:$L$7001))</f>
        <v/>
      </c>
      <c r="I871" s="4" t="str">
        <f t="shared" si="68"/>
        <v/>
      </c>
      <c r="J871" s="4" t="str">
        <f t="shared" si="69"/>
        <v/>
      </c>
    </row>
    <row r="872" spans="1:10" ht="15" customHeight="1" x14ac:dyDescent="0.25">
      <c r="A872" s="8" t="str">
        <f>IF(COUNT($J$2:$J$1501)&gt;=871,871,"")</f>
        <v/>
      </c>
      <c r="B872" s="8" t="str">
        <f t="shared" si="65"/>
        <v/>
      </c>
      <c r="C872" s="8" t="str">
        <f t="shared" si="66"/>
        <v/>
      </c>
      <c r="D872" s="8" t="str">
        <f t="shared" si="67"/>
        <v/>
      </c>
      <c r="F872" s="4" t="str">
        <f>IF(Jugadores!B872="","",Jugadores!B872)</f>
        <v/>
      </c>
      <c r="G872" s="4" t="str">
        <f>IF(Jugadores!B872="","",Jugadores!A872)</f>
        <v/>
      </c>
      <c r="H872" s="4" t="str">
        <f>IF(F872="","",SUMIF('Estadísticas Jugadores'!$F$2:$F$7001,F872,'Estadísticas Jugadores'!$L$2:$L$7001))</f>
        <v/>
      </c>
      <c r="I872" s="4" t="str">
        <f t="shared" si="68"/>
        <v/>
      </c>
      <c r="J872" s="4" t="str">
        <f t="shared" si="69"/>
        <v/>
      </c>
    </row>
    <row r="873" spans="1:10" ht="15" customHeight="1" x14ac:dyDescent="0.25">
      <c r="A873" s="8" t="str">
        <f>IF(COUNT($J$2:$J$1501)&gt;=872,872,"")</f>
        <v/>
      </c>
      <c r="B873" s="8" t="str">
        <f t="shared" si="65"/>
        <v/>
      </c>
      <c r="C873" s="8" t="str">
        <f t="shared" si="66"/>
        <v/>
      </c>
      <c r="D873" s="8" t="str">
        <f t="shared" si="67"/>
        <v/>
      </c>
      <c r="F873" s="4" t="str">
        <f>IF(Jugadores!B873="","",Jugadores!B873)</f>
        <v/>
      </c>
      <c r="G873" s="4" t="str">
        <f>IF(Jugadores!B873="","",Jugadores!A873)</f>
        <v/>
      </c>
      <c r="H873" s="4" t="str">
        <f>IF(F873="","",SUMIF('Estadísticas Jugadores'!$F$2:$F$7001,F873,'Estadísticas Jugadores'!$L$2:$L$7001))</f>
        <v/>
      </c>
      <c r="I873" s="4" t="str">
        <f t="shared" si="68"/>
        <v/>
      </c>
      <c r="J873" s="4" t="str">
        <f t="shared" si="69"/>
        <v/>
      </c>
    </row>
    <row r="874" spans="1:10" ht="15" customHeight="1" x14ac:dyDescent="0.25">
      <c r="A874" s="8" t="str">
        <f>IF(COUNT($J$2:$J$1501)&gt;=873,873,"")</f>
        <v/>
      </c>
      <c r="B874" s="8" t="str">
        <f t="shared" si="65"/>
        <v/>
      </c>
      <c r="C874" s="8" t="str">
        <f t="shared" si="66"/>
        <v/>
      </c>
      <c r="D874" s="8" t="str">
        <f t="shared" si="67"/>
        <v/>
      </c>
      <c r="F874" s="4" t="str">
        <f>IF(Jugadores!B874="","",Jugadores!B874)</f>
        <v/>
      </c>
      <c r="G874" s="4" t="str">
        <f>IF(Jugadores!B874="","",Jugadores!A874)</f>
        <v/>
      </c>
      <c r="H874" s="4" t="str">
        <f>IF(F874="","",SUMIF('Estadísticas Jugadores'!$F$2:$F$7001,F874,'Estadísticas Jugadores'!$L$2:$L$7001))</f>
        <v/>
      </c>
      <c r="I874" s="4" t="str">
        <f t="shared" si="68"/>
        <v/>
      </c>
      <c r="J874" s="4" t="str">
        <f t="shared" si="69"/>
        <v/>
      </c>
    </row>
    <row r="875" spans="1:10" ht="15" customHeight="1" x14ac:dyDescent="0.25">
      <c r="A875" s="8" t="str">
        <f>IF(COUNT($J$2:$J$1501)&gt;=874,874,"")</f>
        <v/>
      </c>
      <c r="B875" s="8" t="str">
        <f t="shared" si="65"/>
        <v/>
      </c>
      <c r="C875" s="8" t="str">
        <f t="shared" si="66"/>
        <v/>
      </c>
      <c r="D875" s="8" t="str">
        <f t="shared" si="67"/>
        <v/>
      </c>
      <c r="F875" s="4" t="str">
        <f>IF(Jugadores!B875="","",Jugadores!B875)</f>
        <v/>
      </c>
      <c r="G875" s="4" t="str">
        <f>IF(Jugadores!B875="","",Jugadores!A875)</f>
        <v/>
      </c>
      <c r="H875" s="4" t="str">
        <f>IF(F875="","",SUMIF('Estadísticas Jugadores'!$F$2:$F$7001,F875,'Estadísticas Jugadores'!$L$2:$L$7001))</f>
        <v/>
      </c>
      <c r="I875" s="4" t="str">
        <f t="shared" si="68"/>
        <v/>
      </c>
      <c r="J875" s="4" t="str">
        <f t="shared" si="69"/>
        <v/>
      </c>
    </row>
    <row r="876" spans="1:10" ht="15" customHeight="1" x14ac:dyDescent="0.25">
      <c r="A876" s="8" t="str">
        <f>IF(COUNT($J$2:$J$1501)&gt;=875,875,"")</f>
        <v/>
      </c>
      <c r="B876" s="8" t="str">
        <f t="shared" si="65"/>
        <v/>
      </c>
      <c r="C876" s="8" t="str">
        <f t="shared" si="66"/>
        <v/>
      </c>
      <c r="D876" s="8" t="str">
        <f t="shared" si="67"/>
        <v/>
      </c>
      <c r="F876" s="4" t="str">
        <f>IF(Jugadores!B876="","",Jugadores!B876)</f>
        <v/>
      </c>
      <c r="G876" s="4" t="str">
        <f>IF(Jugadores!B876="","",Jugadores!A876)</f>
        <v/>
      </c>
      <c r="H876" s="4" t="str">
        <f>IF(F876="","",SUMIF('Estadísticas Jugadores'!$F$2:$F$7001,F876,'Estadísticas Jugadores'!$L$2:$L$7001))</f>
        <v/>
      </c>
      <c r="I876" s="4" t="str">
        <f t="shared" si="68"/>
        <v/>
      </c>
      <c r="J876" s="4" t="str">
        <f t="shared" si="69"/>
        <v/>
      </c>
    </row>
    <row r="877" spans="1:10" ht="15" customHeight="1" x14ac:dyDescent="0.25">
      <c r="A877" s="8" t="str">
        <f>IF(COUNT($J$2:$J$1501)&gt;=876,876,"")</f>
        <v/>
      </c>
      <c r="B877" s="8" t="str">
        <f t="shared" si="65"/>
        <v/>
      </c>
      <c r="C877" s="8" t="str">
        <f t="shared" si="66"/>
        <v/>
      </c>
      <c r="D877" s="8" t="str">
        <f t="shared" si="67"/>
        <v/>
      </c>
      <c r="F877" s="4" t="str">
        <f>IF(Jugadores!B877="","",Jugadores!B877)</f>
        <v/>
      </c>
      <c r="G877" s="4" t="str">
        <f>IF(Jugadores!B877="","",Jugadores!A877)</f>
        <v/>
      </c>
      <c r="H877" s="4" t="str">
        <f>IF(F877="","",SUMIF('Estadísticas Jugadores'!$F$2:$F$7001,F877,'Estadísticas Jugadores'!$L$2:$L$7001))</f>
        <v/>
      </c>
      <c r="I877" s="4" t="str">
        <f t="shared" si="68"/>
        <v/>
      </c>
      <c r="J877" s="4" t="str">
        <f t="shared" si="69"/>
        <v/>
      </c>
    </row>
    <row r="878" spans="1:10" ht="15" customHeight="1" x14ac:dyDescent="0.25">
      <c r="A878" s="8" t="str">
        <f>IF(COUNT($J$2:$J$1501)&gt;=877,877,"")</f>
        <v/>
      </c>
      <c r="B878" s="8" t="str">
        <f t="shared" si="65"/>
        <v/>
      </c>
      <c r="C878" s="8" t="str">
        <f t="shared" si="66"/>
        <v/>
      </c>
      <c r="D878" s="8" t="str">
        <f t="shared" si="67"/>
        <v/>
      </c>
      <c r="F878" s="4" t="str">
        <f>IF(Jugadores!B878="","",Jugadores!B878)</f>
        <v/>
      </c>
      <c r="G878" s="4" t="str">
        <f>IF(Jugadores!B878="","",Jugadores!A878)</f>
        <v/>
      </c>
      <c r="H878" s="4" t="str">
        <f>IF(F878="","",SUMIF('Estadísticas Jugadores'!$F$2:$F$7001,F878,'Estadísticas Jugadores'!$L$2:$L$7001))</f>
        <v/>
      </c>
      <c r="I878" s="4" t="str">
        <f t="shared" si="68"/>
        <v/>
      </c>
      <c r="J878" s="4" t="str">
        <f t="shared" si="69"/>
        <v/>
      </c>
    </row>
    <row r="879" spans="1:10" ht="15" customHeight="1" x14ac:dyDescent="0.25">
      <c r="A879" s="8" t="str">
        <f>IF(COUNT($J$2:$J$1501)&gt;=878,878,"")</f>
        <v/>
      </c>
      <c r="B879" s="8" t="str">
        <f t="shared" si="65"/>
        <v/>
      </c>
      <c r="C879" s="8" t="str">
        <f t="shared" si="66"/>
        <v/>
      </c>
      <c r="D879" s="8" t="str">
        <f t="shared" si="67"/>
        <v/>
      </c>
      <c r="F879" s="4" t="str">
        <f>IF(Jugadores!B879="","",Jugadores!B879)</f>
        <v/>
      </c>
      <c r="G879" s="4" t="str">
        <f>IF(Jugadores!B879="","",Jugadores!A879)</f>
        <v/>
      </c>
      <c r="H879" s="4" t="str">
        <f>IF(F879="","",SUMIF('Estadísticas Jugadores'!$F$2:$F$7001,F879,'Estadísticas Jugadores'!$L$2:$L$7001))</f>
        <v/>
      </c>
      <c r="I879" s="4" t="str">
        <f t="shared" si="68"/>
        <v/>
      </c>
      <c r="J879" s="4" t="str">
        <f t="shared" si="69"/>
        <v/>
      </c>
    </row>
    <row r="880" spans="1:10" ht="15" customHeight="1" x14ac:dyDescent="0.25">
      <c r="A880" s="8" t="str">
        <f>IF(COUNT($J$2:$J$1501)&gt;=879,879,"")</f>
        <v/>
      </c>
      <c r="B880" s="8" t="str">
        <f t="shared" si="65"/>
        <v/>
      </c>
      <c r="C880" s="8" t="str">
        <f t="shared" si="66"/>
        <v/>
      </c>
      <c r="D880" s="8" t="str">
        <f t="shared" si="67"/>
        <v/>
      </c>
      <c r="F880" s="4" t="str">
        <f>IF(Jugadores!B880="","",Jugadores!B880)</f>
        <v/>
      </c>
      <c r="G880" s="4" t="str">
        <f>IF(Jugadores!B880="","",Jugadores!A880)</f>
        <v/>
      </c>
      <c r="H880" s="4" t="str">
        <f>IF(F880="","",SUMIF('Estadísticas Jugadores'!$F$2:$F$7001,F880,'Estadísticas Jugadores'!$L$2:$L$7001))</f>
        <v/>
      </c>
      <c r="I880" s="4" t="str">
        <f t="shared" si="68"/>
        <v/>
      </c>
      <c r="J880" s="4" t="str">
        <f t="shared" si="69"/>
        <v/>
      </c>
    </row>
    <row r="881" spans="1:10" ht="15" customHeight="1" x14ac:dyDescent="0.25">
      <c r="A881" s="8" t="str">
        <f>IF(COUNT($J$2:$J$1501)&gt;=880,880,"")</f>
        <v/>
      </c>
      <c r="B881" s="8" t="str">
        <f t="shared" si="65"/>
        <v/>
      </c>
      <c r="C881" s="8" t="str">
        <f t="shared" si="66"/>
        <v/>
      </c>
      <c r="D881" s="8" t="str">
        <f t="shared" si="67"/>
        <v/>
      </c>
      <c r="F881" s="4" t="str">
        <f>IF(Jugadores!B881="","",Jugadores!B881)</f>
        <v/>
      </c>
      <c r="G881" s="4" t="str">
        <f>IF(Jugadores!B881="","",Jugadores!A881)</f>
        <v/>
      </c>
      <c r="H881" s="4" t="str">
        <f>IF(F881="","",SUMIF('Estadísticas Jugadores'!$F$2:$F$7001,F881,'Estadísticas Jugadores'!$L$2:$L$7001))</f>
        <v/>
      </c>
      <c r="I881" s="4" t="str">
        <f t="shared" si="68"/>
        <v/>
      </c>
      <c r="J881" s="4" t="str">
        <f t="shared" si="69"/>
        <v/>
      </c>
    </row>
    <row r="882" spans="1:10" ht="15" customHeight="1" x14ac:dyDescent="0.25">
      <c r="A882" s="8" t="str">
        <f>IF(COUNT($J$2:$J$1501)&gt;=881,881,"")</f>
        <v/>
      </c>
      <c r="B882" s="8" t="str">
        <f t="shared" si="65"/>
        <v/>
      </c>
      <c r="C882" s="8" t="str">
        <f t="shared" si="66"/>
        <v/>
      </c>
      <c r="D882" s="8" t="str">
        <f t="shared" si="67"/>
        <v/>
      </c>
      <c r="F882" s="4" t="str">
        <f>IF(Jugadores!B882="","",Jugadores!B882)</f>
        <v/>
      </c>
      <c r="G882" s="4" t="str">
        <f>IF(Jugadores!B882="","",Jugadores!A882)</f>
        <v/>
      </c>
      <c r="H882" s="4" t="str">
        <f>IF(F882="","",SUMIF('Estadísticas Jugadores'!$F$2:$F$7001,F882,'Estadísticas Jugadores'!$L$2:$L$7001))</f>
        <v/>
      </c>
      <c r="I882" s="4" t="str">
        <f t="shared" si="68"/>
        <v/>
      </c>
      <c r="J882" s="4" t="str">
        <f t="shared" si="69"/>
        <v/>
      </c>
    </row>
    <row r="883" spans="1:10" ht="15" customHeight="1" x14ac:dyDescent="0.25">
      <c r="A883" s="8" t="str">
        <f>IF(COUNT($J$2:$J$1501)&gt;=882,882,"")</f>
        <v/>
      </c>
      <c r="B883" s="8" t="str">
        <f t="shared" si="65"/>
        <v/>
      </c>
      <c r="C883" s="8" t="str">
        <f t="shared" si="66"/>
        <v/>
      </c>
      <c r="D883" s="8" t="str">
        <f t="shared" si="67"/>
        <v/>
      </c>
      <c r="F883" s="4" t="str">
        <f>IF(Jugadores!B883="","",Jugadores!B883)</f>
        <v/>
      </c>
      <c r="G883" s="4" t="str">
        <f>IF(Jugadores!B883="","",Jugadores!A883)</f>
        <v/>
      </c>
      <c r="H883" s="4" t="str">
        <f>IF(F883="","",SUMIF('Estadísticas Jugadores'!$F$2:$F$7001,F883,'Estadísticas Jugadores'!$L$2:$L$7001))</f>
        <v/>
      </c>
      <c r="I883" s="4" t="str">
        <f t="shared" si="68"/>
        <v/>
      </c>
      <c r="J883" s="4" t="str">
        <f t="shared" si="69"/>
        <v/>
      </c>
    </row>
    <row r="884" spans="1:10" ht="15" customHeight="1" x14ac:dyDescent="0.25">
      <c r="A884" s="8" t="str">
        <f>IF(COUNT($J$2:$J$1501)&gt;=883,883,"")</f>
        <v/>
      </c>
      <c r="B884" s="8" t="str">
        <f t="shared" si="65"/>
        <v/>
      </c>
      <c r="C884" s="8" t="str">
        <f t="shared" si="66"/>
        <v/>
      </c>
      <c r="D884" s="8" t="str">
        <f t="shared" si="67"/>
        <v/>
      </c>
      <c r="F884" s="4" t="str">
        <f>IF(Jugadores!B884="","",Jugadores!B884)</f>
        <v/>
      </c>
      <c r="G884" s="4" t="str">
        <f>IF(Jugadores!B884="","",Jugadores!A884)</f>
        <v/>
      </c>
      <c r="H884" s="4" t="str">
        <f>IF(F884="","",SUMIF('Estadísticas Jugadores'!$F$2:$F$7001,F884,'Estadísticas Jugadores'!$L$2:$L$7001))</f>
        <v/>
      </c>
      <c r="I884" s="4" t="str">
        <f t="shared" si="68"/>
        <v/>
      </c>
      <c r="J884" s="4" t="str">
        <f t="shared" si="69"/>
        <v/>
      </c>
    </row>
    <row r="885" spans="1:10" ht="15" customHeight="1" x14ac:dyDescent="0.25">
      <c r="A885" s="8" t="str">
        <f>IF(COUNT($J$2:$J$1501)&gt;=884,884,"")</f>
        <v/>
      </c>
      <c r="B885" s="8" t="str">
        <f t="shared" si="65"/>
        <v/>
      </c>
      <c r="C885" s="8" t="str">
        <f t="shared" si="66"/>
        <v/>
      </c>
      <c r="D885" s="8" t="str">
        <f t="shared" si="67"/>
        <v/>
      </c>
      <c r="F885" s="4" t="str">
        <f>IF(Jugadores!B885="","",Jugadores!B885)</f>
        <v/>
      </c>
      <c r="G885" s="4" t="str">
        <f>IF(Jugadores!B885="","",Jugadores!A885)</f>
        <v/>
      </c>
      <c r="H885" s="4" t="str">
        <f>IF(F885="","",SUMIF('Estadísticas Jugadores'!$F$2:$F$7001,F885,'Estadísticas Jugadores'!$L$2:$L$7001))</f>
        <v/>
      </c>
      <c r="I885" s="4" t="str">
        <f t="shared" si="68"/>
        <v/>
      </c>
      <c r="J885" s="4" t="str">
        <f t="shared" si="69"/>
        <v/>
      </c>
    </row>
    <row r="886" spans="1:10" ht="15" customHeight="1" x14ac:dyDescent="0.25">
      <c r="A886" s="8" t="str">
        <f>IF(COUNT($J$2:$J$1501)&gt;=885,885,"")</f>
        <v/>
      </c>
      <c r="B886" s="8" t="str">
        <f t="shared" si="65"/>
        <v/>
      </c>
      <c r="C886" s="8" t="str">
        <f t="shared" si="66"/>
        <v/>
      </c>
      <c r="D886" s="8" t="str">
        <f t="shared" si="67"/>
        <v/>
      </c>
      <c r="F886" s="4" t="str">
        <f>IF(Jugadores!B886="","",Jugadores!B886)</f>
        <v/>
      </c>
      <c r="G886" s="4" t="str">
        <f>IF(Jugadores!B886="","",Jugadores!A886)</f>
        <v/>
      </c>
      <c r="H886" s="4" t="str">
        <f>IF(F886="","",SUMIF('Estadísticas Jugadores'!$F$2:$F$7001,F886,'Estadísticas Jugadores'!$L$2:$L$7001))</f>
        <v/>
      </c>
      <c r="I886" s="4" t="str">
        <f t="shared" si="68"/>
        <v/>
      </c>
      <c r="J886" s="4" t="str">
        <f t="shared" si="69"/>
        <v/>
      </c>
    </row>
    <row r="887" spans="1:10" ht="15" customHeight="1" x14ac:dyDescent="0.25">
      <c r="A887" s="8" t="str">
        <f>IF(COUNT($J$2:$J$1501)&gt;=886,886,"")</f>
        <v/>
      </c>
      <c r="B887" s="8" t="str">
        <f t="shared" si="65"/>
        <v/>
      </c>
      <c r="C887" s="8" t="str">
        <f t="shared" si="66"/>
        <v/>
      </c>
      <c r="D887" s="8" t="str">
        <f t="shared" si="67"/>
        <v/>
      </c>
      <c r="F887" s="4" t="str">
        <f>IF(Jugadores!B887="","",Jugadores!B887)</f>
        <v/>
      </c>
      <c r="G887" s="4" t="str">
        <f>IF(Jugadores!B887="","",Jugadores!A887)</f>
        <v/>
      </c>
      <c r="H887" s="4" t="str">
        <f>IF(F887="","",SUMIF('Estadísticas Jugadores'!$F$2:$F$7001,F887,'Estadísticas Jugadores'!$L$2:$L$7001))</f>
        <v/>
      </c>
      <c r="I887" s="4" t="str">
        <f t="shared" si="68"/>
        <v/>
      </c>
      <c r="J887" s="4" t="str">
        <f t="shared" si="69"/>
        <v/>
      </c>
    </row>
    <row r="888" spans="1:10" ht="15" customHeight="1" x14ac:dyDescent="0.25">
      <c r="A888" s="8" t="str">
        <f>IF(COUNT($J$2:$J$1501)&gt;=887,887,"")</f>
        <v/>
      </c>
      <c r="B888" s="8" t="str">
        <f t="shared" si="65"/>
        <v/>
      </c>
      <c r="C888" s="8" t="str">
        <f t="shared" si="66"/>
        <v/>
      </c>
      <c r="D888" s="8" t="str">
        <f t="shared" si="67"/>
        <v/>
      </c>
      <c r="F888" s="4" t="str">
        <f>IF(Jugadores!B888="","",Jugadores!B888)</f>
        <v/>
      </c>
      <c r="G888" s="4" t="str">
        <f>IF(Jugadores!B888="","",Jugadores!A888)</f>
        <v/>
      </c>
      <c r="H888" s="4" t="str">
        <f>IF(F888="","",SUMIF('Estadísticas Jugadores'!$F$2:$F$7001,F888,'Estadísticas Jugadores'!$L$2:$L$7001))</f>
        <v/>
      </c>
      <c r="I888" s="4" t="str">
        <f t="shared" si="68"/>
        <v/>
      </c>
      <c r="J888" s="4" t="str">
        <f t="shared" si="69"/>
        <v/>
      </c>
    </row>
    <row r="889" spans="1:10" ht="15" customHeight="1" x14ac:dyDescent="0.25">
      <c r="A889" s="8" t="str">
        <f>IF(COUNT($J$2:$J$1501)&gt;=888,888,"")</f>
        <v/>
      </c>
      <c r="B889" s="8" t="str">
        <f t="shared" si="65"/>
        <v/>
      </c>
      <c r="C889" s="8" t="str">
        <f t="shared" si="66"/>
        <v/>
      </c>
      <c r="D889" s="8" t="str">
        <f t="shared" si="67"/>
        <v/>
      </c>
      <c r="F889" s="4" t="str">
        <f>IF(Jugadores!B889="","",Jugadores!B889)</f>
        <v/>
      </c>
      <c r="G889" s="4" t="str">
        <f>IF(Jugadores!B889="","",Jugadores!A889)</f>
        <v/>
      </c>
      <c r="H889" s="4" t="str">
        <f>IF(F889="","",SUMIF('Estadísticas Jugadores'!$F$2:$F$7001,F889,'Estadísticas Jugadores'!$L$2:$L$7001))</f>
        <v/>
      </c>
      <c r="I889" s="4" t="str">
        <f t="shared" si="68"/>
        <v/>
      </c>
      <c r="J889" s="4" t="str">
        <f t="shared" si="69"/>
        <v/>
      </c>
    </row>
    <row r="890" spans="1:10" ht="15" customHeight="1" x14ac:dyDescent="0.25">
      <c r="A890" s="8" t="str">
        <f>IF(COUNT($J$2:$J$1501)&gt;=889,889,"")</f>
        <v/>
      </c>
      <c r="B890" s="8" t="str">
        <f t="shared" si="65"/>
        <v/>
      </c>
      <c r="C890" s="8" t="str">
        <f t="shared" si="66"/>
        <v/>
      </c>
      <c r="D890" s="8" t="str">
        <f t="shared" si="67"/>
        <v/>
      </c>
      <c r="F890" s="4" t="str">
        <f>IF(Jugadores!B890="","",Jugadores!B890)</f>
        <v/>
      </c>
      <c r="G890" s="4" t="str">
        <f>IF(Jugadores!B890="","",Jugadores!A890)</f>
        <v/>
      </c>
      <c r="H890" s="4" t="str">
        <f>IF(F890="","",SUMIF('Estadísticas Jugadores'!$F$2:$F$7001,F890,'Estadísticas Jugadores'!$L$2:$L$7001))</f>
        <v/>
      </c>
      <c r="I890" s="4" t="str">
        <f t="shared" si="68"/>
        <v/>
      </c>
      <c r="J890" s="4" t="str">
        <f t="shared" si="69"/>
        <v/>
      </c>
    </row>
    <row r="891" spans="1:10" ht="15" customHeight="1" x14ac:dyDescent="0.25">
      <c r="A891" s="8" t="str">
        <f>IF(COUNT($J$2:$J$1501)&gt;=890,890,"")</f>
        <v/>
      </c>
      <c r="B891" s="8" t="str">
        <f t="shared" si="65"/>
        <v/>
      </c>
      <c r="C891" s="8" t="str">
        <f t="shared" si="66"/>
        <v/>
      </c>
      <c r="D891" s="8" t="str">
        <f t="shared" si="67"/>
        <v/>
      </c>
      <c r="F891" s="4" t="str">
        <f>IF(Jugadores!B891="","",Jugadores!B891)</f>
        <v/>
      </c>
      <c r="G891" s="4" t="str">
        <f>IF(Jugadores!B891="","",Jugadores!A891)</f>
        <v/>
      </c>
      <c r="H891" s="4" t="str">
        <f>IF(F891="","",SUMIF('Estadísticas Jugadores'!$F$2:$F$7001,F891,'Estadísticas Jugadores'!$L$2:$L$7001))</f>
        <v/>
      </c>
      <c r="I891" s="4" t="str">
        <f t="shared" si="68"/>
        <v/>
      </c>
      <c r="J891" s="4" t="str">
        <f t="shared" si="69"/>
        <v/>
      </c>
    </row>
    <row r="892" spans="1:10" ht="15" customHeight="1" x14ac:dyDescent="0.25">
      <c r="A892" s="8" t="str">
        <f>IF(COUNT($J$2:$J$1501)&gt;=891,891,"")</f>
        <v/>
      </c>
      <c r="B892" s="8" t="str">
        <f t="shared" si="65"/>
        <v/>
      </c>
      <c r="C892" s="8" t="str">
        <f t="shared" si="66"/>
        <v/>
      </c>
      <c r="D892" s="8" t="str">
        <f t="shared" si="67"/>
        <v/>
      </c>
      <c r="F892" s="4" t="str">
        <f>IF(Jugadores!B892="","",Jugadores!B892)</f>
        <v/>
      </c>
      <c r="G892" s="4" t="str">
        <f>IF(Jugadores!B892="","",Jugadores!A892)</f>
        <v/>
      </c>
      <c r="H892" s="4" t="str">
        <f>IF(F892="","",SUMIF('Estadísticas Jugadores'!$F$2:$F$7001,F892,'Estadísticas Jugadores'!$L$2:$L$7001))</f>
        <v/>
      </c>
      <c r="I892" s="4" t="str">
        <f t="shared" si="68"/>
        <v/>
      </c>
      <c r="J892" s="4" t="str">
        <f t="shared" si="69"/>
        <v/>
      </c>
    </row>
    <row r="893" spans="1:10" ht="15" customHeight="1" x14ac:dyDescent="0.25">
      <c r="A893" s="8" t="str">
        <f>IF(COUNT($J$2:$J$1501)&gt;=892,892,"")</f>
        <v/>
      </c>
      <c r="B893" s="8" t="str">
        <f t="shared" si="65"/>
        <v/>
      </c>
      <c r="C893" s="8" t="str">
        <f t="shared" si="66"/>
        <v/>
      </c>
      <c r="D893" s="8" t="str">
        <f t="shared" si="67"/>
        <v/>
      </c>
      <c r="F893" s="4" t="str">
        <f>IF(Jugadores!B893="","",Jugadores!B893)</f>
        <v/>
      </c>
      <c r="G893" s="4" t="str">
        <f>IF(Jugadores!B893="","",Jugadores!A893)</f>
        <v/>
      </c>
      <c r="H893" s="4" t="str">
        <f>IF(F893="","",SUMIF('Estadísticas Jugadores'!$F$2:$F$7001,F893,'Estadísticas Jugadores'!$L$2:$L$7001))</f>
        <v/>
      </c>
      <c r="I893" s="4" t="str">
        <f t="shared" si="68"/>
        <v/>
      </c>
      <c r="J893" s="4" t="str">
        <f t="shared" si="69"/>
        <v/>
      </c>
    </row>
    <row r="894" spans="1:10" ht="15" customHeight="1" x14ac:dyDescent="0.25">
      <c r="A894" s="8" t="str">
        <f>IF(COUNT($J$2:$J$1501)&gt;=893,893,"")</f>
        <v/>
      </c>
      <c r="B894" s="8" t="str">
        <f t="shared" si="65"/>
        <v/>
      </c>
      <c r="C894" s="8" t="str">
        <f t="shared" si="66"/>
        <v/>
      </c>
      <c r="D894" s="8" t="str">
        <f t="shared" si="67"/>
        <v/>
      </c>
      <c r="F894" s="4" t="str">
        <f>IF(Jugadores!B894="","",Jugadores!B894)</f>
        <v/>
      </c>
      <c r="G894" s="4" t="str">
        <f>IF(Jugadores!B894="","",Jugadores!A894)</f>
        <v/>
      </c>
      <c r="H894" s="4" t="str">
        <f>IF(F894="","",SUMIF('Estadísticas Jugadores'!$F$2:$F$7001,F894,'Estadísticas Jugadores'!$L$2:$L$7001))</f>
        <v/>
      </c>
      <c r="I894" s="4" t="str">
        <f t="shared" si="68"/>
        <v/>
      </c>
      <c r="J894" s="4" t="str">
        <f t="shared" si="69"/>
        <v/>
      </c>
    </row>
    <row r="895" spans="1:10" ht="15" customHeight="1" x14ac:dyDescent="0.25">
      <c r="A895" s="8" t="str">
        <f>IF(COUNT($J$2:$J$1501)&gt;=894,894,"")</f>
        <v/>
      </c>
      <c r="B895" s="8" t="str">
        <f t="shared" si="65"/>
        <v/>
      </c>
      <c r="C895" s="8" t="str">
        <f t="shared" si="66"/>
        <v/>
      </c>
      <c r="D895" s="8" t="str">
        <f t="shared" si="67"/>
        <v/>
      </c>
      <c r="F895" s="4" t="str">
        <f>IF(Jugadores!B895="","",Jugadores!B895)</f>
        <v/>
      </c>
      <c r="G895" s="4" t="str">
        <f>IF(Jugadores!B895="","",Jugadores!A895)</f>
        <v/>
      </c>
      <c r="H895" s="4" t="str">
        <f>IF(F895="","",SUMIF('Estadísticas Jugadores'!$F$2:$F$7001,F895,'Estadísticas Jugadores'!$L$2:$L$7001))</f>
        <v/>
      </c>
      <c r="I895" s="4" t="str">
        <f t="shared" si="68"/>
        <v/>
      </c>
      <c r="J895" s="4" t="str">
        <f t="shared" si="69"/>
        <v/>
      </c>
    </row>
    <row r="896" spans="1:10" ht="15" customHeight="1" x14ac:dyDescent="0.25">
      <c r="A896" s="8" t="str">
        <f>IF(COUNT($J$2:$J$1501)&gt;=895,895,"")</f>
        <v/>
      </c>
      <c r="B896" s="8" t="str">
        <f t="shared" si="65"/>
        <v/>
      </c>
      <c r="C896" s="8" t="str">
        <f t="shared" si="66"/>
        <v/>
      </c>
      <c r="D896" s="8" t="str">
        <f t="shared" si="67"/>
        <v/>
      </c>
      <c r="F896" s="4" t="str">
        <f>IF(Jugadores!B896="","",Jugadores!B896)</f>
        <v/>
      </c>
      <c r="G896" s="4" t="str">
        <f>IF(Jugadores!B896="","",Jugadores!A896)</f>
        <v/>
      </c>
      <c r="H896" s="4" t="str">
        <f>IF(F896="","",SUMIF('Estadísticas Jugadores'!$F$2:$F$7001,F896,'Estadísticas Jugadores'!$L$2:$L$7001))</f>
        <v/>
      </c>
      <c r="I896" s="4" t="str">
        <f t="shared" si="68"/>
        <v/>
      </c>
      <c r="J896" s="4" t="str">
        <f t="shared" si="69"/>
        <v/>
      </c>
    </row>
    <row r="897" spans="1:10" ht="15" customHeight="1" x14ac:dyDescent="0.25">
      <c r="A897" s="8" t="str">
        <f>IF(COUNT($J$2:$J$1501)&gt;=896,896,"")</f>
        <v/>
      </c>
      <c r="B897" s="8" t="str">
        <f t="shared" si="65"/>
        <v/>
      </c>
      <c r="C897" s="8" t="str">
        <f t="shared" si="66"/>
        <v/>
      </c>
      <c r="D897" s="8" t="str">
        <f t="shared" si="67"/>
        <v/>
      </c>
      <c r="F897" s="4" t="str">
        <f>IF(Jugadores!B897="","",Jugadores!B897)</f>
        <v/>
      </c>
      <c r="G897" s="4" t="str">
        <f>IF(Jugadores!B897="","",Jugadores!A897)</f>
        <v/>
      </c>
      <c r="H897" s="4" t="str">
        <f>IF(F897="","",SUMIF('Estadísticas Jugadores'!$F$2:$F$7001,F897,'Estadísticas Jugadores'!$L$2:$L$7001))</f>
        <v/>
      </c>
      <c r="I897" s="4" t="str">
        <f t="shared" si="68"/>
        <v/>
      </c>
      <c r="J897" s="4" t="str">
        <f t="shared" si="69"/>
        <v/>
      </c>
    </row>
    <row r="898" spans="1:10" ht="15" customHeight="1" x14ac:dyDescent="0.25">
      <c r="A898" s="8" t="str">
        <f>IF(COUNT($J$2:$J$1501)&gt;=897,897,"")</f>
        <v/>
      </c>
      <c r="B898" s="8" t="str">
        <f t="shared" ref="B898:B961" si="70">IF($A898="","",INDEX($F$2:$F$1501,MATCH($A898,$J$2:$J$1501,0)))</f>
        <v/>
      </c>
      <c r="C898" s="8" t="str">
        <f t="shared" ref="C898:C961" si="71">IF($A898="","",INDEX($G$2:$G$1501,MATCH($A898,$J$2:$J$1501,0)))</f>
        <v/>
      </c>
      <c r="D898" s="8" t="str">
        <f t="shared" ref="D898:D961" si="72">IF($A898="","",INDEX($H$2:$H$1501,MATCH($A898,$J$2:$J$1501,0)))</f>
        <v/>
      </c>
      <c r="F898" s="4" t="str">
        <f>IF(Jugadores!B898="","",Jugadores!B898)</f>
        <v/>
      </c>
      <c r="G898" s="4" t="str">
        <f>IF(Jugadores!B898="","",Jugadores!A898)</f>
        <v/>
      </c>
      <c r="H898" s="4" t="str">
        <f>IF(F898="","",SUMIF('Estadísticas Jugadores'!$F$2:$F$7001,F898,'Estadísticas Jugadores'!$L$2:$L$7001))</f>
        <v/>
      </c>
      <c r="I898" s="4" t="str">
        <f t="shared" ref="I898:I961" si="73">IF(F898="","",H898*1000-ROW()*0.0000001)</f>
        <v/>
      </c>
      <c r="J898" s="4" t="str">
        <f t="shared" ref="J898:J961" si="74">IF(F898="","",RANK(I898,$I$2:$I$1501))</f>
        <v/>
      </c>
    </row>
    <row r="899" spans="1:10" ht="15" customHeight="1" x14ac:dyDescent="0.25">
      <c r="A899" s="8" t="str">
        <f>IF(COUNT($J$2:$J$1501)&gt;=898,898,"")</f>
        <v/>
      </c>
      <c r="B899" s="8" t="str">
        <f t="shared" si="70"/>
        <v/>
      </c>
      <c r="C899" s="8" t="str">
        <f t="shared" si="71"/>
        <v/>
      </c>
      <c r="D899" s="8" t="str">
        <f t="shared" si="72"/>
        <v/>
      </c>
      <c r="F899" s="4" t="str">
        <f>IF(Jugadores!B899="","",Jugadores!B899)</f>
        <v/>
      </c>
      <c r="G899" s="4" t="str">
        <f>IF(Jugadores!B899="","",Jugadores!A899)</f>
        <v/>
      </c>
      <c r="H899" s="4" t="str">
        <f>IF(F899="","",SUMIF('Estadísticas Jugadores'!$F$2:$F$7001,F899,'Estadísticas Jugadores'!$L$2:$L$7001))</f>
        <v/>
      </c>
      <c r="I899" s="4" t="str">
        <f t="shared" si="73"/>
        <v/>
      </c>
      <c r="J899" s="4" t="str">
        <f t="shared" si="74"/>
        <v/>
      </c>
    </row>
    <row r="900" spans="1:10" ht="15" customHeight="1" x14ac:dyDescent="0.25">
      <c r="A900" s="8" t="str">
        <f>IF(COUNT($J$2:$J$1501)&gt;=899,899,"")</f>
        <v/>
      </c>
      <c r="B900" s="8" t="str">
        <f t="shared" si="70"/>
        <v/>
      </c>
      <c r="C900" s="8" t="str">
        <f t="shared" si="71"/>
        <v/>
      </c>
      <c r="D900" s="8" t="str">
        <f t="shared" si="72"/>
        <v/>
      </c>
      <c r="F900" s="4" t="str">
        <f>IF(Jugadores!B900="","",Jugadores!B900)</f>
        <v/>
      </c>
      <c r="G900" s="4" t="str">
        <f>IF(Jugadores!B900="","",Jugadores!A900)</f>
        <v/>
      </c>
      <c r="H900" s="4" t="str">
        <f>IF(F900="","",SUMIF('Estadísticas Jugadores'!$F$2:$F$7001,F900,'Estadísticas Jugadores'!$L$2:$L$7001))</f>
        <v/>
      </c>
      <c r="I900" s="4" t="str">
        <f t="shared" si="73"/>
        <v/>
      </c>
      <c r="J900" s="4" t="str">
        <f t="shared" si="74"/>
        <v/>
      </c>
    </row>
    <row r="901" spans="1:10" ht="15" customHeight="1" x14ac:dyDescent="0.25">
      <c r="A901" s="8" t="str">
        <f>IF(COUNT($J$2:$J$1501)&gt;=900,900,"")</f>
        <v/>
      </c>
      <c r="B901" s="8" t="str">
        <f t="shared" si="70"/>
        <v/>
      </c>
      <c r="C901" s="8" t="str">
        <f t="shared" si="71"/>
        <v/>
      </c>
      <c r="D901" s="8" t="str">
        <f t="shared" si="72"/>
        <v/>
      </c>
      <c r="F901" s="4" t="str">
        <f>IF(Jugadores!B901="","",Jugadores!B901)</f>
        <v/>
      </c>
      <c r="G901" s="4" t="str">
        <f>IF(Jugadores!B901="","",Jugadores!A901)</f>
        <v/>
      </c>
      <c r="H901" s="4" t="str">
        <f>IF(F901="","",SUMIF('Estadísticas Jugadores'!$F$2:$F$7001,F901,'Estadísticas Jugadores'!$L$2:$L$7001))</f>
        <v/>
      </c>
      <c r="I901" s="4" t="str">
        <f t="shared" si="73"/>
        <v/>
      </c>
      <c r="J901" s="4" t="str">
        <f t="shared" si="74"/>
        <v/>
      </c>
    </row>
    <row r="902" spans="1:10" ht="15" customHeight="1" x14ac:dyDescent="0.25">
      <c r="A902" s="8" t="str">
        <f>IF(COUNT($J$2:$J$1501)&gt;=901,901,"")</f>
        <v/>
      </c>
      <c r="B902" s="8" t="str">
        <f t="shared" si="70"/>
        <v/>
      </c>
      <c r="C902" s="8" t="str">
        <f t="shared" si="71"/>
        <v/>
      </c>
      <c r="D902" s="8" t="str">
        <f t="shared" si="72"/>
        <v/>
      </c>
      <c r="F902" s="4" t="str">
        <f>IF(Jugadores!B902="","",Jugadores!B902)</f>
        <v/>
      </c>
      <c r="G902" s="4" t="str">
        <f>IF(Jugadores!B902="","",Jugadores!A902)</f>
        <v/>
      </c>
      <c r="H902" s="4" t="str">
        <f>IF(F902="","",SUMIF('Estadísticas Jugadores'!$F$2:$F$7001,F902,'Estadísticas Jugadores'!$L$2:$L$7001))</f>
        <v/>
      </c>
      <c r="I902" s="4" t="str">
        <f t="shared" si="73"/>
        <v/>
      </c>
      <c r="J902" s="4" t="str">
        <f t="shared" si="74"/>
        <v/>
      </c>
    </row>
    <row r="903" spans="1:10" ht="15" customHeight="1" x14ac:dyDescent="0.25">
      <c r="A903" s="8" t="str">
        <f>IF(COUNT($J$2:$J$1501)&gt;=902,902,"")</f>
        <v/>
      </c>
      <c r="B903" s="8" t="str">
        <f t="shared" si="70"/>
        <v/>
      </c>
      <c r="C903" s="8" t="str">
        <f t="shared" si="71"/>
        <v/>
      </c>
      <c r="D903" s="8" t="str">
        <f t="shared" si="72"/>
        <v/>
      </c>
      <c r="F903" s="4" t="str">
        <f>IF(Jugadores!B903="","",Jugadores!B903)</f>
        <v/>
      </c>
      <c r="G903" s="4" t="str">
        <f>IF(Jugadores!B903="","",Jugadores!A903)</f>
        <v/>
      </c>
      <c r="H903" s="4" t="str">
        <f>IF(F903="","",SUMIF('Estadísticas Jugadores'!$F$2:$F$7001,F903,'Estadísticas Jugadores'!$L$2:$L$7001))</f>
        <v/>
      </c>
      <c r="I903" s="4" t="str">
        <f t="shared" si="73"/>
        <v/>
      </c>
      <c r="J903" s="4" t="str">
        <f t="shared" si="74"/>
        <v/>
      </c>
    </row>
    <row r="904" spans="1:10" ht="15" customHeight="1" x14ac:dyDescent="0.25">
      <c r="A904" s="8" t="str">
        <f>IF(COUNT($J$2:$J$1501)&gt;=903,903,"")</f>
        <v/>
      </c>
      <c r="B904" s="8" t="str">
        <f t="shared" si="70"/>
        <v/>
      </c>
      <c r="C904" s="8" t="str">
        <f t="shared" si="71"/>
        <v/>
      </c>
      <c r="D904" s="8" t="str">
        <f t="shared" si="72"/>
        <v/>
      </c>
      <c r="F904" s="4" t="str">
        <f>IF(Jugadores!B904="","",Jugadores!B904)</f>
        <v/>
      </c>
      <c r="G904" s="4" t="str">
        <f>IF(Jugadores!B904="","",Jugadores!A904)</f>
        <v/>
      </c>
      <c r="H904" s="4" t="str">
        <f>IF(F904="","",SUMIF('Estadísticas Jugadores'!$F$2:$F$7001,F904,'Estadísticas Jugadores'!$L$2:$L$7001))</f>
        <v/>
      </c>
      <c r="I904" s="4" t="str">
        <f t="shared" si="73"/>
        <v/>
      </c>
      <c r="J904" s="4" t="str">
        <f t="shared" si="74"/>
        <v/>
      </c>
    </row>
    <row r="905" spans="1:10" ht="15" customHeight="1" x14ac:dyDescent="0.25">
      <c r="A905" s="8" t="str">
        <f>IF(COUNT($J$2:$J$1501)&gt;=904,904,"")</f>
        <v/>
      </c>
      <c r="B905" s="8" t="str">
        <f t="shared" si="70"/>
        <v/>
      </c>
      <c r="C905" s="8" t="str">
        <f t="shared" si="71"/>
        <v/>
      </c>
      <c r="D905" s="8" t="str">
        <f t="shared" si="72"/>
        <v/>
      </c>
      <c r="F905" s="4" t="str">
        <f>IF(Jugadores!B905="","",Jugadores!B905)</f>
        <v/>
      </c>
      <c r="G905" s="4" t="str">
        <f>IF(Jugadores!B905="","",Jugadores!A905)</f>
        <v/>
      </c>
      <c r="H905" s="4" t="str">
        <f>IF(F905="","",SUMIF('Estadísticas Jugadores'!$F$2:$F$7001,F905,'Estadísticas Jugadores'!$L$2:$L$7001))</f>
        <v/>
      </c>
      <c r="I905" s="4" t="str">
        <f t="shared" si="73"/>
        <v/>
      </c>
      <c r="J905" s="4" t="str">
        <f t="shared" si="74"/>
        <v/>
      </c>
    </row>
    <row r="906" spans="1:10" ht="15" customHeight="1" x14ac:dyDescent="0.25">
      <c r="A906" s="8" t="str">
        <f>IF(COUNT($J$2:$J$1501)&gt;=905,905,"")</f>
        <v/>
      </c>
      <c r="B906" s="8" t="str">
        <f t="shared" si="70"/>
        <v/>
      </c>
      <c r="C906" s="8" t="str">
        <f t="shared" si="71"/>
        <v/>
      </c>
      <c r="D906" s="8" t="str">
        <f t="shared" si="72"/>
        <v/>
      </c>
      <c r="F906" s="4" t="str">
        <f>IF(Jugadores!B906="","",Jugadores!B906)</f>
        <v/>
      </c>
      <c r="G906" s="4" t="str">
        <f>IF(Jugadores!B906="","",Jugadores!A906)</f>
        <v/>
      </c>
      <c r="H906" s="4" t="str">
        <f>IF(F906="","",SUMIF('Estadísticas Jugadores'!$F$2:$F$7001,F906,'Estadísticas Jugadores'!$L$2:$L$7001))</f>
        <v/>
      </c>
      <c r="I906" s="4" t="str">
        <f t="shared" si="73"/>
        <v/>
      </c>
      <c r="J906" s="4" t="str">
        <f t="shared" si="74"/>
        <v/>
      </c>
    </row>
    <row r="907" spans="1:10" ht="15" customHeight="1" x14ac:dyDescent="0.25">
      <c r="A907" s="8" t="str">
        <f>IF(COUNT($J$2:$J$1501)&gt;=906,906,"")</f>
        <v/>
      </c>
      <c r="B907" s="8" t="str">
        <f t="shared" si="70"/>
        <v/>
      </c>
      <c r="C907" s="8" t="str">
        <f t="shared" si="71"/>
        <v/>
      </c>
      <c r="D907" s="8" t="str">
        <f t="shared" si="72"/>
        <v/>
      </c>
      <c r="F907" s="4" t="str">
        <f>IF(Jugadores!B907="","",Jugadores!B907)</f>
        <v/>
      </c>
      <c r="G907" s="4" t="str">
        <f>IF(Jugadores!B907="","",Jugadores!A907)</f>
        <v/>
      </c>
      <c r="H907" s="4" t="str">
        <f>IF(F907="","",SUMIF('Estadísticas Jugadores'!$F$2:$F$7001,F907,'Estadísticas Jugadores'!$L$2:$L$7001))</f>
        <v/>
      </c>
      <c r="I907" s="4" t="str">
        <f t="shared" si="73"/>
        <v/>
      </c>
      <c r="J907" s="4" t="str">
        <f t="shared" si="74"/>
        <v/>
      </c>
    </row>
    <row r="908" spans="1:10" ht="15" customHeight="1" x14ac:dyDescent="0.25">
      <c r="A908" s="8" t="str">
        <f>IF(COUNT($J$2:$J$1501)&gt;=907,907,"")</f>
        <v/>
      </c>
      <c r="B908" s="8" t="str">
        <f t="shared" si="70"/>
        <v/>
      </c>
      <c r="C908" s="8" t="str">
        <f t="shared" si="71"/>
        <v/>
      </c>
      <c r="D908" s="8" t="str">
        <f t="shared" si="72"/>
        <v/>
      </c>
      <c r="F908" s="4" t="str">
        <f>IF(Jugadores!B908="","",Jugadores!B908)</f>
        <v/>
      </c>
      <c r="G908" s="4" t="str">
        <f>IF(Jugadores!B908="","",Jugadores!A908)</f>
        <v/>
      </c>
      <c r="H908" s="4" t="str">
        <f>IF(F908="","",SUMIF('Estadísticas Jugadores'!$F$2:$F$7001,F908,'Estadísticas Jugadores'!$L$2:$L$7001))</f>
        <v/>
      </c>
      <c r="I908" s="4" t="str">
        <f t="shared" si="73"/>
        <v/>
      </c>
      <c r="J908" s="4" t="str">
        <f t="shared" si="74"/>
        <v/>
      </c>
    </row>
    <row r="909" spans="1:10" ht="15" customHeight="1" x14ac:dyDescent="0.25">
      <c r="A909" s="8" t="str">
        <f>IF(COUNT($J$2:$J$1501)&gt;=908,908,"")</f>
        <v/>
      </c>
      <c r="B909" s="8" t="str">
        <f t="shared" si="70"/>
        <v/>
      </c>
      <c r="C909" s="8" t="str">
        <f t="shared" si="71"/>
        <v/>
      </c>
      <c r="D909" s="8" t="str">
        <f t="shared" si="72"/>
        <v/>
      </c>
      <c r="F909" s="4" t="str">
        <f>IF(Jugadores!B909="","",Jugadores!B909)</f>
        <v/>
      </c>
      <c r="G909" s="4" t="str">
        <f>IF(Jugadores!B909="","",Jugadores!A909)</f>
        <v/>
      </c>
      <c r="H909" s="4" t="str">
        <f>IF(F909="","",SUMIF('Estadísticas Jugadores'!$F$2:$F$7001,F909,'Estadísticas Jugadores'!$L$2:$L$7001))</f>
        <v/>
      </c>
      <c r="I909" s="4" t="str">
        <f t="shared" si="73"/>
        <v/>
      </c>
      <c r="J909" s="4" t="str">
        <f t="shared" si="74"/>
        <v/>
      </c>
    </row>
    <row r="910" spans="1:10" ht="15" customHeight="1" x14ac:dyDescent="0.25">
      <c r="A910" s="8" t="str">
        <f>IF(COUNT($J$2:$J$1501)&gt;=909,909,"")</f>
        <v/>
      </c>
      <c r="B910" s="8" t="str">
        <f t="shared" si="70"/>
        <v/>
      </c>
      <c r="C910" s="8" t="str">
        <f t="shared" si="71"/>
        <v/>
      </c>
      <c r="D910" s="8" t="str">
        <f t="shared" si="72"/>
        <v/>
      </c>
      <c r="F910" s="4" t="str">
        <f>IF(Jugadores!B910="","",Jugadores!B910)</f>
        <v/>
      </c>
      <c r="G910" s="4" t="str">
        <f>IF(Jugadores!B910="","",Jugadores!A910)</f>
        <v/>
      </c>
      <c r="H910" s="4" t="str">
        <f>IF(F910="","",SUMIF('Estadísticas Jugadores'!$F$2:$F$7001,F910,'Estadísticas Jugadores'!$L$2:$L$7001))</f>
        <v/>
      </c>
      <c r="I910" s="4" t="str">
        <f t="shared" si="73"/>
        <v/>
      </c>
      <c r="J910" s="4" t="str">
        <f t="shared" si="74"/>
        <v/>
      </c>
    </row>
    <row r="911" spans="1:10" ht="15" customHeight="1" x14ac:dyDescent="0.25">
      <c r="A911" s="8" t="str">
        <f>IF(COUNT($J$2:$J$1501)&gt;=910,910,"")</f>
        <v/>
      </c>
      <c r="B911" s="8" t="str">
        <f t="shared" si="70"/>
        <v/>
      </c>
      <c r="C911" s="8" t="str">
        <f t="shared" si="71"/>
        <v/>
      </c>
      <c r="D911" s="8" t="str">
        <f t="shared" si="72"/>
        <v/>
      </c>
      <c r="F911" s="4" t="str">
        <f>IF(Jugadores!B911="","",Jugadores!B911)</f>
        <v/>
      </c>
      <c r="G911" s="4" t="str">
        <f>IF(Jugadores!B911="","",Jugadores!A911)</f>
        <v/>
      </c>
      <c r="H911" s="4" t="str">
        <f>IF(F911="","",SUMIF('Estadísticas Jugadores'!$F$2:$F$7001,F911,'Estadísticas Jugadores'!$L$2:$L$7001))</f>
        <v/>
      </c>
      <c r="I911" s="4" t="str">
        <f t="shared" si="73"/>
        <v/>
      </c>
      <c r="J911" s="4" t="str">
        <f t="shared" si="74"/>
        <v/>
      </c>
    </row>
    <row r="912" spans="1:10" ht="15" customHeight="1" x14ac:dyDescent="0.25">
      <c r="A912" s="8" t="str">
        <f>IF(COUNT($J$2:$J$1501)&gt;=911,911,"")</f>
        <v/>
      </c>
      <c r="B912" s="8" t="str">
        <f t="shared" si="70"/>
        <v/>
      </c>
      <c r="C912" s="8" t="str">
        <f t="shared" si="71"/>
        <v/>
      </c>
      <c r="D912" s="8" t="str">
        <f t="shared" si="72"/>
        <v/>
      </c>
      <c r="F912" s="4" t="str">
        <f>IF(Jugadores!B912="","",Jugadores!B912)</f>
        <v/>
      </c>
      <c r="G912" s="4" t="str">
        <f>IF(Jugadores!B912="","",Jugadores!A912)</f>
        <v/>
      </c>
      <c r="H912" s="4" t="str">
        <f>IF(F912="","",SUMIF('Estadísticas Jugadores'!$F$2:$F$7001,F912,'Estadísticas Jugadores'!$L$2:$L$7001))</f>
        <v/>
      </c>
      <c r="I912" s="4" t="str">
        <f t="shared" si="73"/>
        <v/>
      </c>
      <c r="J912" s="4" t="str">
        <f t="shared" si="74"/>
        <v/>
      </c>
    </row>
    <row r="913" spans="1:10" ht="15" customHeight="1" x14ac:dyDescent="0.25">
      <c r="A913" s="8" t="str">
        <f>IF(COUNT($J$2:$J$1501)&gt;=912,912,"")</f>
        <v/>
      </c>
      <c r="B913" s="8" t="str">
        <f t="shared" si="70"/>
        <v/>
      </c>
      <c r="C913" s="8" t="str">
        <f t="shared" si="71"/>
        <v/>
      </c>
      <c r="D913" s="8" t="str">
        <f t="shared" si="72"/>
        <v/>
      </c>
      <c r="F913" s="4" t="str">
        <f>IF(Jugadores!B913="","",Jugadores!B913)</f>
        <v/>
      </c>
      <c r="G913" s="4" t="str">
        <f>IF(Jugadores!B913="","",Jugadores!A913)</f>
        <v/>
      </c>
      <c r="H913" s="4" t="str">
        <f>IF(F913="","",SUMIF('Estadísticas Jugadores'!$F$2:$F$7001,F913,'Estadísticas Jugadores'!$L$2:$L$7001))</f>
        <v/>
      </c>
      <c r="I913" s="4" t="str">
        <f t="shared" si="73"/>
        <v/>
      </c>
      <c r="J913" s="4" t="str">
        <f t="shared" si="74"/>
        <v/>
      </c>
    </row>
    <row r="914" spans="1:10" ht="15" customHeight="1" x14ac:dyDescent="0.25">
      <c r="A914" s="8" t="str">
        <f>IF(COUNT($J$2:$J$1501)&gt;=913,913,"")</f>
        <v/>
      </c>
      <c r="B914" s="8" t="str">
        <f t="shared" si="70"/>
        <v/>
      </c>
      <c r="C914" s="8" t="str">
        <f t="shared" si="71"/>
        <v/>
      </c>
      <c r="D914" s="8" t="str">
        <f t="shared" si="72"/>
        <v/>
      </c>
      <c r="F914" s="4" t="str">
        <f>IF(Jugadores!B914="","",Jugadores!B914)</f>
        <v/>
      </c>
      <c r="G914" s="4" t="str">
        <f>IF(Jugadores!B914="","",Jugadores!A914)</f>
        <v/>
      </c>
      <c r="H914" s="4" t="str">
        <f>IF(F914="","",SUMIF('Estadísticas Jugadores'!$F$2:$F$7001,F914,'Estadísticas Jugadores'!$L$2:$L$7001))</f>
        <v/>
      </c>
      <c r="I914" s="4" t="str">
        <f t="shared" si="73"/>
        <v/>
      </c>
      <c r="J914" s="4" t="str">
        <f t="shared" si="74"/>
        <v/>
      </c>
    </row>
    <row r="915" spans="1:10" ht="15" customHeight="1" x14ac:dyDescent="0.25">
      <c r="A915" s="8" t="str">
        <f>IF(COUNT($J$2:$J$1501)&gt;=914,914,"")</f>
        <v/>
      </c>
      <c r="B915" s="8" t="str">
        <f t="shared" si="70"/>
        <v/>
      </c>
      <c r="C915" s="8" t="str">
        <f t="shared" si="71"/>
        <v/>
      </c>
      <c r="D915" s="8" t="str">
        <f t="shared" si="72"/>
        <v/>
      </c>
      <c r="F915" s="4" t="str">
        <f>IF(Jugadores!B915="","",Jugadores!B915)</f>
        <v/>
      </c>
      <c r="G915" s="4" t="str">
        <f>IF(Jugadores!B915="","",Jugadores!A915)</f>
        <v/>
      </c>
      <c r="H915" s="4" t="str">
        <f>IF(F915="","",SUMIF('Estadísticas Jugadores'!$F$2:$F$7001,F915,'Estadísticas Jugadores'!$L$2:$L$7001))</f>
        <v/>
      </c>
      <c r="I915" s="4" t="str">
        <f t="shared" si="73"/>
        <v/>
      </c>
      <c r="J915" s="4" t="str">
        <f t="shared" si="74"/>
        <v/>
      </c>
    </row>
    <row r="916" spans="1:10" ht="15" customHeight="1" x14ac:dyDescent="0.25">
      <c r="A916" s="8" t="str">
        <f>IF(COUNT($J$2:$J$1501)&gt;=915,915,"")</f>
        <v/>
      </c>
      <c r="B916" s="8" t="str">
        <f t="shared" si="70"/>
        <v/>
      </c>
      <c r="C916" s="8" t="str">
        <f t="shared" si="71"/>
        <v/>
      </c>
      <c r="D916" s="8" t="str">
        <f t="shared" si="72"/>
        <v/>
      </c>
      <c r="F916" s="4" t="str">
        <f>IF(Jugadores!B916="","",Jugadores!B916)</f>
        <v/>
      </c>
      <c r="G916" s="4" t="str">
        <f>IF(Jugadores!B916="","",Jugadores!A916)</f>
        <v/>
      </c>
      <c r="H916" s="4" t="str">
        <f>IF(F916="","",SUMIF('Estadísticas Jugadores'!$F$2:$F$7001,F916,'Estadísticas Jugadores'!$L$2:$L$7001))</f>
        <v/>
      </c>
      <c r="I916" s="4" t="str">
        <f t="shared" si="73"/>
        <v/>
      </c>
      <c r="J916" s="4" t="str">
        <f t="shared" si="74"/>
        <v/>
      </c>
    </row>
    <row r="917" spans="1:10" ht="15" customHeight="1" x14ac:dyDescent="0.25">
      <c r="A917" s="8" t="str">
        <f>IF(COUNT($J$2:$J$1501)&gt;=916,916,"")</f>
        <v/>
      </c>
      <c r="B917" s="8" t="str">
        <f t="shared" si="70"/>
        <v/>
      </c>
      <c r="C917" s="8" t="str">
        <f t="shared" si="71"/>
        <v/>
      </c>
      <c r="D917" s="8" t="str">
        <f t="shared" si="72"/>
        <v/>
      </c>
      <c r="F917" s="4" t="str">
        <f>IF(Jugadores!B917="","",Jugadores!B917)</f>
        <v/>
      </c>
      <c r="G917" s="4" t="str">
        <f>IF(Jugadores!B917="","",Jugadores!A917)</f>
        <v/>
      </c>
      <c r="H917" s="4" t="str">
        <f>IF(F917="","",SUMIF('Estadísticas Jugadores'!$F$2:$F$7001,F917,'Estadísticas Jugadores'!$L$2:$L$7001))</f>
        <v/>
      </c>
      <c r="I917" s="4" t="str">
        <f t="shared" si="73"/>
        <v/>
      </c>
      <c r="J917" s="4" t="str">
        <f t="shared" si="74"/>
        <v/>
      </c>
    </row>
    <row r="918" spans="1:10" ht="15" customHeight="1" x14ac:dyDescent="0.25">
      <c r="A918" s="8" t="str">
        <f>IF(COUNT($J$2:$J$1501)&gt;=917,917,"")</f>
        <v/>
      </c>
      <c r="B918" s="8" t="str">
        <f t="shared" si="70"/>
        <v/>
      </c>
      <c r="C918" s="8" t="str">
        <f t="shared" si="71"/>
        <v/>
      </c>
      <c r="D918" s="8" t="str">
        <f t="shared" si="72"/>
        <v/>
      </c>
      <c r="F918" s="4" t="str">
        <f>IF(Jugadores!B918="","",Jugadores!B918)</f>
        <v/>
      </c>
      <c r="G918" s="4" t="str">
        <f>IF(Jugadores!B918="","",Jugadores!A918)</f>
        <v/>
      </c>
      <c r="H918" s="4" t="str">
        <f>IF(F918="","",SUMIF('Estadísticas Jugadores'!$F$2:$F$7001,F918,'Estadísticas Jugadores'!$L$2:$L$7001))</f>
        <v/>
      </c>
      <c r="I918" s="4" t="str">
        <f t="shared" si="73"/>
        <v/>
      </c>
      <c r="J918" s="4" t="str">
        <f t="shared" si="74"/>
        <v/>
      </c>
    </row>
    <row r="919" spans="1:10" ht="15" customHeight="1" x14ac:dyDescent="0.25">
      <c r="A919" s="8" t="str">
        <f>IF(COUNT($J$2:$J$1501)&gt;=918,918,"")</f>
        <v/>
      </c>
      <c r="B919" s="8" t="str">
        <f t="shared" si="70"/>
        <v/>
      </c>
      <c r="C919" s="8" t="str">
        <f t="shared" si="71"/>
        <v/>
      </c>
      <c r="D919" s="8" t="str">
        <f t="shared" si="72"/>
        <v/>
      </c>
      <c r="F919" s="4" t="str">
        <f>IF(Jugadores!B919="","",Jugadores!B919)</f>
        <v/>
      </c>
      <c r="G919" s="4" t="str">
        <f>IF(Jugadores!B919="","",Jugadores!A919)</f>
        <v/>
      </c>
      <c r="H919" s="4" t="str">
        <f>IF(F919="","",SUMIF('Estadísticas Jugadores'!$F$2:$F$7001,F919,'Estadísticas Jugadores'!$L$2:$L$7001))</f>
        <v/>
      </c>
      <c r="I919" s="4" t="str">
        <f t="shared" si="73"/>
        <v/>
      </c>
      <c r="J919" s="4" t="str">
        <f t="shared" si="74"/>
        <v/>
      </c>
    </row>
    <row r="920" spans="1:10" ht="15" customHeight="1" x14ac:dyDescent="0.25">
      <c r="A920" s="8" t="str">
        <f>IF(COUNT($J$2:$J$1501)&gt;=919,919,"")</f>
        <v/>
      </c>
      <c r="B920" s="8" t="str">
        <f t="shared" si="70"/>
        <v/>
      </c>
      <c r="C920" s="8" t="str">
        <f t="shared" si="71"/>
        <v/>
      </c>
      <c r="D920" s="8" t="str">
        <f t="shared" si="72"/>
        <v/>
      </c>
      <c r="F920" s="4" t="str">
        <f>IF(Jugadores!B920="","",Jugadores!B920)</f>
        <v/>
      </c>
      <c r="G920" s="4" t="str">
        <f>IF(Jugadores!B920="","",Jugadores!A920)</f>
        <v/>
      </c>
      <c r="H920" s="4" t="str">
        <f>IF(F920="","",SUMIF('Estadísticas Jugadores'!$F$2:$F$7001,F920,'Estadísticas Jugadores'!$L$2:$L$7001))</f>
        <v/>
      </c>
      <c r="I920" s="4" t="str">
        <f t="shared" si="73"/>
        <v/>
      </c>
      <c r="J920" s="4" t="str">
        <f t="shared" si="74"/>
        <v/>
      </c>
    </row>
    <row r="921" spans="1:10" ht="15" customHeight="1" x14ac:dyDescent="0.25">
      <c r="A921" s="8" t="str">
        <f>IF(COUNT($J$2:$J$1501)&gt;=920,920,"")</f>
        <v/>
      </c>
      <c r="B921" s="8" t="str">
        <f t="shared" si="70"/>
        <v/>
      </c>
      <c r="C921" s="8" t="str">
        <f t="shared" si="71"/>
        <v/>
      </c>
      <c r="D921" s="8" t="str">
        <f t="shared" si="72"/>
        <v/>
      </c>
      <c r="F921" s="4" t="str">
        <f>IF(Jugadores!B921="","",Jugadores!B921)</f>
        <v/>
      </c>
      <c r="G921" s="4" t="str">
        <f>IF(Jugadores!B921="","",Jugadores!A921)</f>
        <v/>
      </c>
      <c r="H921" s="4" t="str">
        <f>IF(F921="","",SUMIF('Estadísticas Jugadores'!$F$2:$F$7001,F921,'Estadísticas Jugadores'!$L$2:$L$7001))</f>
        <v/>
      </c>
      <c r="I921" s="4" t="str">
        <f t="shared" si="73"/>
        <v/>
      </c>
      <c r="J921" s="4" t="str">
        <f t="shared" si="74"/>
        <v/>
      </c>
    </row>
    <row r="922" spans="1:10" ht="15" customHeight="1" x14ac:dyDescent="0.25">
      <c r="A922" s="8" t="str">
        <f>IF(COUNT($J$2:$J$1501)&gt;=921,921,"")</f>
        <v/>
      </c>
      <c r="B922" s="8" t="str">
        <f t="shared" si="70"/>
        <v/>
      </c>
      <c r="C922" s="8" t="str">
        <f t="shared" si="71"/>
        <v/>
      </c>
      <c r="D922" s="8" t="str">
        <f t="shared" si="72"/>
        <v/>
      </c>
      <c r="F922" s="4" t="str">
        <f>IF(Jugadores!B922="","",Jugadores!B922)</f>
        <v/>
      </c>
      <c r="G922" s="4" t="str">
        <f>IF(Jugadores!B922="","",Jugadores!A922)</f>
        <v/>
      </c>
      <c r="H922" s="4" t="str">
        <f>IF(F922="","",SUMIF('Estadísticas Jugadores'!$F$2:$F$7001,F922,'Estadísticas Jugadores'!$L$2:$L$7001))</f>
        <v/>
      </c>
      <c r="I922" s="4" t="str">
        <f t="shared" si="73"/>
        <v/>
      </c>
      <c r="J922" s="4" t="str">
        <f t="shared" si="74"/>
        <v/>
      </c>
    </row>
    <row r="923" spans="1:10" ht="15" customHeight="1" x14ac:dyDescent="0.25">
      <c r="A923" s="8" t="str">
        <f>IF(COUNT($J$2:$J$1501)&gt;=922,922,"")</f>
        <v/>
      </c>
      <c r="B923" s="8" t="str">
        <f t="shared" si="70"/>
        <v/>
      </c>
      <c r="C923" s="8" t="str">
        <f t="shared" si="71"/>
        <v/>
      </c>
      <c r="D923" s="8" t="str">
        <f t="shared" si="72"/>
        <v/>
      </c>
      <c r="F923" s="4" t="str">
        <f>IF(Jugadores!B923="","",Jugadores!B923)</f>
        <v/>
      </c>
      <c r="G923" s="4" t="str">
        <f>IF(Jugadores!B923="","",Jugadores!A923)</f>
        <v/>
      </c>
      <c r="H923" s="4" t="str">
        <f>IF(F923="","",SUMIF('Estadísticas Jugadores'!$F$2:$F$7001,F923,'Estadísticas Jugadores'!$L$2:$L$7001))</f>
        <v/>
      </c>
      <c r="I923" s="4" t="str">
        <f t="shared" si="73"/>
        <v/>
      </c>
      <c r="J923" s="4" t="str">
        <f t="shared" si="74"/>
        <v/>
      </c>
    </row>
    <row r="924" spans="1:10" ht="15" customHeight="1" x14ac:dyDescent="0.25">
      <c r="A924" s="8" t="str">
        <f>IF(COUNT($J$2:$J$1501)&gt;=923,923,"")</f>
        <v/>
      </c>
      <c r="B924" s="8" t="str">
        <f t="shared" si="70"/>
        <v/>
      </c>
      <c r="C924" s="8" t="str">
        <f t="shared" si="71"/>
        <v/>
      </c>
      <c r="D924" s="8" t="str">
        <f t="shared" si="72"/>
        <v/>
      </c>
      <c r="F924" s="4" t="str">
        <f>IF(Jugadores!B924="","",Jugadores!B924)</f>
        <v/>
      </c>
      <c r="G924" s="4" t="str">
        <f>IF(Jugadores!B924="","",Jugadores!A924)</f>
        <v/>
      </c>
      <c r="H924" s="4" t="str">
        <f>IF(F924="","",SUMIF('Estadísticas Jugadores'!$F$2:$F$7001,F924,'Estadísticas Jugadores'!$L$2:$L$7001))</f>
        <v/>
      </c>
      <c r="I924" s="4" t="str">
        <f t="shared" si="73"/>
        <v/>
      </c>
      <c r="J924" s="4" t="str">
        <f t="shared" si="74"/>
        <v/>
      </c>
    </row>
    <row r="925" spans="1:10" ht="15" customHeight="1" x14ac:dyDescent="0.25">
      <c r="A925" s="8" t="str">
        <f>IF(COUNT($J$2:$J$1501)&gt;=924,924,"")</f>
        <v/>
      </c>
      <c r="B925" s="8" t="str">
        <f t="shared" si="70"/>
        <v/>
      </c>
      <c r="C925" s="8" t="str">
        <f t="shared" si="71"/>
        <v/>
      </c>
      <c r="D925" s="8" t="str">
        <f t="shared" si="72"/>
        <v/>
      </c>
      <c r="F925" s="4" t="str">
        <f>IF(Jugadores!B925="","",Jugadores!B925)</f>
        <v/>
      </c>
      <c r="G925" s="4" t="str">
        <f>IF(Jugadores!B925="","",Jugadores!A925)</f>
        <v/>
      </c>
      <c r="H925" s="4" t="str">
        <f>IF(F925="","",SUMIF('Estadísticas Jugadores'!$F$2:$F$7001,F925,'Estadísticas Jugadores'!$L$2:$L$7001))</f>
        <v/>
      </c>
      <c r="I925" s="4" t="str">
        <f t="shared" si="73"/>
        <v/>
      </c>
      <c r="J925" s="4" t="str">
        <f t="shared" si="74"/>
        <v/>
      </c>
    </row>
    <row r="926" spans="1:10" ht="15" customHeight="1" x14ac:dyDescent="0.25">
      <c r="A926" s="8" t="str">
        <f>IF(COUNT($J$2:$J$1501)&gt;=925,925,"")</f>
        <v/>
      </c>
      <c r="B926" s="8" t="str">
        <f t="shared" si="70"/>
        <v/>
      </c>
      <c r="C926" s="8" t="str">
        <f t="shared" si="71"/>
        <v/>
      </c>
      <c r="D926" s="8" t="str">
        <f t="shared" si="72"/>
        <v/>
      </c>
      <c r="F926" s="4" t="str">
        <f>IF(Jugadores!B926="","",Jugadores!B926)</f>
        <v/>
      </c>
      <c r="G926" s="4" t="str">
        <f>IF(Jugadores!B926="","",Jugadores!A926)</f>
        <v/>
      </c>
      <c r="H926" s="4" t="str">
        <f>IF(F926="","",SUMIF('Estadísticas Jugadores'!$F$2:$F$7001,F926,'Estadísticas Jugadores'!$L$2:$L$7001))</f>
        <v/>
      </c>
      <c r="I926" s="4" t="str">
        <f t="shared" si="73"/>
        <v/>
      </c>
      <c r="J926" s="4" t="str">
        <f t="shared" si="74"/>
        <v/>
      </c>
    </row>
    <row r="927" spans="1:10" ht="15" customHeight="1" x14ac:dyDescent="0.25">
      <c r="A927" s="8" t="str">
        <f>IF(COUNT($J$2:$J$1501)&gt;=926,926,"")</f>
        <v/>
      </c>
      <c r="B927" s="8" t="str">
        <f t="shared" si="70"/>
        <v/>
      </c>
      <c r="C927" s="8" t="str">
        <f t="shared" si="71"/>
        <v/>
      </c>
      <c r="D927" s="8" t="str">
        <f t="shared" si="72"/>
        <v/>
      </c>
      <c r="F927" s="4" t="str">
        <f>IF(Jugadores!B927="","",Jugadores!B927)</f>
        <v/>
      </c>
      <c r="G927" s="4" t="str">
        <f>IF(Jugadores!B927="","",Jugadores!A927)</f>
        <v/>
      </c>
      <c r="H927" s="4" t="str">
        <f>IF(F927="","",SUMIF('Estadísticas Jugadores'!$F$2:$F$7001,F927,'Estadísticas Jugadores'!$L$2:$L$7001))</f>
        <v/>
      </c>
      <c r="I927" s="4" t="str">
        <f t="shared" si="73"/>
        <v/>
      </c>
      <c r="J927" s="4" t="str">
        <f t="shared" si="74"/>
        <v/>
      </c>
    </row>
    <row r="928" spans="1:10" ht="15" customHeight="1" x14ac:dyDescent="0.25">
      <c r="A928" s="8" t="str">
        <f>IF(COUNT($J$2:$J$1501)&gt;=927,927,"")</f>
        <v/>
      </c>
      <c r="B928" s="8" t="str">
        <f t="shared" si="70"/>
        <v/>
      </c>
      <c r="C928" s="8" t="str">
        <f t="shared" si="71"/>
        <v/>
      </c>
      <c r="D928" s="8" t="str">
        <f t="shared" si="72"/>
        <v/>
      </c>
      <c r="F928" s="4" t="str">
        <f>IF(Jugadores!B928="","",Jugadores!B928)</f>
        <v/>
      </c>
      <c r="G928" s="4" t="str">
        <f>IF(Jugadores!B928="","",Jugadores!A928)</f>
        <v/>
      </c>
      <c r="H928" s="4" t="str">
        <f>IF(F928="","",SUMIF('Estadísticas Jugadores'!$F$2:$F$7001,F928,'Estadísticas Jugadores'!$L$2:$L$7001))</f>
        <v/>
      </c>
      <c r="I928" s="4" t="str">
        <f t="shared" si="73"/>
        <v/>
      </c>
      <c r="J928" s="4" t="str">
        <f t="shared" si="74"/>
        <v/>
      </c>
    </row>
    <row r="929" spans="1:10" ht="15" customHeight="1" x14ac:dyDescent="0.25">
      <c r="A929" s="8" t="str">
        <f>IF(COUNT($J$2:$J$1501)&gt;=928,928,"")</f>
        <v/>
      </c>
      <c r="B929" s="8" t="str">
        <f t="shared" si="70"/>
        <v/>
      </c>
      <c r="C929" s="8" t="str">
        <f t="shared" si="71"/>
        <v/>
      </c>
      <c r="D929" s="8" t="str">
        <f t="shared" si="72"/>
        <v/>
      </c>
      <c r="F929" s="4" t="str">
        <f>IF(Jugadores!B929="","",Jugadores!B929)</f>
        <v/>
      </c>
      <c r="G929" s="4" t="str">
        <f>IF(Jugadores!B929="","",Jugadores!A929)</f>
        <v/>
      </c>
      <c r="H929" s="4" t="str">
        <f>IF(F929="","",SUMIF('Estadísticas Jugadores'!$F$2:$F$7001,F929,'Estadísticas Jugadores'!$L$2:$L$7001))</f>
        <v/>
      </c>
      <c r="I929" s="4" t="str">
        <f t="shared" si="73"/>
        <v/>
      </c>
      <c r="J929" s="4" t="str">
        <f t="shared" si="74"/>
        <v/>
      </c>
    </row>
    <row r="930" spans="1:10" ht="15" customHeight="1" x14ac:dyDescent="0.25">
      <c r="A930" s="8" t="str">
        <f>IF(COUNT($J$2:$J$1501)&gt;=929,929,"")</f>
        <v/>
      </c>
      <c r="B930" s="8" t="str">
        <f t="shared" si="70"/>
        <v/>
      </c>
      <c r="C930" s="8" t="str">
        <f t="shared" si="71"/>
        <v/>
      </c>
      <c r="D930" s="8" t="str">
        <f t="shared" si="72"/>
        <v/>
      </c>
      <c r="F930" s="4" t="str">
        <f>IF(Jugadores!B930="","",Jugadores!B930)</f>
        <v/>
      </c>
      <c r="G930" s="4" t="str">
        <f>IF(Jugadores!B930="","",Jugadores!A930)</f>
        <v/>
      </c>
      <c r="H930" s="4" t="str">
        <f>IF(F930="","",SUMIF('Estadísticas Jugadores'!$F$2:$F$7001,F930,'Estadísticas Jugadores'!$L$2:$L$7001))</f>
        <v/>
      </c>
      <c r="I930" s="4" t="str">
        <f t="shared" si="73"/>
        <v/>
      </c>
      <c r="J930" s="4" t="str">
        <f t="shared" si="74"/>
        <v/>
      </c>
    </row>
    <row r="931" spans="1:10" ht="15" customHeight="1" x14ac:dyDescent="0.25">
      <c r="A931" s="8" t="str">
        <f>IF(COUNT($J$2:$J$1501)&gt;=930,930,"")</f>
        <v/>
      </c>
      <c r="B931" s="8" t="str">
        <f t="shared" si="70"/>
        <v/>
      </c>
      <c r="C931" s="8" t="str">
        <f t="shared" si="71"/>
        <v/>
      </c>
      <c r="D931" s="8" t="str">
        <f t="shared" si="72"/>
        <v/>
      </c>
      <c r="F931" s="4" t="str">
        <f>IF(Jugadores!B931="","",Jugadores!B931)</f>
        <v/>
      </c>
      <c r="G931" s="4" t="str">
        <f>IF(Jugadores!B931="","",Jugadores!A931)</f>
        <v/>
      </c>
      <c r="H931" s="4" t="str">
        <f>IF(F931="","",SUMIF('Estadísticas Jugadores'!$F$2:$F$7001,F931,'Estadísticas Jugadores'!$L$2:$L$7001))</f>
        <v/>
      </c>
      <c r="I931" s="4" t="str">
        <f t="shared" si="73"/>
        <v/>
      </c>
      <c r="J931" s="4" t="str">
        <f t="shared" si="74"/>
        <v/>
      </c>
    </row>
    <row r="932" spans="1:10" ht="15" customHeight="1" x14ac:dyDescent="0.25">
      <c r="A932" s="8" t="str">
        <f>IF(COUNT($J$2:$J$1501)&gt;=931,931,"")</f>
        <v/>
      </c>
      <c r="B932" s="8" t="str">
        <f t="shared" si="70"/>
        <v/>
      </c>
      <c r="C932" s="8" t="str">
        <f t="shared" si="71"/>
        <v/>
      </c>
      <c r="D932" s="8" t="str">
        <f t="shared" si="72"/>
        <v/>
      </c>
      <c r="F932" s="4" t="str">
        <f>IF(Jugadores!B932="","",Jugadores!B932)</f>
        <v/>
      </c>
      <c r="G932" s="4" t="str">
        <f>IF(Jugadores!B932="","",Jugadores!A932)</f>
        <v/>
      </c>
      <c r="H932" s="4" t="str">
        <f>IF(F932="","",SUMIF('Estadísticas Jugadores'!$F$2:$F$7001,F932,'Estadísticas Jugadores'!$L$2:$L$7001))</f>
        <v/>
      </c>
      <c r="I932" s="4" t="str">
        <f t="shared" si="73"/>
        <v/>
      </c>
      <c r="J932" s="4" t="str">
        <f t="shared" si="74"/>
        <v/>
      </c>
    </row>
    <row r="933" spans="1:10" ht="15" customHeight="1" x14ac:dyDescent="0.25">
      <c r="A933" s="8" t="str">
        <f>IF(COUNT($J$2:$J$1501)&gt;=932,932,"")</f>
        <v/>
      </c>
      <c r="B933" s="8" t="str">
        <f t="shared" si="70"/>
        <v/>
      </c>
      <c r="C933" s="8" t="str">
        <f t="shared" si="71"/>
        <v/>
      </c>
      <c r="D933" s="8" t="str">
        <f t="shared" si="72"/>
        <v/>
      </c>
      <c r="F933" s="4" t="str">
        <f>IF(Jugadores!B933="","",Jugadores!B933)</f>
        <v/>
      </c>
      <c r="G933" s="4" t="str">
        <f>IF(Jugadores!B933="","",Jugadores!A933)</f>
        <v/>
      </c>
      <c r="H933" s="4" t="str">
        <f>IF(F933="","",SUMIF('Estadísticas Jugadores'!$F$2:$F$7001,F933,'Estadísticas Jugadores'!$L$2:$L$7001))</f>
        <v/>
      </c>
      <c r="I933" s="4" t="str">
        <f t="shared" si="73"/>
        <v/>
      </c>
      <c r="J933" s="4" t="str">
        <f t="shared" si="74"/>
        <v/>
      </c>
    </row>
    <row r="934" spans="1:10" ht="15" customHeight="1" x14ac:dyDescent="0.25">
      <c r="A934" s="8" t="str">
        <f>IF(COUNT($J$2:$J$1501)&gt;=933,933,"")</f>
        <v/>
      </c>
      <c r="B934" s="8" t="str">
        <f t="shared" si="70"/>
        <v/>
      </c>
      <c r="C934" s="8" t="str">
        <f t="shared" si="71"/>
        <v/>
      </c>
      <c r="D934" s="8" t="str">
        <f t="shared" si="72"/>
        <v/>
      </c>
      <c r="F934" s="4" t="str">
        <f>IF(Jugadores!B934="","",Jugadores!B934)</f>
        <v/>
      </c>
      <c r="G934" s="4" t="str">
        <f>IF(Jugadores!B934="","",Jugadores!A934)</f>
        <v/>
      </c>
      <c r="H934" s="4" t="str">
        <f>IF(F934="","",SUMIF('Estadísticas Jugadores'!$F$2:$F$7001,F934,'Estadísticas Jugadores'!$L$2:$L$7001))</f>
        <v/>
      </c>
      <c r="I934" s="4" t="str">
        <f t="shared" si="73"/>
        <v/>
      </c>
      <c r="J934" s="4" t="str">
        <f t="shared" si="74"/>
        <v/>
      </c>
    </row>
    <row r="935" spans="1:10" ht="15" customHeight="1" x14ac:dyDescent="0.25">
      <c r="A935" s="8" t="str">
        <f>IF(COUNT($J$2:$J$1501)&gt;=934,934,"")</f>
        <v/>
      </c>
      <c r="B935" s="8" t="str">
        <f t="shared" si="70"/>
        <v/>
      </c>
      <c r="C935" s="8" t="str">
        <f t="shared" si="71"/>
        <v/>
      </c>
      <c r="D935" s="8" t="str">
        <f t="shared" si="72"/>
        <v/>
      </c>
      <c r="F935" s="4" t="str">
        <f>IF(Jugadores!B935="","",Jugadores!B935)</f>
        <v/>
      </c>
      <c r="G935" s="4" t="str">
        <f>IF(Jugadores!B935="","",Jugadores!A935)</f>
        <v/>
      </c>
      <c r="H935" s="4" t="str">
        <f>IF(F935="","",SUMIF('Estadísticas Jugadores'!$F$2:$F$7001,F935,'Estadísticas Jugadores'!$L$2:$L$7001))</f>
        <v/>
      </c>
      <c r="I935" s="4" t="str">
        <f t="shared" si="73"/>
        <v/>
      </c>
      <c r="J935" s="4" t="str">
        <f t="shared" si="74"/>
        <v/>
      </c>
    </row>
    <row r="936" spans="1:10" ht="15" customHeight="1" x14ac:dyDescent="0.25">
      <c r="A936" s="8" t="str">
        <f>IF(COUNT($J$2:$J$1501)&gt;=935,935,"")</f>
        <v/>
      </c>
      <c r="B936" s="8" t="str">
        <f t="shared" si="70"/>
        <v/>
      </c>
      <c r="C936" s="8" t="str">
        <f t="shared" si="71"/>
        <v/>
      </c>
      <c r="D936" s="8" t="str">
        <f t="shared" si="72"/>
        <v/>
      </c>
      <c r="F936" s="4" t="str">
        <f>IF(Jugadores!B936="","",Jugadores!B936)</f>
        <v/>
      </c>
      <c r="G936" s="4" t="str">
        <f>IF(Jugadores!B936="","",Jugadores!A936)</f>
        <v/>
      </c>
      <c r="H936" s="4" t="str">
        <f>IF(F936="","",SUMIF('Estadísticas Jugadores'!$F$2:$F$7001,F936,'Estadísticas Jugadores'!$L$2:$L$7001))</f>
        <v/>
      </c>
      <c r="I936" s="4" t="str">
        <f t="shared" si="73"/>
        <v/>
      </c>
      <c r="J936" s="4" t="str">
        <f t="shared" si="74"/>
        <v/>
      </c>
    </row>
    <row r="937" spans="1:10" ht="15" customHeight="1" x14ac:dyDescent="0.25">
      <c r="A937" s="8" t="str">
        <f>IF(COUNT($J$2:$J$1501)&gt;=936,936,"")</f>
        <v/>
      </c>
      <c r="B937" s="8" t="str">
        <f t="shared" si="70"/>
        <v/>
      </c>
      <c r="C937" s="8" t="str">
        <f t="shared" si="71"/>
        <v/>
      </c>
      <c r="D937" s="8" t="str">
        <f t="shared" si="72"/>
        <v/>
      </c>
      <c r="F937" s="4" t="str">
        <f>IF(Jugadores!B937="","",Jugadores!B937)</f>
        <v/>
      </c>
      <c r="G937" s="4" t="str">
        <f>IF(Jugadores!B937="","",Jugadores!A937)</f>
        <v/>
      </c>
      <c r="H937" s="4" t="str">
        <f>IF(F937="","",SUMIF('Estadísticas Jugadores'!$F$2:$F$7001,F937,'Estadísticas Jugadores'!$L$2:$L$7001))</f>
        <v/>
      </c>
      <c r="I937" s="4" t="str">
        <f t="shared" si="73"/>
        <v/>
      </c>
      <c r="J937" s="4" t="str">
        <f t="shared" si="74"/>
        <v/>
      </c>
    </row>
    <row r="938" spans="1:10" ht="15" customHeight="1" x14ac:dyDescent="0.25">
      <c r="A938" s="8" t="str">
        <f>IF(COUNT($J$2:$J$1501)&gt;=937,937,"")</f>
        <v/>
      </c>
      <c r="B938" s="8" t="str">
        <f t="shared" si="70"/>
        <v/>
      </c>
      <c r="C938" s="8" t="str">
        <f t="shared" si="71"/>
        <v/>
      </c>
      <c r="D938" s="8" t="str">
        <f t="shared" si="72"/>
        <v/>
      </c>
      <c r="F938" s="4" t="str">
        <f>IF(Jugadores!B938="","",Jugadores!B938)</f>
        <v/>
      </c>
      <c r="G938" s="4" t="str">
        <f>IF(Jugadores!B938="","",Jugadores!A938)</f>
        <v/>
      </c>
      <c r="H938" s="4" t="str">
        <f>IF(F938="","",SUMIF('Estadísticas Jugadores'!$F$2:$F$7001,F938,'Estadísticas Jugadores'!$L$2:$L$7001))</f>
        <v/>
      </c>
      <c r="I938" s="4" t="str">
        <f t="shared" si="73"/>
        <v/>
      </c>
      <c r="J938" s="4" t="str">
        <f t="shared" si="74"/>
        <v/>
      </c>
    </row>
    <row r="939" spans="1:10" ht="15" customHeight="1" x14ac:dyDescent="0.25">
      <c r="A939" s="8" t="str">
        <f>IF(COUNT($J$2:$J$1501)&gt;=938,938,"")</f>
        <v/>
      </c>
      <c r="B939" s="8" t="str">
        <f t="shared" si="70"/>
        <v/>
      </c>
      <c r="C939" s="8" t="str">
        <f t="shared" si="71"/>
        <v/>
      </c>
      <c r="D939" s="8" t="str">
        <f t="shared" si="72"/>
        <v/>
      </c>
      <c r="F939" s="4" t="str">
        <f>IF(Jugadores!B939="","",Jugadores!B939)</f>
        <v/>
      </c>
      <c r="G939" s="4" t="str">
        <f>IF(Jugadores!B939="","",Jugadores!A939)</f>
        <v/>
      </c>
      <c r="H939" s="4" t="str">
        <f>IF(F939="","",SUMIF('Estadísticas Jugadores'!$F$2:$F$7001,F939,'Estadísticas Jugadores'!$L$2:$L$7001))</f>
        <v/>
      </c>
      <c r="I939" s="4" t="str">
        <f t="shared" si="73"/>
        <v/>
      </c>
      <c r="J939" s="4" t="str">
        <f t="shared" si="74"/>
        <v/>
      </c>
    </row>
    <row r="940" spans="1:10" ht="15" customHeight="1" x14ac:dyDescent="0.25">
      <c r="A940" s="8" t="str">
        <f>IF(COUNT($J$2:$J$1501)&gt;=939,939,"")</f>
        <v/>
      </c>
      <c r="B940" s="8" t="str">
        <f t="shared" si="70"/>
        <v/>
      </c>
      <c r="C940" s="8" t="str">
        <f t="shared" si="71"/>
        <v/>
      </c>
      <c r="D940" s="8" t="str">
        <f t="shared" si="72"/>
        <v/>
      </c>
      <c r="F940" s="4" t="str">
        <f>IF(Jugadores!B940="","",Jugadores!B940)</f>
        <v/>
      </c>
      <c r="G940" s="4" t="str">
        <f>IF(Jugadores!B940="","",Jugadores!A940)</f>
        <v/>
      </c>
      <c r="H940" s="4" t="str">
        <f>IF(F940="","",SUMIF('Estadísticas Jugadores'!$F$2:$F$7001,F940,'Estadísticas Jugadores'!$L$2:$L$7001))</f>
        <v/>
      </c>
      <c r="I940" s="4" t="str">
        <f t="shared" si="73"/>
        <v/>
      </c>
      <c r="J940" s="4" t="str">
        <f t="shared" si="74"/>
        <v/>
      </c>
    </row>
    <row r="941" spans="1:10" ht="15" customHeight="1" x14ac:dyDescent="0.25">
      <c r="A941" s="8" t="str">
        <f>IF(COUNT($J$2:$J$1501)&gt;=940,940,"")</f>
        <v/>
      </c>
      <c r="B941" s="8" t="str">
        <f t="shared" si="70"/>
        <v/>
      </c>
      <c r="C941" s="8" t="str">
        <f t="shared" si="71"/>
        <v/>
      </c>
      <c r="D941" s="8" t="str">
        <f t="shared" si="72"/>
        <v/>
      </c>
      <c r="F941" s="4" t="str">
        <f>IF(Jugadores!B941="","",Jugadores!B941)</f>
        <v/>
      </c>
      <c r="G941" s="4" t="str">
        <f>IF(Jugadores!B941="","",Jugadores!A941)</f>
        <v/>
      </c>
      <c r="H941" s="4" t="str">
        <f>IF(F941="","",SUMIF('Estadísticas Jugadores'!$F$2:$F$7001,F941,'Estadísticas Jugadores'!$L$2:$L$7001))</f>
        <v/>
      </c>
      <c r="I941" s="4" t="str">
        <f t="shared" si="73"/>
        <v/>
      </c>
      <c r="J941" s="4" t="str">
        <f t="shared" si="74"/>
        <v/>
      </c>
    </row>
    <row r="942" spans="1:10" ht="15" customHeight="1" x14ac:dyDescent="0.25">
      <c r="A942" s="8" t="str">
        <f>IF(COUNT($J$2:$J$1501)&gt;=941,941,"")</f>
        <v/>
      </c>
      <c r="B942" s="8" t="str">
        <f t="shared" si="70"/>
        <v/>
      </c>
      <c r="C942" s="8" t="str">
        <f t="shared" si="71"/>
        <v/>
      </c>
      <c r="D942" s="8" t="str">
        <f t="shared" si="72"/>
        <v/>
      </c>
      <c r="F942" s="4" t="str">
        <f>IF(Jugadores!B942="","",Jugadores!B942)</f>
        <v/>
      </c>
      <c r="G942" s="4" t="str">
        <f>IF(Jugadores!B942="","",Jugadores!A942)</f>
        <v/>
      </c>
      <c r="H942" s="4" t="str">
        <f>IF(F942="","",SUMIF('Estadísticas Jugadores'!$F$2:$F$7001,F942,'Estadísticas Jugadores'!$L$2:$L$7001))</f>
        <v/>
      </c>
      <c r="I942" s="4" t="str">
        <f t="shared" si="73"/>
        <v/>
      </c>
      <c r="J942" s="4" t="str">
        <f t="shared" si="74"/>
        <v/>
      </c>
    </row>
    <row r="943" spans="1:10" ht="15" customHeight="1" x14ac:dyDescent="0.25">
      <c r="A943" s="8" t="str">
        <f>IF(COUNT($J$2:$J$1501)&gt;=942,942,"")</f>
        <v/>
      </c>
      <c r="B943" s="8" t="str">
        <f t="shared" si="70"/>
        <v/>
      </c>
      <c r="C943" s="8" t="str">
        <f t="shared" si="71"/>
        <v/>
      </c>
      <c r="D943" s="8" t="str">
        <f t="shared" si="72"/>
        <v/>
      </c>
      <c r="F943" s="4" t="str">
        <f>IF(Jugadores!B943="","",Jugadores!B943)</f>
        <v/>
      </c>
      <c r="G943" s="4" t="str">
        <f>IF(Jugadores!B943="","",Jugadores!A943)</f>
        <v/>
      </c>
      <c r="H943" s="4" t="str">
        <f>IF(F943="","",SUMIF('Estadísticas Jugadores'!$F$2:$F$7001,F943,'Estadísticas Jugadores'!$L$2:$L$7001))</f>
        <v/>
      </c>
      <c r="I943" s="4" t="str">
        <f t="shared" si="73"/>
        <v/>
      </c>
      <c r="J943" s="4" t="str">
        <f t="shared" si="74"/>
        <v/>
      </c>
    </row>
    <row r="944" spans="1:10" ht="15" customHeight="1" x14ac:dyDescent="0.25">
      <c r="A944" s="8" t="str">
        <f>IF(COUNT($J$2:$J$1501)&gt;=943,943,"")</f>
        <v/>
      </c>
      <c r="B944" s="8" t="str">
        <f t="shared" si="70"/>
        <v/>
      </c>
      <c r="C944" s="8" t="str">
        <f t="shared" si="71"/>
        <v/>
      </c>
      <c r="D944" s="8" t="str">
        <f t="shared" si="72"/>
        <v/>
      </c>
      <c r="F944" s="4" t="str">
        <f>IF(Jugadores!B944="","",Jugadores!B944)</f>
        <v/>
      </c>
      <c r="G944" s="4" t="str">
        <f>IF(Jugadores!B944="","",Jugadores!A944)</f>
        <v/>
      </c>
      <c r="H944" s="4" t="str">
        <f>IF(F944="","",SUMIF('Estadísticas Jugadores'!$F$2:$F$7001,F944,'Estadísticas Jugadores'!$L$2:$L$7001))</f>
        <v/>
      </c>
      <c r="I944" s="4" t="str">
        <f t="shared" si="73"/>
        <v/>
      </c>
      <c r="J944" s="4" t="str">
        <f t="shared" si="74"/>
        <v/>
      </c>
    </row>
    <row r="945" spans="1:10" ht="15" customHeight="1" x14ac:dyDescent="0.25">
      <c r="A945" s="8" t="str">
        <f>IF(COUNT($J$2:$J$1501)&gt;=944,944,"")</f>
        <v/>
      </c>
      <c r="B945" s="8" t="str">
        <f t="shared" si="70"/>
        <v/>
      </c>
      <c r="C945" s="8" t="str">
        <f t="shared" si="71"/>
        <v/>
      </c>
      <c r="D945" s="8" t="str">
        <f t="shared" si="72"/>
        <v/>
      </c>
      <c r="F945" s="4" t="str">
        <f>IF(Jugadores!B945="","",Jugadores!B945)</f>
        <v/>
      </c>
      <c r="G945" s="4" t="str">
        <f>IF(Jugadores!B945="","",Jugadores!A945)</f>
        <v/>
      </c>
      <c r="H945" s="4" t="str">
        <f>IF(F945="","",SUMIF('Estadísticas Jugadores'!$F$2:$F$7001,F945,'Estadísticas Jugadores'!$L$2:$L$7001))</f>
        <v/>
      </c>
      <c r="I945" s="4" t="str">
        <f t="shared" si="73"/>
        <v/>
      </c>
      <c r="J945" s="4" t="str">
        <f t="shared" si="74"/>
        <v/>
      </c>
    </row>
    <row r="946" spans="1:10" ht="15" customHeight="1" x14ac:dyDescent="0.25">
      <c r="A946" s="8" t="str">
        <f>IF(COUNT($J$2:$J$1501)&gt;=945,945,"")</f>
        <v/>
      </c>
      <c r="B946" s="8" t="str">
        <f t="shared" si="70"/>
        <v/>
      </c>
      <c r="C946" s="8" t="str">
        <f t="shared" si="71"/>
        <v/>
      </c>
      <c r="D946" s="8" t="str">
        <f t="shared" si="72"/>
        <v/>
      </c>
      <c r="F946" s="4" t="str">
        <f>IF(Jugadores!B946="","",Jugadores!B946)</f>
        <v/>
      </c>
      <c r="G946" s="4" t="str">
        <f>IF(Jugadores!B946="","",Jugadores!A946)</f>
        <v/>
      </c>
      <c r="H946" s="4" t="str">
        <f>IF(F946="","",SUMIF('Estadísticas Jugadores'!$F$2:$F$7001,F946,'Estadísticas Jugadores'!$L$2:$L$7001))</f>
        <v/>
      </c>
      <c r="I946" s="4" t="str">
        <f t="shared" si="73"/>
        <v/>
      </c>
      <c r="J946" s="4" t="str">
        <f t="shared" si="74"/>
        <v/>
      </c>
    </row>
    <row r="947" spans="1:10" ht="15" customHeight="1" x14ac:dyDescent="0.25">
      <c r="A947" s="8" t="str">
        <f>IF(COUNT($J$2:$J$1501)&gt;=946,946,"")</f>
        <v/>
      </c>
      <c r="B947" s="8" t="str">
        <f t="shared" si="70"/>
        <v/>
      </c>
      <c r="C947" s="8" t="str">
        <f t="shared" si="71"/>
        <v/>
      </c>
      <c r="D947" s="8" t="str">
        <f t="shared" si="72"/>
        <v/>
      </c>
      <c r="F947" s="4" t="str">
        <f>IF(Jugadores!B947="","",Jugadores!B947)</f>
        <v/>
      </c>
      <c r="G947" s="4" t="str">
        <f>IF(Jugadores!B947="","",Jugadores!A947)</f>
        <v/>
      </c>
      <c r="H947" s="4" t="str">
        <f>IF(F947="","",SUMIF('Estadísticas Jugadores'!$F$2:$F$7001,F947,'Estadísticas Jugadores'!$L$2:$L$7001))</f>
        <v/>
      </c>
      <c r="I947" s="4" t="str">
        <f t="shared" si="73"/>
        <v/>
      </c>
      <c r="J947" s="4" t="str">
        <f t="shared" si="74"/>
        <v/>
      </c>
    </row>
    <row r="948" spans="1:10" ht="15" customHeight="1" x14ac:dyDescent="0.25">
      <c r="A948" s="8" t="str">
        <f>IF(COUNT($J$2:$J$1501)&gt;=947,947,"")</f>
        <v/>
      </c>
      <c r="B948" s="8" t="str">
        <f t="shared" si="70"/>
        <v/>
      </c>
      <c r="C948" s="8" t="str">
        <f t="shared" si="71"/>
        <v/>
      </c>
      <c r="D948" s="8" t="str">
        <f t="shared" si="72"/>
        <v/>
      </c>
      <c r="F948" s="4" t="str">
        <f>IF(Jugadores!B948="","",Jugadores!B948)</f>
        <v/>
      </c>
      <c r="G948" s="4" t="str">
        <f>IF(Jugadores!B948="","",Jugadores!A948)</f>
        <v/>
      </c>
      <c r="H948" s="4" t="str">
        <f>IF(F948="","",SUMIF('Estadísticas Jugadores'!$F$2:$F$7001,F948,'Estadísticas Jugadores'!$L$2:$L$7001))</f>
        <v/>
      </c>
      <c r="I948" s="4" t="str">
        <f t="shared" si="73"/>
        <v/>
      </c>
      <c r="J948" s="4" t="str">
        <f t="shared" si="74"/>
        <v/>
      </c>
    </row>
    <row r="949" spans="1:10" ht="15" customHeight="1" x14ac:dyDescent="0.25">
      <c r="A949" s="8" t="str">
        <f>IF(COUNT($J$2:$J$1501)&gt;=948,948,"")</f>
        <v/>
      </c>
      <c r="B949" s="8" t="str">
        <f t="shared" si="70"/>
        <v/>
      </c>
      <c r="C949" s="8" t="str">
        <f t="shared" si="71"/>
        <v/>
      </c>
      <c r="D949" s="8" t="str">
        <f t="shared" si="72"/>
        <v/>
      </c>
      <c r="F949" s="4" t="str">
        <f>IF(Jugadores!B949="","",Jugadores!B949)</f>
        <v/>
      </c>
      <c r="G949" s="4" t="str">
        <f>IF(Jugadores!B949="","",Jugadores!A949)</f>
        <v/>
      </c>
      <c r="H949" s="4" t="str">
        <f>IF(F949="","",SUMIF('Estadísticas Jugadores'!$F$2:$F$7001,F949,'Estadísticas Jugadores'!$L$2:$L$7001))</f>
        <v/>
      </c>
      <c r="I949" s="4" t="str">
        <f t="shared" si="73"/>
        <v/>
      </c>
      <c r="J949" s="4" t="str">
        <f t="shared" si="74"/>
        <v/>
      </c>
    </row>
    <row r="950" spans="1:10" ht="15" customHeight="1" x14ac:dyDescent="0.25">
      <c r="A950" s="8" t="str">
        <f>IF(COUNT($J$2:$J$1501)&gt;=949,949,"")</f>
        <v/>
      </c>
      <c r="B950" s="8" t="str">
        <f t="shared" si="70"/>
        <v/>
      </c>
      <c r="C950" s="8" t="str">
        <f t="shared" si="71"/>
        <v/>
      </c>
      <c r="D950" s="8" t="str">
        <f t="shared" si="72"/>
        <v/>
      </c>
      <c r="F950" s="4" t="str">
        <f>IF(Jugadores!B950="","",Jugadores!B950)</f>
        <v/>
      </c>
      <c r="G950" s="4" t="str">
        <f>IF(Jugadores!B950="","",Jugadores!A950)</f>
        <v/>
      </c>
      <c r="H950" s="4" t="str">
        <f>IF(F950="","",SUMIF('Estadísticas Jugadores'!$F$2:$F$7001,F950,'Estadísticas Jugadores'!$L$2:$L$7001))</f>
        <v/>
      </c>
      <c r="I950" s="4" t="str">
        <f t="shared" si="73"/>
        <v/>
      </c>
      <c r="J950" s="4" t="str">
        <f t="shared" si="74"/>
        <v/>
      </c>
    </row>
    <row r="951" spans="1:10" ht="15" customHeight="1" x14ac:dyDescent="0.25">
      <c r="A951" s="8" t="str">
        <f>IF(COUNT($J$2:$J$1501)&gt;=950,950,"")</f>
        <v/>
      </c>
      <c r="B951" s="8" t="str">
        <f t="shared" si="70"/>
        <v/>
      </c>
      <c r="C951" s="8" t="str">
        <f t="shared" si="71"/>
        <v/>
      </c>
      <c r="D951" s="8" t="str">
        <f t="shared" si="72"/>
        <v/>
      </c>
      <c r="F951" s="4" t="str">
        <f>IF(Jugadores!B951="","",Jugadores!B951)</f>
        <v/>
      </c>
      <c r="G951" s="4" t="str">
        <f>IF(Jugadores!B951="","",Jugadores!A951)</f>
        <v/>
      </c>
      <c r="H951" s="4" t="str">
        <f>IF(F951="","",SUMIF('Estadísticas Jugadores'!$F$2:$F$7001,F951,'Estadísticas Jugadores'!$L$2:$L$7001))</f>
        <v/>
      </c>
      <c r="I951" s="4" t="str">
        <f t="shared" si="73"/>
        <v/>
      </c>
      <c r="J951" s="4" t="str">
        <f t="shared" si="74"/>
        <v/>
      </c>
    </row>
    <row r="952" spans="1:10" ht="15" customHeight="1" x14ac:dyDescent="0.25">
      <c r="A952" s="8" t="str">
        <f>IF(COUNT($J$2:$J$1501)&gt;=951,951,"")</f>
        <v/>
      </c>
      <c r="B952" s="8" t="str">
        <f t="shared" si="70"/>
        <v/>
      </c>
      <c r="C952" s="8" t="str">
        <f t="shared" si="71"/>
        <v/>
      </c>
      <c r="D952" s="8" t="str">
        <f t="shared" si="72"/>
        <v/>
      </c>
      <c r="F952" s="4" t="str">
        <f>IF(Jugadores!B952="","",Jugadores!B952)</f>
        <v/>
      </c>
      <c r="G952" s="4" t="str">
        <f>IF(Jugadores!B952="","",Jugadores!A952)</f>
        <v/>
      </c>
      <c r="H952" s="4" t="str">
        <f>IF(F952="","",SUMIF('Estadísticas Jugadores'!$F$2:$F$7001,F952,'Estadísticas Jugadores'!$L$2:$L$7001))</f>
        <v/>
      </c>
      <c r="I952" s="4" t="str">
        <f t="shared" si="73"/>
        <v/>
      </c>
      <c r="J952" s="4" t="str">
        <f t="shared" si="74"/>
        <v/>
      </c>
    </row>
    <row r="953" spans="1:10" ht="15" customHeight="1" x14ac:dyDescent="0.25">
      <c r="A953" s="8" t="str">
        <f>IF(COUNT($J$2:$J$1501)&gt;=952,952,"")</f>
        <v/>
      </c>
      <c r="B953" s="8" t="str">
        <f t="shared" si="70"/>
        <v/>
      </c>
      <c r="C953" s="8" t="str">
        <f t="shared" si="71"/>
        <v/>
      </c>
      <c r="D953" s="8" t="str">
        <f t="shared" si="72"/>
        <v/>
      </c>
      <c r="F953" s="4" t="str">
        <f>IF(Jugadores!B953="","",Jugadores!B953)</f>
        <v/>
      </c>
      <c r="G953" s="4" t="str">
        <f>IF(Jugadores!B953="","",Jugadores!A953)</f>
        <v/>
      </c>
      <c r="H953" s="4" t="str">
        <f>IF(F953="","",SUMIF('Estadísticas Jugadores'!$F$2:$F$7001,F953,'Estadísticas Jugadores'!$L$2:$L$7001))</f>
        <v/>
      </c>
      <c r="I953" s="4" t="str">
        <f t="shared" si="73"/>
        <v/>
      </c>
      <c r="J953" s="4" t="str">
        <f t="shared" si="74"/>
        <v/>
      </c>
    </row>
    <row r="954" spans="1:10" ht="15" customHeight="1" x14ac:dyDescent="0.25">
      <c r="A954" s="8" t="str">
        <f>IF(COUNT($J$2:$J$1501)&gt;=953,953,"")</f>
        <v/>
      </c>
      <c r="B954" s="8" t="str">
        <f t="shared" si="70"/>
        <v/>
      </c>
      <c r="C954" s="8" t="str">
        <f t="shared" si="71"/>
        <v/>
      </c>
      <c r="D954" s="8" t="str">
        <f t="shared" si="72"/>
        <v/>
      </c>
      <c r="F954" s="4" t="str">
        <f>IF(Jugadores!B954="","",Jugadores!B954)</f>
        <v/>
      </c>
      <c r="G954" s="4" t="str">
        <f>IF(Jugadores!B954="","",Jugadores!A954)</f>
        <v/>
      </c>
      <c r="H954" s="4" t="str">
        <f>IF(F954="","",SUMIF('Estadísticas Jugadores'!$F$2:$F$7001,F954,'Estadísticas Jugadores'!$L$2:$L$7001))</f>
        <v/>
      </c>
      <c r="I954" s="4" t="str">
        <f t="shared" si="73"/>
        <v/>
      </c>
      <c r="J954" s="4" t="str">
        <f t="shared" si="74"/>
        <v/>
      </c>
    </row>
    <row r="955" spans="1:10" ht="15" customHeight="1" x14ac:dyDescent="0.25">
      <c r="A955" s="8" t="str">
        <f>IF(COUNT($J$2:$J$1501)&gt;=954,954,"")</f>
        <v/>
      </c>
      <c r="B955" s="8" t="str">
        <f t="shared" si="70"/>
        <v/>
      </c>
      <c r="C955" s="8" t="str">
        <f t="shared" si="71"/>
        <v/>
      </c>
      <c r="D955" s="8" t="str">
        <f t="shared" si="72"/>
        <v/>
      </c>
      <c r="F955" s="4" t="str">
        <f>IF(Jugadores!B955="","",Jugadores!B955)</f>
        <v/>
      </c>
      <c r="G955" s="4" t="str">
        <f>IF(Jugadores!B955="","",Jugadores!A955)</f>
        <v/>
      </c>
      <c r="H955" s="4" t="str">
        <f>IF(F955="","",SUMIF('Estadísticas Jugadores'!$F$2:$F$7001,F955,'Estadísticas Jugadores'!$L$2:$L$7001))</f>
        <v/>
      </c>
      <c r="I955" s="4" t="str">
        <f t="shared" si="73"/>
        <v/>
      </c>
      <c r="J955" s="4" t="str">
        <f t="shared" si="74"/>
        <v/>
      </c>
    </row>
    <row r="956" spans="1:10" ht="15" customHeight="1" x14ac:dyDescent="0.25">
      <c r="A956" s="8" t="str">
        <f>IF(COUNT($J$2:$J$1501)&gt;=955,955,"")</f>
        <v/>
      </c>
      <c r="B956" s="8" t="str">
        <f t="shared" si="70"/>
        <v/>
      </c>
      <c r="C956" s="8" t="str">
        <f t="shared" si="71"/>
        <v/>
      </c>
      <c r="D956" s="8" t="str">
        <f t="shared" si="72"/>
        <v/>
      </c>
      <c r="F956" s="4" t="str">
        <f>IF(Jugadores!B956="","",Jugadores!B956)</f>
        <v/>
      </c>
      <c r="G956" s="4" t="str">
        <f>IF(Jugadores!B956="","",Jugadores!A956)</f>
        <v/>
      </c>
      <c r="H956" s="4" t="str">
        <f>IF(F956="","",SUMIF('Estadísticas Jugadores'!$F$2:$F$7001,F956,'Estadísticas Jugadores'!$L$2:$L$7001))</f>
        <v/>
      </c>
      <c r="I956" s="4" t="str">
        <f t="shared" si="73"/>
        <v/>
      </c>
      <c r="J956" s="4" t="str">
        <f t="shared" si="74"/>
        <v/>
      </c>
    </row>
    <row r="957" spans="1:10" ht="15" customHeight="1" x14ac:dyDescent="0.25">
      <c r="A957" s="8" t="str">
        <f>IF(COUNT($J$2:$J$1501)&gt;=956,956,"")</f>
        <v/>
      </c>
      <c r="B957" s="8" t="str">
        <f t="shared" si="70"/>
        <v/>
      </c>
      <c r="C957" s="8" t="str">
        <f t="shared" si="71"/>
        <v/>
      </c>
      <c r="D957" s="8" t="str">
        <f t="shared" si="72"/>
        <v/>
      </c>
      <c r="F957" s="4" t="str">
        <f>IF(Jugadores!B957="","",Jugadores!B957)</f>
        <v/>
      </c>
      <c r="G957" s="4" t="str">
        <f>IF(Jugadores!B957="","",Jugadores!A957)</f>
        <v/>
      </c>
      <c r="H957" s="4" t="str">
        <f>IF(F957="","",SUMIF('Estadísticas Jugadores'!$F$2:$F$7001,F957,'Estadísticas Jugadores'!$L$2:$L$7001))</f>
        <v/>
      </c>
      <c r="I957" s="4" t="str">
        <f t="shared" si="73"/>
        <v/>
      </c>
      <c r="J957" s="4" t="str">
        <f t="shared" si="74"/>
        <v/>
      </c>
    </row>
    <row r="958" spans="1:10" ht="15" customHeight="1" x14ac:dyDescent="0.25">
      <c r="A958" s="8" t="str">
        <f>IF(COUNT($J$2:$J$1501)&gt;=957,957,"")</f>
        <v/>
      </c>
      <c r="B958" s="8" t="str">
        <f t="shared" si="70"/>
        <v/>
      </c>
      <c r="C958" s="8" t="str">
        <f t="shared" si="71"/>
        <v/>
      </c>
      <c r="D958" s="8" t="str">
        <f t="shared" si="72"/>
        <v/>
      </c>
      <c r="F958" s="4" t="str">
        <f>IF(Jugadores!B958="","",Jugadores!B958)</f>
        <v/>
      </c>
      <c r="G958" s="4" t="str">
        <f>IF(Jugadores!B958="","",Jugadores!A958)</f>
        <v/>
      </c>
      <c r="H958" s="4" t="str">
        <f>IF(F958="","",SUMIF('Estadísticas Jugadores'!$F$2:$F$7001,F958,'Estadísticas Jugadores'!$L$2:$L$7001))</f>
        <v/>
      </c>
      <c r="I958" s="4" t="str">
        <f t="shared" si="73"/>
        <v/>
      </c>
      <c r="J958" s="4" t="str">
        <f t="shared" si="74"/>
        <v/>
      </c>
    </row>
    <row r="959" spans="1:10" ht="15" customHeight="1" x14ac:dyDescent="0.25">
      <c r="A959" s="8" t="str">
        <f>IF(COUNT($J$2:$J$1501)&gt;=958,958,"")</f>
        <v/>
      </c>
      <c r="B959" s="8" t="str">
        <f t="shared" si="70"/>
        <v/>
      </c>
      <c r="C959" s="8" t="str">
        <f t="shared" si="71"/>
        <v/>
      </c>
      <c r="D959" s="8" t="str">
        <f t="shared" si="72"/>
        <v/>
      </c>
      <c r="F959" s="4" t="str">
        <f>IF(Jugadores!B959="","",Jugadores!B959)</f>
        <v/>
      </c>
      <c r="G959" s="4" t="str">
        <f>IF(Jugadores!B959="","",Jugadores!A959)</f>
        <v/>
      </c>
      <c r="H959" s="4" t="str">
        <f>IF(F959="","",SUMIF('Estadísticas Jugadores'!$F$2:$F$7001,F959,'Estadísticas Jugadores'!$L$2:$L$7001))</f>
        <v/>
      </c>
      <c r="I959" s="4" t="str">
        <f t="shared" si="73"/>
        <v/>
      </c>
      <c r="J959" s="4" t="str">
        <f t="shared" si="74"/>
        <v/>
      </c>
    </row>
    <row r="960" spans="1:10" ht="15" customHeight="1" x14ac:dyDescent="0.25">
      <c r="A960" s="8" t="str">
        <f>IF(COUNT($J$2:$J$1501)&gt;=959,959,"")</f>
        <v/>
      </c>
      <c r="B960" s="8" t="str">
        <f t="shared" si="70"/>
        <v/>
      </c>
      <c r="C960" s="8" t="str">
        <f t="shared" si="71"/>
        <v/>
      </c>
      <c r="D960" s="8" t="str">
        <f t="shared" si="72"/>
        <v/>
      </c>
      <c r="F960" s="4" t="str">
        <f>IF(Jugadores!B960="","",Jugadores!B960)</f>
        <v/>
      </c>
      <c r="G960" s="4" t="str">
        <f>IF(Jugadores!B960="","",Jugadores!A960)</f>
        <v/>
      </c>
      <c r="H960" s="4" t="str">
        <f>IF(F960="","",SUMIF('Estadísticas Jugadores'!$F$2:$F$7001,F960,'Estadísticas Jugadores'!$L$2:$L$7001))</f>
        <v/>
      </c>
      <c r="I960" s="4" t="str">
        <f t="shared" si="73"/>
        <v/>
      </c>
      <c r="J960" s="4" t="str">
        <f t="shared" si="74"/>
        <v/>
      </c>
    </row>
    <row r="961" spans="1:10" ht="15" customHeight="1" x14ac:dyDescent="0.25">
      <c r="A961" s="8" t="str">
        <f>IF(COUNT($J$2:$J$1501)&gt;=960,960,"")</f>
        <v/>
      </c>
      <c r="B961" s="8" t="str">
        <f t="shared" si="70"/>
        <v/>
      </c>
      <c r="C961" s="8" t="str">
        <f t="shared" si="71"/>
        <v/>
      </c>
      <c r="D961" s="8" t="str">
        <f t="shared" si="72"/>
        <v/>
      </c>
      <c r="F961" s="4" t="str">
        <f>IF(Jugadores!B961="","",Jugadores!B961)</f>
        <v/>
      </c>
      <c r="G961" s="4" t="str">
        <f>IF(Jugadores!B961="","",Jugadores!A961)</f>
        <v/>
      </c>
      <c r="H961" s="4" t="str">
        <f>IF(F961="","",SUMIF('Estadísticas Jugadores'!$F$2:$F$7001,F961,'Estadísticas Jugadores'!$L$2:$L$7001))</f>
        <v/>
      </c>
      <c r="I961" s="4" t="str">
        <f t="shared" si="73"/>
        <v/>
      </c>
      <c r="J961" s="4" t="str">
        <f t="shared" si="74"/>
        <v/>
      </c>
    </row>
    <row r="962" spans="1:10" ht="15" customHeight="1" x14ac:dyDescent="0.25">
      <c r="A962" s="8" t="str">
        <f>IF(COUNT($J$2:$J$1501)&gt;=961,961,"")</f>
        <v/>
      </c>
      <c r="B962" s="8" t="str">
        <f t="shared" ref="B962:B1025" si="75">IF($A962="","",INDEX($F$2:$F$1501,MATCH($A962,$J$2:$J$1501,0)))</f>
        <v/>
      </c>
      <c r="C962" s="8" t="str">
        <f t="shared" ref="C962:C1025" si="76">IF($A962="","",INDEX($G$2:$G$1501,MATCH($A962,$J$2:$J$1501,0)))</f>
        <v/>
      </c>
      <c r="D962" s="8" t="str">
        <f t="shared" ref="D962:D1025" si="77">IF($A962="","",INDEX($H$2:$H$1501,MATCH($A962,$J$2:$J$1501,0)))</f>
        <v/>
      </c>
      <c r="F962" s="4" t="str">
        <f>IF(Jugadores!B962="","",Jugadores!B962)</f>
        <v/>
      </c>
      <c r="G962" s="4" t="str">
        <f>IF(Jugadores!B962="","",Jugadores!A962)</f>
        <v/>
      </c>
      <c r="H962" s="4" t="str">
        <f>IF(F962="","",SUMIF('Estadísticas Jugadores'!$F$2:$F$7001,F962,'Estadísticas Jugadores'!$L$2:$L$7001))</f>
        <v/>
      </c>
      <c r="I962" s="4" t="str">
        <f t="shared" ref="I962:I1025" si="78">IF(F962="","",H962*1000-ROW()*0.0000001)</f>
        <v/>
      </c>
      <c r="J962" s="4" t="str">
        <f t="shared" ref="J962:J1025" si="79">IF(F962="","",RANK(I962,$I$2:$I$1501))</f>
        <v/>
      </c>
    </row>
    <row r="963" spans="1:10" ht="15" customHeight="1" x14ac:dyDescent="0.25">
      <c r="A963" s="8" t="str">
        <f>IF(COUNT($J$2:$J$1501)&gt;=962,962,"")</f>
        <v/>
      </c>
      <c r="B963" s="8" t="str">
        <f t="shared" si="75"/>
        <v/>
      </c>
      <c r="C963" s="8" t="str">
        <f t="shared" si="76"/>
        <v/>
      </c>
      <c r="D963" s="8" t="str">
        <f t="shared" si="77"/>
        <v/>
      </c>
      <c r="F963" s="4" t="str">
        <f>IF(Jugadores!B963="","",Jugadores!B963)</f>
        <v/>
      </c>
      <c r="G963" s="4" t="str">
        <f>IF(Jugadores!B963="","",Jugadores!A963)</f>
        <v/>
      </c>
      <c r="H963" s="4" t="str">
        <f>IF(F963="","",SUMIF('Estadísticas Jugadores'!$F$2:$F$7001,F963,'Estadísticas Jugadores'!$L$2:$L$7001))</f>
        <v/>
      </c>
      <c r="I963" s="4" t="str">
        <f t="shared" si="78"/>
        <v/>
      </c>
      <c r="J963" s="4" t="str">
        <f t="shared" si="79"/>
        <v/>
      </c>
    </row>
    <row r="964" spans="1:10" ht="15" customHeight="1" x14ac:dyDescent="0.25">
      <c r="A964" s="8" t="str">
        <f>IF(COUNT($J$2:$J$1501)&gt;=963,963,"")</f>
        <v/>
      </c>
      <c r="B964" s="8" t="str">
        <f t="shared" si="75"/>
        <v/>
      </c>
      <c r="C964" s="8" t="str">
        <f t="shared" si="76"/>
        <v/>
      </c>
      <c r="D964" s="8" t="str">
        <f t="shared" si="77"/>
        <v/>
      </c>
      <c r="F964" s="4" t="str">
        <f>IF(Jugadores!B964="","",Jugadores!B964)</f>
        <v/>
      </c>
      <c r="G964" s="4" t="str">
        <f>IF(Jugadores!B964="","",Jugadores!A964)</f>
        <v/>
      </c>
      <c r="H964" s="4" t="str">
        <f>IF(F964="","",SUMIF('Estadísticas Jugadores'!$F$2:$F$7001,F964,'Estadísticas Jugadores'!$L$2:$L$7001))</f>
        <v/>
      </c>
      <c r="I964" s="4" t="str">
        <f t="shared" si="78"/>
        <v/>
      </c>
      <c r="J964" s="4" t="str">
        <f t="shared" si="79"/>
        <v/>
      </c>
    </row>
    <row r="965" spans="1:10" ht="15" customHeight="1" x14ac:dyDescent="0.25">
      <c r="A965" s="8" t="str">
        <f>IF(COUNT($J$2:$J$1501)&gt;=964,964,"")</f>
        <v/>
      </c>
      <c r="B965" s="8" t="str">
        <f t="shared" si="75"/>
        <v/>
      </c>
      <c r="C965" s="8" t="str">
        <f t="shared" si="76"/>
        <v/>
      </c>
      <c r="D965" s="8" t="str">
        <f t="shared" si="77"/>
        <v/>
      </c>
      <c r="F965" s="4" t="str">
        <f>IF(Jugadores!B965="","",Jugadores!B965)</f>
        <v/>
      </c>
      <c r="G965" s="4" t="str">
        <f>IF(Jugadores!B965="","",Jugadores!A965)</f>
        <v/>
      </c>
      <c r="H965" s="4" t="str">
        <f>IF(F965="","",SUMIF('Estadísticas Jugadores'!$F$2:$F$7001,F965,'Estadísticas Jugadores'!$L$2:$L$7001))</f>
        <v/>
      </c>
      <c r="I965" s="4" t="str">
        <f t="shared" si="78"/>
        <v/>
      </c>
      <c r="J965" s="4" t="str">
        <f t="shared" si="79"/>
        <v/>
      </c>
    </row>
    <row r="966" spans="1:10" ht="15" customHeight="1" x14ac:dyDescent="0.25">
      <c r="A966" s="8" t="str">
        <f>IF(COUNT($J$2:$J$1501)&gt;=965,965,"")</f>
        <v/>
      </c>
      <c r="B966" s="8" t="str">
        <f t="shared" si="75"/>
        <v/>
      </c>
      <c r="C966" s="8" t="str">
        <f t="shared" si="76"/>
        <v/>
      </c>
      <c r="D966" s="8" t="str">
        <f t="shared" si="77"/>
        <v/>
      </c>
      <c r="F966" s="4" t="str">
        <f>IF(Jugadores!B966="","",Jugadores!B966)</f>
        <v/>
      </c>
      <c r="G966" s="4" t="str">
        <f>IF(Jugadores!B966="","",Jugadores!A966)</f>
        <v/>
      </c>
      <c r="H966" s="4" t="str">
        <f>IF(F966="","",SUMIF('Estadísticas Jugadores'!$F$2:$F$7001,F966,'Estadísticas Jugadores'!$L$2:$L$7001))</f>
        <v/>
      </c>
      <c r="I966" s="4" t="str">
        <f t="shared" si="78"/>
        <v/>
      </c>
      <c r="J966" s="4" t="str">
        <f t="shared" si="79"/>
        <v/>
      </c>
    </row>
    <row r="967" spans="1:10" ht="15" customHeight="1" x14ac:dyDescent="0.25">
      <c r="A967" s="8" t="str">
        <f>IF(COUNT($J$2:$J$1501)&gt;=966,966,"")</f>
        <v/>
      </c>
      <c r="B967" s="8" t="str">
        <f t="shared" si="75"/>
        <v/>
      </c>
      <c r="C967" s="8" t="str">
        <f t="shared" si="76"/>
        <v/>
      </c>
      <c r="D967" s="8" t="str">
        <f t="shared" si="77"/>
        <v/>
      </c>
      <c r="F967" s="4" t="str">
        <f>IF(Jugadores!B967="","",Jugadores!B967)</f>
        <v/>
      </c>
      <c r="G967" s="4" t="str">
        <f>IF(Jugadores!B967="","",Jugadores!A967)</f>
        <v/>
      </c>
      <c r="H967" s="4" t="str">
        <f>IF(F967="","",SUMIF('Estadísticas Jugadores'!$F$2:$F$7001,F967,'Estadísticas Jugadores'!$L$2:$L$7001))</f>
        <v/>
      </c>
      <c r="I967" s="4" t="str">
        <f t="shared" si="78"/>
        <v/>
      </c>
      <c r="J967" s="4" t="str">
        <f t="shared" si="79"/>
        <v/>
      </c>
    </row>
    <row r="968" spans="1:10" ht="15" customHeight="1" x14ac:dyDescent="0.25">
      <c r="A968" s="8" t="str">
        <f>IF(COUNT($J$2:$J$1501)&gt;=967,967,"")</f>
        <v/>
      </c>
      <c r="B968" s="8" t="str">
        <f t="shared" si="75"/>
        <v/>
      </c>
      <c r="C968" s="8" t="str">
        <f t="shared" si="76"/>
        <v/>
      </c>
      <c r="D968" s="8" t="str">
        <f t="shared" si="77"/>
        <v/>
      </c>
      <c r="F968" s="4" t="str">
        <f>IF(Jugadores!B968="","",Jugadores!B968)</f>
        <v/>
      </c>
      <c r="G968" s="4" t="str">
        <f>IF(Jugadores!B968="","",Jugadores!A968)</f>
        <v/>
      </c>
      <c r="H968" s="4" t="str">
        <f>IF(F968="","",SUMIF('Estadísticas Jugadores'!$F$2:$F$7001,F968,'Estadísticas Jugadores'!$L$2:$L$7001))</f>
        <v/>
      </c>
      <c r="I968" s="4" t="str">
        <f t="shared" si="78"/>
        <v/>
      </c>
      <c r="J968" s="4" t="str">
        <f t="shared" si="79"/>
        <v/>
      </c>
    </row>
    <row r="969" spans="1:10" ht="15" customHeight="1" x14ac:dyDescent="0.25">
      <c r="A969" s="8" t="str">
        <f>IF(COUNT($J$2:$J$1501)&gt;=968,968,"")</f>
        <v/>
      </c>
      <c r="B969" s="8" t="str">
        <f t="shared" si="75"/>
        <v/>
      </c>
      <c r="C969" s="8" t="str">
        <f t="shared" si="76"/>
        <v/>
      </c>
      <c r="D969" s="8" t="str">
        <f t="shared" si="77"/>
        <v/>
      </c>
      <c r="F969" s="4" t="str">
        <f>IF(Jugadores!B969="","",Jugadores!B969)</f>
        <v/>
      </c>
      <c r="G969" s="4" t="str">
        <f>IF(Jugadores!B969="","",Jugadores!A969)</f>
        <v/>
      </c>
      <c r="H969" s="4" t="str">
        <f>IF(F969="","",SUMIF('Estadísticas Jugadores'!$F$2:$F$7001,F969,'Estadísticas Jugadores'!$L$2:$L$7001))</f>
        <v/>
      </c>
      <c r="I969" s="4" t="str">
        <f t="shared" si="78"/>
        <v/>
      </c>
      <c r="J969" s="4" t="str">
        <f t="shared" si="79"/>
        <v/>
      </c>
    </row>
    <row r="970" spans="1:10" ht="15" customHeight="1" x14ac:dyDescent="0.25">
      <c r="A970" s="8" t="str">
        <f>IF(COUNT($J$2:$J$1501)&gt;=969,969,"")</f>
        <v/>
      </c>
      <c r="B970" s="8" t="str">
        <f t="shared" si="75"/>
        <v/>
      </c>
      <c r="C970" s="8" t="str">
        <f t="shared" si="76"/>
        <v/>
      </c>
      <c r="D970" s="8" t="str">
        <f t="shared" si="77"/>
        <v/>
      </c>
      <c r="F970" s="4" t="str">
        <f>IF(Jugadores!B970="","",Jugadores!B970)</f>
        <v/>
      </c>
      <c r="G970" s="4" t="str">
        <f>IF(Jugadores!B970="","",Jugadores!A970)</f>
        <v/>
      </c>
      <c r="H970" s="4" t="str">
        <f>IF(F970="","",SUMIF('Estadísticas Jugadores'!$F$2:$F$7001,F970,'Estadísticas Jugadores'!$L$2:$L$7001))</f>
        <v/>
      </c>
      <c r="I970" s="4" t="str">
        <f t="shared" si="78"/>
        <v/>
      </c>
      <c r="J970" s="4" t="str">
        <f t="shared" si="79"/>
        <v/>
      </c>
    </row>
    <row r="971" spans="1:10" ht="15" customHeight="1" x14ac:dyDescent="0.25">
      <c r="A971" s="8" t="str">
        <f>IF(COUNT($J$2:$J$1501)&gt;=970,970,"")</f>
        <v/>
      </c>
      <c r="B971" s="8" t="str">
        <f t="shared" si="75"/>
        <v/>
      </c>
      <c r="C971" s="8" t="str">
        <f t="shared" si="76"/>
        <v/>
      </c>
      <c r="D971" s="8" t="str">
        <f t="shared" si="77"/>
        <v/>
      </c>
      <c r="F971" s="4" t="str">
        <f>IF(Jugadores!B971="","",Jugadores!B971)</f>
        <v/>
      </c>
      <c r="G971" s="4" t="str">
        <f>IF(Jugadores!B971="","",Jugadores!A971)</f>
        <v/>
      </c>
      <c r="H971" s="4" t="str">
        <f>IF(F971="","",SUMIF('Estadísticas Jugadores'!$F$2:$F$7001,F971,'Estadísticas Jugadores'!$L$2:$L$7001))</f>
        <v/>
      </c>
      <c r="I971" s="4" t="str">
        <f t="shared" si="78"/>
        <v/>
      </c>
      <c r="J971" s="4" t="str">
        <f t="shared" si="79"/>
        <v/>
      </c>
    </row>
    <row r="972" spans="1:10" ht="15" customHeight="1" x14ac:dyDescent="0.25">
      <c r="A972" s="8" t="str">
        <f>IF(COUNT($J$2:$J$1501)&gt;=971,971,"")</f>
        <v/>
      </c>
      <c r="B972" s="8" t="str">
        <f t="shared" si="75"/>
        <v/>
      </c>
      <c r="C972" s="8" t="str">
        <f t="shared" si="76"/>
        <v/>
      </c>
      <c r="D972" s="8" t="str">
        <f t="shared" si="77"/>
        <v/>
      </c>
      <c r="F972" s="4" t="str">
        <f>IF(Jugadores!B972="","",Jugadores!B972)</f>
        <v/>
      </c>
      <c r="G972" s="4" t="str">
        <f>IF(Jugadores!B972="","",Jugadores!A972)</f>
        <v/>
      </c>
      <c r="H972" s="4" t="str">
        <f>IF(F972="","",SUMIF('Estadísticas Jugadores'!$F$2:$F$7001,F972,'Estadísticas Jugadores'!$L$2:$L$7001))</f>
        <v/>
      </c>
      <c r="I972" s="4" t="str">
        <f t="shared" si="78"/>
        <v/>
      </c>
      <c r="J972" s="4" t="str">
        <f t="shared" si="79"/>
        <v/>
      </c>
    </row>
    <row r="973" spans="1:10" ht="15" customHeight="1" x14ac:dyDescent="0.25">
      <c r="A973" s="8" t="str">
        <f>IF(COUNT($J$2:$J$1501)&gt;=972,972,"")</f>
        <v/>
      </c>
      <c r="B973" s="8" t="str">
        <f t="shared" si="75"/>
        <v/>
      </c>
      <c r="C973" s="8" t="str">
        <f t="shared" si="76"/>
        <v/>
      </c>
      <c r="D973" s="8" t="str">
        <f t="shared" si="77"/>
        <v/>
      </c>
      <c r="F973" s="4" t="str">
        <f>IF(Jugadores!B973="","",Jugadores!B973)</f>
        <v/>
      </c>
      <c r="G973" s="4" t="str">
        <f>IF(Jugadores!B973="","",Jugadores!A973)</f>
        <v/>
      </c>
      <c r="H973" s="4" t="str">
        <f>IF(F973="","",SUMIF('Estadísticas Jugadores'!$F$2:$F$7001,F973,'Estadísticas Jugadores'!$L$2:$L$7001))</f>
        <v/>
      </c>
      <c r="I973" s="4" t="str">
        <f t="shared" si="78"/>
        <v/>
      </c>
      <c r="J973" s="4" t="str">
        <f t="shared" si="79"/>
        <v/>
      </c>
    </row>
    <row r="974" spans="1:10" ht="15" customHeight="1" x14ac:dyDescent="0.25">
      <c r="A974" s="8" t="str">
        <f>IF(COUNT($J$2:$J$1501)&gt;=973,973,"")</f>
        <v/>
      </c>
      <c r="B974" s="8" t="str">
        <f t="shared" si="75"/>
        <v/>
      </c>
      <c r="C974" s="8" t="str">
        <f t="shared" si="76"/>
        <v/>
      </c>
      <c r="D974" s="8" t="str">
        <f t="shared" si="77"/>
        <v/>
      </c>
      <c r="F974" s="4" t="str">
        <f>IF(Jugadores!B974="","",Jugadores!B974)</f>
        <v/>
      </c>
      <c r="G974" s="4" t="str">
        <f>IF(Jugadores!B974="","",Jugadores!A974)</f>
        <v/>
      </c>
      <c r="H974" s="4" t="str">
        <f>IF(F974="","",SUMIF('Estadísticas Jugadores'!$F$2:$F$7001,F974,'Estadísticas Jugadores'!$L$2:$L$7001))</f>
        <v/>
      </c>
      <c r="I974" s="4" t="str">
        <f t="shared" si="78"/>
        <v/>
      </c>
      <c r="J974" s="4" t="str">
        <f t="shared" si="79"/>
        <v/>
      </c>
    </row>
    <row r="975" spans="1:10" ht="15" customHeight="1" x14ac:dyDescent="0.25">
      <c r="A975" s="8" t="str">
        <f>IF(COUNT($J$2:$J$1501)&gt;=974,974,"")</f>
        <v/>
      </c>
      <c r="B975" s="8" t="str">
        <f t="shared" si="75"/>
        <v/>
      </c>
      <c r="C975" s="8" t="str">
        <f t="shared" si="76"/>
        <v/>
      </c>
      <c r="D975" s="8" t="str">
        <f t="shared" si="77"/>
        <v/>
      </c>
      <c r="F975" s="4" t="str">
        <f>IF(Jugadores!B975="","",Jugadores!B975)</f>
        <v/>
      </c>
      <c r="G975" s="4" t="str">
        <f>IF(Jugadores!B975="","",Jugadores!A975)</f>
        <v/>
      </c>
      <c r="H975" s="4" t="str">
        <f>IF(F975="","",SUMIF('Estadísticas Jugadores'!$F$2:$F$7001,F975,'Estadísticas Jugadores'!$L$2:$L$7001))</f>
        <v/>
      </c>
      <c r="I975" s="4" t="str">
        <f t="shared" si="78"/>
        <v/>
      </c>
      <c r="J975" s="4" t="str">
        <f t="shared" si="79"/>
        <v/>
      </c>
    </row>
    <row r="976" spans="1:10" ht="15" customHeight="1" x14ac:dyDescent="0.25">
      <c r="A976" s="8" t="str">
        <f>IF(COUNT($J$2:$J$1501)&gt;=975,975,"")</f>
        <v/>
      </c>
      <c r="B976" s="8" t="str">
        <f t="shared" si="75"/>
        <v/>
      </c>
      <c r="C976" s="8" t="str">
        <f t="shared" si="76"/>
        <v/>
      </c>
      <c r="D976" s="8" t="str">
        <f t="shared" si="77"/>
        <v/>
      </c>
      <c r="F976" s="4" t="str">
        <f>IF(Jugadores!B976="","",Jugadores!B976)</f>
        <v/>
      </c>
      <c r="G976" s="4" t="str">
        <f>IF(Jugadores!B976="","",Jugadores!A976)</f>
        <v/>
      </c>
      <c r="H976" s="4" t="str">
        <f>IF(F976="","",SUMIF('Estadísticas Jugadores'!$F$2:$F$7001,F976,'Estadísticas Jugadores'!$L$2:$L$7001))</f>
        <v/>
      </c>
      <c r="I976" s="4" t="str">
        <f t="shared" si="78"/>
        <v/>
      </c>
      <c r="J976" s="4" t="str">
        <f t="shared" si="79"/>
        <v/>
      </c>
    </row>
    <row r="977" spans="1:10" ht="15" customHeight="1" x14ac:dyDescent="0.25">
      <c r="A977" s="8" t="str">
        <f>IF(COUNT($J$2:$J$1501)&gt;=976,976,"")</f>
        <v/>
      </c>
      <c r="B977" s="8" t="str">
        <f t="shared" si="75"/>
        <v/>
      </c>
      <c r="C977" s="8" t="str">
        <f t="shared" si="76"/>
        <v/>
      </c>
      <c r="D977" s="8" t="str">
        <f t="shared" si="77"/>
        <v/>
      </c>
      <c r="F977" s="4" t="str">
        <f>IF(Jugadores!B977="","",Jugadores!B977)</f>
        <v/>
      </c>
      <c r="G977" s="4" t="str">
        <f>IF(Jugadores!B977="","",Jugadores!A977)</f>
        <v/>
      </c>
      <c r="H977" s="4" t="str">
        <f>IF(F977="","",SUMIF('Estadísticas Jugadores'!$F$2:$F$7001,F977,'Estadísticas Jugadores'!$L$2:$L$7001))</f>
        <v/>
      </c>
      <c r="I977" s="4" t="str">
        <f t="shared" si="78"/>
        <v/>
      </c>
      <c r="J977" s="4" t="str">
        <f t="shared" si="79"/>
        <v/>
      </c>
    </row>
    <row r="978" spans="1:10" ht="15" customHeight="1" x14ac:dyDescent="0.25">
      <c r="A978" s="8" t="str">
        <f>IF(COUNT($J$2:$J$1501)&gt;=977,977,"")</f>
        <v/>
      </c>
      <c r="B978" s="8" t="str">
        <f t="shared" si="75"/>
        <v/>
      </c>
      <c r="C978" s="8" t="str">
        <f t="shared" si="76"/>
        <v/>
      </c>
      <c r="D978" s="8" t="str">
        <f t="shared" si="77"/>
        <v/>
      </c>
      <c r="F978" s="4" t="str">
        <f>IF(Jugadores!B978="","",Jugadores!B978)</f>
        <v/>
      </c>
      <c r="G978" s="4" t="str">
        <f>IF(Jugadores!B978="","",Jugadores!A978)</f>
        <v/>
      </c>
      <c r="H978" s="4" t="str">
        <f>IF(F978="","",SUMIF('Estadísticas Jugadores'!$F$2:$F$7001,F978,'Estadísticas Jugadores'!$L$2:$L$7001))</f>
        <v/>
      </c>
      <c r="I978" s="4" t="str">
        <f t="shared" si="78"/>
        <v/>
      </c>
      <c r="J978" s="4" t="str">
        <f t="shared" si="79"/>
        <v/>
      </c>
    </row>
    <row r="979" spans="1:10" ht="15" customHeight="1" x14ac:dyDescent="0.25">
      <c r="A979" s="8" t="str">
        <f>IF(COUNT($J$2:$J$1501)&gt;=978,978,"")</f>
        <v/>
      </c>
      <c r="B979" s="8" t="str">
        <f t="shared" si="75"/>
        <v/>
      </c>
      <c r="C979" s="8" t="str">
        <f t="shared" si="76"/>
        <v/>
      </c>
      <c r="D979" s="8" t="str">
        <f t="shared" si="77"/>
        <v/>
      </c>
      <c r="F979" s="4" t="str">
        <f>IF(Jugadores!B979="","",Jugadores!B979)</f>
        <v/>
      </c>
      <c r="G979" s="4" t="str">
        <f>IF(Jugadores!B979="","",Jugadores!A979)</f>
        <v/>
      </c>
      <c r="H979" s="4" t="str">
        <f>IF(F979="","",SUMIF('Estadísticas Jugadores'!$F$2:$F$7001,F979,'Estadísticas Jugadores'!$L$2:$L$7001))</f>
        <v/>
      </c>
      <c r="I979" s="4" t="str">
        <f t="shared" si="78"/>
        <v/>
      </c>
      <c r="J979" s="4" t="str">
        <f t="shared" si="79"/>
        <v/>
      </c>
    </row>
    <row r="980" spans="1:10" ht="15" customHeight="1" x14ac:dyDescent="0.25">
      <c r="A980" s="8" t="str">
        <f>IF(COUNT($J$2:$J$1501)&gt;=979,979,"")</f>
        <v/>
      </c>
      <c r="B980" s="8" t="str">
        <f t="shared" si="75"/>
        <v/>
      </c>
      <c r="C980" s="8" t="str">
        <f t="shared" si="76"/>
        <v/>
      </c>
      <c r="D980" s="8" t="str">
        <f t="shared" si="77"/>
        <v/>
      </c>
      <c r="F980" s="4" t="str">
        <f>IF(Jugadores!B980="","",Jugadores!B980)</f>
        <v/>
      </c>
      <c r="G980" s="4" t="str">
        <f>IF(Jugadores!B980="","",Jugadores!A980)</f>
        <v/>
      </c>
      <c r="H980" s="4" t="str">
        <f>IF(F980="","",SUMIF('Estadísticas Jugadores'!$F$2:$F$7001,F980,'Estadísticas Jugadores'!$L$2:$L$7001))</f>
        <v/>
      </c>
      <c r="I980" s="4" t="str">
        <f t="shared" si="78"/>
        <v/>
      </c>
      <c r="J980" s="4" t="str">
        <f t="shared" si="79"/>
        <v/>
      </c>
    </row>
    <row r="981" spans="1:10" ht="15" customHeight="1" x14ac:dyDescent="0.25">
      <c r="A981" s="8" t="str">
        <f>IF(COUNT($J$2:$J$1501)&gt;=980,980,"")</f>
        <v/>
      </c>
      <c r="B981" s="8" t="str">
        <f t="shared" si="75"/>
        <v/>
      </c>
      <c r="C981" s="8" t="str">
        <f t="shared" si="76"/>
        <v/>
      </c>
      <c r="D981" s="8" t="str">
        <f t="shared" si="77"/>
        <v/>
      </c>
      <c r="F981" s="4" t="str">
        <f>IF(Jugadores!B981="","",Jugadores!B981)</f>
        <v/>
      </c>
      <c r="G981" s="4" t="str">
        <f>IF(Jugadores!B981="","",Jugadores!A981)</f>
        <v/>
      </c>
      <c r="H981" s="4" t="str">
        <f>IF(F981="","",SUMIF('Estadísticas Jugadores'!$F$2:$F$7001,F981,'Estadísticas Jugadores'!$L$2:$L$7001))</f>
        <v/>
      </c>
      <c r="I981" s="4" t="str">
        <f t="shared" si="78"/>
        <v/>
      </c>
      <c r="J981" s="4" t="str">
        <f t="shared" si="79"/>
        <v/>
      </c>
    </row>
    <row r="982" spans="1:10" ht="15" customHeight="1" x14ac:dyDescent="0.25">
      <c r="A982" s="8" t="str">
        <f>IF(COUNT($J$2:$J$1501)&gt;=981,981,"")</f>
        <v/>
      </c>
      <c r="B982" s="8" t="str">
        <f t="shared" si="75"/>
        <v/>
      </c>
      <c r="C982" s="8" t="str">
        <f t="shared" si="76"/>
        <v/>
      </c>
      <c r="D982" s="8" t="str">
        <f t="shared" si="77"/>
        <v/>
      </c>
      <c r="F982" s="4" t="str">
        <f>IF(Jugadores!B982="","",Jugadores!B982)</f>
        <v/>
      </c>
      <c r="G982" s="4" t="str">
        <f>IF(Jugadores!B982="","",Jugadores!A982)</f>
        <v/>
      </c>
      <c r="H982" s="4" t="str">
        <f>IF(F982="","",SUMIF('Estadísticas Jugadores'!$F$2:$F$7001,F982,'Estadísticas Jugadores'!$L$2:$L$7001))</f>
        <v/>
      </c>
      <c r="I982" s="4" t="str">
        <f t="shared" si="78"/>
        <v/>
      </c>
      <c r="J982" s="4" t="str">
        <f t="shared" si="79"/>
        <v/>
      </c>
    </row>
    <row r="983" spans="1:10" ht="15" customHeight="1" x14ac:dyDescent="0.25">
      <c r="A983" s="8" t="str">
        <f>IF(COUNT($J$2:$J$1501)&gt;=982,982,"")</f>
        <v/>
      </c>
      <c r="B983" s="8" t="str">
        <f t="shared" si="75"/>
        <v/>
      </c>
      <c r="C983" s="8" t="str">
        <f t="shared" si="76"/>
        <v/>
      </c>
      <c r="D983" s="8" t="str">
        <f t="shared" si="77"/>
        <v/>
      </c>
      <c r="F983" s="4" t="str">
        <f>IF(Jugadores!B983="","",Jugadores!B983)</f>
        <v/>
      </c>
      <c r="G983" s="4" t="str">
        <f>IF(Jugadores!B983="","",Jugadores!A983)</f>
        <v/>
      </c>
      <c r="H983" s="4" t="str">
        <f>IF(F983="","",SUMIF('Estadísticas Jugadores'!$F$2:$F$7001,F983,'Estadísticas Jugadores'!$L$2:$L$7001))</f>
        <v/>
      </c>
      <c r="I983" s="4" t="str">
        <f t="shared" si="78"/>
        <v/>
      </c>
      <c r="J983" s="4" t="str">
        <f t="shared" si="79"/>
        <v/>
      </c>
    </row>
    <row r="984" spans="1:10" ht="15" customHeight="1" x14ac:dyDescent="0.25">
      <c r="A984" s="8" t="str">
        <f>IF(COUNT($J$2:$J$1501)&gt;=983,983,"")</f>
        <v/>
      </c>
      <c r="B984" s="8" t="str">
        <f t="shared" si="75"/>
        <v/>
      </c>
      <c r="C984" s="8" t="str">
        <f t="shared" si="76"/>
        <v/>
      </c>
      <c r="D984" s="8" t="str">
        <f t="shared" si="77"/>
        <v/>
      </c>
      <c r="F984" s="4" t="str">
        <f>IF(Jugadores!B984="","",Jugadores!B984)</f>
        <v/>
      </c>
      <c r="G984" s="4" t="str">
        <f>IF(Jugadores!B984="","",Jugadores!A984)</f>
        <v/>
      </c>
      <c r="H984" s="4" t="str">
        <f>IF(F984="","",SUMIF('Estadísticas Jugadores'!$F$2:$F$7001,F984,'Estadísticas Jugadores'!$L$2:$L$7001))</f>
        <v/>
      </c>
      <c r="I984" s="4" t="str">
        <f t="shared" si="78"/>
        <v/>
      </c>
      <c r="J984" s="4" t="str">
        <f t="shared" si="79"/>
        <v/>
      </c>
    </row>
    <row r="985" spans="1:10" ht="15" customHeight="1" x14ac:dyDescent="0.25">
      <c r="A985" s="8" t="str">
        <f>IF(COUNT($J$2:$J$1501)&gt;=984,984,"")</f>
        <v/>
      </c>
      <c r="B985" s="8" t="str">
        <f t="shared" si="75"/>
        <v/>
      </c>
      <c r="C985" s="8" t="str">
        <f t="shared" si="76"/>
        <v/>
      </c>
      <c r="D985" s="8" t="str">
        <f t="shared" si="77"/>
        <v/>
      </c>
      <c r="F985" s="4" t="str">
        <f>IF(Jugadores!B985="","",Jugadores!B985)</f>
        <v/>
      </c>
      <c r="G985" s="4" t="str">
        <f>IF(Jugadores!B985="","",Jugadores!A985)</f>
        <v/>
      </c>
      <c r="H985" s="4" t="str">
        <f>IF(F985="","",SUMIF('Estadísticas Jugadores'!$F$2:$F$7001,F985,'Estadísticas Jugadores'!$L$2:$L$7001))</f>
        <v/>
      </c>
      <c r="I985" s="4" t="str">
        <f t="shared" si="78"/>
        <v/>
      </c>
      <c r="J985" s="4" t="str">
        <f t="shared" si="79"/>
        <v/>
      </c>
    </row>
    <row r="986" spans="1:10" ht="15" customHeight="1" x14ac:dyDescent="0.25">
      <c r="A986" s="8" t="str">
        <f>IF(COUNT($J$2:$J$1501)&gt;=985,985,"")</f>
        <v/>
      </c>
      <c r="B986" s="8" t="str">
        <f t="shared" si="75"/>
        <v/>
      </c>
      <c r="C986" s="8" t="str">
        <f t="shared" si="76"/>
        <v/>
      </c>
      <c r="D986" s="8" t="str">
        <f t="shared" si="77"/>
        <v/>
      </c>
      <c r="F986" s="4" t="str">
        <f>IF(Jugadores!B986="","",Jugadores!B986)</f>
        <v/>
      </c>
      <c r="G986" s="4" t="str">
        <f>IF(Jugadores!B986="","",Jugadores!A986)</f>
        <v/>
      </c>
      <c r="H986" s="4" t="str">
        <f>IF(F986="","",SUMIF('Estadísticas Jugadores'!$F$2:$F$7001,F986,'Estadísticas Jugadores'!$L$2:$L$7001))</f>
        <v/>
      </c>
      <c r="I986" s="4" t="str">
        <f t="shared" si="78"/>
        <v/>
      </c>
      <c r="J986" s="4" t="str">
        <f t="shared" si="79"/>
        <v/>
      </c>
    </row>
    <row r="987" spans="1:10" ht="15" customHeight="1" x14ac:dyDescent="0.25">
      <c r="A987" s="8" t="str">
        <f>IF(COUNT($J$2:$J$1501)&gt;=986,986,"")</f>
        <v/>
      </c>
      <c r="B987" s="8" t="str">
        <f t="shared" si="75"/>
        <v/>
      </c>
      <c r="C987" s="8" t="str">
        <f t="shared" si="76"/>
        <v/>
      </c>
      <c r="D987" s="8" t="str">
        <f t="shared" si="77"/>
        <v/>
      </c>
      <c r="F987" s="4" t="str">
        <f>IF(Jugadores!B987="","",Jugadores!B987)</f>
        <v/>
      </c>
      <c r="G987" s="4" t="str">
        <f>IF(Jugadores!B987="","",Jugadores!A987)</f>
        <v/>
      </c>
      <c r="H987" s="4" t="str">
        <f>IF(F987="","",SUMIF('Estadísticas Jugadores'!$F$2:$F$7001,F987,'Estadísticas Jugadores'!$L$2:$L$7001))</f>
        <v/>
      </c>
      <c r="I987" s="4" t="str">
        <f t="shared" si="78"/>
        <v/>
      </c>
      <c r="J987" s="4" t="str">
        <f t="shared" si="79"/>
        <v/>
      </c>
    </row>
    <row r="988" spans="1:10" ht="15" customHeight="1" x14ac:dyDescent="0.25">
      <c r="A988" s="8" t="str">
        <f>IF(COUNT($J$2:$J$1501)&gt;=987,987,"")</f>
        <v/>
      </c>
      <c r="B988" s="8" t="str">
        <f t="shared" si="75"/>
        <v/>
      </c>
      <c r="C988" s="8" t="str">
        <f t="shared" si="76"/>
        <v/>
      </c>
      <c r="D988" s="8" t="str">
        <f t="shared" si="77"/>
        <v/>
      </c>
      <c r="F988" s="4" t="str">
        <f>IF(Jugadores!B988="","",Jugadores!B988)</f>
        <v/>
      </c>
      <c r="G988" s="4" t="str">
        <f>IF(Jugadores!B988="","",Jugadores!A988)</f>
        <v/>
      </c>
      <c r="H988" s="4" t="str">
        <f>IF(F988="","",SUMIF('Estadísticas Jugadores'!$F$2:$F$7001,F988,'Estadísticas Jugadores'!$L$2:$L$7001))</f>
        <v/>
      </c>
      <c r="I988" s="4" t="str">
        <f t="shared" si="78"/>
        <v/>
      </c>
      <c r="J988" s="4" t="str">
        <f t="shared" si="79"/>
        <v/>
      </c>
    </row>
    <row r="989" spans="1:10" ht="15" customHeight="1" x14ac:dyDescent="0.25">
      <c r="A989" s="8" t="str">
        <f>IF(COUNT($J$2:$J$1501)&gt;=988,988,"")</f>
        <v/>
      </c>
      <c r="B989" s="8" t="str">
        <f t="shared" si="75"/>
        <v/>
      </c>
      <c r="C989" s="8" t="str">
        <f t="shared" si="76"/>
        <v/>
      </c>
      <c r="D989" s="8" t="str">
        <f t="shared" si="77"/>
        <v/>
      </c>
      <c r="F989" s="4" t="str">
        <f>IF(Jugadores!B989="","",Jugadores!B989)</f>
        <v/>
      </c>
      <c r="G989" s="4" t="str">
        <f>IF(Jugadores!B989="","",Jugadores!A989)</f>
        <v/>
      </c>
      <c r="H989" s="4" t="str">
        <f>IF(F989="","",SUMIF('Estadísticas Jugadores'!$F$2:$F$7001,F989,'Estadísticas Jugadores'!$L$2:$L$7001))</f>
        <v/>
      </c>
      <c r="I989" s="4" t="str">
        <f t="shared" si="78"/>
        <v/>
      </c>
      <c r="J989" s="4" t="str">
        <f t="shared" si="79"/>
        <v/>
      </c>
    </row>
    <row r="990" spans="1:10" ht="15" customHeight="1" x14ac:dyDescent="0.25">
      <c r="A990" s="8" t="str">
        <f>IF(COUNT($J$2:$J$1501)&gt;=989,989,"")</f>
        <v/>
      </c>
      <c r="B990" s="8" t="str">
        <f t="shared" si="75"/>
        <v/>
      </c>
      <c r="C990" s="8" t="str">
        <f t="shared" si="76"/>
        <v/>
      </c>
      <c r="D990" s="8" t="str">
        <f t="shared" si="77"/>
        <v/>
      </c>
      <c r="F990" s="4" t="str">
        <f>IF(Jugadores!B990="","",Jugadores!B990)</f>
        <v/>
      </c>
      <c r="G990" s="4" t="str">
        <f>IF(Jugadores!B990="","",Jugadores!A990)</f>
        <v/>
      </c>
      <c r="H990" s="4" t="str">
        <f>IF(F990="","",SUMIF('Estadísticas Jugadores'!$F$2:$F$7001,F990,'Estadísticas Jugadores'!$L$2:$L$7001))</f>
        <v/>
      </c>
      <c r="I990" s="4" t="str">
        <f t="shared" si="78"/>
        <v/>
      </c>
      <c r="J990" s="4" t="str">
        <f t="shared" si="79"/>
        <v/>
      </c>
    </row>
    <row r="991" spans="1:10" ht="15" customHeight="1" x14ac:dyDescent="0.25">
      <c r="A991" s="8" t="str">
        <f>IF(COUNT($J$2:$J$1501)&gt;=990,990,"")</f>
        <v/>
      </c>
      <c r="B991" s="8" t="str">
        <f t="shared" si="75"/>
        <v/>
      </c>
      <c r="C991" s="8" t="str">
        <f t="shared" si="76"/>
        <v/>
      </c>
      <c r="D991" s="8" t="str">
        <f t="shared" si="77"/>
        <v/>
      </c>
      <c r="F991" s="4" t="str">
        <f>IF(Jugadores!B991="","",Jugadores!B991)</f>
        <v/>
      </c>
      <c r="G991" s="4" t="str">
        <f>IF(Jugadores!B991="","",Jugadores!A991)</f>
        <v/>
      </c>
      <c r="H991" s="4" t="str">
        <f>IF(F991="","",SUMIF('Estadísticas Jugadores'!$F$2:$F$7001,F991,'Estadísticas Jugadores'!$L$2:$L$7001))</f>
        <v/>
      </c>
      <c r="I991" s="4" t="str">
        <f t="shared" si="78"/>
        <v/>
      </c>
      <c r="J991" s="4" t="str">
        <f t="shared" si="79"/>
        <v/>
      </c>
    </row>
    <row r="992" spans="1:10" ht="15" customHeight="1" x14ac:dyDescent="0.25">
      <c r="A992" s="8" t="str">
        <f>IF(COUNT($J$2:$J$1501)&gt;=991,991,"")</f>
        <v/>
      </c>
      <c r="B992" s="8" t="str">
        <f t="shared" si="75"/>
        <v/>
      </c>
      <c r="C992" s="8" t="str">
        <f t="shared" si="76"/>
        <v/>
      </c>
      <c r="D992" s="8" t="str">
        <f t="shared" si="77"/>
        <v/>
      </c>
      <c r="F992" s="4" t="str">
        <f>IF(Jugadores!B992="","",Jugadores!B992)</f>
        <v/>
      </c>
      <c r="G992" s="4" t="str">
        <f>IF(Jugadores!B992="","",Jugadores!A992)</f>
        <v/>
      </c>
      <c r="H992" s="4" t="str">
        <f>IF(F992="","",SUMIF('Estadísticas Jugadores'!$F$2:$F$7001,F992,'Estadísticas Jugadores'!$L$2:$L$7001))</f>
        <v/>
      </c>
      <c r="I992" s="4" t="str">
        <f t="shared" si="78"/>
        <v/>
      </c>
      <c r="J992" s="4" t="str">
        <f t="shared" si="79"/>
        <v/>
      </c>
    </row>
    <row r="993" spans="1:10" ht="15" customHeight="1" x14ac:dyDescent="0.25">
      <c r="A993" s="8" t="str">
        <f>IF(COUNT($J$2:$J$1501)&gt;=992,992,"")</f>
        <v/>
      </c>
      <c r="B993" s="8" t="str">
        <f t="shared" si="75"/>
        <v/>
      </c>
      <c r="C993" s="8" t="str">
        <f t="shared" si="76"/>
        <v/>
      </c>
      <c r="D993" s="8" t="str">
        <f t="shared" si="77"/>
        <v/>
      </c>
      <c r="F993" s="4" t="str">
        <f>IF(Jugadores!B993="","",Jugadores!B993)</f>
        <v/>
      </c>
      <c r="G993" s="4" t="str">
        <f>IF(Jugadores!B993="","",Jugadores!A993)</f>
        <v/>
      </c>
      <c r="H993" s="4" t="str">
        <f>IF(F993="","",SUMIF('Estadísticas Jugadores'!$F$2:$F$7001,F993,'Estadísticas Jugadores'!$L$2:$L$7001))</f>
        <v/>
      </c>
      <c r="I993" s="4" t="str">
        <f t="shared" si="78"/>
        <v/>
      </c>
      <c r="J993" s="4" t="str">
        <f t="shared" si="79"/>
        <v/>
      </c>
    </row>
    <row r="994" spans="1:10" ht="15" customHeight="1" x14ac:dyDescent="0.25">
      <c r="A994" s="8" t="str">
        <f>IF(COUNT($J$2:$J$1501)&gt;=993,993,"")</f>
        <v/>
      </c>
      <c r="B994" s="8" t="str">
        <f t="shared" si="75"/>
        <v/>
      </c>
      <c r="C994" s="8" t="str">
        <f t="shared" si="76"/>
        <v/>
      </c>
      <c r="D994" s="8" t="str">
        <f t="shared" si="77"/>
        <v/>
      </c>
      <c r="F994" s="4" t="str">
        <f>IF(Jugadores!B994="","",Jugadores!B994)</f>
        <v/>
      </c>
      <c r="G994" s="4" t="str">
        <f>IF(Jugadores!B994="","",Jugadores!A994)</f>
        <v/>
      </c>
      <c r="H994" s="4" t="str">
        <f>IF(F994="","",SUMIF('Estadísticas Jugadores'!$F$2:$F$7001,F994,'Estadísticas Jugadores'!$L$2:$L$7001))</f>
        <v/>
      </c>
      <c r="I994" s="4" t="str">
        <f t="shared" si="78"/>
        <v/>
      </c>
      <c r="J994" s="4" t="str">
        <f t="shared" si="79"/>
        <v/>
      </c>
    </row>
    <row r="995" spans="1:10" ht="15" customHeight="1" x14ac:dyDescent="0.25">
      <c r="A995" s="8" t="str">
        <f>IF(COUNT($J$2:$J$1501)&gt;=994,994,"")</f>
        <v/>
      </c>
      <c r="B995" s="8" t="str">
        <f t="shared" si="75"/>
        <v/>
      </c>
      <c r="C995" s="8" t="str">
        <f t="shared" si="76"/>
        <v/>
      </c>
      <c r="D995" s="8" t="str">
        <f t="shared" si="77"/>
        <v/>
      </c>
      <c r="F995" s="4" t="str">
        <f>IF(Jugadores!B995="","",Jugadores!B995)</f>
        <v/>
      </c>
      <c r="G995" s="4" t="str">
        <f>IF(Jugadores!B995="","",Jugadores!A995)</f>
        <v/>
      </c>
      <c r="H995" s="4" t="str">
        <f>IF(F995="","",SUMIF('Estadísticas Jugadores'!$F$2:$F$7001,F995,'Estadísticas Jugadores'!$L$2:$L$7001))</f>
        <v/>
      </c>
      <c r="I995" s="4" t="str">
        <f t="shared" si="78"/>
        <v/>
      </c>
      <c r="J995" s="4" t="str">
        <f t="shared" si="79"/>
        <v/>
      </c>
    </row>
    <row r="996" spans="1:10" ht="15" customHeight="1" x14ac:dyDescent="0.25">
      <c r="A996" s="8" t="str">
        <f>IF(COUNT($J$2:$J$1501)&gt;=995,995,"")</f>
        <v/>
      </c>
      <c r="B996" s="8" t="str">
        <f t="shared" si="75"/>
        <v/>
      </c>
      <c r="C996" s="8" t="str">
        <f t="shared" si="76"/>
        <v/>
      </c>
      <c r="D996" s="8" t="str">
        <f t="shared" si="77"/>
        <v/>
      </c>
      <c r="F996" s="4" t="str">
        <f>IF(Jugadores!B996="","",Jugadores!B996)</f>
        <v/>
      </c>
      <c r="G996" s="4" t="str">
        <f>IF(Jugadores!B996="","",Jugadores!A996)</f>
        <v/>
      </c>
      <c r="H996" s="4" t="str">
        <f>IF(F996="","",SUMIF('Estadísticas Jugadores'!$F$2:$F$7001,F996,'Estadísticas Jugadores'!$L$2:$L$7001))</f>
        <v/>
      </c>
      <c r="I996" s="4" t="str">
        <f t="shared" si="78"/>
        <v/>
      </c>
      <c r="J996" s="4" t="str">
        <f t="shared" si="79"/>
        <v/>
      </c>
    </row>
    <row r="997" spans="1:10" ht="15" customHeight="1" x14ac:dyDescent="0.25">
      <c r="A997" s="8" t="str">
        <f>IF(COUNT($J$2:$J$1501)&gt;=996,996,"")</f>
        <v/>
      </c>
      <c r="B997" s="8" t="str">
        <f t="shared" si="75"/>
        <v/>
      </c>
      <c r="C997" s="8" t="str">
        <f t="shared" si="76"/>
        <v/>
      </c>
      <c r="D997" s="8" t="str">
        <f t="shared" si="77"/>
        <v/>
      </c>
      <c r="F997" s="4" t="str">
        <f>IF(Jugadores!B997="","",Jugadores!B997)</f>
        <v/>
      </c>
      <c r="G997" s="4" t="str">
        <f>IF(Jugadores!B997="","",Jugadores!A997)</f>
        <v/>
      </c>
      <c r="H997" s="4" t="str">
        <f>IF(F997="","",SUMIF('Estadísticas Jugadores'!$F$2:$F$7001,F997,'Estadísticas Jugadores'!$L$2:$L$7001))</f>
        <v/>
      </c>
      <c r="I997" s="4" t="str">
        <f t="shared" si="78"/>
        <v/>
      </c>
      <c r="J997" s="4" t="str">
        <f t="shared" si="79"/>
        <v/>
      </c>
    </row>
    <row r="998" spans="1:10" ht="15" customHeight="1" x14ac:dyDescent="0.25">
      <c r="A998" s="8" t="str">
        <f>IF(COUNT($J$2:$J$1501)&gt;=997,997,"")</f>
        <v/>
      </c>
      <c r="B998" s="8" t="str">
        <f t="shared" si="75"/>
        <v/>
      </c>
      <c r="C998" s="8" t="str">
        <f t="shared" si="76"/>
        <v/>
      </c>
      <c r="D998" s="8" t="str">
        <f t="shared" si="77"/>
        <v/>
      </c>
      <c r="F998" s="4" t="str">
        <f>IF(Jugadores!B998="","",Jugadores!B998)</f>
        <v/>
      </c>
      <c r="G998" s="4" t="str">
        <f>IF(Jugadores!B998="","",Jugadores!A998)</f>
        <v/>
      </c>
      <c r="H998" s="4" t="str">
        <f>IF(F998="","",SUMIF('Estadísticas Jugadores'!$F$2:$F$7001,F998,'Estadísticas Jugadores'!$L$2:$L$7001))</f>
        <v/>
      </c>
      <c r="I998" s="4" t="str">
        <f t="shared" si="78"/>
        <v/>
      </c>
      <c r="J998" s="4" t="str">
        <f t="shared" si="79"/>
        <v/>
      </c>
    </row>
    <row r="999" spans="1:10" ht="15" customHeight="1" x14ac:dyDescent="0.25">
      <c r="A999" s="8" t="str">
        <f>IF(COUNT($J$2:$J$1501)&gt;=998,998,"")</f>
        <v/>
      </c>
      <c r="B999" s="8" t="str">
        <f t="shared" si="75"/>
        <v/>
      </c>
      <c r="C999" s="8" t="str">
        <f t="shared" si="76"/>
        <v/>
      </c>
      <c r="D999" s="8" t="str">
        <f t="shared" si="77"/>
        <v/>
      </c>
      <c r="F999" s="4" t="str">
        <f>IF(Jugadores!B999="","",Jugadores!B999)</f>
        <v/>
      </c>
      <c r="G999" s="4" t="str">
        <f>IF(Jugadores!B999="","",Jugadores!A999)</f>
        <v/>
      </c>
      <c r="H999" s="4" t="str">
        <f>IF(F999="","",SUMIF('Estadísticas Jugadores'!$F$2:$F$7001,F999,'Estadísticas Jugadores'!$L$2:$L$7001))</f>
        <v/>
      </c>
      <c r="I999" s="4" t="str">
        <f t="shared" si="78"/>
        <v/>
      </c>
      <c r="J999" s="4" t="str">
        <f t="shared" si="79"/>
        <v/>
      </c>
    </row>
    <row r="1000" spans="1:10" ht="15" customHeight="1" x14ac:dyDescent="0.25">
      <c r="A1000" s="8" t="str">
        <f>IF(COUNT($J$2:$J$1501)&gt;=999,999,"")</f>
        <v/>
      </c>
      <c r="B1000" s="8" t="str">
        <f t="shared" si="75"/>
        <v/>
      </c>
      <c r="C1000" s="8" t="str">
        <f t="shared" si="76"/>
        <v/>
      </c>
      <c r="D1000" s="8" t="str">
        <f t="shared" si="77"/>
        <v/>
      </c>
      <c r="F1000" s="4" t="str">
        <f>IF(Jugadores!B1000="","",Jugadores!B1000)</f>
        <v/>
      </c>
      <c r="G1000" s="4" t="str">
        <f>IF(Jugadores!B1000="","",Jugadores!A1000)</f>
        <v/>
      </c>
      <c r="H1000" s="4" t="str">
        <f>IF(F1000="","",SUMIF('Estadísticas Jugadores'!$F$2:$F$7001,F1000,'Estadísticas Jugadores'!$L$2:$L$7001))</f>
        <v/>
      </c>
      <c r="I1000" s="4" t="str">
        <f t="shared" si="78"/>
        <v/>
      </c>
      <c r="J1000" s="4" t="str">
        <f t="shared" si="79"/>
        <v/>
      </c>
    </row>
    <row r="1001" spans="1:10" ht="15" customHeight="1" x14ac:dyDescent="0.25">
      <c r="A1001" s="8" t="str">
        <f>IF(COUNT($J$2:$J$1501)&gt;=1000,1000,"")</f>
        <v/>
      </c>
      <c r="B1001" s="8" t="str">
        <f t="shared" si="75"/>
        <v/>
      </c>
      <c r="C1001" s="8" t="str">
        <f t="shared" si="76"/>
        <v/>
      </c>
      <c r="D1001" s="8" t="str">
        <f t="shared" si="77"/>
        <v/>
      </c>
      <c r="F1001" s="4" t="str">
        <f>IF(Jugadores!B1001="","",Jugadores!B1001)</f>
        <v/>
      </c>
      <c r="G1001" s="4" t="str">
        <f>IF(Jugadores!B1001="","",Jugadores!A1001)</f>
        <v/>
      </c>
      <c r="H1001" s="4" t="str">
        <f>IF(F1001="","",SUMIF('Estadísticas Jugadores'!$F$2:$F$7001,F1001,'Estadísticas Jugadores'!$L$2:$L$7001))</f>
        <v/>
      </c>
      <c r="I1001" s="4" t="str">
        <f t="shared" si="78"/>
        <v/>
      </c>
      <c r="J1001" s="4" t="str">
        <f t="shared" si="79"/>
        <v/>
      </c>
    </row>
    <row r="1002" spans="1:10" ht="15" customHeight="1" x14ac:dyDescent="0.25">
      <c r="A1002" s="8" t="str">
        <f>IF(COUNT($J$2:$J$1501)&gt;=1001,1001,"")</f>
        <v/>
      </c>
      <c r="B1002" s="8" t="str">
        <f t="shared" si="75"/>
        <v/>
      </c>
      <c r="C1002" s="8" t="str">
        <f t="shared" si="76"/>
        <v/>
      </c>
      <c r="D1002" s="8" t="str">
        <f t="shared" si="77"/>
        <v/>
      </c>
      <c r="F1002" s="4" t="str">
        <f>IF(Jugadores!B1002="","",Jugadores!B1002)</f>
        <v/>
      </c>
      <c r="G1002" s="4" t="str">
        <f>IF(Jugadores!B1002="","",Jugadores!A1002)</f>
        <v/>
      </c>
      <c r="H1002" s="4" t="str">
        <f>IF(F1002="","",SUMIF('Estadísticas Jugadores'!$F$2:$F$7001,F1002,'Estadísticas Jugadores'!$L$2:$L$7001))</f>
        <v/>
      </c>
      <c r="I1002" s="4" t="str">
        <f t="shared" si="78"/>
        <v/>
      </c>
      <c r="J1002" s="4" t="str">
        <f t="shared" si="79"/>
        <v/>
      </c>
    </row>
    <row r="1003" spans="1:10" ht="15" customHeight="1" x14ac:dyDescent="0.25">
      <c r="A1003" s="8" t="str">
        <f>IF(COUNT($J$2:$J$1501)&gt;=1002,1002,"")</f>
        <v/>
      </c>
      <c r="B1003" s="8" t="str">
        <f t="shared" si="75"/>
        <v/>
      </c>
      <c r="C1003" s="8" t="str">
        <f t="shared" si="76"/>
        <v/>
      </c>
      <c r="D1003" s="8" t="str">
        <f t="shared" si="77"/>
        <v/>
      </c>
      <c r="F1003" s="4" t="str">
        <f>IF(Jugadores!B1003="","",Jugadores!B1003)</f>
        <v/>
      </c>
      <c r="G1003" s="4" t="str">
        <f>IF(Jugadores!B1003="","",Jugadores!A1003)</f>
        <v/>
      </c>
      <c r="H1003" s="4" t="str">
        <f>IF(F1003="","",SUMIF('Estadísticas Jugadores'!$F$2:$F$7001,F1003,'Estadísticas Jugadores'!$L$2:$L$7001))</f>
        <v/>
      </c>
      <c r="I1003" s="4" t="str">
        <f t="shared" si="78"/>
        <v/>
      </c>
      <c r="J1003" s="4" t="str">
        <f t="shared" si="79"/>
        <v/>
      </c>
    </row>
    <row r="1004" spans="1:10" ht="15" customHeight="1" x14ac:dyDescent="0.25">
      <c r="A1004" s="8" t="str">
        <f>IF(COUNT($J$2:$J$1501)&gt;=1003,1003,"")</f>
        <v/>
      </c>
      <c r="B1004" s="8" t="str">
        <f t="shared" si="75"/>
        <v/>
      </c>
      <c r="C1004" s="8" t="str">
        <f t="shared" si="76"/>
        <v/>
      </c>
      <c r="D1004" s="8" t="str">
        <f t="shared" si="77"/>
        <v/>
      </c>
      <c r="F1004" s="4" t="str">
        <f>IF(Jugadores!B1004="","",Jugadores!B1004)</f>
        <v/>
      </c>
      <c r="G1004" s="4" t="str">
        <f>IF(Jugadores!B1004="","",Jugadores!A1004)</f>
        <v/>
      </c>
      <c r="H1004" s="4" t="str">
        <f>IF(F1004="","",SUMIF('Estadísticas Jugadores'!$F$2:$F$7001,F1004,'Estadísticas Jugadores'!$L$2:$L$7001))</f>
        <v/>
      </c>
      <c r="I1004" s="4" t="str">
        <f t="shared" si="78"/>
        <v/>
      </c>
      <c r="J1004" s="4" t="str">
        <f t="shared" si="79"/>
        <v/>
      </c>
    </row>
    <row r="1005" spans="1:10" ht="15" customHeight="1" x14ac:dyDescent="0.25">
      <c r="A1005" s="8" t="str">
        <f>IF(COUNT($J$2:$J$1501)&gt;=1004,1004,"")</f>
        <v/>
      </c>
      <c r="B1005" s="8" t="str">
        <f t="shared" si="75"/>
        <v/>
      </c>
      <c r="C1005" s="8" t="str">
        <f t="shared" si="76"/>
        <v/>
      </c>
      <c r="D1005" s="8" t="str">
        <f t="shared" si="77"/>
        <v/>
      </c>
      <c r="F1005" s="4" t="str">
        <f>IF(Jugadores!B1005="","",Jugadores!B1005)</f>
        <v/>
      </c>
      <c r="G1005" s="4" t="str">
        <f>IF(Jugadores!B1005="","",Jugadores!A1005)</f>
        <v/>
      </c>
      <c r="H1005" s="4" t="str">
        <f>IF(F1005="","",SUMIF('Estadísticas Jugadores'!$F$2:$F$7001,F1005,'Estadísticas Jugadores'!$L$2:$L$7001))</f>
        <v/>
      </c>
      <c r="I1005" s="4" t="str">
        <f t="shared" si="78"/>
        <v/>
      </c>
      <c r="J1005" s="4" t="str">
        <f t="shared" si="79"/>
        <v/>
      </c>
    </row>
    <row r="1006" spans="1:10" ht="15" customHeight="1" x14ac:dyDescent="0.25">
      <c r="A1006" s="8" t="str">
        <f>IF(COUNT($J$2:$J$1501)&gt;=1005,1005,"")</f>
        <v/>
      </c>
      <c r="B1006" s="8" t="str">
        <f t="shared" si="75"/>
        <v/>
      </c>
      <c r="C1006" s="8" t="str">
        <f t="shared" si="76"/>
        <v/>
      </c>
      <c r="D1006" s="8" t="str">
        <f t="shared" si="77"/>
        <v/>
      </c>
      <c r="F1006" s="4" t="str">
        <f>IF(Jugadores!B1006="","",Jugadores!B1006)</f>
        <v/>
      </c>
      <c r="G1006" s="4" t="str">
        <f>IF(Jugadores!B1006="","",Jugadores!A1006)</f>
        <v/>
      </c>
      <c r="H1006" s="4" t="str">
        <f>IF(F1006="","",SUMIF('Estadísticas Jugadores'!$F$2:$F$7001,F1006,'Estadísticas Jugadores'!$L$2:$L$7001))</f>
        <v/>
      </c>
      <c r="I1006" s="4" t="str">
        <f t="shared" si="78"/>
        <v/>
      </c>
      <c r="J1006" s="4" t="str">
        <f t="shared" si="79"/>
        <v/>
      </c>
    </row>
    <row r="1007" spans="1:10" ht="15" customHeight="1" x14ac:dyDescent="0.25">
      <c r="A1007" s="8" t="str">
        <f>IF(COUNT($J$2:$J$1501)&gt;=1006,1006,"")</f>
        <v/>
      </c>
      <c r="B1007" s="8" t="str">
        <f t="shared" si="75"/>
        <v/>
      </c>
      <c r="C1007" s="8" t="str">
        <f t="shared" si="76"/>
        <v/>
      </c>
      <c r="D1007" s="8" t="str">
        <f t="shared" si="77"/>
        <v/>
      </c>
      <c r="F1007" s="4" t="str">
        <f>IF(Jugadores!B1007="","",Jugadores!B1007)</f>
        <v/>
      </c>
      <c r="G1007" s="4" t="str">
        <f>IF(Jugadores!B1007="","",Jugadores!A1007)</f>
        <v/>
      </c>
      <c r="H1007" s="4" t="str">
        <f>IF(F1007="","",SUMIF('Estadísticas Jugadores'!$F$2:$F$7001,F1007,'Estadísticas Jugadores'!$L$2:$L$7001))</f>
        <v/>
      </c>
      <c r="I1007" s="4" t="str">
        <f t="shared" si="78"/>
        <v/>
      </c>
      <c r="J1007" s="4" t="str">
        <f t="shared" si="79"/>
        <v/>
      </c>
    </row>
    <row r="1008" spans="1:10" ht="15" customHeight="1" x14ac:dyDescent="0.25">
      <c r="A1008" s="8" t="str">
        <f>IF(COUNT($J$2:$J$1501)&gt;=1007,1007,"")</f>
        <v/>
      </c>
      <c r="B1008" s="8" t="str">
        <f t="shared" si="75"/>
        <v/>
      </c>
      <c r="C1008" s="8" t="str">
        <f t="shared" si="76"/>
        <v/>
      </c>
      <c r="D1008" s="8" t="str">
        <f t="shared" si="77"/>
        <v/>
      </c>
      <c r="F1008" s="4" t="str">
        <f>IF(Jugadores!B1008="","",Jugadores!B1008)</f>
        <v/>
      </c>
      <c r="G1008" s="4" t="str">
        <f>IF(Jugadores!B1008="","",Jugadores!A1008)</f>
        <v/>
      </c>
      <c r="H1008" s="4" t="str">
        <f>IF(F1008="","",SUMIF('Estadísticas Jugadores'!$F$2:$F$7001,F1008,'Estadísticas Jugadores'!$L$2:$L$7001))</f>
        <v/>
      </c>
      <c r="I1008" s="4" t="str">
        <f t="shared" si="78"/>
        <v/>
      </c>
      <c r="J1008" s="4" t="str">
        <f t="shared" si="79"/>
        <v/>
      </c>
    </row>
    <row r="1009" spans="1:10" ht="15" customHeight="1" x14ac:dyDescent="0.25">
      <c r="A1009" s="8" t="str">
        <f>IF(COUNT($J$2:$J$1501)&gt;=1008,1008,"")</f>
        <v/>
      </c>
      <c r="B1009" s="8" t="str">
        <f t="shared" si="75"/>
        <v/>
      </c>
      <c r="C1009" s="8" t="str">
        <f t="shared" si="76"/>
        <v/>
      </c>
      <c r="D1009" s="8" t="str">
        <f t="shared" si="77"/>
        <v/>
      </c>
      <c r="F1009" s="4" t="str">
        <f>IF(Jugadores!B1009="","",Jugadores!B1009)</f>
        <v/>
      </c>
      <c r="G1009" s="4" t="str">
        <f>IF(Jugadores!B1009="","",Jugadores!A1009)</f>
        <v/>
      </c>
      <c r="H1009" s="4" t="str">
        <f>IF(F1009="","",SUMIF('Estadísticas Jugadores'!$F$2:$F$7001,F1009,'Estadísticas Jugadores'!$L$2:$L$7001))</f>
        <v/>
      </c>
      <c r="I1009" s="4" t="str">
        <f t="shared" si="78"/>
        <v/>
      </c>
      <c r="J1009" s="4" t="str">
        <f t="shared" si="79"/>
        <v/>
      </c>
    </row>
    <row r="1010" spans="1:10" ht="15" customHeight="1" x14ac:dyDescent="0.25">
      <c r="A1010" s="8" t="str">
        <f>IF(COUNT($J$2:$J$1501)&gt;=1009,1009,"")</f>
        <v/>
      </c>
      <c r="B1010" s="8" t="str">
        <f t="shared" si="75"/>
        <v/>
      </c>
      <c r="C1010" s="8" t="str">
        <f t="shared" si="76"/>
        <v/>
      </c>
      <c r="D1010" s="8" t="str">
        <f t="shared" si="77"/>
        <v/>
      </c>
      <c r="F1010" s="4" t="str">
        <f>IF(Jugadores!B1010="","",Jugadores!B1010)</f>
        <v/>
      </c>
      <c r="G1010" s="4" t="str">
        <f>IF(Jugadores!B1010="","",Jugadores!A1010)</f>
        <v/>
      </c>
      <c r="H1010" s="4" t="str">
        <f>IF(F1010="","",SUMIF('Estadísticas Jugadores'!$F$2:$F$7001,F1010,'Estadísticas Jugadores'!$L$2:$L$7001))</f>
        <v/>
      </c>
      <c r="I1010" s="4" t="str">
        <f t="shared" si="78"/>
        <v/>
      </c>
      <c r="J1010" s="4" t="str">
        <f t="shared" si="79"/>
        <v/>
      </c>
    </row>
    <row r="1011" spans="1:10" ht="15" customHeight="1" x14ac:dyDescent="0.25">
      <c r="A1011" s="8" t="str">
        <f>IF(COUNT($J$2:$J$1501)&gt;=1010,1010,"")</f>
        <v/>
      </c>
      <c r="B1011" s="8" t="str">
        <f t="shared" si="75"/>
        <v/>
      </c>
      <c r="C1011" s="8" t="str">
        <f t="shared" si="76"/>
        <v/>
      </c>
      <c r="D1011" s="8" t="str">
        <f t="shared" si="77"/>
        <v/>
      </c>
      <c r="F1011" s="4" t="str">
        <f>IF(Jugadores!B1011="","",Jugadores!B1011)</f>
        <v/>
      </c>
      <c r="G1011" s="4" t="str">
        <f>IF(Jugadores!B1011="","",Jugadores!A1011)</f>
        <v/>
      </c>
      <c r="H1011" s="4" t="str">
        <f>IF(F1011="","",SUMIF('Estadísticas Jugadores'!$F$2:$F$7001,F1011,'Estadísticas Jugadores'!$L$2:$L$7001))</f>
        <v/>
      </c>
      <c r="I1011" s="4" t="str">
        <f t="shared" si="78"/>
        <v/>
      </c>
      <c r="J1011" s="4" t="str">
        <f t="shared" si="79"/>
        <v/>
      </c>
    </row>
    <row r="1012" spans="1:10" ht="15" customHeight="1" x14ac:dyDescent="0.25">
      <c r="A1012" s="8" t="str">
        <f>IF(COUNT($J$2:$J$1501)&gt;=1011,1011,"")</f>
        <v/>
      </c>
      <c r="B1012" s="8" t="str">
        <f t="shared" si="75"/>
        <v/>
      </c>
      <c r="C1012" s="8" t="str">
        <f t="shared" si="76"/>
        <v/>
      </c>
      <c r="D1012" s="8" t="str">
        <f t="shared" si="77"/>
        <v/>
      </c>
      <c r="F1012" s="4" t="str">
        <f>IF(Jugadores!B1012="","",Jugadores!B1012)</f>
        <v/>
      </c>
      <c r="G1012" s="4" t="str">
        <f>IF(Jugadores!B1012="","",Jugadores!A1012)</f>
        <v/>
      </c>
      <c r="H1012" s="4" t="str">
        <f>IF(F1012="","",SUMIF('Estadísticas Jugadores'!$F$2:$F$7001,F1012,'Estadísticas Jugadores'!$L$2:$L$7001))</f>
        <v/>
      </c>
      <c r="I1012" s="4" t="str">
        <f t="shared" si="78"/>
        <v/>
      </c>
      <c r="J1012" s="4" t="str">
        <f t="shared" si="79"/>
        <v/>
      </c>
    </row>
    <row r="1013" spans="1:10" ht="15" customHeight="1" x14ac:dyDescent="0.25">
      <c r="A1013" s="8" t="str">
        <f>IF(COUNT($J$2:$J$1501)&gt;=1012,1012,"")</f>
        <v/>
      </c>
      <c r="B1013" s="8" t="str">
        <f t="shared" si="75"/>
        <v/>
      </c>
      <c r="C1013" s="8" t="str">
        <f t="shared" si="76"/>
        <v/>
      </c>
      <c r="D1013" s="8" t="str">
        <f t="shared" si="77"/>
        <v/>
      </c>
      <c r="F1013" s="4" t="str">
        <f>IF(Jugadores!B1013="","",Jugadores!B1013)</f>
        <v/>
      </c>
      <c r="G1013" s="4" t="str">
        <f>IF(Jugadores!B1013="","",Jugadores!A1013)</f>
        <v/>
      </c>
      <c r="H1013" s="4" t="str">
        <f>IF(F1013="","",SUMIF('Estadísticas Jugadores'!$F$2:$F$7001,F1013,'Estadísticas Jugadores'!$L$2:$L$7001))</f>
        <v/>
      </c>
      <c r="I1013" s="4" t="str">
        <f t="shared" si="78"/>
        <v/>
      </c>
      <c r="J1013" s="4" t="str">
        <f t="shared" si="79"/>
        <v/>
      </c>
    </row>
    <row r="1014" spans="1:10" ht="15" customHeight="1" x14ac:dyDescent="0.25">
      <c r="A1014" s="8" t="str">
        <f>IF(COUNT($J$2:$J$1501)&gt;=1013,1013,"")</f>
        <v/>
      </c>
      <c r="B1014" s="8" t="str">
        <f t="shared" si="75"/>
        <v/>
      </c>
      <c r="C1014" s="8" t="str">
        <f t="shared" si="76"/>
        <v/>
      </c>
      <c r="D1014" s="8" t="str">
        <f t="shared" si="77"/>
        <v/>
      </c>
      <c r="F1014" s="4" t="str">
        <f>IF(Jugadores!B1014="","",Jugadores!B1014)</f>
        <v/>
      </c>
      <c r="G1014" s="4" t="str">
        <f>IF(Jugadores!B1014="","",Jugadores!A1014)</f>
        <v/>
      </c>
      <c r="H1014" s="4" t="str">
        <f>IF(F1014="","",SUMIF('Estadísticas Jugadores'!$F$2:$F$7001,F1014,'Estadísticas Jugadores'!$L$2:$L$7001))</f>
        <v/>
      </c>
      <c r="I1014" s="4" t="str">
        <f t="shared" si="78"/>
        <v/>
      </c>
      <c r="J1014" s="4" t="str">
        <f t="shared" si="79"/>
        <v/>
      </c>
    </row>
    <row r="1015" spans="1:10" ht="15" customHeight="1" x14ac:dyDescent="0.25">
      <c r="A1015" s="8" t="str">
        <f>IF(COUNT($J$2:$J$1501)&gt;=1014,1014,"")</f>
        <v/>
      </c>
      <c r="B1015" s="8" t="str">
        <f t="shared" si="75"/>
        <v/>
      </c>
      <c r="C1015" s="8" t="str">
        <f t="shared" si="76"/>
        <v/>
      </c>
      <c r="D1015" s="8" t="str">
        <f t="shared" si="77"/>
        <v/>
      </c>
      <c r="F1015" s="4" t="str">
        <f>IF(Jugadores!B1015="","",Jugadores!B1015)</f>
        <v/>
      </c>
      <c r="G1015" s="4" t="str">
        <f>IF(Jugadores!B1015="","",Jugadores!A1015)</f>
        <v/>
      </c>
      <c r="H1015" s="4" t="str">
        <f>IF(F1015="","",SUMIF('Estadísticas Jugadores'!$F$2:$F$7001,F1015,'Estadísticas Jugadores'!$L$2:$L$7001))</f>
        <v/>
      </c>
      <c r="I1015" s="4" t="str">
        <f t="shared" si="78"/>
        <v/>
      </c>
      <c r="J1015" s="4" t="str">
        <f t="shared" si="79"/>
        <v/>
      </c>
    </row>
    <row r="1016" spans="1:10" ht="15" customHeight="1" x14ac:dyDescent="0.25">
      <c r="A1016" s="8" t="str">
        <f>IF(COUNT($J$2:$J$1501)&gt;=1015,1015,"")</f>
        <v/>
      </c>
      <c r="B1016" s="8" t="str">
        <f t="shared" si="75"/>
        <v/>
      </c>
      <c r="C1016" s="8" t="str">
        <f t="shared" si="76"/>
        <v/>
      </c>
      <c r="D1016" s="8" t="str">
        <f t="shared" si="77"/>
        <v/>
      </c>
      <c r="F1016" s="4" t="str">
        <f>IF(Jugadores!B1016="","",Jugadores!B1016)</f>
        <v/>
      </c>
      <c r="G1016" s="4" t="str">
        <f>IF(Jugadores!B1016="","",Jugadores!A1016)</f>
        <v/>
      </c>
      <c r="H1016" s="4" t="str">
        <f>IF(F1016="","",SUMIF('Estadísticas Jugadores'!$F$2:$F$7001,F1016,'Estadísticas Jugadores'!$L$2:$L$7001))</f>
        <v/>
      </c>
      <c r="I1016" s="4" t="str">
        <f t="shared" si="78"/>
        <v/>
      </c>
      <c r="J1016" s="4" t="str">
        <f t="shared" si="79"/>
        <v/>
      </c>
    </row>
    <row r="1017" spans="1:10" ht="15" customHeight="1" x14ac:dyDescent="0.25">
      <c r="A1017" s="8" t="str">
        <f>IF(COUNT($J$2:$J$1501)&gt;=1016,1016,"")</f>
        <v/>
      </c>
      <c r="B1017" s="8" t="str">
        <f t="shared" si="75"/>
        <v/>
      </c>
      <c r="C1017" s="8" t="str">
        <f t="shared" si="76"/>
        <v/>
      </c>
      <c r="D1017" s="8" t="str">
        <f t="shared" si="77"/>
        <v/>
      </c>
      <c r="F1017" s="4" t="str">
        <f>IF(Jugadores!B1017="","",Jugadores!B1017)</f>
        <v/>
      </c>
      <c r="G1017" s="4" t="str">
        <f>IF(Jugadores!B1017="","",Jugadores!A1017)</f>
        <v/>
      </c>
      <c r="H1017" s="4" t="str">
        <f>IF(F1017="","",SUMIF('Estadísticas Jugadores'!$F$2:$F$7001,F1017,'Estadísticas Jugadores'!$L$2:$L$7001))</f>
        <v/>
      </c>
      <c r="I1017" s="4" t="str">
        <f t="shared" si="78"/>
        <v/>
      </c>
      <c r="J1017" s="4" t="str">
        <f t="shared" si="79"/>
        <v/>
      </c>
    </row>
    <row r="1018" spans="1:10" ht="15" customHeight="1" x14ac:dyDescent="0.25">
      <c r="A1018" s="8" t="str">
        <f>IF(COUNT($J$2:$J$1501)&gt;=1017,1017,"")</f>
        <v/>
      </c>
      <c r="B1018" s="8" t="str">
        <f t="shared" si="75"/>
        <v/>
      </c>
      <c r="C1018" s="8" t="str">
        <f t="shared" si="76"/>
        <v/>
      </c>
      <c r="D1018" s="8" t="str">
        <f t="shared" si="77"/>
        <v/>
      </c>
      <c r="F1018" s="4" t="str">
        <f>IF(Jugadores!B1018="","",Jugadores!B1018)</f>
        <v/>
      </c>
      <c r="G1018" s="4" t="str">
        <f>IF(Jugadores!B1018="","",Jugadores!A1018)</f>
        <v/>
      </c>
      <c r="H1018" s="4" t="str">
        <f>IF(F1018="","",SUMIF('Estadísticas Jugadores'!$F$2:$F$7001,F1018,'Estadísticas Jugadores'!$L$2:$L$7001))</f>
        <v/>
      </c>
      <c r="I1018" s="4" t="str">
        <f t="shared" si="78"/>
        <v/>
      </c>
      <c r="J1018" s="4" t="str">
        <f t="shared" si="79"/>
        <v/>
      </c>
    </row>
    <row r="1019" spans="1:10" ht="15" customHeight="1" x14ac:dyDescent="0.25">
      <c r="A1019" s="8" t="str">
        <f>IF(COUNT($J$2:$J$1501)&gt;=1018,1018,"")</f>
        <v/>
      </c>
      <c r="B1019" s="8" t="str">
        <f t="shared" si="75"/>
        <v/>
      </c>
      <c r="C1019" s="8" t="str">
        <f t="shared" si="76"/>
        <v/>
      </c>
      <c r="D1019" s="8" t="str">
        <f t="shared" si="77"/>
        <v/>
      </c>
      <c r="F1019" s="4" t="str">
        <f>IF(Jugadores!B1019="","",Jugadores!B1019)</f>
        <v/>
      </c>
      <c r="G1019" s="4" t="str">
        <f>IF(Jugadores!B1019="","",Jugadores!A1019)</f>
        <v/>
      </c>
      <c r="H1019" s="4" t="str">
        <f>IF(F1019="","",SUMIF('Estadísticas Jugadores'!$F$2:$F$7001,F1019,'Estadísticas Jugadores'!$L$2:$L$7001))</f>
        <v/>
      </c>
      <c r="I1019" s="4" t="str">
        <f t="shared" si="78"/>
        <v/>
      </c>
      <c r="J1019" s="4" t="str">
        <f t="shared" si="79"/>
        <v/>
      </c>
    </row>
    <row r="1020" spans="1:10" ht="15" customHeight="1" x14ac:dyDescent="0.25">
      <c r="A1020" s="8" t="str">
        <f>IF(COUNT($J$2:$J$1501)&gt;=1019,1019,"")</f>
        <v/>
      </c>
      <c r="B1020" s="8" t="str">
        <f t="shared" si="75"/>
        <v/>
      </c>
      <c r="C1020" s="8" t="str">
        <f t="shared" si="76"/>
        <v/>
      </c>
      <c r="D1020" s="8" t="str">
        <f t="shared" si="77"/>
        <v/>
      </c>
      <c r="F1020" s="4" t="str">
        <f>IF(Jugadores!B1020="","",Jugadores!B1020)</f>
        <v/>
      </c>
      <c r="G1020" s="4" t="str">
        <f>IF(Jugadores!B1020="","",Jugadores!A1020)</f>
        <v/>
      </c>
      <c r="H1020" s="4" t="str">
        <f>IF(F1020="","",SUMIF('Estadísticas Jugadores'!$F$2:$F$7001,F1020,'Estadísticas Jugadores'!$L$2:$L$7001))</f>
        <v/>
      </c>
      <c r="I1020" s="4" t="str">
        <f t="shared" si="78"/>
        <v/>
      </c>
      <c r="J1020" s="4" t="str">
        <f t="shared" si="79"/>
        <v/>
      </c>
    </row>
    <row r="1021" spans="1:10" ht="15" customHeight="1" x14ac:dyDescent="0.25">
      <c r="A1021" s="8" t="str">
        <f>IF(COUNT($J$2:$J$1501)&gt;=1020,1020,"")</f>
        <v/>
      </c>
      <c r="B1021" s="8" t="str">
        <f t="shared" si="75"/>
        <v/>
      </c>
      <c r="C1021" s="8" t="str">
        <f t="shared" si="76"/>
        <v/>
      </c>
      <c r="D1021" s="8" t="str">
        <f t="shared" si="77"/>
        <v/>
      </c>
      <c r="F1021" s="4" t="str">
        <f>IF(Jugadores!B1021="","",Jugadores!B1021)</f>
        <v/>
      </c>
      <c r="G1021" s="4" t="str">
        <f>IF(Jugadores!B1021="","",Jugadores!A1021)</f>
        <v/>
      </c>
      <c r="H1021" s="4" t="str">
        <f>IF(F1021="","",SUMIF('Estadísticas Jugadores'!$F$2:$F$7001,F1021,'Estadísticas Jugadores'!$L$2:$L$7001))</f>
        <v/>
      </c>
      <c r="I1021" s="4" t="str">
        <f t="shared" si="78"/>
        <v/>
      </c>
      <c r="J1021" s="4" t="str">
        <f t="shared" si="79"/>
        <v/>
      </c>
    </row>
    <row r="1022" spans="1:10" ht="15" customHeight="1" x14ac:dyDescent="0.25">
      <c r="A1022" s="8" t="str">
        <f>IF(COUNT($J$2:$J$1501)&gt;=1021,1021,"")</f>
        <v/>
      </c>
      <c r="B1022" s="8" t="str">
        <f t="shared" si="75"/>
        <v/>
      </c>
      <c r="C1022" s="8" t="str">
        <f t="shared" si="76"/>
        <v/>
      </c>
      <c r="D1022" s="8" t="str">
        <f t="shared" si="77"/>
        <v/>
      </c>
      <c r="F1022" s="4" t="str">
        <f>IF(Jugadores!B1022="","",Jugadores!B1022)</f>
        <v/>
      </c>
      <c r="G1022" s="4" t="str">
        <f>IF(Jugadores!B1022="","",Jugadores!A1022)</f>
        <v/>
      </c>
      <c r="H1022" s="4" t="str">
        <f>IF(F1022="","",SUMIF('Estadísticas Jugadores'!$F$2:$F$7001,F1022,'Estadísticas Jugadores'!$L$2:$L$7001))</f>
        <v/>
      </c>
      <c r="I1022" s="4" t="str">
        <f t="shared" si="78"/>
        <v/>
      </c>
      <c r="J1022" s="4" t="str">
        <f t="shared" si="79"/>
        <v/>
      </c>
    </row>
    <row r="1023" spans="1:10" ht="15" customHeight="1" x14ac:dyDescent="0.25">
      <c r="A1023" s="8" t="str">
        <f>IF(COUNT($J$2:$J$1501)&gt;=1022,1022,"")</f>
        <v/>
      </c>
      <c r="B1023" s="8" t="str">
        <f t="shared" si="75"/>
        <v/>
      </c>
      <c r="C1023" s="8" t="str">
        <f t="shared" si="76"/>
        <v/>
      </c>
      <c r="D1023" s="8" t="str">
        <f t="shared" si="77"/>
        <v/>
      </c>
      <c r="F1023" s="4" t="str">
        <f>IF(Jugadores!B1023="","",Jugadores!B1023)</f>
        <v/>
      </c>
      <c r="G1023" s="4" t="str">
        <f>IF(Jugadores!B1023="","",Jugadores!A1023)</f>
        <v/>
      </c>
      <c r="H1023" s="4" t="str">
        <f>IF(F1023="","",SUMIF('Estadísticas Jugadores'!$F$2:$F$7001,F1023,'Estadísticas Jugadores'!$L$2:$L$7001))</f>
        <v/>
      </c>
      <c r="I1023" s="4" t="str">
        <f t="shared" si="78"/>
        <v/>
      </c>
      <c r="J1023" s="4" t="str">
        <f t="shared" si="79"/>
        <v/>
      </c>
    </row>
    <row r="1024" spans="1:10" ht="15" customHeight="1" x14ac:dyDescent="0.25">
      <c r="A1024" s="8" t="str">
        <f>IF(COUNT($J$2:$J$1501)&gt;=1023,1023,"")</f>
        <v/>
      </c>
      <c r="B1024" s="8" t="str">
        <f t="shared" si="75"/>
        <v/>
      </c>
      <c r="C1024" s="8" t="str">
        <f t="shared" si="76"/>
        <v/>
      </c>
      <c r="D1024" s="8" t="str">
        <f t="shared" si="77"/>
        <v/>
      </c>
      <c r="F1024" s="4" t="str">
        <f>IF(Jugadores!B1024="","",Jugadores!B1024)</f>
        <v/>
      </c>
      <c r="G1024" s="4" t="str">
        <f>IF(Jugadores!B1024="","",Jugadores!A1024)</f>
        <v/>
      </c>
      <c r="H1024" s="4" t="str">
        <f>IF(F1024="","",SUMIF('Estadísticas Jugadores'!$F$2:$F$7001,F1024,'Estadísticas Jugadores'!$L$2:$L$7001))</f>
        <v/>
      </c>
      <c r="I1024" s="4" t="str">
        <f t="shared" si="78"/>
        <v/>
      </c>
      <c r="J1024" s="4" t="str">
        <f t="shared" si="79"/>
        <v/>
      </c>
    </row>
    <row r="1025" spans="1:10" ht="15" customHeight="1" x14ac:dyDescent="0.25">
      <c r="A1025" s="8" t="str">
        <f>IF(COUNT($J$2:$J$1501)&gt;=1024,1024,"")</f>
        <v/>
      </c>
      <c r="B1025" s="8" t="str">
        <f t="shared" si="75"/>
        <v/>
      </c>
      <c r="C1025" s="8" t="str">
        <f t="shared" si="76"/>
        <v/>
      </c>
      <c r="D1025" s="8" t="str">
        <f t="shared" si="77"/>
        <v/>
      </c>
      <c r="F1025" s="4" t="str">
        <f>IF(Jugadores!B1025="","",Jugadores!B1025)</f>
        <v/>
      </c>
      <c r="G1025" s="4" t="str">
        <f>IF(Jugadores!B1025="","",Jugadores!A1025)</f>
        <v/>
      </c>
      <c r="H1025" s="4" t="str">
        <f>IF(F1025="","",SUMIF('Estadísticas Jugadores'!$F$2:$F$7001,F1025,'Estadísticas Jugadores'!$L$2:$L$7001))</f>
        <v/>
      </c>
      <c r="I1025" s="4" t="str">
        <f t="shared" si="78"/>
        <v/>
      </c>
      <c r="J1025" s="4" t="str">
        <f t="shared" si="79"/>
        <v/>
      </c>
    </row>
    <row r="1026" spans="1:10" ht="15" customHeight="1" x14ac:dyDescent="0.25">
      <c r="A1026" s="8" t="str">
        <f>IF(COUNT($J$2:$J$1501)&gt;=1025,1025,"")</f>
        <v/>
      </c>
      <c r="B1026" s="8" t="str">
        <f t="shared" ref="B1026:B1089" si="80">IF($A1026="","",INDEX($F$2:$F$1501,MATCH($A1026,$J$2:$J$1501,0)))</f>
        <v/>
      </c>
      <c r="C1026" s="8" t="str">
        <f t="shared" ref="C1026:C1089" si="81">IF($A1026="","",INDEX($G$2:$G$1501,MATCH($A1026,$J$2:$J$1501,0)))</f>
        <v/>
      </c>
      <c r="D1026" s="8" t="str">
        <f t="shared" ref="D1026:D1089" si="82">IF($A1026="","",INDEX($H$2:$H$1501,MATCH($A1026,$J$2:$J$1501,0)))</f>
        <v/>
      </c>
      <c r="F1026" s="4" t="str">
        <f>IF(Jugadores!B1026="","",Jugadores!B1026)</f>
        <v/>
      </c>
      <c r="G1026" s="4" t="str">
        <f>IF(Jugadores!B1026="","",Jugadores!A1026)</f>
        <v/>
      </c>
      <c r="H1026" s="4" t="str">
        <f>IF(F1026="","",SUMIF('Estadísticas Jugadores'!$F$2:$F$7001,F1026,'Estadísticas Jugadores'!$L$2:$L$7001))</f>
        <v/>
      </c>
      <c r="I1026" s="4" t="str">
        <f t="shared" ref="I1026:I1089" si="83">IF(F1026="","",H1026*1000-ROW()*0.0000001)</f>
        <v/>
      </c>
      <c r="J1026" s="4" t="str">
        <f t="shared" ref="J1026:J1089" si="84">IF(F1026="","",RANK(I1026,$I$2:$I$1501))</f>
        <v/>
      </c>
    </row>
    <row r="1027" spans="1:10" ht="15" customHeight="1" x14ac:dyDescent="0.25">
      <c r="A1027" s="8" t="str">
        <f>IF(COUNT($J$2:$J$1501)&gt;=1026,1026,"")</f>
        <v/>
      </c>
      <c r="B1027" s="8" t="str">
        <f t="shared" si="80"/>
        <v/>
      </c>
      <c r="C1027" s="8" t="str">
        <f t="shared" si="81"/>
        <v/>
      </c>
      <c r="D1027" s="8" t="str">
        <f t="shared" si="82"/>
        <v/>
      </c>
      <c r="F1027" s="4" t="str">
        <f>IF(Jugadores!B1027="","",Jugadores!B1027)</f>
        <v/>
      </c>
      <c r="G1027" s="4" t="str">
        <f>IF(Jugadores!B1027="","",Jugadores!A1027)</f>
        <v/>
      </c>
      <c r="H1027" s="4" t="str">
        <f>IF(F1027="","",SUMIF('Estadísticas Jugadores'!$F$2:$F$7001,F1027,'Estadísticas Jugadores'!$L$2:$L$7001))</f>
        <v/>
      </c>
      <c r="I1027" s="4" t="str">
        <f t="shared" si="83"/>
        <v/>
      </c>
      <c r="J1027" s="4" t="str">
        <f t="shared" si="84"/>
        <v/>
      </c>
    </row>
    <row r="1028" spans="1:10" ht="15" customHeight="1" x14ac:dyDescent="0.25">
      <c r="A1028" s="8" t="str">
        <f>IF(COUNT($J$2:$J$1501)&gt;=1027,1027,"")</f>
        <v/>
      </c>
      <c r="B1028" s="8" t="str">
        <f t="shared" si="80"/>
        <v/>
      </c>
      <c r="C1028" s="8" t="str">
        <f t="shared" si="81"/>
        <v/>
      </c>
      <c r="D1028" s="8" t="str">
        <f t="shared" si="82"/>
        <v/>
      </c>
      <c r="F1028" s="4" t="str">
        <f>IF(Jugadores!B1028="","",Jugadores!B1028)</f>
        <v/>
      </c>
      <c r="G1028" s="4" t="str">
        <f>IF(Jugadores!B1028="","",Jugadores!A1028)</f>
        <v/>
      </c>
      <c r="H1028" s="4" t="str">
        <f>IF(F1028="","",SUMIF('Estadísticas Jugadores'!$F$2:$F$7001,F1028,'Estadísticas Jugadores'!$L$2:$L$7001))</f>
        <v/>
      </c>
      <c r="I1028" s="4" t="str">
        <f t="shared" si="83"/>
        <v/>
      </c>
      <c r="J1028" s="4" t="str">
        <f t="shared" si="84"/>
        <v/>
      </c>
    </row>
    <row r="1029" spans="1:10" ht="15" customHeight="1" x14ac:dyDescent="0.25">
      <c r="A1029" s="8" t="str">
        <f>IF(COUNT($J$2:$J$1501)&gt;=1028,1028,"")</f>
        <v/>
      </c>
      <c r="B1029" s="8" t="str">
        <f t="shared" si="80"/>
        <v/>
      </c>
      <c r="C1029" s="8" t="str">
        <f t="shared" si="81"/>
        <v/>
      </c>
      <c r="D1029" s="8" t="str">
        <f t="shared" si="82"/>
        <v/>
      </c>
      <c r="F1029" s="4" t="str">
        <f>IF(Jugadores!B1029="","",Jugadores!B1029)</f>
        <v/>
      </c>
      <c r="G1029" s="4" t="str">
        <f>IF(Jugadores!B1029="","",Jugadores!A1029)</f>
        <v/>
      </c>
      <c r="H1029" s="4" t="str">
        <f>IF(F1029="","",SUMIF('Estadísticas Jugadores'!$F$2:$F$7001,F1029,'Estadísticas Jugadores'!$L$2:$L$7001))</f>
        <v/>
      </c>
      <c r="I1029" s="4" t="str">
        <f t="shared" si="83"/>
        <v/>
      </c>
      <c r="J1029" s="4" t="str">
        <f t="shared" si="84"/>
        <v/>
      </c>
    </row>
    <row r="1030" spans="1:10" ht="15" customHeight="1" x14ac:dyDescent="0.25">
      <c r="A1030" s="8" t="str">
        <f>IF(COUNT($J$2:$J$1501)&gt;=1029,1029,"")</f>
        <v/>
      </c>
      <c r="B1030" s="8" t="str">
        <f t="shared" si="80"/>
        <v/>
      </c>
      <c r="C1030" s="8" t="str">
        <f t="shared" si="81"/>
        <v/>
      </c>
      <c r="D1030" s="8" t="str">
        <f t="shared" si="82"/>
        <v/>
      </c>
      <c r="F1030" s="4" t="str">
        <f>IF(Jugadores!B1030="","",Jugadores!B1030)</f>
        <v/>
      </c>
      <c r="G1030" s="4" t="str">
        <f>IF(Jugadores!B1030="","",Jugadores!A1030)</f>
        <v/>
      </c>
      <c r="H1030" s="4" t="str">
        <f>IF(F1030="","",SUMIF('Estadísticas Jugadores'!$F$2:$F$7001,F1030,'Estadísticas Jugadores'!$L$2:$L$7001))</f>
        <v/>
      </c>
      <c r="I1030" s="4" t="str">
        <f t="shared" si="83"/>
        <v/>
      </c>
      <c r="J1030" s="4" t="str">
        <f t="shared" si="84"/>
        <v/>
      </c>
    </row>
    <row r="1031" spans="1:10" ht="15" customHeight="1" x14ac:dyDescent="0.25">
      <c r="A1031" s="8" t="str">
        <f>IF(COUNT($J$2:$J$1501)&gt;=1030,1030,"")</f>
        <v/>
      </c>
      <c r="B1031" s="8" t="str">
        <f t="shared" si="80"/>
        <v/>
      </c>
      <c r="C1031" s="8" t="str">
        <f t="shared" si="81"/>
        <v/>
      </c>
      <c r="D1031" s="8" t="str">
        <f t="shared" si="82"/>
        <v/>
      </c>
      <c r="F1031" s="4" t="str">
        <f>IF(Jugadores!B1031="","",Jugadores!B1031)</f>
        <v/>
      </c>
      <c r="G1031" s="4" t="str">
        <f>IF(Jugadores!B1031="","",Jugadores!A1031)</f>
        <v/>
      </c>
      <c r="H1031" s="4" t="str">
        <f>IF(F1031="","",SUMIF('Estadísticas Jugadores'!$F$2:$F$7001,F1031,'Estadísticas Jugadores'!$L$2:$L$7001))</f>
        <v/>
      </c>
      <c r="I1031" s="4" t="str">
        <f t="shared" si="83"/>
        <v/>
      </c>
      <c r="J1031" s="4" t="str">
        <f t="shared" si="84"/>
        <v/>
      </c>
    </row>
    <row r="1032" spans="1:10" ht="15" customHeight="1" x14ac:dyDescent="0.25">
      <c r="A1032" s="8" t="str">
        <f>IF(COUNT($J$2:$J$1501)&gt;=1031,1031,"")</f>
        <v/>
      </c>
      <c r="B1032" s="8" t="str">
        <f t="shared" si="80"/>
        <v/>
      </c>
      <c r="C1032" s="8" t="str">
        <f t="shared" si="81"/>
        <v/>
      </c>
      <c r="D1032" s="8" t="str">
        <f t="shared" si="82"/>
        <v/>
      </c>
      <c r="F1032" s="4" t="str">
        <f>IF(Jugadores!B1032="","",Jugadores!B1032)</f>
        <v/>
      </c>
      <c r="G1032" s="4" t="str">
        <f>IF(Jugadores!B1032="","",Jugadores!A1032)</f>
        <v/>
      </c>
      <c r="H1032" s="4" t="str">
        <f>IF(F1032="","",SUMIF('Estadísticas Jugadores'!$F$2:$F$7001,F1032,'Estadísticas Jugadores'!$L$2:$L$7001))</f>
        <v/>
      </c>
      <c r="I1032" s="4" t="str">
        <f t="shared" si="83"/>
        <v/>
      </c>
      <c r="J1032" s="4" t="str">
        <f t="shared" si="84"/>
        <v/>
      </c>
    </row>
    <row r="1033" spans="1:10" ht="15" customHeight="1" x14ac:dyDescent="0.25">
      <c r="A1033" s="8" t="str">
        <f>IF(COUNT($J$2:$J$1501)&gt;=1032,1032,"")</f>
        <v/>
      </c>
      <c r="B1033" s="8" t="str">
        <f t="shared" si="80"/>
        <v/>
      </c>
      <c r="C1033" s="8" t="str">
        <f t="shared" si="81"/>
        <v/>
      </c>
      <c r="D1033" s="8" t="str">
        <f t="shared" si="82"/>
        <v/>
      </c>
      <c r="F1033" s="4" t="str">
        <f>IF(Jugadores!B1033="","",Jugadores!B1033)</f>
        <v/>
      </c>
      <c r="G1033" s="4" t="str">
        <f>IF(Jugadores!B1033="","",Jugadores!A1033)</f>
        <v/>
      </c>
      <c r="H1033" s="4" t="str">
        <f>IF(F1033="","",SUMIF('Estadísticas Jugadores'!$F$2:$F$7001,F1033,'Estadísticas Jugadores'!$L$2:$L$7001))</f>
        <v/>
      </c>
      <c r="I1033" s="4" t="str">
        <f t="shared" si="83"/>
        <v/>
      </c>
      <c r="J1033" s="4" t="str">
        <f t="shared" si="84"/>
        <v/>
      </c>
    </row>
    <row r="1034" spans="1:10" ht="15" customHeight="1" x14ac:dyDescent="0.25">
      <c r="A1034" s="8" t="str">
        <f>IF(COUNT($J$2:$J$1501)&gt;=1033,1033,"")</f>
        <v/>
      </c>
      <c r="B1034" s="8" t="str">
        <f t="shared" si="80"/>
        <v/>
      </c>
      <c r="C1034" s="8" t="str">
        <f t="shared" si="81"/>
        <v/>
      </c>
      <c r="D1034" s="8" t="str">
        <f t="shared" si="82"/>
        <v/>
      </c>
      <c r="F1034" s="4" t="str">
        <f>IF(Jugadores!B1034="","",Jugadores!B1034)</f>
        <v/>
      </c>
      <c r="G1034" s="4" t="str">
        <f>IF(Jugadores!B1034="","",Jugadores!A1034)</f>
        <v/>
      </c>
      <c r="H1034" s="4" t="str">
        <f>IF(F1034="","",SUMIF('Estadísticas Jugadores'!$F$2:$F$7001,F1034,'Estadísticas Jugadores'!$L$2:$L$7001))</f>
        <v/>
      </c>
      <c r="I1034" s="4" t="str">
        <f t="shared" si="83"/>
        <v/>
      </c>
      <c r="J1034" s="4" t="str">
        <f t="shared" si="84"/>
        <v/>
      </c>
    </row>
    <row r="1035" spans="1:10" ht="15" customHeight="1" x14ac:dyDescent="0.25">
      <c r="A1035" s="8" t="str">
        <f>IF(COUNT($J$2:$J$1501)&gt;=1034,1034,"")</f>
        <v/>
      </c>
      <c r="B1035" s="8" t="str">
        <f t="shared" si="80"/>
        <v/>
      </c>
      <c r="C1035" s="8" t="str">
        <f t="shared" si="81"/>
        <v/>
      </c>
      <c r="D1035" s="8" t="str">
        <f t="shared" si="82"/>
        <v/>
      </c>
      <c r="F1035" s="4" t="str">
        <f>IF(Jugadores!B1035="","",Jugadores!B1035)</f>
        <v/>
      </c>
      <c r="G1035" s="4" t="str">
        <f>IF(Jugadores!B1035="","",Jugadores!A1035)</f>
        <v/>
      </c>
      <c r="H1035" s="4" t="str">
        <f>IF(F1035="","",SUMIF('Estadísticas Jugadores'!$F$2:$F$7001,F1035,'Estadísticas Jugadores'!$L$2:$L$7001))</f>
        <v/>
      </c>
      <c r="I1035" s="4" t="str">
        <f t="shared" si="83"/>
        <v/>
      </c>
      <c r="J1035" s="4" t="str">
        <f t="shared" si="84"/>
        <v/>
      </c>
    </row>
    <row r="1036" spans="1:10" ht="15" customHeight="1" x14ac:dyDescent="0.25">
      <c r="A1036" s="8" t="str">
        <f>IF(COUNT($J$2:$J$1501)&gt;=1035,1035,"")</f>
        <v/>
      </c>
      <c r="B1036" s="8" t="str">
        <f t="shared" si="80"/>
        <v/>
      </c>
      <c r="C1036" s="8" t="str">
        <f t="shared" si="81"/>
        <v/>
      </c>
      <c r="D1036" s="8" t="str">
        <f t="shared" si="82"/>
        <v/>
      </c>
      <c r="F1036" s="4" t="str">
        <f>IF(Jugadores!B1036="","",Jugadores!B1036)</f>
        <v/>
      </c>
      <c r="G1036" s="4" t="str">
        <f>IF(Jugadores!B1036="","",Jugadores!A1036)</f>
        <v/>
      </c>
      <c r="H1036" s="4" t="str">
        <f>IF(F1036="","",SUMIF('Estadísticas Jugadores'!$F$2:$F$7001,F1036,'Estadísticas Jugadores'!$L$2:$L$7001))</f>
        <v/>
      </c>
      <c r="I1036" s="4" t="str">
        <f t="shared" si="83"/>
        <v/>
      </c>
      <c r="J1036" s="4" t="str">
        <f t="shared" si="84"/>
        <v/>
      </c>
    </row>
    <row r="1037" spans="1:10" ht="15" customHeight="1" x14ac:dyDescent="0.25">
      <c r="A1037" s="8" t="str">
        <f>IF(COUNT($J$2:$J$1501)&gt;=1036,1036,"")</f>
        <v/>
      </c>
      <c r="B1037" s="8" t="str">
        <f t="shared" si="80"/>
        <v/>
      </c>
      <c r="C1037" s="8" t="str">
        <f t="shared" si="81"/>
        <v/>
      </c>
      <c r="D1037" s="8" t="str">
        <f t="shared" si="82"/>
        <v/>
      </c>
      <c r="F1037" s="4" t="str">
        <f>IF(Jugadores!B1037="","",Jugadores!B1037)</f>
        <v/>
      </c>
      <c r="G1037" s="4" t="str">
        <f>IF(Jugadores!B1037="","",Jugadores!A1037)</f>
        <v/>
      </c>
      <c r="H1037" s="4" t="str">
        <f>IF(F1037="","",SUMIF('Estadísticas Jugadores'!$F$2:$F$7001,F1037,'Estadísticas Jugadores'!$L$2:$L$7001))</f>
        <v/>
      </c>
      <c r="I1037" s="4" t="str">
        <f t="shared" si="83"/>
        <v/>
      </c>
      <c r="J1037" s="4" t="str">
        <f t="shared" si="84"/>
        <v/>
      </c>
    </row>
    <row r="1038" spans="1:10" ht="15" customHeight="1" x14ac:dyDescent="0.25">
      <c r="A1038" s="8" t="str">
        <f>IF(COUNT($J$2:$J$1501)&gt;=1037,1037,"")</f>
        <v/>
      </c>
      <c r="B1038" s="8" t="str">
        <f t="shared" si="80"/>
        <v/>
      </c>
      <c r="C1038" s="8" t="str">
        <f t="shared" si="81"/>
        <v/>
      </c>
      <c r="D1038" s="8" t="str">
        <f t="shared" si="82"/>
        <v/>
      </c>
      <c r="F1038" s="4" t="str">
        <f>IF(Jugadores!B1038="","",Jugadores!B1038)</f>
        <v/>
      </c>
      <c r="G1038" s="4" t="str">
        <f>IF(Jugadores!B1038="","",Jugadores!A1038)</f>
        <v/>
      </c>
      <c r="H1038" s="4" t="str">
        <f>IF(F1038="","",SUMIF('Estadísticas Jugadores'!$F$2:$F$7001,F1038,'Estadísticas Jugadores'!$L$2:$L$7001))</f>
        <v/>
      </c>
      <c r="I1038" s="4" t="str">
        <f t="shared" si="83"/>
        <v/>
      </c>
      <c r="J1038" s="4" t="str">
        <f t="shared" si="84"/>
        <v/>
      </c>
    </row>
    <row r="1039" spans="1:10" ht="15" customHeight="1" x14ac:dyDescent="0.25">
      <c r="A1039" s="8" t="str">
        <f>IF(COUNT($J$2:$J$1501)&gt;=1038,1038,"")</f>
        <v/>
      </c>
      <c r="B1039" s="8" t="str">
        <f t="shared" si="80"/>
        <v/>
      </c>
      <c r="C1039" s="8" t="str">
        <f t="shared" si="81"/>
        <v/>
      </c>
      <c r="D1039" s="8" t="str">
        <f t="shared" si="82"/>
        <v/>
      </c>
      <c r="F1039" s="4" t="str">
        <f>IF(Jugadores!B1039="","",Jugadores!B1039)</f>
        <v/>
      </c>
      <c r="G1039" s="4" t="str">
        <f>IF(Jugadores!B1039="","",Jugadores!A1039)</f>
        <v/>
      </c>
      <c r="H1039" s="4" t="str">
        <f>IF(F1039="","",SUMIF('Estadísticas Jugadores'!$F$2:$F$7001,F1039,'Estadísticas Jugadores'!$L$2:$L$7001))</f>
        <v/>
      </c>
      <c r="I1039" s="4" t="str">
        <f t="shared" si="83"/>
        <v/>
      </c>
      <c r="J1039" s="4" t="str">
        <f t="shared" si="84"/>
        <v/>
      </c>
    </row>
    <row r="1040" spans="1:10" ht="15" customHeight="1" x14ac:dyDescent="0.25">
      <c r="A1040" s="8" t="str">
        <f>IF(COUNT($J$2:$J$1501)&gt;=1039,1039,"")</f>
        <v/>
      </c>
      <c r="B1040" s="8" t="str">
        <f t="shared" si="80"/>
        <v/>
      </c>
      <c r="C1040" s="8" t="str">
        <f t="shared" si="81"/>
        <v/>
      </c>
      <c r="D1040" s="8" t="str">
        <f t="shared" si="82"/>
        <v/>
      </c>
      <c r="F1040" s="4" t="str">
        <f>IF(Jugadores!B1040="","",Jugadores!B1040)</f>
        <v/>
      </c>
      <c r="G1040" s="4" t="str">
        <f>IF(Jugadores!B1040="","",Jugadores!A1040)</f>
        <v/>
      </c>
      <c r="H1040" s="4" t="str">
        <f>IF(F1040="","",SUMIF('Estadísticas Jugadores'!$F$2:$F$7001,F1040,'Estadísticas Jugadores'!$L$2:$L$7001))</f>
        <v/>
      </c>
      <c r="I1040" s="4" t="str">
        <f t="shared" si="83"/>
        <v/>
      </c>
      <c r="J1040" s="4" t="str">
        <f t="shared" si="84"/>
        <v/>
      </c>
    </row>
    <row r="1041" spans="1:10" ht="15" customHeight="1" x14ac:dyDescent="0.25">
      <c r="A1041" s="8" t="str">
        <f>IF(COUNT($J$2:$J$1501)&gt;=1040,1040,"")</f>
        <v/>
      </c>
      <c r="B1041" s="8" t="str">
        <f t="shared" si="80"/>
        <v/>
      </c>
      <c r="C1041" s="8" t="str">
        <f t="shared" si="81"/>
        <v/>
      </c>
      <c r="D1041" s="8" t="str">
        <f t="shared" si="82"/>
        <v/>
      </c>
      <c r="F1041" s="4" t="str">
        <f>IF(Jugadores!B1041="","",Jugadores!B1041)</f>
        <v/>
      </c>
      <c r="G1041" s="4" t="str">
        <f>IF(Jugadores!B1041="","",Jugadores!A1041)</f>
        <v/>
      </c>
      <c r="H1041" s="4" t="str">
        <f>IF(F1041="","",SUMIF('Estadísticas Jugadores'!$F$2:$F$7001,F1041,'Estadísticas Jugadores'!$L$2:$L$7001))</f>
        <v/>
      </c>
      <c r="I1041" s="4" t="str">
        <f t="shared" si="83"/>
        <v/>
      </c>
      <c r="J1041" s="4" t="str">
        <f t="shared" si="84"/>
        <v/>
      </c>
    </row>
    <row r="1042" spans="1:10" ht="15" customHeight="1" x14ac:dyDescent="0.25">
      <c r="A1042" s="8" t="str">
        <f>IF(COUNT($J$2:$J$1501)&gt;=1041,1041,"")</f>
        <v/>
      </c>
      <c r="B1042" s="8" t="str">
        <f t="shared" si="80"/>
        <v/>
      </c>
      <c r="C1042" s="8" t="str">
        <f t="shared" si="81"/>
        <v/>
      </c>
      <c r="D1042" s="8" t="str">
        <f t="shared" si="82"/>
        <v/>
      </c>
      <c r="F1042" s="4" t="str">
        <f>IF(Jugadores!B1042="","",Jugadores!B1042)</f>
        <v/>
      </c>
      <c r="G1042" s="4" t="str">
        <f>IF(Jugadores!B1042="","",Jugadores!A1042)</f>
        <v/>
      </c>
      <c r="H1042" s="4" t="str">
        <f>IF(F1042="","",SUMIF('Estadísticas Jugadores'!$F$2:$F$7001,F1042,'Estadísticas Jugadores'!$L$2:$L$7001))</f>
        <v/>
      </c>
      <c r="I1042" s="4" t="str">
        <f t="shared" si="83"/>
        <v/>
      </c>
      <c r="J1042" s="4" t="str">
        <f t="shared" si="84"/>
        <v/>
      </c>
    </row>
    <row r="1043" spans="1:10" ht="15" customHeight="1" x14ac:dyDescent="0.25">
      <c r="A1043" s="8" t="str">
        <f>IF(COUNT($J$2:$J$1501)&gt;=1042,1042,"")</f>
        <v/>
      </c>
      <c r="B1043" s="8" t="str">
        <f t="shared" si="80"/>
        <v/>
      </c>
      <c r="C1043" s="8" t="str">
        <f t="shared" si="81"/>
        <v/>
      </c>
      <c r="D1043" s="8" t="str">
        <f t="shared" si="82"/>
        <v/>
      </c>
      <c r="F1043" s="4" t="str">
        <f>IF(Jugadores!B1043="","",Jugadores!B1043)</f>
        <v/>
      </c>
      <c r="G1043" s="4" t="str">
        <f>IF(Jugadores!B1043="","",Jugadores!A1043)</f>
        <v/>
      </c>
      <c r="H1043" s="4" t="str">
        <f>IF(F1043="","",SUMIF('Estadísticas Jugadores'!$F$2:$F$7001,F1043,'Estadísticas Jugadores'!$L$2:$L$7001))</f>
        <v/>
      </c>
      <c r="I1043" s="4" t="str">
        <f t="shared" si="83"/>
        <v/>
      </c>
      <c r="J1043" s="4" t="str">
        <f t="shared" si="84"/>
        <v/>
      </c>
    </row>
    <row r="1044" spans="1:10" ht="15" customHeight="1" x14ac:dyDescent="0.25">
      <c r="A1044" s="8" t="str">
        <f>IF(COUNT($J$2:$J$1501)&gt;=1043,1043,"")</f>
        <v/>
      </c>
      <c r="B1044" s="8" t="str">
        <f t="shared" si="80"/>
        <v/>
      </c>
      <c r="C1044" s="8" t="str">
        <f t="shared" si="81"/>
        <v/>
      </c>
      <c r="D1044" s="8" t="str">
        <f t="shared" si="82"/>
        <v/>
      </c>
      <c r="F1044" s="4" t="str">
        <f>IF(Jugadores!B1044="","",Jugadores!B1044)</f>
        <v/>
      </c>
      <c r="G1044" s="4" t="str">
        <f>IF(Jugadores!B1044="","",Jugadores!A1044)</f>
        <v/>
      </c>
      <c r="H1044" s="4" t="str">
        <f>IF(F1044="","",SUMIF('Estadísticas Jugadores'!$F$2:$F$7001,F1044,'Estadísticas Jugadores'!$L$2:$L$7001))</f>
        <v/>
      </c>
      <c r="I1044" s="4" t="str">
        <f t="shared" si="83"/>
        <v/>
      </c>
      <c r="J1044" s="4" t="str">
        <f t="shared" si="84"/>
        <v/>
      </c>
    </row>
    <row r="1045" spans="1:10" ht="15" customHeight="1" x14ac:dyDescent="0.25">
      <c r="A1045" s="8" t="str">
        <f>IF(COUNT($J$2:$J$1501)&gt;=1044,1044,"")</f>
        <v/>
      </c>
      <c r="B1045" s="8" t="str">
        <f t="shared" si="80"/>
        <v/>
      </c>
      <c r="C1045" s="8" t="str">
        <f t="shared" si="81"/>
        <v/>
      </c>
      <c r="D1045" s="8" t="str">
        <f t="shared" si="82"/>
        <v/>
      </c>
      <c r="F1045" s="4" t="str">
        <f>IF(Jugadores!B1045="","",Jugadores!B1045)</f>
        <v/>
      </c>
      <c r="G1045" s="4" t="str">
        <f>IF(Jugadores!B1045="","",Jugadores!A1045)</f>
        <v/>
      </c>
      <c r="H1045" s="4" t="str">
        <f>IF(F1045="","",SUMIF('Estadísticas Jugadores'!$F$2:$F$7001,F1045,'Estadísticas Jugadores'!$L$2:$L$7001))</f>
        <v/>
      </c>
      <c r="I1045" s="4" t="str">
        <f t="shared" si="83"/>
        <v/>
      </c>
      <c r="J1045" s="4" t="str">
        <f t="shared" si="84"/>
        <v/>
      </c>
    </row>
    <row r="1046" spans="1:10" ht="15" customHeight="1" x14ac:dyDescent="0.25">
      <c r="A1046" s="8" t="str">
        <f>IF(COUNT($J$2:$J$1501)&gt;=1045,1045,"")</f>
        <v/>
      </c>
      <c r="B1046" s="8" t="str">
        <f t="shared" si="80"/>
        <v/>
      </c>
      <c r="C1046" s="8" t="str">
        <f t="shared" si="81"/>
        <v/>
      </c>
      <c r="D1046" s="8" t="str">
        <f t="shared" si="82"/>
        <v/>
      </c>
      <c r="F1046" s="4" t="str">
        <f>IF(Jugadores!B1046="","",Jugadores!B1046)</f>
        <v/>
      </c>
      <c r="G1046" s="4" t="str">
        <f>IF(Jugadores!B1046="","",Jugadores!A1046)</f>
        <v/>
      </c>
      <c r="H1046" s="4" t="str">
        <f>IF(F1046="","",SUMIF('Estadísticas Jugadores'!$F$2:$F$7001,F1046,'Estadísticas Jugadores'!$L$2:$L$7001))</f>
        <v/>
      </c>
      <c r="I1046" s="4" t="str">
        <f t="shared" si="83"/>
        <v/>
      </c>
      <c r="J1046" s="4" t="str">
        <f t="shared" si="84"/>
        <v/>
      </c>
    </row>
    <row r="1047" spans="1:10" ht="15" customHeight="1" x14ac:dyDescent="0.25">
      <c r="A1047" s="8" t="str">
        <f>IF(COUNT($J$2:$J$1501)&gt;=1046,1046,"")</f>
        <v/>
      </c>
      <c r="B1047" s="8" t="str">
        <f t="shared" si="80"/>
        <v/>
      </c>
      <c r="C1047" s="8" t="str">
        <f t="shared" si="81"/>
        <v/>
      </c>
      <c r="D1047" s="8" t="str">
        <f t="shared" si="82"/>
        <v/>
      </c>
      <c r="F1047" s="4" t="str">
        <f>IF(Jugadores!B1047="","",Jugadores!B1047)</f>
        <v/>
      </c>
      <c r="G1047" s="4" t="str">
        <f>IF(Jugadores!B1047="","",Jugadores!A1047)</f>
        <v/>
      </c>
      <c r="H1047" s="4" t="str">
        <f>IF(F1047="","",SUMIF('Estadísticas Jugadores'!$F$2:$F$7001,F1047,'Estadísticas Jugadores'!$L$2:$L$7001))</f>
        <v/>
      </c>
      <c r="I1047" s="4" t="str">
        <f t="shared" si="83"/>
        <v/>
      </c>
      <c r="J1047" s="4" t="str">
        <f t="shared" si="84"/>
        <v/>
      </c>
    </row>
    <row r="1048" spans="1:10" ht="15" customHeight="1" x14ac:dyDescent="0.25">
      <c r="A1048" s="8" t="str">
        <f>IF(COUNT($J$2:$J$1501)&gt;=1047,1047,"")</f>
        <v/>
      </c>
      <c r="B1048" s="8" t="str">
        <f t="shared" si="80"/>
        <v/>
      </c>
      <c r="C1048" s="8" t="str">
        <f t="shared" si="81"/>
        <v/>
      </c>
      <c r="D1048" s="8" t="str">
        <f t="shared" si="82"/>
        <v/>
      </c>
      <c r="F1048" s="4" t="str">
        <f>IF(Jugadores!B1048="","",Jugadores!B1048)</f>
        <v/>
      </c>
      <c r="G1048" s="4" t="str">
        <f>IF(Jugadores!B1048="","",Jugadores!A1048)</f>
        <v/>
      </c>
      <c r="H1048" s="4" t="str">
        <f>IF(F1048="","",SUMIF('Estadísticas Jugadores'!$F$2:$F$7001,F1048,'Estadísticas Jugadores'!$L$2:$L$7001))</f>
        <v/>
      </c>
      <c r="I1048" s="4" t="str">
        <f t="shared" si="83"/>
        <v/>
      </c>
      <c r="J1048" s="4" t="str">
        <f t="shared" si="84"/>
        <v/>
      </c>
    </row>
    <row r="1049" spans="1:10" ht="15" customHeight="1" x14ac:dyDescent="0.25">
      <c r="A1049" s="8" t="str">
        <f>IF(COUNT($J$2:$J$1501)&gt;=1048,1048,"")</f>
        <v/>
      </c>
      <c r="B1049" s="8" t="str">
        <f t="shared" si="80"/>
        <v/>
      </c>
      <c r="C1049" s="8" t="str">
        <f t="shared" si="81"/>
        <v/>
      </c>
      <c r="D1049" s="8" t="str">
        <f t="shared" si="82"/>
        <v/>
      </c>
      <c r="F1049" s="4" t="str">
        <f>IF(Jugadores!B1049="","",Jugadores!B1049)</f>
        <v/>
      </c>
      <c r="G1049" s="4" t="str">
        <f>IF(Jugadores!B1049="","",Jugadores!A1049)</f>
        <v/>
      </c>
      <c r="H1049" s="4" t="str">
        <f>IF(F1049="","",SUMIF('Estadísticas Jugadores'!$F$2:$F$7001,F1049,'Estadísticas Jugadores'!$L$2:$L$7001))</f>
        <v/>
      </c>
      <c r="I1049" s="4" t="str">
        <f t="shared" si="83"/>
        <v/>
      </c>
      <c r="J1049" s="4" t="str">
        <f t="shared" si="84"/>
        <v/>
      </c>
    </row>
    <row r="1050" spans="1:10" ht="15" customHeight="1" x14ac:dyDescent="0.25">
      <c r="A1050" s="8" t="str">
        <f>IF(COUNT($J$2:$J$1501)&gt;=1049,1049,"")</f>
        <v/>
      </c>
      <c r="B1050" s="8" t="str">
        <f t="shared" si="80"/>
        <v/>
      </c>
      <c r="C1050" s="8" t="str">
        <f t="shared" si="81"/>
        <v/>
      </c>
      <c r="D1050" s="8" t="str">
        <f t="shared" si="82"/>
        <v/>
      </c>
      <c r="F1050" s="4" t="str">
        <f>IF(Jugadores!B1050="","",Jugadores!B1050)</f>
        <v/>
      </c>
      <c r="G1050" s="4" t="str">
        <f>IF(Jugadores!B1050="","",Jugadores!A1050)</f>
        <v/>
      </c>
      <c r="H1050" s="4" t="str">
        <f>IF(F1050="","",SUMIF('Estadísticas Jugadores'!$F$2:$F$7001,F1050,'Estadísticas Jugadores'!$L$2:$L$7001))</f>
        <v/>
      </c>
      <c r="I1050" s="4" t="str">
        <f t="shared" si="83"/>
        <v/>
      </c>
      <c r="J1050" s="4" t="str">
        <f t="shared" si="84"/>
        <v/>
      </c>
    </row>
    <row r="1051" spans="1:10" ht="15" customHeight="1" x14ac:dyDescent="0.25">
      <c r="A1051" s="8" t="str">
        <f>IF(COUNT($J$2:$J$1501)&gt;=1050,1050,"")</f>
        <v/>
      </c>
      <c r="B1051" s="8" t="str">
        <f t="shared" si="80"/>
        <v/>
      </c>
      <c r="C1051" s="8" t="str">
        <f t="shared" si="81"/>
        <v/>
      </c>
      <c r="D1051" s="8" t="str">
        <f t="shared" si="82"/>
        <v/>
      </c>
      <c r="F1051" s="4" t="str">
        <f>IF(Jugadores!B1051="","",Jugadores!B1051)</f>
        <v/>
      </c>
      <c r="G1051" s="4" t="str">
        <f>IF(Jugadores!B1051="","",Jugadores!A1051)</f>
        <v/>
      </c>
      <c r="H1051" s="4" t="str">
        <f>IF(F1051="","",SUMIF('Estadísticas Jugadores'!$F$2:$F$7001,F1051,'Estadísticas Jugadores'!$L$2:$L$7001))</f>
        <v/>
      </c>
      <c r="I1051" s="4" t="str">
        <f t="shared" si="83"/>
        <v/>
      </c>
      <c r="J1051" s="4" t="str">
        <f t="shared" si="84"/>
        <v/>
      </c>
    </row>
    <row r="1052" spans="1:10" ht="15" customHeight="1" x14ac:dyDescent="0.25">
      <c r="A1052" s="8" t="str">
        <f>IF(COUNT($J$2:$J$1501)&gt;=1051,1051,"")</f>
        <v/>
      </c>
      <c r="B1052" s="8" t="str">
        <f t="shared" si="80"/>
        <v/>
      </c>
      <c r="C1052" s="8" t="str">
        <f t="shared" si="81"/>
        <v/>
      </c>
      <c r="D1052" s="8" t="str">
        <f t="shared" si="82"/>
        <v/>
      </c>
      <c r="F1052" s="4" t="str">
        <f>IF(Jugadores!B1052="","",Jugadores!B1052)</f>
        <v/>
      </c>
      <c r="G1052" s="4" t="str">
        <f>IF(Jugadores!B1052="","",Jugadores!A1052)</f>
        <v/>
      </c>
      <c r="H1052" s="4" t="str">
        <f>IF(F1052="","",SUMIF('Estadísticas Jugadores'!$F$2:$F$7001,F1052,'Estadísticas Jugadores'!$L$2:$L$7001))</f>
        <v/>
      </c>
      <c r="I1052" s="4" t="str">
        <f t="shared" si="83"/>
        <v/>
      </c>
      <c r="J1052" s="4" t="str">
        <f t="shared" si="84"/>
        <v/>
      </c>
    </row>
    <row r="1053" spans="1:10" ht="15" customHeight="1" x14ac:dyDescent="0.25">
      <c r="A1053" s="8" t="str">
        <f>IF(COUNT($J$2:$J$1501)&gt;=1052,1052,"")</f>
        <v/>
      </c>
      <c r="B1053" s="8" t="str">
        <f t="shared" si="80"/>
        <v/>
      </c>
      <c r="C1053" s="8" t="str">
        <f t="shared" si="81"/>
        <v/>
      </c>
      <c r="D1053" s="8" t="str">
        <f t="shared" si="82"/>
        <v/>
      </c>
      <c r="F1053" s="4" t="str">
        <f>IF(Jugadores!B1053="","",Jugadores!B1053)</f>
        <v/>
      </c>
      <c r="G1053" s="4" t="str">
        <f>IF(Jugadores!B1053="","",Jugadores!A1053)</f>
        <v/>
      </c>
      <c r="H1053" s="4" t="str">
        <f>IF(F1053="","",SUMIF('Estadísticas Jugadores'!$F$2:$F$7001,F1053,'Estadísticas Jugadores'!$L$2:$L$7001))</f>
        <v/>
      </c>
      <c r="I1053" s="4" t="str">
        <f t="shared" si="83"/>
        <v/>
      </c>
      <c r="J1053" s="4" t="str">
        <f t="shared" si="84"/>
        <v/>
      </c>
    </row>
    <row r="1054" spans="1:10" ht="15" customHeight="1" x14ac:dyDescent="0.25">
      <c r="A1054" s="8" t="str">
        <f>IF(COUNT($J$2:$J$1501)&gt;=1053,1053,"")</f>
        <v/>
      </c>
      <c r="B1054" s="8" t="str">
        <f t="shared" si="80"/>
        <v/>
      </c>
      <c r="C1054" s="8" t="str">
        <f t="shared" si="81"/>
        <v/>
      </c>
      <c r="D1054" s="8" t="str">
        <f t="shared" si="82"/>
        <v/>
      </c>
      <c r="F1054" s="4" t="str">
        <f>IF(Jugadores!B1054="","",Jugadores!B1054)</f>
        <v/>
      </c>
      <c r="G1054" s="4" t="str">
        <f>IF(Jugadores!B1054="","",Jugadores!A1054)</f>
        <v/>
      </c>
      <c r="H1054" s="4" t="str">
        <f>IF(F1054="","",SUMIF('Estadísticas Jugadores'!$F$2:$F$7001,F1054,'Estadísticas Jugadores'!$L$2:$L$7001))</f>
        <v/>
      </c>
      <c r="I1054" s="4" t="str">
        <f t="shared" si="83"/>
        <v/>
      </c>
      <c r="J1054" s="4" t="str">
        <f t="shared" si="84"/>
        <v/>
      </c>
    </row>
    <row r="1055" spans="1:10" ht="15" customHeight="1" x14ac:dyDescent="0.25">
      <c r="A1055" s="8" t="str">
        <f>IF(COUNT($J$2:$J$1501)&gt;=1054,1054,"")</f>
        <v/>
      </c>
      <c r="B1055" s="8" t="str">
        <f t="shared" si="80"/>
        <v/>
      </c>
      <c r="C1055" s="8" t="str">
        <f t="shared" si="81"/>
        <v/>
      </c>
      <c r="D1055" s="8" t="str">
        <f t="shared" si="82"/>
        <v/>
      </c>
      <c r="F1055" s="4" t="str">
        <f>IF(Jugadores!B1055="","",Jugadores!B1055)</f>
        <v/>
      </c>
      <c r="G1055" s="4" t="str">
        <f>IF(Jugadores!B1055="","",Jugadores!A1055)</f>
        <v/>
      </c>
      <c r="H1055" s="4" t="str">
        <f>IF(F1055="","",SUMIF('Estadísticas Jugadores'!$F$2:$F$7001,F1055,'Estadísticas Jugadores'!$L$2:$L$7001))</f>
        <v/>
      </c>
      <c r="I1055" s="4" t="str">
        <f t="shared" si="83"/>
        <v/>
      </c>
      <c r="J1055" s="4" t="str">
        <f t="shared" si="84"/>
        <v/>
      </c>
    </row>
    <row r="1056" spans="1:10" ht="15" customHeight="1" x14ac:dyDescent="0.25">
      <c r="A1056" s="8" t="str">
        <f>IF(COUNT($J$2:$J$1501)&gt;=1055,1055,"")</f>
        <v/>
      </c>
      <c r="B1056" s="8" t="str">
        <f t="shared" si="80"/>
        <v/>
      </c>
      <c r="C1056" s="8" t="str">
        <f t="shared" si="81"/>
        <v/>
      </c>
      <c r="D1056" s="8" t="str">
        <f t="shared" si="82"/>
        <v/>
      </c>
      <c r="F1056" s="4" t="str">
        <f>IF(Jugadores!B1056="","",Jugadores!B1056)</f>
        <v/>
      </c>
      <c r="G1056" s="4" t="str">
        <f>IF(Jugadores!B1056="","",Jugadores!A1056)</f>
        <v/>
      </c>
      <c r="H1056" s="4" t="str">
        <f>IF(F1056="","",SUMIF('Estadísticas Jugadores'!$F$2:$F$7001,F1056,'Estadísticas Jugadores'!$L$2:$L$7001))</f>
        <v/>
      </c>
      <c r="I1056" s="4" t="str">
        <f t="shared" si="83"/>
        <v/>
      </c>
      <c r="J1056" s="4" t="str">
        <f t="shared" si="84"/>
        <v/>
      </c>
    </row>
    <row r="1057" spans="1:10" ht="15" customHeight="1" x14ac:dyDescent="0.25">
      <c r="A1057" s="8" t="str">
        <f>IF(COUNT($J$2:$J$1501)&gt;=1056,1056,"")</f>
        <v/>
      </c>
      <c r="B1057" s="8" t="str">
        <f t="shared" si="80"/>
        <v/>
      </c>
      <c r="C1057" s="8" t="str">
        <f t="shared" si="81"/>
        <v/>
      </c>
      <c r="D1057" s="8" t="str">
        <f t="shared" si="82"/>
        <v/>
      </c>
      <c r="F1057" s="4" t="str">
        <f>IF(Jugadores!B1057="","",Jugadores!B1057)</f>
        <v/>
      </c>
      <c r="G1057" s="4" t="str">
        <f>IF(Jugadores!B1057="","",Jugadores!A1057)</f>
        <v/>
      </c>
      <c r="H1057" s="4" t="str">
        <f>IF(F1057="","",SUMIF('Estadísticas Jugadores'!$F$2:$F$7001,F1057,'Estadísticas Jugadores'!$L$2:$L$7001))</f>
        <v/>
      </c>
      <c r="I1057" s="4" t="str">
        <f t="shared" si="83"/>
        <v/>
      </c>
      <c r="J1057" s="4" t="str">
        <f t="shared" si="84"/>
        <v/>
      </c>
    </row>
    <row r="1058" spans="1:10" ht="15" customHeight="1" x14ac:dyDescent="0.25">
      <c r="A1058" s="8" t="str">
        <f>IF(COUNT($J$2:$J$1501)&gt;=1057,1057,"")</f>
        <v/>
      </c>
      <c r="B1058" s="8" t="str">
        <f t="shared" si="80"/>
        <v/>
      </c>
      <c r="C1058" s="8" t="str">
        <f t="shared" si="81"/>
        <v/>
      </c>
      <c r="D1058" s="8" t="str">
        <f t="shared" si="82"/>
        <v/>
      </c>
      <c r="F1058" s="4" t="str">
        <f>IF(Jugadores!B1058="","",Jugadores!B1058)</f>
        <v/>
      </c>
      <c r="G1058" s="4" t="str">
        <f>IF(Jugadores!B1058="","",Jugadores!A1058)</f>
        <v/>
      </c>
      <c r="H1058" s="4" t="str">
        <f>IF(F1058="","",SUMIF('Estadísticas Jugadores'!$F$2:$F$7001,F1058,'Estadísticas Jugadores'!$L$2:$L$7001))</f>
        <v/>
      </c>
      <c r="I1058" s="4" t="str">
        <f t="shared" si="83"/>
        <v/>
      </c>
      <c r="J1058" s="4" t="str">
        <f t="shared" si="84"/>
        <v/>
      </c>
    </row>
    <row r="1059" spans="1:10" ht="15" customHeight="1" x14ac:dyDescent="0.25">
      <c r="A1059" s="8" t="str">
        <f>IF(COUNT($J$2:$J$1501)&gt;=1058,1058,"")</f>
        <v/>
      </c>
      <c r="B1059" s="8" t="str">
        <f t="shared" si="80"/>
        <v/>
      </c>
      <c r="C1059" s="8" t="str">
        <f t="shared" si="81"/>
        <v/>
      </c>
      <c r="D1059" s="8" t="str">
        <f t="shared" si="82"/>
        <v/>
      </c>
      <c r="F1059" s="4" t="str">
        <f>IF(Jugadores!B1059="","",Jugadores!B1059)</f>
        <v/>
      </c>
      <c r="G1059" s="4" t="str">
        <f>IF(Jugadores!B1059="","",Jugadores!A1059)</f>
        <v/>
      </c>
      <c r="H1059" s="4" t="str">
        <f>IF(F1059="","",SUMIF('Estadísticas Jugadores'!$F$2:$F$7001,F1059,'Estadísticas Jugadores'!$L$2:$L$7001))</f>
        <v/>
      </c>
      <c r="I1059" s="4" t="str">
        <f t="shared" si="83"/>
        <v/>
      </c>
      <c r="J1059" s="4" t="str">
        <f t="shared" si="84"/>
        <v/>
      </c>
    </row>
    <row r="1060" spans="1:10" ht="15" customHeight="1" x14ac:dyDescent="0.25">
      <c r="A1060" s="8" t="str">
        <f>IF(COUNT($J$2:$J$1501)&gt;=1059,1059,"")</f>
        <v/>
      </c>
      <c r="B1060" s="8" t="str">
        <f t="shared" si="80"/>
        <v/>
      </c>
      <c r="C1060" s="8" t="str">
        <f t="shared" si="81"/>
        <v/>
      </c>
      <c r="D1060" s="8" t="str">
        <f t="shared" si="82"/>
        <v/>
      </c>
      <c r="F1060" s="4" t="str">
        <f>IF(Jugadores!B1060="","",Jugadores!B1060)</f>
        <v/>
      </c>
      <c r="G1060" s="4" t="str">
        <f>IF(Jugadores!B1060="","",Jugadores!A1060)</f>
        <v/>
      </c>
      <c r="H1060" s="4" t="str">
        <f>IF(F1060="","",SUMIF('Estadísticas Jugadores'!$F$2:$F$7001,F1060,'Estadísticas Jugadores'!$L$2:$L$7001))</f>
        <v/>
      </c>
      <c r="I1060" s="4" t="str">
        <f t="shared" si="83"/>
        <v/>
      </c>
      <c r="J1060" s="4" t="str">
        <f t="shared" si="84"/>
        <v/>
      </c>
    </row>
    <row r="1061" spans="1:10" ht="15" customHeight="1" x14ac:dyDescent="0.25">
      <c r="A1061" s="8" t="str">
        <f>IF(COUNT($J$2:$J$1501)&gt;=1060,1060,"")</f>
        <v/>
      </c>
      <c r="B1061" s="8" t="str">
        <f t="shared" si="80"/>
        <v/>
      </c>
      <c r="C1061" s="8" t="str">
        <f t="shared" si="81"/>
        <v/>
      </c>
      <c r="D1061" s="8" t="str">
        <f t="shared" si="82"/>
        <v/>
      </c>
      <c r="F1061" s="4" t="str">
        <f>IF(Jugadores!B1061="","",Jugadores!B1061)</f>
        <v/>
      </c>
      <c r="G1061" s="4" t="str">
        <f>IF(Jugadores!B1061="","",Jugadores!A1061)</f>
        <v/>
      </c>
      <c r="H1061" s="4" t="str">
        <f>IF(F1061="","",SUMIF('Estadísticas Jugadores'!$F$2:$F$7001,F1061,'Estadísticas Jugadores'!$L$2:$L$7001))</f>
        <v/>
      </c>
      <c r="I1061" s="4" t="str">
        <f t="shared" si="83"/>
        <v/>
      </c>
      <c r="J1061" s="4" t="str">
        <f t="shared" si="84"/>
        <v/>
      </c>
    </row>
    <row r="1062" spans="1:10" ht="15" customHeight="1" x14ac:dyDescent="0.25">
      <c r="A1062" s="8" t="str">
        <f>IF(COUNT($J$2:$J$1501)&gt;=1061,1061,"")</f>
        <v/>
      </c>
      <c r="B1062" s="8" t="str">
        <f t="shared" si="80"/>
        <v/>
      </c>
      <c r="C1062" s="8" t="str">
        <f t="shared" si="81"/>
        <v/>
      </c>
      <c r="D1062" s="8" t="str">
        <f t="shared" si="82"/>
        <v/>
      </c>
      <c r="F1062" s="4" t="str">
        <f>IF(Jugadores!B1062="","",Jugadores!B1062)</f>
        <v/>
      </c>
      <c r="G1062" s="4" t="str">
        <f>IF(Jugadores!B1062="","",Jugadores!A1062)</f>
        <v/>
      </c>
      <c r="H1062" s="4" t="str">
        <f>IF(F1062="","",SUMIF('Estadísticas Jugadores'!$F$2:$F$7001,F1062,'Estadísticas Jugadores'!$L$2:$L$7001))</f>
        <v/>
      </c>
      <c r="I1062" s="4" t="str">
        <f t="shared" si="83"/>
        <v/>
      </c>
      <c r="J1062" s="4" t="str">
        <f t="shared" si="84"/>
        <v/>
      </c>
    </row>
    <row r="1063" spans="1:10" ht="15" customHeight="1" x14ac:dyDescent="0.25">
      <c r="A1063" s="8" t="str">
        <f>IF(COUNT($J$2:$J$1501)&gt;=1062,1062,"")</f>
        <v/>
      </c>
      <c r="B1063" s="8" t="str">
        <f t="shared" si="80"/>
        <v/>
      </c>
      <c r="C1063" s="8" t="str">
        <f t="shared" si="81"/>
        <v/>
      </c>
      <c r="D1063" s="8" t="str">
        <f t="shared" si="82"/>
        <v/>
      </c>
      <c r="F1063" s="4" t="str">
        <f>IF(Jugadores!B1063="","",Jugadores!B1063)</f>
        <v/>
      </c>
      <c r="G1063" s="4" t="str">
        <f>IF(Jugadores!B1063="","",Jugadores!A1063)</f>
        <v/>
      </c>
      <c r="H1063" s="4" t="str">
        <f>IF(F1063="","",SUMIF('Estadísticas Jugadores'!$F$2:$F$7001,F1063,'Estadísticas Jugadores'!$L$2:$L$7001))</f>
        <v/>
      </c>
      <c r="I1063" s="4" t="str">
        <f t="shared" si="83"/>
        <v/>
      </c>
      <c r="J1063" s="4" t="str">
        <f t="shared" si="84"/>
        <v/>
      </c>
    </row>
    <row r="1064" spans="1:10" ht="15" customHeight="1" x14ac:dyDescent="0.25">
      <c r="A1064" s="8" t="str">
        <f>IF(COUNT($J$2:$J$1501)&gt;=1063,1063,"")</f>
        <v/>
      </c>
      <c r="B1064" s="8" t="str">
        <f t="shared" si="80"/>
        <v/>
      </c>
      <c r="C1064" s="8" t="str">
        <f t="shared" si="81"/>
        <v/>
      </c>
      <c r="D1064" s="8" t="str">
        <f t="shared" si="82"/>
        <v/>
      </c>
      <c r="F1064" s="4" t="str">
        <f>IF(Jugadores!B1064="","",Jugadores!B1064)</f>
        <v/>
      </c>
      <c r="G1064" s="4" t="str">
        <f>IF(Jugadores!B1064="","",Jugadores!A1064)</f>
        <v/>
      </c>
      <c r="H1064" s="4" t="str">
        <f>IF(F1064="","",SUMIF('Estadísticas Jugadores'!$F$2:$F$7001,F1064,'Estadísticas Jugadores'!$L$2:$L$7001))</f>
        <v/>
      </c>
      <c r="I1064" s="4" t="str">
        <f t="shared" si="83"/>
        <v/>
      </c>
      <c r="J1064" s="4" t="str">
        <f t="shared" si="84"/>
        <v/>
      </c>
    </row>
    <row r="1065" spans="1:10" ht="15" customHeight="1" x14ac:dyDescent="0.25">
      <c r="A1065" s="8" t="str">
        <f>IF(COUNT($J$2:$J$1501)&gt;=1064,1064,"")</f>
        <v/>
      </c>
      <c r="B1065" s="8" t="str">
        <f t="shared" si="80"/>
        <v/>
      </c>
      <c r="C1065" s="8" t="str">
        <f t="shared" si="81"/>
        <v/>
      </c>
      <c r="D1065" s="8" t="str">
        <f t="shared" si="82"/>
        <v/>
      </c>
      <c r="F1065" s="4" t="str">
        <f>IF(Jugadores!B1065="","",Jugadores!B1065)</f>
        <v/>
      </c>
      <c r="G1065" s="4" t="str">
        <f>IF(Jugadores!B1065="","",Jugadores!A1065)</f>
        <v/>
      </c>
      <c r="H1065" s="4" t="str">
        <f>IF(F1065="","",SUMIF('Estadísticas Jugadores'!$F$2:$F$7001,F1065,'Estadísticas Jugadores'!$L$2:$L$7001))</f>
        <v/>
      </c>
      <c r="I1065" s="4" t="str">
        <f t="shared" si="83"/>
        <v/>
      </c>
      <c r="J1065" s="4" t="str">
        <f t="shared" si="84"/>
        <v/>
      </c>
    </row>
    <row r="1066" spans="1:10" ht="15" customHeight="1" x14ac:dyDescent="0.25">
      <c r="A1066" s="8" t="str">
        <f>IF(COUNT($J$2:$J$1501)&gt;=1065,1065,"")</f>
        <v/>
      </c>
      <c r="B1066" s="8" t="str">
        <f t="shared" si="80"/>
        <v/>
      </c>
      <c r="C1066" s="8" t="str">
        <f t="shared" si="81"/>
        <v/>
      </c>
      <c r="D1066" s="8" t="str">
        <f t="shared" si="82"/>
        <v/>
      </c>
      <c r="F1066" s="4" t="str">
        <f>IF(Jugadores!B1066="","",Jugadores!B1066)</f>
        <v/>
      </c>
      <c r="G1066" s="4" t="str">
        <f>IF(Jugadores!B1066="","",Jugadores!A1066)</f>
        <v/>
      </c>
      <c r="H1066" s="4" t="str">
        <f>IF(F1066="","",SUMIF('Estadísticas Jugadores'!$F$2:$F$7001,F1066,'Estadísticas Jugadores'!$L$2:$L$7001))</f>
        <v/>
      </c>
      <c r="I1066" s="4" t="str">
        <f t="shared" si="83"/>
        <v/>
      </c>
      <c r="J1066" s="4" t="str">
        <f t="shared" si="84"/>
        <v/>
      </c>
    </row>
    <row r="1067" spans="1:10" ht="15" customHeight="1" x14ac:dyDescent="0.25">
      <c r="A1067" s="8" t="str">
        <f>IF(COUNT($J$2:$J$1501)&gt;=1066,1066,"")</f>
        <v/>
      </c>
      <c r="B1067" s="8" t="str">
        <f t="shared" si="80"/>
        <v/>
      </c>
      <c r="C1067" s="8" t="str">
        <f t="shared" si="81"/>
        <v/>
      </c>
      <c r="D1067" s="8" t="str">
        <f t="shared" si="82"/>
        <v/>
      </c>
      <c r="F1067" s="4" t="str">
        <f>IF(Jugadores!B1067="","",Jugadores!B1067)</f>
        <v/>
      </c>
      <c r="G1067" s="4" t="str">
        <f>IF(Jugadores!B1067="","",Jugadores!A1067)</f>
        <v/>
      </c>
      <c r="H1067" s="4" t="str">
        <f>IF(F1067="","",SUMIF('Estadísticas Jugadores'!$F$2:$F$7001,F1067,'Estadísticas Jugadores'!$L$2:$L$7001))</f>
        <v/>
      </c>
      <c r="I1067" s="4" t="str">
        <f t="shared" si="83"/>
        <v/>
      </c>
      <c r="J1067" s="4" t="str">
        <f t="shared" si="84"/>
        <v/>
      </c>
    </row>
    <row r="1068" spans="1:10" ht="15" customHeight="1" x14ac:dyDescent="0.25">
      <c r="A1068" s="8" t="str">
        <f>IF(COUNT($J$2:$J$1501)&gt;=1067,1067,"")</f>
        <v/>
      </c>
      <c r="B1068" s="8" t="str">
        <f t="shared" si="80"/>
        <v/>
      </c>
      <c r="C1068" s="8" t="str">
        <f t="shared" si="81"/>
        <v/>
      </c>
      <c r="D1068" s="8" t="str">
        <f t="shared" si="82"/>
        <v/>
      </c>
      <c r="F1068" s="4" t="str">
        <f>IF(Jugadores!B1068="","",Jugadores!B1068)</f>
        <v/>
      </c>
      <c r="G1068" s="4" t="str">
        <f>IF(Jugadores!B1068="","",Jugadores!A1068)</f>
        <v/>
      </c>
      <c r="H1068" s="4" t="str">
        <f>IF(F1068="","",SUMIF('Estadísticas Jugadores'!$F$2:$F$7001,F1068,'Estadísticas Jugadores'!$L$2:$L$7001))</f>
        <v/>
      </c>
      <c r="I1068" s="4" t="str">
        <f t="shared" si="83"/>
        <v/>
      </c>
      <c r="J1068" s="4" t="str">
        <f t="shared" si="84"/>
        <v/>
      </c>
    </row>
    <row r="1069" spans="1:10" ht="15" customHeight="1" x14ac:dyDescent="0.25">
      <c r="A1069" s="8" t="str">
        <f>IF(COUNT($J$2:$J$1501)&gt;=1068,1068,"")</f>
        <v/>
      </c>
      <c r="B1069" s="8" t="str">
        <f t="shared" si="80"/>
        <v/>
      </c>
      <c r="C1069" s="8" t="str">
        <f t="shared" si="81"/>
        <v/>
      </c>
      <c r="D1069" s="8" t="str">
        <f t="shared" si="82"/>
        <v/>
      </c>
      <c r="F1069" s="4" t="str">
        <f>IF(Jugadores!B1069="","",Jugadores!B1069)</f>
        <v/>
      </c>
      <c r="G1069" s="4" t="str">
        <f>IF(Jugadores!B1069="","",Jugadores!A1069)</f>
        <v/>
      </c>
      <c r="H1069" s="4" t="str">
        <f>IF(F1069="","",SUMIF('Estadísticas Jugadores'!$F$2:$F$7001,F1069,'Estadísticas Jugadores'!$L$2:$L$7001))</f>
        <v/>
      </c>
      <c r="I1069" s="4" t="str">
        <f t="shared" si="83"/>
        <v/>
      </c>
      <c r="J1069" s="4" t="str">
        <f t="shared" si="84"/>
        <v/>
      </c>
    </row>
    <row r="1070" spans="1:10" ht="15" customHeight="1" x14ac:dyDescent="0.25">
      <c r="A1070" s="8" t="str">
        <f>IF(COUNT($J$2:$J$1501)&gt;=1069,1069,"")</f>
        <v/>
      </c>
      <c r="B1070" s="8" t="str">
        <f t="shared" si="80"/>
        <v/>
      </c>
      <c r="C1070" s="8" t="str">
        <f t="shared" si="81"/>
        <v/>
      </c>
      <c r="D1070" s="8" t="str">
        <f t="shared" si="82"/>
        <v/>
      </c>
      <c r="F1070" s="4" t="str">
        <f>IF(Jugadores!B1070="","",Jugadores!B1070)</f>
        <v/>
      </c>
      <c r="G1070" s="4" t="str">
        <f>IF(Jugadores!B1070="","",Jugadores!A1070)</f>
        <v/>
      </c>
      <c r="H1070" s="4" t="str">
        <f>IF(F1070="","",SUMIF('Estadísticas Jugadores'!$F$2:$F$7001,F1070,'Estadísticas Jugadores'!$L$2:$L$7001))</f>
        <v/>
      </c>
      <c r="I1070" s="4" t="str">
        <f t="shared" si="83"/>
        <v/>
      </c>
      <c r="J1070" s="4" t="str">
        <f t="shared" si="84"/>
        <v/>
      </c>
    </row>
    <row r="1071" spans="1:10" ht="15" customHeight="1" x14ac:dyDescent="0.25">
      <c r="A1071" s="8" t="str">
        <f>IF(COUNT($J$2:$J$1501)&gt;=1070,1070,"")</f>
        <v/>
      </c>
      <c r="B1071" s="8" t="str">
        <f t="shared" si="80"/>
        <v/>
      </c>
      <c r="C1071" s="8" t="str">
        <f t="shared" si="81"/>
        <v/>
      </c>
      <c r="D1071" s="8" t="str">
        <f t="shared" si="82"/>
        <v/>
      </c>
      <c r="F1071" s="4" t="str">
        <f>IF(Jugadores!B1071="","",Jugadores!B1071)</f>
        <v/>
      </c>
      <c r="G1071" s="4" t="str">
        <f>IF(Jugadores!B1071="","",Jugadores!A1071)</f>
        <v/>
      </c>
      <c r="H1071" s="4" t="str">
        <f>IF(F1071="","",SUMIF('Estadísticas Jugadores'!$F$2:$F$7001,F1071,'Estadísticas Jugadores'!$L$2:$L$7001))</f>
        <v/>
      </c>
      <c r="I1071" s="4" t="str">
        <f t="shared" si="83"/>
        <v/>
      </c>
      <c r="J1071" s="4" t="str">
        <f t="shared" si="84"/>
        <v/>
      </c>
    </row>
    <row r="1072" spans="1:10" ht="15" customHeight="1" x14ac:dyDescent="0.25">
      <c r="A1072" s="8" t="str">
        <f>IF(COUNT($J$2:$J$1501)&gt;=1071,1071,"")</f>
        <v/>
      </c>
      <c r="B1072" s="8" t="str">
        <f t="shared" si="80"/>
        <v/>
      </c>
      <c r="C1072" s="8" t="str">
        <f t="shared" si="81"/>
        <v/>
      </c>
      <c r="D1072" s="8" t="str">
        <f t="shared" si="82"/>
        <v/>
      </c>
      <c r="F1072" s="4" t="str">
        <f>IF(Jugadores!B1072="","",Jugadores!B1072)</f>
        <v/>
      </c>
      <c r="G1072" s="4" t="str">
        <f>IF(Jugadores!B1072="","",Jugadores!A1072)</f>
        <v/>
      </c>
      <c r="H1072" s="4" t="str">
        <f>IF(F1072="","",SUMIF('Estadísticas Jugadores'!$F$2:$F$7001,F1072,'Estadísticas Jugadores'!$L$2:$L$7001))</f>
        <v/>
      </c>
      <c r="I1072" s="4" t="str">
        <f t="shared" si="83"/>
        <v/>
      </c>
      <c r="J1072" s="4" t="str">
        <f t="shared" si="84"/>
        <v/>
      </c>
    </row>
    <row r="1073" spans="1:10" ht="15" customHeight="1" x14ac:dyDescent="0.25">
      <c r="A1073" s="8" t="str">
        <f>IF(COUNT($J$2:$J$1501)&gt;=1072,1072,"")</f>
        <v/>
      </c>
      <c r="B1073" s="8" t="str">
        <f t="shared" si="80"/>
        <v/>
      </c>
      <c r="C1073" s="8" t="str">
        <f t="shared" si="81"/>
        <v/>
      </c>
      <c r="D1073" s="8" t="str">
        <f t="shared" si="82"/>
        <v/>
      </c>
      <c r="F1073" s="4" t="str">
        <f>IF(Jugadores!B1073="","",Jugadores!B1073)</f>
        <v/>
      </c>
      <c r="G1073" s="4" t="str">
        <f>IF(Jugadores!B1073="","",Jugadores!A1073)</f>
        <v/>
      </c>
      <c r="H1073" s="4" t="str">
        <f>IF(F1073="","",SUMIF('Estadísticas Jugadores'!$F$2:$F$7001,F1073,'Estadísticas Jugadores'!$L$2:$L$7001))</f>
        <v/>
      </c>
      <c r="I1073" s="4" t="str">
        <f t="shared" si="83"/>
        <v/>
      </c>
      <c r="J1073" s="4" t="str">
        <f t="shared" si="84"/>
        <v/>
      </c>
    </row>
    <row r="1074" spans="1:10" ht="15" customHeight="1" x14ac:dyDescent="0.25">
      <c r="A1074" s="8" t="str">
        <f>IF(COUNT($J$2:$J$1501)&gt;=1073,1073,"")</f>
        <v/>
      </c>
      <c r="B1074" s="8" t="str">
        <f t="shared" si="80"/>
        <v/>
      </c>
      <c r="C1074" s="8" t="str">
        <f t="shared" si="81"/>
        <v/>
      </c>
      <c r="D1074" s="8" t="str">
        <f t="shared" si="82"/>
        <v/>
      </c>
      <c r="F1074" s="4" t="str">
        <f>IF(Jugadores!B1074="","",Jugadores!B1074)</f>
        <v/>
      </c>
      <c r="G1074" s="4" t="str">
        <f>IF(Jugadores!B1074="","",Jugadores!A1074)</f>
        <v/>
      </c>
      <c r="H1074" s="4" t="str">
        <f>IF(F1074="","",SUMIF('Estadísticas Jugadores'!$F$2:$F$7001,F1074,'Estadísticas Jugadores'!$L$2:$L$7001))</f>
        <v/>
      </c>
      <c r="I1074" s="4" t="str">
        <f t="shared" si="83"/>
        <v/>
      </c>
      <c r="J1074" s="4" t="str">
        <f t="shared" si="84"/>
        <v/>
      </c>
    </row>
    <row r="1075" spans="1:10" ht="15" customHeight="1" x14ac:dyDescent="0.25">
      <c r="A1075" s="8" t="str">
        <f>IF(COUNT($J$2:$J$1501)&gt;=1074,1074,"")</f>
        <v/>
      </c>
      <c r="B1075" s="8" t="str">
        <f t="shared" si="80"/>
        <v/>
      </c>
      <c r="C1075" s="8" t="str">
        <f t="shared" si="81"/>
        <v/>
      </c>
      <c r="D1075" s="8" t="str">
        <f t="shared" si="82"/>
        <v/>
      </c>
      <c r="F1075" s="4" t="str">
        <f>IF(Jugadores!B1075="","",Jugadores!B1075)</f>
        <v/>
      </c>
      <c r="G1075" s="4" t="str">
        <f>IF(Jugadores!B1075="","",Jugadores!A1075)</f>
        <v/>
      </c>
      <c r="H1075" s="4" t="str">
        <f>IF(F1075="","",SUMIF('Estadísticas Jugadores'!$F$2:$F$7001,F1075,'Estadísticas Jugadores'!$L$2:$L$7001))</f>
        <v/>
      </c>
      <c r="I1075" s="4" t="str">
        <f t="shared" si="83"/>
        <v/>
      </c>
      <c r="J1075" s="4" t="str">
        <f t="shared" si="84"/>
        <v/>
      </c>
    </row>
    <row r="1076" spans="1:10" ht="15" customHeight="1" x14ac:dyDescent="0.25">
      <c r="A1076" s="8" t="str">
        <f>IF(COUNT($J$2:$J$1501)&gt;=1075,1075,"")</f>
        <v/>
      </c>
      <c r="B1076" s="8" t="str">
        <f t="shared" si="80"/>
        <v/>
      </c>
      <c r="C1076" s="8" t="str">
        <f t="shared" si="81"/>
        <v/>
      </c>
      <c r="D1076" s="8" t="str">
        <f t="shared" si="82"/>
        <v/>
      </c>
      <c r="F1076" s="4" t="str">
        <f>IF(Jugadores!B1076="","",Jugadores!B1076)</f>
        <v/>
      </c>
      <c r="G1076" s="4" t="str">
        <f>IF(Jugadores!B1076="","",Jugadores!A1076)</f>
        <v/>
      </c>
      <c r="H1076" s="4" t="str">
        <f>IF(F1076="","",SUMIF('Estadísticas Jugadores'!$F$2:$F$7001,F1076,'Estadísticas Jugadores'!$L$2:$L$7001))</f>
        <v/>
      </c>
      <c r="I1076" s="4" t="str">
        <f t="shared" si="83"/>
        <v/>
      </c>
      <c r="J1076" s="4" t="str">
        <f t="shared" si="84"/>
        <v/>
      </c>
    </row>
    <row r="1077" spans="1:10" ht="15" customHeight="1" x14ac:dyDescent="0.25">
      <c r="A1077" s="8" t="str">
        <f>IF(COUNT($J$2:$J$1501)&gt;=1076,1076,"")</f>
        <v/>
      </c>
      <c r="B1077" s="8" t="str">
        <f t="shared" si="80"/>
        <v/>
      </c>
      <c r="C1077" s="8" t="str">
        <f t="shared" si="81"/>
        <v/>
      </c>
      <c r="D1077" s="8" t="str">
        <f t="shared" si="82"/>
        <v/>
      </c>
      <c r="F1077" s="4" t="str">
        <f>IF(Jugadores!B1077="","",Jugadores!B1077)</f>
        <v/>
      </c>
      <c r="G1077" s="4" t="str">
        <f>IF(Jugadores!B1077="","",Jugadores!A1077)</f>
        <v/>
      </c>
      <c r="H1077" s="4" t="str">
        <f>IF(F1077="","",SUMIF('Estadísticas Jugadores'!$F$2:$F$7001,F1077,'Estadísticas Jugadores'!$L$2:$L$7001))</f>
        <v/>
      </c>
      <c r="I1077" s="4" t="str">
        <f t="shared" si="83"/>
        <v/>
      </c>
      <c r="J1077" s="4" t="str">
        <f t="shared" si="84"/>
        <v/>
      </c>
    </row>
    <row r="1078" spans="1:10" ht="15" customHeight="1" x14ac:dyDescent="0.25">
      <c r="A1078" s="8" t="str">
        <f>IF(COUNT($J$2:$J$1501)&gt;=1077,1077,"")</f>
        <v/>
      </c>
      <c r="B1078" s="8" t="str">
        <f t="shared" si="80"/>
        <v/>
      </c>
      <c r="C1078" s="8" t="str">
        <f t="shared" si="81"/>
        <v/>
      </c>
      <c r="D1078" s="8" t="str">
        <f t="shared" si="82"/>
        <v/>
      </c>
      <c r="F1078" s="4" t="str">
        <f>IF(Jugadores!B1078="","",Jugadores!B1078)</f>
        <v/>
      </c>
      <c r="G1078" s="4" t="str">
        <f>IF(Jugadores!B1078="","",Jugadores!A1078)</f>
        <v/>
      </c>
      <c r="H1078" s="4" t="str">
        <f>IF(F1078="","",SUMIF('Estadísticas Jugadores'!$F$2:$F$7001,F1078,'Estadísticas Jugadores'!$L$2:$L$7001))</f>
        <v/>
      </c>
      <c r="I1078" s="4" t="str">
        <f t="shared" si="83"/>
        <v/>
      </c>
      <c r="J1078" s="4" t="str">
        <f t="shared" si="84"/>
        <v/>
      </c>
    </row>
    <row r="1079" spans="1:10" ht="15" customHeight="1" x14ac:dyDescent="0.25">
      <c r="A1079" s="8" t="str">
        <f>IF(COUNT($J$2:$J$1501)&gt;=1078,1078,"")</f>
        <v/>
      </c>
      <c r="B1079" s="8" t="str">
        <f t="shared" si="80"/>
        <v/>
      </c>
      <c r="C1079" s="8" t="str">
        <f t="shared" si="81"/>
        <v/>
      </c>
      <c r="D1079" s="8" t="str">
        <f t="shared" si="82"/>
        <v/>
      </c>
      <c r="F1079" s="4" t="str">
        <f>IF(Jugadores!B1079="","",Jugadores!B1079)</f>
        <v/>
      </c>
      <c r="G1079" s="4" t="str">
        <f>IF(Jugadores!B1079="","",Jugadores!A1079)</f>
        <v/>
      </c>
      <c r="H1079" s="4" t="str">
        <f>IF(F1079="","",SUMIF('Estadísticas Jugadores'!$F$2:$F$7001,F1079,'Estadísticas Jugadores'!$L$2:$L$7001))</f>
        <v/>
      </c>
      <c r="I1079" s="4" t="str">
        <f t="shared" si="83"/>
        <v/>
      </c>
      <c r="J1079" s="4" t="str">
        <f t="shared" si="84"/>
        <v/>
      </c>
    </row>
    <row r="1080" spans="1:10" ht="15" customHeight="1" x14ac:dyDescent="0.25">
      <c r="A1080" s="8" t="str">
        <f>IF(COUNT($J$2:$J$1501)&gt;=1079,1079,"")</f>
        <v/>
      </c>
      <c r="B1080" s="8" t="str">
        <f t="shared" si="80"/>
        <v/>
      </c>
      <c r="C1080" s="8" t="str">
        <f t="shared" si="81"/>
        <v/>
      </c>
      <c r="D1080" s="8" t="str">
        <f t="shared" si="82"/>
        <v/>
      </c>
      <c r="F1080" s="4" t="str">
        <f>IF(Jugadores!B1080="","",Jugadores!B1080)</f>
        <v/>
      </c>
      <c r="G1080" s="4" t="str">
        <f>IF(Jugadores!B1080="","",Jugadores!A1080)</f>
        <v/>
      </c>
      <c r="H1080" s="4" t="str">
        <f>IF(F1080="","",SUMIF('Estadísticas Jugadores'!$F$2:$F$7001,F1080,'Estadísticas Jugadores'!$L$2:$L$7001))</f>
        <v/>
      </c>
      <c r="I1080" s="4" t="str">
        <f t="shared" si="83"/>
        <v/>
      </c>
      <c r="J1080" s="4" t="str">
        <f t="shared" si="84"/>
        <v/>
      </c>
    </row>
    <row r="1081" spans="1:10" ht="15" customHeight="1" x14ac:dyDescent="0.25">
      <c r="A1081" s="8" t="str">
        <f>IF(COUNT($J$2:$J$1501)&gt;=1080,1080,"")</f>
        <v/>
      </c>
      <c r="B1081" s="8" t="str">
        <f t="shared" si="80"/>
        <v/>
      </c>
      <c r="C1081" s="8" t="str">
        <f t="shared" si="81"/>
        <v/>
      </c>
      <c r="D1081" s="8" t="str">
        <f t="shared" si="82"/>
        <v/>
      </c>
      <c r="F1081" s="4" t="str">
        <f>IF(Jugadores!B1081="","",Jugadores!B1081)</f>
        <v/>
      </c>
      <c r="G1081" s="4" t="str">
        <f>IF(Jugadores!B1081="","",Jugadores!A1081)</f>
        <v/>
      </c>
      <c r="H1081" s="4" t="str">
        <f>IF(F1081="","",SUMIF('Estadísticas Jugadores'!$F$2:$F$7001,F1081,'Estadísticas Jugadores'!$L$2:$L$7001))</f>
        <v/>
      </c>
      <c r="I1081" s="4" t="str">
        <f t="shared" si="83"/>
        <v/>
      </c>
      <c r="J1081" s="4" t="str">
        <f t="shared" si="84"/>
        <v/>
      </c>
    </row>
    <row r="1082" spans="1:10" ht="15" customHeight="1" x14ac:dyDescent="0.25">
      <c r="A1082" s="8" t="str">
        <f>IF(COUNT($J$2:$J$1501)&gt;=1081,1081,"")</f>
        <v/>
      </c>
      <c r="B1082" s="8" t="str">
        <f t="shared" si="80"/>
        <v/>
      </c>
      <c r="C1082" s="8" t="str">
        <f t="shared" si="81"/>
        <v/>
      </c>
      <c r="D1082" s="8" t="str">
        <f t="shared" si="82"/>
        <v/>
      </c>
      <c r="F1082" s="4" t="str">
        <f>IF(Jugadores!B1082="","",Jugadores!B1082)</f>
        <v/>
      </c>
      <c r="G1082" s="4" t="str">
        <f>IF(Jugadores!B1082="","",Jugadores!A1082)</f>
        <v/>
      </c>
      <c r="H1082" s="4" t="str">
        <f>IF(F1082="","",SUMIF('Estadísticas Jugadores'!$F$2:$F$7001,F1082,'Estadísticas Jugadores'!$L$2:$L$7001))</f>
        <v/>
      </c>
      <c r="I1082" s="4" t="str">
        <f t="shared" si="83"/>
        <v/>
      </c>
      <c r="J1082" s="4" t="str">
        <f t="shared" si="84"/>
        <v/>
      </c>
    </row>
    <row r="1083" spans="1:10" ht="15" customHeight="1" x14ac:dyDescent="0.25">
      <c r="A1083" s="8" t="str">
        <f>IF(COUNT($J$2:$J$1501)&gt;=1082,1082,"")</f>
        <v/>
      </c>
      <c r="B1083" s="8" t="str">
        <f t="shared" si="80"/>
        <v/>
      </c>
      <c r="C1083" s="8" t="str">
        <f t="shared" si="81"/>
        <v/>
      </c>
      <c r="D1083" s="8" t="str">
        <f t="shared" si="82"/>
        <v/>
      </c>
      <c r="F1083" s="4" t="str">
        <f>IF(Jugadores!B1083="","",Jugadores!B1083)</f>
        <v/>
      </c>
      <c r="G1083" s="4" t="str">
        <f>IF(Jugadores!B1083="","",Jugadores!A1083)</f>
        <v/>
      </c>
      <c r="H1083" s="4" t="str">
        <f>IF(F1083="","",SUMIF('Estadísticas Jugadores'!$F$2:$F$7001,F1083,'Estadísticas Jugadores'!$L$2:$L$7001))</f>
        <v/>
      </c>
      <c r="I1083" s="4" t="str">
        <f t="shared" si="83"/>
        <v/>
      </c>
      <c r="J1083" s="4" t="str">
        <f t="shared" si="84"/>
        <v/>
      </c>
    </row>
    <row r="1084" spans="1:10" ht="15" customHeight="1" x14ac:dyDescent="0.25">
      <c r="A1084" s="8" t="str">
        <f>IF(COUNT($J$2:$J$1501)&gt;=1083,1083,"")</f>
        <v/>
      </c>
      <c r="B1084" s="8" t="str">
        <f t="shared" si="80"/>
        <v/>
      </c>
      <c r="C1084" s="8" t="str">
        <f t="shared" si="81"/>
        <v/>
      </c>
      <c r="D1084" s="8" t="str">
        <f t="shared" si="82"/>
        <v/>
      </c>
      <c r="F1084" s="4" t="str">
        <f>IF(Jugadores!B1084="","",Jugadores!B1084)</f>
        <v/>
      </c>
      <c r="G1084" s="4" t="str">
        <f>IF(Jugadores!B1084="","",Jugadores!A1084)</f>
        <v/>
      </c>
      <c r="H1084" s="4" t="str">
        <f>IF(F1084="","",SUMIF('Estadísticas Jugadores'!$F$2:$F$7001,F1084,'Estadísticas Jugadores'!$L$2:$L$7001))</f>
        <v/>
      </c>
      <c r="I1084" s="4" t="str">
        <f t="shared" si="83"/>
        <v/>
      </c>
      <c r="J1084" s="4" t="str">
        <f t="shared" si="84"/>
        <v/>
      </c>
    </row>
    <row r="1085" spans="1:10" ht="15" customHeight="1" x14ac:dyDescent="0.25">
      <c r="A1085" s="8" t="str">
        <f>IF(COUNT($J$2:$J$1501)&gt;=1084,1084,"")</f>
        <v/>
      </c>
      <c r="B1085" s="8" t="str">
        <f t="shared" si="80"/>
        <v/>
      </c>
      <c r="C1085" s="8" t="str">
        <f t="shared" si="81"/>
        <v/>
      </c>
      <c r="D1085" s="8" t="str">
        <f t="shared" si="82"/>
        <v/>
      </c>
      <c r="F1085" s="4" t="str">
        <f>IF(Jugadores!B1085="","",Jugadores!B1085)</f>
        <v/>
      </c>
      <c r="G1085" s="4" t="str">
        <f>IF(Jugadores!B1085="","",Jugadores!A1085)</f>
        <v/>
      </c>
      <c r="H1085" s="4" t="str">
        <f>IF(F1085="","",SUMIF('Estadísticas Jugadores'!$F$2:$F$7001,F1085,'Estadísticas Jugadores'!$L$2:$L$7001))</f>
        <v/>
      </c>
      <c r="I1085" s="4" t="str">
        <f t="shared" si="83"/>
        <v/>
      </c>
      <c r="J1085" s="4" t="str">
        <f t="shared" si="84"/>
        <v/>
      </c>
    </row>
    <row r="1086" spans="1:10" ht="15" customHeight="1" x14ac:dyDescent="0.25">
      <c r="A1086" s="8" t="str">
        <f>IF(COUNT($J$2:$J$1501)&gt;=1085,1085,"")</f>
        <v/>
      </c>
      <c r="B1086" s="8" t="str">
        <f t="shared" si="80"/>
        <v/>
      </c>
      <c r="C1086" s="8" t="str">
        <f t="shared" si="81"/>
        <v/>
      </c>
      <c r="D1086" s="8" t="str">
        <f t="shared" si="82"/>
        <v/>
      </c>
      <c r="F1086" s="4" t="str">
        <f>IF(Jugadores!B1086="","",Jugadores!B1086)</f>
        <v/>
      </c>
      <c r="G1086" s="4" t="str">
        <f>IF(Jugadores!B1086="","",Jugadores!A1086)</f>
        <v/>
      </c>
      <c r="H1086" s="4" t="str">
        <f>IF(F1086="","",SUMIF('Estadísticas Jugadores'!$F$2:$F$7001,F1086,'Estadísticas Jugadores'!$L$2:$L$7001))</f>
        <v/>
      </c>
      <c r="I1086" s="4" t="str">
        <f t="shared" si="83"/>
        <v/>
      </c>
      <c r="J1086" s="4" t="str">
        <f t="shared" si="84"/>
        <v/>
      </c>
    </row>
    <row r="1087" spans="1:10" ht="15" customHeight="1" x14ac:dyDescent="0.25">
      <c r="A1087" s="8" t="str">
        <f>IF(COUNT($J$2:$J$1501)&gt;=1086,1086,"")</f>
        <v/>
      </c>
      <c r="B1087" s="8" t="str">
        <f t="shared" si="80"/>
        <v/>
      </c>
      <c r="C1087" s="8" t="str">
        <f t="shared" si="81"/>
        <v/>
      </c>
      <c r="D1087" s="8" t="str">
        <f t="shared" si="82"/>
        <v/>
      </c>
      <c r="F1087" s="4" t="str">
        <f>IF(Jugadores!B1087="","",Jugadores!B1087)</f>
        <v/>
      </c>
      <c r="G1087" s="4" t="str">
        <f>IF(Jugadores!B1087="","",Jugadores!A1087)</f>
        <v/>
      </c>
      <c r="H1087" s="4" t="str">
        <f>IF(F1087="","",SUMIF('Estadísticas Jugadores'!$F$2:$F$7001,F1087,'Estadísticas Jugadores'!$L$2:$L$7001))</f>
        <v/>
      </c>
      <c r="I1087" s="4" t="str">
        <f t="shared" si="83"/>
        <v/>
      </c>
      <c r="J1087" s="4" t="str">
        <f t="shared" si="84"/>
        <v/>
      </c>
    </row>
    <row r="1088" spans="1:10" ht="15" customHeight="1" x14ac:dyDescent="0.25">
      <c r="A1088" s="8" t="str">
        <f>IF(COUNT($J$2:$J$1501)&gt;=1087,1087,"")</f>
        <v/>
      </c>
      <c r="B1088" s="8" t="str">
        <f t="shared" si="80"/>
        <v/>
      </c>
      <c r="C1088" s="8" t="str">
        <f t="shared" si="81"/>
        <v/>
      </c>
      <c r="D1088" s="8" t="str">
        <f t="shared" si="82"/>
        <v/>
      </c>
      <c r="F1088" s="4" t="str">
        <f>IF(Jugadores!B1088="","",Jugadores!B1088)</f>
        <v/>
      </c>
      <c r="G1088" s="4" t="str">
        <f>IF(Jugadores!B1088="","",Jugadores!A1088)</f>
        <v/>
      </c>
      <c r="H1088" s="4" t="str">
        <f>IF(F1088="","",SUMIF('Estadísticas Jugadores'!$F$2:$F$7001,F1088,'Estadísticas Jugadores'!$L$2:$L$7001))</f>
        <v/>
      </c>
      <c r="I1088" s="4" t="str">
        <f t="shared" si="83"/>
        <v/>
      </c>
      <c r="J1088" s="4" t="str">
        <f t="shared" si="84"/>
        <v/>
      </c>
    </row>
    <row r="1089" spans="1:10" ht="15" customHeight="1" x14ac:dyDescent="0.25">
      <c r="A1089" s="8" t="str">
        <f>IF(COUNT($J$2:$J$1501)&gt;=1088,1088,"")</f>
        <v/>
      </c>
      <c r="B1089" s="8" t="str">
        <f t="shared" si="80"/>
        <v/>
      </c>
      <c r="C1089" s="8" t="str">
        <f t="shared" si="81"/>
        <v/>
      </c>
      <c r="D1089" s="8" t="str">
        <f t="shared" si="82"/>
        <v/>
      </c>
      <c r="F1089" s="4" t="str">
        <f>IF(Jugadores!B1089="","",Jugadores!B1089)</f>
        <v/>
      </c>
      <c r="G1089" s="4" t="str">
        <f>IF(Jugadores!B1089="","",Jugadores!A1089)</f>
        <v/>
      </c>
      <c r="H1089" s="4" t="str">
        <f>IF(F1089="","",SUMIF('Estadísticas Jugadores'!$F$2:$F$7001,F1089,'Estadísticas Jugadores'!$L$2:$L$7001))</f>
        <v/>
      </c>
      <c r="I1089" s="4" t="str">
        <f t="shared" si="83"/>
        <v/>
      </c>
      <c r="J1089" s="4" t="str">
        <f t="shared" si="84"/>
        <v/>
      </c>
    </row>
    <row r="1090" spans="1:10" ht="15" customHeight="1" x14ac:dyDescent="0.25">
      <c r="A1090" s="8" t="str">
        <f>IF(COUNT($J$2:$J$1501)&gt;=1089,1089,"")</f>
        <v/>
      </c>
      <c r="B1090" s="8" t="str">
        <f t="shared" ref="B1090:B1153" si="85">IF($A1090="","",INDEX($F$2:$F$1501,MATCH($A1090,$J$2:$J$1501,0)))</f>
        <v/>
      </c>
      <c r="C1090" s="8" t="str">
        <f t="shared" ref="C1090:C1153" si="86">IF($A1090="","",INDEX($G$2:$G$1501,MATCH($A1090,$J$2:$J$1501,0)))</f>
        <v/>
      </c>
      <c r="D1090" s="8" t="str">
        <f t="shared" ref="D1090:D1153" si="87">IF($A1090="","",INDEX($H$2:$H$1501,MATCH($A1090,$J$2:$J$1501,0)))</f>
        <v/>
      </c>
      <c r="F1090" s="4" t="str">
        <f>IF(Jugadores!B1090="","",Jugadores!B1090)</f>
        <v/>
      </c>
      <c r="G1090" s="4" t="str">
        <f>IF(Jugadores!B1090="","",Jugadores!A1090)</f>
        <v/>
      </c>
      <c r="H1090" s="4" t="str">
        <f>IF(F1090="","",SUMIF('Estadísticas Jugadores'!$F$2:$F$7001,F1090,'Estadísticas Jugadores'!$L$2:$L$7001))</f>
        <v/>
      </c>
      <c r="I1090" s="4" t="str">
        <f t="shared" ref="I1090:I1153" si="88">IF(F1090="","",H1090*1000-ROW()*0.0000001)</f>
        <v/>
      </c>
      <c r="J1090" s="4" t="str">
        <f t="shared" ref="J1090:J1153" si="89">IF(F1090="","",RANK(I1090,$I$2:$I$1501))</f>
        <v/>
      </c>
    </row>
    <row r="1091" spans="1:10" ht="15" customHeight="1" x14ac:dyDescent="0.25">
      <c r="A1091" s="8" t="str">
        <f>IF(COUNT($J$2:$J$1501)&gt;=1090,1090,"")</f>
        <v/>
      </c>
      <c r="B1091" s="8" t="str">
        <f t="shared" si="85"/>
        <v/>
      </c>
      <c r="C1091" s="8" t="str">
        <f t="shared" si="86"/>
        <v/>
      </c>
      <c r="D1091" s="8" t="str">
        <f t="shared" si="87"/>
        <v/>
      </c>
      <c r="F1091" s="4" t="str">
        <f>IF(Jugadores!B1091="","",Jugadores!B1091)</f>
        <v/>
      </c>
      <c r="G1091" s="4" t="str">
        <f>IF(Jugadores!B1091="","",Jugadores!A1091)</f>
        <v/>
      </c>
      <c r="H1091" s="4" t="str">
        <f>IF(F1091="","",SUMIF('Estadísticas Jugadores'!$F$2:$F$7001,F1091,'Estadísticas Jugadores'!$L$2:$L$7001))</f>
        <v/>
      </c>
      <c r="I1091" s="4" t="str">
        <f t="shared" si="88"/>
        <v/>
      </c>
      <c r="J1091" s="4" t="str">
        <f t="shared" si="89"/>
        <v/>
      </c>
    </row>
    <row r="1092" spans="1:10" ht="15" customHeight="1" x14ac:dyDescent="0.25">
      <c r="A1092" s="8" t="str">
        <f>IF(COUNT($J$2:$J$1501)&gt;=1091,1091,"")</f>
        <v/>
      </c>
      <c r="B1092" s="8" t="str">
        <f t="shared" si="85"/>
        <v/>
      </c>
      <c r="C1092" s="8" t="str">
        <f t="shared" si="86"/>
        <v/>
      </c>
      <c r="D1092" s="8" t="str">
        <f t="shared" si="87"/>
        <v/>
      </c>
      <c r="F1092" s="4" t="str">
        <f>IF(Jugadores!B1092="","",Jugadores!B1092)</f>
        <v/>
      </c>
      <c r="G1092" s="4" t="str">
        <f>IF(Jugadores!B1092="","",Jugadores!A1092)</f>
        <v/>
      </c>
      <c r="H1092" s="4" t="str">
        <f>IF(F1092="","",SUMIF('Estadísticas Jugadores'!$F$2:$F$7001,F1092,'Estadísticas Jugadores'!$L$2:$L$7001))</f>
        <v/>
      </c>
      <c r="I1092" s="4" t="str">
        <f t="shared" si="88"/>
        <v/>
      </c>
      <c r="J1092" s="4" t="str">
        <f t="shared" si="89"/>
        <v/>
      </c>
    </row>
    <row r="1093" spans="1:10" ht="15" customHeight="1" x14ac:dyDescent="0.25">
      <c r="A1093" s="8" t="str">
        <f>IF(COUNT($J$2:$J$1501)&gt;=1092,1092,"")</f>
        <v/>
      </c>
      <c r="B1093" s="8" t="str">
        <f t="shared" si="85"/>
        <v/>
      </c>
      <c r="C1093" s="8" t="str">
        <f t="shared" si="86"/>
        <v/>
      </c>
      <c r="D1093" s="8" t="str">
        <f t="shared" si="87"/>
        <v/>
      </c>
      <c r="F1093" s="4" t="str">
        <f>IF(Jugadores!B1093="","",Jugadores!B1093)</f>
        <v/>
      </c>
      <c r="G1093" s="4" t="str">
        <f>IF(Jugadores!B1093="","",Jugadores!A1093)</f>
        <v/>
      </c>
      <c r="H1093" s="4" t="str">
        <f>IF(F1093="","",SUMIF('Estadísticas Jugadores'!$F$2:$F$7001,F1093,'Estadísticas Jugadores'!$L$2:$L$7001))</f>
        <v/>
      </c>
      <c r="I1093" s="4" t="str">
        <f t="shared" si="88"/>
        <v/>
      </c>
      <c r="J1093" s="4" t="str">
        <f t="shared" si="89"/>
        <v/>
      </c>
    </row>
    <row r="1094" spans="1:10" ht="15" customHeight="1" x14ac:dyDescent="0.25">
      <c r="A1094" s="8" t="str">
        <f>IF(COUNT($J$2:$J$1501)&gt;=1093,1093,"")</f>
        <v/>
      </c>
      <c r="B1094" s="8" t="str">
        <f t="shared" si="85"/>
        <v/>
      </c>
      <c r="C1094" s="8" t="str">
        <f t="shared" si="86"/>
        <v/>
      </c>
      <c r="D1094" s="8" t="str">
        <f t="shared" si="87"/>
        <v/>
      </c>
      <c r="F1094" s="4" t="str">
        <f>IF(Jugadores!B1094="","",Jugadores!B1094)</f>
        <v/>
      </c>
      <c r="G1094" s="4" t="str">
        <f>IF(Jugadores!B1094="","",Jugadores!A1094)</f>
        <v/>
      </c>
      <c r="H1094" s="4" t="str">
        <f>IF(F1094="","",SUMIF('Estadísticas Jugadores'!$F$2:$F$7001,F1094,'Estadísticas Jugadores'!$L$2:$L$7001))</f>
        <v/>
      </c>
      <c r="I1094" s="4" t="str">
        <f t="shared" si="88"/>
        <v/>
      </c>
      <c r="J1094" s="4" t="str">
        <f t="shared" si="89"/>
        <v/>
      </c>
    </row>
    <row r="1095" spans="1:10" ht="15" customHeight="1" x14ac:dyDescent="0.25">
      <c r="A1095" s="8" t="str">
        <f>IF(COUNT($J$2:$J$1501)&gt;=1094,1094,"")</f>
        <v/>
      </c>
      <c r="B1095" s="8" t="str">
        <f t="shared" si="85"/>
        <v/>
      </c>
      <c r="C1095" s="8" t="str">
        <f t="shared" si="86"/>
        <v/>
      </c>
      <c r="D1095" s="8" t="str">
        <f t="shared" si="87"/>
        <v/>
      </c>
      <c r="F1095" s="4" t="str">
        <f>IF(Jugadores!B1095="","",Jugadores!B1095)</f>
        <v/>
      </c>
      <c r="G1095" s="4" t="str">
        <f>IF(Jugadores!B1095="","",Jugadores!A1095)</f>
        <v/>
      </c>
      <c r="H1095" s="4" t="str">
        <f>IF(F1095="","",SUMIF('Estadísticas Jugadores'!$F$2:$F$7001,F1095,'Estadísticas Jugadores'!$L$2:$L$7001))</f>
        <v/>
      </c>
      <c r="I1095" s="4" t="str">
        <f t="shared" si="88"/>
        <v/>
      </c>
      <c r="J1095" s="4" t="str">
        <f t="shared" si="89"/>
        <v/>
      </c>
    </row>
    <row r="1096" spans="1:10" ht="15" customHeight="1" x14ac:dyDescent="0.25">
      <c r="A1096" s="8" t="str">
        <f>IF(COUNT($J$2:$J$1501)&gt;=1095,1095,"")</f>
        <v/>
      </c>
      <c r="B1096" s="8" t="str">
        <f t="shared" si="85"/>
        <v/>
      </c>
      <c r="C1096" s="8" t="str">
        <f t="shared" si="86"/>
        <v/>
      </c>
      <c r="D1096" s="8" t="str">
        <f t="shared" si="87"/>
        <v/>
      </c>
      <c r="F1096" s="4" t="str">
        <f>IF(Jugadores!B1096="","",Jugadores!B1096)</f>
        <v/>
      </c>
      <c r="G1096" s="4" t="str">
        <f>IF(Jugadores!B1096="","",Jugadores!A1096)</f>
        <v/>
      </c>
      <c r="H1096" s="4" t="str">
        <f>IF(F1096="","",SUMIF('Estadísticas Jugadores'!$F$2:$F$7001,F1096,'Estadísticas Jugadores'!$L$2:$L$7001))</f>
        <v/>
      </c>
      <c r="I1096" s="4" t="str">
        <f t="shared" si="88"/>
        <v/>
      </c>
      <c r="J1096" s="4" t="str">
        <f t="shared" si="89"/>
        <v/>
      </c>
    </row>
    <row r="1097" spans="1:10" ht="15" customHeight="1" x14ac:dyDescent="0.25">
      <c r="A1097" s="8" t="str">
        <f>IF(COUNT($J$2:$J$1501)&gt;=1096,1096,"")</f>
        <v/>
      </c>
      <c r="B1097" s="8" t="str">
        <f t="shared" si="85"/>
        <v/>
      </c>
      <c r="C1097" s="8" t="str">
        <f t="shared" si="86"/>
        <v/>
      </c>
      <c r="D1097" s="8" t="str">
        <f t="shared" si="87"/>
        <v/>
      </c>
      <c r="F1097" s="4" t="str">
        <f>IF(Jugadores!B1097="","",Jugadores!B1097)</f>
        <v/>
      </c>
      <c r="G1097" s="4" t="str">
        <f>IF(Jugadores!B1097="","",Jugadores!A1097)</f>
        <v/>
      </c>
      <c r="H1097" s="4" t="str">
        <f>IF(F1097="","",SUMIF('Estadísticas Jugadores'!$F$2:$F$7001,F1097,'Estadísticas Jugadores'!$L$2:$L$7001))</f>
        <v/>
      </c>
      <c r="I1097" s="4" t="str">
        <f t="shared" si="88"/>
        <v/>
      </c>
      <c r="J1097" s="4" t="str">
        <f t="shared" si="89"/>
        <v/>
      </c>
    </row>
    <row r="1098" spans="1:10" ht="15" customHeight="1" x14ac:dyDescent="0.25">
      <c r="A1098" s="8" t="str">
        <f>IF(COUNT($J$2:$J$1501)&gt;=1097,1097,"")</f>
        <v/>
      </c>
      <c r="B1098" s="8" t="str">
        <f t="shared" si="85"/>
        <v/>
      </c>
      <c r="C1098" s="8" t="str">
        <f t="shared" si="86"/>
        <v/>
      </c>
      <c r="D1098" s="8" t="str">
        <f t="shared" si="87"/>
        <v/>
      </c>
      <c r="F1098" s="4" t="str">
        <f>IF(Jugadores!B1098="","",Jugadores!B1098)</f>
        <v/>
      </c>
      <c r="G1098" s="4" t="str">
        <f>IF(Jugadores!B1098="","",Jugadores!A1098)</f>
        <v/>
      </c>
      <c r="H1098" s="4" t="str">
        <f>IF(F1098="","",SUMIF('Estadísticas Jugadores'!$F$2:$F$7001,F1098,'Estadísticas Jugadores'!$L$2:$L$7001))</f>
        <v/>
      </c>
      <c r="I1098" s="4" t="str">
        <f t="shared" si="88"/>
        <v/>
      </c>
      <c r="J1098" s="4" t="str">
        <f t="shared" si="89"/>
        <v/>
      </c>
    </row>
    <row r="1099" spans="1:10" ht="15" customHeight="1" x14ac:dyDescent="0.25">
      <c r="A1099" s="8" t="str">
        <f>IF(COUNT($J$2:$J$1501)&gt;=1098,1098,"")</f>
        <v/>
      </c>
      <c r="B1099" s="8" t="str">
        <f t="shared" si="85"/>
        <v/>
      </c>
      <c r="C1099" s="8" t="str">
        <f t="shared" si="86"/>
        <v/>
      </c>
      <c r="D1099" s="8" t="str">
        <f t="shared" si="87"/>
        <v/>
      </c>
      <c r="F1099" s="4" t="str">
        <f>IF(Jugadores!B1099="","",Jugadores!B1099)</f>
        <v/>
      </c>
      <c r="G1099" s="4" t="str">
        <f>IF(Jugadores!B1099="","",Jugadores!A1099)</f>
        <v/>
      </c>
      <c r="H1099" s="4" t="str">
        <f>IF(F1099="","",SUMIF('Estadísticas Jugadores'!$F$2:$F$7001,F1099,'Estadísticas Jugadores'!$L$2:$L$7001))</f>
        <v/>
      </c>
      <c r="I1099" s="4" t="str">
        <f t="shared" si="88"/>
        <v/>
      </c>
      <c r="J1099" s="4" t="str">
        <f t="shared" si="89"/>
        <v/>
      </c>
    </row>
    <row r="1100" spans="1:10" ht="15" customHeight="1" x14ac:dyDescent="0.25">
      <c r="A1100" s="8" t="str">
        <f>IF(COUNT($J$2:$J$1501)&gt;=1099,1099,"")</f>
        <v/>
      </c>
      <c r="B1100" s="8" t="str">
        <f t="shared" si="85"/>
        <v/>
      </c>
      <c r="C1100" s="8" t="str">
        <f t="shared" si="86"/>
        <v/>
      </c>
      <c r="D1100" s="8" t="str">
        <f t="shared" si="87"/>
        <v/>
      </c>
      <c r="F1100" s="4" t="str">
        <f>IF(Jugadores!B1100="","",Jugadores!B1100)</f>
        <v/>
      </c>
      <c r="G1100" s="4" t="str">
        <f>IF(Jugadores!B1100="","",Jugadores!A1100)</f>
        <v/>
      </c>
      <c r="H1100" s="4" t="str">
        <f>IF(F1100="","",SUMIF('Estadísticas Jugadores'!$F$2:$F$7001,F1100,'Estadísticas Jugadores'!$L$2:$L$7001))</f>
        <v/>
      </c>
      <c r="I1100" s="4" t="str">
        <f t="shared" si="88"/>
        <v/>
      </c>
      <c r="J1100" s="4" t="str">
        <f t="shared" si="89"/>
        <v/>
      </c>
    </row>
    <row r="1101" spans="1:10" ht="15" customHeight="1" x14ac:dyDescent="0.25">
      <c r="A1101" s="8" t="str">
        <f>IF(COUNT($J$2:$J$1501)&gt;=1100,1100,"")</f>
        <v/>
      </c>
      <c r="B1101" s="8" t="str">
        <f t="shared" si="85"/>
        <v/>
      </c>
      <c r="C1101" s="8" t="str">
        <f t="shared" si="86"/>
        <v/>
      </c>
      <c r="D1101" s="8" t="str">
        <f t="shared" si="87"/>
        <v/>
      </c>
      <c r="F1101" s="4" t="str">
        <f>IF(Jugadores!B1101="","",Jugadores!B1101)</f>
        <v/>
      </c>
      <c r="G1101" s="4" t="str">
        <f>IF(Jugadores!B1101="","",Jugadores!A1101)</f>
        <v/>
      </c>
      <c r="H1101" s="4" t="str">
        <f>IF(F1101="","",SUMIF('Estadísticas Jugadores'!$F$2:$F$7001,F1101,'Estadísticas Jugadores'!$L$2:$L$7001))</f>
        <v/>
      </c>
      <c r="I1101" s="4" t="str">
        <f t="shared" si="88"/>
        <v/>
      </c>
      <c r="J1101" s="4" t="str">
        <f t="shared" si="89"/>
        <v/>
      </c>
    </row>
    <row r="1102" spans="1:10" ht="15" customHeight="1" x14ac:dyDescent="0.25">
      <c r="A1102" s="8" t="str">
        <f>IF(COUNT($J$2:$J$1501)&gt;=1101,1101,"")</f>
        <v/>
      </c>
      <c r="B1102" s="8" t="str">
        <f t="shared" si="85"/>
        <v/>
      </c>
      <c r="C1102" s="8" t="str">
        <f t="shared" si="86"/>
        <v/>
      </c>
      <c r="D1102" s="8" t="str">
        <f t="shared" si="87"/>
        <v/>
      </c>
      <c r="F1102" s="4" t="str">
        <f>IF(Jugadores!B1102="","",Jugadores!B1102)</f>
        <v/>
      </c>
      <c r="G1102" s="4" t="str">
        <f>IF(Jugadores!B1102="","",Jugadores!A1102)</f>
        <v/>
      </c>
      <c r="H1102" s="4" t="str">
        <f>IF(F1102="","",SUMIF('Estadísticas Jugadores'!$F$2:$F$7001,F1102,'Estadísticas Jugadores'!$L$2:$L$7001))</f>
        <v/>
      </c>
      <c r="I1102" s="4" t="str">
        <f t="shared" si="88"/>
        <v/>
      </c>
      <c r="J1102" s="4" t="str">
        <f t="shared" si="89"/>
        <v/>
      </c>
    </row>
    <row r="1103" spans="1:10" ht="15" customHeight="1" x14ac:dyDescent="0.25">
      <c r="A1103" s="8" t="str">
        <f>IF(COUNT($J$2:$J$1501)&gt;=1102,1102,"")</f>
        <v/>
      </c>
      <c r="B1103" s="8" t="str">
        <f t="shared" si="85"/>
        <v/>
      </c>
      <c r="C1103" s="8" t="str">
        <f t="shared" si="86"/>
        <v/>
      </c>
      <c r="D1103" s="8" t="str">
        <f t="shared" si="87"/>
        <v/>
      </c>
      <c r="F1103" s="4" t="str">
        <f>IF(Jugadores!B1103="","",Jugadores!B1103)</f>
        <v/>
      </c>
      <c r="G1103" s="4" t="str">
        <f>IF(Jugadores!B1103="","",Jugadores!A1103)</f>
        <v/>
      </c>
      <c r="H1103" s="4" t="str">
        <f>IF(F1103="","",SUMIF('Estadísticas Jugadores'!$F$2:$F$7001,F1103,'Estadísticas Jugadores'!$L$2:$L$7001))</f>
        <v/>
      </c>
      <c r="I1103" s="4" t="str">
        <f t="shared" si="88"/>
        <v/>
      </c>
      <c r="J1103" s="4" t="str">
        <f t="shared" si="89"/>
        <v/>
      </c>
    </row>
    <row r="1104" spans="1:10" ht="15" customHeight="1" x14ac:dyDescent="0.25">
      <c r="A1104" s="8" t="str">
        <f>IF(COUNT($J$2:$J$1501)&gt;=1103,1103,"")</f>
        <v/>
      </c>
      <c r="B1104" s="8" t="str">
        <f t="shared" si="85"/>
        <v/>
      </c>
      <c r="C1104" s="8" t="str">
        <f t="shared" si="86"/>
        <v/>
      </c>
      <c r="D1104" s="8" t="str">
        <f t="shared" si="87"/>
        <v/>
      </c>
      <c r="F1104" s="4" t="str">
        <f>IF(Jugadores!B1104="","",Jugadores!B1104)</f>
        <v/>
      </c>
      <c r="G1104" s="4" t="str">
        <f>IF(Jugadores!B1104="","",Jugadores!A1104)</f>
        <v/>
      </c>
      <c r="H1104" s="4" t="str">
        <f>IF(F1104="","",SUMIF('Estadísticas Jugadores'!$F$2:$F$7001,F1104,'Estadísticas Jugadores'!$L$2:$L$7001))</f>
        <v/>
      </c>
      <c r="I1104" s="4" t="str">
        <f t="shared" si="88"/>
        <v/>
      </c>
      <c r="J1104" s="4" t="str">
        <f t="shared" si="89"/>
        <v/>
      </c>
    </row>
    <row r="1105" spans="1:10" ht="15" customHeight="1" x14ac:dyDescent="0.25">
      <c r="A1105" s="8" t="str">
        <f>IF(COUNT($J$2:$J$1501)&gt;=1104,1104,"")</f>
        <v/>
      </c>
      <c r="B1105" s="8" t="str">
        <f t="shared" si="85"/>
        <v/>
      </c>
      <c r="C1105" s="8" t="str">
        <f t="shared" si="86"/>
        <v/>
      </c>
      <c r="D1105" s="8" t="str">
        <f t="shared" si="87"/>
        <v/>
      </c>
      <c r="F1105" s="4" t="str">
        <f>IF(Jugadores!B1105="","",Jugadores!B1105)</f>
        <v/>
      </c>
      <c r="G1105" s="4" t="str">
        <f>IF(Jugadores!B1105="","",Jugadores!A1105)</f>
        <v/>
      </c>
      <c r="H1105" s="4" t="str">
        <f>IF(F1105="","",SUMIF('Estadísticas Jugadores'!$F$2:$F$7001,F1105,'Estadísticas Jugadores'!$L$2:$L$7001))</f>
        <v/>
      </c>
      <c r="I1105" s="4" t="str">
        <f t="shared" si="88"/>
        <v/>
      </c>
      <c r="J1105" s="4" t="str">
        <f t="shared" si="89"/>
        <v/>
      </c>
    </row>
    <row r="1106" spans="1:10" ht="15" customHeight="1" x14ac:dyDescent="0.25">
      <c r="A1106" s="8" t="str">
        <f>IF(COUNT($J$2:$J$1501)&gt;=1105,1105,"")</f>
        <v/>
      </c>
      <c r="B1106" s="8" t="str">
        <f t="shared" si="85"/>
        <v/>
      </c>
      <c r="C1106" s="8" t="str">
        <f t="shared" si="86"/>
        <v/>
      </c>
      <c r="D1106" s="8" t="str">
        <f t="shared" si="87"/>
        <v/>
      </c>
      <c r="F1106" s="4" t="str">
        <f>IF(Jugadores!B1106="","",Jugadores!B1106)</f>
        <v/>
      </c>
      <c r="G1106" s="4" t="str">
        <f>IF(Jugadores!B1106="","",Jugadores!A1106)</f>
        <v/>
      </c>
      <c r="H1106" s="4" t="str">
        <f>IF(F1106="","",SUMIF('Estadísticas Jugadores'!$F$2:$F$7001,F1106,'Estadísticas Jugadores'!$L$2:$L$7001))</f>
        <v/>
      </c>
      <c r="I1106" s="4" t="str">
        <f t="shared" si="88"/>
        <v/>
      </c>
      <c r="J1106" s="4" t="str">
        <f t="shared" si="89"/>
        <v/>
      </c>
    </row>
    <row r="1107" spans="1:10" ht="15" customHeight="1" x14ac:dyDescent="0.25">
      <c r="A1107" s="8" t="str">
        <f>IF(COUNT($J$2:$J$1501)&gt;=1106,1106,"")</f>
        <v/>
      </c>
      <c r="B1107" s="8" t="str">
        <f t="shared" si="85"/>
        <v/>
      </c>
      <c r="C1107" s="8" t="str">
        <f t="shared" si="86"/>
        <v/>
      </c>
      <c r="D1107" s="8" t="str">
        <f t="shared" si="87"/>
        <v/>
      </c>
      <c r="F1107" s="4" t="str">
        <f>IF(Jugadores!B1107="","",Jugadores!B1107)</f>
        <v/>
      </c>
      <c r="G1107" s="4" t="str">
        <f>IF(Jugadores!B1107="","",Jugadores!A1107)</f>
        <v/>
      </c>
      <c r="H1107" s="4" t="str">
        <f>IF(F1107="","",SUMIF('Estadísticas Jugadores'!$F$2:$F$7001,F1107,'Estadísticas Jugadores'!$L$2:$L$7001))</f>
        <v/>
      </c>
      <c r="I1107" s="4" t="str">
        <f t="shared" si="88"/>
        <v/>
      </c>
      <c r="J1107" s="4" t="str">
        <f t="shared" si="89"/>
        <v/>
      </c>
    </row>
    <row r="1108" spans="1:10" ht="15" customHeight="1" x14ac:dyDescent="0.25">
      <c r="A1108" s="8" t="str">
        <f>IF(COUNT($J$2:$J$1501)&gt;=1107,1107,"")</f>
        <v/>
      </c>
      <c r="B1108" s="8" t="str">
        <f t="shared" si="85"/>
        <v/>
      </c>
      <c r="C1108" s="8" t="str">
        <f t="shared" si="86"/>
        <v/>
      </c>
      <c r="D1108" s="8" t="str">
        <f t="shared" si="87"/>
        <v/>
      </c>
      <c r="F1108" s="4" t="str">
        <f>IF(Jugadores!B1108="","",Jugadores!B1108)</f>
        <v/>
      </c>
      <c r="G1108" s="4" t="str">
        <f>IF(Jugadores!B1108="","",Jugadores!A1108)</f>
        <v/>
      </c>
      <c r="H1108" s="4" t="str">
        <f>IF(F1108="","",SUMIF('Estadísticas Jugadores'!$F$2:$F$7001,F1108,'Estadísticas Jugadores'!$L$2:$L$7001))</f>
        <v/>
      </c>
      <c r="I1108" s="4" t="str">
        <f t="shared" si="88"/>
        <v/>
      </c>
      <c r="J1108" s="4" t="str">
        <f t="shared" si="89"/>
        <v/>
      </c>
    </row>
    <row r="1109" spans="1:10" ht="15" customHeight="1" x14ac:dyDescent="0.25">
      <c r="A1109" s="8" t="str">
        <f>IF(COUNT($J$2:$J$1501)&gt;=1108,1108,"")</f>
        <v/>
      </c>
      <c r="B1109" s="8" t="str">
        <f t="shared" si="85"/>
        <v/>
      </c>
      <c r="C1109" s="8" t="str">
        <f t="shared" si="86"/>
        <v/>
      </c>
      <c r="D1109" s="8" t="str">
        <f t="shared" si="87"/>
        <v/>
      </c>
      <c r="F1109" s="4" t="str">
        <f>IF(Jugadores!B1109="","",Jugadores!B1109)</f>
        <v/>
      </c>
      <c r="G1109" s="4" t="str">
        <f>IF(Jugadores!B1109="","",Jugadores!A1109)</f>
        <v/>
      </c>
      <c r="H1109" s="4" t="str">
        <f>IF(F1109="","",SUMIF('Estadísticas Jugadores'!$F$2:$F$7001,F1109,'Estadísticas Jugadores'!$L$2:$L$7001))</f>
        <v/>
      </c>
      <c r="I1109" s="4" t="str">
        <f t="shared" si="88"/>
        <v/>
      </c>
      <c r="J1109" s="4" t="str">
        <f t="shared" si="89"/>
        <v/>
      </c>
    </row>
    <row r="1110" spans="1:10" ht="15" customHeight="1" x14ac:dyDescent="0.25">
      <c r="A1110" s="8" t="str">
        <f>IF(COUNT($J$2:$J$1501)&gt;=1109,1109,"")</f>
        <v/>
      </c>
      <c r="B1110" s="8" t="str">
        <f t="shared" si="85"/>
        <v/>
      </c>
      <c r="C1110" s="8" t="str">
        <f t="shared" si="86"/>
        <v/>
      </c>
      <c r="D1110" s="8" t="str">
        <f t="shared" si="87"/>
        <v/>
      </c>
      <c r="F1110" s="4" t="str">
        <f>IF(Jugadores!B1110="","",Jugadores!B1110)</f>
        <v/>
      </c>
      <c r="G1110" s="4" t="str">
        <f>IF(Jugadores!B1110="","",Jugadores!A1110)</f>
        <v/>
      </c>
      <c r="H1110" s="4" t="str">
        <f>IF(F1110="","",SUMIF('Estadísticas Jugadores'!$F$2:$F$7001,F1110,'Estadísticas Jugadores'!$L$2:$L$7001))</f>
        <v/>
      </c>
      <c r="I1110" s="4" t="str">
        <f t="shared" si="88"/>
        <v/>
      </c>
      <c r="J1110" s="4" t="str">
        <f t="shared" si="89"/>
        <v/>
      </c>
    </row>
    <row r="1111" spans="1:10" ht="15" customHeight="1" x14ac:dyDescent="0.25">
      <c r="A1111" s="8" t="str">
        <f>IF(COUNT($J$2:$J$1501)&gt;=1110,1110,"")</f>
        <v/>
      </c>
      <c r="B1111" s="8" t="str">
        <f t="shared" si="85"/>
        <v/>
      </c>
      <c r="C1111" s="8" t="str">
        <f t="shared" si="86"/>
        <v/>
      </c>
      <c r="D1111" s="8" t="str">
        <f t="shared" si="87"/>
        <v/>
      </c>
      <c r="F1111" s="4" t="str">
        <f>IF(Jugadores!B1111="","",Jugadores!B1111)</f>
        <v/>
      </c>
      <c r="G1111" s="4" t="str">
        <f>IF(Jugadores!B1111="","",Jugadores!A1111)</f>
        <v/>
      </c>
      <c r="H1111" s="4" t="str">
        <f>IF(F1111="","",SUMIF('Estadísticas Jugadores'!$F$2:$F$7001,F1111,'Estadísticas Jugadores'!$L$2:$L$7001))</f>
        <v/>
      </c>
      <c r="I1111" s="4" t="str">
        <f t="shared" si="88"/>
        <v/>
      </c>
      <c r="J1111" s="4" t="str">
        <f t="shared" si="89"/>
        <v/>
      </c>
    </row>
    <row r="1112" spans="1:10" ht="15" customHeight="1" x14ac:dyDescent="0.25">
      <c r="A1112" s="8" t="str">
        <f>IF(COUNT($J$2:$J$1501)&gt;=1111,1111,"")</f>
        <v/>
      </c>
      <c r="B1112" s="8" t="str">
        <f t="shared" si="85"/>
        <v/>
      </c>
      <c r="C1112" s="8" t="str">
        <f t="shared" si="86"/>
        <v/>
      </c>
      <c r="D1112" s="8" t="str">
        <f t="shared" si="87"/>
        <v/>
      </c>
      <c r="F1112" s="4" t="str">
        <f>IF(Jugadores!B1112="","",Jugadores!B1112)</f>
        <v/>
      </c>
      <c r="G1112" s="4" t="str">
        <f>IF(Jugadores!B1112="","",Jugadores!A1112)</f>
        <v/>
      </c>
      <c r="H1112" s="4" t="str">
        <f>IF(F1112="","",SUMIF('Estadísticas Jugadores'!$F$2:$F$7001,F1112,'Estadísticas Jugadores'!$L$2:$L$7001))</f>
        <v/>
      </c>
      <c r="I1112" s="4" t="str">
        <f t="shared" si="88"/>
        <v/>
      </c>
      <c r="J1112" s="4" t="str">
        <f t="shared" si="89"/>
        <v/>
      </c>
    </row>
    <row r="1113" spans="1:10" ht="15" customHeight="1" x14ac:dyDescent="0.25">
      <c r="A1113" s="8" t="str">
        <f>IF(COUNT($J$2:$J$1501)&gt;=1112,1112,"")</f>
        <v/>
      </c>
      <c r="B1113" s="8" t="str">
        <f t="shared" si="85"/>
        <v/>
      </c>
      <c r="C1113" s="8" t="str">
        <f t="shared" si="86"/>
        <v/>
      </c>
      <c r="D1113" s="8" t="str">
        <f t="shared" si="87"/>
        <v/>
      </c>
      <c r="F1113" s="4" t="str">
        <f>IF(Jugadores!B1113="","",Jugadores!B1113)</f>
        <v/>
      </c>
      <c r="G1113" s="4" t="str">
        <f>IF(Jugadores!B1113="","",Jugadores!A1113)</f>
        <v/>
      </c>
      <c r="H1113" s="4" t="str">
        <f>IF(F1113="","",SUMIF('Estadísticas Jugadores'!$F$2:$F$7001,F1113,'Estadísticas Jugadores'!$L$2:$L$7001))</f>
        <v/>
      </c>
      <c r="I1113" s="4" t="str">
        <f t="shared" si="88"/>
        <v/>
      </c>
      <c r="J1113" s="4" t="str">
        <f t="shared" si="89"/>
        <v/>
      </c>
    </row>
    <row r="1114" spans="1:10" ht="15" customHeight="1" x14ac:dyDescent="0.25">
      <c r="A1114" s="8" t="str">
        <f>IF(COUNT($J$2:$J$1501)&gt;=1113,1113,"")</f>
        <v/>
      </c>
      <c r="B1114" s="8" t="str">
        <f t="shared" si="85"/>
        <v/>
      </c>
      <c r="C1114" s="8" t="str">
        <f t="shared" si="86"/>
        <v/>
      </c>
      <c r="D1114" s="8" t="str">
        <f t="shared" si="87"/>
        <v/>
      </c>
      <c r="F1114" s="4" t="str">
        <f>IF(Jugadores!B1114="","",Jugadores!B1114)</f>
        <v/>
      </c>
      <c r="G1114" s="4" t="str">
        <f>IF(Jugadores!B1114="","",Jugadores!A1114)</f>
        <v/>
      </c>
      <c r="H1114" s="4" t="str">
        <f>IF(F1114="","",SUMIF('Estadísticas Jugadores'!$F$2:$F$7001,F1114,'Estadísticas Jugadores'!$L$2:$L$7001))</f>
        <v/>
      </c>
      <c r="I1114" s="4" t="str">
        <f t="shared" si="88"/>
        <v/>
      </c>
      <c r="J1114" s="4" t="str">
        <f t="shared" si="89"/>
        <v/>
      </c>
    </row>
    <row r="1115" spans="1:10" ht="15" customHeight="1" x14ac:dyDescent="0.25">
      <c r="A1115" s="8" t="str">
        <f>IF(COUNT($J$2:$J$1501)&gt;=1114,1114,"")</f>
        <v/>
      </c>
      <c r="B1115" s="8" t="str">
        <f t="shared" si="85"/>
        <v/>
      </c>
      <c r="C1115" s="8" t="str">
        <f t="shared" si="86"/>
        <v/>
      </c>
      <c r="D1115" s="8" t="str">
        <f t="shared" si="87"/>
        <v/>
      </c>
      <c r="F1115" s="4" t="str">
        <f>IF(Jugadores!B1115="","",Jugadores!B1115)</f>
        <v/>
      </c>
      <c r="G1115" s="4" t="str">
        <f>IF(Jugadores!B1115="","",Jugadores!A1115)</f>
        <v/>
      </c>
      <c r="H1115" s="4" t="str">
        <f>IF(F1115="","",SUMIF('Estadísticas Jugadores'!$F$2:$F$7001,F1115,'Estadísticas Jugadores'!$L$2:$L$7001))</f>
        <v/>
      </c>
      <c r="I1115" s="4" t="str">
        <f t="shared" si="88"/>
        <v/>
      </c>
      <c r="J1115" s="4" t="str">
        <f t="shared" si="89"/>
        <v/>
      </c>
    </row>
    <row r="1116" spans="1:10" ht="15" customHeight="1" x14ac:dyDescent="0.25">
      <c r="A1116" s="8" t="str">
        <f>IF(COUNT($J$2:$J$1501)&gt;=1115,1115,"")</f>
        <v/>
      </c>
      <c r="B1116" s="8" t="str">
        <f t="shared" si="85"/>
        <v/>
      </c>
      <c r="C1116" s="8" t="str">
        <f t="shared" si="86"/>
        <v/>
      </c>
      <c r="D1116" s="8" t="str">
        <f t="shared" si="87"/>
        <v/>
      </c>
      <c r="F1116" s="4" t="str">
        <f>IF(Jugadores!B1116="","",Jugadores!B1116)</f>
        <v/>
      </c>
      <c r="G1116" s="4" t="str">
        <f>IF(Jugadores!B1116="","",Jugadores!A1116)</f>
        <v/>
      </c>
      <c r="H1116" s="4" t="str">
        <f>IF(F1116="","",SUMIF('Estadísticas Jugadores'!$F$2:$F$7001,F1116,'Estadísticas Jugadores'!$L$2:$L$7001))</f>
        <v/>
      </c>
      <c r="I1116" s="4" t="str">
        <f t="shared" si="88"/>
        <v/>
      </c>
      <c r="J1116" s="4" t="str">
        <f t="shared" si="89"/>
        <v/>
      </c>
    </row>
    <row r="1117" spans="1:10" ht="15" customHeight="1" x14ac:dyDescent="0.25">
      <c r="A1117" s="8" t="str">
        <f>IF(COUNT($J$2:$J$1501)&gt;=1116,1116,"")</f>
        <v/>
      </c>
      <c r="B1117" s="8" t="str">
        <f t="shared" si="85"/>
        <v/>
      </c>
      <c r="C1117" s="8" t="str">
        <f t="shared" si="86"/>
        <v/>
      </c>
      <c r="D1117" s="8" t="str">
        <f t="shared" si="87"/>
        <v/>
      </c>
      <c r="F1117" s="4" t="str">
        <f>IF(Jugadores!B1117="","",Jugadores!B1117)</f>
        <v/>
      </c>
      <c r="G1117" s="4" t="str">
        <f>IF(Jugadores!B1117="","",Jugadores!A1117)</f>
        <v/>
      </c>
      <c r="H1117" s="4" t="str">
        <f>IF(F1117="","",SUMIF('Estadísticas Jugadores'!$F$2:$F$7001,F1117,'Estadísticas Jugadores'!$L$2:$L$7001))</f>
        <v/>
      </c>
      <c r="I1117" s="4" t="str">
        <f t="shared" si="88"/>
        <v/>
      </c>
      <c r="J1117" s="4" t="str">
        <f t="shared" si="89"/>
        <v/>
      </c>
    </row>
    <row r="1118" spans="1:10" ht="15" customHeight="1" x14ac:dyDescent="0.25">
      <c r="A1118" s="8" t="str">
        <f>IF(COUNT($J$2:$J$1501)&gt;=1117,1117,"")</f>
        <v/>
      </c>
      <c r="B1118" s="8" t="str">
        <f t="shared" si="85"/>
        <v/>
      </c>
      <c r="C1118" s="8" t="str">
        <f t="shared" si="86"/>
        <v/>
      </c>
      <c r="D1118" s="8" t="str">
        <f t="shared" si="87"/>
        <v/>
      </c>
      <c r="F1118" s="4" t="str">
        <f>IF(Jugadores!B1118="","",Jugadores!B1118)</f>
        <v/>
      </c>
      <c r="G1118" s="4" t="str">
        <f>IF(Jugadores!B1118="","",Jugadores!A1118)</f>
        <v/>
      </c>
      <c r="H1118" s="4" t="str">
        <f>IF(F1118="","",SUMIF('Estadísticas Jugadores'!$F$2:$F$7001,F1118,'Estadísticas Jugadores'!$L$2:$L$7001))</f>
        <v/>
      </c>
      <c r="I1118" s="4" t="str">
        <f t="shared" si="88"/>
        <v/>
      </c>
      <c r="J1118" s="4" t="str">
        <f t="shared" si="89"/>
        <v/>
      </c>
    </row>
    <row r="1119" spans="1:10" ht="15" customHeight="1" x14ac:dyDescent="0.25">
      <c r="A1119" s="8" t="str">
        <f>IF(COUNT($J$2:$J$1501)&gt;=1118,1118,"")</f>
        <v/>
      </c>
      <c r="B1119" s="8" t="str">
        <f t="shared" si="85"/>
        <v/>
      </c>
      <c r="C1119" s="8" t="str">
        <f t="shared" si="86"/>
        <v/>
      </c>
      <c r="D1119" s="8" t="str">
        <f t="shared" si="87"/>
        <v/>
      </c>
      <c r="F1119" s="4" t="str">
        <f>IF(Jugadores!B1119="","",Jugadores!B1119)</f>
        <v/>
      </c>
      <c r="G1119" s="4" t="str">
        <f>IF(Jugadores!B1119="","",Jugadores!A1119)</f>
        <v/>
      </c>
      <c r="H1119" s="4" t="str">
        <f>IF(F1119="","",SUMIF('Estadísticas Jugadores'!$F$2:$F$7001,F1119,'Estadísticas Jugadores'!$L$2:$L$7001))</f>
        <v/>
      </c>
      <c r="I1119" s="4" t="str">
        <f t="shared" si="88"/>
        <v/>
      </c>
      <c r="J1119" s="4" t="str">
        <f t="shared" si="89"/>
        <v/>
      </c>
    </row>
    <row r="1120" spans="1:10" ht="15" customHeight="1" x14ac:dyDescent="0.25">
      <c r="A1120" s="8" t="str">
        <f>IF(COUNT($J$2:$J$1501)&gt;=1119,1119,"")</f>
        <v/>
      </c>
      <c r="B1120" s="8" t="str">
        <f t="shared" si="85"/>
        <v/>
      </c>
      <c r="C1120" s="8" t="str">
        <f t="shared" si="86"/>
        <v/>
      </c>
      <c r="D1120" s="8" t="str">
        <f t="shared" si="87"/>
        <v/>
      </c>
      <c r="F1120" s="4" t="str">
        <f>IF(Jugadores!B1120="","",Jugadores!B1120)</f>
        <v/>
      </c>
      <c r="G1120" s="4" t="str">
        <f>IF(Jugadores!B1120="","",Jugadores!A1120)</f>
        <v/>
      </c>
      <c r="H1120" s="4" t="str">
        <f>IF(F1120="","",SUMIF('Estadísticas Jugadores'!$F$2:$F$7001,F1120,'Estadísticas Jugadores'!$L$2:$L$7001))</f>
        <v/>
      </c>
      <c r="I1120" s="4" t="str">
        <f t="shared" si="88"/>
        <v/>
      </c>
      <c r="J1120" s="4" t="str">
        <f t="shared" si="89"/>
        <v/>
      </c>
    </row>
    <row r="1121" spans="1:10" ht="15" customHeight="1" x14ac:dyDescent="0.25">
      <c r="A1121" s="8" t="str">
        <f>IF(COUNT($J$2:$J$1501)&gt;=1120,1120,"")</f>
        <v/>
      </c>
      <c r="B1121" s="8" t="str">
        <f t="shared" si="85"/>
        <v/>
      </c>
      <c r="C1121" s="8" t="str">
        <f t="shared" si="86"/>
        <v/>
      </c>
      <c r="D1121" s="8" t="str">
        <f t="shared" si="87"/>
        <v/>
      </c>
      <c r="F1121" s="4" t="str">
        <f>IF(Jugadores!B1121="","",Jugadores!B1121)</f>
        <v/>
      </c>
      <c r="G1121" s="4" t="str">
        <f>IF(Jugadores!B1121="","",Jugadores!A1121)</f>
        <v/>
      </c>
      <c r="H1121" s="4" t="str">
        <f>IF(F1121="","",SUMIF('Estadísticas Jugadores'!$F$2:$F$7001,F1121,'Estadísticas Jugadores'!$L$2:$L$7001))</f>
        <v/>
      </c>
      <c r="I1121" s="4" t="str">
        <f t="shared" si="88"/>
        <v/>
      </c>
      <c r="J1121" s="4" t="str">
        <f t="shared" si="89"/>
        <v/>
      </c>
    </row>
    <row r="1122" spans="1:10" ht="15" customHeight="1" x14ac:dyDescent="0.25">
      <c r="A1122" s="8" t="str">
        <f>IF(COUNT($J$2:$J$1501)&gt;=1121,1121,"")</f>
        <v/>
      </c>
      <c r="B1122" s="8" t="str">
        <f t="shared" si="85"/>
        <v/>
      </c>
      <c r="C1122" s="8" t="str">
        <f t="shared" si="86"/>
        <v/>
      </c>
      <c r="D1122" s="8" t="str">
        <f t="shared" si="87"/>
        <v/>
      </c>
      <c r="F1122" s="4" t="str">
        <f>IF(Jugadores!B1122="","",Jugadores!B1122)</f>
        <v/>
      </c>
      <c r="G1122" s="4" t="str">
        <f>IF(Jugadores!B1122="","",Jugadores!A1122)</f>
        <v/>
      </c>
      <c r="H1122" s="4" t="str">
        <f>IF(F1122="","",SUMIF('Estadísticas Jugadores'!$F$2:$F$7001,F1122,'Estadísticas Jugadores'!$L$2:$L$7001))</f>
        <v/>
      </c>
      <c r="I1122" s="4" t="str">
        <f t="shared" si="88"/>
        <v/>
      </c>
      <c r="J1122" s="4" t="str">
        <f t="shared" si="89"/>
        <v/>
      </c>
    </row>
    <row r="1123" spans="1:10" ht="15" customHeight="1" x14ac:dyDescent="0.25">
      <c r="A1123" s="8" t="str">
        <f>IF(COUNT($J$2:$J$1501)&gt;=1122,1122,"")</f>
        <v/>
      </c>
      <c r="B1123" s="8" t="str">
        <f t="shared" si="85"/>
        <v/>
      </c>
      <c r="C1123" s="8" t="str">
        <f t="shared" si="86"/>
        <v/>
      </c>
      <c r="D1123" s="8" t="str">
        <f t="shared" si="87"/>
        <v/>
      </c>
      <c r="F1123" s="4" t="str">
        <f>IF(Jugadores!B1123="","",Jugadores!B1123)</f>
        <v/>
      </c>
      <c r="G1123" s="4" t="str">
        <f>IF(Jugadores!B1123="","",Jugadores!A1123)</f>
        <v/>
      </c>
      <c r="H1123" s="4" t="str">
        <f>IF(F1123="","",SUMIF('Estadísticas Jugadores'!$F$2:$F$7001,F1123,'Estadísticas Jugadores'!$L$2:$L$7001))</f>
        <v/>
      </c>
      <c r="I1123" s="4" t="str">
        <f t="shared" si="88"/>
        <v/>
      </c>
      <c r="J1123" s="4" t="str">
        <f t="shared" si="89"/>
        <v/>
      </c>
    </row>
    <row r="1124" spans="1:10" ht="15" customHeight="1" x14ac:dyDescent="0.25">
      <c r="A1124" s="8" t="str">
        <f>IF(COUNT($J$2:$J$1501)&gt;=1123,1123,"")</f>
        <v/>
      </c>
      <c r="B1124" s="8" t="str">
        <f t="shared" si="85"/>
        <v/>
      </c>
      <c r="C1124" s="8" t="str">
        <f t="shared" si="86"/>
        <v/>
      </c>
      <c r="D1124" s="8" t="str">
        <f t="shared" si="87"/>
        <v/>
      </c>
      <c r="F1124" s="4" t="str">
        <f>IF(Jugadores!B1124="","",Jugadores!B1124)</f>
        <v/>
      </c>
      <c r="G1124" s="4" t="str">
        <f>IF(Jugadores!B1124="","",Jugadores!A1124)</f>
        <v/>
      </c>
      <c r="H1124" s="4" t="str">
        <f>IF(F1124="","",SUMIF('Estadísticas Jugadores'!$F$2:$F$7001,F1124,'Estadísticas Jugadores'!$L$2:$L$7001))</f>
        <v/>
      </c>
      <c r="I1124" s="4" t="str">
        <f t="shared" si="88"/>
        <v/>
      </c>
      <c r="J1124" s="4" t="str">
        <f t="shared" si="89"/>
        <v/>
      </c>
    </row>
    <row r="1125" spans="1:10" ht="15" customHeight="1" x14ac:dyDescent="0.25">
      <c r="A1125" s="8" t="str">
        <f>IF(COUNT($J$2:$J$1501)&gt;=1124,1124,"")</f>
        <v/>
      </c>
      <c r="B1125" s="8" t="str">
        <f t="shared" si="85"/>
        <v/>
      </c>
      <c r="C1125" s="8" t="str">
        <f t="shared" si="86"/>
        <v/>
      </c>
      <c r="D1125" s="8" t="str">
        <f t="shared" si="87"/>
        <v/>
      </c>
      <c r="F1125" s="4" t="str">
        <f>IF(Jugadores!B1125="","",Jugadores!B1125)</f>
        <v/>
      </c>
      <c r="G1125" s="4" t="str">
        <f>IF(Jugadores!B1125="","",Jugadores!A1125)</f>
        <v/>
      </c>
      <c r="H1125" s="4" t="str">
        <f>IF(F1125="","",SUMIF('Estadísticas Jugadores'!$F$2:$F$7001,F1125,'Estadísticas Jugadores'!$L$2:$L$7001))</f>
        <v/>
      </c>
      <c r="I1125" s="4" t="str">
        <f t="shared" si="88"/>
        <v/>
      </c>
      <c r="J1125" s="4" t="str">
        <f t="shared" si="89"/>
        <v/>
      </c>
    </row>
    <row r="1126" spans="1:10" ht="15" customHeight="1" x14ac:dyDescent="0.25">
      <c r="A1126" s="8" t="str">
        <f>IF(COUNT($J$2:$J$1501)&gt;=1125,1125,"")</f>
        <v/>
      </c>
      <c r="B1126" s="8" t="str">
        <f t="shared" si="85"/>
        <v/>
      </c>
      <c r="C1126" s="8" t="str">
        <f t="shared" si="86"/>
        <v/>
      </c>
      <c r="D1126" s="8" t="str">
        <f t="shared" si="87"/>
        <v/>
      </c>
      <c r="F1126" s="4" t="str">
        <f>IF(Jugadores!B1126="","",Jugadores!B1126)</f>
        <v/>
      </c>
      <c r="G1126" s="4" t="str">
        <f>IF(Jugadores!B1126="","",Jugadores!A1126)</f>
        <v/>
      </c>
      <c r="H1126" s="4" t="str">
        <f>IF(F1126="","",SUMIF('Estadísticas Jugadores'!$F$2:$F$7001,F1126,'Estadísticas Jugadores'!$L$2:$L$7001))</f>
        <v/>
      </c>
      <c r="I1126" s="4" t="str">
        <f t="shared" si="88"/>
        <v/>
      </c>
      <c r="J1126" s="4" t="str">
        <f t="shared" si="89"/>
        <v/>
      </c>
    </row>
    <row r="1127" spans="1:10" ht="15" customHeight="1" x14ac:dyDescent="0.25">
      <c r="A1127" s="8" t="str">
        <f>IF(COUNT($J$2:$J$1501)&gt;=1126,1126,"")</f>
        <v/>
      </c>
      <c r="B1127" s="8" t="str">
        <f t="shared" si="85"/>
        <v/>
      </c>
      <c r="C1127" s="8" t="str">
        <f t="shared" si="86"/>
        <v/>
      </c>
      <c r="D1127" s="8" t="str">
        <f t="shared" si="87"/>
        <v/>
      </c>
      <c r="F1127" s="4" t="str">
        <f>IF(Jugadores!B1127="","",Jugadores!B1127)</f>
        <v/>
      </c>
      <c r="G1127" s="4" t="str">
        <f>IF(Jugadores!B1127="","",Jugadores!A1127)</f>
        <v/>
      </c>
      <c r="H1127" s="4" t="str">
        <f>IF(F1127="","",SUMIF('Estadísticas Jugadores'!$F$2:$F$7001,F1127,'Estadísticas Jugadores'!$L$2:$L$7001))</f>
        <v/>
      </c>
      <c r="I1127" s="4" t="str">
        <f t="shared" si="88"/>
        <v/>
      </c>
      <c r="J1127" s="4" t="str">
        <f t="shared" si="89"/>
        <v/>
      </c>
    </row>
    <row r="1128" spans="1:10" ht="15" customHeight="1" x14ac:dyDescent="0.25">
      <c r="A1128" s="8" t="str">
        <f>IF(COUNT($J$2:$J$1501)&gt;=1127,1127,"")</f>
        <v/>
      </c>
      <c r="B1128" s="8" t="str">
        <f t="shared" si="85"/>
        <v/>
      </c>
      <c r="C1128" s="8" t="str">
        <f t="shared" si="86"/>
        <v/>
      </c>
      <c r="D1128" s="8" t="str">
        <f t="shared" si="87"/>
        <v/>
      </c>
      <c r="F1128" s="4" t="str">
        <f>IF(Jugadores!B1128="","",Jugadores!B1128)</f>
        <v/>
      </c>
      <c r="G1128" s="4" t="str">
        <f>IF(Jugadores!B1128="","",Jugadores!A1128)</f>
        <v/>
      </c>
      <c r="H1128" s="4" t="str">
        <f>IF(F1128="","",SUMIF('Estadísticas Jugadores'!$F$2:$F$7001,F1128,'Estadísticas Jugadores'!$L$2:$L$7001))</f>
        <v/>
      </c>
      <c r="I1128" s="4" t="str">
        <f t="shared" si="88"/>
        <v/>
      </c>
      <c r="J1128" s="4" t="str">
        <f t="shared" si="89"/>
        <v/>
      </c>
    </row>
    <row r="1129" spans="1:10" ht="15" customHeight="1" x14ac:dyDescent="0.25">
      <c r="A1129" s="8" t="str">
        <f>IF(COUNT($J$2:$J$1501)&gt;=1128,1128,"")</f>
        <v/>
      </c>
      <c r="B1129" s="8" t="str">
        <f t="shared" si="85"/>
        <v/>
      </c>
      <c r="C1129" s="8" t="str">
        <f t="shared" si="86"/>
        <v/>
      </c>
      <c r="D1129" s="8" t="str">
        <f t="shared" si="87"/>
        <v/>
      </c>
      <c r="F1129" s="4" t="str">
        <f>IF(Jugadores!B1129="","",Jugadores!B1129)</f>
        <v/>
      </c>
      <c r="G1129" s="4" t="str">
        <f>IF(Jugadores!B1129="","",Jugadores!A1129)</f>
        <v/>
      </c>
      <c r="H1129" s="4" t="str">
        <f>IF(F1129="","",SUMIF('Estadísticas Jugadores'!$F$2:$F$7001,F1129,'Estadísticas Jugadores'!$L$2:$L$7001))</f>
        <v/>
      </c>
      <c r="I1129" s="4" t="str">
        <f t="shared" si="88"/>
        <v/>
      </c>
      <c r="J1129" s="4" t="str">
        <f t="shared" si="89"/>
        <v/>
      </c>
    </row>
    <row r="1130" spans="1:10" ht="15" customHeight="1" x14ac:dyDescent="0.25">
      <c r="A1130" s="8" t="str">
        <f>IF(COUNT($J$2:$J$1501)&gt;=1129,1129,"")</f>
        <v/>
      </c>
      <c r="B1130" s="8" t="str">
        <f t="shared" si="85"/>
        <v/>
      </c>
      <c r="C1130" s="8" t="str">
        <f t="shared" si="86"/>
        <v/>
      </c>
      <c r="D1130" s="8" t="str">
        <f t="shared" si="87"/>
        <v/>
      </c>
      <c r="F1130" s="4" t="str">
        <f>IF(Jugadores!B1130="","",Jugadores!B1130)</f>
        <v/>
      </c>
      <c r="G1130" s="4" t="str">
        <f>IF(Jugadores!B1130="","",Jugadores!A1130)</f>
        <v/>
      </c>
      <c r="H1130" s="4" t="str">
        <f>IF(F1130="","",SUMIF('Estadísticas Jugadores'!$F$2:$F$7001,F1130,'Estadísticas Jugadores'!$L$2:$L$7001))</f>
        <v/>
      </c>
      <c r="I1130" s="4" t="str">
        <f t="shared" si="88"/>
        <v/>
      </c>
      <c r="J1130" s="4" t="str">
        <f t="shared" si="89"/>
        <v/>
      </c>
    </row>
    <row r="1131" spans="1:10" ht="15" customHeight="1" x14ac:dyDescent="0.25">
      <c r="A1131" s="8" t="str">
        <f>IF(COUNT($J$2:$J$1501)&gt;=1130,1130,"")</f>
        <v/>
      </c>
      <c r="B1131" s="8" t="str">
        <f t="shared" si="85"/>
        <v/>
      </c>
      <c r="C1131" s="8" t="str">
        <f t="shared" si="86"/>
        <v/>
      </c>
      <c r="D1131" s="8" t="str">
        <f t="shared" si="87"/>
        <v/>
      </c>
      <c r="F1131" s="4" t="str">
        <f>IF(Jugadores!B1131="","",Jugadores!B1131)</f>
        <v/>
      </c>
      <c r="G1131" s="4" t="str">
        <f>IF(Jugadores!B1131="","",Jugadores!A1131)</f>
        <v/>
      </c>
      <c r="H1131" s="4" t="str">
        <f>IF(F1131="","",SUMIF('Estadísticas Jugadores'!$F$2:$F$7001,F1131,'Estadísticas Jugadores'!$L$2:$L$7001))</f>
        <v/>
      </c>
      <c r="I1131" s="4" t="str">
        <f t="shared" si="88"/>
        <v/>
      </c>
      <c r="J1131" s="4" t="str">
        <f t="shared" si="89"/>
        <v/>
      </c>
    </row>
    <row r="1132" spans="1:10" ht="15" customHeight="1" x14ac:dyDescent="0.25">
      <c r="A1132" s="8" t="str">
        <f>IF(COUNT($J$2:$J$1501)&gt;=1131,1131,"")</f>
        <v/>
      </c>
      <c r="B1132" s="8" t="str">
        <f t="shared" si="85"/>
        <v/>
      </c>
      <c r="C1132" s="8" t="str">
        <f t="shared" si="86"/>
        <v/>
      </c>
      <c r="D1132" s="8" t="str">
        <f t="shared" si="87"/>
        <v/>
      </c>
      <c r="F1132" s="4" t="str">
        <f>IF(Jugadores!B1132="","",Jugadores!B1132)</f>
        <v/>
      </c>
      <c r="G1132" s="4" t="str">
        <f>IF(Jugadores!B1132="","",Jugadores!A1132)</f>
        <v/>
      </c>
      <c r="H1132" s="4" t="str">
        <f>IF(F1132="","",SUMIF('Estadísticas Jugadores'!$F$2:$F$7001,F1132,'Estadísticas Jugadores'!$L$2:$L$7001))</f>
        <v/>
      </c>
      <c r="I1132" s="4" t="str">
        <f t="shared" si="88"/>
        <v/>
      </c>
      <c r="J1132" s="4" t="str">
        <f t="shared" si="89"/>
        <v/>
      </c>
    </row>
    <row r="1133" spans="1:10" ht="15" customHeight="1" x14ac:dyDescent="0.25">
      <c r="A1133" s="8" t="str">
        <f>IF(COUNT($J$2:$J$1501)&gt;=1132,1132,"")</f>
        <v/>
      </c>
      <c r="B1133" s="8" t="str">
        <f t="shared" si="85"/>
        <v/>
      </c>
      <c r="C1133" s="8" t="str">
        <f t="shared" si="86"/>
        <v/>
      </c>
      <c r="D1133" s="8" t="str">
        <f t="shared" si="87"/>
        <v/>
      </c>
      <c r="F1133" s="4" t="str">
        <f>IF(Jugadores!B1133="","",Jugadores!B1133)</f>
        <v/>
      </c>
      <c r="G1133" s="4" t="str">
        <f>IF(Jugadores!B1133="","",Jugadores!A1133)</f>
        <v/>
      </c>
      <c r="H1133" s="4" t="str">
        <f>IF(F1133="","",SUMIF('Estadísticas Jugadores'!$F$2:$F$7001,F1133,'Estadísticas Jugadores'!$L$2:$L$7001))</f>
        <v/>
      </c>
      <c r="I1133" s="4" t="str">
        <f t="shared" si="88"/>
        <v/>
      </c>
      <c r="J1133" s="4" t="str">
        <f t="shared" si="89"/>
        <v/>
      </c>
    </row>
    <row r="1134" spans="1:10" ht="15" customHeight="1" x14ac:dyDescent="0.25">
      <c r="A1134" s="8" t="str">
        <f>IF(COUNT($J$2:$J$1501)&gt;=1133,1133,"")</f>
        <v/>
      </c>
      <c r="B1134" s="8" t="str">
        <f t="shared" si="85"/>
        <v/>
      </c>
      <c r="C1134" s="8" t="str">
        <f t="shared" si="86"/>
        <v/>
      </c>
      <c r="D1134" s="8" t="str">
        <f t="shared" si="87"/>
        <v/>
      </c>
      <c r="F1134" s="4" t="str">
        <f>IF(Jugadores!B1134="","",Jugadores!B1134)</f>
        <v/>
      </c>
      <c r="G1134" s="4" t="str">
        <f>IF(Jugadores!B1134="","",Jugadores!A1134)</f>
        <v/>
      </c>
      <c r="H1134" s="4" t="str">
        <f>IF(F1134="","",SUMIF('Estadísticas Jugadores'!$F$2:$F$7001,F1134,'Estadísticas Jugadores'!$L$2:$L$7001))</f>
        <v/>
      </c>
      <c r="I1134" s="4" t="str">
        <f t="shared" si="88"/>
        <v/>
      </c>
      <c r="J1134" s="4" t="str">
        <f t="shared" si="89"/>
        <v/>
      </c>
    </row>
    <row r="1135" spans="1:10" ht="15" customHeight="1" x14ac:dyDescent="0.25">
      <c r="A1135" s="8" t="str">
        <f>IF(COUNT($J$2:$J$1501)&gt;=1134,1134,"")</f>
        <v/>
      </c>
      <c r="B1135" s="8" t="str">
        <f t="shared" si="85"/>
        <v/>
      </c>
      <c r="C1135" s="8" t="str">
        <f t="shared" si="86"/>
        <v/>
      </c>
      <c r="D1135" s="8" t="str">
        <f t="shared" si="87"/>
        <v/>
      </c>
      <c r="F1135" s="4" t="str">
        <f>IF(Jugadores!B1135="","",Jugadores!B1135)</f>
        <v/>
      </c>
      <c r="G1135" s="4" t="str">
        <f>IF(Jugadores!B1135="","",Jugadores!A1135)</f>
        <v/>
      </c>
      <c r="H1135" s="4" t="str">
        <f>IF(F1135="","",SUMIF('Estadísticas Jugadores'!$F$2:$F$7001,F1135,'Estadísticas Jugadores'!$L$2:$L$7001))</f>
        <v/>
      </c>
      <c r="I1135" s="4" t="str">
        <f t="shared" si="88"/>
        <v/>
      </c>
      <c r="J1135" s="4" t="str">
        <f t="shared" si="89"/>
        <v/>
      </c>
    </row>
    <row r="1136" spans="1:10" ht="15" customHeight="1" x14ac:dyDescent="0.25">
      <c r="A1136" s="8" t="str">
        <f>IF(COUNT($J$2:$J$1501)&gt;=1135,1135,"")</f>
        <v/>
      </c>
      <c r="B1136" s="8" t="str">
        <f t="shared" si="85"/>
        <v/>
      </c>
      <c r="C1136" s="8" t="str">
        <f t="shared" si="86"/>
        <v/>
      </c>
      <c r="D1136" s="8" t="str">
        <f t="shared" si="87"/>
        <v/>
      </c>
      <c r="F1136" s="4" t="str">
        <f>IF(Jugadores!B1136="","",Jugadores!B1136)</f>
        <v/>
      </c>
      <c r="G1136" s="4" t="str">
        <f>IF(Jugadores!B1136="","",Jugadores!A1136)</f>
        <v/>
      </c>
      <c r="H1136" s="4" t="str">
        <f>IF(F1136="","",SUMIF('Estadísticas Jugadores'!$F$2:$F$7001,F1136,'Estadísticas Jugadores'!$L$2:$L$7001))</f>
        <v/>
      </c>
      <c r="I1136" s="4" t="str">
        <f t="shared" si="88"/>
        <v/>
      </c>
      <c r="J1136" s="4" t="str">
        <f t="shared" si="89"/>
        <v/>
      </c>
    </row>
    <row r="1137" spans="1:10" ht="15" customHeight="1" x14ac:dyDescent="0.25">
      <c r="A1137" s="8" t="str">
        <f>IF(COUNT($J$2:$J$1501)&gt;=1136,1136,"")</f>
        <v/>
      </c>
      <c r="B1137" s="8" t="str">
        <f t="shared" si="85"/>
        <v/>
      </c>
      <c r="C1137" s="8" t="str">
        <f t="shared" si="86"/>
        <v/>
      </c>
      <c r="D1137" s="8" t="str">
        <f t="shared" si="87"/>
        <v/>
      </c>
      <c r="F1137" s="4" t="str">
        <f>IF(Jugadores!B1137="","",Jugadores!B1137)</f>
        <v/>
      </c>
      <c r="G1137" s="4" t="str">
        <f>IF(Jugadores!B1137="","",Jugadores!A1137)</f>
        <v/>
      </c>
      <c r="H1137" s="4" t="str">
        <f>IF(F1137="","",SUMIF('Estadísticas Jugadores'!$F$2:$F$7001,F1137,'Estadísticas Jugadores'!$L$2:$L$7001))</f>
        <v/>
      </c>
      <c r="I1137" s="4" t="str">
        <f t="shared" si="88"/>
        <v/>
      </c>
      <c r="J1137" s="4" t="str">
        <f t="shared" si="89"/>
        <v/>
      </c>
    </row>
    <row r="1138" spans="1:10" ht="15" customHeight="1" x14ac:dyDescent="0.25">
      <c r="A1138" s="8" t="str">
        <f>IF(COUNT($J$2:$J$1501)&gt;=1137,1137,"")</f>
        <v/>
      </c>
      <c r="B1138" s="8" t="str">
        <f t="shared" si="85"/>
        <v/>
      </c>
      <c r="C1138" s="8" t="str">
        <f t="shared" si="86"/>
        <v/>
      </c>
      <c r="D1138" s="8" t="str">
        <f t="shared" si="87"/>
        <v/>
      </c>
      <c r="F1138" s="4" t="str">
        <f>IF(Jugadores!B1138="","",Jugadores!B1138)</f>
        <v/>
      </c>
      <c r="G1138" s="4" t="str">
        <f>IF(Jugadores!B1138="","",Jugadores!A1138)</f>
        <v/>
      </c>
      <c r="H1138" s="4" t="str">
        <f>IF(F1138="","",SUMIF('Estadísticas Jugadores'!$F$2:$F$7001,F1138,'Estadísticas Jugadores'!$L$2:$L$7001))</f>
        <v/>
      </c>
      <c r="I1138" s="4" t="str">
        <f t="shared" si="88"/>
        <v/>
      </c>
      <c r="J1138" s="4" t="str">
        <f t="shared" si="89"/>
        <v/>
      </c>
    </row>
    <row r="1139" spans="1:10" ht="15" customHeight="1" x14ac:dyDescent="0.25">
      <c r="A1139" s="8" t="str">
        <f>IF(COUNT($J$2:$J$1501)&gt;=1138,1138,"")</f>
        <v/>
      </c>
      <c r="B1139" s="8" t="str">
        <f t="shared" si="85"/>
        <v/>
      </c>
      <c r="C1139" s="8" t="str">
        <f t="shared" si="86"/>
        <v/>
      </c>
      <c r="D1139" s="8" t="str">
        <f t="shared" si="87"/>
        <v/>
      </c>
      <c r="F1139" s="4" t="str">
        <f>IF(Jugadores!B1139="","",Jugadores!B1139)</f>
        <v/>
      </c>
      <c r="G1139" s="4" t="str">
        <f>IF(Jugadores!B1139="","",Jugadores!A1139)</f>
        <v/>
      </c>
      <c r="H1139" s="4" t="str">
        <f>IF(F1139="","",SUMIF('Estadísticas Jugadores'!$F$2:$F$7001,F1139,'Estadísticas Jugadores'!$L$2:$L$7001))</f>
        <v/>
      </c>
      <c r="I1139" s="4" t="str">
        <f t="shared" si="88"/>
        <v/>
      </c>
      <c r="J1139" s="4" t="str">
        <f t="shared" si="89"/>
        <v/>
      </c>
    </row>
    <row r="1140" spans="1:10" ht="15" customHeight="1" x14ac:dyDescent="0.25">
      <c r="A1140" s="8" t="str">
        <f>IF(COUNT($J$2:$J$1501)&gt;=1139,1139,"")</f>
        <v/>
      </c>
      <c r="B1140" s="8" t="str">
        <f t="shared" si="85"/>
        <v/>
      </c>
      <c r="C1140" s="8" t="str">
        <f t="shared" si="86"/>
        <v/>
      </c>
      <c r="D1140" s="8" t="str">
        <f t="shared" si="87"/>
        <v/>
      </c>
      <c r="F1140" s="4" t="str">
        <f>IF(Jugadores!B1140="","",Jugadores!B1140)</f>
        <v/>
      </c>
      <c r="G1140" s="4" t="str">
        <f>IF(Jugadores!B1140="","",Jugadores!A1140)</f>
        <v/>
      </c>
      <c r="H1140" s="4" t="str">
        <f>IF(F1140="","",SUMIF('Estadísticas Jugadores'!$F$2:$F$7001,F1140,'Estadísticas Jugadores'!$L$2:$L$7001))</f>
        <v/>
      </c>
      <c r="I1140" s="4" t="str">
        <f t="shared" si="88"/>
        <v/>
      </c>
      <c r="J1140" s="4" t="str">
        <f t="shared" si="89"/>
        <v/>
      </c>
    </row>
    <row r="1141" spans="1:10" ht="15" customHeight="1" x14ac:dyDescent="0.25">
      <c r="A1141" s="8" t="str">
        <f>IF(COUNT($J$2:$J$1501)&gt;=1140,1140,"")</f>
        <v/>
      </c>
      <c r="B1141" s="8" t="str">
        <f t="shared" si="85"/>
        <v/>
      </c>
      <c r="C1141" s="8" t="str">
        <f t="shared" si="86"/>
        <v/>
      </c>
      <c r="D1141" s="8" t="str">
        <f t="shared" si="87"/>
        <v/>
      </c>
      <c r="F1141" s="4" t="str">
        <f>IF(Jugadores!B1141="","",Jugadores!B1141)</f>
        <v/>
      </c>
      <c r="G1141" s="4" t="str">
        <f>IF(Jugadores!B1141="","",Jugadores!A1141)</f>
        <v/>
      </c>
      <c r="H1141" s="4" t="str">
        <f>IF(F1141="","",SUMIF('Estadísticas Jugadores'!$F$2:$F$7001,F1141,'Estadísticas Jugadores'!$L$2:$L$7001))</f>
        <v/>
      </c>
      <c r="I1141" s="4" t="str">
        <f t="shared" si="88"/>
        <v/>
      </c>
      <c r="J1141" s="4" t="str">
        <f t="shared" si="89"/>
        <v/>
      </c>
    </row>
    <row r="1142" spans="1:10" ht="15" customHeight="1" x14ac:dyDescent="0.25">
      <c r="A1142" s="8" t="str">
        <f>IF(COUNT($J$2:$J$1501)&gt;=1141,1141,"")</f>
        <v/>
      </c>
      <c r="B1142" s="8" t="str">
        <f t="shared" si="85"/>
        <v/>
      </c>
      <c r="C1142" s="8" t="str">
        <f t="shared" si="86"/>
        <v/>
      </c>
      <c r="D1142" s="8" t="str">
        <f t="shared" si="87"/>
        <v/>
      </c>
      <c r="F1142" s="4" t="str">
        <f>IF(Jugadores!B1142="","",Jugadores!B1142)</f>
        <v/>
      </c>
      <c r="G1142" s="4" t="str">
        <f>IF(Jugadores!B1142="","",Jugadores!A1142)</f>
        <v/>
      </c>
      <c r="H1142" s="4" t="str">
        <f>IF(F1142="","",SUMIF('Estadísticas Jugadores'!$F$2:$F$7001,F1142,'Estadísticas Jugadores'!$L$2:$L$7001))</f>
        <v/>
      </c>
      <c r="I1142" s="4" t="str">
        <f t="shared" si="88"/>
        <v/>
      </c>
      <c r="J1142" s="4" t="str">
        <f t="shared" si="89"/>
        <v/>
      </c>
    </row>
    <row r="1143" spans="1:10" ht="15" customHeight="1" x14ac:dyDescent="0.25">
      <c r="A1143" s="8" t="str">
        <f>IF(COUNT($J$2:$J$1501)&gt;=1142,1142,"")</f>
        <v/>
      </c>
      <c r="B1143" s="8" t="str">
        <f t="shared" si="85"/>
        <v/>
      </c>
      <c r="C1143" s="8" t="str">
        <f t="shared" si="86"/>
        <v/>
      </c>
      <c r="D1143" s="8" t="str">
        <f t="shared" si="87"/>
        <v/>
      </c>
      <c r="F1143" s="4" t="str">
        <f>IF(Jugadores!B1143="","",Jugadores!B1143)</f>
        <v/>
      </c>
      <c r="G1143" s="4" t="str">
        <f>IF(Jugadores!B1143="","",Jugadores!A1143)</f>
        <v/>
      </c>
      <c r="H1143" s="4" t="str">
        <f>IF(F1143="","",SUMIF('Estadísticas Jugadores'!$F$2:$F$7001,F1143,'Estadísticas Jugadores'!$L$2:$L$7001))</f>
        <v/>
      </c>
      <c r="I1143" s="4" t="str">
        <f t="shared" si="88"/>
        <v/>
      </c>
      <c r="J1143" s="4" t="str">
        <f t="shared" si="89"/>
        <v/>
      </c>
    </row>
    <row r="1144" spans="1:10" ht="15" customHeight="1" x14ac:dyDescent="0.25">
      <c r="A1144" s="8" t="str">
        <f>IF(COUNT($J$2:$J$1501)&gt;=1143,1143,"")</f>
        <v/>
      </c>
      <c r="B1144" s="8" t="str">
        <f t="shared" si="85"/>
        <v/>
      </c>
      <c r="C1144" s="8" t="str">
        <f t="shared" si="86"/>
        <v/>
      </c>
      <c r="D1144" s="8" t="str">
        <f t="shared" si="87"/>
        <v/>
      </c>
      <c r="F1144" s="4" t="str">
        <f>IF(Jugadores!B1144="","",Jugadores!B1144)</f>
        <v/>
      </c>
      <c r="G1144" s="4" t="str">
        <f>IF(Jugadores!B1144="","",Jugadores!A1144)</f>
        <v/>
      </c>
      <c r="H1144" s="4" t="str">
        <f>IF(F1144="","",SUMIF('Estadísticas Jugadores'!$F$2:$F$7001,F1144,'Estadísticas Jugadores'!$L$2:$L$7001))</f>
        <v/>
      </c>
      <c r="I1144" s="4" t="str">
        <f t="shared" si="88"/>
        <v/>
      </c>
      <c r="J1144" s="4" t="str">
        <f t="shared" si="89"/>
        <v/>
      </c>
    </row>
    <row r="1145" spans="1:10" ht="15" customHeight="1" x14ac:dyDescent="0.25">
      <c r="A1145" s="8" t="str">
        <f>IF(COUNT($J$2:$J$1501)&gt;=1144,1144,"")</f>
        <v/>
      </c>
      <c r="B1145" s="8" t="str">
        <f t="shared" si="85"/>
        <v/>
      </c>
      <c r="C1145" s="8" t="str">
        <f t="shared" si="86"/>
        <v/>
      </c>
      <c r="D1145" s="8" t="str">
        <f t="shared" si="87"/>
        <v/>
      </c>
      <c r="F1145" s="4" t="str">
        <f>IF(Jugadores!B1145="","",Jugadores!B1145)</f>
        <v/>
      </c>
      <c r="G1145" s="4" t="str">
        <f>IF(Jugadores!B1145="","",Jugadores!A1145)</f>
        <v/>
      </c>
      <c r="H1145" s="4" t="str">
        <f>IF(F1145="","",SUMIF('Estadísticas Jugadores'!$F$2:$F$7001,F1145,'Estadísticas Jugadores'!$L$2:$L$7001))</f>
        <v/>
      </c>
      <c r="I1145" s="4" t="str">
        <f t="shared" si="88"/>
        <v/>
      </c>
      <c r="J1145" s="4" t="str">
        <f t="shared" si="89"/>
        <v/>
      </c>
    </row>
    <row r="1146" spans="1:10" ht="15" customHeight="1" x14ac:dyDescent="0.25">
      <c r="A1146" s="8" t="str">
        <f>IF(COUNT($J$2:$J$1501)&gt;=1145,1145,"")</f>
        <v/>
      </c>
      <c r="B1146" s="8" t="str">
        <f t="shared" si="85"/>
        <v/>
      </c>
      <c r="C1146" s="8" t="str">
        <f t="shared" si="86"/>
        <v/>
      </c>
      <c r="D1146" s="8" t="str">
        <f t="shared" si="87"/>
        <v/>
      </c>
      <c r="F1146" s="4" t="str">
        <f>IF(Jugadores!B1146="","",Jugadores!B1146)</f>
        <v/>
      </c>
      <c r="G1146" s="4" t="str">
        <f>IF(Jugadores!B1146="","",Jugadores!A1146)</f>
        <v/>
      </c>
      <c r="H1146" s="4" t="str">
        <f>IF(F1146="","",SUMIF('Estadísticas Jugadores'!$F$2:$F$7001,F1146,'Estadísticas Jugadores'!$L$2:$L$7001))</f>
        <v/>
      </c>
      <c r="I1146" s="4" t="str">
        <f t="shared" si="88"/>
        <v/>
      </c>
      <c r="J1146" s="4" t="str">
        <f t="shared" si="89"/>
        <v/>
      </c>
    </row>
    <row r="1147" spans="1:10" ht="15" customHeight="1" x14ac:dyDescent="0.25">
      <c r="A1147" s="8" t="str">
        <f>IF(COUNT($J$2:$J$1501)&gt;=1146,1146,"")</f>
        <v/>
      </c>
      <c r="B1147" s="8" t="str">
        <f t="shared" si="85"/>
        <v/>
      </c>
      <c r="C1147" s="8" t="str">
        <f t="shared" si="86"/>
        <v/>
      </c>
      <c r="D1147" s="8" t="str">
        <f t="shared" si="87"/>
        <v/>
      </c>
      <c r="F1147" s="4" t="str">
        <f>IF(Jugadores!B1147="","",Jugadores!B1147)</f>
        <v/>
      </c>
      <c r="G1147" s="4" t="str">
        <f>IF(Jugadores!B1147="","",Jugadores!A1147)</f>
        <v/>
      </c>
      <c r="H1147" s="4" t="str">
        <f>IF(F1147="","",SUMIF('Estadísticas Jugadores'!$F$2:$F$7001,F1147,'Estadísticas Jugadores'!$L$2:$L$7001))</f>
        <v/>
      </c>
      <c r="I1147" s="4" t="str">
        <f t="shared" si="88"/>
        <v/>
      </c>
      <c r="J1147" s="4" t="str">
        <f t="shared" si="89"/>
        <v/>
      </c>
    </row>
    <row r="1148" spans="1:10" ht="15" customHeight="1" x14ac:dyDescent="0.25">
      <c r="A1148" s="8" t="str">
        <f>IF(COUNT($J$2:$J$1501)&gt;=1147,1147,"")</f>
        <v/>
      </c>
      <c r="B1148" s="8" t="str">
        <f t="shared" si="85"/>
        <v/>
      </c>
      <c r="C1148" s="8" t="str">
        <f t="shared" si="86"/>
        <v/>
      </c>
      <c r="D1148" s="8" t="str">
        <f t="shared" si="87"/>
        <v/>
      </c>
      <c r="F1148" s="4" t="str">
        <f>IF(Jugadores!B1148="","",Jugadores!B1148)</f>
        <v/>
      </c>
      <c r="G1148" s="4" t="str">
        <f>IF(Jugadores!B1148="","",Jugadores!A1148)</f>
        <v/>
      </c>
      <c r="H1148" s="4" t="str">
        <f>IF(F1148="","",SUMIF('Estadísticas Jugadores'!$F$2:$F$7001,F1148,'Estadísticas Jugadores'!$L$2:$L$7001))</f>
        <v/>
      </c>
      <c r="I1148" s="4" t="str">
        <f t="shared" si="88"/>
        <v/>
      </c>
      <c r="J1148" s="4" t="str">
        <f t="shared" si="89"/>
        <v/>
      </c>
    </row>
    <row r="1149" spans="1:10" ht="15" customHeight="1" x14ac:dyDescent="0.25">
      <c r="A1149" s="8" t="str">
        <f>IF(COUNT($J$2:$J$1501)&gt;=1148,1148,"")</f>
        <v/>
      </c>
      <c r="B1149" s="8" t="str">
        <f t="shared" si="85"/>
        <v/>
      </c>
      <c r="C1149" s="8" t="str">
        <f t="shared" si="86"/>
        <v/>
      </c>
      <c r="D1149" s="8" t="str">
        <f t="shared" si="87"/>
        <v/>
      </c>
      <c r="F1149" s="4" t="str">
        <f>IF(Jugadores!B1149="","",Jugadores!B1149)</f>
        <v/>
      </c>
      <c r="G1149" s="4" t="str">
        <f>IF(Jugadores!B1149="","",Jugadores!A1149)</f>
        <v/>
      </c>
      <c r="H1149" s="4" t="str">
        <f>IF(F1149="","",SUMIF('Estadísticas Jugadores'!$F$2:$F$7001,F1149,'Estadísticas Jugadores'!$L$2:$L$7001))</f>
        <v/>
      </c>
      <c r="I1149" s="4" t="str">
        <f t="shared" si="88"/>
        <v/>
      </c>
      <c r="J1149" s="4" t="str">
        <f t="shared" si="89"/>
        <v/>
      </c>
    </row>
    <row r="1150" spans="1:10" ht="15" customHeight="1" x14ac:dyDescent="0.25">
      <c r="A1150" s="8" t="str">
        <f>IF(COUNT($J$2:$J$1501)&gt;=1149,1149,"")</f>
        <v/>
      </c>
      <c r="B1150" s="8" t="str">
        <f t="shared" si="85"/>
        <v/>
      </c>
      <c r="C1150" s="8" t="str">
        <f t="shared" si="86"/>
        <v/>
      </c>
      <c r="D1150" s="8" t="str">
        <f t="shared" si="87"/>
        <v/>
      </c>
      <c r="F1150" s="4" t="str">
        <f>IF(Jugadores!B1150="","",Jugadores!B1150)</f>
        <v/>
      </c>
      <c r="G1150" s="4" t="str">
        <f>IF(Jugadores!B1150="","",Jugadores!A1150)</f>
        <v/>
      </c>
      <c r="H1150" s="4" t="str">
        <f>IF(F1150="","",SUMIF('Estadísticas Jugadores'!$F$2:$F$7001,F1150,'Estadísticas Jugadores'!$L$2:$L$7001))</f>
        <v/>
      </c>
      <c r="I1150" s="4" t="str">
        <f t="shared" si="88"/>
        <v/>
      </c>
      <c r="J1150" s="4" t="str">
        <f t="shared" si="89"/>
        <v/>
      </c>
    </row>
    <row r="1151" spans="1:10" ht="15" customHeight="1" x14ac:dyDescent="0.25">
      <c r="A1151" s="8" t="str">
        <f>IF(COUNT($J$2:$J$1501)&gt;=1150,1150,"")</f>
        <v/>
      </c>
      <c r="B1151" s="8" t="str">
        <f t="shared" si="85"/>
        <v/>
      </c>
      <c r="C1151" s="8" t="str">
        <f t="shared" si="86"/>
        <v/>
      </c>
      <c r="D1151" s="8" t="str">
        <f t="shared" si="87"/>
        <v/>
      </c>
      <c r="F1151" s="4" t="str">
        <f>IF(Jugadores!B1151="","",Jugadores!B1151)</f>
        <v/>
      </c>
      <c r="G1151" s="4" t="str">
        <f>IF(Jugadores!B1151="","",Jugadores!A1151)</f>
        <v/>
      </c>
      <c r="H1151" s="4" t="str">
        <f>IF(F1151="","",SUMIF('Estadísticas Jugadores'!$F$2:$F$7001,F1151,'Estadísticas Jugadores'!$L$2:$L$7001))</f>
        <v/>
      </c>
      <c r="I1151" s="4" t="str">
        <f t="shared" si="88"/>
        <v/>
      </c>
      <c r="J1151" s="4" t="str">
        <f t="shared" si="89"/>
        <v/>
      </c>
    </row>
    <row r="1152" spans="1:10" ht="15" customHeight="1" x14ac:dyDescent="0.25">
      <c r="A1152" s="8" t="str">
        <f>IF(COUNT($J$2:$J$1501)&gt;=1151,1151,"")</f>
        <v/>
      </c>
      <c r="B1152" s="8" t="str">
        <f t="shared" si="85"/>
        <v/>
      </c>
      <c r="C1152" s="8" t="str">
        <f t="shared" si="86"/>
        <v/>
      </c>
      <c r="D1152" s="8" t="str">
        <f t="shared" si="87"/>
        <v/>
      </c>
      <c r="F1152" s="4" t="str">
        <f>IF(Jugadores!B1152="","",Jugadores!B1152)</f>
        <v/>
      </c>
      <c r="G1152" s="4" t="str">
        <f>IF(Jugadores!B1152="","",Jugadores!A1152)</f>
        <v/>
      </c>
      <c r="H1152" s="4" t="str">
        <f>IF(F1152="","",SUMIF('Estadísticas Jugadores'!$F$2:$F$7001,F1152,'Estadísticas Jugadores'!$L$2:$L$7001))</f>
        <v/>
      </c>
      <c r="I1152" s="4" t="str">
        <f t="shared" si="88"/>
        <v/>
      </c>
      <c r="J1152" s="4" t="str">
        <f t="shared" si="89"/>
        <v/>
      </c>
    </row>
    <row r="1153" spans="1:10" ht="15" customHeight="1" x14ac:dyDescent="0.25">
      <c r="A1153" s="8" t="str">
        <f>IF(COUNT($J$2:$J$1501)&gt;=1152,1152,"")</f>
        <v/>
      </c>
      <c r="B1153" s="8" t="str">
        <f t="shared" si="85"/>
        <v/>
      </c>
      <c r="C1153" s="8" t="str">
        <f t="shared" si="86"/>
        <v/>
      </c>
      <c r="D1153" s="8" t="str">
        <f t="shared" si="87"/>
        <v/>
      </c>
      <c r="F1153" s="4" t="str">
        <f>IF(Jugadores!B1153="","",Jugadores!B1153)</f>
        <v/>
      </c>
      <c r="G1153" s="4" t="str">
        <f>IF(Jugadores!B1153="","",Jugadores!A1153)</f>
        <v/>
      </c>
      <c r="H1153" s="4" t="str">
        <f>IF(F1153="","",SUMIF('Estadísticas Jugadores'!$F$2:$F$7001,F1153,'Estadísticas Jugadores'!$L$2:$L$7001))</f>
        <v/>
      </c>
      <c r="I1153" s="4" t="str">
        <f t="shared" si="88"/>
        <v/>
      </c>
      <c r="J1153" s="4" t="str">
        <f t="shared" si="89"/>
        <v/>
      </c>
    </row>
    <row r="1154" spans="1:10" ht="15" customHeight="1" x14ac:dyDescent="0.25">
      <c r="A1154" s="8" t="str">
        <f>IF(COUNT($J$2:$J$1501)&gt;=1153,1153,"")</f>
        <v/>
      </c>
      <c r="B1154" s="8" t="str">
        <f t="shared" ref="B1154:B1217" si="90">IF($A1154="","",INDEX($F$2:$F$1501,MATCH($A1154,$J$2:$J$1501,0)))</f>
        <v/>
      </c>
      <c r="C1154" s="8" t="str">
        <f t="shared" ref="C1154:C1217" si="91">IF($A1154="","",INDEX($G$2:$G$1501,MATCH($A1154,$J$2:$J$1501,0)))</f>
        <v/>
      </c>
      <c r="D1154" s="8" t="str">
        <f t="shared" ref="D1154:D1217" si="92">IF($A1154="","",INDEX($H$2:$H$1501,MATCH($A1154,$J$2:$J$1501,0)))</f>
        <v/>
      </c>
      <c r="F1154" s="4" t="str">
        <f>IF(Jugadores!B1154="","",Jugadores!B1154)</f>
        <v/>
      </c>
      <c r="G1154" s="4" t="str">
        <f>IF(Jugadores!B1154="","",Jugadores!A1154)</f>
        <v/>
      </c>
      <c r="H1154" s="4" t="str">
        <f>IF(F1154="","",SUMIF('Estadísticas Jugadores'!$F$2:$F$7001,F1154,'Estadísticas Jugadores'!$L$2:$L$7001))</f>
        <v/>
      </c>
      <c r="I1154" s="4" t="str">
        <f t="shared" ref="I1154:I1217" si="93">IF(F1154="","",H1154*1000-ROW()*0.0000001)</f>
        <v/>
      </c>
      <c r="J1154" s="4" t="str">
        <f t="shared" ref="J1154:J1217" si="94">IF(F1154="","",RANK(I1154,$I$2:$I$1501))</f>
        <v/>
      </c>
    </row>
    <row r="1155" spans="1:10" ht="15" customHeight="1" x14ac:dyDescent="0.25">
      <c r="A1155" s="8" t="str">
        <f>IF(COUNT($J$2:$J$1501)&gt;=1154,1154,"")</f>
        <v/>
      </c>
      <c r="B1155" s="8" t="str">
        <f t="shared" si="90"/>
        <v/>
      </c>
      <c r="C1155" s="8" t="str">
        <f t="shared" si="91"/>
        <v/>
      </c>
      <c r="D1155" s="8" t="str">
        <f t="shared" si="92"/>
        <v/>
      </c>
      <c r="F1155" s="4" t="str">
        <f>IF(Jugadores!B1155="","",Jugadores!B1155)</f>
        <v/>
      </c>
      <c r="G1155" s="4" t="str">
        <f>IF(Jugadores!B1155="","",Jugadores!A1155)</f>
        <v/>
      </c>
      <c r="H1155" s="4" t="str">
        <f>IF(F1155="","",SUMIF('Estadísticas Jugadores'!$F$2:$F$7001,F1155,'Estadísticas Jugadores'!$L$2:$L$7001))</f>
        <v/>
      </c>
      <c r="I1155" s="4" t="str">
        <f t="shared" si="93"/>
        <v/>
      </c>
      <c r="J1155" s="4" t="str">
        <f t="shared" si="94"/>
        <v/>
      </c>
    </row>
    <row r="1156" spans="1:10" ht="15" customHeight="1" x14ac:dyDescent="0.25">
      <c r="A1156" s="8" t="str">
        <f>IF(COUNT($J$2:$J$1501)&gt;=1155,1155,"")</f>
        <v/>
      </c>
      <c r="B1156" s="8" t="str">
        <f t="shared" si="90"/>
        <v/>
      </c>
      <c r="C1156" s="8" t="str">
        <f t="shared" si="91"/>
        <v/>
      </c>
      <c r="D1156" s="8" t="str">
        <f t="shared" si="92"/>
        <v/>
      </c>
      <c r="F1156" s="4" t="str">
        <f>IF(Jugadores!B1156="","",Jugadores!B1156)</f>
        <v/>
      </c>
      <c r="G1156" s="4" t="str">
        <f>IF(Jugadores!B1156="","",Jugadores!A1156)</f>
        <v/>
      </c>
      <c r="H1156" s="4" t="str">
        <f>IF(F1156="","",SUMIF('Estadísticas Jugadores'!$F$2:$F$7001,F1156,'Estadísticas Jugadores'!$L$2:$L$7001))</f>
        <v/>
      </c>
      <c r="I1156" s="4" t="str">
        <f t="shared" si="93"/>
        <v/>
      </c>
      <c r="J1156" s="4" t="str">
        <f t="shared" si="94"/>
        <v/>
      </c>
    </row>
    <row r="1157" spans="1:10" ht="15" customHeight="1" x14ac:dyDescent="0.25">
      <c r="A1157" s="8" t="str">
        <f>IF(COUNT($J$2:$J$1501)&gt;=1156,1156,"")</f>
        <v/>
      </c>
      <c r="B1157" s="8" t="str">
        <f t="shared" si="90"/>
        <v/>
      </c>
      <c r="C1157" s="8" t="str">
        <f t="shared" si="91"/>
        <v/>
      </c>
      <c r="D1157" s="8" t="str">
        <f t="shared" si="92"/>
        <v/>
      </c>
      <c r="F1157" s="4" t="str">
        <f>IF(Jugadores!B1157="","",Jugadores!B1157)</f>
        <v/>
      </c>
      <c r="G1157" s="4" t="str">
        <f>IF(Jugadores!B1157="","",Jugadores!A1157)</f>
        <v/>
      </c>
      <c r="H1157" s="4" t="str">
        <f>IF(F1157="","",SUMIF('Estadísticas Jugadores'!$F$2:$F$7001,F1157,'Estadísticas Jugadores'!$L$2:$L$7001))</f>
        <v/>
      </c>
      <c r="I1157" s="4" t="str">
        <f t="shared" si="93"/>
        <v/>
      </c>
      <c r="J1157" s="4" t="str">
        <f t="shared" si="94"/>
        <v/>
      </c>
    </row>
    <row r="1158" spans="1:10" ht="15" customHeight="1" x14ac:dyDescent="0.25">
      <c r="A1158" s="8" t="str">
        <f>IF(COUNT($J$2:$J$1501)&gt;=1157,1157,"")</f>
        <v/>
      </c>
      <c r="B1158" s="8" t="str">
        <f t="shared" si="90"/>
        <v/>
      </c>
      <c r="C1158" s="8" t="str">
        <f t="shared" si="91"/>
        <v/>
      </c>
      <c r="D1158" s="8" t="str">
        <f t="shared" si="92"/>
        <v/>
      </c>
      <c r="F1158" s="4" t="str">
        <f>IF(Jugadores!B1158="","",Jugadores!B1158)</f>
        <v/>
      </c>
      <c r="G1158" s="4" t="str">
        <f>IF(Jugadores!B1158="","",Jugadores!A1158)</f>
        <v/>
      </c>
      <c r="H1158" s="4" t="str">
        <f>IF(F1158="","",SUMIF('Estadísticas Jugadores'!$F$2:$F$7001,F1158,'Estadísticas Jugadores'!$L$2:$L$7001))</f>
        <v/>
      </c>
      <c r="I1158" s="4" t="str">
        <f t="shared" si="93"/>
        <v/>
      </c>
      <c r="J1158" s="4" t="str">
        <f t="shared" si="94"/>
        <v/>
      </c>
    </row>
    <row r="1159" spans="1:10" ht="15" customHeight="1" x14ac:dyDescent="0.25">
      <c r="A1159" s="8" t="str">
        <f>IF(COUNT($J$2:$J$1501)&gt;=1158,1158,"")</f>
        <v/>
      </c>
      <c r="B1159" s="8" t="str">
        <f t="shared" si="90"/>
        <v/>
      </c>
      <c r="C1159" s="8" t="str">
        <f t="shared" si="91"/>
        <v/>
      </c>
      <c r="D1159" s="8" t="str">
        <f t="shared" si="92"/>
        <v/>
      </c>
      <c r="F1159" s="4" t="str">
        <f>IF(Jugadores!B1159="","",Jugadores!B1159)</f>
        <v/>
      </c>
      <c r="G1159" s="4" t="str">
        <f>IF(Jugadores!B1159="","",Jugadores!A1159)</f>
        <v/>
      </c>
      <c r="H1159" s="4" t="str">
        <f>IF(F1159="","",SUMIF('Estadísticas Jugadores'!$F$2:$F$7001,F1159,'Estadísticas Jugadores'!$L$2:$L$7001))</f>
        <v/>
      </c>
      <c r="I1159" s="4" t="str">
        <f t="shared" si="93"/>
        <v/>
      </c>
      <c r="J1159" s="4" t="str">
        <f t="shared" si="94"/>
        <v/>
      </c>
    </row>
    <row r="1160" spans="1:10" ht="15" customHeight="1" x14ac:dyDescent="0.25">
      <c r="A1160" s="8" t="str">
        <f>IF(COUNT($J$2:$J$1501)&gt;=1159,1159,"")</f>
        <v/>
      </c>
      <c r="B1160" s="8" t="str">
        <f t="shared" si="90"/>
        <v/>
      </c>
      <c r="C1160" s="8" t="str">
        <f t="shared" si="91"/>
        <v/>
      </c>
      <c r="D1160" s="8" t="str">
        <f t="shared" si="92"/>
        <v/>
      </c>
      <c r="F1160" s="4" t="str">
        <f>IF(Jugadores!B1160="","",Jugadores!B1160)</f>
        <v/>
      </c>
      <c r="G1160" s="4" t="str">
        <f>IF(Jugadores!B1160="","",Jugadores!A1160)</f>
        <v/>
      </c>
      <c r="H1160" s="4" t="str">
        <f>IF(F1160="","",SUMIF('Estadísticas Jugadores'!$F$2:$F$7001,F1160,'Estadísticas Jugadores'!$L$2:$L$7001))</f>
        <v/>
      </c>
      <c r="I1160" s="4" t="str">
        <f t="shared" si="93"/>
        <v/>
      </c>
      <c r="J1160" s="4" t="str">
        <f t="shared" si="94"/>
        <v/>
      </c>
    </row>
    <row r="1161" spans="1:10" ht="15" customHeight="1" x14ac:dyDescent="0.25">
      <c r="A1161" s="8" t="str">
        <f>IF(COUNT($J$2:$J$1501)&gt;=1160,1160,"")</f>
        <v/>
      </c>
      <c r="B1161" s="8" t="str">
        <f t="shared" si="90"/>
        <v/>
      </c>
      <c r="C1161" s="8" t="str">
        <f t="shared" si="91"/>
        <v/>
      </c>
      <c r="D1161" s="8" t="str">
        <f t="shared" si="92"/>
        <v/>
      </c>
      <c r="F1161" s="4" t="str">
        <f>IF(Jugadores!B1161="","",Jugadores!B1161)</f>
        <v/>
      </c>
      <c r="G1161" s="4" t="str">
        <f>IF(Jugadores!B1161="","",Jugadores!A1161)</f>
        <v/>
      </c>
      <c r="H1161" s="4" t="str">
        <f>IF(F1161="","",SUMIF('Estadísticas Jugadores'!$F$2:$F$7001,F1161,'Estadísticas Jugadores'!$L$2:$L$7001))</f>
        <v/>
      </c>
      <c r="I1161" s="4" t="str">
        <f t="shared" si="93"/>
        <v/>
      </c>
      <c r="J1161" s="4" t="str">
        <f t="shared" si="94"/>
        <v/>
      </c>
    </row>
    <row r="1162" spans="1:10" ht="15" customHeight="1" x14ac:dyDescent="0.25">
      <c r="A1162" s="8" t="str">
        <f>IF(COUNT($J$2:$J$1501)&gt;=1161,1161,"")</f>
        <v/>
      </c>
      <c r="B1162" s="8" t="str">
        <f t="shared" si="90"/>
        <v/>
      </c>
      <c r="C1162" s="8" t="str">
        <f t="shared" si="91"/>
        <v/>
      </c>
      <c r="D1162" s="8" t="str">
        <f t="shared" si="92"/>
        <v/>
      </c>
      <c r="F1162" s="4" t="str">
        <f>IF(Jugadores!B1162="","",Jugadores!B1162)</f>
        <v/>
      </c>
      <c r="G1162" s="4" t="str">
        <f>IF(Jugadores!B1162="","",Jugadores!A1162)</f>
        <v/>
      </c>
      <c r="H1162" s="4" t="str">
        <f>IF(F1162="","",SUMIF('Estadísticas Jugadores'!$F$2:$F$7001,F1162,'Estadísticas Jugadores'!$L$2:$L$7001))</f>
        <v/>
      </c>
      <c r="I1162" s="4" t="str">
        <f t="shared" si="93"/>
        <v/>
      </c>
      <c r="J1162" s="4" t="str">
        <f t="shared" si="94"/>
        <v/>
      </c>
    </row>
    <row r="1163" spans="1:10" ht="15" customHeight="1" x14ac:dyDescent="0.25">
      <c r="A1163" s="8" t="str">
        <f>IF(COUNT($J$2:$J$1501)&gt;=1162,1162,"")</f>
        <v/>
      </c>
      <c r="B1163" s="8" t="str">
        <f t="shared" si="90"/>
        <v/>
      </c>
      <c r="C1163" s="8" t="str">
        <f t="shared" si="91"/>
        <v/>
      </c>
      <c r="D1163" s="8" t="str">
        <f t="shared" si="92"/>
        <v/>
      </c>
      <c r="F1163" s="4" t="str">
        <f>IF(Jugadores!B1163="","",Jugadores!B1163)</f>
        <v/>
      </c>
      <c r="G1163" s="4" t="str">
        <f>IF(Jugadores!B1163="","",Jugadores!A1163)</f>
        <v/>
      </c>
      <c r="H1163" s="4" t="str">
        <f>IF(F1163="","",SUMIF('Estadísticas Jugadores'!$F$2:$F$7001,F1163,'Estadísticas Jugadores'!$L$2:$L$7001))</f>
        <v/>
      </c>
      <c r="I1163" s="4" t="str">
        <f t="shared" si="93"/>
        <v/>
      </c>
      <c r="J1163" s="4" t="str">
        <f t="shared" si="94"/>
        <v/>
      </c>
    </row>
    <row r="1164" spans="1:10" ht="15" customHeight="1" x14ac:dyDescent="0.25">
      <c r="A1164" s="8" t="str">
        <f>IF(COUNT($J$2:$J$1501)&gt;=1163,1163,"")</f>
        <v/>
      </c>
      <c r="B1164" s="8" t="str">
        <f t="shared" si="90"/>
        <v/>
      </c>
      <c r="C1164" s="8" t="str">
        <f t="shared" si="91"/>
        <v/>
      </c>
      <c r="D1164" s="8" t="str">
        <f t="shared" si="92"/>
        <v/>
      </c>
      <c r="F1164" s="4" t="str">
        <f>IF(Jugadores!B1164="","",Jugadores!B1164)</f>
        <v/>
      </c>
      <c r="G1164" s="4" t="str">
        <f>IF(Jugadores!B1164="","",Jugadores!A1164)</f>
        <v/>
      </c>
      <c r="H1164" s="4" t="str">
        <f>IF(F1164="","",SUMIF('Estadísticas Jugadores'!$F$2:$F$7001,F1164,'Estadísticas Jugadores'!$L$2:$L$7001))</f>
        <v/>
      </c>
      <c r="I1164" s="4" t="str">
        <f t="shared" si="93"/>
        <v/>
      </c>
      <c r="J1164" s="4" t="str">
        <f t="shared" si="94"/>
        <v/>
      </c>
    </row>
    <row r="1165" spans="1:10" ht="15" customHeight="1" x14ac:dyDescent="0.25">
      <c r="A1165" s="8" t="str">
        <f>IF(COUNT($J$2:$J$1501)&gt;=1164,1164,"")</f>
        <v/>
      </c>
      <c r="B1165" s="8" t="str">
        <f t="shared" si="90"/>
        <v/>
      </c>
      <c r="C1165" s="8" t="str">
        <f t="shared" si="91"/>
        <v/>
      </c>
      <c r="D1165" s="8" t="str">
        <f t="shared" si="92"/>
        <v/>
      </c>
      <c r="F1165" s="4" t="str">
        <f>IF(Jugadores!B1165="","",Jugadores!B1165)</f>
        <v/>
      </c>
      <c r="G1165" s="4" t="str">
        <f>IF(Jugadores!B1165="","",Jugadores!A1165)</f>
        <v/>
      </c>
      <c r="H1165" s="4" t="str">
        <f>IF(F1165="","",SUMIF('Estadísticas Jugadores'!$F$2:$F$7001,F1165,'Estadísticas Jugadores'!$L$2:$L$7001))</f>
        <v/>
      </c>
      <c r="I1165" s="4" t="str">
        <f t="shared" si="93"/>
        <v/>
      </c>
      <c r="J1165" s="4" t="str">
        <f t="shared" si="94"/>
        <v/>
      </c>
    </row>
    <row r="1166" spans="1:10" ht="15" customHeight="1" x14ac:dyDescent="0.25">
      <c r="A1166" s="8" t="str">
        <f>IF(COUNT($J$2:$J$1501)&gt;=1165,1165,"")</f>
        <v/>
      </c>
      <c r="B1166" s="8" t="str">
        <f t="shared" si="90"/>
        <v/>
      </c>
      <c r="C1166" s="8" t="str">
        <f t="shared" si="91"/>
        <v/>
      </c>
      <c r="D1166" s="8" t="str">
        <f t="shared" si="92"/>
        <v/>
      </c>
      <c r="F1166" s="4" t="str">
        <f>IF(Jugadores!B1166="","",Jugadores!B1166)</f>
        <v/>
      </c>
      <c r="G1166" s="4" t="str">
        <f>IF(Jugadores!B1166="","",Jugadores!A1166)</f>
        <v/>
      </c>
      <c r="H1166" s="4" t="str">
        <f>IF(F1166="","",SUMIF('Estadísticas Jugadores'!$F$2:$F$7001,F1166,'Estadísticas Jugadores'!$L$2:$L$7001))</f>
        <v/>
      </c>
      <c r="I1166" s="4" t="str">
        <f t="shared" si="93"/>
        <v/>
      </c>
      <c r="J1166" s="4" t="str">
        <f t="shared" si="94"/>
        <v/>
      </c>
    </row>
    <row r="1167" spans="1:10" ht="15" customHeight="1" x14ac:dyDescent="0.25">
      <c r="A1167" s="8" t="str">
        <f>IF(COUNT($J$2:$J$1501)&gt;=1166,1166,"")</f>
        <v/>
      </c>
      <c r="B1167" s="8" t="str">
        <f t="shared" si="90"/>
        <v/>
      </c>
      <c r="C1167" s="8" t="str">
        <f t="shared" si="91"/>
        <v/>
      </c>
      <c r="D1167" s="8" t="str">
        <f t="shared" si="92"/>
        <v/>
      </c>
      <c r="F1167" s="4" t="str">
        <f>IF(Jugadores!B1167="","",Jugadores!B1167)</f>
        <v/>
      </c>
      <c r="G1167" s="4" t="str">
        <f>IF(Jugadores!B1167="","",Jugadores!A1167)</f>
        <v/>
      </c>
      <c r="H1167" s="4" t="str">
        <f>IF(F1167="","",SUMIF('Estadísticas Jugadores'!$F$2:$F$7001,F1167,'Estadísticas Jugadores'!$L$2:$L$7001))</f>
        <v/>
      </c>
      <c r="I1167" s="4" t="str">
        <f t="shared" si="93"/>
        <v/>
      </c>
      <c r="J1167" s="4" t="str">
        <f t="shared" si="94"/>
        <v/>
      </c>
    </row>
    <row r="1168" spans="1:10" ht="15" customHeight="1" x14ac:dyDescent="0.25">
      <c r="A1168" s="8" t="str">
        <f>IF(COUNT($J$2:$J$1501)&gt;=1167,1167,"")</f>
        <v/>
      </c>
      <c r="B1168" s="8" t="str">
        <f t="shared" si="90"/>
        <v/>
      </c>
      <c r="C1168" s="8" t="str">
        <f t="shared" si="91"/>
        <v/>
      </c>
      <c r="D1168" s="8" t="str">
        <f t="shared" si="92"/>
        <v/>
      </c>
      <c r="F1168" s="4" t="str">
        <f>IF(Jugadores!B1168="","",Jugadores!B1168)</f>
        <v/>
      </c>
      <c r="G1168" s="4" t="str">
        <f>IF(Jugadores!B1168="","",Jugadores!A1168)</f>
        <v/>
      </c>
      <c r="H1168" s="4" t="str">
        <f>IF(F1168="","",SUMIF('Estadísticas Jugadores'!$F$2:$F$7001,F1168,'Estadísticas Jugadores'!$L$2:$L$7001))</f>
        <v/>
      </c>
      <c r="I1168" s="4" t="str">
        <f t="shared" si="93"/>
        <v/>
      </c>
      <c r="J1168" s="4" t="str">
        <f t="shared" si="94"/>
        <v/>
      </c>
    </row>
    <row r="1169" spans="1:10" ht="15" customHeight="1" x14ac:dyDescent="0.25">
      <c r="A1169" s="8" t="str">
        <f>IF(COUNT($J$2:$J$1501)&gt;=1168,1168,"")</f>
        <v/>
      </c>
      <c r="B1169" s="8" t="str">
        <f t="shared" si="90"/>
        <v/>
      </c>
      <c r="C1169" s="8" t="str">
        <f t="shared" si="91"/>
        <v/>
      </c>
      <c r="D1169" s="8" t="str">
        <f t="shared" si="92"/>
        <v/>
      </c>
      <c r="F1169" s="4" t="str">
        <f>IF(Jugadores!B1169="","",Jugadores!B1169)</f>
        <v/>
      </c>
      <c r="G1169" s="4" t="str">
        <f>IF(Jugadores!B1169="","",Jugadores!A1169)</f>
        <v/>
      </c>
      <c r="H1169" s="4" t="str">
        <f>IF(F1169="","",SUMIF('Estadísticas Jugadores'!$F$2:$F$7001,F1169,'Estadísticas Jugadores'!$L$2:$L$7001))</f>
        <v/>
      </c>
      <c r="I1169" s="4" t="str">
        <f t="shared" si="93"/>
        <v/>
      </c>
      <c r="J1169" s="4" t="str">
        <f t="shared" si="94"/>
        <v/>
      </c>
    </row>
    <row r="1170" spans="1:10" ht="15" customHeight="1" x14ac:dyDescent="0.25">
      <c r="A1170" s="8" t="str">
        <f>IF(COUNT($J$2:$J$1501)&gt;=1169,1169,"")</f>
        <v/>
      </c>
      <c r="B1170" s="8" t="str">
        <f t="shared" si="90"/>
        <v/>
      </c>
      <c r="C1170" s="8" t="str">
        <f t="shared" si="91"/>
        <v/>
      </c>
      <c r="D1170" s="8" t="str">
        <f t="shared" si="92"/>
        <v/>
      </c>
      <c r="F1170" s="4" t="str">
        <f>IF(Jugadores!B1170="","",Jugadores!B1170)</f>
        <v/>
      </c>
      <c r="G1170" s="4" t="str">
        <f>IF(Jugadores!B1170="","",Jugadores!A1170)</f>
        <v/>
      </c>
      <c r="H1170" s="4" t="str">
        <f>IF(F1170="","",SUMIF('Estadísticas Jugadores'!$F$2:$F$7001,F1170,'Estadísticas Jugadores'!$L$2:$L$7001))</f>
        <v/>
      </c>
      <c r="I1170" s="4" t="str">
        <f t="shared" si="93"/>
        <v/>
      </c>
      <c r="J1170" s="4" t="str">
        <f t="shared" si="94"/>
        <v/>
      </c>
    </row>
    <row r="1171" spans="1:10" ht="15" customHeight="1" x14ac:dyDescent="0.25">
      <c r="A1171" s="8" t="str">
        <f>IF(COUNT($J$2:$J$1501)&gt;=1170,1170,"")</f>
        <v/>
      </c>
      <c r="B1171" s="8" t="str">
        <f t="shared" si="90"/>
        <v/>
      </c>
      <c r="C1171" s="8" t="str">
        <f t="shared" si="91"/>
        <v/>
      </c>
      <c r="D1171" s="8" t="str">
        <f t="shared" si="92"/>
        <v/>
      </c>
      <c r="F1171" s="4" t="str">
        <f>IF(Jugadores!B1171="","",Jugadores!B1171)</f>
        <v/>
      </c>
      <c r="G1171" s="4" t="str">
        <f>IF(Jugadores!B1171="","",Jugadores!A1171)</f>
        <v/>
      </c>
      <c r="H1171" s="4" t="str">
        <f>IF(F1171="","",SUMIF('Estadísticas Jugadores'!$F$2:$F$7001,F1171,'Estadísticas Jugadores'!$L$2:$L$7001))</f>
        <v/>
      </c>
      <c r="I1171" s="4" t="str">
        <f t="shared" si="93"/>
        <v/>
      </c>
      <c r="J1171" s="4" t="str">
        <f t="shared" si="94"/>
        <v/>
      </c>
    </row>
    <row r="1172" spans="1:10" ht="15" customHeight="1" x14ac:dyDescent="0.25">
      <c r="A1172" s="8" t="str">
        <f>IF(COUNT($J$2:$J$1501)&gt;=1171,1171,"")</f>
        <v/>
      </c>
      <c r="B1172" s="8" t="str">
        <f t="shared" si="90"/>
        <v/>
      </c>
      <c r="C1172" s="8" t="str">
        <f t="shared" si="91"/>
        <v/>
      </c>
      <c r="D1172" s="8" t="str">
        <f t="shared" si="92"/>
        <v/>
      </c>
      <c r="F1172" s="4" t="str">
        <f>IF(Jugadores!B1172="","",Jugadores!B1172)</f>
        <v/>
      </c>
      <c r="G1172" s="4" t="str">
        <f>IF(Jugadores!B1172="","",Jugadores!A1172)</f>
        <v/>
      </c>
      <c r="H1172" s="4" t="str">
        <f>IF(F1172="","",SUMIF('Estadísticas Jugadores'!$F$2:$F$7001,F1172,'Estadísticas Jugadores'!$L$2:$L$7001))</f>
        <v/>
      </c>
      <c r="I1172" s="4" t="str">
        <f t="shared" si="93"/>
        <v/>
      </c>
      <c r="J1172" s="4" t="str">
        <f t="shared" si="94"/>
        <v/>
      </c>
    </row>
    <row r="1173" spans="1:10" ht="15" customHeight="1" x14ac:dyDescent="0.25">
      <c r="A1173" s="8" t="str">
        <f>IF(COUNT($J$2:$J$1501)&gt;=1172,1172,"")</f>
        <v/>
      </c>
      <c r="B1173" s="8" t="str">
        <f t="shared" si="90"/>
        <v/>
      </c>
      <c r="C1173" s="8" t="str">
        <f t="shared" si="91"/>
        <v/>
      </c>
      <c r="D1173" s="8" t="str">
        <f t="shared" si="92"/>
        <v/>
      </c>
      <c r="F1173" s="4" t="str">
        <f>IF(Jugadores!B1173="","",Jugadores!B1173)</f>
        <v/>
      </c>
      <c r="G1173" s="4" t="str">
        <f>IF(Jugadores!B1173="","",Jugadores!A1173)</f>
        <v/>
      </c>
      <c r="H1173" s="4" t="str">
        <f>IF(F1173="","",SUMIF('Estadísticas Jugadores'!$F$2:$F$7001,F1173,'Estadísticas Jugadores'!$L$2:$L$7001))</f>
        <v/>
      </c>
      <c r="I1173" s="4" t="str">
        <f t="shared" si="93"/>
        <v/>
      </c>
      <c r="J1173" s="4" t="str">
        <f t="shared" si="94"/>
        <v/>
      </c>
    </row>
    <row r="1174" spans="1:10" ht="15" customHeight="1" x14ac:dyDescent="0.25">
      <c r="A1174" s="8" t="str">
        <f>IF(COUNT($J$2:$J$1501)&gt;=1173,1173,"")</f>
        <v/>
      </c>
      <c r="B1174" s="8" t="str">
        <f t="shared" si="90"/>
        <v/>
      </c>
      <c r="C1174" s="8" t="str">
        <f t="shared" si="91"/>
        <v/>
      </c>
      <c r="D1174" s="8" t="str">
        <f t="shared" si="92"/>
        <v/>
      </c>
      <c r="F1174" s="4" t="str">
        <f>IF(Jugadores!B1174="","",Jugadores!B1174)</f>
        <v/>
      </c>
      <c r="G1174" s="4" t="str">
        <f>IF(Jugadores!B1174="","",Jugadores!A1174)</f>
        <v/>
      </c>
      <c r="H1174" s="4" t="str">
        <f>IF(F1174="","",SUMIF('Estadísticas Jugadores'!$F$2:$F$7001,F1174,'Estadísticas Jugadores'!$L$2:$L$7001))</f>
        <v/>
      </c>
      <c r="I1174" s="4" t="str">
        <f t="shared" si="93"/>
        <v/>
      </c>
      <c r="J1174" s="4" t="str">
        <f t="shared" si="94"/>
        <v/>
      </c>
    </row>
    <row r="1175" spans="1:10" ht="15" customHeight="1" x14ac:dyDescent="0.25">
      <c r="A1175" s="8" t="str">
        <f>IF(COUNT($J$2:$J$1501)&gt;=1174,1174,"")</f>
        <v/>
      </c>
      <c r="B1175" s="8" t="str">
        <f t="shared" si="90"/>
        <v/>
      </c>
      <c r="C1175" s="8" t="str">
        <f t="shared" si="91"/>
        <v/>
      </c>
      <c r="D1175" s="8" t="str">
        <f t="shared" si="92"/>
        <v/>
      </c>
      <c r="F1175" s="4" t="str">
        <f>IF(Jugadores!B1175="","",Jugadores!B1175)</f>
        <v/>
      </c>
      <c r="G1175" s="4" t="str">
        <f>IF(Jugadores!B1175="","",Jugadores!A1175)</f>
        <v/>
      </c>
      <c r="H1175" s="4" t="str">
        <f>IF(F1175="","",SUMIF('Estadísticas Jugadores'!$F$2:$F$7001,F1175,'Estadísticas Jugadores'!$L$2:$L$7001))</f>
        <v/>
      </c>
      <c r="I1175" s="4" t="str">
        <f t="shared" si="93"/>
        <v/>
      </c>
      <c r="J1175" s="4" t="str">
        <f t="shared" si="94"/>
        <v/>
      </c>
    </row>
    <row r="1176" spans="1:10" ht="15" customHeight="1" x14ac:dyDescent="0.25">
      <c r="A1176" s="8" t="str">
        <f>IF(COUNT($J$2:$J$1501)&gt;=1175,1175,"")</f>
        <v/>
      </c>
      <c r="B1176" s="8" t="str">
        <f t="shared" si="90"/>
        <v/>
      </c>
      <c r="C1176" s="8" t="str">
        <f t="shared" si="91"/>
        <v/>
      </c>
      <c r="D1176" s="8" t="str">
        <f t="shared" si="92"/>
        <v/>
      </c>
      <c r="F1176" s="4" t="str">
        <f>IF(Jugadores!B1176="","",Jugadores!B1176)</f>
        <v/>
      </c>
      <c r="G1176" s="4" t="str">
        <f>IF(Jugadores!B1176="","",Jugadores!A1176)</f>
        <v/>
      </c>
      <c r="H1176" s="4" t="str">
        <f>IF(F1176="","",SUMIF('Estadísticas Jugadores'!$F$2:$F$7001,F1176,'Estadísticas Jugadores'!$L$2:$L$7001))</f>
        <v/>
      </c>
      <c r="I1176" s="4" t="str">
        <f t="shared" si="93"/>
        <v/>
      </c>
      <c r="J1176" s="4" t="str">
        <f t="shared" si="94"/>
        <v/>
      </c>
    </row>
    <row r="1177" spans="1:10" ht="15" customHeight="1" x14ac:dyDescent="0.25">
      <c r="A1177" s="8" t="str">
        <f>IF(COUNT($J$2:$J$1501)&gt;=1176,1176,"")</f>
        <v/>
      </c>
      <c r="B1177" s="8" t="str">
        <f t="shared" si="90"/>
        <v/>
      </c>
      <c r="C1177" s="8" t="str">
        <f t="shared" si="91"/>
        <v/>
      </c>
      <c r="D1177" s="8" t="str">
        <f t="shared" si="92"/>
        <v/>
      </c>
      <c r="F1177" s="4" t="str">
        <f>IF(Jugadores!B1177="","",Jugadores!B1177)</f>
        <v/>
      </c>
      <c r="G1177" s="4" t="str">
        <f>IF(Jugadores!B1177="","",Jugadores!A1177)</f>
        <v/>
      </c>
      <c r="H1177" s="4" t="str">
        <f>IF(F1177="","",SUMIF('Estadísticas Jugadores'!$F$2:$F$7001,F1177,'Estadísticas Jugadores'!$L$2:$L$7001))</f>
        <v/>
      </c>
      <c r="I1177" s="4" t="str">
        <f t="shared" si="93"/>
        <v/>
      </c>
      <c r="J1177" s="4" t="str">
        <f t="shared" si="94"/>
        <v/>
      </c>
    </row>
    <row r="1178" spans="1:10" ht="15" customHeight="1" x14ac:dyDescent="0.25">
      <c r="A1178" s="8" t="str">
        <f>IF(COUNT($J$2:$J$1501)&gt;=1177,1177,"")</f>
        <v/>
      </c>
      <c r="B1178" s="8" t="str">
        <f t="shared" si="90"/>
        <v/>
      </c>
      <c r="C1178" s="8" t="str">
        <f t="shared" si="91"/>
        <v/>
      </c>
      <c r="D1178" s="8" t="str">
        <f t="shared" si="92"/>
        <v/>
      </c>
      <c r="F1178" s="4" t="str">
        <f>IF(Jugadores!B1178="","",Jugadores!B1178)</f>
        <v/>
      </c>
      <c r="G1178" s="4" t="str">
        <f>IF(Jugadores!B1178="","",Jugadores!A1178)</f>
        <v/>
      </c>
      <c r="H1178" s="4" t="str">
        <f>IF(F1178="","",SUMIF('Estadísticas Jugadores'!$F$2:$F$7001,F1178,'Estadísticas Jugadores'!$L$2:$L$7001))</f>
        <v/>
      </c>
      <c r="I1178" s="4" t="str">
        <f t="shared" si="93"/>
        <v/>
      </c>
      <c r="J1178" s="4" t="str">
        <f t="shared" si="94"/>
        <v/>
      </c>
    </row>
    <row r="1179" spans="1:10" ht="15" customHeight="1" x14ac:dyDescent="0.25">
      <c r="A1179" s="8" t="str">
        <f>IF(COUNT($J$2:$J$1501)&gt;=1178,1178,"")</f>
        <v/>
      </c>
      <c r="B1179" s="8" t="str">
        <f t="shared" si="90"/>
        <v/>
      </c>
      <c r="C1179" s="8" t="str">
        <f t="shared" si="91"/>
        <v/>
      </c>
      <c r="D1179" s="8" t="str">
        <f t="shared" si="92"/>
        <v/>
      </c>
      <c r="F1179" s="4" t="str">
        <f>IF(Jugadores!B1179="","",Jugadores!B1179)</f>
        <v/>
      </c>
      <c r="G1179" s="4" t="str">
        <f>IF(Jugadores!B1179="","",Jugadores!A1179)</f>
        <v/>
      </c>
      <c r="H1179" s="4" t="str">
        <f>IF(F1179="","",SUMIF('Estadísticas Jugadores'!$F$2:$F$7001,F1179,'Estadísticas Jugadores'!$L$2:$L$7001))</f>
        <v/>
      </c>
      <c r="I1179" s="4" t="str">
        <f t="shared" si="93"/>
        <v/>
      </c>
      <c r="J1179" s="4" t="str">
        <f t="shared" si="94"/>
        <v/>
      </c>
    </row>
    <row r="1180" spans="1:10" ht="15" customHeight="1" x14ac:dyDescent="0.25">
      <c r="A1180" s="8" t="str">
        <f>IF(COUNT($J$2:$J$1501)&gt;=1179,1179,"")</f>
        <v/>
      </c>
      <c r="B1180" s="8" t="str">
        <f t="shared" si="90"/>
        <v/>
      </c>
      <c r="C1180" s="8" t="str">
        <f t="shared" si="91"/>
        <v/>
      </c>
      <c r="D1180" s="8" t="str">
        <f t="shared" si="92"/>
        <v/>
      </c>
      <c r="F1180" s="4" t="str">
        <f>IF(Jugadores!B1180="","",Jugadores!B1180)</f>
        <v/>
      </c>
      <c r="G1180" s="4" t="str">
        <f>IF(Jugadores!B1180="","",Jugadores!A1180)</f>
        <v/>
      </c>
      <c r="H1180" s="4" t="str">
        <f>IF(F1180="","",SUMIF('Estadísticas Jugadores'!$F$2:$F$7001,F1180,'Estadísticas Jugadores'!$L$2:$L$7001))</f>
        <v/>
      </c>
      <c r="I1180" s="4" t="str">
        <f t="shared" si="93"/>
        <v/>
      </c>
      <c r="J1180" s="4" t="str">
        <f t="shared" si="94"/>
        <v/>
      </c>
    </row>
    <row r="1181" spans="1:10" ht="15" customHeight="1" x14ac:dyDescent="0.25">
      <c r="A1181" s="8" t="str">
        <f>IF(COUNT($J$2:$J$1501)&gt;=1180,1180,"")</f>
        <v/>
      </c>
      <c r="B1181" s="8" t="str">
        <f t="shared" si="90"/>
        <v/>
      </c>
      <c r="C1181" s="8" t="str">
        <f t="shared" si="91"/>
        <v/>
      </c>
      <c r="D1181" s="8" t="str">
        <f t="shared" si="92"/>
        <v/>
      </c>
      <c r="F1181" s="4" t="str">
        <f>IF(Jugadores!B1181="","",Jugadores!B1181)</f>
        <v/>
      </c>
      <c r="G1181" s="4" t="str">
        <f>IF(Jugadores!B1181="","",Jugadores!A1181)</f>
        <v/>
      </c>
      <c r="H1181" s="4" t="str">
        <f>IF(F1181="","",SUMIF('Estadísticas Jugadores'!$F$2:$F$7001,F1181,'Estadísticas Jugadores'!$L$2:$L$7001))</f>
        <v/>
      </c>
      <c r="I1181" s="4" t="str">
        <f t="shared" si="93"/>
        <v/>
      </c>
      <c r="J1181" s="4" t="str">
        <f t="shared" si="94"/>
        <v/>
      </c>
    </row>
    <row r="1182" spans="1:10" ht="15" customHeight="1" x14ac:dyDescent="0.25">
      <c r="A1182" s="8" t="str">
        <f>IF(COUNT($J$2:$J$1501)&gt;=1181,1181,"")</f>
        <v/>
      </c>
      <c r="B1182" s="8" t="str">
        <f t="shared" si="90"/>
        <v/>
      </c>
      <c r="C1182" s="8" t="str">
        <f t="shared" si="91"/>
        <v/>
      </c>
      <c r="D1182" s="8" t="str">
        <f t="shared" si="92"/>
        <v/>
      </c>
      <c r="F1182" s="4" t="str">
        <f>IF(Jugadores!B1182="","",Jugadores!B1182)</f>
        <v/>
      </c>
      <c r="G1182" s="4" t="str">
        <f>IF(Jugadores!B1182="","",Jugadores!A1182)</f>
        <v/>
      </c>
      <c r="H1182" s="4" t="str">
        <f>IF(F1182="","",SUMIF('Estadísticas Jugadores'!$F$2:$F$7001,F1182,'Estadísticas Jugadores'!$L$2:$L$7001))</f>
        <v/>
      </c>
      <c r="I1182" s="4" t="str">
        <f t="shared" si="93"/>
        <v/>
      </c>
      <c r="J1182" s="4" t="str">
        <f t="shared" si="94"/>
        <v/>
      </c>
    </row>
    <row r="1183" spans="1:10" ht="15" customHeight="1" x14ac:dyDescent="0.25">
      <c r="A1183" s="8" t="str">
        <f>IF(COUNT($J$2:$J$1501)&gt;=1182,1182,"")</f>
        <v/>
      </c>
      <c r="B1183" s="8" t="str">
        <f t="shared" si="90"/>
        <v/>
      </c>
      <c r="C1183" s="8" t="str">
        <f t="shared" si="91"/>
        <v/>
      </c>
      <c r="D1183" s="8" t="str">
        <f t="shared" si="92"/>
        <v/>
      </c>
      <c r="F1183" s="4" t="str">
        <f>IF(Jugadores!B1183="","",Jugadores!B1183)</f>
        <v/>
      </c>
      <c r="G1183" s="4" t="str">
        <f>IF(Jugadores!B1183="","",Jugadores!A1183)</f>
        <v/>
      </c>
      <c r="H1183" s="4" t="str">
        <f>IF(F1183="","",SUMIF('Estadísticas Jugadores'!$F$2:$F$7001,F1183,'Estadísticas Jugadores'!$L$2:$L$7001))</f>
        <v/>
      </c>
      <c r="I1183" s="4" t="str">
        <f t="shared" si="93"/>
        <v/>
      </c>
      <c r="J1183" s="4" t="str">
        <f t="shared" si="94"/>
        <v/>
      </c>
    </row>
    <row r="1184" spans="1:10" ht="15" customHeight="1" x14ac:dyDescent="0.25">
      <c r="A1184" s="8" t="str">
        <f>IF(COUNT($J$2:$J$1501)&gt;=1183,1183,"")</f>
        <v/>
      </c>
      <c r="B1184" s="8" t="str">
        <f t="shared" si="90"/>
        <v/>
      </c>
      <c r="C1184" s="8" t="str">
        <f t="shared" si="91"/>
        <v/>
      </c>
      <c r="D1184" s="8" t="str">
        <f t="shared" si="92"/>
        <v/>
      </c>
      <c r="F1184" s="4" t="str">
        <f>IF(Jugadores!B1184="","",Jugadores!B1184)</f>
        <v/>
      </c>
      <c r="G1184" s="4" t="str">
        <f>IF(Jugadores!B1184="","",Jugadores!A1184)</f>
        <v/>
      </c>
      <c r="H1184" s="4" t="str">
        <f>IF(F1184="","",SUMIF('Estadísticas Jugadores'!$F$2:$F$7001,F1184,'Estadísticas Jugadores'!$L$2:$L$7001))</f>
        <v/>
      </c>
      <c r="I1184" s="4" t="str">
        <f t="shared" si="93"/>
        <v/>
      </c>
      <c r="J1184" s="4" t="str">
        <f t="shared" si="94"/>
        <v/>
      </c>
    </row>
    <row r="1185" spans="1:10" ht="15" customHeight="1" x14ac:dyDescent="0.25">
      <c r="A1185" s="8" t="str">
        <f>IF(COUNT($J$2:$J$1501)&gt;=1184,1184,"")</f>
        <v/>
      </c>
      <c r="B1185" s="8" t="str">
        <f t="shared" si="90"/>
        <v/>
      </c>
      <c r="C1185" s="8" t="str">
        <f t="shared" si="91"/>
        <v/>
      </c>
      <c r="D1185" s="8" t="str">
        <f t="shared" si="92"/>
        <v/>
      </c>
      <c r="F1185" s="4" t="str">
        <f>IF(Jugadores!B1185="","",Jugadores!B1185)</f>
        <v/>
      </c>
      <c r="G1185" s="4" t="str">
        <f>IF(Jugadores!B1185="","",Jugadores!A1185)</f>
        <v/>
      </c>
      <c r="H1185" s="4" t="str">
        <f>IF(F1185="","",SUMIF('Estadísticas Jugadores'!$F$2:$F$7001,F1185,'Estadísticas Jugadores'!$L$2:$L$7001))</f>
        <v/>
      </c>
      <c r="I1185" s="4" t="str">
        <f t="shared" si="93"/>
        <v/>
      </c>
      <c r="J1185" s="4" t="str">
        <f t="shared" si="94"/>
        <v/>
      </c>
    </row>
    <row r="1186" spans="1:10" ht="15" customHeight="1" x14ac:dyDescent="0.25">
      <c r="A1186" s="8" t="str">
        <f>IF(COUNT($J$2:$J$1501)&gt;=1185,1185,"")</f>
        <v/>
      </c>
      <c r="B1186" s="8" t="str">
        <f t="shared" si="90"/>
        <v/>
      </c>
      <c r="C1186" s="8" t="str">
        <f t="shared" si="91"/>
        <v/>
      </c>
      <c r="D1186" s="8" t="str">
        <f t="shared" si="92"/>
        <v/>
      </c>
      <c r="F1186" s="4" t="str">
        <f>IF(Jugadores!B1186="","",Jugadores!B1186)</f>
        <v/>
      </c>
      <c r="G1186" s="4" t="str">
        <f>IF(Jugadores!B1186="","",Jugadores!A1186)</f>
        <v/>
      </c>
      <c r="H1186" s="4" t="str">
        <f>IF(F1186="","",SUMIF('Estadísticas Jugadores'!$F$2:$F$7001,F1186,'Estadísticas Jugadores'!$L$2:$L$7001))</f>
        <v/>
      </c>
      <c r="I1186" s="4" t="str">
        <f t="shared" si="93"/>
        <v/>
      </c>
      <c r="J1186" s="4" t="str">
        <f t="shared" si="94"/>
        <v/>
      </c>
    </row>
    <row r="1187" spans="1:10" ht="15" customHeight="1" x14ac:dyDescent="0.25">
      <c r="A1187" s="8" t="str">
        <f>IF(COUNT($J$2:$J$1501)&gt;=1186,1186,"")</f>
        <v/>
      </c>
      <c r="B1187" s="8" t="str">
        <f t="shared" si="90"/>
        <v/>
      </c>
      <c r="C1187" s="8" t="str">
        <f t="shared" si="91"/>
        <v/>
      </c>
      <c r="D1187" s="8" t="str">
        <f t="shared" si="92"/>
        <v/>
      </c>
      <c r="F1187" s="4" t="str">
        <f>IF(Jugadores!B1187="","",Jugadores!B1187)</f>
        <v/>
      </c>
      <c r="G1187" s="4" t="str">
        <f>IF(Jugadores!B1187="","",Jugadores!A1187)</f>
        <v/>
      </c>
      <c r="H1187" s="4" t="str">
        <f>IF(F1187="","",SUMIF('Estadísticas Jugadores'!$F$2:$F$7001,F1187,'Estadísticas Jugadores'!$L$2:$L$7001))</f>
        <v/>
      </c>
      <c r="I1187" s="4" t="str">
        <f t="shared" si="93"/>
        <v/>
      </c>
      <c r="J1187" s="4" t="str">
        <f t="shared" si="94"/>
        <v/>
      </c>
    </row>
    <row r="1188" spans="1:10" ht="15" customHeight="1" x14ac:dyDescent="0.25">
      <c r="A1188" s="8" t="str">
        <f>IF(COUNT($J$2:$J$1501)&gt;=1187,1187,"")</f>
        <v/>
      </c>
      <c r="B1188" s="8" t="str">
        <f t="shared" si="90"/>
        <v/>
      </c>
      <c r="C1188" s="8" t="str">
        <f t="shared" si="91"/>
        <v/>
      </c>
      <c r="D1188" s="8" t="str">
        <f t="shared" si="92"/>
        <v/>
      </c>
      <c r="F1188" s="4" t="str">
        <f>IF(Jugadores!B1188="","",Jugadores!B1188)</f>
        <v/>
      </c>
      <c r="G1188" s="4" t="str">
        <f>IF(Jugadores!B1188="","",Jugadores!A1188)</f>
        <v/>
      </c>
      <c r="H1188" s="4" t="str">
        <f>IF(F1188="","",SUMIF('Estadísticas Jugadores'!$F$2:$F$7001,F1188,'Estadísticas Jugadores'!$L$2:$L$7001))</f>
        <v/>
      </c>
      <c r="I1188" s="4" t="str">
        <f t="shared" si="93"/>
        <v/>
      </c>
      <c r="J1188" s="4" t="str">
        <f t="shared" si="94"/>
        <v/>
      </c>
    </row>
    <row r="1189" spans="1:10" ht="15" customHeight="1" x14ac:dyDescent="0.25">
      <c r="A1189" s="8" t="str">
        <f>IF(COUNT($J$2:$J$1501)&gt;=1188,1188,"")</f>
        <v/>
      </c>
      <c r="B1189" s="8" t="str">
        <f t="shared" si="90"/>
        <v/>
      </c>
      <c r="C1189" s="8" t="str">
        <f t="shared" si="91"/>
        <v/>
      </c>
      <c r="D1189" s="8" t="str">
        <f t="shared" si="92"/>
        <v/>
      </c>
      <c r="F1189" s="4" t="str">
        <f>IF(Jugadores!B1189="","",Jugadores!B1189)</f>
        <v/>
      </c>
      <c r="G1189" s="4" t="str">
        <f>IF(Jugadores!B1189="","",Jugadores!A1189)</f>
        <v/>
      </c>
      <c r="H1189" s="4" t="str">
        <f>IF(F1189="","",SUMIF('Estadísticas Jugadores'!$F$2:$F$7001,F1189,'Estadísticas Jugadores'!$L$2:$L$7001))</f>
        <v/>
      </c>
      <c r="I1189" s="4" t="str">
        <f t="shared" si="93"/>
        <v/>
      </c>
      <c r="J1189" s="4" t="str">
        <f t="shared" si="94"/>
        <v/>
      </c>
    </row>
    <row r="1190" spans="1:10" ht="15" customHeight="1" x14ac:dyDescent="0.25">
      <c r="A1190" s="8" t="str">
        <f>IF(COUNT($J$2:$J$1501)&gt;=1189,1189,"")</f>
        <v/>
      </c>
      <c r="B1190" s="8" t="str">
        <f t="shared" si="90"/>
        <v/>
      </c>
      <c r="C1190" s="8" t="str">
        <f t="shared" si="91"/>
        <v/>
      </c>
      <c r="D1190" s="8" t="str">
        <f t="shared" si="92"/>
        <v/>
      </c>
      <c r="F1190" s="4" t="str">
        <f>IF(Jugadores!B1190="","",Jugadores!B1190)</f>
        <v/>
      </c>
      <c r="G1190" s="4" t="str">
        <f>IF(Jugadores!B1190="","",Jugadores!A1190)</f>
        <v/>
      </c>
      <c r="H1190" s="4" t="str">
        <f>IF(F1190="","",SUMIF('Estadísticas Jugadores'!$F$2:$F$7001,F1190,'Estadísticas Jugadores'!$L$2:$L$7001))</f>
        <v/>
      </c>
      <c r="I1190" s="4" t="str">
        <f t="shared" si="93"/>
        <v/>
      </c>
      <c r="J1190" s="4" t="str">
        <f t="shared" si="94"/>
        <v/>
      </c>
    </row>
    <row r="1191" spans="1:10" ht="15" customHeight="1" x14ac:dyDescent="0.25">
      <c r="A1191" s="8" t="str">
        <f>IF(COUNT($J$2:$J$1501)&gt;=1190,1190,"")</f>
        <v/>
      </c>
      <c r="B1191" s="8" t="str">
        <f t="shared" si="90"/>
        <v/>
      </c>
      <c r="C1191" s="8" t="str">
        <f t="shared" si="91"/>
        <v/>
      </c>
      <c r="D1191" s="8" t="str">
        <f t="shared" si="92"/>
        <v/>
      </c>
      <c r="F1191" s="4" t="str">
        <f>IF(Jugadores!B1191="","",Jugadores!B1191)</f>
        <v/>
      </c>
      <c r="G1191" s="4" t="str">
        <f>IF(Jugadores!B1191="","",Jugadores!A1191)</f>
        <v/>
      </c>
      <c r="H1191" s="4" t="str">
        <f>IF(F1191="","",SUMIF('Estadísticas Jugadores'!$F$2:$F$7001,F1191,'Estadísticas Jugadores'!$L$2:$L$7001))</f>
        <v/>
      </c>
      <c r="I1191" s="4" t="str">
        <f t="shared" si="93"/>
        <v/>
      </c>
      <c r="J1191" s="4" t="str">
        <f t="shared" si="94"/>
        <v/>
      </c>
    </row>
    <row r="1192" spans="1:10" ht="15" customHeight="1" x14ac:dyDescent="0.25">
      <c r="A1192" s="8" t="str">
        <f>IF(COUNT($J$2:$J$1501)&gt;=1191,1191,"")</f>
        <v/>
      </c>
      <c r="B1192" s="8" t="str">
        <f t="shared" si="90"/>
        <v/>
      </c>
      <c r="C1192" s="8" t="str">
        <f t="shared" si="91"/>
        <v/>
      </c>
      <c r="D1192" s="8" t="str">
        <f t="shared" si="92"/>
        <v/>
      </c>
      <c r="F1192" s="4" t="str">
        <f>IF(Jugadores!B1192="","",Jugadores!B1192)</f>
        <v/>
      </c>
      <c r="G1192" s="4" t="str">
        <f>IF(Jugadores!B1192="","",Jugadores!A1192)</f>
        <v/>
      </c>
      <c r="H1192" s="4" t="str">
        <f>IF(F1192="","",SUMIF('Estadísticas Jugadores'!$F$2:$F$7001,F1192,'Estadísticas Jugadores'!$L$2:$L$7001))</f>
        <v/>
      </c>
      <c r="I1192" s="4" t="str">
        <f t="shared" si="93"/>
        <v/>
      </c>
      <c r="J1192" s="4" t="str">
        <f t="shared" si="94"/>
        <v/>
      </c>
    </row>
    <row r="1193" spans="1:10" ht="15" customHeight="1" x14ac:dyDescent="0.25">
      <c r="A1193" s="8" t="str">
        <f>IF(COUNT($J$2:$J$1501)&gt;=1192,1192,"")</f>
        <v/>
      </c>
      <c r="B1193" s="8" t="str">
        <f t="shared" si="90"/>
        <v/>
      </c>
      <c r="C1193" s="8" t="str">
        <f t="shared" si="91"/>
        <v/>
      </c>
      <c r="D1193" s="8" t="str">
        <f t="shared" si="92"/>
        <v/>
      </c>
      <c r="F1193" s="4" t="str">
        <f>IF(Jugadores!B1193="","",Jugadores!B1193)</f>
        <v/>
      </c>
      <c r="G1193" s="4" t="str">
        <f>IF(Jugadores!B1193="","",Jugadores!A1193)</f>
        <v/>
      </c>
      <c r="H1193" s="4" t="str">
        <f>IF(F1193="","",SUMIF('Estadísticas Jugadores'!$F$2:$F$7001,F1193,'Estadísticas Jugadores'!$L$2:$L$7001))</f>
        <v/>
      </c>
      <c r="I1193" s="4" t="str">
        <f t="shared" si="93"/>
        <v/>
      </c>
      <c r="J1193" s="4" t="str">
        <f t="shared" si="94"/>
        <v/>
      </c>
    </row>
    <row r="1194" spans="1:10" ht="15" customHeight="1" x14ac:dyDescent="0.25">
      <c r="A1194" s="8" t="str">
        <f>IF(COUNT($J$2:$J$1501)&gt;=1193,1193,"")</f>
        <v/>
      </c>
      <c r="B1194" s="8" t="str">
        <f t="shared" si="90"/>
        <v/>
      </c>
      <c r="C1194" s="8" t="str">
        <f t="shared" si="91"/>
        <v/>
      </c>
      <c r="D1194" s="8" t="str">
        <f t="shared" si="92"/>
        <v/>
      </c>
      <c r="F1194" s="4" t="str">
        <f>IF(Jugadores!B1194="","",Jugadores!B1194)</f>
        <v/>
      </c>
      <c r="G1194" s="4" t="str">
        <f>IF(Jugadores!B1194="","",Jugadores!A1194)</f>
        <v/>
      </c>
      <c r="H1194" s="4" t="str">
        <f>IF(F1194="","",SUMIF('Estadísticas Jugadores'!$F$2:$F$7001,F1194,'Estadísticas Jugadores'!$L$2:$L$7001))</f>
        <v/>
      </c>
      <c r="I1194" s="4" t="str">
        <f t="shared" si="93"/>
        <v/>
      </c>
      <c r="J1194" s="4" t="str">
        <f t="shared" si="94"/>
        <v/>
      </c>
    </row>
    <row r="1195" spans="1:10" ht="15" customHeight="1" x14ac:dyDescent="0.25">
      <c r="A1195" s="8" t="str">
        <f>IF(COUNT($J$2:$J$1501)&gt;=1194,1194,"")</f>
        <v/>
      </c>
      <c r="B1195" s="8" t="str">
        <f t="shared" si="90"/>
        <v/>
      </c>
      <c r="C1195" s="8" t="str">
        <f t="shared" si="91"/>
        <v/>
      </c>
      <c r="D1195" s="8" t="str">
        <f t="shared" si="92"/>
        <v/>
      </c>
      <c r="F1195" s="4" t="str">
        <f>IF(Jugadores!B1195="","",Jugadores!B1195)</f>
        <v/>
      </c>
      <c r="G1195" s="4" t="str">
        <f>IF(Jugadores!B1195="","",Jugadores!A1195)</f>
        <v/>
      </c>
      <c r="H1195" s="4" t="str">
        <f>IF(F1195="","",SUMIF('Estadísticas Jugadores'!$F$2:$F$7001,F1195,'Estadísticas Jugadores'!$L$2:$L$7001))</f>
        <v/>
      </c>
      <c r="I1195" s="4" t="str">
        <f t="shared" si="93"/>
        <v/>
      </c>
      <c r="J1195" s="4" t="str">
        <f t="shared" si="94"/>
        <v/>
      </c>
    </row>
    <row r="1196" spans="1:10" ht="15" customHeight="1" x14ac:dyDescent="0.25">
      <c r="A1196" s="8" t="str">
        <f>IF(COUNT($J$2:$J$1501)&gt;=1195,1195,"")</f>
        <v/>
      </c>
      <c r="B1196" s="8" t="str">
        <f t="shared" si="90"/>
        <v/>
      </c>
      <c r="C1196" s="8" t="str">
        <f t="shared" si="91"/>
        <v/>
      </c>
      <c r="D1196" s="8" t="str">
        <f t="shared" si="92"/>
        <v/>
      </c>
      <c r="F1196" s="4" t="str">
        <f>IF(Jugadores!B1196="","",Jugadores!B1196)</f>
        <v/>
      </c>
      <c r="G1196" s="4" t="str">
        <f>IF(Jugadores!B1196="","",Jugadores!A1196)</f>
        <v/>
      </c>
      <c r="H1196" s="4" t="str">
        <f>IF(F1196="","",SUMIF('Estadísticas Jugadores'!$F$2:$F$7001,F1196,'Estadísticas Jugadores'!$L$2:$L$7001))</f>
        <v/>
      </c>
      <c r="I1196" s="4" t="str">
        <f t="shared" si="93"/>
        <v/>
      </c>
      <c r="J1196" s="4" t="str">
        <f t="shared" si="94"/>
        <v/>
      </c>
    </row>
    <row r="1197" spans="1:10" ht="15" customHeight="1" x14ac:dyDescent="0.25">
      <c r="A1197" s="8" t="str">
        <f>IF(COUNT($J$2:$J$1501)&gt;=1196,1196,"")</f>
        <v/>
      </c>
      <c r="B1197" s="8" t="str">
        <f t="shared" si="90"/>
        <v/>
      </c>
      <c r="C1197" s="8" t="str">
        <f t="shared" si="91"/>
        <v/>
      </c>
      <c r="D1197" s="8" t="str">
        <f t="shared" si="92"/>
        <v/>
      </c>
      <c r="F1197" s="4" t="str">
        <f>IF(Jugadores!B1197="","",Jugadores!B1197)</f>
        <v/>
      </c>
      <c r="G1197" s="4" t="str">
        <f>IF(Jugadores!B1197="","",Jugadores!A1197)</f>
        <v/>
      </c>
      <c r="H1197" s="4" t="str">
        <f>IF(F1197="","",SUMIF('Estadísticas Jugadores'!$F$2:$F$7001,F1197,'Estadísticas Jugadores'!$L$2:$L$7001))</f>
        <v/>
      </c>
      <c r="I1197" s="4" t="str">
        <f t="shared" si="93"/>
        <v/>
      </c>
      <c r="J1197" s="4" t="str">
        <f t="shared" si="94"/>
        <v/>
      </c>
    </row>
    <row r="1198" spans="1:10" ht="15" customHeight="1" x14ac:dyDescent="0.25">
      <c r="A1198" s="8" t="str">
        <f>IF(COUNT($J$2:$J$1501)&gt;=1197,1197,"")</f>
        <v/>
      </c>
      <c r="B1198" s="8" t="str">
        <f t="shared" si="90"/>
        <v/>
      </c>
      <c r="C1198" s="8" t="str">
        <f t="shared" si="91"/>
        <v/>
      </c>
      <c r="D1198" s="8" t="str">
        <f t="shared" si="92"/>
        <v/>
      </c>
      <c r="F1198" s="4" t="str">
        <f>IF(Jugadores!B1198="","",Jugadores!B1198)</f>
        <v/>
      </c>
      <c r="G1198" s="4" t="str">
        <f>IF(Jugadores!B1198="","",Jugadores!A1198)</f>
        <v/>
      </c>
      <c r="H1198" s="4" t="str">
        <f>IF(F1198="","",SUMIF('Estadísticas Jugadores'!$F$2:$F$7001,F1198,'Estadísticas Jugadores'!$L$2:$L$7001))</f>
        <v/>
      </c>
      <c r="I1198" s="4" t="str">
        <f t="shared" si="93"/>
        <v/>
      </c>
      <c r="J1198" s="4" t="str">
        <f t="shared" si="94"/>
        <v/>
      </c>
    </row>
    <row r="1199" spans="1:10" ht="15" customHeight="1" x14ac:dyDescent="0.25">
      <c r="A1199" s="8" t="str">
        <f>IF(COUNT($J$2:$J$1501)&gt;=1198,1198,"")</f>
        <v/>
      </c>
      <c r="B1199" s="8" t="str">
        <f t="shared" si="90"/>
        <v/>
      </c>
      <c r="C1199" s="8" t="str">
        <f t="shared" si="91"/>
        <v/>
      </c>
      <c r="D1199" s="8" t="str">
        <f t="shared" si="92"/>
        <v/>
      </c>
      <c r="F1199" s="4" t="str">
        <f>IF(Jugadores!B1199="","",Jugadores!B1199)</f>
        <v/>
      </c>
      <c r="G1199" s="4" t="str">
        <f>IF(Jugadores!B1199="","",Jugadores!A1199)</f>
        <v/>
      </c>
      <c r="H1199" s="4" t="str">
        <f>IF(F1199="","",SUMIF('Estadísticas Jugadores'!$F$2:$F$7001,F1199,'Estadísticas Jugadores'!$L$2:$L$7001))</f>
        <v/>
      </c>
      <c r="I1199" s="4" t="str">
        <f t="shared" si="93"/>
        <v/>
      </c>
      <c r="J1199" s="4" t="str">
        <f t="shared" si="94"/>
        <v/>
      </c>
    </row>
    <row r="1200" spans="1:10" ht="15" customHeight="1" x14ac:dyDescent="0.25">
      <c r="A1200" s="8" t="str">
        <f>IF(COUNT($J$2:$J$1501)&gt;=1199,1199,"")</f>
        <v/>
      </c>
      <c r="B1200" s="8" t="str">
        <f t="shared" si="90"/>
        <v/>
      </c>
      <c r="C1200" s="8" t="str">
        <f t="shared" si="91"/>
        <v/>
      </c>
      <c r="D1200" s="8" t="str">
        <f t="shared" si="92"/>
        <v/>
      </c>
      <c r="F1200" s="4" t="str">
        <f>IF(Jugadores!B1200="","",Jugadores!B1200)</f>
        <v/>
      </c>
      <c r="G1200" s="4" t="str">
        <f>IF(Jugadores!B1200="","",Jugadores!A1200)</f>
        <v/>
      </c>
      <c r="H1200" s="4" t="str">
        <f>IF(F1200="","",SUMIF('Estadísticas Jugadores'!$F$2:$F$7001,F1200,'Estadísticas Jugadores'!$L$2:$L$7001))</f>
        <v/>
      </c>
      <c r="I1200" s="4" t="str">
        <f t="shared" si="93"/>
        <v/>
      </c>
      <c r="J1200" s="4" t="str">
        <f t="shared" si="94"/>
        <v/>
      </c>
    </row>
    <row r="1201" spans="1:10" ht="15" customHeight="1" x14ac:dyDescent="0.25">
      <c r="A1201" s="8" t="str">
        <f>IF(COUNT($J$2:$J$1501)&gt;=1200,1200,"")</f>
        <v/>
      </c>
      <c r="B1201" s="8" t="str">
        <f t="shared" si="90"/>
        <v/>
      </c>
      <c r="C1201" s="8" t="str">
        <f t="shared" si="91"/>
        <v/>
      </c>
      <c r="D1201" s="8" t="str">
        <f t="shared" si="92"/>
        <v/>
      </c>
      <c r="F1201" s="4" t="str">
        <f>IF(Jugadores!B1201="","",Jugadores!B1201)</f>
        <v/>
      </c>
      <c r="G1201" s="4" t="str">
        <f>IF(Jugadores!B1201="","",Jugadores!A1201)</f>
        <v/>
      </c>
      <c r="H1201" s="4" t="str">
        <f>IF(F1201="","",SUMIF('Estadísticas Jugadores'!$F$2:$F$7001,F1201,'Estadísticas Jugadores'!$L$2:$L$7001))</f>
        <v/>
      </c>
      <c r="I1201" s="4" t="str">
        <f t="shared" si="93"/>
        <v/>
      </c>
      <c r="J1201" s="4" t="str">
        <f t="shared" si="94"/>
        <v/>
      </c>
    </row>
    <row r="1202" spans="1:10" ht="15" customHeight="1" x14ac:dyDescent="0.25">
      <c r="A1202" s="8" t="str">
        <f>IF(COUNT($J$2:$J$1501)&gt;=1201,1201,"")</f>
        <v/>
      </c>
      <c r="B1202" s="8" t="str">
        <f t="shared" si="90"/>
        <v/>
      </c>
      <c r="C1202" s="8" t="str">
        <f t="shared" si="91"/>
        <v/>
      </c>
      <c r="D1202" s="8" t="str">
        <f t="shared" si="92"/>
        <v/>
      </c>
      <c r="F1202" s="4" t="str">
        <f>IF(Jugadores!B1202="","",Jugadores!B1202)</f>
        <v/>
      </c>
      <c r="G1202" s="4" t="str">
        <f>IF(Jugadores!B1202="","",Jugadores!A1202)</f>
        <v/>
      </c>
      <c r="H1202" s="4" t="str">
        <f>IF(F1202="","",SUMIF('Estadísticas Jugadores'!$F$2:$F$7001,F1202,'Estadísticas Jugadores'!$L$2:$L$7001))</f>
        <v/>
      </c>
      <c r="I1202" s="4" t="str">
        <f t="shared" si="93"/>
        <v/>
      </c>
      <c r="J1202" s="4" t="str">
        <f t="shared" si="94"/>
        <v/>
      </c>
    </row>
    <row r="1203" spans="1:10" ht="15" customHeight="1" x14ac:dyDescent="0.25">
      <c r="A1203" s="8" t="str">
        <f>IF(COUNT($J$2:$J$1501)&gt;=1202,1202,"")</f>
        <v/>
      </c>
      <c r="B1203" s="8" t="str">
        <f t="shared" si="90"/>
        <v/>
      </c>
      <c r="C1203" s="8" t="str">
        <f t="shared" si="91"/>
        <v/>
      </c>
      <c r="D1203" s="8" t="str">
        <f t="shared" si="92"/>
        <v/>
      </c>
      <c r="F1203" s="4" t="str">
        <f>IF(Jugadores!B1203="","",Jugadores!B1203)</f>
        <v/>
      </c>
      <c r="G1203" s="4" t="str">
        <f>IF(Jugadores!B1203="","",Jugadores!A1203)</f>
        <v/>
      </c>
      <c r="H1203" s="4" t="str">
        <f>IF(F1203="","",SUMIF('Estadísticas Jugadores'!$F$2:$F$7001,F1203,'Estadísticas Jugadores'!$L$2:$L$7001))</f>
        <v/>
      </c>
      <c r="I1203" s="4" t="str">
        <f t="shared" si="93"/>
        <v/>
      </c>
      <c r="J1203" s="4" t="str">
        <f t="shared" si="94"/>
        <v/>
      </c>
    </row>
    <row r="1204" spans="1:10" ht="15" customHeight="1" x14ac:dyDescent="0.25">
      <c r="A1204" s="8" t="str">
        <f>IF(COUNT($J$2:$J$1501)&gt;=1203,1203,"")</f>
        <v/>
      </c>
      <c r="B1204" s="8" t="str">
        <f t="shared" si="90"/>
        <v/>
      </c>
      <c r="C1204" s="8" t="str">
        <f t="shared" si="91"/>
        <v/>
      </c>
      <c r="D1204" s="8" t="str">
        <f t="shared" si="92"/>
        <v/>
      </c>
      <c r="F1204" s="4" t="str">
        <f>IF(Jugadores!B1204="","",Jugadores!B1204)</f>
        <v/>
      </c>
      <c r="G1204" s="4" t="str">
        <f>IF(Jugadores!B1204="","",Jugadores!A1204)</f>
        <v/>
      </c>
      <c r="H1204" s="4" t="str">
        <f>IF(F1204="","",SUMIF('Estadísticas Jugadores'!$F$2:$F$7001,F1204,'Estadísticas Jugadores'!$L$2:$L$7001))</f>
        <v/>
      </c>
      <c r="I1204" s="4" t="str">
        <f t="shared" si="93"/>
        <v/>
      </c>
      <c r="J1204" s="4" t="str">
        <f t="shared" si="94"/>
        <v/>
      </c>
    </row>
    <row r="1205" spans="1:10" ht="15" customHeight="1" x14ac:dyDescent="0.25">
      <c r="A1205" s="8" t="str">
        <f>IF(COUNT($J$2:$J$1501)&gt;=1204,1204,"")</f>
        <v/>
      </c>
      <c r="B1205" s="8" t="str">
        <f t="shared" si="90"/>
        <v/>
      </c>
      <c r="C1205" s="8" t="str">
        <f t="shared" si="91"/>
        <v/>
      </c>
      <c r="D1205" s="8" t="str">
        <f t="shared" si="92"/>
        <v/>
      </c>
      <c r="F1205" s="4" t="str">
        <f>IF(Jugadores!B1205="","",Jugadores!B1205)</f>
        <v/>
      </c>
      <c r="G1205" s="4" t="str">
        <f>IF(Jugadores!B1205="","",Jugadores!A1205)</f>
        <v/>
      </c>
      <c r="H1205" s="4" t="str">
        <f>IF(F1205="","",SUMIF('Estadísticas Jugadores'!$F$2:$F$7001,F1205,'Estadísticas Jugadores'!$L$2:$L$7001))</f>
        <v/>
      </c>
      <c r="I1205" s="4" t="str">
        <f t="shared" si="93"/>
        <v/>
      </c>
      <c r="J1205" s="4" t="str">
        <f t="shared" si="94"/>
        <v/>
      </c>
    </row>
    <row r="1206" spans="1:10" ht="15" customHeight="1" x14ac:dyDescent="0.25">
      <c r="A1206" s="8" t="str">
        <f>IF(COUNT($J$2:$J$1501)&gt;=1205,1205,"")</f>
        <v/>
      </c>
      <c r="B1206" s="8" t="str">
        <f t="shared" si="90"/>
        <v/>
      </c>
      <c r="C1206" s="8" t="str">
        <f t="shared" si="91"/>
        <v/>
      </c>
      <c r="D1206" s="8" t="str">
        <f t="shared" si="92"/>
        <v/>
      </c>
      <c r="F1206" s="4" t="str">
        <f>IF(Jugadores!B1206="","",Jugadores!B1206)</f>
        <v/>
      </c>
      <c r="G1206" s="4" t="str">
        <f>IF(Jugadores!B1206="","",Jugadores!A1206)</f>
        <v/>
      </c>
      <c r="H1206" s="4" t="str">
        <f>IF(F1206="","",SUMIF('Estadísticas Jugadores'!$F$2:$F$7001,F1206,'Estadísticas Jugadores'!$L$2:$L$7001))</f>
        <v/>
      </c>
      <c r="I1206" s="4" t="str">
        <f t="shared" si="93"/>
        <v/>
      </c>
      <c r="J1206" s="4" t="str">
        <f t="shared" si="94"/>
        <v/>
      </c>
    </row>
    <row r="1207" spans="1:10" ht="15" customHeight="1" x14ac:dyDescent="0.25">
      <c r="A1207" s="8" t="str">
        <f>IF(COUNT($J$2:$J$1501)&gt;=1206,1206,"")</f>
        <v/>
      </c>
      <c r="B1207" s="8" t="str">
        <f t="shared" si="90"/>
        <v/>
      </c>
      <c r="C1207" s="8" t="str">
        <f t="shared" si="91"/>
        <v/>
      </c>
      <c r="D1207" s="8" t="str">
        <f t="shared" si="92"/>
        <v/>
      </c>
      <c r="F1207" s="4" t="str">
        <f>IF(Jugadores!B1207="","",Jugadores!B1207)</f>
        <v/>
      </c>
      <c r="G1207" s="4" t="str">
        <f>IF(Jugadores!B1207="","",Jugadores!A1207)</f>
        <v/>
      </c>
      <c r="H1207" s="4" t="str">
        <f>IF(F1207="","",SUMIF('Estadísticas Jugadores'!$F$2:$F$7001,F1207,'Estadísticas Jugadores'!$L$2:$L$7001))</f>
        <v/>
      </c>
      <c r="I1207" s="4" t="str">
        <f t="shared" si="93"/>
        <v/>
      </c>
      <c r="J1207" s="4" t="str">
        <f t="shared" si="94"/>
        <v/>
      </c>
    </row>
    <row r="1208" spans="1:10" ht="15" customHeight="1" x14ac:dyDescent="0.25">
      <c r="A1208" s="8" t="str">
        <f>IF(COUNT($J$2:$J$1501)&gt;=1207,1207,"")</f>
        <v/>
      </c>
      <c r="B1208" s="8" t="str">
        <f t="shared" si="90"/>
        <v/>
      </c>
      <c r="C1208" s="8" t="str">
        <f t="shared" si="91"/>
        <v/>
      </c>
      <c r="D1208" s="8" t="str">
        <f t="shared" si="92"/>
        <v/>
      </c>
      <c r="F1208" s="4" t="str">
        <f>IF(Jugadores!B1208="","",Jugadores!B1208)</f>
        <v/>
      </c>
      <c r="G1208" s="4" t="str">
        <f>IF(Jugadores!B1208="","",Jugadores!A1208)</f>
        <v/>
      </c>
      <c r="H1208" s="4" t="str">
        <f>IF(F1208="","",SUMIF('Estadísticas Jugadores'!$F$2:$F$7001,F1208,'Estadísticas Jugadores'!$L$2:$L$7001))</f>
        <v/>
      </c>
      <c r="I1208" s="4" t="str">
        <f t="shared" si="93"/>
        <v/>
      </c>
      <c r="J1208" s="4" t="str">
        <f t="shared" si="94"/>
        <v/>
      </c>
    </row>
    <row r="1209" spans="1:10" ht="15" customHeight="1" x14ac:dyDescent="0.25">
      <c r="A1209" s="8" t="str">
        <f>IF(COUNT($J$2:$J$1501)&gt;=1208,1208,"")</f>
        <v/>
      </c>
      <c r="B1209" s="8" t="str">
        <f t="shared" si="90"/>
        <v/>
      </c>
      <c r="C1209" s="8" t="str">
        <f t="shared" si="91"/>
        <v/>
      </c>
      <c r="D1209" s="8" t="str">
        <f t="shared" si="92"/>
        <v/>
      </c>
      <c r="F1209" s="4" t="str">
        <f>IF(Jugadores!B1209="","",Jugadores!B1209)</f>
        <v/>
      </c>
      <c r="G1209" s="4" t="str">
        <f>IF(Jugadores!B1209="","",Jugadores!A1209)</f>
        <v/>
      </c>
      <c r="H1209" s="4" t="str">
        <f>IF(F1209="","",SUMIF('Estadísticas Jugadores'!$F$2:$F$7001,F1209,'Estadísticas Jugadores'!$L$2:$L$7001))</f>
        <v/>
      </c>
      <c r="I1209" s="4" t="str">
        <f t="shared" si="93"/>
        <v/>
      </c>
      <c r="J1209" s="4" t="str">
        <f t="shared" si="94"/>
        <v/>
      </c>
    </row>
    <row r="1210" spans="1:10" ht="15" customHeight="1" x14ac:dyDescent="0.25">
      <c r="A1210" s="8" t="str">
        <f>IF(COUNT($J$2:$J$1501)&gt;=1209,1209,"")</f>
        <v/>
      </c>
      <c r="B1210" s="8" t="str">
        <f t="shared" si="90"/>
        <v/>
      </c>
      <c r="C1210" s="8" t="str">
        <f t="shared" si="91"/>
        <v/>
      </c>
      <c r="D1210" s="8" t="str">
        <f t="shared" si="92"/>
        <v/>
      </c>
      <c r="F1210" s="4" t="str">
        <f>IF(Jugadores!B1210="","",Jugadores!B1210)</f>
        <v/>
      </c>
      <c r="G1210" s="4" t="str">
        <f>IF(Jugadores!B1210="","",Jugadores!A1210)</f>
        <v/>
      </c>
      <c r="H1210" s="4" t="str">
        <f>IF(F1210="","",SUMIF('Estadísticas Jugadores'!$F$2:$F$7001,F1210,'Estadísticas Jugadores'!$L$2:$L$7001))</f>
        <v/>
      </c>
      <c r="I1210" s="4" t="str">
        <f t="shared" si="93"/>
        <v/>
      </c>
      <c r="J1210" s="4" t="str">
        <f t="shared" si="94"/>
        <v/>
      </c>
    </row>
    <row r="1211" spans="1:10" ht="15" customHeight="1" x14ac:dyDescent="0.25">
      <c r="A1211" s="8" t="str">
        <f>IF(COUNT($J$2:$J$1501)&gt;=1210,1210,"")</f>
        <v/>
      </c>
      <c r="B1211" s="8" t="str">
        <f t="shared" si="90"/>
        <v/>
      </c>
      <c r="C1211" s="8" t="str">
        <f t="shared" si="91"/>
        <v/>
      </c>
      <c r="D1211" s="8" t="str">
        <f t="shared" si="92"/>
        <v/>
      </c>
      <c r="F1211" s="4" t="str">
        <f>IF(Jugadores!B1211="","",Jugadores!B1211)</f>
        <v/>
      </c>
      <c r="G1211" s="4" t="str">
        <f>IF(Jugadores!B1211="","",Jugadores!A1211)</f>
        <v/>
      </c>
      <c r="H1211" s="4" t="str">
        <f>IF(F1211="","",SUMIF('Estadísticas Jugadores'!$F$2:$F$7001,F1211,'Estadísticas Jugadores'!$L$2:$L$7001))</f>
        <v/>
      </c>
      <c r="I1211" s="4" t="str">
        <f t="shared" si="93"/>
        <v/>
      </c>
      <c r="J1211" s="4" t="str">
        <f t="shared" si="94"/>
        <v/>
      </c>
    </row>
    <row r="1212" spans="1:10" ht="15" customHeight="1" x14ac:dyDescent="0.25">
      <c r="A1212" s="8" t="str">
        <f>IF(COUNT($J$2:$J$1501)&gt;=1211,1211,"")</f>
        <v/>
      </c>
      <c r="B1212" s="8" t="str">
        <f t="shared" si="90"/>
        <v/>
      </c>
      <c r="C1212" s="8" t="str">
        <f t="shared" si="91"/>
        <v/>
      </c>
      <c r="D1212" s="8" t="str">
        <f t="shared" si="92"/>
        <v/>
      </c>
      <c r="F1212" s="4" t="str">
        <f>IF(Jugadores!B1212="","",Jugadores!B1212)</f>
        <v/>
      </c>
      <c r="G1212" s="4" t="str">
        <f>IF(Jugadores!B1212="","",Jugadores!A1212)</f>
        <v/>
      </c>
      <c r="H1212" s="4" t="str">
        <f>IF(F1212="","",SUMIF('Estadísticas Jugadores'!$F$2:$F$7001,F1212,'Estadísticas Jugadores'!$L$2:$L$7001))</f>
        <v/>
      </c>
      <c r="I1212" s="4" t="str">
        <f t="shared" si="93"/>
        <v/>
      </c>
      <c r="J1212" s="4" t="str">
        <f t="shared" si="94"/>
        <v/>
      </c>
    </row>
    <row r="1213" spans="1:10" ht="15" customHeight="1" x14ac:dyDescent="0.25">
      <c r="A1213" s="8" t="str">
        <f>IF(COUNT($J$2:$J$1501)&gt;=1212,1212,"")</f>
        <v/>
      </c>
      <c r="B1213" s="8" t="str">
        <f t="shared" si="90"/>
        <v/>
      </c>
      <c r="C1213" s="8" t="str">
        <f t="shared" si="91"/>
        <v/>
      </c>
      <c r="D1213" s="8" t="str">
        <f t="shared" si="92"/>
        <v/>
      </c>
      <c r="F1213" s="4" t="str">
        <f>IF(Jugadores!B1213="","",Jugadores!B1213)</f>
        <v/>
      </c>
      <c r="G1213" s="4" t="str">
        <f>IF(Jugadores!B1213="","",Jugadores!A1213)</f>
        <v/>
      </c>
      <c r="H1213" s="4" t="str">
        <f>IF(F1213="","",SUMIF('Estadísticas Jugadores'!$F$2:$F$7001,F1213,'Estadísticas Jugadores'!$L$2:$L$7001))</f>
        <v/>
      </c>
      <c r="I1213" s="4" t="str">
        <f t="shared" si="93"/>
        <v/>
      </c>
      <c r="J1213" s="4" t="str">
        <f t="shared" si="94"/>
        <v/>
      </c>
    </row>
    <row r="1214" spans="1:10" ht="15" customHeight="1" x14ac:dyDescent="0.25">
      <c r="A1214" s="8" t="str">
        <f>IF(COUNT($J$2:$J$1501)&gt;=1213,1213,"")</f>
        <v/>
      </c>
      <c r="B1214" s="8" t="str">
        <f t="shared" si="90"/>
        <v/>
      </c>
      <c r="C1214" s="8" t="str">
        <f t="shared" si="91"/>
        <v/>
      </c>
      <c r="D1214" s="8" t="str">
        <f t="shared" si="92"/>
        <v/>
      </c>
      <c r="F1214" s="4" t="str">
        <f>IF(Jugadores!B1214="","",Jugadores!B1214)</f>
        <v/>
      </c>
      <c r="G1214" s="4" t="str">
        <f>IF(Jugadores!B1214="","",Jugadores!A1214)</f>
        <v/>
      </c>
      <c r="H1214" s="4" t="str">
        <f>IF(F1214="","",SUMIF('Estadísticas Jugadores'!$F$2:$F$7001,F1214,'Estadísticas Jugadores'!$L$2:$L$7001))</f>
        <v/>
      </c>
      <c r="I1214" s="4" t="str">
        <f t="shared" si="93"/>
        <v/>
      </c>
      <c r="J1214" s="4" t="str">
        <f t="shared" si="94"/>
        <v/>
      </c>
    </row>
    <row r="1215" spans="1:10" ht="15" customHeight="1" x14ac:dyDescent="0.25">
      <c r="A1215" s="8" t="str">
        <f>IF(COUNT($J$2:$J$1501)&gt;=1214,1214,"")</f>
        <v/>
      </c>
      <c r="B1215" s="8" t="str">
        <f t="shared" si="90"/>
        <v/>
      </c>
      <c r="C1215" s="8" t="str">
        <f t="shared" si="91"/>
        <v/>
      </c>
      <c r="D1215" s="8" t="str">
        <f t="shared" si="92"/>
        <v/>
      </c>
      <c r="F1215" s="4" t="str">
        <f>IF(Jugadores!B1215="","",Jugadores!B1215)</f>
        <v/>
      </c>
      <c r="G1215" s="4" t="str">
        <f>IF(Jugadores!B1215="","",Jugadores!A1215)</f>
        <v/>
      </c>
      <c r="H1215" s="4" t="str">
        <f>IF(F1215="","",SUMIF('Estadísticas Jugadores'!$F$2:$F$7001,F1215,'Estadísticas Jugadores'!$L$2:$L$7001))</f>
        <v/>
      </c>
      <c r="I1215" s="4" t="str">
        <f t="shared" si="93"/>
        <v/>
      </c>
      <c r="J1215" s="4" t="str">
        <f t="shared" si="94"/>
        <v/>
      </c>
    </row>
    <row r="1216" spans="1:10" ht="15" customHeight="1" x14ac:dyDescent="0.25">
      <c r="A1216" s="8" t="str">
        <f>IF(COUNT($J$2:$J$1501)&gt;=1215,1215,"")</f>
        <v/>
      </c>
      <c r="B1216" s="8" t="str">
        <f t="shared" si="90"/>
        <v/>
      </c>
      <c r="C1216" s="8" t="str">
        <f t="shared" si="91"/>
        <v/>
      </c>
      <c r="D1216" s="8" t="str">
        <f t="shared" si="92"/>
        <v/>
      </c>
      <c r="F1216" s="4" t="str">
        <f>IF(Jugadores!B1216="","",Jugadores!B1216)</f>
        <v/>
      </c>
      <c r="G1216" s="4" t="str">
        <f>IF(Jugadores!B1216="","",Jugadores!A1216)</f>
        <v/>
      </c>
      <c r="H1216" s="4" t="str">
        <f>IF(F1216="","",SUMIF('Estadísticas Jugadores'!$F$2:$F$7001,F1216,'Estadísticas Jugadores'!$L$2:$L$7001))</f>
        <v/>
      </c>
      <c r="I1216" s="4" t="str">
        <f t="shared" si="93"/>
        <v/>
      </c>
      <c r="J1216" s="4" t="str">
        <f t="shared" si="94"/>
        <v/>
      </c>
    </row>
    <row r="1217" spans="1:10" ht="15" customHeight="1" x14ac:dyDescent="0.25">
      <c r="A1217" s="8" t="str">
        <f>IF(COUNT($J$2:$J$1501)&gt;=1216,1216,"")</f>
        <v/>
      </c>
      <c r="B1217" s="8" t="str">
        <f t="shared" si="90"/>
        <v/>
      </c>
      <c r="C1217" s="8" t="str">
        <f t="shared" si="91"/>
        <v/>
      </c>
      <c r="D1217" s="8" t="str">
        <f t="shared" si="92"/>
        <v/>
      </c>
      <c r="F1217" s="4" t="str">
        <f>IF(Jugadores!B1217="","",Jugadores!B1217)</f>
        <v/>
      </c>
      <c r="G1217" s="4" t="str">
        <f>IF(Jugadores!B1217="","",Jugadores!A1217)</f>
        <v/>
      </c>
      <c r="H1217" s="4" t="str">
        <f>IF(F1217="","",SUMIF('Estadísticas Jugadores'!$F$2:$F$7001,F1217,'Estadísticas Jugadores'!$L$2:$L$7001))</f>
        <v/>
      </c>
      <c r="I1217" s="4" t="str">
        <f t="shared" si="93"/>
        <v/>
      </c>
      <c r="J1217" s="4" t="str">
        <f t="shared" si="94"/>
        <v/>
      </c>
    </row>
    <row r="1218" spans="1:10" ht="15" customHeight="1" x14ac:dyDescent="0.25">
      <c r="A1218" s="8" t="str">
        <f>IF(COUNT($J$2:$J$1501)&gt;=1217,1217,"")</f>
        <v/>
      </c>
      <c r="B1218" s="8" t="str">
        <f t="shared" ref="B1218:B1281" si="95">IF($A1218="","",INDEX($F$2:$F$1501,MATCH($A1218,$J$2:$J$1501,0)))</f>
        <v/>
      </c>
      <c r="C1218" s="8" t="str">
        <f t="shared" ref="C1218:C1281" si="96">IF($A1218="","",INDEX($G$2:$G$1501,MATCH($A1218,$J$2:$J$1501,0)))</f>
        <v/>
      </c>
      <c r="D1218" s="8" t="str">
        <f t="shared" ref="D1218:D1281" si="97">IF($A1218="","",INDEX($H$2:$H$1501,MATCH($A1218,$J$2:$J$1501,0)))</f>
        <v/>
      </c>
      <c r="F1218" s="4" t="str">
        <f>IF(Jugadores!B1218="","",Jugadores!B1218)</f>
        <v/>
      </c>
      <c r="G1218" s="4" t="str">
        <f>IF(Jugadores!B1218="","",Jugadores!A1218)</f>
        <v/>
      </c>
      <c r="H1218" s="4" t="str">
        <f>IF(F1218="","",SUMIF('Estadísticas Jugadores'!$F$2:$F$7001,F1218,'Estadísticas Jugadores'!$L$2:$L$7001))</f>
        <v/>
      </c>
      <c r="I1218" s="4" t="str">
        <f t="shared" ref="I1218:I1281" si="98">IF(F1218="","",H1218*1000-ROW()*0.0000001)</f>
        <v/>
      </c>
      <c r="J1218" s="4" t="str">
        <f t="shared" ref="J1218:J1281" si="99">IF(F1218="","",RANK(I1218,$I$2:$I$1501))</f>
        <v/>
      </c>
    </row>
    <row r="1219" spans="1:10" ht="15" customHeight="1" x14ac:dyDescent="0.25">
      <c r="A1219" s="8" t="str">
        <f>IF(COUNT($J$2:$J$1501)&gt;=1218,1218,"")</f>
        <v/>
      </c>
      <c r="B1219" s="8" t="str">
        <f t="shared" si="95"/>
        <v/>
      </c>
      <c r="C1219" s="8" t="str">
        <f t="shared" si="96"/>
        <v/>
      </c>
      <c r="D1219" s="8" t="str">
        <f t="shared" si="97"/>
        <v/>
      </c>
      <c r="F1219" s="4" t="str">
        <f>IF(Jugadores!B1219="","",Jugadores!B1219)</f>
        <v/>
      </c>
      <c r="G1219" s="4" t="str">
        <f>IF(Jugadores!B1219="","",Jugadores!A1219)</f>
        <v/>
      </c>
      <c r="H1219" s="4" t="str">
        <f>IF(F1219="","",SUMIF('Estadísticas Jugadores'!$F$2:$F$7001,F1219,'Estadísticas Jugadores'!$L$2:$L$7001))</f>
        <v/>
      </c>
      <c r="I1219" s="4" t="str">
        <f t="shared" si="98"/>
        <v/>
      </c>
      <c r="J1219" s="4" t="str">
        <f t="shared" si="99"/>
        <v/>
      </c>
    </row>
    <row r="1220" spans="1:10" ht="15" customHeight="1" x14ac:dyDescent="0.25">
      <c r="A1220" s="8" t="str">
        <f>IF(COUNT($J$2:$J$1501)&gt;=1219,1219,"")</f>
        <v/>
      </c>
      <c r="B1220" s="8" t="str">
        <f t="shared" si="95"/>
        <v/>
      </c>
      <c r="C1220" s="8" t="str">
        <f t="shared" si="96"/>
        <v/>
      </c>
      <c r="D1220" s="8" t="str">
        <f t="shared" si="97"/>
        <v/>
      </c>
      <c r="F1220" s="4" t="str">
        <f>IF(Jugadores!B1220="","",Jugadores!B1220)</f>
        <v/>
      </c>
      <c r="G1220" s="4" t="str">
        <f>IF(Jugadores!B1220="","",Jugadores!A1220)</f>
        <v/>
      </c>
      <c r="H1220" s="4" t="str">
        <f>IF(F1220="","",SUMIF('Estadísticas Jugadores'!$F$2:$F$7001,F1220,'Estadísticas Jugadores'!$L$2:$L$7001))</f>
        <v/>
      </c>
      <c r="I1220" s="4" t="str">
        <f t="shared" si="98"/>
        <v/>
      </c>
      <c r="J1220" s="4" t="str">
        <f t="shared" si="99"/>
        <v/>
      </c>
    </row>
    <row r="1221" spans="1:10" ht="15" customHeight="1" x14ac:dyDescent="0.25">
      <c r="A1221" s="8" t="str">
        <f>IF(COUNT($J$2:$J$1501)&gt;=1220,1220,"")</f>
        <v/>
      </c>
      <c r="B1221" s="8" t="str">
        <f t="shared" si="95"/>
        <v/>
      </c>
      <c r="C1221" s="8" t="str">
        <f t="shared" si="96"/>
        <v/>
      </c>
      <c r="D1221" s="8" t="str">
        <f t="shared" si="97"/>
        <v/>
      </c>
      <c r="F1221" s="4" t="str">
        <f>IF(Jugadores!B1221="","",Jugadores!B1221)</f>
        <v/>
      </c>
      <c r="G1221" s="4" t="str">
        <f>IF(Jugadores!B1221="","",Jugadores!A1221)</f>
        <v/>
      </c>
      <c r="H1221" s="4" t="str">
        <f>IF(F1221="","",SUMIF('Estadísticas Jugadores'!$F$2:$F$7001,F1221,'Estadísticas Jugadores'!$L$2:$L$7001))</f>
        <v/>
      </c>
      <c r="I1221" s="4" t="str">
        <f t="shared" si="98"/>
        <v/>
      </c>
      <c r="J1221" s="4" t="str">
        <f t="shared" si="99"/>
        <v/>
      </c>
    </row>
    <row r="1222" spans="1:10" ht="15" customHeight="1" x14ac:dyDescent="0.25">
      <c r="A1222" s="8" t="str">
        <f>IF(COUNT($J$2:$J$1501)&gt;=1221,1221,"")</f>
        <v/>
      </c>
      <c r="B1222" s="8" t="str">
        <f t="shared" si="95"/>
        <v/>
      </c>
      <c r="C1222" s="8" t="str">
        <f t="shared" si="96"/>
        <v/>
      </c>
      <c r="D1222" s="8" t="str">
        <f t="shared" si="97"/>
        <v/>
      </c>
      <c r="F1222" s="4" t="str">
        <f>IF(Jugadores!B1222="","",Jugadores!B1222)</f>
        <v/>
      </c>
      <c r="G1222" s="4" t="str">
        <f>IF(Jugadores!B1222="","",Jugadores!A1222)</f>
        <v/>
      </c>
      <c r="H1222" s="4" t="str">
        <f>IF(F1222="","",SUMIF('Estadísticas Jugadores'!$F$2:$F$7001,F1222,'Estadísticas Jugadores'!$L$2:$L$7001))</f>
        <v/>
      </c>
      <c r="I1222" s="4" t="str">
        <f t="shared" si="98"/>
        <v/>
      </c>
      <c r="J1222" s="4" t="str">
        <f t="shared" si="99"/>
        <v/>
      </c>
    </row>
    <row r="1223" spans="1:10" ht="15" customHeight="1" x14ac:dyDescent="0.25">
      <c r="A1223" s="8" t="str">
        <f>IF(COUNT($J$2:$J$1501)&gt;=1222,1222,"")</f>
        <v/>
      </c>
      <c r="B1223" s="8" t="str">
        <f t="shared" si="95"/>
        <v/>
      </c>
      <c r="C1223" s="8" t="str">
        <f t="shared" si="96"/>
        <v/>
      </c>
      <c r="D1223" s="8" t="str">
        <f t="shared" si="97"/>
        <v/>
      </c>
      <c r="F1223" s="4" t="str">
        <f>IF(Jugadores!B1223="","",Jugadores!B1223)</f>
        <v/>
      </c>
      <c r="G1223" s="4" t="str">
        <f>IF(Jugadores!B1223="","",Jugadores!A1223)</f>
        <v/>
      </c>
      <c r="H1223" s="4" t="str">
        <f>IF(F1223="","",SUMIF('Estadísticas Jugadores'!$F$2:$F$7001,F1223,'Estadísticas Jugadores'!$L$2:$L$7001))</f>
        <v/>
      </c>
      <c r="I1223" s="4" t="str">
        <f t="shared" si="98"/>
        <v/>
      </c>
      <c r="J1223" s="4" t="str">
        <f t="shared" si="99"/>
        <v/>
      </c>
    </row>
    <row r="1224" spans="1:10" ht="15" customHeight="1" x14ac:dyDescent="0.25">
      <c r="A1224" s="8" t="str">
        <f>IF(COUNT($J$2:$J$1501)&gt;=1223,1223,"")</f>
        <v/>
      </c>
      <c r="B1224" s="8" t="str">
        <f t="shared" si="95"/>
        <v/>
      </c>
      <c r="C1224" s="8" t="str">
        <f t="shared" si="96"/>
        <v/>
      </c>
      <c r="D1224" s="8" t="str">
        <f t="shared" si="97"/>
        <v/>
      </c>
      <c r="F1224" s="4" t="str">
        <f>IF(Jugadores!B1224="","",Jugadores!B1224)</f>
        <v/>
      </c>
      <c r="G1224" s="4" t="str">
        <f>IF(Jugadores!B1224="","",Jugadores!A1224)</f>
        <v/>
      </c>
      <c r="H1224" s="4" t="str">
        <f>IF(F1224="","",SUMIF('Estadísticas Jugadores'!$F$2:$F$7001,F1224,'Estadísticas Jugadores'!$L$2:$L$7001))</f>
        <v/>
      </c>
      <c r="I1224" s="4" t="str">
        <f t="shared" si="98"/>
        <v/>
      </c>
      <c r="J1224" s="4" t="str">
        <f t="shared" si="99"/>
        <v/>
      </c>
    </row>
    <row r="1225" spans="1:10" ht="15" customHeight="1" x14ac:dyDescent="0.25">
      <c r="A1225" s="8" t="str">
        <f>IF(COUNT($J$2:$J$1501)&gt;=1224,1224,"")</f>
        <v/>
      </c>
      <c r="B1225" s="8" t="str">
        <f t="shared" si="95"/>
        <v/>
      </c>
      <c r="C1225" s="8" t="str">
        <f t="shared" si="96"/>
        <v/>
      </c>
      <c r="D1225" s="8" t="str">
        <f t="shared" si="97"/>
        <v/>
      </c>
      <c r="F1225" s="4" t="str">
        <f>IF(Jugadores!B1225="","",Jugadores!B1225)</f>
        <v/>
      </c>
      <c r="G1225" s="4" t="str">
        <f>IF(Jugadores!B1225="","",Jugadores!A1225)</f>
        <v/>
      </c>
      <c r="H1225" s="4" t="str">
        <f>IF(F1225="","",SUMIF('Estadísticas Jugadores'!$F$2:$F$7001,F1225,'Estadísticas Jugadores'!$L$2:$L$7001))</f>
        <v/>
      </c>
      <c r="I1225" s="4" t="str">
        <f t="shared" si="98"/>
        <v/>
      </c>
      <c r="J1225" s="4" t="str">
        <f t="shared" si="99"/>
        <v/>
      </c>
    </row>
    <row r="1226" spans="1:10" ht="15" customHeight="1" x14ac:dyDescent="0.25">
      <c r="A1226" s="8" t="str">
        <f>IF(COUNT($J$2:$J$1501)&gt;=1225,1225,"")</f>
        <v/>
      </c>
      <c r="B1226" s="8" t="str">
        <f t="shared" si="95"/>
        <v/>
      </c>
      <c r="C1226" s="8" t="str">
        <f t="shared" si="96"/>
        <v/>
      </c>
      <c r="D1226" s="8" t="str">
        <f t="shared" si="97"/>
        <v/>
      </c>
      <c r="F1226" s="4" t="str">
        <f>IF(Jugadores!B1226="","",Jugadores!B1226)</f>
        <v/>
      </c>
      <c r="G1226" s="4" t="str">
        <f>IF(Jugadores!B1226="","",Jugadores!A1226)</f>
        <v/>
      </c>
      <c r="H1226" s="4" t="str">
        <f>IF(F1226="","",SUMIF('Estadísticas Jugadores'!$F$2:$F$7001,F1226,'Estadísticas Jugadores'!$L$2:$L$7001))</f>
        <v/>
      </c>
      <c r="I1226" s="4" t="str">
        <f t="shared" si="98"/>
        <v/>
      </c>
      <c r="J1226" s="4" t="str">
        <f t="shared" si="99"/>
        <v/>
      </c>
    </row>
    <row r="1227" spans="1:10" ht="15" customHeight="1" x14ac:dyDescent="0.25">
      <c r="A1227" s="8" t="str">
        <f>IF(COUNT($J$2:$J$1501)&gt;=1226,1226,"")</f>
        <v/>
      </c>
      <c r="B1227" s="8" t="str">
        <f t="shared" si="95"/>
        <v/>
      </c>
      <c r="C1227" s="8" t="str">
        <f t="shared" si="96"/>
        <v/>
      </c>
      <c r="D1227" s="8" t="str">
        <f t="shared" si="97"/>
        <v/>
      </c>
      <c r="F1227" s="4" t="str">
        <f>IF(Jugadores!B1227="","",Jugadores!B1227)</f>
        <v/>
      </c>
      <c r="G1227" s="4" t="str">
        <f>IF(Jugadores!B1227="","",Jugadores!A1227)</f>
        <v/>
      </c>
      <c r="H1227" s="4" t="str">
        <f>IF(F1227="","",SUMIF('Estadísticas Jugadores'!$F$2:$F$7001,F1227,'Estadísticas Jugadores'!$L$2:$L$7001))</f>
        <v/>
      </c>
      <c r="I1227" s="4" t="str">
        <f t="shared" si="98"/>
        <v/>
      </c>
      <c r="J1227" s="4" t="str">
        <f t="shared" si="99"/>
        <v/>
      </c>
    </row>
    <row r="1228" spans="1:10" ht="15" customHeight="1" x14ac:dyDescent="0.25">
      <c r="A1228" s="8" t="str">
        <f>IF(COUNT($J$2:$J$1501)&gt;=1227,1227,"")</f>
        <v/>
      </c>
      <c r="B1228" s="8" t="str">
        <f t="shared" si="95"/>
        <v/>
      </c>
      <c r="C1228" s="8" t="str">
        <f t="shared" si="96"/>
        <v/>
      </c>
      <c r="D1228" s="8" t="str">
        <f t="shared" si="97"/>
        <v/>
      </c>
      <c r="F1228" s="4" t="str">
        <f>IF(Jugadores!B1228="","",Jugadores!B1228)</f>
        <v/>
      </c>
      <c r="G1228" s="4" t="str">
        <f>IF(Jugadores!B1228="","",Jugadores!A1228)</f>
        <v/>
      </c>
      <c r="H1228" s="4" t="str">
        <f>IF(F1228="","",SUMIF('Estadísticas Jugadores'!$F$2:$F$7001,F1228,'Estadísticas Jugadores'!$L$2:$L$7001))</f>
        <v/>
      </c>
      <c r="I1228" s="4" t="str">
        <f t="shared" si="98"/>
        <v/>
      </c>
      <c r="J1228" s="4" t="str">
        <f t="shared" si="99"/>
        <v/>
      </c>
    </row>
    <row r="1229" spans="1:10" ht="15" customHeight="1" x14ac:dyDescent="0.25">
      <c r="A1229" s="8" t="str">
        <f>IF(COUNT($J$2:$J$1501)&gt;=1228,1228,"")</f>
        <v/>
      </c>
      <c r="B1229" s="8" t="str">
        <f t="shared" si="95"/>
        <v/>
      </c>
      <c r="C1229" s="8" t="str">
        <f t="shared" si="96"/>
        <v/>
      </c>
      <c r="D1229" s="8" t="str">
        <f t="shared" si="97"/>
        <v/>
      </c>
      <c r="F1229" s="4" t="str">
        <f>IF(Jugadores!B1229="","",Jugadores!B1229)</f>
        <v/>
      </c>
      <c r="G1229" s="4" t="str">
        <f>IF(Jugadores!B1229="","",Jugadores!A1229)</f>
        <v/>
      </c>
      <c r="H1229" s="4" t="str">
        <f>IF(F1229="","",SUMIF('Estadísticas Jugadores'!$F$2:$F$7001,F1229,'Estadísticas Jugadores'!$L$2:$L$7001))</f>
        <v/>
      </c>
      <c r="I1229" s="4" t="str">
        <f t="shared" si="98"/>
        <v/>
      </c>
      <c r="J1229" s="4" t="str">
        <f t="shared" si="99"/>
        <v/>
      </c>
    </row>
    <row r="1230" spans="1:10" ht="15" customHeight="1" x14ac:dyDescent="0.25">
      <c r="A1230" s="8" t="str">
        <f>IF(COUNT($J$2:$J$1501)&gt;=1229,1229,"")</f>
        <v/>
      </c>
      <c r="B1230" s="8" t="str">
        <f t="shared" si="95"/>
        <v/>
      </c>
      <c r="C1230" s="8" t="str">
        <f t="shared" si="96"/>
        <v/>
      </c>
      <c r="D1230" s="8" t="str">
        <f t="shared" si="97"/>
        <v/>
      </c>
      <c r="F1230" s="4" t="str">
        <f>IF(Jugadores!B1230="","",Jugadores!B1230)</f>
        <v/>
      </c>
      <c r="G1230" s="4" t="str">
        <f>IF(Jugadores!B1230="","",Jugadores!A1230)</f>
        <v/>
      </c>
      <c r="H1230" s="4" t="str">
        <f>IF(F1230="","",SUMIF('Estadísticas Jugadores'!$F$2:$F$7001,F1230,'Estadísticas Jugadores'!$L$2:$L$7001))</f>
        <v/>
      </c>
      <c r="I1230" s="4" t="str">
        <f t="shared" si="98"/>
        <v/>
      </c>
      <c r="J1230" s="4" t="str">
        <f t="shared" si="99"/>
        <v/>
      </c>
    </row>
    <row r="1231" spans="1:10" ht="15" customHeight="1" x14ac:dyDescent="0.25">
      <c r="A1231" s="8" t="str">
        <f>IF(COUNT($J$2:$J$1501)&gt;=1230,1230,"")</f>
        <v/>
      </c>
      <c r="B1231" s="8" t="str">
        <f t="shared" si="95"/>
        <v/>
      </c>
      <c r="C1231" s="8" t="str">
        <f t="shared" si="96"/>
        <v/>
      </c>
      <c r="D1231" s="8" t="str">
        <f t="shared" si="97"/>
        <v/>
      </c>
      <c r="F1231" s="4" t="str">
        <f>IF(Jugadores!B1231="","",Jugadores!B1231)</f>
        <v/>
      </c>
      <c r="G1231" s="4" t="str">
        <f>IF(Jugadores!B1231="","",Jugadores!A1231)</f>
        <v/>
      </c>
      <c r="H1231" s="4" t="str">
        <f>IF(F1231="","",SUMIF('Estadísticas Jugadores'!$F$2:$F$7001,F1231,'Estadísticas Jugadores'!$L$2:$L$7001))</f>
        <v/>
      </c>
      <c r="I1231" s="4" t="str">
        <f t="shared" si="98"/>
        <v/>
      </c>
      <c r="J1231" s="4" t="str">
        <f t="shared" si="99"/>
        <v/>
      </c>
    </row>
    <row r="1232" spans="1:10" ht="15" customHeight="1" x14ac:dyDescent="0.25">
      <c r="A1232" s="8" t="str">
        <f>IF(COUNT($J$2:$J$1501)&gt;=1231,1231,"")</f>
        <v/>
      </c>
      <c r="B1232" s="8" t="str">
        <f t="shared" si="95"/>
        <v/>
      </c>
      <c r="C1232" s="8" t="str">
        <f t="shared" si="96"/>
        <v/>
      </c>
      <c r="D1232" s="8" t="str">
        <f t="shared" si="97"/>
        <v/>
      </c>
      <c r="F1232" s="4" t="str">
        <f>IF(Jugadores!B1232="","",Jugadores!B1232)</f>
        <v/>
      </c>
      <c r="G1232" s="4" t="str">
        <f>IF(Jugadores!B1232="","",Jugadores!A1232)</f>
        <v/>
      </c>
      <c r="H1232" s="4" t="str">
        <f>IF(F1232="","",SUMIF('Estadísticas Jugadores'!$F$2:$F$7001,F1232,'Estadísticas Jugadores'!$L$2:$L$7001))</f>
        <v/>
      </c>
      <c r="I1232" s="4" t="str">
        <f t="shared" si="98"/>
        <v/>
      </c>
      <c r="J1232" s="4" t="str">
        <f t="shared" si="99"/>
        <v/>
      </c>
    </row>
    <row r="1233" spans="1:10" ht="15" customHeight="1" x14ac:dyDescent="0.25">
      <c r="A1233" s="8" t="str">
        <f>IF(COUNT($J$2:$J$1501)&gt;=1232,1232,"")</f>
        <v/>
      </c>
      <c r="B1233" s="8" t="str">
        <f t="shared" si="95"/>
        <v/>
      </c>
      <c r="C1233" s="8" t="str">
        <f t="shared" si="96"/>
        <v/>
      </c>
      <c r="D1233" s="8" t="str">
        <f t="shared" si="97"/>
        <v/>
      </c>
      <c r="F1233" s="4" t="str">
        <f>IF(Jugadores!B1233="","",Jugadores!B1233)</f>
        <v/>
      </c>
      <c r="G1233" s="4" t="str">
        <f>IF(Jugadores!B1233="","",Jugadores!A1233)</f>
        <v/>
      </c>
      <c r="H1233" s="4" t="str">
        <f>IF(F1233="","",SUMIF('Estadísticas Jugadores'!$F$2:$F$7001,F1233,'Estadísticas Jugadores'!$L$2:$L$7001))</f>
        <v/>
      </c>
      <c r="I1233" s="4" t="str">
        <f t="shared" si="98"/>
        <v/>
      </c>
      <c r="J1233" s="4" t="str">
        <f t="shared" si="99"/>
        <v/>
      </c>
    </row>
    <row r="1234" spans="1:10" ht="15" customHeight="1" x14ac:dyDescent="0.25">
      <c r="A1234" s="8" t="str">
        <f>IF(COUNT($J$2:$J$1501)&gt;=1233,1233,"")</f>
        <v/>
      </c>
      <c r="B1234" s="8" t="str">
        <f t="shared" si="95"/>
        <v/>
      </c>
      <c r="C1234" s="8" t="str">
        <f t="shared" si="96"/>
        <v/>
      </c>
      <c r="D1234" s="8" t="str">
        <f t="shared" si="97"/>
        <v/>
      </c>
      <c r="F1234" s="4" t="str">
        <f>IF(Jugadores!B1234="","",Jugadores!B1234)</f>
        <v/>
      </c>
      <c r="G1234" s="4" t="str">
        <f>IF(Jugadores!B1234="","",Jugadores!A1234)</f>
        <v/>
      </c>
      <c r="H1234" s="4" t="str">
        <f>IF(F1234="","",SUMIF('Estadísticas Jugadores'!$F$2:$F$7001,F1234,'Estadísticas Jugadores'!$L$2:$L$7001))</f>
        <v/>
      </c>
      <c r="I1234" s="4" t="str">
        <f t="shared" si="98"/>
        <v/>
      </c>
      <c r="J1234" s="4" t="str">
        <f t="shared" si="99"/>
        <v/>
      </c>
    </row>
    <row r="1235" spans="1:10" ht="15" customHeight="1" x14ac:dyDescent="0.25">
      <c r="A1235" s="8" t="str">
        <f>IF(COUNT($J$2:$J$1501)&gt;=1234,1234,"")</f>
        <v/>
      </c>
      <c r="B1235" s="8" t="str">
        <f t="shared" si="95"/>
        <v/>
      </c>
      <c r="C1235" s="8" t="str">
        <f t="shared" si="96"/>
        <v/>
      </c>
      <c r="D1235" s="8" t="str">
        <f t="shared" si="97"/>
        <v/>
      </c>
      <c r="F1235" s="4" t="str">
        <f>IF(Jugadores!B1235="","",Jugadores!B1235)</f>
        <v/>
      </c>
      <c r="G1235" s="4" t="str">
        <f>IF(Jugadores!B1235="","",Jugadores!A1235)</f>
        <v/>
      </c>
      <c r="H1235" s="4" t="str">
        <f>IF(F1235="","",SUMIF('Estadísticas Jugadores'!$F$2:$F$7001,F1235,'Estadísticas Jugadores'!$L$2:$L$7001))</f>
        <v/>
      </c>
      <c r="I1235" s="4" t="str">
        <f t="shared" si="98"/>
        <v/>
      </c>
      <c r="J1235" s="4" t="str">
        <f t="shared" si="99"/>
        <v/>
      </c>
    </row>
    <row r="1236" spans="1:10" ht="15" customHeight="1" x14ac:dyDescent="0.25">
      <c r="A1236" s="8" t="str">
        <f>IF(COUNT($J$2:$J$1501)&gt;=1235,1235,"")</f>
        <v/>
      </c>
      <c r="B1236" s="8" t="str">
        <f t="shared" si="95"/>
        <v/>
      </c>
      <c r="C1236" s="8" t="str">
        <f t="shared" si="96"/>
        <v/>
      </c>
      <c r="D1236" s="8" t="str">
        <f t="shared" si="97"/>
        <v/>
      </c>
      <c r="F1236" s="4" t="str">
        <f>IF(Jugadores!B1236="","",Jugadores!B1236)</f>
        <v/>
      </c>
      <c r="G1236" s="4" t="str">
        <f>IF(Jugadores!B1236="","",Jugadores!A1236)</f>
        <v/>
      </c>
      <c r="H1236" s="4" t="str">
        <f>IF(F1236="","",SUMIF('Estadísticas Jugadores'!$F$2:$F$7001,F1236,'Estadísticas Jugadores'!$L$2:$L$7001))</f>
        <v/>
      </c>
      <c r="I1236" s="4" t="str">
        <f t="shared" si="98"/>
        <v/>
      </c>
      <c r="J1236" s="4" t="str">
        <f t="shared" si="99"/>
        <v/>
      </c>
    </row>
    <row r="1237" spans="1:10" ht="15" customHeight="1" x14ac:dyDescent="0.25">
      <c r="A1237" s="8" t="str">
        <f>IF(COUNT($J$2:$J$1501)&gt;=1236,1236,"")</f>
        <v/>
      </c>
      <c r="B1237" s="8" t="str">
        <f t="shared" si="95"/>
        <v/>
      </c>
      <c r="C1237" s="8" t="str">
        <f t="shared" si="96"/>
        <v/>
      </c>
      <c r="D1237" s="8" t="str">
        <f t="shared" si="97"/>
        <v/>
      </c>
      <c r="F1237" s="4" t="str">
        <f>IF(Jugadores!B1237="","",Jugadores!B1237)</f>
        <v/>
      </c>
      <c r="G1237" s="4" t="str">
        <f>IF(Jugadores!B1237="","",Jugadores!A1237)</f>
        <v/>
      </c>
      <c r="H1237" s="4" t="str">
        <f>IF(F1237="","",SUMIF('Estadísticas Jugadores'!$F$2:$F$7001,F1237,'Estadísticas Jugadores'!$L$2:$L$7001))</f>
        <v/>
      </c>
      <c r="I1237" s="4" t="str">
        <f t="shared" si="98"/>
        <v/>
      </c>
      <c r="J1237" s="4" t="str">
        <f t="shared" si="99"/>
        <v/>
      </c>
    </row>
    <row r="1238" spans="1:10" ht="15" customHeight="1" x14ac:dyDescent="0.25">
      <c r="A1238" s="8" t="str">
        <f>IF(COUNT($J$2:$J$1501)&gt;=1237,1237,"")</f>
        <v/>
      </c>
      <c r="B1238" s="8" t="str">
        <f t="shared" si="95"/>
        <v/>
      </c>
      <c r="C1238" s="8" t="str">
        <f t="shared" si="96"/>
        <v/>
      </c>
      <c r="D1238" s="8" t="str">
        <f t="shared" si="97"/>
        <v/>
      </c>
      <c r="F1238" s="4" t="str">
        <f>IF(Jugadores!B1238="","",Jugadores!B1238)</f>
        <v/>
      </c>
      <c r="G1238" s="4" t="str">
        <f>IF(Jugadores!B1238="","",Jugadores!A1238)</f>
        <v/>
      </c>
      <c r="H1238" s="4" t="str">
        <f>IF(F1238="","",SUMIF('Estadísticas Jugadores'!$F$2:$F$7001,F1238,'Estadísticas Jugadores'!$L$2:$L$7001))</f>
        <v/>
      </c>
      <c r="I1238" s="4" t="str">
        <f t="shared" si="98"/>
        <v/>
      </c>
      <c r="J1238" s="4" t="str">
        <f t="shared" si="99"/>
        <v/>
      </c>
    </row>
    <row r="1239" spans="1:10" ht="15" customHeight="1" x14ac:dyDescent="0.25">
      <c r="A1239" s="8" t="str">
        <f>IF(COUNT($J$2:$J$1501)&gt;=1238,1238,"")</f>
        <v/>
      </c>
      <c r="B1239" s="8" t="str">
        <f t="shared" si="95"/>
        <v/>
      </c>
      <c r="C1239" s="8" t="str">
        <f t="shared" si="96"/>
        <v/>
      </c>
      <c r="D1239" s="8" t="str">
        <f t="shared" si="97"/>
        <v/>
      </c>
      <c r="F1239" s="4" t="str">
        <f>IF(Jugadores!B1239="","",Jugadores!B1239)</f>
        <v/>
      </c>
      <c r="G1239" s="4" t="str">
        <f>IF(Jugadores!B1239="","",Jugadores!A1239)</f>
        <v/>
      </c>
      <c r="H1239" s="4" t="str">
        <f>IF(F1239="","",SUMIF('Estadísticas Jugadores'!$F$2:$F$7001,F1239,'Estadísticas Jugadores'!$L$2:$L$7001))</f>
        <v/>
      </c>
      <c r="I1239" s="4" t="str">
        <f t="shared" si="98"/>
        <v/>
      </c>
      <c r="J1239" s="4" t="str">
        <f t="shared" si="99"/>
        <v/>
      </c>
    </row>
    <row r="1240" spans="1:10" ht="15" customHeight="1" x14ac:dyDescent="0.25">
      <c r="A1240" s="8" t="str">
        <f>IF(COUNT($J$2:$J$1501)&gt;=1239,1239,"")</f>
        <v/>
      </c>
      <c r="B1240" s="8" t="str">
        <f t="shared" si="95"/>
        <v/>
      </c>
      <c r="C1240" s="8" t="str">
        <f t="shared" si="96"/>
        <v/>
      </c>
      <c r="D1240" s="8" t="str">
        <f t="shared" si="97"/>
        <v/>
      </c>
      <c r="F1240" s="4" t="str">
        <f>IF(Jugadores!B1240="","",Jugadores!B1240)</f>
        <v/>
      </c>
      <c r="G1240" s="4" t="str">
        <f>IF(Jugadores!B1240="","",Jugadores!A1240)</f>
        <v/>
      </c>
      <c r="H1240" s="4" t="str">
        <f>IF(F1240="","",SUMIF('Estadísticas Jugadores'!$F$2:$F$7001,F1240,'Estadísticas Jugadores'!$L$2:$L$7001))</f>
        <v/>
      </c>
      <c r="I1240" s="4" t="str">
        <f t="shared" si="98"/>
        <v/>
      </c>
      <c r="J1240" s="4" t="str">
        <f t="shared" si="99"/>
        <v/>
      </c>
    </row>
    <row r="1241" spans="1:10" ht="15" customHeight="1" x14ac:dyDescent="0.25">
      <c r="A1241" s="8" t="str">
        <f>IF(COUNT($J$2:$J$1501)&gt;=1240,1240,"")</f>
        <v/>
      </c>
      <c r="B1241" s="8" t="str">
        <f t="shared" si="95"/>
        <v/>
      </c>
      <c r="C1241" s="8" t="str">
        <f t="shared" si="96"/>
        <v/>
      </c>
      <c r="D1241" s="8" t="str">
        <f t="shared" si="97"/>
        <v/>
      </c>
      <c r="F1241" s="4" t="str">
        <f>IF(Jugadores!B1241="","",Jugadores!B1241)</f>
        <v/>
      </c>
      <c r="G1241" s="4" t="str">
        <f>IF(Jugadores!B1241="","",Jugadores!A1241)</f>
        <v/>
      </c>
      <c r="H1241" s="4" t="str">
        <f>IF(F1241="","",SUMIF('Estadísticas Jugadores'!$F$2:$F$7001,F1241,'Estadísticas Jugadores'!$L$2:$L$7001))</f>
        <v/>
      </c>
      <c r="I1241" s="4" t="str">
        <f t="shared" si="98"/>
        <v/>
      </c>
      <c r="J1241" s="4" t="str">
        <f t="shared" si="99"/>
        <v/>
      </c>
    </row>
    <row r="1242" spans="1:10" ht="15" customHeight="1" x14ac:dyDescent="0.25">
      <c r="A1242" s="8" t="str">
        <f>IF(COUNT($J$2:$J$1501)&gt;=1241,1241,"")</f>
        <v/>
      </c>
      <c r="B1242" s="8" t="str">
        <f t="shared" si="95"/>
        <v/>
      </c>
      <c r="C1242" s="8" t="str">
        <f t="shared" si="96"/>
        <v/>
      </c>
      <c r="D1242" s="8" t="str">
        <f t="shared" si="97"/>
        <v/>
      </c>
      <c r="F1242" s="4" t="str">
        <f>IF(Jugadores!B1242="","",Jugadores!B1242)</f>
        <v/>
      </c>
      <c r="G1242" s="4" t="str">
        <f>IF(Jugadores!B1242="","",Jugadores!A1242)</f>
        <v/>
      </c>
      <c r="H1242" s="4" t="str">
        <f>IF(F1242="","",SUMIF('Estadísticas Jugadores'!$F$2:$F$7001,F1242,'Estadísticas Jugadores'!$L$2:$L$7001))</f>
        <v/>
      </c>
      <c r="I1242" s="4" t="str">
        <f t="shared" si="98"/>
        <v/>
      </c>
      <c r="J1242" s="4" t="str">
        <f t="shared" si="99"/>
        <v/>
      </c>
    </row>
    <row r="1243" spans="1:10" ht="15" customHeight="1" x14ac:dyDescent="0.25">
      <c r="A1243" s="8" t="str">
        <f>IF(COUNT($J$2:$J$1501)&gt;=1242,1242,"")</f>
        <v/>
      </c>
      <c r="B1243" s="8" t="str">
        <f t="shared" si="95"/>
        <v/>
      </c>
      <c r="C1243" s="8" t="str">
        <f t="shared" si="96"/>
        <v/>
      </c>
      <c r="D1243" s="8" t="str">
        <f t="shared" si="97"/>
        <v/>
      </c>
      <c r="F1243" s="4" t="str">
        <f>IF(Jugadores!B1243="","",Jugadores!B1243)</f>
        <v/>
      </c>
      <c r="G1243" s="4" t="str">
        <f>IF(Jugadores!B1243="","",Jugadores!A1243)</f>
        <v/>
      </c>
      <c r="H1243" s="4" t="str">
        <f>IF(F1243="","",SUMIF('Estadísticas Jugadores'!$F$2:$F$7001,F1243,'Estadísticas Jugadores'!$L$2:$L$7001))</f>
        <v/>
      </c>
      <c r="I1243" s="4" t="str">
        <f t="shared" si="98"/>
        <v/>
      </c>
      <c r="J1243" s="4" t="str">
        <f t="shared" si="99"/>
        <v/>
      </c>
    </row>
    <row r="1244" spans="1:10" ht="15" customHeight="1" x14ac:dyDescent="0.25">
      <c r="A1244" s="8" t="str">
        <f>IF(COUNT($J$2:$J$1501)&gt;=1243,1243,"")</f>
        <v/>
      </c>
      <c r="B1244" s="8" t="str">
        <f t="shared" si="95"/>
        <v/>
      </c>
      <c r="C1244" s="8" t="str">
        <f t="shared" si="96"/>
        <v/>
      </c>
      <c r="D1244" s="8" t="str">
        <f t="shared" si="97"/>
        <v/>
      </c>
      <c r="F1244" s="4" t="str">
        <f>IF(Jugadores!B1244="","",Jugadores!B1244)</f>
        <v/>
      </c>
      <c r="G1244" s="4" t="str">
        <f>IF(Jugadores!B1244="","",Jugadores!A1244)</f>
        <v/>
      </c>
      <c r="H1244" s="4" t="str">
        <f>IF(F1244="","",SUMIF('Estadísticas Jugadores'!$F$2:$F$7001,F1244,'Estadísticas Jugadores'!$L$2:$L$7001))</f>
        <v/>
      </c>
      <c r="I1244" s="4" t="str">
        <f t="shared" si="98"/>
        <v/>
      </c>
      <c r="J1244" s="4" t="str">
        <f t="shared" si="99"/>
        <v/>
      </c>
    </row>
    <row r="1245" spans="1:10" ht="15" customHeight="1" x14ac:dyDescent="0.25">
      <c r="A1245" s="8" t="str">
        <f>IF(COUNT($J$2:$J$1501)&gt;=1244,1244,"")</f>
        <v/>
      </c>
      <c r="B1245" s="8" t="str">
        <f t="shared" si="95"/>
        <v/>
      </c>
      <c r="C1245" s="8" t="str">
        <f t="shared" si="96"/>
        <v/>
      </c>
      <c r="D1245" s="8" t="str">
        <f t="shared" si="97"/>
        <v/>
      </c>
      <c r="F1245" s="4" t="str">
        <f>IF(Jugadores!B1245="","",Jugadores!B1245)</f>
        <v/>
      </c>
      <c r="G1245" s="4" t="str">
        <f>IF(Jugadores!B1245="","",Jugadores!A1245)</f>
        <v/>
      </c>
      <c r="H1245" s="4" t="str">
        <f>IF(F1245="","",SUMIF('Estadísticas Jugadores'!$F$2:$F$7001,F1245,'Estadísticas Jugadores'!$L$2:$L$7001))</f>
        <v/>
      </c>
      <c r="I1245" s="4" t="str">
        <f t="shared" si="98"/>
        <v/>
      </c>
      <c r="J1245" s="4" t="str">
        <f t="shared" si="99"/>
        <v/>
      </c>
    </row>
    <row r="1246" spans="1:10" ht="15" customHeight="1" x14ac:dyDescent="0.25">
      <c r="A1246" s="8" t="str">
        <f>IF(COUNT($J$2:$J$1501)&gt;=1245,1245,"")</f>
        <v/>
      </c>
      <c r="B1246" s="8" t="str">
        <f t="shared" si="95"/>
        <v/>
      </c>
      <c r="C1246" s="8" t="str">
        <f t="shared" si="96"/>
        <v/>
      </c>
      <c r="D1246" s="8" t="str">
        <f t="shared" si="97"/>
        <v/>
      </c>
      <c r="F1246" s="4" t="str">
        <f>IF(Jugadores!B1246="","",Jugadores!B1246)</f>
        <v/>
      </c>
      <c r="G1246" s="4" t="str">
        <f>IF(Jugadores!B1246="","",Jugadores!A1246)</f>
        <v/>
      </c>
      <c r="H1246" s="4" t="str">
        <f>IF(F1246="","",SUMIF('Estadísticas Jugadores'!$F$2:$F$7001,F1246,'Estadísticas Jugadores'!$L$2:$L$7001))</f>
        <v/>
      </c>
      <c r="I1246" s="4" t="str">
        <f t="shared" si="98"/>
        <v/>
      </c>
      <c r="J1246" s="4" t="str">
        <f t="shared" si="99"/>
        <v/>
      </c>
    </row>
    <row r="1247" spans="1:10" ht="15" customHeight="1" x14ac:dyDescent="0.25">
      <c r="A1247" s="8" t="str">
        <f>IF(COUNT($J$2:$J$1501)&gt;=1246,1246,"")</f>
        <v/>
      </c>
      <c r="B1247" s="8" t="str">
        <f t="shared" si="95"/>
        <v/>
      </c>
      <c r="C1247" s="8" t="str">
        <f t="shared" si="96"/>
        <v/>
      </c>
      <c r="D1247" s="8" t="str">
        <f t="shared" si="97"/>
        <v/>
      </c>
      <c r="F1247" s="4" t="str">
        <f>IF(Jugadores!B1247="","",Jugadores!B1247)</f>
        <v/>
      </c>
      <c r="G1247" s="4" t="str">
        <f>IF(Jugadores!B1247="","",Jugadores!A1247)</f>
        <v/>
      </c>
      <c r="H1247" s="4" t="str">
        <f>IF(F1247="","",SUMIF('Estadísticas Jugadores'!$F$2:$F$7001,F1247,'Estadísticas Jugadores'!$L$2:$L$7001))</f>
        <v/>
      </c>
      <c r="I1247" s="4" t="str">
        <f t="shared" si="98"/>
        <v/>
      </c>
      <c r="J1247" s="4" t="str">
        <f t="shared" si="99"/>
        <v/>
      </c>
    </row>
    <row r="1248" spans="1:10" ht="15" customHeight="1" x14ac:dyDescent="0.25">
      <c r="A1248" s="8" t="str">
        <f>IF(COUNT($J$2:$J$1501)&gt;=1247,1247,"")</f>
        <v/>
      </c>
      <c r="B1248" s="8" t="str">
        <f t="shared" si="95"/>
        <v/>
      </c>
      <c r="C1248" s="8" t="str">
        <f t="shared" si="96"/>
        <v/>
      </c>
      <c r="D1248" s="8" t="str">
        <f t="shared" si="97"/>
        <v/>
      </c>
      <c r="F1248" s="4" t="str">
        <f>IF(Jugadores!B1248="","",Jugadores!B1248)</f>
        <v/>
      </c>
      <c r="G1248" s="4" t="str">
        <f>IF(Jugadores!B1248="","",Jugadores!A1248)</f>
        <v/>
      </c>
      <c r="H1248" s="4" t="str">
        <f>IF(F1248="","",SUMIF('Estadísticas Jugadores'!$F$2:$F$7001,F1248,'Estadísticas Jugadores'!$L$2:$L$7001))</f>
        <v/>
      </c>
      <c r="I1248" s="4" t="str">
        <f t="shared" si="98"/>
        <v/>
      </c>
      <c r="J1248" s="4" t="str">
        <f t="shared" si="99"/>
        <v/>
      </c>
    </row>
    <row r="1249" spans="1:10" ht="15" customHeight="1" x14ac:dyDescent="0.25">
      <c r="A1249" s="8" t="str">
        <f>IF(COUNT($J$2:$J$1501)&gt;=1248,1248,"")</f>
        <v/>
      </c>
      <c r="B1249" s="8" t="str">
        <f t="shared" si="95"/>
        <v/>
      </c>
      <c r="C1249" s="8" t="str">
        <f t="shared" si="96"/>
        <v/>
      </c>
      <c r="D1249" s="8" t="str">
        <f t="shared" si="97"/>
        <v/>
      </c>
      <c r="F1249" s="4" t="str">
        <f>IF(Jugadores!B1249="","",Jugadores!B1249)</f>
        <v/>
      </c>
      <c r="G1249" s="4" t="str">
        <f>IF(Jugadores!B1249="","",Jugadores!A1249)</f>
        <v/>
      </c>
      <c r="H1249" s="4" t="str">
        <f>IF(F1249="","",SUMIF('Estadísticas Jugadores'!$F$2:$F$7001,F1249,'Estadísticas Jugadores'!$L$2:$L$7001))</f>
        <v/>
      </c>
      <c r="I1249" s="4" t="str">
        <f t="shared" si="98"/>
        <v/>
      </c>
      <c r="J1249" s="4" t="str">
        <f t="shared" si="99"/>
        <v/>
      </c>
    </row>
    <row r="1250" spans="1:10" ht="15" customHeight="1" x14ac:dyDescent="0.25">
      <c r="A1250" s="8" t="str">
        <f>IF(COUNT($J$2:$J$1501)&gt;=1249,1249,"")</f>
        <v/>
      </c>
      <c r="B1250" s="8" t="str">
        <f t="shared" si="95"/>
        <v/>
      </c>
      <c r="C1250" s="8" t="str">
        <f t="shared" si="96"/>
        <v/>
      </c>
      <c r="D1250" s="8" t="str">
        <f t="shared" si="97"/>
        <v/>
      </c>
      <c r="F1250" s="4" t="str">
        <f>IF(Jugadores!B1250="","",Jugadores!B1250)</f>
        <v/>
      </c>
      <c r="G1250" s="4" t="str">
        <f>IF(Jugadores!B1250="","",Jugadores!A1250)</f>
        <v/>
      </c>
      <c r="H1250" s="4" t="str">
        <f>IF(F1250="","",SUMIF('Estadísticas Jugadores'!$F$2:$F$7001,F1250,'Estadísticas Jugadores'!$L$2:$L$7001))</f>
        <v/>
      </c>
      <c r="I1250" s="4" t="str">
        <f t="shared" si="98"/>
        <v/>
      </c>
      <c r="J1250" s="4" t="str">
        <f t="shared" si="99"/>
        <v/>
      </c>
    </row>
    <row r="1251" spans="1:10" ht="15" customHeight="1" x14ac:dyDescent="0.25">
      <c r="A1251" s="8" t="str">
        <f>IF(COUNT($J$2:$J$1501)&gt;=1250,1250,"")</f>
        <v/>
      </c>
      <c r="B1251" s="8" t="str">
        <f t="shared" si="95"/>
        <v/>
      </c>
      <c r="C1251" s="8" t="str">
        <f t="shared" si="96"/>
        <v/>
      </c>
      <c r="D1251" s="8" t="str">
        <f t="shared" si="97"/>
        <v/>
      </c>
      <c r="F1251" s="4" t="str">
        <f>IF(Jugadores!B1251="","",Jugadores!B1251)</f>
        <v/>
      </c>
      <c r="G1251" s="4" t="str">
        <f>IF(Jugadores!B1251="","",Jugadores!A1251)</f>
        <v/>
      </c>
      <c r="H1251" s="4" t="str">
        <f>IF(F1251="","",SUMIF('Estadísticas Jugadores'!$F$2:$F$7001,F1251,'Estadísticas Jugadores'!$L$2:$L$7001))</f>
        <v/>
      </c>
      <c r="I1251" s="4" t="str">
        <f t="shared" si="98"/>
        <v/>
      </c>
      <c r="J1251" s="4" t="str">
        <f t="shared" si="99"/>
        <v/>
      </c>
    </row>
    <row r="1252" spans="1:10" ht="15" customHeight="1" x14ac:dyDescent="0.25">
      <c r="A1252" s="8" t="str">
        <f>IF(COUNT($J$2:$J$1501)&gt;=1251,1251,"")</f>
        <v/>
      </c>
      <c r="B1252" s="8" t="str">
        <f t="shared" si="95"/>
        <v/>
      </c>
      <c r="C1252" s="8" t="str">
        <f t="shared" si="96"/>
        <v/>
      </c>
      <c r="D1252" s="8" t="str">
        <f t="shared" si="97"/>
        <v/>
      </c>
      <c r="F1252" s="4" t="str">
        <f>IF(Jugadores!B1252="","",Jugadores!B1252)</f>
        <v/>
      </c>
      <c r="G1252" s="4" t="str">
        <f>IF(Jugadores!B1252="","",Jugadores!A1252)</f>
        <v/>
      </c>
      <c r="H1252" s="4" t="str">
        <f>IF(F1252="","",SUMIF('Estadísticas Jugadores'!$F$2:$F$7001,F1252,'Estadísticas Jugadores'!$L$2:$L$7001))</f>
        <v/>
      </c>
      <c r="I1252" s="4" t="str">
        <f t="shared" si="98"/>
        <v/>
      </c>
      <c r="J1252" s="4" t="str">
        <f t="shared" si="99"/>
        <v/>
      </c>
    </row>
    <row r="1253" spans="1:10" ht="15" customHeight="1" x14ac:dyDescent="0.25">
      <c r="A1253" s="8" t="str">
        <f>IF(COUNT($J$2:$J$1501)&gt;=1252,1252,"")</f>
        <v/>
      </c>
      <c r="B1253" s="8" t="str">
        <f t="shared" si="95"/>
        <v/>
      </c>
      <c r="C1253" s="8" t="str">
        <f t="shared" si="96"/>
        <v/>
      </c>
      <c r="D1253" s="8" t="str">
        <f t="shared" si="97"/>
        <v/>
      </c>
      <c r="F1253" s="4" t="str">
        <f>IF(Jugadores!B1253="","",Jugadores!B1253)</f>
        <v/>
      </c>
      <c r="G1253" s="4" t="str">
        <f>IF(Jugadores!B1253="","",Jugadores!A1253)</f>
        <v/>
      </c>
      <c r="H1253" s="4" t="str">
        <f>IF(F1253="","",SUMIF('Estadísticas Jugadores'!$F$2:$F$7001,F1253,'Estadísticas Jugadores'!$L$2:$L$7001))</f>
        <v/>
      </c>
      <c r="I1253" s="4" t="str">
        <f t="shared" si="98"/>
        <v/>
      </c>
      <c r="J1253" s="4" t="str">
        <f t="shared" si="99"/>
        <v/>
      </c>
    </row>
    <row r="1254" spans="1:10" ht="15" customHeight="1" x14ac:dyDescent="0.25">
      <c r="A1254" s="8" t="str">
        <f>IF(COUNT($J$2:$J$1501)&gt;=1253,1253,"")</f>
        <v/>
      </c>
      <c r="B1254" s="8" t="str">
        <f t="shared" si="95"/>
        <v/>
      </c>
      <c r="C1254" s="8" t="str">
        <f t="shared" si="96"/>
        <v/>
      </c>
      <c r="D1254" s="8" t="str">
        <f t="shared" si="97"/>
        <v/>
      </c>
      <c r="F1254" s="4" t="str">
        <f>IF(Jugadores!B1254="","",Jugadores!B1254)</f>
        <v/>
      </c>
      <c r="G1254" s="4" t="str">
        <f>IF(Jugadores!B1254="","",Jugadores!A1254)</f>
        <v/>
      </c>
      <c r="H1254" s="4" t="str">
        <f>IF(F1254="","",SUMIF('Estadísticas Jugadores'!$F$2:$F$7001,F1254,'Estadísticas Jugadores'!$L$2:$L$7001))</f>
        <v/>
      </c>
      <c r="I1254" s="4" t="str">
        <f t="shared" si="98"/>
        <v/>
      </c>
      <c r="J1254" s="4" t="str">
        <f t="shared" si="99"/>
        <v/>
      </c>
    </row>
    <row r="1255" spans="1:10" ht="15" customHeight="1" x14ac:dyDescent="0.25">
      <c r="A1255" s="8" t="str">
        <f>IF(COUNT($J$2:$J$1501)&gt;=1254,1254,"")</f>
        <v/>
      </c>
      <c r="B1255" s="8" t="str">
        <f t="shared" si="95"/>
        <v/>
      </c>
      <c r="C1255" s="8" t="str">
        <f t="shared" si="96"/>
        <v/>
      </c>
      <c r="D1255" s="8" t="str">
        <f t="shared" si="97"/>
        <v/>
      </c>
      <c r="F1255" s="4" t="str">
        <f>IF(Jugadores!B1255="","",Jugadores!B1255)</f>
        <v/>
      </c>
      <c r="G1255" s="4" t="str">
        <f>IF(Jugadores!B1255="","",Jugadores!A1255)</f>
        <v/>
      </c>
      <c r="H1255" s="4" t="str">
        <f>IF(F1255="","",SUMIF('Estadísticas Jugadores'!$F$2:$F$7001,F1255,'Estadísticas Jugadores'!$L$2:$L$7001))</f>
        <v/>
      </c>
      <c r="I1255" s="4" t="str">
        <f t="shared" si="98"/>
        <v/>
      </c>
      <c r="J1255" s="4" t="str">
        <f t="shared" si="99"/>
        <v/>
      </c>
    </row>
    <row r="1256" spans="1:10" ht="15" customHeight="1" x14ac:dyDescent="0.25">
      <c r="A1256" s="8" t="str">
        <f>IF(COUNT($J$2:$J$1501)&gt;=1255,1255,"")</f>
        <v/>
      </c>
      <c r="B1256" s="8" t="str">
        <f t="shared" si="95"/>
        <v/>
      </c>
      <c r="C1256" s="8" t="str">
        <f t="shared" si="96"/>
        <v/>
      </c>
      <c r="D1256" s="8" t="str">
        <f t="shared" si="97"/>
        <v/>
      </c>
      <c r="F1256" s="4" t="str">
        <f>IF(Jugadores!B1256="","",Jugadores!B1256)</f>
        <v/>
      </c>
      <c r="G1256" s="4" t="str">
        <f>IF(Jugadores!B1256="","",Jugadores!A1256)</f>
        <v/>
      </c>
      <c r="H1256" s="4" t="str">
        <f>IF(F1256="","",SUMIF('Estadísticas Jugadores'!$F$2:$F$7001,F1256,'Estadísticas Jugadores'!$L$2:$L$7001))</f>
        <v/>
      </c>
      <c r="I1256" s="4" t="str">
        <f t="shared" si="98"/>
        <v/>
      </c>
      <c r="J1256" s="4" t="str">
        <f t="shared" si="99"/>
        <v/>
      </c>
    </row>
    <row r="1257" spans="1:10" ht="15" customHeight="1" x14ac:dyDescent="0.25">
      <c r="A1257" s="8" t="str">
        <f>IF(COUNT($J$2:$J$1501)&gt;=1256,1256,"")</f>
        <v/>
      </c>
      <c r="B1257" s="8" t="str">
        <f t="shared" si="95"/>
        <v/>
      </c>
      <c r="C1257" s="8" t="str">
        <f t="shared" si="96"/>
        <v/>
      </c>
      <c r="D1257" s="8" t="str">
        <f t="shared" si="97"/>
        <v/>
      </c>
      <c r="F1257" s="4" t="str">
        <f>IF(Jugadores!B1257="","",Jugadores!B1257)</f>
        <v/>
      </c>
      <c r="G1257" s="4" t="str">
        <f>IF(Jugadores!B1257="","",Jugadores!A1257)</f>
        <v/>
      </c>
      <c r="H1257" s="4" t="str">
        <f>IF(F1257="","",SUMIF('Estadísticas Jugadores'!$F$2:$F$7001,F1257,'Estadísticas Jugadores'!$L$2:$L$7001))</f>
        <v/>
      </c>
      <c r="I1257" s="4" t="str">
        <f t="shared" si="98"/>
        <v/>
      </c>
      <c r="J1257" s="4" t="str">
        <f t="shared" si="99"/>
        <v/>
      </c>
    </row>
    <row r="1258" spans="1:10" ht="15" customHeight="1" x14ac:dyDescent="0.25">
      <c r="A1258" s="8" t="str">
        <f>IF(COUNT($J$2:$J$1501)&gt;=1257,1257,"")</f>
        <v/>
      </c>
      <c r="B1258" s="8" t="str">
        <f t="shared" si="95"/>
        <v/>
      </c>
      <c r="C1258" s="8" t="str">
        <f t="shared" si="96"/>
        <v/>
      </c>
      <c r="D1258" s="8" t="str">
        <f t="shared" si="97"/>
        <v/>
      </c>
      <c r="F1258" s="4" t="str">
        <f>IF(Jugadores!B1258="","",Jugadores!B1258)</f>
        <v/>
      </c>
      <c r="G1258" s="4" t="str">
        <f>IF(Jugadores!B1258="","",Jugadores!A1258)</f>
        <v/>
      </c>
      <c r="H1258" s="4" t="str">
        <f>IF(F1258="","",SUMIF('Estadísticas Jugadores'!$F$2:$F$7001,F1258,'Estadísticas Jugadores'!$L$2:$L$7001))</f>
        <v/>
      </c>
      <c r="I1258" s="4" t="str">
        <f t="shared" si="98"/>
        <v/>
      </c>
      <c r="J1258" s="4" t="str">
        <f t="shared" si="99"/>
        <v/>
      </c>
    </row>
    <row r="1259" spans="1:10" ht="15" customHeight="1" x14ac:dyDescent="0.25">
      <c r="A1259" s="8" t="str">
        <f>IF(COUNT($J$2:$J$1501)&gt;=1258,1258,"")</f>
        <v/>
      </c>
      <c r="B1259" s="8" t="str">
        <f t="shared" si="95"/>
        <v/>
      </c>
      <c r="C1259" s="8" t="str">
        <f t="shared" si="96"/>
        <v/>
      </c>
      <c r="D1259" s="8" t="str">
        <f t="shared" si="97"/>
        <v/>
      </c>
      <c r="F1259" s="4" t="str">
        <f>IF(Jugadores!B1259="","",Jugadores!B1259)</f>
        <v/>
      </c>
      <c r="G1259" s="4" t="str">
        <f>IF(Jugadores!B1259="","",Jugadores!A1259)</f>
        <v/>
      </c>
      <c r="H1259" s="4" t="str">
        <f>IF(F1259="","",SUMIF('Estadísticas Jugadores'!$F$2:$F$7001,F1259,'Estadísticas Jugadores'!$L$2:$L$7001))</f>
        <v/>
      </c>
      <c r="I1259" s="4" t="str">
        <f t="shared" si="98"/>
        <v/>
      </c>
      <c r="J1259" s="4" t="str">
        <f t="shared" si="99"/>
        <v/>
      </c>
    </row>
    <row r="1260" spans="1:10" ht="15" customHeight="1" x14ac:dyDescent="0.25">
      <c r="A1260" s="8" t="str">
        <f>IF(COUNT($J$2:$J$1501)&gt;=1259,1259,"")</f>
        <v/>
      </c>
      <c r="B1260" s="8" t="str">
        <f t="shared" si="95"/>
        <v/>
      </c>
      <c r="C1260" s="8" t="str">
        <f t="shared" si="96"/>
        <v/>
      </c>
      <c r="D1260" s="8" t="str">
        <f t="shared" si="97"/>
        <v/>
      </c>
      <c r="F1260" s="4" t="str">
        <f>IF(Jugadores!B1260="","",Jugadores!B1260)</f>
        <v/>
      </c>
      <c r="G1260" s="4" t="str">
        <f>IF(Jugadores!B1260="","",Jugadores!A1260)</f>
        <v/>
      </c>
      <c r="H1260" s="4" t="str">
        <f>IF(F1260="","",SUMIF('Estadísticas Jugadores'!$F$2:$F$7001,F1260,'Estadísticas Jugadores'!$L$2:$L$7001))</f>
        <v/>
      </c>
      <c r="I1260" s="4" t="str">
        <f t="shared" si="98"/>
        <v/>
      </c>
      <c r="J1260" s="4" t="str">
        <f t="shared" si="99"/>
        <v/>
      </c>
    </row>
    <row r="1261" spans="1:10" ht="15" customHeight="1" x14ac:dyDescent="0.25">
      <c r="A1261" s="8" t="str">
        <f>IF(COUNT($J$2:$J$1501)&gt;=1260,1260,"")</f>
        <v/>
      </c>
      <c r="B1261" s="8" t="str">
        <f t="shared" si="95"/>
        <v/>
      </c>
      <c r="C1261" s="8" t="str">
        <f t="shared" si="96"/>
        <v/>
      </c>
      <c r="D1261" s="8" t="str">
        <f t="shared" si="97"/>
        <v/>
      </c>
      <c r="F1261" s="4" t="str">
        <f>IF(Jugadores!B1261="","",Jugadores!B1261)</f>
        <v/>
      </c>
      <c r="G1261" s="4" t="str">
        <f>IF(Jugadores!B1261="","",Jugadores!A1261)</f>
        <v/>
      </c>
      <c r="H1261" s="4" t="str">
        <f>IF(F1261="","",SUMIF('Estadísticas Jugadores'!$F$2:$F$7001,F1261,'Estadísticas Jugadores'!$L$2:$L$7001))</f>
        <v/>
      </c>
      <c r="I1261" s="4" t="str">
        <f t="shared" si="98"/>
        <v/>
      </c>
      <c r="J1261" s="4" t="str">
        <f t="shared" si="99"/>
        <v/>
      </c>
    </row>
    <row r="1262" spans="1:10" ht="15" customHeight="1" x14ac:dyDescent="0.25">
      <c r="A1262" s="8" t="str">
        <f>IF(COUNT($J$2:$J$1501)&gt;=1261,1261,"")</f>
        <v/>
      </c>
      <c r="B1262" s="8" t="str">
        <f t="shared" si="95"/>
        <v/>
      </c>
      <c r="C1262" s="8" t="str">
        <f t="shared" si="96"/>
        <v/>
      </c>
      <c r="D1262" s="8" t="str">
        <f t="shared" si="97"/>
        <v/>
      </c>
      <c r="F1262" s="4" t="str">
        <f>IF(Jugadores!B1262="","",Jugadores!B1262)</f>
        <v/>
      </c>
      <c r="G1262" s="4" t="str">
        <f>IF(Jugadores!B1262="","",Jugadores!A1262)</f>
        <v/>
      </c>
      <c r="H1262" s="4" t="str">
        <f>IF(F1262="","",SUMIF('Estadísticas Jugadores'!$F$2:$F$7001,F1262,'Estadísticas Jugadores'!$L$2:$L$7001))</f>
        <v/>
      </c>
      <c r="I1262" s="4" t="str">
        <f t="shared" si="98"/>
        <v/>
      </c>
      <c r="J1262" s="4" t="str">
        <f t="shared" si="99"/>
        <v/>
      </c>
    </row>
    <row r="1263" spans="1:10" ht="15" customHeight="1" x14ac:dyDescent="0.25">
      <c r="A1263" s="8" t="str">
        <f>IF(COUNT($J$2:$J$1501)&gt;=1262,1262,"")</f>
        <v/>
      </c>
      <c r="B1263" s="8" t="str">
        <f t="shared" si="95"/>
        <v/>
      </c>
      <c r="C1263" s="8" t="str">
        <f t="shared" si="96"/>
        <v/>
      </c>
      <c r="D1263" s="8" t="str">
        <f t="shared" si="97"/>
        <v/>
      </c>
      <c r="F1263" s="4" t="str">
        <f>IF(Jugadores!B1263="","",Jugadores!B1263)</f>
        <v/>
      </c>
      <c r="G1263" s="4" t="str">
        <f>IF(Jugadores!B1263="","",Jugadores!A1263)</f>
        <v/>
      </c>
      <c r="H1263" s="4" t="str">
        <f>IF(F1263="","",SUMIF('Estadísticas Jugadores'!$F$2:$F$7001,F1263,'Estadísticas Jugadores'!$L$2:$L$7001))</f>
        <v/>
      </c>
      <c r="I1263" s="4" t="str">
        <f t="shared" si="98"/>
        <v/>
      </c>
      <c r="J1263" s="4" t="str">
        <f t="shared" si="99"/>
        <v/>
      </c>
    </row>
    <row r="1264" spans="1:10" ht="15" customHeight="1" x14ac:dyDescent="0.25">
      <c r="A1264" s="8" t="str">
        <f>IF(COUNT($J$2:$J$1501)&gt;=1263,1263,"")</f>
        <v/>
      </c>
      <c r="B1264" s="8" t="str">
        <f t="shared" si="95"/>
        <v/>
      </c>
      <c r="C1264" s="8" t="str">
        <f t="shared" si="96"/>
        <v/>
      </c>
      <c r="D1264" s="8" t="str">
        <f t="shared" si="97"/>
        <v/>
      </c>
      <c r="F1264" s="4" t="str">
        <f>IF(Jugadores!B1264="","",Jugadores!B1264)</f>
        <v/>
      </c>
      <c r="G1264" s="4" t="str">
        <f>IF(Jugadores!B1264="","",Jugadores!A1264)</f>
        <v/>
      </c>
      <c r="H1264" s="4" t="str">
        <f>IF(F1264="","",SUMIF('Estadísticas Jugadores'!$F$2:$F$7001,F1264,'Estadísticas Jugadores'!$L$2:$L$7001))</f>
        <v/>
      </c>
      <c r="I1264" s="4" t="str">
        <f t="shared" si="98"/>
        <v/>
      </c>
      <c r="J1264" s="4" t="str">
        <f t="shared" si="99"/>
        <v/>
      </c>
    </row>
    <row r="1265" spans="1:10" ht="15" customHeight="1" x14ac:dyDescent="0.25">
      <c r="A1265" s="8" t="str">
        <f>IF(COUNT($J$2:$J$1501)&gt;=1264,1264,"")</f>
        <v/>
      </c>
      <c r="B1265" s="8" t="str">
        <f t="shared" si="95"/>
        <v/>
      </c>
      <c r="C1265" s="8" t="str">
        <f t="shared" si="96"/>
        <v/>
      </c>
      <c r="D1265" s="8" t="str">
        <f t="shared" si="97"/>
        <v/>
      </c>
      <c r="F1265" s="4" t="str">
        <f>IF(Jugadores!B1265="","",Jugadores!B1265)</f>
        <v/>
      </c>
      <c r="G1265" s="4" t="str">
        <f>IF(Jugadores!B1265="","",Jugadores!A1265)</f>
        <v/>
      </c>
      <c r="H1265" s="4" t="str">
        <f>IF(F1265="","",SUMIF('Estadísticas Jugadores'!$F$2:$F$7001,F1265,'Estadísticas Jugadores'!$L$2:$L$7001))</f>
        <v/>
      </c>
      <c r="I1265" s="4" t="str">
        <f t="shared" si="98"/>
        <v/>
      </c>
      <c r="J1265" s="4" t="str">
        <f t="shared" si="99"/>
        <v/>
      </c>
    </row>
    <row r="1266" spans="1:10" ht="15" customHeight="1" x14ac:dyDescent="0.25">
      <c r="A1266" s="8" t="str">
        <f>IF(COUNT($J$2:$J$1501)&gt;=1265,1265,"")</f>
        <v/>
      </c>
      <c r="B1266" s="8" t="str">
        <f t="shared" si="95"/>
        <v/>
      </c>
      <c r="C1266" s="8" t="str">
        <f t="shared" si="96"/>
        <v/>
      </c>
      <c r="D1266" s="8" t="str">
        <f t="shared" si="97"/>
        <v/>
      </c>
      <c r="F1266" s="4" t="str">
        <f>IF(Jugadores!B1266="","",Jugadores!B1266)</f>
        <v/>
      </c>
      <c r="G1266" s="4" t="str">
        <f>IF(Jugadores!B1266="","",Jugadores!A1266)</f>
        <v/>
      </c>
      <c r="H1266" s="4" t="str">
        <f>IF(F1266="","",SUMIF('Estadísticas Jugadores'!$F$2:$F$7001,F1266,'Estadísticas Jugadores'!$L$2:$L$7001))</f>
        <v/>
      </c>
      <c r="I1266" s="4" t="str">
        <f t="shared" si="98"/>
        <v/>
      </c>
      <c r="J1266" s="4" t="str">
        <f t="shared" si="99"/>
        <v/>
      </c>
    </row>
    <row r="1267" spans="1:10" ht="15" customHeight="1" x14ac:dyDescent="0.25">
      <c r="A1267" s="8" t="str">
        <f>IF(COUNT($J$2:$J$1501)&gt;=1266,1266,"")</f>
        <v/>
      </c>
      <c r="B1267" s="8" t="str">
        <f t="shared" si="95"/>
        <v/>
      </c>
      <c r="C1267" s="8" t="str">
        <f t="shared" si="96"/>
        <v/>
      </c>
      <c r="D1267" s="8" t="str">
        <f t="shared" si="97"/>
        <v/>
      </c>
      <c r="F1267" s="4" t="str">
        <f>IF(Jugadores!B1267="","",Jugadores!B1267)</f>
        <v/>
      </c>
      <c r="G1267" s="4" t="str">
        <f>IF(Jugadores!B1267="","",Jugadores!A1267)</f>
        <v/>
      </c>
      <c r="H1267" s="4" t="str">
        <f>IF(F1267="","",SUMIF('Estadísticas Jugadores'!$F$2:$F$7001,F1267,'Estadísticas Jugadores'!$L$2:$L$7001))</f>
        <v/>
      </c>
      <c r="I1267" s="4" t="str">
        <f t="shared" si="98"/>
        <v/>
      </c>
      <c r="J1267" s="4" t="str">
        <f t="shared" si="99"/>
        <v/>
      </c>
    </row>
    <row r="1268" spans="1:10" ht="15" customHeight="1" x14ac:dyDescent="0.25">
      <c r="A1268" s="8" t="str">
        <f>IF(COUNT($J$2:$J$1501)&gt;=1267,1267,"")</f>
        <v/>
      </c>
      <c r="B1268" s="8" t="str">
        <f t="shared" si="95"/>
        <v/>
      </c>
      <c r="C1268" s="8" t="str">
        <f t="shared" si="96"/>
        <v/>
      </c>
      <c r="D1268" s="8" t="str">
        <f t="shared" si="97"/>
        <v/>
      </c>
      <c r="F1268" s="4" t="str">
        <f>IF(Jugadores!B1268="","",Jugadores!B1268)</f>
        <v/>
      </c>
      <c r="G1268" s="4" t="str">
        <f>IF(Jugadores!B1268="","",Jugadores!A1268)</f>
        <v/>
      </c>
      <c r="H1268" s="4" t="str">
        <f>IF(F1268="","",SUMIF('Estadísticas Jugadores'!$F$2:$F$7001,F1268,'Estadísticas Jugadores'!$L$2:$L$7001))</f>
        <v/>
      </c>
      <c r="I1268" s="4" t="str">
        <f t="shared" si="98"/>
        <v/>
      </c>
      <c r="J1268" s="4" t="str">
        <f t="shared" si="99"/>
        <v/>
      </c>
    </row>
    <row r="1269" spans="1:10" ht="15" customHeight="1" x14ac:dyDescent="0.25">
      <c r="A1269" s="8" t="str">
        <f>IF(COUNT($J$2:$J$1501)&gt;=1268,1268,"")</f>
        <v/>
      </c>
      <c r="B1269" s="8" t="str">
        <f t="shared" si="95"/>
        <v/>
      </c>
      <c r="C1269" s="8" t="str">
        <f t="shared" si="96"/>
        <v/>
      </c>
      <c r="D1269" s="8" t="str">
        <f t="shared" si="97"/>
        <v/>
      </c>
      <c r="F1269" s="4" t="str">
        <f>IF(Jugadores!B1269="","",Jugadores!B1269)</f>
        <v/>
      </c>
      <c r="G1269" s="4" t="str">
        <f>IF(Jugadores!B1269="","",Jugadores!A1269)</f>
        <v/>
      </c>
      <c r="H1269" s="4" t="str">
        <f>IF(F1269="","",SUMIF('Estadísticas Jugadores'!$F$2:$F$7001,F1269,'Estadísticas Jugadores'!$L$2:$L$7001))</f>
        <v/>
      </c>
      <c r="I1269" s="4" t="str">
        <f t="shared" si="98"/>
        <v/>
      </c>
      <c r="J1269" s="4" t="str">
        <f t="shared" si="99"/>
        <v/>
      </c>
    </row>
    <row r="1270" spans="1:10" ht="15" customHeight="1" x14ac:dyDescent="0.25">
      <c r="A1270" s="8" t="str">
        <f>IF(COUNT($J$2:$J$1501)&gt;=1269,1269,"")</f>
        <v/>
      </c>
      <c r="B1270" s="8" t="str">
        <f t="shared" si="95"/>
        <v/>
      </c>
      <c r="C1270" s="8" t="str">
        <f t="shared" si="96"/>
        <v/>
      </c>
      <c r="D1270" s="8" t="str">
        <f t="shared" si="97"/>
        <v/>
      </c>
      <c r="F1270" s="4" t="str">
        <f>IF(Jugadores!B1270="","",Jugadores!B1270)</f>
        <v/>
      </c>
      <c r="G1270" s="4" t="str">
        <f>IF(Jugadores!B1270="","",Jugadores!A1270)</f>
        <v/>
      </c>
      <c r="H1270" s="4" t="str">
        <f>IF(F1270="","",SUMIF('Estadísticas Jugadores'!$F$2:$F$7001,F1270,'Estadísticas Jugadores'!$L$2:$L$7001))</f>
        <v/>
      </c>
      <c r="I1270" s="4" t="str">
        <f t="shared" si="98"/>
        <v/>
      </c>
      <c r="J1270" s="4" t="str">
        <f t="shared" si="99"/>
        <v/>
      </c>
    </row>
    <row r="1271" spans="1:10" ht="15" customHeight="1" x14ac:dyDescent="0.25">
      <c r="A1271" s="8" t="str">
        <f>IF(COUNT($J$2:$J$1501)&gt;=1270,1270,"")</f>
        <v/>
      </c>
      <c r="B1271" s="8" t="str">
        <f t="shared" si="95"/>
        <v/>
      </c>
      <c r="C1271" s="8" t="str">
        <f t="shared" si="96"/>
        <v/>
      </c>
      <c r="D1271" s="8" t="str">
        <f t="shared" si="97"/>
        <v/>
      </c>
      <c r="F1271" s="4" t="str">
        <f>IF(Jugadores!B1271="","",Jugadores!B1271)</f>
        <v/>
      </c>
      <c r="G1271" s="4" t="str">
        <f>IF(Jugadores!B1271="","",Jugadores!A1271)</f>
        <v/>
      </c>
      <c r="H1271" s="4" t="str">
        <f>IF(F1271="","",SUMIF('Estadísticas Jugadores'!$F$2:$F$7001,F1271,'Estadísticas Jugadores'!$L$2:$L$7001))</f>
        <v/>
      </c>
      <c r="I1271" s="4" t="str">
        <f t="shared" si="98"/>
        <v/>
      </c>
      <c r="J1271" s="4" t="str">
        <f t="shared" si="99"/>
        <v/>
      </c>
    </row>
    <row r="1272" spans="1:10" ht="15" customHeight="1" x14ac:dyDescent="0.25">
      <c r="A1272" s="8" t="str">
        <f>IF(COUNT($J$2:$J$1501)&gt;=1271,1271,"")</f>
        <v/>
      </c>
      <c r="B1272" s="8" t="str">
        <f t="shared" si="95"/>
        <v/>
      </c>
      <c r="C1272" s="8" t="str">
        <f t="shared" si="96"/>
        <v/>
      </c>
      <c r="D1272" s="8" t="str">
        <f t="shared" si="97"/>
        <v/>
      </c>
      <c r="F1272" s="4" t="str">
        <f>IF(Jugadores!B1272="","",Jugadores!B1272)</f>
        <v/>
      </c>
      <c r="G1272" s="4" t="str">
        <f>IF(Jugadores!B1272="","",Jugadores!A1272)</f>
        <v/>
      </c>
      <c r="H1272" s="4" t="str">
        <f>IF(F1272="","",SUMIF('Estadísticas Jugadores'!$F$2:$F$7001,F1272,'Estadísticas Jugadores'!$L$2:$L$7001))</f>
        <v/>
      </c>
      <c r="I1272" s="4" t="str">
        <f t="shared" si="98"/>
        <v/>
      </c>
      <c r="J1272" s="4" t="str">
        <f t="shared" si="99"/>
        <v/>
      </c>
    </row>
    <row r="1273" spans="1:10" ht="15" customHeight="1" x14ac:dyDescent="0.25">
      <c r="A1273" s="8" t="str">
        <f>IF(COUNT($J$2:$J$1501)&gt;=1272,1272,"")</f>
        <v/>
      </c>
      <c r="B1273" s="8" t="str">
        <f t="shared" si="95"/>
        <v/>
      </c>
      <c r="C1273" s="8" t="str">
        <f t="shared" si="96"/>
        <v/>
      </c>
      <c r="D1273" s="8" t="str">
        <f t="shared" si="97"/>
        <v/>
      </c>
      <c r="F1273" s="4" t="str">
        <f>IF(Jugadores!B1273="","",Jugadores!B1273)</f>
        <v/>
      </c>
      <c r="G1273" s="4" t="str">
        <f>IF(Jugadores!B1273="","",Jugadores!A1273)</f>
        <v/>
      </c>
      <c r="H1273" s="4" t="str">
        <f>IF(F1273="","",SUMIF('Estadísticas Jugadores'!$F$2:$F$7001,F1273,'Estadísticas Jugadores'!$L$2:$L$7001))</f>
        <v/>
      </c>
      <c r="I1273" s="4" t="str">
        <f t="shared" si="98"/>
        <v/>
      </c>
      <c r="J1273" s="4" t="str">
        <f t="shared" si="99"/>
        <v/>
      </c>
    </row>
    <row r="1274" spans="1:10" ht="15" customHeight="1" x14ac:dyDescent="0.25">
      <c r="A1274" s="8" t="str">
        <f>IF(COUNT($J$2:$J$1501)&gt;=1273,1273,"")</f>
        <v/>
      </c>
      <c r="B1274" s="8" t="str">
        <f t="shared" si="95"/>
        <v/>
      </c>
      <c r="C1274" s="8" t="str">
        <f t="shared" si="96"/>
        <v/>
      </c>
      <c r="D1274" s="8" t="str">
        <f t="shared" si="97"/>
        <v/>
      </c>
      <c r="F1274" s="4" t="str">
        <f>IF(Jugadores!B1274="","",Jugadores!B1274)</f>
        <v/>
      </c>
      <c r="G1274" s="4" t="str">
        <f>IF(Jugadores!B1274="","",Jugadores!A1274)</f>
        <v/>
      </c>
      <c r="H1274" s="4" t="str">
        <f>IF(F1274="","",SUMIF('Estadísticas Jugadores'!$F$2:$F$7001,F1274,'Estadísticas Jugadores'!$L$2:$L$7001))</f>
        <v/>
      </c>
      <c r="I1274" s="4" t="str">
        <f t="shared" si="98"/>
        <v/>
      </c>
      <c r="J1274" s="4" t="str">
        <f t="shared" si="99"/>
        <v/>
      </c>
    </row>
    <row r="1275" spans="1:10" ht="15" customHeight="1" x14ac:dyDescent="0.25">
      <c r="A1275" s="8" t="str">
        <f>IF(COUNT($J$2:$J$1501)&gt;=1274,1274,"")</f>
        <v/>
      </c>
      <c r="B1275" s="8" t="str">
        <f t="shared" si="95"/>
        <v/>
      </c>
      <c r="C1275" s="8" t="str">
        <f t="shared" si="96"/>
        <v/>
      </c>
      <c r="D1275" s="8" t="str">
        <f t="shared" si="97"/>
        <v/>
      </c>
      <c r="F1275" s="4" t="str">
        <f>IF(Jugadores!B1275="","",Jugadores!B1275)</f>
        <v/>
      </c>
      <c r="G1275" s="4" t="str">
        <f>IF(Jugadores!B1275="","",Jugadores!A1275)</f>
        <v/>
      </c>
      <c r="H1275" s="4" t="str">
        <f>IF(F1275="","",SUMIF('Estadísticas Jugadores'!$F$2:$F$7001,F1275,'Estadísticas Jugadores'!$L$2:$L$7001))</f>
        <v/>
      </c>
      <c r="I1275" s="4" t="str">
        <f t="shared" si="98"/>
        <v/>
      </c>
      <c r="J1275" s="4" t="str">
        <f t="shared" si="99"/>
        <v/>
      </c>
    </row>
    <row r="1276" spans="1:10" ht="15" customHeight="1" x14ac:dyDescent="0.25">
      <c r="A1276" s="8" t="str">
        <f>IF(COUNT($J$2:$J$1501)&gt;=1275,1275,"")</f>
        <v/>
      </c>
      <c r="B1276" s="8" t="str">
        <f t="shared" si="95"/>
        <v/>
      </c>
      <c r="C1276" s="8" t="str">
        <f t="shared" si="96"/>
        <v/>
      </c>
      <c r="D1276" s="8" t="str">
        <f t="shared" si="97"/>
        <v/>
      </c>
      <c r="F1276" s="4" t="str">
        <f>IF(Jugadores!B1276="","",Jugadores!B1276)</f>
        <v/>
      </c>
      <c r="G1276" s="4" t="str">
        <f>IF(Jugadores!B1276="","",Jugadores!A1276)</f>
        <v/>
      </c>
      <c r="H1276" s="4" t="str">
        <f>IF(F1276="","",SUMIF('Estadísticas Jugadores'!$F$2:$F$7001,F1276,'Estadísticas Jugadores'!$L$2:$L$7001))</f>
        <v/>
      </c>
      <c r="I1276" s="4" t="str">
        <f t="shared" si="98"/>
        <v/>
      </c>
      <c r="J1276" s="4" t="str">
        <f t="shared" si="99"/>
        <v/>
      </c>
    </row>
    <row r="1277" spans="1:10" ht="15" customHeight="1" x14ac:dyDescent="0.25">
      <c r="A1277" s="8" t="str">
        <f>IF(COUNT($J$2:$J$1501)&gt;=1276,1276,"")</f>
        <v/>
      </c>
      <c r="B1277" s="8" t="str">
        <f t="shared" si="95"/>
        <v/>
      </c>
      <c r="C1277" s="8" t="str">
        <f t="shared" si="96"/>
        <v/>
      </c>
      <c r="D1277" s="8" t="str">
        <f t="shared" si="97"/>
        <v/>
      </c>
      <c r="F1277" s="4" t="str">
        <f>IF(Jugadores!B1277="","",Jugadores!B1277)</f>
        <v/>
      </c>
      <c r="G1277" s="4" t="str">
        <f>IF(Jugadores!B1277="","",Jugadores!A1277)</f>
        <v/>
      </c>
      <c r="H1277" s="4" t="str">
        <f>IF(F1277="","",SUMIF('Estadísticas Jugadores'!$F$2:$F$7001,F1277,'Estadísticas Jugadores'!$L$2:$L$7001))</f>
        <v/>
      </c>
      <c r="I1277" s="4" t="str">
        <f t="shared" si="98"/>
        <v/>
      </c>
      <c r="J1277" s="4" t="str">
        <f t="shared" si="99"/>
        <v/>
      </c>
    </row>
    <row r="1278" spans="1:10" ht="15" customHeight="1" x14ac:dyDescent="0.25">
      <c r="A1278" s="8" t="str">
        <f>IF(COUNT($J$2:$J$1501)&gt;=1277,1277,"")</f>
        <v/>
      </c>
      <c r="B1278" s="8" t="str">
        <f t="shared" si="95"/>
        <v/>
      </c>
      <c r="C1278" s="8" t="str">
        <f t="shared" si="96"/>
        <v/>
      </c>
      <c r="D1278" s="8" t="str">
        <f t="shared" si="97"/>
        <v/>
      </c>
      <c r="F1278" s="4" t="str">
        <f>IF(Jugadores!B1278="","",Jugadores!B1278)</f>
        <v/>
      </c>
      <c r="G1278" s="4" t="str">
        <f>IF(Jugadores!B1278="","",Jugadores!A1278)</f>
        <v/>
      </c>
      <c r="H1278" s="4" t="str">
        <f>IF(F1278="","",SUMIF('Estadísticas Jugadores'!$F$2:$F$7001,F1278,'Estadísticas Jugadores'!$L$2:$L$7001))</f>
        <v/>
      </c>
      <c r="I1278" s="4" t="str">
        <f t="shared" si="98"/>
        <v/>
      </c>
      <c r="J1278" s="4" t="str">
        <f t="shared" si="99"/>
        <v/>
      </c>
    </row>
    <row r="1279" spans="1:10" ht="15" customHeight="1" x14ac:dyDescent="0.25">
      <c r="A1279" s="8" t="str">
        <f>IF(COUNT($J$2:$J$1501)&gt;=1278,1278,"")</f>
        <v/>
      </c>
      <c r="B1279" s="8" t="str">
        <f t="shared" si="95"/>
        <v/>
      </c>
      <c r="C1279" s="8" t="str">
        <f t="shared" si="96"/>
        <v/>
      </c>
      <c r="D1279" s="8" t="str">
        <f t="shared" si="97"/>
        <v/>
      </c>
      <c r="F1279" s="4" t="str">
        <f>IF(Jugadores!B1279="","",Jugadores!B1279)</f>
        <v/>
      </c>
      <c r="G1279" s="4" t="str">
        <f>IF(Jugadores!B1279="","",Jugadores!A1279)</f>
        <v/>
      </c>
      <c r="H1279" s="4" t="str">
        <f>IF(F1279="","",SUMIF('Estadísticas Jugadores'!$F$2:$F$7001,F1279,'Estadísticas Jugadores'!$L$2:$L$7001))</f>
        <v/>
      </c>
      <c r="I1279" s="4" t="str">
        <f t="shared" si="98"/>
        <v/>
      </c>
      <c r="J1279" s="4" t="str">
        <f t="shared" si="99"/>
        <v/>
      </c>
    </row>
    <row r="1280" spans="1:10" ht="15" customHeight="1" x14ac:dyDescent="0.25">
      <c r="A1280" s="8" t="str">
        <f>IF(COUNT($J$2:$J$1501)&gt;=1279,1279,"")</f>
        <v/>
      </c>
      <c r="B1280" s="8" t="str">
        <f t="shared" si="95"/>
        <v/>
      </c>
      <c r="C1280" s="8" t="str">
        <f t="shared" si="96"/>
        <v/>
      </c>
      <c r="D1280" s="8" t="str">
        <f t="shared" si="97"/>
        <v/>
      </c>
      <c r="F1280" s="4" t="str">
        <f>IF(Jugadores!B1280="","",Jugadores!B1280)</f>
        <v/>
      </c>
      <c r="G1280" s="4" t="str">
        <f>IF(Jugadores!B1280="","",Jugadores!A1280)</f>
        <v/>
      </c>
      <c r="H1280" s="4" t="str">
        <f>IF(F1280="","",SUMIF('Estadísticas Jugadores'!$F$2:$F$7001,F1280,'Estadísticas Jugadores'!$L$2:$L$7001))</f>
        <v/>
      </c>
      <c r="I1280" s="4" t="str">
        <f t="shared" si="98"/>
        <v/>
      </c>
      <c r="J1280" s="4" t="str">
        <f t="shared" si="99"/>
        <v/>
      </c>
    </row>
    <row r="1281" spans="1:10" ht="15" customHeight="1" x14ac:dyDescent="0.25">
      <c r="A1281" s="8" t="str">
        <f>IF(COUNT($J$2:$J$1501)&gt;=1280,1280,"")</f>
        <v/>
      </c>
      <c r="B1281" s="8" t="str">
        <f t="shared" si="95"/>
        <v/>
      </c>
      <c r="C1281" s="8" t="str">
        <f t="shared" si="96"/>
        <v/>
      </c>
      <c r="D1281" s="8" t="str">
        <f t="shared" si="97"/>
        <v/>
      </c>
      <c r="F1281" s="4" t="str">
        <f>IF(Jugadores!B1281="","",Jugadores!B1281)</f>
        <v/>
      </c>
      <c r="G1281" s="4" t="str">
        <f>IF(Jugadores!B1281="","",Jugadores!A1281)</f>
        <v/>
      </c>
      <c r="H1281" s="4" t="str">
        <f>IF(F1281="","",SUMIF('Estadísticas Jugadores'!$F$2:$F$7001,F1281,'Estadísticas Jugadores'!$L$2:$L$7001))</f>
        <v/>
      </c>
      <c r="I1281" s="4" t="str">
        <f t="shared" si="98"/>
        <v/>
      </c>
      <c r="J1281" s="4" t="str">
        <f t="shared" si="99"/>
        <v/>
      </c>
    </row>
    <row r="1282" spans="1:10" ht="15" customHeight="1" x14ac:dyDescent="0.25">
      <c r="A1282" s="8" t="str">
        <f>IF(COUNT($J$2:$J$1501)&gt;=1281,1281,"")</f>
        <v/>
      </c>
      <c r="B1282" s="8" t="str">
        <f t="shared" ref="B1282:B1345" si="100">IF($A1282="","",INDEX($F$2:$F$1501,MATCH($A1282,$J$2:$J$1501,0)))</f>
        <v/>
      </c>
      <c r="C1282" s="8" t="str">
        <f t="shared" ref="C1282:C1345" si="101">IF($A1282="","",INDEX($G$2:$G$1501,MATCH($A1282,$J$2:$J$1501,0)))</f>
        <v/>
      </c>
      <c r="D1282" s="8" t="str">
        <f t="shared" ref="D1282:D1345" si="102">IF($A1282="","",INDEX($H$2:$H$1501,MATCH($A1282,$J$2:$J$1501,0)))</f>
        <v/>
      </c>
      <c r="F1282" s="4" t="str">
        <f>IF(Jugadores!B1282="","",Jugadores!B1282)</f>
        <v/>
      </c>
      <c r="G1282" s="4" t="str">
        <f>IF(Jugadores!B1282="","",Jugadores!A1282)</f>
        <v/>
      </c>
      <c r="H1282" s="4" t="str">
        <f>IF(F1282="","",SUMIF('Estadísticas Jugadores'!$F$2:$F$7001,F1282,'Estadísticas Jugadores'!$L$2:$L$7001))</f>
        <v/>
      </c>
      <c r="I1282" s="4" t="str">
        <f t="shared" ref="I1282:I1345" si="103">IF(F1282="","",H1282*1000-ROW()*0.0000001)</f>
        <v/>
      </c>
      <c r="J1282" s="4" t="str">
        <f t="shared" ref="J1282:J1345" si="104">IF(F1282="","",RANK(I1282,$I$2:$I$1501))</f>
        <v/>
      </c>
    </row>
    <row r="1283" spans="1:10" ht="15" customHeight="1" x14ac:dyDescent="0.25">
      <c r="A1283" s="8" t="str">
        <f>IF(COUNT($J$2:$J$1501)&gt;=1282,1282,"")</f>
        <v/>
      </c>
      <c r="B1283" s="8" t="str">
        <f t="shared" si="100"/>
        <v/>
      </c>
      <c r="C1283" s="8" t="str">
        <f t="shared" si="101"/>
        <v/>
      </c>
      <c r="D1283" s="8" t="str">
        <f t="shared" si="102"/>
        <v/>
      </c>
      <c r="F1283" s="4" t="str">
        <f>IF(Jugadores!B1283="","",Jugadores!B1283)</f>
        <v/>
      </c>
      <c r="G1283" s="4" t="str">
        <f>IF(Jugadores!B1283="","",Jugadores!A1283)</f>
        <v/>
      </c>
      <c r="H1283" s="4" t="str">
        <f>IF(F1283="","",SUMIF('Estadísticas Jugadores'!$F$2:$F$7001,F1283,'Estadísticas Jugadores'!$L$2:$L$7001))</f>
        <v/>
      </c>
      <c r="I1283" s="4" t="str">
        <f t="shared" si="103"/>
        <v/>
      </c>
      <c r="J1283" s="4" t="str">
        <f t="shared" si="104"/>
        <v/>
      </c>
    </row>
    <row r="1284" spans="1:10" ht="15" customHeight="1" x14ac:dyDescent="0.25">
      <c r="A1284" s="8" t="str">
        <f>IF(COUNT($J$2:$J$1501)&gt;=1283,1283,"")</f>
        <v/>
      </c>
      <c r="B1284" s="8" t="str">
        <f t="shared" si="100"/>
        <v/>
      </c>
      <c r="C1284" s="8" t="str">
        <f t="shared" si="101"/>
        <v/>
      </c>
      <c r="D1284" s="8" t="str">
        <f t="shared" si="102"/>
        <v/>
      </c>
      <c r="F1284" s="4" t="str">
        <f>IF(Jugadores!B1284="","",Jugadores!B1284)</f>
        <v/>
      </c>
      <c r="G1284" s="4" t="str">
        <f>IF(Jugadores!B1284="","",Jugadores!A1284)</f>
        <v/>
      </c>
      <c r="H1284" s="4" t="str">
        <f>IF(F1284="","",SUMIF('Estadísticas Jugadores'!$F$2:$F$7001,F1284,'Estadísticas Jugadores'!$L$2:$L$7001))</f>
        <v/>
      </c>
      <c r="I1284" s="4" t="str">
        <f t="shared" si="103"/>
        <v/>
      </c>
      <c r="J1284" s="4" t="str">
        <f t="shared" si="104"/>
        <v/>
      </c>
    </row>
    <row r="1285" spans="1:10" ht="15" customHeight="1" x14ac:dyDescent="0.25">
      <c r="A1285" s="8" t="str">
        <f>IF(COUNT($J$2:$J$1501)&gt;=1284,1284,"")</f>
        <v/>
      </c>
      <c r="B1285" s="8" t="str">
        <f t="shared" si="100"/>
        <v/>
      </c>
      <c r="C1285" s="8" t="str">
        <f t="shared" si="101"/>
        <v/>
      </c>
      <c r="D1285" s="8" t="str">
        <f t="shared" si="102"/>
        <v/>
      </c>
      <c r="F1285" s="4" t="str">
        <f>IF(Jugadores!B1285="","",Jugadores!B1285)</f>
        <v/>
      </c>
      <c r="G1285" s="4" t="str">
        <f>IF(Jugadores!B1285="","",Jugadores!A1285)</f>
        <v/>
      </c>
      <c r="H1285" s="4" t="str">
        <f>IF(F1285="","",SUMIF('Estadísticas Jugadores'!$F$2:$F$7001,F1285,'Estadísticas Jugadores'!$L$2:$L$7001))</f>
        <v/>
      </c>
      <c r="I1285" s="4" t="str">
        <f t="shared" si="103"/>
        <v/>
      </c>
      <c r="J1285" s="4" t="str">
        <f t="shared" si="104"/>
        <v/>
      </c>
    </row>
    <row r="1286" spans="1:10" ht="15" customHeight="1" x14ac:dyDescent="0.25">
      <c r="A1286" s="8" t="str">
        <f>IF(COUNT($J$2:$J$1501)&gt;=1285,1285,"")</f>
        <v/>
      </c>
      <c r="B1286" s="8" t="str">
        <f t="shared" si="100"/>
        <v/>
      </c>
      <c r="C1286" s="8" t="str">
        <f t="shared" si="101"/>
        <v/>
      </c>
      <c r="D1286" s="8" t="str">
        <f t="shared" si="102"/>
        <v/>
      </c>
      <c r="F1286" s="4" t="str">
        <f>IF(Jugadores!B1286="","",Jugadores!B1286)</f>
        <v/>
      </c>
      <c r="G1286" s="4" t="str">
        <f>IF(Jugadores!B1286="","",Jugadores!A1286)</f>
        <v/>
      </c>
      <c r="H1286" s="4" t="str">
        <f>IF(F1286="","",SUMIF('Estadísticas Jugadores'!$F$2:$F$7001,F1286,'Estadísticas Jugadores'!$L$2:$L$7001))</f>
        <v/>
      </c>
      <c r="I1286" s="4" t="str">
        <f t="shared" si="103"/>
        <v/>
      </c>
      <c r="J1286" s="4" t="str">
        <f t="shared" si="104"/>
        <v/>
      </c>
    </row>
    <row r="1287" spans="1:10" ht="15" customHeight="1" x14ac:dyDescent="0.25">
      <c r="A1287" s="8" t="str">
        <f>IF(COUNT($J$2:$J$1501)&gt;=1286,1286,"")</f>
        <v/>
      </c>
      <c r="B1287" s="8" t="str">
        <f t="shared" si="100"/>
        <v/>
      </c>
      <c r="C1287" s="8" t="str">
        <f t="shared" si="101"/>
        <v/>
      </c>
      <c r="D1287" s="8" t="str">
        <f t="shared" si="102"/>
        <v/>
      </c>
      <c r="F1287" s="4" t="str">
        <f>IF(Jugadores!B1287="","",Jugadores!B1287)</f>
        <v/>
      </c>
      <c r="G1287" s="4" t="str">
        <f>IF(Jugadores!B1287="","",Jugadores!A1287)</f>
        <v/>
      </c>
      <c r="H1287" s="4" t="str">
        <f>IF(F1287="","",SUMIF('Estadísticas Jugadores'!$F$2:$F$7001,F1287,'Estadísticas Jugadores'!$L$2:$L$7001))</f>
        <v/>
      </c>
      <c r="I1287" s="4" t="str">
        <f t="shared" si="103"/>
        <v/>
      </c>
      <c r="J1287" s="4" t="str">
        <f t="shared" si="104"/>
        <v/>
      </c>
    </row>
    <row r="1288" spans="1:10" ht="15" customHeight="1" x14ac:dyDescent="0.25">
      <c r="A1288" s="8" t="str">
        <f>IF(COUNT($J$2:$J$1501)&gt;=1287,1287,"")</f>
        <v/>
      </c>
      <c r="B1288" s="8" t="str">
        <f t="shared" si="100"/>
        <v/>
      </c>
      <c r="C1288" s="8" t="str">
        <f t="shared" si="101"/>
        <v/>
      </c>
      <c r="D1288" s="8" t="str">
        <f t="shared" si="102"/>
        <v/>
      </c>
      <c r="F1288" s="4" t="str">
        <f>IF(Jugadores!B1288="","",Jugadores!B1288)</f>
        <v/>
      </c>
      <c r="G1288" s="4" t="str">
        <f>IF(Jugadores!B1288="","",Jugadores!A1288)</f>
        <v/>
      </c>
      <c r="H1288" s="4" t="str">
        <f>IF(F1288="","",SUMIF('Estadísticas Jugadores'!$F$2:$F$7001,F1288,'Estadísticas Jugadores'!$L$2:$L$7001))</f>
        <v/>
      </c>
      <c r="I1288" s="4" t="str">
        <f t="shared" si="103"/>
        <v/>
      </c>
      <c r="J1288" s="4" t="str">
        <f t="shared" si="104"/>
        <v/>
      </c>
    </row>
    <row r="1289" spans="1:10" ht="15" customHeight="1" x14ac:dyDescent="0.25">
      <c r="A1289" s="8" t="str">
        <f>IF(COUNT($J$2:$J$1501)&gt;=1288,1288,"")</f>
        <v/>
      </c>
      <c r="B1289" s="8" t="str">
        <f t="shared" si="100"/>
        <v/>
      </c>
      <c r="C1289" s="8" t="str">
        <f t="shared" si="101"/>
        <v/>
      </c>
      <c r="D1289" s="8" t="str">
        <f t="shared" si="102"/>
        <v/>
      </c>
      <c r="F1289" s="4" t="str">
        <f>IF(Jugadores!B1289="","",Jugadores!B1289)</f>
        <v/>
      </c>
      <c r="G1289" s="4" t="str">
        <f>IF(Jugadores!B1289="","",Jugadores!A1289)</f>
        <v/>
      </c>
      <c r="H1289" s="4" t="str">
        <f>IF(F1289="","",SUMIF('Estadísticas Jugadores'!$F$2:$F$7001,F1289,'Estadísticas Jugadores'!$L$2:$L$7001))</f>
        <v/>
      </c>
      <c r="I1289" s="4" t="str">
        <f t="shared" si="103"/>
        <v/>
      </c>
      <c r="J1289" s="4" t="str">
        <f t="shared" si="104"/>
        <v/>
      </c>
    </row>
    <row r="1290" spans="1:10" ht="15" customHeight="1" x14ac:dyDescent="0.25">
      <c r="A1290" s="8" t="str">
        <f>IF(COUNT($J$2:$J$1501)&gt;=1289,1289,"")</f>
        <v/>
      </c>
      <c r="B1290" s="8" t="str">
        <f t="shared" si="100"/>
        <v/>
      </c>
      <c r="C1290" s="8" t="str">
        <f t="shared" si="101"/>
        <v/>
      </c>
      <c r="D1290" s="8" t="str">
        <f t="shared" si="102"/>
        <v/>
      </c>
      <c r="F1290" s="4" t="str">
        <f>IF(Jugadores!B1290="","",Jugadores!B1290)</f>
        <v/>
      </c>
      <c r="G1290" s="4" t="str">
        <f>IF(Jugadores!B1290="","",Jugadores!A1290)</f>
        <v/>
      </c>
      <c r="H1290" s="4" t="str">
        <f>IF(F1290="","",SUMIF('Estadísticas Jugadores'!$F$2:$F$7001,F1290,'Estadísticas Jugadores'!$L$2:$L$7001))</f>
        <v/>
      </c>
      <c r="I1290" s="4" t="str">
        <f t="shared" si="103"/>
        <v/>
      </c>
      <c r="J1290" s="4" t="str">
        <f t="shared" si="104"/>
        <v/>
      </c>
    </row>
    <row r="1291" spans="1:10" ht="15" customHeight="1" x14ac:dyDescent="0.25">
      <c r="A1291" s="8" t="str">
        <f>IF(COUNT($J$2:$J$1501)&gt;=1290,1290,"")</f>
        <v/>
      </c>
      <c r="B1291" s="8" t="str">
        <f t="shared" si="100"/>
        <v/>
      </c>
      <c r="C1291" s="8" t="str">
        <f t="shared" si="101"/>
        <v/>
      </c>
      <c r="D1291" s="8" t="str">
        <f t="shared" si="102"/>
        <v/>
      </c>
      <c r="F1291" s="4" t="str">
        <f>IF(Jugadores!B1291="","",Jugadores!B1291)</f>
        <v/>
      </c>
      <c r="G1291" s="4" t="str">
        <f>IF(Jugadores!B1291="","",Jugadores!A1291)</f>
        <v/>
      </c>
      <c r="H1291" s="4" t="str">
        <f>IF(F1291="","",SUMIF('Estadísticas Jugadores'!$F$2:$F$7001,F1291,'Estadísticas Jugadores'!$L$2:$L$7001))</f>
        <v/>
      </c>
      <c r="I1291" s="4" t="str">
        <f t="shared" si="103"/>
        <v/>
      </c>
      <c r="J1291" s="4" t="str">
        <f t="shared" si="104"/>
        <v/>
      </c>
    </row>
    <row r="1292" spans="1:10" ht="15" customHeight="1" x14ac:dyDescent="0.25">
      <c r="A1292" s="8" t="str">
        <f>IF(COUNT($J$2:$J$1501)&gt;=1291,1291,"")</f>
        <v/>
      </c>
      <c r="B1292" s="8" t="str">
        <f t="shared" si="100"/>
        <v/>
      </c>
      <c r="C1292" s="8" t="str">
        <f t="shared" si="101"/>
        <v/>
      </c>
      <c r="D1292" s="8" t="str">
        <f t="shared" si="102"/>
        <v/>
      </c>
      <c r="F1292" s="4" t="str">
        <f>IF(Jugadores!B1292="","",Jugadores!B1292)</f>
        <v/>
      </c>
      <c r="G1292" s="4" t="str">
        <f>IF(Jugadores!B1292="","",Jugadores!A1292)</f>
        <v/>
      </c>
      <c r="H1292" s="4" t="str">
        <f>IF(F1292="","",SUMIF('Estadísticas Jugadores'!$F$2:$F$7001,F1292,'Estadísticas Jugadores'!$L$2:$L$7001))</f>
        <v/>
      </c>
      <c r="I1292" s="4" t="str">
        <f t="shared" si="103"/>
        <v/>
      </c>
      <c r="J1292" s="4" t="str">
        <f t="shared" si="104"/>
        <v/>
      </c>
    </row>
    <row r="1293" spans="1:10" ht="15" customHeight="1" x14ac:dyDescent="0.25">
      <c r="A1293" s="8" t="str">
        <f>IF(COUNT($J$2:$J$1501)&gt;=1292,1292,"")</f>
        <v/>
      </c>
      <c r="B1293" s="8" t="str">
        <f t="shared" si="100"/>
        <v/>
      </c>
      <c r="C1293" s="8" t="str">
        <f t="shared" si="101"/>
        <v/>
      </c>
      <c r="D1293" s="8" t="str">
        <f t="shared" si="102"/>
        <v/>
      </c>
      <c r="F1293" s="4" t="str">
        <f>IF(Jugadores!B1293="","",Jugadores!B1293)</f>
        <v/>
      </c>
      <c r="G1293" s="4" t="str">
        <f>IF(Jugadores!B1293="","",Jugadores!A1293)</f>
        <v/>
      </c>
      <c r="H1293" s="4" t="str">
        <f>IF(F1293="","",SUMIF('Estadísticas Jugadores'!$F$2:$F$7001,F1293,'Estadísticas Jugadores'!$L$2:$L$7001))</f>
        <v/>
      </c>
      <c r="I1293" s="4" t="str">
        <f t="shared" si="103"/>
        <v/>
      </c>
      <c r="J1293" s="4" t="str">
        <f t="shared" si="104"/>
        <v/>
      </c>
    </row>
    <row r="1294" spans="1:10" ht="15" customHeight="1" x14ac:dyDescent="0.25">
      <c r="A1294" s="8" t="str">
        <f>IF(COUNT($J$2:$J$1501)&gt;=1293,1293,"")</f>
        <v/>
      </c>
      <c r="B1294" s="8" t="str">
        <f t="shared" si="100"/>
        <v/>
      </c>
      <c r="C1294" s="8" t="str">
        <f t="shared" si="101"/>
        <v/>
      </c>
      <c r="D1294" s="8" t="str">
        <f t="shared" si="102"/>
        <v/>
      </c>
      <c r="F1294" s="4" t="str">
        <f>IF(Jugadores!B1294="","",Jugadores!B1294)</f>
        <v/>
      </c>
      <c r="G1294" s="4" t="str">
        <f>IF(Jugadores!B1294="","",Jugadores!A1294)</f>
        <v/>
      </c>
      <c r="H1294" s="4" t="str">
        <f>IF(F1294="","",SUMIF('Estadísticas Jugadores'!$F$2:$F$7001,F1294,'Estadísticas Jugadores'!$L$2:$L$7001))</f>
        <v/>
      </c>
      <c r="I1294" s="4" t="str">
        <f t="shared" si="103"/>
        <v/>
      </c>
      <c r="J1294" s="4" t="str">
        <f t="shared" si="104"/>
        <v/>
      </c>
    </row>
    <row r="1295" spans="1:10" ht="15" customHeight="1" x14ac:dyDescent="0.25">
      <c r="A1295" s="8" t="str">
        <f>IF(COUNT($J$2:$J$1501)&gt;=1294,1294,"")</f>
        <v/>
      </c>
      <c r="B1295" s="8" t="str">
        <f t="shared" si="100"/>
        <v/>
      </c>
      <c r="C1295" s="8" t="str">
        <f t="shared" si="101"/>
        <v/>
      </c>
      <c r="D1295" s="8" t="str">
        <f t="shared" si="102"/>
        <v/>
      </c>
      <c r="F1295" s="4" t="str">
        <f>IF(Jugadores!B1295="","",Jugadores!B1295)</f>
        <v/>
      </c>
      <c r="G1295" s="4" t="str">
        <f>IF(Jugadores!B1295="","",Jugadores!A1295)</f>
        <v/>
      </c>
      <c r="H1295" s="4" t="str">
        <f>IF(F1295="","",SUMIF('Estadísticas Jugadores'!$F$2:$F$7001,F1295,'Estadísticas Jugadores'!$L$2:$L$7001))</f>
        <v/>
      </c>
      <c r="I1295" s="4" t="str">
        <f t="shared" si="103"/>
        <v/>
      </c>
      <c r="J1295" s="4" t="str">
        <f t="shared" si="104"/>
        <v/>
      </c>
    </row>
    <row r="1296" spans="1:10" ht="15" customHeight="1" x14ac:dyDescent="0.25">
      <c r="A1296" s="8" t="str">
        <f>IF(COUNT($J$2:$J$1501)&gt;=1295,1295,"")</f>
        <v/>
      </c>
      <c r="B1296" s="8" t="str">
        <f t="shared" si="100"/>
        <v/>
      </c>
      <c r="C1296" s="8" t="str">
        <f t="shared" si="101"/>
        <v/>
      </c>
      <c r="D1296" s="8" t="str">
        <f t="shared" si="102"/>
        <v/>
      </c>
      <c r="F1296" s="4" t="str">
        <f>IF(Jugadores!B1296="","",Jugadores!B1296)</f>
        <v/>
      </c>
      <c r="G1296" s="4" t="str">
        <f>IF(Jugadores!B1296="","",Jugadores!A1296)</f>
        <v/>
      </c>
      <c r="H1296" s="4" t="str">
        <f>IF(F1296="","",SUMIF('Estadísticas Jugadores'!$F$2:$F$7001,F1296,'Estadísticas Jugadores'!$L$2:$L$7001))</f>
        <v/>
      </c>
      <c r="I1296" s="4" t="str">
        <f t="shared" si="103"/>
        <v/>
      </c>
      <c r="J1296" s="4" t="str">
        <f t="shared" si="104"/>
        <v/>
      </c>
    </row>
    <row r="1297" spans="1:10" ht="15" customHeight="1" x14ac:dyDescent="0.25">
      <c r="A1297" s="8" t="str">
        <f>IF(COUNT($J$2:$J$1501)&gt;=1296,1296,"")</f>
        <v/>
      </c>
      <c r="B1297" s="8" t="str">
        <f t="shared" si="100"/>
        <v/>
      </c>
      <c r="C1297" s="8" t="str">
        <f t="shared" si="101"/>
        <v/>
      </c>
      <c r="D1297" s="8" t="str">
        <f t="shared" si="102"/>
        <v/>
      </c>
      <c r="F1297" s="4" t="str">
        <f>IF(Jugadores!B1297="","",Jugadores!B1297)</f>
        <v/>
      </c>
      <c r="G1297" s="4" t="str">
        <f>IF(Jugadores!B1297="","",Jugadores!A1297)</f>
        <v/>
      </c>
      <c r="H1297" s="4" t="str">
        <f>IF(F1297="","",SUMIF('Estadísticas Jugadores'!$F$2:$F$7001,F1297,'Estadísticas Jugadores'!$L$2:$L$7001))</f>
        <v/>
      </c>
      <c r="I1297" s="4" t="str">
        <f t="shared" si="103"/>
        <v/>
      </c>
      <c r="J1297" s="4" t="str">
        <f t="shared" si="104"/>
        <v/>
      </c>
    </row>
    <row r="1298" spans="1:10" ht="15" customHeight="1" x14ac:dyDescent="0.25">
      <c r="A1298" s="8" t="str">
        <f>IF(COUNT($J$2:$J$1501)&gt;=1297,1297,"")</f>
        <v/>
      </c>
      <c r="B1298" s="8" t="str">
        <f t="shared" si="100"/>
        <v/>
      </c>
      <c r="C1298" s="8" t="str">
        <f t="shared" si="101"/>
        <v/>
      </c>
      <c r="D1298" s="8" t="str">
        <f t="shared" si="102"/>
        <v/>
      </c>
      <c r="F1298" s="4" t="str">
        <f>IF(Jugadores!B1298="","",Jugadores!B1298)</f>
        <v/>
      </c>
      <c r="G1298" s="4" t="str">
        <f>IF(Jugadores!B1298="","",Jugadores!A1298)</f>
        <v/>
      </c>
      <c r="H1298" s="4" t="str">
        <f>IF(F1298="","",SUMIF('Estadísticas Jugadores'!$F$2:$F$7001,F1298,'Estadísticas Jugadores'!$L$2:$L$7001))</f>
        <v/>
      </c>
      <c r="I1298" s="4" t="str">
        <f t="shared" si="103"/>
        <v/>
      </c>
      <c r="J1298" s="4" t="str">
        <f t="shared" si="104"/>
        <v/>
      </c>
    </row>
    <row r="1299" spans="1:10" ht="15" customHeight="1" x14ac:dyDescent="0.25">
      <c r="A1299" s="8" t="str">
        <f>IF(COUNT($J$2:$J$1501)&gt;=1298,1298,"")</f>
        <v/>
      </c>
      <c r="B1299" s="8" t="str">
        <f t="shared" si="100"/>
        <v/>
      </c>
      <c r="C1299" s="8" t="str">
        <f t="shared" si="101"/>
        <v/>
      </c>
      <c r="D1299" s="8" t="str">
        <f t="shared" si="102"/>
        <v/>
      </c>
      <c r="F1299" s="4" t="str">
        <f>IF(Jugadores!B1299="","",Jugadores!B1299)</f>
        <v/>
      </c>
      <c r="G1299" s="4" t="str">
        <f>IF(Jugadores!B1299="","",Jugadores!A1299)</f>
        <v/>
      </c>
      <c r="H1299" s="4" t="str">
        <f>IF(F1299="","",SUMIF('Estadísticas Jugadores'!$F$2:$F$7001,F1299,'Estadísticas Jugadores'!$L$2:$L$7001))</f>
        <v/>
      </c>
      <c r="I1299" s="4" t="str">
        <f t="shared" si="103"/>
        <v/>
      </c>
      <c r="J1299" s="4" t="str">
        <f t="shared" si="104"/>
        <v/>
      </c>
    </row>
    <row r="1300" spans="1:10" ht="15" customHeight="1" x14ac:dyDescent="0.25">
      <c r="A1300" s="8" t="str">
        <f>IF(COUNT($J$2:$J$1501)&gt;=1299,1299,"")</f>
        <v/>
      </c>
      <c r="B1300" s="8" t="str">
        <f t="shared" si="100"/>
        <v/>
      </c>
      <c r="C1300" s="8" t="str">
        <f t="shared" si="101"/>
        <v/>
      </c>
      <c r="D1300" s="8" t="str">
        <f t="shared" si="102"/>
        <v/>
      </c>
      <c r="F1300" s="4" t="str">
        <f>IF(Jugadores!B1300="","",Jugadores!B1300)</f>
        <v/>
      </c>
      <c r="G1300" s="4" t="str">
        <f>IF(Jugadores!B1300="","",Jugadores!A1300)</f>
        <v/>
      </c>
      <c r="H1300" s="4" t="str">
        <f>IF(F1300="","",SUMIF('Estadísticas Jugadores'!$F$2:$F$7001,F1300,'Estadísticas Jugadores'!$L$2:$L$7001))</f>
        <v/>
      </c>
      <c r="I1300" s="4" t="str">
        <f t="shared" si="103"/>
        <v/>
      </c>
      <c r="J1300" s="4" t="str">
        <f t="shared" si="104"/>
        <v/>
      </c>
    </row>
    <row r="1301" spans="1:10" ht="15" customHeight="1" x14ac:dyDescent="0.25">
      <c r="A1301" s="8" t="str">
        <f>IF(COUNT($J$2:$J$1501)&gt;=1300,1300,"")</f>
        <v/>
      </c>
      <c r="B1301" s="8" t="str">
        <f t="shared" si="100"/>
        <v/>
      </c>
      <c r="C1301" s="8" t="str">
        <f t="shared" si="101"/>
        <v/>
      </c>
      <c r="D1301" s="8" t="str">
        <f t="shared" si="102"/>
        <v/>
      </c>
      <c r="F1301" s="4" t="str">
        <f>IF(Jugadores!B1301="","",Jugadores!B1301)</f>
        <v/>
      </c>
      <c r="G1301" s="4" t="str">
        <f>IF(Jugadores!B1301="","",Jugadores!A1301)</f>
        <v/>
      </c>
      <c r="H1301" s="4" t="str">
        <f>IF(F1301="","",SUMIF('Estadísticas Jugadores'!$F$2:$F$7001,F1301,'Estadísticas Jugadores'!$L$2:$L$7001))</f>
        <v/>
      </c>
      <c r="I1301" s="4" t="str">
        <f t="shared" si="103"/>
        <v/>
      </c>
      <c r="J1301" s="4" t="str">
        <f t="shared" si="104"/>
        <v/>
      </c>
    </row>
    <row r="1302" spans="1:10" ht="15" customHeight="1" x14ac:dyDescent="0.25">
      <c r="A1302" s="8" t="str">
        <f>IF(COUNT($J$2:$J$1501)&gt;=1301,1301,"")</f>
        <v/>
      </c>
      <c r="B1302" s="8" t="str">
        <f t="shared" si="100"/>
        <v/>
      </c>
      <c r="C1302" s="8" t="str">
        <f t="shared" si="101"/>
        <v/>
      </c>
      <c r="D1302" s="8" t="str">
        <f t="shared" si="102"/>
        <v/>
      </c>
      <c r="F1302" s="4" t="str">
        <f>IF(Jugadores!B1302="","",Jugadores!B1302)</f>
        <v/>
      </c>
      <c r="G1302" s="4" t="str">
        <f>IF(Jugadores!B1302="","",Jugadores!A1302)</f>
        <v/>
      </c>
      <c r="H1302" s="4" t="str">
        <f>IF(F1302="","",SUMIF('Estadísticas Jugadores'!$F$2:$F$7001,F1302,'Estadísticas Jugadores'!$L$2:$L$7001))</f>
        <v/>
      </c>
      <c r="I1302" s="4" t="str">
        <f t="shared" si="103"/>
        <v/>
      </c>
      <c r="J1302" s="4" t="str">
        <f t="shared" si="104"/>
        <v/>
      </c>
    </row>
    <row r="1303" spans="1:10" ht="15" customHeight="1" x14ac:dyDescent="0.25">
      <c r="A1303" s="8" t="str">
        <f>IF(COUNT($J$2:$J$1501)&gt;=1302,1302,"")</f>
        <v/>
      </c>
      <c r="B1303" s="8" t="str">
        <f t="shared" si="100"/>
        <v/>
      </c>
      <c r="C1303" s="8" t="str">
        <f t="shared" si="101"/>
        <v/>
      </c>
      <c r="D1303" s="8" t="str">
        <f t="shared" si="102"/>
        <v/>
      </c>
      <c r="F1303" s="4" t="str">
        <f>IF(Jugadores!B1303="","",Jugadores!B1303)</f>
        <v/>
      </c>
      <c r="G1303" s="4" t="str">
        <f>IF(Jugadores!B1303="","",Jugadores!A1303)</f>
        <v/>
      </c>
      <c r="H1303" s="4" t="str">
        <f>IF(F1303="","",SUMIF('Estadísticas Jugadores'!$F$2:$F$7001,F1303,'Estadísticas Jugadores'!$L$2:$L$7001))</f>
        <v/>
      </c>
      <c r="I1303" s="4" t="str">
        <f t="shared" si="103"/>
        <v/>
      </c>
      <c r="J1303" s="4" t="str">
        <f t="shared" si="104"/>
        <v/>
      </c>
    </row>
    <row r="1304" spans="1:10" ht="15" customHeight="1" x14ac:dyDescent="0.25">
      <c r="A1304" s="8" t="str">
        <f>IF(COUNT($J$2:$J$1501)&gt;=1303,1303,"")</f>
        <v/>
      </c>
      <c r="B1304" s="8" t="str">
        <f t="shared" si="100"/>
        <v/>
      </c>
      <c r="C1304" s="8" t="str">
        <f t="shared" si="101"/>
        <v/>
      </c>
      <c r="D1304" s="8" t="str">
        <f t="shared" si="102"/>
        <v/>
      </c>
      <c r="F1304" s="4" t="str">
        <f>IF(Jugadores!B1304="","",Jugadores!B1304)</f>
        <v/>
      </c>
      <c r="G1304" s="4" t="str">
        <f>IF(Jugadores!B1304="","",Jugadores!A1304)</f>
        <v/>
      </c>
      <c r="H1304" s="4" t="str">
        <f>IF(F1304="","",SUMIF('Estadísticas Jugadores'!$F$2:$F$7001,F1304,'Estadísticas Jugadores'!$L$2:$L$7001))</f>
        <v/>
      </c>
      <c r="I1304" s="4" t="str">
        <f t="shared" si="103"/>
        <v/>
      </c>
      <c r="J1304" s="4" t="str">
        <f t="shared" si="104"/>
        <v/>
      </c>
    </row>
    <row r="1305" spans="1:10" ht="15" customHeight="1" x14ac:dyDescent="0.25">
      <c r="A1305" s="8" t="str">
        <f>IF(COUNT($J$2:$J$1501)&gt;=1304,1304,"")</f>
        <v/>
      </c>
      <c r="B1305" s="8" t="str">
        <f t="shared" si="100"/>
        <v/>
      </c>
      <c r="C1305" s="8" t="str">
        <f t="shared" si="101"/>
        <v/>
      </c>
      <c r="D1305" s="8" t="str">
        <f t="shared" si="102"/>
        <v/>
      </c>
      <c r="F1305" s="4" t="str">
        <f>IF(Jugadores!B1305="","",Jugadores!B1305)</f>
        <v/>
      </c>
      <c r="G1305" s="4" t="str">
        <f>IF(Jugadores!B1305="","",Jugadores!A1305)</f>
        <v/>
      </c>
      <c r="H1305" s="4" t="str">
        <f>IF(F1305="","",SUMIF('Estadísticas Jugadores'!$F$2:$F$7001,F1305,'Estadísticas Jugadores'!$L$2:$L$7001))</f>
        <v/>
      </c>
      <c r="I1305" s="4" t="str">
        <f t="shared" si="103"/>
        <v/>
      </c>
      <c r="J1305" s="4" t="str">
        <f t="shared" si="104"/>
        <v/>
      </c>
    </row>
    <row r="1306" spans="1:10" ht="15" customHeight="1" x14ac:dyDescent="0.25">
      <c r="A1306" s="8" t="str">
        <f>IF(COUNT($J$2:$J$1501)&gt;=1305,1305,"")</f>
        <v/>
      </c>
      <c r="B1306" s="8" t="str">
        <f t="shared" si="100"/>
        <v/>
      </c>
      <c r="C1306" s="8" t="str">
        <f t="shared" si="101"/>
        <v/>
      </c>
      <c r="D1306" s="8" t="str">
        <f t="shared" si="102"/>
        <v/>
      </c>
      <c r="F1306" s="4" t="str">
        <f>IF(Jugadores!B1306="","",Jugadores!B1306)</f>
        <v/>
      </c>
      <c r="G1306" s="4" t="str">
        <f>IF(Jugadores!B1306="","",Jugadores!A1306)</f>
        <v/>
      </c>
      <c r="H1306" s="4" t="str">
        <f>IF(F1306="","",SUMIF('Estadísticas Jugadores'!$F$2:$F$7001,F1306,'Estadísticas Jugadores'!$L$2:$L$7001))</f>
        <v/>
      </c>
      <c r="I1306" s="4" t="str">
        <f t="shared" si="103"/>
        <v/>
      </c>
      <c r="J1306" s="4" t="str">
        <f t="shared" si="104"/>
        <v/>
      </c>
    </row>
    <row r="1307" spans="1:10" ht="15" customHeight="1" x14ac:dyDescent="0.25">
      <c r="A1307" s="8" t="str">
        <f>IF(COUNT($J$2:$J$1501)&gt;=1306,1306,"")</f>
        <v/>
      </c>
      <c r="B1307" s="8" t="str">
        <f t="shared" si="100"/>
        <v/>
      </c>
      <c r="C1307" s="8" t="str">
        <f t="shared" si="101"/>
        <v/>
      </c>
      <c r="D1307" s="8" t="str">
        <f t="shared" si="102"/>
        <v/>
      </c>
      <c r="F1307" s="4" t="str">
        <f>IF(Jugadores!B1307="","",Jugadores!B1307)</f>
        <v/>
      </c>
      <c r="G1307" s="4" t="str">
        <f>IF(Jugadores!B1307="","",Jugadores!A1307)</f>
        <v/>
      </c>
      <c r="H1307" s="4" t="str">
        <f>IF(F1307="","",SUMIF('Estadísticas Jugadores'!$F$2:$F$7001,F1307,'Estadísticas Jugadores'!$L$2:$L$7001))</f>
        <v/>
      </c>
      <c r="I1307" s="4" t="str">
        <f t="shared" si="103"/>
        <v/>
      </c>
      <c r="J1307" s="4" t="str">
        <f t="shared" si="104"/>
        <v/>
      </c>
    </row>
    <row r="1308" spans="1:10" ht="15" customHeight="1" x14ac:dyDescent="0.25">
      <c r="A1308" s="8" t="str">
        <f>IF(COUNT($J$2:$J$1501)&gt;=1307,1307,"")</f>
        <v/>
      </c>
      <c r="B1308" s="8" t="str">
        <f t="shared" si="100"/>
        <v/>
      </c>
      <c r="C1308" s="8" t="str">
        <f t="shared" si="101"/>
        <v/>
      </c>
      <c r="D1308" s="8" t="str">
        <f t="shared" si="102"/>
        <v/>
      </c>
      <c r="F1308" s="4" t="str">
        <f>IF(Jugadores!B1308="","",Jugadores!B1308)</f>
        <v/>
      </c>
      <c r="G1308" s="4" t="str">
        <f>IF(Jugadores!B1308="","",Jugadores!A1308)</f>
        <v/>
      </c>
      <c r="H1308" s="4" t="str">
        <f>IF(F1308="","",SUMIF('Estadísticas Jugadores'!$F$2:$F$7001,F1308,'Estadísticas Jugadores'!$L$2:$L$7001))</f>
        <v/>
      </c>
      <c r="I1308" s="4" t="str">
        <f t="shared" si="103"/>
        <v/>
      </c>
      <c r="J1308" s="4" t="str">
        <f t="shared" si="104"/>
        <v/>
      </c>
    </row>
    <row r="1309" spans="1:10" ht="15" customHeight="1" x14ac:dyDescent="0.25">
      <c r="A1309" s="8" t="str">
        <f>IF(COUNT($J$2:$J$1501)&gt;=1308,1308,"")</f>
        <v/>
      </c>
      <c r="B1309" s="8" t="str">
        <f t="shared" si="100"/>
        <v/>
      </c>
      <c r="C1309" s="8" t="str">
        <f t="shared" si="101"/>
        <v/>
      </c>
      <c r="D1309" s="8" t="str">
        <f t="shared" si="102"/>
        <v/>
      </c>
      <c r="F1309" s="4" t="str">
        <f>IF(Jugadores!B1309="","",Jugadores!B1309)</f>
        <v/>
      </c>
      <c r="G1309" s="4" t="str">
        <f>IF(Jugadores!B1309="","",Jugadores!A1309)</f>
        <v/>
      </c>
      <c r="H1309" s="4" t="str">
        <f>IF(F1309="","",SUMIF('Estadísticas Jugadores'!$F$2:$F$7001,F1309,'Estadísticas Jugadores'!$L$2:$L$7001))</f>
        <v/>
      </c>
      <c r="I1309" s="4" t="str">
        <f t="shared" si="103"/>
        <v/>
      </c>
      <c r="J1309" s="4" t="str">
        <f t="shared" si="104"/>
        <v/>
      </c>
    </row>
    <row r="1310" spans="1:10" ht="15" customHeight="1" x14ac:dyDescent="0.25">
      <c r="A1310" s="8" t="str">
        <f>IF(COUNT($J$2:$J$1501)&gt;=1309,1309,"")</f>
        <v/>
      </c>
      <c r="B1310" s="8" t="str">
        <f t="shared" si="100"/>
        <v/>
      </c>
      <c r="C1310" s="8" t="str">
        <f t="shared" si="101"/>
        <v/>
      </c>
      <c r="D1310" s="8" t="str">
        <f t="shared" si="102"/>
        <v/>
      </c>
      <c r="F1310" s="4" t="str">
        <f>IF(Jugadores!B1310="","",Jugadores!B1310)</f>
        <v/>
      </c>
      <c r="G1310" s="4" t="str">
        <f>IF(Jugadores!B1310="","",Jugadores!A1310)</f>
        <v/>
      </c>
      <c r="H1310" s="4" t="str">
        <f>IF(F1310="","",SUMIF('Estadísticas Jugadores'!$F$2:$F$7001,F1310,'Estadísticas Jugadores'!$L$2:$L$7001))</f>
        <v/>
      </c>
      <c r="I1310" s="4" t="str">
        <f t="shared" si="103"/>
        <v/>
      </c>
      <c r="J1310" s="4" t="str">
        <f t="shared" si="104"/>
        <v/>
      </c>
    </row>
    <row r="1311" spans="1:10" ht="15" customHeight="1" x14ac:dyDescent="0.25">
      <c r="A1311" s="8" t="str">
        <f>IF(COUNT($J$2:$J$1501)&gt;=1310,1310,"")</f>
        <v/>
      </c>
      <c r="B1311" s="8" t="str">
        <f t="shared" si="100"/>
        <v/>
      </c>
      <c r="C1311" s="8" t="str">
        <f t="shared" si="101"/>
        <v/>
      </c>
      <c r="D1311" s="8" t="str">
        <f t="shared" si="102"/>
        <v/>
      </c>
      <c r="F1311" s="4" t="str">
        <f>IF(Jugadores!B1311="","",Jugadores!B1311)</f>
        <v/>
      </c>
      <c r="G1311" s="4" t="str">
        <f>IF(Jugadores!B1311="","",Jugadores!A1311)</f>
        <v/>
      </c>
      <c r="H1311" s="4" t="str">
        <f>IF(F1311="","",SUMIF('Estadísticas Jugadores'!$F$2:$F$7001,F1311,'Estadísticas Jugadores'!$L$2:$L$7001))</f>
        <v/>
      </c>
      <c r="I1311" s="4" t="str">
        <f t="shared" si="103"/>
        <v/>
      </c>
      <c r="J1311" s="4" t="str">
        <f t="shared" si="104"/>
        <v/>
      </c>
    </row>
    <row r="1312" spans="1:10" ht="15" customHeight="1" x14ac:dyDescent="0.25">
      <c r="A1312" s="8" t="str">
        <f>IF(COUNT($J$2:$J$1501)&gt;=1311,1311,"")</f>
        <v/>
      </c>
      <c r="B1312" s="8" t="str">
        <f t="shared" si="100"/>
        <v/>
      </c>
      <c r="C1312" s="8" t="str">
        <f t="shared" si="101"/>
        <v/>
      </c>
      <c r="D1312" s="8" t="str">
        <f t="shared" si="102"/>
        <v/>
      </c>
      <c r="F1312" s="4" t="str">
        <f>IF(Jugadores!B1312="","",Jugadores!B1312)</f>
        <v/>
      </c>
      <c r="G1312" s="4" t="str">
        <f>IF(Jugadores!B1312="","",Jugadores!A1312)</f>
        <v/>
      </c>
      <c r="H1312" s="4" t="str">
        <f>IF(F1312="","",SUMIF('Estadísticas Jugadores'!$F$2:$F$7001,F1312,'Estadísticas Jugadores'!$L$2:$L$7001))</f>
        <v/>
      </c>
      <c r="I1312" s="4" t="str">
        <f t="shared" si="103"/>
        <v/>
      </c>
      <c r="J1312" s="4" t="str">
        <f t="shared" si="104"/>
        <v/>
      </c>
    </row>
    <row r="1313" spans="1:10" ht="15" customHeight="1" x14ac:dyDescent="0.25">
      <c r="A1313" s="8" t="str">
        <f>IF(COUNT($J$2:$J$1501)&gt;=1312,1312,"")</f>
        <v/>
      </c>
      <c r="B1313" s="8" t="str">
        <f t="shared" si="100"/>
        <v/>
      </c>
      <c r="C1313" s="8" t="str">
        <f t="shared" si="101"/>
        <v/>
      </c>
      <c r="D1313" s="8" t="str">
        <f t="shared" si="102"/>
        <v/>
      </c>
      <c r="F1313" s="4" t="str">
        <f>IF(Jugadores!B1313="","",Jugadores!B1313)</f>
        <v/>
      </c>
      <c r="G1313" s="4" t="str">
        <f>IF(Jugadores!B1313="","",Jugadores!A1313)</f>
        <v/>
      </c>
      <c r="H1313" s="4" t="str">
        <f>IF(F1313="","",SUMIF('Estadísticas Jugadores'!$F$2:$F$7001,F1313,'Estadísticas Jugadores'!$L$2:$L$7001))</f>
        <v/>
      </c>
      <c r="I1313" s="4" t="str">
        <f t="shared" si="103"/>
        <v/>
      </c>
      <c r="J1313" s="4" t="str">
        <f t="shared" si="104"/>
        <v/>
      </c>
    </row>
    <row r="1314" spans="1:10" ht="15" customHeight="1" x14ac:dyDescent="0.25">
      <c r="A1314" s="8" t="str">
        <f>IF(COUNT($J$2:$J$1501)&gt;=1313,1313,"")</f>
        <v/>
      </c>
      <c r="B1314" s="8" t="str">
        <f t="shared" si="100"/>
        <v/>
      </c>
      <c r="C1314" s="8" t="str">
        <f t="shared" si="101"/>
        <v/>
      </c>
      <c r="D1314" s="8" t="str">
        <f t="shared" si="102"/>
        <v/>
      </c>
      <c r="F1314" s="4" t="str">
        <f>IF(Jugadores!B1314="","",Jugadores!B1314)</f>
        <v/>
      </c>
      <c r="G1314" s="4" t="str">
        <f>IF(Jugadores!B1314="","",Jugadores!A1314)</f>
        <v/>
      </c>
      <c r="H1314" s="4" t="str">
        <f>IF(F1314="","",SUMIF('Estadísticas Jugadores'!$F$2:$F$7001,F1314,'Estadísticas Jugadores'!$L$2:$L$7001))</f>
        <v/>
      </c>
      <c r="I1314" s="4" t="str">
        <f t="shared" si="103"/>
        <v/>
      </c>
      <c r="J1314" s="4" t="str">
        <f t="shared" si="104"/>
        <v/>
      </c>
    </row>
    <row r="1315" spans="1:10" ht="15" customHeight="1" x14ac:dyDescent="0.25">
      <c r="A1315" s="8" t="str">
        <f>IF(COUNT($J$2:$J$1501)&gt;=1314,1314,"")</f>
        <v/>
      </c>
      <c r="B1315" s="8" t="str">
        <f t="shared" si="100"/>
        <v/>
      </c>
      <c r="C1315" s="8" t="str">
        <f t="shared" si="101"/>
        <v/>
      </c>
      <c r="D1315" s="8" t="str">
        <f t="shared" si="102"/>
        <v/>
      </c>
      <c r="F1315" s="4" t="str">
        <f>IF(Jugadores!B1315="","",Jugadores!B1315)</f>
        <v/>
      </c>
      <c r="G1315" s="4" t="str">
        <f>IF(Jugadores!B1315="","",Jugadores!A1315)</f>
        <v/>
      </c>
      <c r="H1315" s="4" t="str">
        <f>IF(F1315="","",SUMIF('Estadísticas Jugadores'!$F$2:$F$7001,F1315,'Estadísticas Jugadores'!$L$2:$L$7001))</f>
        <v/>
      </c>
      <c r="I1315" s="4" t="str">
        <f t="shared" si="103"/>
        <v/>
      </c>
      <c r="J1315" s="4" t="str">
        <f t="shared" si="104"/>
        <v/>
      </c>
    </row>
    <row r="1316" spans="1:10" ht="15" customHeight="1" x14ac:dyDescent="0.25">
      <c r="A1316" s="8" t="str">
        <f>IF(COUNT($J$2:$J$1501)&gt;=1315,1315,"")</f>
        <v/>
      </c>
      <c r="B1316" s="8" t="str">
        <f t="shared" si="100"/>
        <v/>
      </c>
      <c r="C1316" s="8" t="str">
        <f t="shared" si="101"/>
        <v/>
      </c>
      <c r="D1316" s="8" t="str">
        <f t="shared" si="102"/>
        <v/>
      </c>
      <c r="F1316" s="4" t="str">
        <f>IF(Jugadores!B1316="","",Jugadores!B1316)</f>
        <v/>
      </c>
      <c r="G1316" s="4" t="str">
        <f>IF(Jugadores!B1316="","",Jugadores!A1316)</f>
        <v/>
      </c>
      <c r="H1316" s="4" t="str">
        <f>IF(F1316="","",SUMIF('Estadísticas Jugadores'!$F$2:$F$7001,F1316,'Estadísticas Jugadores'!$L$2:$L$7001))</f>
        <v/>
      </c>
      <c r="I1316" s="4" t="str">
        <f t="shared" si="103"/>
        <v/>
      </c>
      <c r="J1316" s="4" t="str">
        <f t="shared" si="104"/>
        <v/>
      </c>
    </row>
    <row r="1317" spans="1:10" ht="15" customHeight="1" x14ac:dyDescent="0.25">
      <c r="A1317" s="8" t="str">
        <f>IF(COUNT($J$2:$J$1501)&gt;=1316,1316,"")</f>
        <v/>
      </c>
      <c r="B1317" s="8" t="str">
        <f t="shared" si="100"/>
        <v/>
      </c>
      <c r="C1317" s="8" t="str">
        <f t="shared" si="101"/>
        <v/>
      </c>
      <c r="D1317" s="8" t="str">
        <f t="shared" si="102"/>
        <v/>
      </c>
      <c r="F1317" s="4" t="str">
        <f>IF(Jugadores!B1317="","",Jugadores!B1317)</f>
        <v/>
      </c>
      <c r="G1317" s="4" t="str">
        <f>IF(Jugadores!B1317="","",Jugadores!A1317)</f>
        <v/>
      </c>
      <c r="H1317" s="4" t="str">
        <f>IF(F1317="","",SUMIF('Estadísticas Jugadores'!$F$2:$F$7001,F1317,'Estadísticas Jugadores'!$L$2:$L$7001))</f>
        <v/>
      </c>
      <c r="I1317" s="4" t="str">
        <f t="shared" si="103"/>
        <v/>
      </c>
      <c r="J1317" s="4" t="str">
        <f t="shared" si="104"/>
        <v/>
      </c>
    </row>
    <row r="1318" spans="1:10" ht="15" customHeight="1" x14ac:dyDescent="0.25">
      <c r="A1318" s="8" t="str">
        <f>IF(COUNT($J$2:$J$1501)&gt;=1317,1317,"")</f>
        <v/>
      </c>
      <c r="B1318" s="8" t="str">
        <f t="shared" si="100"/>
        <v/>
      </c>
      <c r="C1318" s="8" t="str">
        <f t="shared" si="101"/>
        <v/>
      </c>
      <c r="D1318" s="8" t="str">
        <f t="shared" si="102"/>
        <v/>
      </c>
      <c r="F1318" s="4" t="str">
        <f>IF(Jugadores!B1318="","",Jugadores!B1318)</f>
        <v/>
      </c>
      <c r="G1318" s="4" t="str">
        <f>IF(Jugadores!B1318="","",Jugadores!A1318)</f>
        <v/>
      </c>
      <c r="H1318" s="4" t="str">
        <f>IF(F1318="","",SUMIF('Estadísticas Jugadores'!$F$2:$F$7001,F1318,'Estadísticas Jugadores'!$L$2:$L$7001))</f>
        <v/>
      </c>
      <c r="I1318" s="4" t="str">
        <f t="shared" si="103"/>
        <v/>
      </c>
      <c r="J1318" s="4" t="str">
        <f t="shared" si="104"/>
        <v/>
      </c>
    </row>
    <row r="1319" spans="1:10" ht="15" customHeight="1" x14ac:dyDescent="0.25">
      <c r="A1319" s="8" t="str">
        <f>IF(COUNT($J$2:$J$1501)&gt;=1318,1318,"")</f>
        <v/>
      </c>
      <c r="B1319" s="8" t="str">
        <f t="shared" si="100"/>
        <v/>
      </c>
      <c r="C1319" s="8" t="str">
        <f t="shared" si="101"/>
        <v/>
      </c>
      <c r="D1319" s="8" t="str">
        <f t="shared" si="102"/>
        <v/>
      </c>
      <c r="F1319" s="4" t="str">
        <f>IF(Jugadores!B1319="","",Jugadores!B1319)</f>
        <v/>
      </c>
      <c r="G1319" s="4" t="str">
        <f>IF(Jugadores!B1319="","",Jugadores!A1319)</f>
        <v/>
      </c>
      <c r="H1319" s="4" t="str">
        <f>IF(F1319="","",SUMIF('Estadísticas Jugadores'!$F$2:$F$7001,F1319,'Estadísticas Jugadores'!$L$2:$L$7001))</f>
        <v/>
      </c>
      <c r="I1319" s="4" t="str">
        <f t="shared" si="103"/>
        <v/>
      </c>
      <c r="J1319" s="4" t="str">
        <f t="shared" si="104"/>
        <v/>
      </c>
    </row>
    <row r="1320" spans="1:10" ht="15" customHeight="1" x14ac:dyDescent="0.25">
      <c r="A1320" s="8" t="str">
        <f>IF(COUNT($J$2:$J$1501)&gt;=1319,1319,"")</f>
        <v/>
      </c>
      <c r="B1320" s="8" t="str">
        <f t="shared" si="100"/>
        <v/>
      </c>
      <c r="C1320" s="8" t="str">
        <f t="shared" si="101"/>
        <v/>
      </c>
      <c r="D1320" s="8" t="str">
        <f t="shared" si="102"/>
        <v/>
      </c>
      <c r="F1320" s="4" t="str">
        <f>IF(Jugadores!B1320="","",Jugadores!B1320)</f>
        <v/>
      </c>
      <c r="G1320" s="4" t="str">
        <f>IF(Jugadores!B1320="","",Jugadores!A1320)</f>
        <v/>
      </c>
      <c r="H1320" s="4" t="str">
        <f>IF(F1320="","",SUMIF('Estadísticas Jugadores'!$F$2:$F$7001,F1320,'Estadísticas Jugadores'!$L$2:$L$7001))</f>
        <v/>
      </c>
      <c r="I1320" s="4" t="str">
        <f t="shared" si="103"/>
        <v/>
      </c>
      <c r="J1320" s="4" t="str">
        <f t="shared" si="104"/>
        <v/>
      </c>
    </row>
    <row r="1321" spans="1:10" ht="15" customHeight="1" x14ac:dyDescent="0.25">
      <c r="A1321" s="8" t="str">
        <f>IF(COUNT($J$2:$J$1501)&gt;=1320,1320,"")</f>
        <v/>
      </c>
      <c r="B1321" s="8" t="str">
        <f t="shared" si="100"/>
        <v/>
      </c>
      <c r="C1321" s="8" t="str">
        <f t="shared" si="101"/>
        <v/>
      </c>
      <c r="D1321" s="8" t="str">
        <f t="shared" si="102"/>
        <v/>
      </c>
      <c r="F1321" s="4" t="str">
        <f>IF(Jugadores!B1321="","",Jugadores!B1321)</f>
        <v/>
      </c>
      <c r="G1321" s="4" t="str">
        <f>IF(Jugadores!B1321="","",Jugadores!A1321)</f>
        <v/>
      </c>
      <c r="H1321" s="4" t="str">
        <f>IF(F1321="","",SUMIF('Estadísticas Jugadores'!$F$2:$F$7001,F1321,'Estadísticas Jugadores'!$L$2:$L$7001))</f>
        <v/>
      </c>
      <c r="I1321" s="4" t="str">
        <f t="shared" si="103"/>
        <v/>
      </c>
      <c r="J1321" s="4" t="str">
        <f t="shared" si="104"/>
        <v/>
      </c>
    </row>
    <row r="1322" spans="1:10" ht="15" customHeight="1" x14ac:dyDescent="0.25">
      <c r="A1322" s="8" t="str">
        <f>IF(COUNT($J$2:$J$1501)&gt;=1321,1321,"")</f>
        <v/>
      </c>
      <c r="B1322" s="8" t="str">
        <f t="shared" si="100"/>
        <v/>
      </c>
      <c r="C1322" s="8" t="str">
        <f t="shared" si="101"/>
        <v/>
      </c>
      <c r="D1322" s="8" t="str">
        <f t="shared" si="102"/>
        <v/>
      </c>
      <c r="F1322" s="4" t="str">
        <f>IF(Jugadores!B1322="","",Jugadores!B1322)</f>
        <v/>
      </c>
      <c r="G1322" s="4" t="str">
        <f>IF(Jugadores!B1322="","",Jugadores!A1322)</f>
        <v/>
      </c>
      <c r="H1322" s="4" t="str">
        <f>IF(F1322="","",SUMIF('Estadísticas Jugadores'!$F$2:$F$7001,F1322,'Estadísticas Jugadores'!$L$2:$L$7001))</f>
        <v/>
      </c>
      <c r="I1322" s="4" t="str">
        <f t="shared" si="103"/>
        <v/>
      </c>
      <c r="J1322" s="4" t="str">
        <f t="shared" si="104"/>
        <v/>
      </c>
    </row>
    <row r="1323" spans="1:10" ht="15" customHeight="1" x14ac:dyDescent="0.25">
      <c r="A1323" s="8" t="str">
        <f>IF(COUNT($J$2:$J$1501)&gt;=1322,1322,"")</f>
        <v/>
      </c>
      <c r="B1323" s="8" t="str">
        <f t="shared" si="100"/>
        <v/>
      </c>
      <c r="C1323" s="8" t="str">
        <f t="shared" si="101"/>
        <v/>
      </c>
      <c r="D1323" s="8" t="str">
        <f t="shared" si="102"/>
        <v/>
      </c>
      <c r="F1323" s="4" t="str">
        <f>IF(Jugadores!B1323="","",Jugadores!B1323)</f>
        <v/>
      </c>
      <c r="G1323" s="4" t="str">
        <f>IF(Jugadores!B1323="","",Jugadores!A1323)</f>
        <v/>
      </c>
      <c r="H1323" s="4" t="str">
        <f>IF(F1323="","",SUMIF('Estadísticas Jugadores'!$F$2:$F$7001,F1323,'Estadísticas Jugadores'!$L$2:$L$7001))</f>
        <v/>
      </c>
      <c r="I1323" s="4" t="str">
        <f t="shared" si="103"/>
        <v/>
      </c>
      <c r="J1323" s="4" t="str">
        <f t="shared" si="104"/>
        <v/>
      </c>
    </row>
    <row r="1324" spans="1:10" ht="15" customHeight="1" x14ac:dyDescent="0.25">
      <c r="A1324" s="8" t="str">
        <f>IF(COUNT($J$2:$J$1501)&gt;=1323,1323,"")</f>
        <v/>
      </c>
      <c r="B1324" s="8" t="str">
        <f t="shared" si="100"/>
        <v/>
      </c>
      <c r="C1324" s="8" t="str">
        <f t="shared" si="101"/>
        <v/>
      </c>
      <c r="D1324" s="8" t="str">
        <f t="shared" si="102"/>
        <v/>
      </c>
      <c r="F1324" s="4" t="str">
        <f>IF(Jugadores!B1324="","",Jugadores!B1324)</f>
        <v/>
      </c>
      <c r="G1324" s="4" t="str">
        <f>IF(Jugadores!B1324="","",Jugadores!A1324)</f>
        <v/>
      </c>
      <c r="H1324" s="4" t="str">
        <f>IF(F1324="","",SUMIF('Estadísticas Jugadores'!$F$2:$F$7001,F1324,'Estadísticas Jugadores'!$L$2:$L$7001))</f>
        <v/>
      </c>
      <c r="I1324" s="4" t="str">
        <f t="shared" si="103"/>
        <v/>
      </c>
      <c r="J1324" s="4" t="str">
        <f t="shared" si="104"/>
        <v/>
      </c>
    </row>
    <row r="1325" spans="1:10" ht="15" customHeight="1" x14ac:dyDescent="0.25">
      <c r="A1325" s="8" t="str">
        <f>IF(COUNT($J$2:$J$1501)&gt;=1324,1324,"")</f>
        <v/>
      </c>
      <c r="B1325" s="8" t="str">
        <f t="shared" si="100"/>
        <v/>
      </c>
      <c r="C1325" s="8" t="str">
        <f t="shared" si="101"/>
        <v/>
      </c>
      <c r="D1325" s="8" t="str">
        <f t="shared" si="102"/>
        <v/>
      </c>
      <c r="F1325" s="4" t="str">
        <f>IF(Jugadores!B1325="","",Jugadores!B1325)</f>
        <v/>
      </c>
      <c r="G1325" s="4" t="str">
        <f>IF(Jugadores!B1325="","",Jugadores!A1325)</f>
        <v/>
      </c>
      <c r="H1325" s="4" t="str">
        <f>IF(F1325="","",SUMIF('Estadísticas Jugadores'!$F$2:$F$7001,F1325,'Estadísticas Jugadores'!$L$2:$L$7001))</f>
        <v/>
      </c>
      <c r="I1325" s="4" t="str">
        <f t="shared" si="103"/>
        <v/>
      </c>
      <c r="J1325" s="4" t="str">
        <f t="shared" si="104"/>
        <v/>
      </c>
    </row>
    <row r="1326" spans="1:10" ht="15" customHeight="1" x14ac:dyDescent="0.25">
      <c r="A1326" s="8" t="str">
        <f>IF(COUNT($J$2:$J$1501)&gt;=1325,1325,"")</f>
        <v/>
      </c>
      <c r="B1326" s="8" t="str">
        <f t="shared" si="100"/>
        <v/>
      </c>
      <c r="C1326" s="8" t="str">
        <f t="shared" si="101"/>
        <v/>
      </c>
      <c r="D1326" s="8" t="str">
        <f t="shared" si="102"/>
        <v/>
      </c>
      <c r="F1326" s="4" t="str">
        <f>IF(Jugadores!B1326="","",Jugadores!B1326)</f>
        <v/>
      </c>
      <c r="G1326" s="4" t="str">
        <f>IF(Jugadores!B1326="","",Jugadores!A1326)</f>
        <v/>
      </c>
      <c r="H1326" s="4" t="str">
        <f>IF(F1326="","",SUMIF('Estadísticas Jugadores'!$F$2:$F$7001,F1326,'Estadísticas Jugadores'!$L$2:$L$7001))</f>
        <v/>
      </c>
      <c r="I1326" s="4" t="str">
        <f t="shared" si="103"/>
        <v/>
      </c>
      <c r="J1326" s="4" t="str">
        <f t="shared" si="104"/>
        <v/>
      </c>
    </row>
    <row r="1327" spans="1:10" ht="15" customHeight="1" x14ac:dyDescent="0.25">
      <c r="A1327" s="8" t="str">
        <f>IF(COUNT($J$2:$J$1501)&gt;=1326,1326,"")</f>
        <v/>
      </c>
      <c r="B1327" s="8" t="str">
        <f t="shared" si="100"/>
        <v/>
      </c>
      <c r="C1327" s="8" t="str">
        <f t="shared" si="101"/>
        <v/>
      </c>
      <c r="D1327" s="8" t="str">
        <f t="shared" si="102"/>
        <v/>
      </c>
      <c r="F1327" s="4" t="str">
        <f>IF(Jugadores!B1327="","",Jugadores!B1327)</f>
        <v/>
      </c>
      <c r="G1327" s="4" t="str">
        <f>IF(Jugadores!B1327="","",Jugadores!A1327)</f>
        <v/>
      </c>
      <c r="H1327" s="4" t="str">
        <f>IF(F1327="","",SUMIF('Estadísticas Jugadores'!$F$2:$F$7001,F1327,'Estadísticas Jugadores'!$L$2:$L$7001))</f>
        <v/>
      </c>
      <c r="I1327" s="4" t="str">
        <f t="shared" si="103"/>
        <v/>
      </c>
      <c r="J1327" s="4" t="str">
        <f t="shared" si="104"/>
        <v/>
      </c>
    </row>
    <row r="1328" spans="1:10" ht="15" customHeight="1" x14ac:dyDescent="0.25">
      <c r="A1328" s="8" t="str">
        <f>IF(COUNT($J$2:$J$1501)&gt;=1327,1327,"")</f>
        <v/>
      </c>
      <c r="B1328" s="8" t="str">
        <f t="shared" si="100"/>
        <v/>
      </c>
      <c r="C1328" s="8" t="str">
        <f t="shared" si="101"/>
        <v/>
      </c>
      <c r="D1328" s="8" t="str">
        <f t="shared" si="102"/>
        <v/>
      </c>
      <c r="F1328" s="4" t="str">
        <f>IF(Jugadores!B1328="","",Jugadores!B1328)</f>
        <v/>
      </c>
      <c r="G1328" s="4" t="str">
        <f>IF(Jugadores!B1328="","",Jugadores!A1328)</f>
        <v/>
      </c>
      <c r="H1328" s="4" t="str">
        <f>IF(F1328="","",SUMIF('Estadísticas Jugadores'!$F$2:$F$7001,F1328,'Estadísticas Jugadores'!$L$2:$L$7001))</f>
        <v/>
      </c>
      <c r="I1328" s="4" t="str">
        <f t="shared" si="103"/>
        <v/>
      </c>
      <c r="J1328" s="4" t="str">
        <f t="shared" si="104"/>
        <v/>
      </c>
    </row>
    <row r="1329" spans="1:10" ht="15" customHeight="1" x14ac:dyDescent="0.25">
      <c r="A1329" s="8" t="str">
        <f>IF(COUNT($J$2:$J$1501)&gt;=1328,1328,"")</f>
        <v/>
      </c>
      <c r="B1329" s="8" t="str">
        <f t="shared" si="100"/>
        <v/>
      </c>
      <c r="C1329" s="8" t="str">
        <f t="shared" si="101"/>
        <v/>
      </c>
      <c r="D1329" s="8" t="str">
        <f t="shared" si="102"/>
        <v/>
      </c>
      <c r="F1329" s="4" t="str">
        <f>IF(Jugadores!B1329="","",Jugadores!B1329)</f>
        <v/>
      </c>
      <c r="G1329" s="4" t="str">
        <f>IF(Jugadores!B1329="","",Jugadores!A1329)</f>
        <v/>
      </c>
      <c r="H1329" s="4" t="str">
        <f>IF(F1329="","",SUMIF('Estadísticas Jugadores'!$F$2:$F$7001,F1329,'Estadísticas Jugadores'!$L$2:$L$7001))</f>
        <v/>
      </c>
      <c r="I1329" s="4" t="str">
        <f t="shared" si="103"/>
        <v/>
      </c>
      <c r="J1329" s="4" t="str">
        <f t="shared" si="104"/>
        <v/>
      </c>
    </row>
    <row r="1330" spans="1:10" ht="15" customHeight="1" x14ac:dyDescent="0.25">
      <c r="A1330" s="8" t="str">
        <f>IF(COUNT($J$2:$J$1501)&gt;=1329,1329,"")</f>
        <v/>
      </c>
      <c r="B1330" s="8" t="str">
        <f t="shared" si="100"/>
        <v/>
      </c>
      <c r="C1330" s="8" t="str">
        <f t="shared" si="101"/>
        <v/>
      </c>
      <c r="D1330" s="8" t="str">
        <f t="shared" si="102"/>
        <v/>
      </c>
      <c r="F1330" s="4" t="str">
        <f>IF(Jugadores!B1330="","",Jugadores!B1330)</f>
        <v/>
      </c>
      <c r="G1330" s="4" t="str">
        <f>IF(Jugadores!B1330="","",Jugadores!A1330)</f>
        <v/>
      </c>
      <c r="H1330" s="4" t="str">
        <f>IF(F1330="","",SUMIF('Estadísticas Jugadores'!$F$2:$F$7001,F1330,'Estadísticas Jugadores'!$L$2:$L$7001))</f>
        <v/>
      </c>
      <c r="I1330" s="4" t="str">
        <f t="shared" si="103"/>
        <v/>
      </c>
      <c r="J1330" s="4" t="str">
        <f t="shared" si="104"/>
        <v/>
      </c>
    </row>
    <row r="1331" spans="1:10" ht="15" customHeight="1" x14ac:dyDescent="0.25">
      <c r="A1331" s="8" t="str">
        <f>IF(COUNT($J$2:$J$1501)&gt;=1330,1330,"")</f>
        <v/>
      </c>
      <c r="B1331" s="8" t="str">
        <f t="shared" si="100"/>
        <v/>
      </c>
      <c r="C1331" s="8" t="str">
        <f t="shared" si="101"/>
        <v/>
      </c>
      <c r="D1331" s="8" t="str">
        <f t="shared" si="102"/>
        <v/>
      </c>
      <c r="F1331" s="4" t="str">
        <f>IF(Jugadores!B1331="","",Jugadores!B1331)</f>
        <v/>
      </c>
      <c r="G1331" s="4" t="str">
        <f>IF(Jugadores!B1331="","",Jugadores!A1331)</f>
        <v/>
      </c>
      <c r="H1331" s="4" t="str">
        <f>IF(F1331="","",SUMIF('Estadísticas Jugadores'!$F$2:$F$7001,F1331,'Estadísticas Jugadores'!$L$2:$L$7001))</f>
        <v/>
      </c>
      <c r="I1331" s="4" t="str">
        <f t="shared" si="103"/>
        <v/>
      </c>
      <c r="J1331" s="4" t="str">
        <f t="shared" si="104"/>
        <v/>
      </c>
    </row>
    <row r="1332" spans="1:10" ht="15" customHeight="1" x14ac:dyDescent="0.25">
      <c r="A1332" s="8" t="str">
        <f>IF(COUNT($J$2:$J$1501)&gt;=1331,1331,"")</f>
        <v/>
      </c>
      <c r="B1332" s="8" t="str">
        <f t="shared" si="100"/>
        <v/>
      </c>
      <c r="C1332" s="8" t="str">
        <f t="shared" si="101"/>
        <v/>
      </c>
      <c r="D1332" s="8" t="str">
        <f t="shared" si="102"/>
        <v/>
      </c>
      <c r="F1332" s="4" t="str">
        <f>IF(Jugadores!B1332="","",Jugadores!B1332)</f>
        <v/>
      </c>
      <c r="G1332" s="4" t="str">
        <f>IF(Jugadores!B1332="","",Jugadores!A1332)</f>
        <v/>
      </c>
      <c r="H1332" s="4" t="str">
        <f>IF(F1332="","",SUMIF('Estadísticas Jugadores'!$F$2:$F$7001,F1332,'Estadísticas Jugadores'!$L$2:$L$7001))</f>
        <v/>
      </c>
      <c r="I1332" s="4" t="str">
        <f t="shared" si="103"/>
        <v/>
      </c>
      <c r="J1332" s="4" t="str">
        <f t="shared" si="104"/>
        <v/>
      </c>
    </row>
    <row r="1333" spans="1:10" ht="15" customHeight="1" x14ac:dyDescent="0.25">
      <c r="A1333" s="8" t="str">
        <f>IF(COUNT($J$2:$J$1501)&gt;=1332,1332,"")</f>
        <v/>
      </c>
      <c r="B1333" s="8" t="str">
        <f t="shared" si="100"/>
        <v/>
      </c>
      <c r="C1333" s="8" t="str">
        <f t="shared" si="101"/>
        <v/>
      </c>
      <c r="D1333" s="8" t="str">
        <f t="shared" si="102"/>
        <v/>
      </c>
      <c r="F1333" s="4" t="str">
        <f>IF(Jugadores!B1333="","",Jugadores!B1333)</f>
        <v/>
      </c>
      <c r="G1333" s="4" t="str">
        <f>IF(Jugadores!B1333="","",Jugadores!A1333)</f>
        <v/>
      </c>
      <c r="H1333" s="4" t="str">
        <f>IF(F1333="","",SUMIF('Estadísticas Jugadores'!$F$2:$F$7001,F1333,'Estadísticas Jugadores'!$L$2:$L$7001))</f>
        <v/>
      </c>
      <c r="I1333" s="4" t="str">
        <f t="shared" si="103"/>
        <v/>
      </c>
      <c r="J1333" s="4" t="str">
        <f t="shared" si="104"/>
        <v/>
      </c>
    </row>
    <row r="1334" spans="1:10" ht="15" customHeight="1" x14ac:dyDescent="0.25">
      <c r="A1334" s="8" t="str">
        <f>IF(COUNT($J$2:$J$1501)&gt;=1333,1333,"")</f>
        <v/>
      </c>
      <c r="B1334" s="8" t="str">
        <f t="shared" si="100"/>
        <v/>
      </c>
      <c r="C1334" s="8" t="str">
        <f t="shared" si="101"/>
        <v/>
      </c>
      <c r="D1334" s="8" t="str">
        <f t="shared" si="102"/>
        <v/>
      </c>
      <c r="F1334" s="4" t="str">
        <f>IF(Jugadores!B1334="","",Jugadores!B1334)</f>
        <v/>
      </c>
      <c r="G1334" s="4" t="str">
        <f>IF(Jugadores!B1334="","",Jugadores!A1334)</f>
        <v/>
      </c>
      <c r="H1334" s="4" t="str">
        <f>IF(F1334="","",SUMIF('Estadísticas Jugadores'!$F$2:$F$7001,F1334,'Estadísticas Jugadores'!$L$2:$L$7001))</f>
        <v/>
      </c>
      <c r="I1334" s="4" t="str">
        <f t="shared" si="103"/>
        <v/>
      </c>
      <c r="J1334" s="4" t="str">
        <f t="shared" si="104"/>
        <v/>
      </c>
    </row>
    <row r="1335" spans="1:10" ht="15" customHeight="1" x14ac:dyDescent="0.25">
      <c r="A1335" s="8" t="str">
        <f>IF(COUNT($J$2:$J$1501)&gt;=1334,1334,"")</f>
        <v/>
      </c>
      <c r="B1335" s="8" t="str">
        <f t="shared" si="100"/>
        <v/>
      </c>
      <c r="C1335" s="8" t="str">
        <f t="shared" si="101"/>
        <v/>
      </c>
      <c r="D1335" s="8" t="str">
        <f t="shared" si="102"/>
        <v/>
      </c>
      <c r="F1335" s="4" t="str">
        <f>IF(Jugadores!B1335="","",Jugadores!B1335)</f>
        <v/>
      </c>
      <c r="G1335" s="4" t="str">
        <f>IF(Jugadores!B1335="","",Jugadores!A1335)</f>
        <v/>
      </c>
      <c r="H1335" s="4" t="str">
        <f>IF(F1335="","",SUMIF('Estadísticas Jugadores'!$F$2:$F$7001,F1335,'Estadísticas Jugadores'!$L$2:$L$7001))</f>
        <v/>
      </c>
      <c r="I1335" s="4" t="str">
        <f t="shared" si="103"/>
        <v/>
      </c>
      <c r="J1335" s="4" t="str">
        <f t="shared" si="104"/>
        <v/>
      </c>
    </row>
    <row r="1336" spans="1:10" ht="15" customHeight="1" x14ac:dyDescent="0.25">
      <c r="A1336" s="8" t="str">
        <f>IF(COUNT($J$2:$J$1501)&gt;=1335,1335,"")</f>
        <v/>
      </c>
      <c r="B1336" s="8" t="str">
        <f t="shared" si="100"/>
        <v/>
      </c>
      <c r="C1336" s="8" t="str">
        <f t="shared" si="101"/>
        <v/>
      </c>
      <c r="D1336" s="8" t="str">
        <f t="shared" si="102"/>
        <v/>
      </c>
      <c r="F1336" s="4" t="str">
        <f>IF(Jugadores!B1336="","",Jugadores!B1336)</f>
        <v/>
      </c>
      <c r="G1336" s="4" t="str">
        <f>IF(Jugadores!B1336="","",Jugadores!A1336)</f>
        <v/>
      </c>
      <c r="H1336" s="4" t="str">
        <f>IF(F1336="","",SUMIF('Estadísticas Jugadores'!$F$2:$F$7001,F1336,'Estadísticas Jugadores'!$L$2:$L$7001))</f>
        <v/>
      </c>
      <c r="I1336" s="4" t="str">
        <f t="shared" si="103"/>
        <v/>
      </c>
      <c r="J1336" s="4" t="str">
        <f t="shared" si="104"/>
        <v/>
      </c>
    </row>
    <row r="1337" spans="1:10" ht="15" customHeight="1" x14ac:dyDescent="0.25">
      <c r="A1337" s="8" t="str">
        <f>IF(COUNT($J$2:$J$1501)&gt;=1336,1336,"")</f>
        <v/>
      </c>
      <c r="B1337" s="8" t="str">
        <f t="shared" si="100"/>
        <v/>
      </c>
      <c r="C1337" s="8" t="str">
        <f t="shared" si="101"/>
        <v/>
      </c>
      <c r="D1337" s="8" t="str">
        <f t="shared" si="102"/>
        <v/>
      </c>
      <c r="F1337" s="4" t="str">
        <f>IF(Jugadores!B1337="","",Jugadores!B1337)</f>
        <v/>
      </c>
      <c r="G1337" s="4" t="str">
        <f>IF(Jugadores!B1337="","",Jugadores!A1337)</f>
        <v/>
      </c>
      <c r="H1337" s="4" t="str">
        <f>IF(F1337="","",SUMIF('Estadísticas Jugadores'!$F$2:$F$7001,F1337,'Estadísticas Jugadores'!$L$2:$L$7001))</f>
        <v/>
      </c>
      <c r="I1337" s="4" t="str">
        <f t="shared" si="103"/>
        <v/>
      </c>
      <c r="J1337" s="4" t="str">
        <f t="shared" si="104"/>
        <v/>
      </c>
    </row>
    <row r="1338" spans="1:10" ht="15" customHeight="1" x14ac:dyDescent="0.25">
      <c r="A1338" s="8" t="str">
        <f>IF(COUNT($J$2:$J$1501)&gt;=1337,1337,"")</f>
        <v/>
      </c>
      <c r="B1338" s="8" t="str">
        <f t="shared" si="100"/>
        <v/>
      </c>
      <c r="C1338" s="8" t="str">
        <f t="shared" si="101"/>
        <v/>
      </c>
      <c r="D1338" s="8" t="str">
        <f t="shared" si="102"/>
        <v/>
      </c>
      <c r="F1338" s="4" t="str">
        <f>IF(Jugadores!B1338="","",Jugadores!B1338)</f>
        <v/>
      </c>
      <c r="G1338" s="4" t="str">
        <f>IF(Jugadores!B1338="","",Jugadores!A1338)</f>
        <v/>
      </c>
      <c r="H1338" s="4" t="str">
        <f>IF(F1338="","",SUMIF('Estadísticas Jugadores'!$F$2:$F$7001,F1338,'Estadísticas Jugadores'!$L$2:$L$7001))</f>
        <v/>
      </c>
      <c r="I1338" s="4" t="str">
        <f t="shared" si="103"/>
        <v/>
      </c>
      <c r="J1338" s="4" t="str">
        <f t="shared" si="104"/>
        <v/>
      </c>
    </row>
    <row r="1339" spans="1:10" ht="15" customHeight="1" x14ac:dyDescent="0.25">
      <c r="A1339" s="8" t="str">
        <f>IF(COUNT($J$2:$J$1501)&gt;=1338,1338,"")</f>
        <v/>
      </c>
      <c r="B1339" s="8" t="str">
        <f t="shared" si="100"/>
        <v/>
      </c>
      <c r="C1339" s="8" t="str">
        <f t="shared" si="101"/>
        <v/>
      </c>
      <c r="D1339" s="8" t="str">
        <f t="shared" si="102"/>
        <v/>
      </c>
      <c r="F1339" s="4" t="str">
        <f>IF(Jugadores!B1339="","",Jugadores!B1339)</f>
        <v/>
      </c>
      <c r="G1339" s="4" t="str">
        <f>IF(Jugadores!B1339="","",Jugadores!A1339)</f>
        <v/>
      </c>
      <c r="H1339" s="4" t="str">
        <f>IF(F1339="","",SUMIF('Estadísticas Jugadores'!$F$2:$F$7001,F1339,'Estadísticas Jugadores'!$L$2:$L$7001))</f>
        <v/>
      </c>
      <c r="I1339" s="4" t="str">
        <f t="shared" si="103"/>
        <v/>
      </c>
      <c r="J1339" s="4" t="str">
        <f t="shared" si="104"/>
        <v/>
      </c>
    </row>
    <row r="1340" spans="1:10" ht="15" customHeight="1" x14ac:dyDescent="0.25">
      <c r="A1340" s="8" t="str">
        <f>IF(COUNT($J$2:$J$1501)&gt;=1339,1339,"")</f>
        <v/>
      </c>
      <c r="B1340" s="8" t="str">
        <f t="shared" si="100"/>
        <v/>
      </c>
      <c r="C1340" s="8" t="str">
        <f t="shared" si="101"/>
        <v/>
      </c>
      <c r="D1340" s="8" t="str">
        <f t="shared" si="102"/>
        <v/>
      </c>
      <c r="F1340" s="4" t="str">
        <f>IF(Jugadores!B1340="","",Jugadores!B1340)</f>
        <v/>
      </c>
      <c r="G1340" s="4" t="str">
        <f>IF(Jugadores!B1340="","",Jugadores!A1340)</f>
        <v/>
      </c>
      <c r="H1340" s="4" t="str">
        <f>IF(F1340="","",SUMIF('Estadísticas Jugadores'!$F$2:$F$7001,F1340,'Estadísticas Jugadores'!$L$2:$L$7001))</f>
        <v/>
      </c>
      <c r="I1340" s="4" t="str">
        <f t="shared" si="103"/>
        <v/>
      </c>
      <c r="J1340" s="4" t="str">
        <f t="shared" si="104"/>
        <v/>
      </c>
    </row>
    <row r="1341" spans="1:10" ht="15" customHeight="1" x14ac:dyDescent="0.25">
      <c r="A1341" s="8" t="str">
        <f>IF(COUNT($J$2:$J$1501)&gt;=1340,1340,"")</f>
        <v/>
      </c>
      <c r="B1341" s="8" t="str">
        <f t="shared" si="100"/>
        <v/>
      </c>
      <c r="C1341" s="8" t="str">
        <f t="shared" si="101"/>
        <v/>
      </c>
      <c r="D1341" s="8" t="str">
        <f t="shared" si="102"/>
        <v/>
      </c>
      <c r="F1341" s="4" t="str">
        <f>IF(Jugadores!B1341="","",Jugadores!B1341)</f>
        <v/>
      </c>
      <c r="G1341" s="4" t="str">
        <f>IF(Jugadores!B1341="","",Jugadores!A1341)</f>
        <v/>
      </c>
      <c r="H1341" s="4" t="str">
        <f>IF(F1341="","",SUMIF('Estadísticas Jugadores'!$F$2:$F$7001,F1341,'Estadísticas Jugadores'!$L$2:$L$7001))</f>
        <v/>
      </c>
      <c r="I1341" s="4" t="str">
        <f t="shared" si="103"/>
        <v/>
      </c>
      <c r="J1341" s="4" t="str">
        <f t="shared" si="104"/>
        <v/>
      </c>
    </row>
    <row r="1342" spans="1:10" ht="15" customHeight="1" x14ac:dyDescent="0.25">
      <c r="A1342" s="8" t="str">
        <f>IF(COUNT($J$2:$J$1501)&gt;=1341,1341,"")</f>
        <v/>
      </c>
      <c r="B1342" s="8" t="str">
        <f t="shared" si="100"/>
        <v/>
      </c>
      <c r="C1342" s="8" t="str">
        <f t="shared" si="101"/>
        <v/>
      </c>
      <c r="D1342" s="8" t="str">
        <f t="shared" si="102"/>
        <v/>
      </c>
      <c r="F1342" s="4" t="str">
        <f>IF(Jugadores!B1342="","",Jugadores!B1342)</f>
        <v/>
      </c>
      <c r="G1342" s="4" t="str">
        <f>IF(Jugadores!B1342="","",Jugadores!A1342)</f>
        <v/>
      </c>
      <c r="H1342" s="4" t="str">
        <f>IF(F1342="","",SUMIF('Estadísticas Jugadores'!$F$2:$F$7001,F1342,'Estadísticas Jugadores'!$L$2:$L$7001))</f>
        <v/>
      </c>
      <c r="I1342" s="4" t="str">
        <f t="shared" si="103"/>
        <v/>
      </c>
      <c r="J1342" s="4" t="str">
        <f t="shared" si="104"/>
        <v/>
      </c>
    </row>
    <row r="1343" spans="1:10" ht="15" customHeight="1" x14ac:dyDescent="0.25">
      <c r="A1343" s="8" t="str">
        <f>IF(COUNT($J$2:$J$1501)&gt;=1342,1342,"")</f>
        <v/>
      </c>
      <c r="B1343" s="8" t="str">
        <f t="shared" si="100"/>
        <v/>
      </c>
      <c r="C1343" s="8" t="str">
        <f t="shared" si="101"/>
        <v/>
      </c>
      <c r="D1343" s="8" t="str">
        <f t="shared" si="102"/>
        <v/>
      </c>
      <c r="F1343" s="4" t="str">
        <f>IF(Jugadores!B1343="","",Jugadores!B1343)</f>
        <v/>
      </c>
      <c r="G1343" s="4" t="str">
        <f>IF(Jugadores!B1343="","",Jugadores!A1343)</f>
        <v/>
      </c>
      <c r="H1343" s="4" t="str">
        <f>IF(F1343="","",SUMIF('Estadísticas Jugadores'!$F$2:$F$7001,F1343,'Estadísticas Jugadores'!$L$2:$L$7001))</f>
        <v/>
      </c>
      <c r="I1343" s="4" t="str">
        <f t="shared" si="103"/>
        <v/>
      </c>
      <c r="J1343" s="4" t="str">
        <f t="shared" si="104"/>
        <v/>
      </c>
    </row>
    <row r="1344" spans="1:10" ht="15" customHeight="1" x14ac:dyDescent="0.25">
      <c r="A1344" s="8" t="str">
        <f>IF(COUNT($J$2:$J$1501)&gt;=1343,1343,"")</f>
        <v/>
      </c>
      <c r="B1344" s="8" t="str">
        <f t="shared" si="100"/>
        <v/>
      </c>
      <c r="C1344" s="8" t="str">
        <f t="shared" si="101"/>
        <v/>
      </c>
      <c r="D1344" s="8" t="str">
        <f t="shared" si="102"/>
        <v/>
      </c>
      <c r="F1344" s="4" t="str">
        <f>IF(Jugadores!B1344="","",Jugadores!B1344)</f>
        <v/>
      </c>
      <c r="G1344" s="4" t="str">
        <f>IF(Jugadores!B1344="","",Jugadores!A1344)</f>
        <v/>
      </c>
      <c r="H1344" s="4" t="str">
        <f>IF(F1344="","",SUMIF('Estadísticas Jugadores'!$F$2:$F$7001,F1344,'Estadísticas Jugadores'!$L$2:$L$7001))</f>
        <v/>
      </c>
      <c r="I1344" s="4" t="str">
        <f t="shared" si="103"/>
        <v/>
      </c>
      <c r="J1344" s="4" t="str">
        <f t="shared" si="104"/>
        <v/>
      </c>
    </row>
    <row r="1345" spans="1:10" ht="15" customHeight="1" x14ac:dyDescent="0.25">
      <c r="A1345" s="8" t="str">
        <f>IF(COUNT($J$2:$J$1501)&gt;=1344,1344,"")</f>
        <v/>
      </c>
      <c r="B1345" s="8" t="str">
        <f t="shared" si="100"/>
        <v/>
      </c>
      <c r="C1345" s="8" t="str">
        <f t="shared" si="101"/>
        <v/>
      </c>
      <c r="D1345" s="8" t="str">
        <f t="shared" si="102"/>
        <v/>
      </c>
      <c r="F1345" s="4" t="str">
        <f>IF(Jugadores!B1345="","",Jugadores!B1345)</f>
        <v/>
      </c>
      <c r="G1345" s="4" t="str">
        <f>IF(Jugadores!B1345="","",Jugadores!A1345)</f>
        <v/>
      </c>
      <c r="H1345" s="4" t="str">
        <f>IF(F1345="","",SUMIF('Estadísticas Jugadores'!$F$2:$F$7001,F1345,'Estadísticas Jugadores'!$L$2:$L$7001))</f>
        <v/>
      </c>
      <c r="I1345" s="4" t="str">
        <f t="shared" si="103"/>
        <v/>
      </c>
      <c r="J1345" s="4" t="str">
        <f t="shared" si="104"/>
        <v/>
      </c>
    </row>
    <row r="1346" spans="1:10" ht="15" customHeight="1" x14ac:dyDescent="0.25">
      <c r="A1346" s="8" t="str">
        <f>IF(COUNT($J$2:$J$1501)&gt;=1345,1345,"")</f>
        <v/>
      </c>
      <c r="B1346" s="8" t="str">
        <f t="shared" ref="B1346:B1409" si="105">IF($A1346="","",INDEX($F$2:$F$1501,MATCH($A1346,$J$2:$J$1501,0)))</f>
        <v/>
      </c>
      <c r="C1346" s="8" t="str">
        <f t="shared" ref="C1346:C1409" si="106">IF($A1346="","",INDEX($G$2:$G$1501,MATCH($A1346,$J$2:$J$1501,0)))</f>
        <v/>
      </c>
      <c r="D1346" s="8" t="str">
        <f t="shared" ref="D1346:D1409" si="107">IF($A1346="","",INDEX($H$2:$H$1501,MATCH($A1346,$J$2:$J$1501,0)))</f>
        <v/>
      </c>
      <c r="F1346" s="4" t="str">
        <f>IF(Jugadores!B1346="","",Jugadores!B1346)</f>
        <v/>
      </c>
      <c r="G1346" s="4" t="str">
        <f>IF(Jugadores!B1346="","",Jugadores!A1346)</f>
        <v/>
      </c>
      <c r="H1346" s="4" t="str">
        <f>IF(F1346="","",SUMIF('Estadísticas Jugadores'!$F$2:$F$7001,F1346,'Estadísticas Jugadores'!$L$2:$L$7001))</f>
        <v/>
      </c>
      <c r="I1346" s="4" t="str">
        <f t="shared" ref="I1346:I1409" si="108">IF(F1346="","",H1346*1000-ROW()*0.0000001)</f>
        <v/>
      </c>
      <c r="J1346" s="4" t="str">
        <f t="shared" ref="J1346:J1409" si="109">IF(F1346="","",RANK(I1346,$I$2:$I$1501))</f>
        <v/>
      </c>
    </row>
    <row r="1347" spans="1:10" ht="15" customHeight="1" x14ac:dyDescent="0.25">
      <c r="A1347" s="8" t="str">
        <f>IF(COUNT($J$2:$J$1501)&gt;=1346,1346,"")</f>
        <v/>
      </c>
      <c r="B1347" s="8" t="str">
        <f t="shared" si="105"/>
        <v/>
      </c>
      <c r="C1347" s="8" t="str">
        <f t="shared" si="106"/>
        <v/>
      </c>
      <c r="D1347" s="8" t="str">
        <f t="shared" si="107"/>
        <v/>
      </c>
      <c r="F1347" s="4" t="str">
        <f>IF(Jugadores!B1347="","",Jugadores!B1347)</f>
        <v/>
      </c>
      <c r="G1347" s="4" t="str">
        <f>IF(Jugadores!B1347="","",Jugadores!A1347)</f>
        <v/>
      </c>
      <c r="H1347" s="4" t="str">
        <f>IF(F1347="","",SUMIF('Estadísticas Jugadores'!$F$2:$F$7001,F1347,'Estadísticas Jugadores'!$L$2:$L$7001))</f>
        <v/>
      </c>
      <c r="I1347" s="4" t="str">
        <f t="shared" si="108"/>
        <v/>
      </c>
      <c r="J1347" s="4" t="str">
        <f t="shared" si="109"/>
        <v/>
      </c>
    </row>
    <row r="1348" spans="1:10" ht="15" customHeight="1" x14ac:dyDescent="0.25">
      <c r="A1348" s="8" t="str">
        <f>IF(COUNT($J$2:$J$1501)&gt;=1347,1347,"")</f>
        <v/>
      </c>
      <c r="B1348" s="8" t="str">
        <f t="shared" si="105"/>
        <v/>
      </c>
      <c r="C1348" s="8" t="str">
        <f t="shared" si="106"/>
        <v/>
      </c>
      <c r="D1348" s="8" t="str">
        <f t="shared" si="107"/>
        <v/>
      </c>
      <c r="F1348" s="4" t="str">
        <f>IF(Jugadores!B1348="","",Jugadores!B1348)</f>
        <v/>
      </c>
      <c r="G1348" s="4" t="str">
        <f>IF(Jugadores!B1348="","",Jugadores!A1348)</f>
        <v/>
      </c>
      <c r="H1348" s="4" t="str">
        <f>IF(F1348="","",SUMIF('Estadísticas Jugadores'!$F$2:$F$7001,F1348,'Estadísticas Jugadores'!$L$2:$L$7001))</f>
        <v/>
      </c>
      <c r="I1348" s="4" t="str">
        <f t="shared" si="108"/>
        <v/>
      </c>
      <c r="J1348" s="4" t="str">
        <f t="shared" si="109"/>
        <v/>
      </c>
    </row>
    <row r="1349" spans="1:10" ht="15" customHeight="1" x14ac:dyDescent="0.25">
      <c r="A1349" s="8" t="str">
        <f>IF(COUNT($J$2:$J$1501)&gt;=1348,1348,"")</f>
        <v/>
      </c>
      <c r="B1349" s="8" t="str">
        <f t="shared" si="105"/>
        <v/>
      </c>
      <c r="C1349" s="8" t="str">
        <f t="shared" si="106"/>
        <v/>
      </c>
      <c r="D1349" s="8" t="str">
        <f t="shared" si="107"/>
        <v/>
      </c>
      <c r="F1349" s="4" t="str">
        <f>IF(Jugadores!B1349="","",Jugadores!B1349)</f>
        <v/>
      </c>
      <c r="G1349" s="4" t="str">
        <f>IF(Jugadores!B1349="","",Jugadores!A1349)</f>
        <v/>
      </c>
      <c r="H1349" s="4" t="str">
        <f>IF(F1349="","",SUMIF('Estadísticas Jugadores'!$F$2:$F$7001,F1349,'Estadísticas Jugadores'!$L$2:$L$7001))</f>
        <v/>
      </c>
      <c r="I1349" s="4" t="str">
        <f t="shared" si="108"/>
        <v/>
      </c>
      <c r="J1349" s="4" t="str">
        <f t="shared" si="109"/>
        <v/>
      </c>
    </row>
    <row r="1350" spans="1:10" ht="15" customHeight="1" x14ac:dyDescent="0.25">
      <c r="A1350" s="8" t="str">
        <f>IF(COUNT($J$2:$J$1501)&gt;=1349,1349,"")</f>
        <v/>
      </c>
      <c r="B1350" s="8" t="str">
        <f t="shared" si="105"/>
        <v/>
      </c>
      <c r="C1350" s="8" t="str">
        <f t="shared" si="106"/>
        <v/>
      </c>
      <c r="D1350" s="8" t="str">
        <f t="shared" si="107"/>
        <v/>
      </c>
      <c r="F1350" s="4" t="str">
        <f>IF(Jugadores!B1350="","",Jugadores!B1350)</f>
        <v/>
      </c>
      <c r="G1350" s="4" t="str">
        <f>IF(Jugadores!B1350="","",Jugadores!A1350)</f>
        <v/>
      </c>
      <c r="H1350" s="4" t="str">
        <f>IF(F1350="","",SUMIF('Estadísticas Jugadores'!$F$2:$F$7001,F1350,'Estadísticas Jugadores'!$L$2:$L$7001))</f>
        <v/>
      </c>
      <c r="I1350" s="4" t="str">
        <f t="shared" si="108"/>
        <v/>
      </c>
      <c r="J1350" s="4" t="str">
        <f t="shared" si="109"/>
        <v/>
      </c>
    </row>
    <row r="1351" spans="1:10" ht="15" customHeight="1" x14ac:dyDescent="0.25">
      <c r="A1351" s="8" t="str">
        <f>IF(COUNT($J$2:$J$1501)&gt;=1350,1350,"")</f>
        <v/>
      </c>
      <c r="B1351" s="8" t="str">
        <f t="shared" si="105"/>
        <v/>
      </c>
      <c r="C1351" s="8" t="str">
        <f t="shared" si="106"/>
        <v/>
      </c>
      <c r="D1351" s="8" t="str">
        <f t="shared" si="107"/>
        <v/>
      </c>
      <c r="F1351" s="4" t="str">
        <f>IF(Jugadores!B1351="","",Jugadores!B1351)</f>
        <v/>
      </c>
      <c r="G1351" s="4" t="str">
        <f>IF(Jugadores!B1351="","",Jugadores!A1351)</f>
        <v/>
      </c>
      <c r="H1351" s="4" t="str">
        <f>IF(F1351="","",SUMIF('Estadísticas Jugadores'!$F$2:$F$7001,F1351,'Estadísticas Jugadores'!$L$2:$L$7001))</f>
        <v/>
      </c>
      <c r="I1351" s="4" t="str">
        <f t="shared" si="108"/>
        <v/>
      </c>
      <c r="J1351" s="4" t="str">
        <f t="shared" si="109"/>
        <v/>
      </c>
    </row>
    <row r="1352" spans="1:10" ht="15" customHeight="1" x14ac:dyDescent="0.25">
      <c r="A1352" s="8" t="str">
        <f>IF(COUNT($J$2:$J$1501)&gt;=1351,1351,"")</f>
        <v/>
      </c>
      <c r="B1352" s="8" t="str">
        <f t="shared" si="105"/>
        <v/>
      </c>
      <c r="C1352" s="8" t="str">
        <f t="shared" si="106"/>
        <v/>
      </c>
      <c r="D1352" s="8" t="str">
        <f t="shared" si="107"/>
        <v/>
      </c>
      <c r="F1352" s="4" t="str">
        <f>IF(Jugadores!B1352="","",Jugadores!B1352)</f>
        <v/>
      </c>
      <c r="G1352" s="4" t="str">
        <f>IF(Jugadores!B1352="","",Jugadores!A1352)</f>
        <v/>
      </c>
      <c r="H1352" s="4" t="str">
        <f>IF(F1352="","",SUMIF('Estadísticas Jugadores'!$F$2:$F$7001,F1352,'Estadísticas Jugadores'!$L$2:$L$7001))</f>
        <v/>
      </c>
      <c r="I1352" s="4" t="str">
        <f t="shared" si="108"/>
        <v/>
      </c>
      <c r="J1352" s="4" t="str">
        <f t="shared" si="109"/>
        <v/>
      </c>
    </row>
    <row r="1353" spans="1:10" ht="15" customHeight="1" x14ac:dyDescent="0.25">
      <c r="A1353" s="8" t="str">
        <f>IF(COUNT($J$2:$J$1501)&gt;=1352,1352,"")</f>
        <v/>
      </c>
      <c r="B1353" s="8" t="str">
        <f t="shared" si="105"/>
        <v/>
      </c>
      <c r="C1353" s="8" t="str">
        <f t="shared" si="106"/>
        <v/>
      </c>
      <c r="D1353" s="8" t="str">
        <f t="shared" si="107"/>
        <v/>
      </c>
      <c r="F1353" s="4" t="str">
        <f>IF(Jugadores!B1353="","",Jugadores!B1353)</f>
        <v/>
      </c>
      <c r="G1353" s="4" t="str">
        <f>IF(Jugadores!B1353="","",Jugadores!A1353)</f>
        <v/>
      </c>
      <c r="H1353" s="4" t="str">
        <f>IF(F1353="","",SUMIF('Estadísticas Jugadores'!$F$2:$F$7001,F1353,'Estadísticas Jugadores'!$L$2:$L$7001))</f>
        <v/>
      </c>
      <c r="I1353" s="4" t="str">
        <f t="shared" si="108"/>
        <v/>
      </c>
      <c r="J1353" s="4" t="str">
        <f t="shared" si="109"/>
        <v/>
      </c>
    </row>
    <row r="1354" spans="1:10" ht="15" customHeight="1" x14ac:dyDescent="0.25">
      <c r="A1354" s="8" t="str">
        <f>IF(COUNT($J$2:$J$1501)&gt;=1353,1353,"")</f>
        <v/>
      </c>
      <c r="B1354" s="8" t="str">
        <f t="shared" si="105"/>
        <v/>
      </c>
      <c r="C1354" s="8" t="str">
        <f t="shared" si="106"/>
        <v/>
      </c>
      <c r="D1354" s="8" t="str">
        <f t="shared" si="107"/>
        <v/>
      </c>
      <c r="F1354" s="4" t="str">
        <f>IF(Jugadores!B1354="","",Jugadores!B1354)</f>
        <v/>
      </c>
      <c r="G1354" s="4" t="str">
        <f>IF(Jugadores!B1354="","",Jugadores!A1354)</f>
        <v/>
      </c>
      <c r="H1354" s="4" t="str">
        <f>IF(F1354="","",SUMIF('Estadísticas Jugadores'!$F$2:$F$7001,F1354,'Estadísticas Jugadores'!$L$2:$L$7001))</f>
        <v/>
      </c>
      <c r="I1354" s="4" t="str">
        <f t="shared" si="108"/>
        <v/>
      </c>
      <c r="J1354" s="4" t="str">
        <f t="shared" si="109"/>
        <v/>
      </c>
    </row>
    <row r="1355" spans="1:10" ht="15" customHeight="1" x14ac:dyDescent="0.25">
      <c r="A1355" s="8" t="str">
        <f>IF(COUNT($J$2:$J$1501)&gt;=1354,1354,"")</f>
        <v/>
      </c>
      <c r="B1355" s="8" t="str">
        <f t="shared" si="105"/>
        <v/>
      </c>
      <c r="C1355" s="8" t="str">
        <f t="shared" si="106"/>
        <v/>
      </c>
      <c r="D1355" s="8" t="str">
        <f t="shared" si="107"/>
        <v/>
      </c>
      <c r="F1355" s="4" t="str">
        <f>IF(Jugadores!B1355="","",Jugadores!B1355)</f>
        <v/>
      </c>
      <c r="G1355" s="4" t="str">
        <f>IF(Jugadores!B1355="","",Jugadores!A1355)</f>
        <v/>
      </c>
      <c r="H1355" s="4" t="str">
        <f>IF(F1355="","",SUMIF('Estadísticas Jugadores'!$F$2:$F$7001,F1355,'Estadísticas Jugadores'!$L$2:$L$7001))</f>
        <v/>
      </c>
      <c r="I1355" s="4" t="str">
        <f t="shared" si="108"/>
        <v/>
      </c>
      <c r="J1355" s="4" t="str">
        <f t="shared" si="109"/>
        <v/>
      </c>
    </row>
    <row r="1356" spans="1:10" ht="15" customHeight="1" x14ac:dyDescent="0.25">
      <c r="A1356" s="8" t="str">
        <f>IF(COUNT($J$2:$J$1501)&gt;=1355,1355,"")</f>
        <v/>
      </c>
      <c r="B1356" s="8" t="str">
        <f t="shared" si="105"/>
        <v/>
      </c>
      <c r="C1356" s="8" t="str">
        <f t="shared" si="106"/>
        <v/>
      </c>
      <c r="D1356" s="8" t="str">
        <f t="shared" si="107"/>
        <v/>
      </c>
      <c r="F1356" s="4" t="str">
        <f>IF(Jugadores!B1356="","",Jugadores!B1356)</f>
        <v/>
      </c>
      <c r="G1356" s="4" t="str">
        <f>IF(Jugadores!B1356="","",Jugadores!A1356)</f>
        <v/>
      </c>
      <c r="H1356" s="4" t="str">
        <f>IF(F1356="","",SUMIF('Estadísticas Jugadores'!$F$2:$F$7001,F1356,'Estadísticas Jugadores'!$L$2:$L$7001))</f>
        <v/>
      </c>
      <c r="I1356" s="4" t="str">
        <f t="shared" si="108"/>
        <v/>
      </c>
      <c r="J1356" s="4" t="str">
        <f t="shared" si="109"/>
        <v/>
      </c>
    </row>
    <row r="1357" spans="1:10" ht="15" customHeight="1" x14ac:dyDescent="0.25">
      <c r="A1357" s="8" t="str">
        <f>IF(COUNT($J$2:$J$1501)&gt;=1356,1356,"")</f>
        <v/>
      </c>
      <c r="B1357" s="8" t="str">
        <f t="shared" si="105"/>
        <v/>
      </c>
      <c r="C1357" s="8" t="str">
        <f t="shared" si="106"/>
        <v/>
      </c>
      <c r="D1357" s="8" t="str">
        <f t="shared" si="107"/>
        <v/>
      </c>
      <c r="F1357" s="4" t="str">
        <f>IF(Jugadores!B1357="","",Jugadores!B1357)</f>
        <v/>
      </c>
      <c r="G1357" s="4" t="str">
        <f>IF(Jugadores!B1357="","",Jugadores!A1357)</f>
        <v/>
      </c>
      <c r="H1357" s="4" t="str">
        <f>IF(F1357="","",SUMIF('Estadísticas Jugadores'!$F$2:$F$7001,F1357,'Estadísticas Jugadores'!$L$2:$L$7001))</f>
        <v/>
      </c>
      <c r="I1357" s="4" t="str">
        <f t="shared" si="108"/>
        <v/>
      </c>
      <c r="J1357" s="4" t="str">
        <f t="shared" si="109"/>
        <v/>
      </c>
    </row>
    <row r="1358" spans="1:10" ht="15" customHeight="1" x14ac:dyDescent="0.25">
      <c r="A1358" s="8" t="str">
        <f>IF(COUNT($J$2:$J$1501)&gt;=1357,1357,"")</f>
        <v/>
      </c>
      <c r="B1358" s="8" t="str">
        <f t="shared" si="105"/>
        <v/>
      </c>
      <c r="C1358" s="8" t="str">
        <f t="shared" si="106"/>
        <v/>
      </c>
      <c r="D1358" s="8" t="str">
        <f t="shared" si="107"/>
        <v/>
      </c>
      <c r="F1358" s="4" t="str">
        <f>IF(Jugadores!B1358="","",Jugadores!B1358)</f>
        <v/>
      </c>
      <c r="G1358" s="4" t="str">
        <f>IF(Jugadores!B1358="","",Jugadores!A1358)</f>
        <v/>
      </c>
      <c r="H1358" s="4" t="str">
        <f>IF(F1358="","",SUMIF('Estadísticas Jugadores'!$F$2:$F$7001,F1358,'Estadísticas Jugadores'!$L$2:$L$7001))</f>
        <v/>
      </c>
      <c r="I1358" s="4" t="str">
        <f t="shared" si="108"/>
        <v/>
      </c>
      <c r="J1358" s="4" t="str">
        <f t="shared" si="109"/>
        <v/>
      </c>
    </row>
    <row r="1359" spans="1:10" ht="15" customHeight="1" x14ac:dyDescent="0.25">
      <c r="A1359" s="8" t="str">
        <f>IF(COUNT($J$2:$J$1501)&gt;=1358,1358,"")</f>
        <v/>
      </c>
      <c r="B1359" s="8" t="str">
        <f t="shared" si="105"/>
        <v/>
      </c>
      <c r="C1359" s="8" t="str">
        <f t="shared" si="106"/>
        <v/>
      </c>
      <c r="D1359" s="8" t="str">
        <f t="shared" si="107"/>
        <v/>
      </c>
      <c r="F1359" s="4" t="str">
        <f>IF(Jugadores!B1359="","",Jugadores!B1359)</f>
        <v/>
      </c>
      <c r="G1359" s="4" t="str">
        <f>IF(Jugadores!B1359="","",Jugadores!A1359)</f>
        <v/>
      </c>
      <c r="H1359" s="4" t="str">
        <f>IF(F1359="","",SUMIF('Estadísticas Jugadores'!$F$2:$F$7001,F1359,'Estadísticas Jugadores'!$L$2:$L$7001))</f>
        <v/>
      </c>
      <c r="I1359" s="4" t="str">
        <f t="shared" si="108"/>
        <v/>
      </c>
      <c r="J1359" s="4" t="str">
        <f t="shared" si="109"/>
        <v/>
      </c>
    </row>
    <row r="1360" spans="1:10" ht="15" customHeight="1" x14ac:dyDescent="0.25">
      <c r="A1360" s="8" t="str">
        <f>IF(COUNT($J$2:$J$1501)&gt;=1359,1359,"")</f>
        <v/>
      </c>
      <c r="B1360" s="8" t="str">
        <f t="shared" si="105"/>
        <v/>
      </c>
      <c r="C1360" s="8" t="str">
        <f t="shared" si="106"/>
        <v/>
      </c>
      <c r="D1360" s="8" t="str">
        <f t="shared" si="107"/>
        <v/>
      </c>
      <c r="F1360" s="4" t="str">
        <f>IF(Jugadores!B1360="","",Jugadores!B1360)</f>
        <v/>
      </c>
      <c r="G1360" s="4" t="str">
        <f>IF(Jugadores!B1360="","",Jugadores!A1360)</f>
        <v/>
      </c>
      <c r="H1360" s="4" t="str">
        <f>IF(F1360="","",SUMIF('Estadísticas Jugadores'!$F$2:$F$7001,F1360,'Estadísticas Jugadores'!$L$2:$L$7001))</f>
        <v/>
      </c>
      <c r="I1360" s="4" t="str">
        <f t="shared" si="108"/>
        <v/>
      </c>
      <c r="J1360" s="4" t="str">
        <f t="shared" si="109"/>
        <v/>
      </c>
    </row>
    <row r="1361" spans="1:10" ht="15" customHeight="1" x14ac:dyDescent="0.25">
      <c r="A1361" s="8" t="str">
        <f>IF(COUNT($J$2:$J$1501)&gt;=1360,1360,"")</f>
        <v/>
      </c>
      <c r="B1361" s="8" t="str">
        <f t="shared" si="105"/>
        <v/>
      </c>
      <c r="C1361" s="8" t="str">
        <f t="shared" si="106"/>
        <v/>
      </c>
      <c r="D1361" s="8" t="str">
        <f t="shared" si="107"/>
        <v/>
      </c>
      <c r="F1361" s="4" t="str">
        <f>IF(Jugadores!B1361="","",Jugadores!B1361)</f>
        <v/>
      </c>
      <c r="G1361" s="4" t="str">
        <f>IF(Jugadores!B1361="","",Jugadores!A1361)</f>
        <v/>
      </c>
      <c r="H1361" s="4" t="str">
        <f>IF(F1361="","",SUMIF('Estadísticas Jugadores'!$F$2:$F$7001,F1361,'Estadísticas Jugadores'!$L$2:$L$7001))</f>
        <v/>
      </c>
      <c r="I1361" s="4" t="str">
        <f t="shared" si="108"/>
        <v/>
      </c>
      <c r="J1361" s="4" t="str">
        <f t="shared" si="109"/>
        <v/>
      </c>
    </row>
    <row r="1362" spans="1:10" ht="15" customHeight="1" x14ac:dyDescent="0.25">
      <c r="A1362" s="8" t="str">
        <f>IF(COUNT($J$2:$J$1501)&gt;=1361,1361,"")</f>
        <v/>
      </c>
      <c r="B1362" s="8" t="str">
        <f t="shared" si="105"/>
        <v/>
      </c>
      <c r="C1362" s="8" t="str">
        <f t="shared" si="106"/>
        <v/>
      </c>
      <c r="D1362" s="8" t="str">
        <f t="shared" si="107"/>
        <v/>
      </c>
      <c r="F1362" s="4" t="str">
        <f>IF(Jugadores!B1362="","",Jugadores!B1362)</f>
        <v/>
      </c>
      <c r="G1362" s="4" t="str">
        <f>IF(Jugadores!B1362="","",Jugadores!A1362)</f>
        <v/>
      </c>
      <c r="H1362" s="4" t="str">
        <f>IF(F1362="","",SUMIF('Estadísticas Jugadores'!$F$2:$F$7001,F1362,'Estadísticas Jugadores'!$L$2:$L$7001))</f>
        <v/>
      </c>
      <c r="I1362" s="4" t="str">
        <f t="shared" si="108"/>
        <v/>
      </c>
      <c r="J1362" s="4" t="str">
        <f t="shared" si="109"/>
        <v/>
      </c>
    </row>
    <row r="1363" spans="1:10" ht="15" customHeight="1" x14ac:dyDescent="0.25">
      <c r="A1363" s="8" t="str">
        <f>IF(COUNT($J$2:$J$1501)&gt;=1362,1362,"")</f>
        <v/>
      </c>
      <c r="B1363" s="8" t="str">
        <f t="shared" si="105"/>
        <v/>
      </c>
      <c r="C1363" s="8" t="str">
        <f t="shared" si="106"/>
        <v/>
      </c>
      <c r="D1363" s="8" t="str">
        <f t="shared" si="107"/>
        <v/>
      </c>
      <c r="F1363" s="4" t="str">
        <f>IF(Jugadores!B1363="","",Jugadores!B1363)</f>
        <v/>
      </c>
      <c r="G1363" s="4" t="str">
        <f>IF(Jugadores!B1363="","",Jugadores!A1363)</f>
        <v/>
      </c>
      <c r="H1363" s="4" t="str">
        <f>IF(F1363="","",SUMIF('Estadísticas Jugadores'!$F$2:$F$7001,F1363,'Estadísticas Jugadores'!$L$2:$L$7001))</f>
        <v/>
      </c>
      <c r="I1363" s="4" t="str">
        <f t="shared" si="108"/>
        <v/>
      </c>
      <c r="J1363" s="4" t="str">
        <f t="shared" si="109"/>
        <v/>
      </c>
    </row>
    <row r="1364" spans="1:10" ht="15" customHeight="1" x14ac:dyDescent="0.25">
      <c r="A1364" s="8" t="str">
        <f>IF(COUNT($J$2:$J$1501)&gt;=1363,1363,"")</f>
        <v/>
      </c>
      <c r="B1364" s="8" t="str">
        <f t="shared" si="105"/>
        <v/>
      </c>
      <c r="C1364" s="8" t="str">
        <f t="shared" si="106"/>
        <v/>
      </c>
      <c r="D1364" s="8" t="str">
        <f t="shared" si="107"/>
        <v/>
      </c>
      <c r="F1364" s="4" t="str">
        <f>IF(Jugadores!B1364="","",Jugadores!B1364)</f>
        <v/>
      </c>
      <c r="G1364" s="4" t="str">
        <f>IF(Jugadores!B1364="","",Jugadores!A1364)</f>
        <v/>
      </c>
      <c r="H1364" s="4" t="str">
        <f>IF(F1364="","",SUMIF('Estadísticas Jugadores'!$F$2:$F$7001,F1364,'Estadísticas Jugadores'!$L$2:$L$7001))</f>
        <v/>
      </c>
      <c r="I1364" s="4" t="str">
        <f t="shared" si="108"/>
        <v/>
      </c>
      <c r="J1364" s="4" t="str">
        <f t="shared" si="109"/>
        <v/>
      </c>
    </row>
    <row r="1365" spans="1:10" ht="15" customHeight="1" x14ac:dyDescent="0.25">
      <c r="A1365" s="8" t="str">
        <f>IF(COUNT($J$2:$J$1501)&gt;=1364,1364,"")</f>
        <v/>
      </c>
      <c r="B1365" s="8" t="str">
        <f t="shared" si="105"/>
        <v/>
      </c>
      <c r="C1365" s="8" t="str">
        <f t="shared" si="106"/>
        <v/>
      </c>
      <c r="D1365" s="8" t="str">
        <f t="shared" si="107"/>
        <v/>
      </c>
      <c r="F1365" s="4" t="str">
        <f>IF(Jugadores!B1365="","",Jugadores!B1365)</f>
        <v/>
      </c>
      <c r="G1365" s="4" t="str">
        <f>IF(Jugadores!B1365="","",Jugadores!A1365)</f>
        <v/>
      </c>
      <c r="H1365" s="4" t="str">
        <f>IF(F1365="","",SUMIF('Estadísticas Jugadores'!$F$2:$F$7001,F1365,'Estadísticas Jugadores'!$L$2:$L$7001))</f>
        <v/>
      </c>
      <c r="I1365" s="4" t="str">
        <f t="shared" si="108"/>
        <v/>
      </c>
      <c r="J1365" s="4" t="str">
        <f t="shared" si="109"/>
        <v/>
      </c>
    </row>
    <row r="1366" spans="1:10" ht="15" customHeight="1" x14ac:dyDescent="0.25">
      <c r="A1366" s="8" t="str">
        <f>IF(COUNT($J$2:$J$1501)&gt;=1365,1365,"")</f>
        <v/>
      </c>
      <c r="B1366" s="8" t="str">
        <f t="shared" si="105"/>
        <v/>
      </c>
      <c r="C1366" s="8" t="str">
        <f t="shared" si="106"/>
        <v/>
      </c>
      <c r="D1366" s="8" t="str">
        <f t="shared" si="107"/>
        <v/>
      </c>
      <c r="F1366" s="4" t="str">
        <f>IF(Jugadores!B1366="","",Jugadores!B1366)</f>
        <v/>
      </c>
      <c r="G1366" s="4" t="str">
        <f>IF(Jugadores!B1366="","",Jugadores!A1366)</f>
        <v/>
      </c>
      <c r="H1366" s="4" t="str">
        <f>IF(F1366="","",SUMIF('Estadísticas Jugadores'!$F$2:$F$7001,F1366,'Estadísticas Jugadores'!$L$2:$L$7001))</f>
        <v/>
      </c>
      <c r="I1366" s="4" t="str">
        <f t="shared" si="108"/>
        <v/>
      </c>
      <c r="J1366" s="4" t="str">
        <f t="shared" si="109"/>
        <v/>
      </c>
    </row>
    <row r="1367" spans="1:10" ht="15" customHeight="1" x14ac:dyDescent="0.25">
      <c r="A1367" s="8" t="str">
        <f>IF(COUNT($J$2:$J$1501)&gt;=1366,1366,"")</f>
        <v/>
      </c>
      <c r="B1367" s="8" t="str">
        <f t="shared" si="105"/>
        <v/>
      </c>
      <c r="C1367" s="8" t="str">
        <f t="shared" si="106"/>
        <v/>
      </c>
      <c r="D1367" s="8" t="str">
        <f t="shared" si="107"/>
        <v/>
      </c>
      <c r="F1367" s="4" t="str">
        <f>IF(Jugadores!B1367="","",Jugadores!B1367)</f>
        <v/>
      </c>
      <c r="G1367" s="4" t="str">
        <f>IF(Jugadores!B1367="","",Jugadores!A1367)</f>
        <v/>
      </c>
      <c r="H1367" s="4" t="str">
        <f>IF(F1367="","",SUMIF('Estadísticas Jugadores'!$F$2:$F$7001,F1367,'Estadísticas Jugadores'!$L$2:$L$7001))</f>
        <v/>
      </c>
      <c r="I1367" s="4" t="str">
        <f t="shared" si="108"/>
        <v/>
      </c>
      <c r="J1367" s="4" t="str">
        <f t="shared" si="109"/>
        <v/>
      </c>
    </row>
    <row r="1368" spans="1:10" ht="15" customHeight="1" x14ac:dyDescent="0.25">
      <c r="A1368" s="8" t="str">
        <f>IF(COUNT($J$2:$J$1501)&gt;=1367,1367,"")</f>
        <v/>
      </c>
      <c r="B1368" s="8" t="str">
        <f t="shared" si="105"/>
        <v/>
      </c>
      <c r="C1368" s="8" t="str">
        <f t="shared" si="106"/>
        <v/>
      </c>
      <c r="D1368" s="8" t="str">
        <f t="shared" si="107"/>
        <v/>
      </c>
      <c r="F1368" s="4" t="str">
        <f>IF(Jugadores!B1368="","",Jugadores!B1368)</f>
        <v/>
      </c>
      <c r="G1368" s="4" t="str">
        <f>IF(Jugadores!B1368="","",Jugadores!A1368)</f>
        <v/>
      </c>
      <c r="H1368" s="4" t="str">
        <f>IF(F1368="","",SUMIF('Estadísticas Jugadores'!$F$2:$F$7001,F1368,'Estadísticas Jugadores'!$L$2:$L$7001))</f>
        <v/>
      </c>
      <c r="I1368" s="4" t="str">
        <f t="shared" si="108"/>
        <v/>
      </c>
      <c r="J1368" s="4" t="str">
        <f t="shared" si="109"/>
        <v/>
      </c>
    </row>
    <row r="1369" spans="1:10" ht="15" customHeight="1" x14ac:dyDescent="0.25">
      <c r="A1369" s="8" t="str">
        <f>IF(COUNT($J$2:$J$1501)&gt;=1368,1368,"")</f>
        <v/>
      </c>
      <c r="B1369" s="8" t="str">
        <f t="shared" si="105"/>
        <v/>
      </c>
      <c r="C1369" s="8" t="str">
        <f t="shared" si="106"/>
        <v/>
      </c>
      <c r="D1369" s="8" t="str">
        <f t="shared" si="107"/>
        <v/>
      </c>
      <c r="F1369" s="4" t="str">
        <f>IF(Jugadores!B1369="","",Jugadores!B1369)</f>
        <v/>
      </c>
      <c r="G1369" s="4" t="str">
        <f>IF(Jugadores!B1369="","",Jugadores!A1369)</f>
        <v/>
      </c>
      <c r="H1369" s="4" t="str">
        <f>IF(F1369="","",SUMIF('Estadísticas Jugadores'!$F$2:$F$7001,F1369,'Estadísticas Jugadores'!$L$2:$L$7001))</f>
        <v/>
      </c>
      <c r="I1369" s="4" t="str">
        <f t="shared" si="108"/>
        <v/>
      </c>
      <c r="J1369" s="4" t="str">
        <f t="shared" si="109"/>
        <v/>
      </c>
    </row>
    <row r="1370" spans="1:10" ht="15" customHeight="1" x14ac:dyDescent="0.25">
      <c r="A1370" s="8" t="str">
        <f>IF(COUNT($J$2:$J$1501)&gt;=1369,1369,"")</f>
        <v/>
      </c>
      <c r="B1370" s="8" t="str">
        <f t="shared" si="105"/>
        <v/>
      </c>
      <c r="C1370" s="8" t="str">
        <f t="shared" si="106"/>
        <v/>
      </c>
      <c r="D1370" s="8" t="str">
        <f t="shared" si="107"/>
        <v/>
      </c>
      <c r="F1370" s="4" t="str">
        <f>IF(Jugadores!B1370="","",Jugadores!B1370)</f>
        <v/>
      </c>
      <c r="G1370" s="4" t="str">
        <f>IF(Jugadores!B1370="","",Jugadores!A1370)</f>
        <v/>
      </c>
      <c r="H1370" s="4" t="str">
        <f>IF(F1370="","",SUMIF('Estadísticas Jugadores'!$F$2:$F$7001,F1370,'Estadísticas Jugadores'!$L$2:$L$7001))</f>
        <v/>
      </c>
      <c r="I1370" s="4" t="str">
        <f t="shared" si="108"/>
        <v/>
      </c>
      <c r="J1370" s="4" t="str">
        <f t="shared" si="109"/>
        <v/>
      </c>
    </row>
    <row r="1371" spans="1:10" ht="15" customHeight="1" x14ac:dyDescent="0.25">
      <c r="A1371" s="8" t="str">
        <f>IF(COUNT($J$2:$J$1501)&gt;=1370,1370,"")</f>
        <v/>
      </c>
      <c r="B1371" s="8" t="str">
        <f t="shared" si="105"/>
        <v/>
      </c>
      <c r="C1371" s="8" t="str">
        <f t="shared" si="106"/>
        <v/>
      </c>
      <c r="D1371" s="8" t="str">
        <f t="shared" si="107"/>
        <v/>
      </c>
      <c r="F1371" s="4" t="str">
        <f>IF(Jugadores!B1371="","",Jugadores!B1371)</f>
        <v/>
      </c>
      <c r="G1371" s="4" t="str">
        <f>IF(Jugadores!B1371="","",Jugadores!A1371)</f>
        <v/>
      </c>
      <c r="H1371" s="4" t="str">
        <f>IF(F1371="","",SUMIF('Estadísticas Jugadores'!$F$2:$F$7001,F1371,'Estadísticas Jugadores'!$L$2:$L$7001))</f>
        <v/>
      </c>
      <c r="I1371" s="4" t="str">
        <f t="shared" si="108"/>
        <v/>
      </c>
      <c r="J1371" s="4" t="str">
        <f t="shared" si="109"/>
        <v/>
      </c>
    </row>
    <row r="1372" spans="1:10" ht="15" customHeight="1" x14ac:dyDescent="0.25">
      <c r="A1372" s="8" t="str">
        <f>IF(COUNT($J$2:$J$1501)&gt;=1371,1371,"")</f>
        <v/>
      </c>
      <c r="B1372" s="8" t="str">
        <f t="shared" si="105"/>
        <v/>
      </c>
      <c r="C1372" s="8" t="str">
        <f t="shared" si="106"/>
        <v/>
      </c>
      <c r="D1372" s="8" t="str">
        <f t="shared" si="107"/>
        <v/>
      </c>
      <c r="F1372" s="4" t="str">
        <f>IF(Jugadores!B1372="","",Jugadores!B1372)</f>
        <v/>
      </c>
      <c r="G1372" s="4" t="str">
        <f>IF(Jugadores!B1372="","",Jugadores!A1372)</f>
        <v/>
      </c>
      <c r="H1372" s="4" t="str">
        <f>IF(F1372="","",SUMIF('Estadísticas Jugadores'!$F$2:$F$7001,F1372,'Estadísticas Jugadores'!$L$2:$L$7001))</f>
        <v/>
      </c>
      <c r="I1372" s="4" t="str">
        <f t="shared" si="108"/>
        <v/>
      </c>
      <c r="J1372" s="4" t="str">
        <f t="shared" si="109"/>
        <v/>
      </c>
    </row>
    <row r="1373" spans="1:10" ht="15" customHeight="1" x14ac:dyDescent="0.25">
      <c r="A1373" s="8" t="str">
        <f>IF(COUNT($J$2:$J$1501)&gt;=1372,1372,"")</f>
        <v/>
      </c>
      <c r="B1373" s="8" t="str">
        <f t="shared" si="105"/>
        <v/>
      </c>
      <c r="C1373" s="8" t="str">
        <f t="shared" si="106"/>
        <v/>
      </c>
      <c r="D1373" s="8" t="str">
        <f t="shared" si="107"/>
        <v/>
      </c>
      <c r="F1373" s="4" t="str">
        <f>IF(Jugadores!B1373="","",Jugadores!B1373)</f>
        <v/>
      </c>
      <c r="G1373" s="4" t="str">
        <f>IF(Jugadores!B1373="","",Jugadores!A1373)</f>
        <v/>
      </c>
      <c r="H1373" s="4" t="str">
        <f>IF(F1373="","",SUMIF('Estadísticas Jugadores'!$F$2:$F$7001,F1373,'Estadísticas Jugadores'!$L$2:$L$7001))</f>
        <v/>
      </c>
      <c r="I1373" s="4" t="str">
        <f t="shared" si="108"/>
        <v/>
      </c>
      <c r="J1373" s="4" t="str">
        <f t="shared" si="109"/>
        <v/>
      </c>
    </row>
    <row r="1374" spans="1:10" ht="15" customHeight="1" x14ac:dyDescent="0.25">
      <c r="A1374" s="8" t="str">
        <f>IF(COUNT($J$2:$J$1501)&gt;=1373,1373,"")</f>
        <v/>
      </c>
      <c r="B1374" s="8" t="str">
        <f t="shared" si="105"/>
        <v/>
      </c>
      <c r="C1374" s="8" t="str">
        <f t="shared" si="106"/>
        <v/>
      </c>
      <c r="D1374" s="8" t="str">
        <f t="shared" si="107"/>
        <v/>
      </c>
      <c r="F1374" s="4" t="str">
        <f>IF(Jugadores!B1374="","",Jugadores!B1374)</f>
        <v/>
      </c>
      <c r="G1374" s="4" t="str">
        <f>IF(Jugadores!B1374="","",Jugadores!A1374)</f>
        <v/>
      </c>
      <c r="H1374" s="4" t="str">
        <f>IF(F1374="","",SUMIF('Estadísticas Jugadores'!$F$2:$F$7001,F1374,'Estadísticas Jugadores'!$L$2:$L$7001))</f>
        <v/>
      </c>
      <c r="I1374" s="4" t="str">
        <f t="shared" si="108"/>
        <v/>
      </c>
      <c r="J1374" s="4" t="str">
        <f t="shared" si="109"/>
        <v/>
      </c>
    </row>
    <row r="1375" spans="1:10" ht="15" customHeight="1" x14ac:dyDescent="0.25">
      <c r="A1375" s="8" t="str">
        <f>IF(COUNT($J$2:$J$1501)&gt;=1374,1374,"")</f>
        <v/>
      </c>
      <c r="B1375" s="8" t="str">
        <f t="shared" si="105"/>
        <v/>
      </c>
      <c r="C1375" s="8" t="str">
        <f t="shared" si="106"/>
        <v/>
      </c>
      <c r="D1375" s="8" t="str">
        <f t="shared" si="107"/>
        <v/>
      </c>
      <c r="F1375" s="4" t="str">
        <f>IF(Jugadores!B1375="","",Jugadores!B1375)</f>
        <v/>
      </c>
      <c r="G1375" s="4" t="str">
        <f>IF(Jugadores!B1375="","",Jugadores!A1375)</f>
        <v/>
      </c>
      <c r="H1375" s="4" t="str">
        <f>IF(F1375="","",SUMIF('Estadísticas Jugadores'!$F$2:$F$7001,F1375,'Estadísticas Jugadores'!$L$2:$L$7001))</f>
        <v/>
      </c>
      <c r="I1375" s="4" t="str">
        <f t="shared" si="108"/>
        <v/>
      </c>
      <c r="J1375" s="4" t="str">
        <f t="shared" si="109"/>
        <v/>
      </c>
    </row>
    <row r="1376" spans="1:10" ht="15" customHeight="1" x14ac:dyDescent="0.25">
      <c r="A1376" s="8" t="str">
        <f>IF(COUNT($J$2:$J$1501)&gt;=1375,1375,"")</f>
        <v/>
      </c>
      <c r="B1376" s="8" t="str">
        <f t="shared" si="105"/>
        <v/>
      </c>
      <c r="C1376" s="8" t="str">
        <f t="shared" si="106"/>
        <v/>
      </c>
      <c r="D1376" s="8" t="str">
        <f t="shared" si="107"/>
        <v/>
      </c>
      <c r="F1376" s="4" t="str">
        <f>IF(Jugadores!B1376="","",Jugadores!B1376)</f>
        <v/>
      </c>
      <c r="G1376" s="4" t="str">
        <f>IF(Jugadores!B1376="","",Jugadores!A1376)</f>
        <v/>
      </c>
      <c r="H1376" s="4" t="str">
        <f>IF(F1376="","",SUMIF('Estadísticas Jugadores'!$F$2:$F$7001,F1376,'Estadísticas Jugadores'!$L$2:$L$7001))</f>
        <v/>
      </c>
      <c r="I1376" s="4" t="str">
        <f t="shared" si="108"/>
        <v/>
      </c>
      <c r="J1376" s="4" t="str">
        <f t="shared" si="109"/>
        <v/>
      </c>
    </row>
    <row r="1377" spans="1:10" ht="15" customHeight="1" x14ac:dyDescent="0.25">
      <c r="A1377" s="8" t="str">
        <f>IF(COUNT($J$2:$J$1501)&gt;=1376,1376,"")</f>
        <v/>
      </c>
      <c r="B1377" s="8" t="str">
        <f t="shared" si="105"/>
        <v/>
      </c>
      <c r="C1377" s="8" t="str">
        <f t="shared" si="106"/>
        <v/>
      </c>
      <c r="D1377" s="8" t="str">
        <f t="shared" si="107"/>
        <v/>
      </c>
      <c r="F1377" s="4" t="str">
        <f>IF(Jugadores!B1377="","",Jugadores!B1377)</f>
        <v/>
      </c>
      <c r="G1377" s="4" t="str">
        <f>IF(Jugadores!B1377="","",Jugadores!A1377)</f>
        <v/>
      </c>
      <c r="H1377" s="4" t="str">
        <f>IF(F1377="","",SUMIF('Estadísticas Jugadores'!$F$2:$F$7001,F1377,'Estadísticas Jugadores'!$L$2:$L$7001))</f>
        <v/>
      </c>
      <c r="I1377" s="4" t="str">
        <f t="shared" si="108"/>
        <v/>
      </c>
      <c r="J1377" s="4" t="str">
        <f t="shared" si="109"/>
        <v/>
      </c>
    </row>
    <row r="1378" spans="1:10" ht="15" customHeight="1" x14ac:dyDescent="0.25">
      <c r="A1378" s="8" t="str">
        <f>IF(COUNT($J$2:$J$1501)&gt;=1377,1377,"")</f>
        <v/>
      </c>
      <c r="B1378" s="8" t="str">
        <f t="shared" si="105"/>
        <v/>
      </c>
      <c r="C1378" s="8" t="str">
        <f t="shared" si="106"/>
        <v/>
      </c>
      <c r="D1378" s="8" t="str">
        <f t="shared" si="107"/>
        <v/>
      </c>
      <c r="F1378" s="4" t="str">
        <f>IF(Jugadores!B1378="","",Jugadores!B1378)</f>
        <v/>
      </c>
      <c r="G1378" s="4" t="str">
        <f>IF(Jugadores!B1378="","",Jugadores!A1378)</f>
        <v/>
      </c>
      <c r="H1378" s="4" t="str">
        <f>IF(F1378="","",SUMIF('Estadísticas Jugadores'!$F$2:$F$7001,F1378,'Estadísticas Jugadores'!$L$2:$L$7001))</f>
        <v/>
      </c>
      <c r="I1378" s="4" t="str">
        <f t="shared" si="108"/>
        <v/>
      </c>
      <c r="J1378" s="4" t="str">
        <f t="shared" si="109"/>
        <v/>
      </c>
    </row>
    <row r="1379" spans="1:10" ht="15" customHeight="1" x14ac:dyDescent="0.25">
      <c r="A1379" s="8" t="str">
        <f>IF(COUNT($J$2:$J$1501)&gt;=1378,1378,"")</f>
        <v/>
      </c>
      <c r="B1379" s="8" t="str">
        <f t="shared" si="105"/>
        <v/>
      </c>
      <c r="C1379" s="8" t="str">
        <f t="shared" si="106"/>
        <v/>
      </c>
      <c r="D1379" s="8" t="str">
        <f t="shared" si="107"/>
        <v/>
      </c>
      <c r="F1379" s="4" t="str">
        <f>IF(Jugadores!B1379="","",Jugadores!B1379)</f>
        <v/>
      </c>
      <c r="G1379" s="4" t="str">
        <f>IF(Jugadores!B1379="","",Jugadores!A1379)</f>
        <v/>
      </c>
      <c r="H1379" s="4" t="str">
        <f>IF(F1379="","",SUMIF('Estadísticas Jugadores'!$F$2:$F$7001,F1379,'Estadísticas Jugadores'!$L$2:$L$7001))</f>
        <v/>
      </c>
      <c r="I1379" s="4" t="str">
        <f t="shared" si="108"/>
        <v/>
      </c>
      <c r="J1379" s="4" t="str">
        <f t="shared" si="109"/>
        <v/>
      </c>
    </row>
    <row r="1380" spans="1:10" ht="15" customHeight="1" x14ac:dyDescent="0.25">
      <c r="A1380" s="8" t="str">
        <f>IF(COUNT($J$2:$J$1501)&gt;=1379,1379,"")</f>
        <v/>
      </c>
      <c r="B1380" s="8" t="str">
        <f t="shared" si="105"/>
        <v/>
      </c>
      <c r="C1380" s="8" t="str">
        <f t="shared" si="106"/>
        <v/>
      </c>
      <c r="D1380" s="8" t="str">
        <f t="shared" si="107"/>
        <v/>
      </c>
      <c r="F1380" s="4" t="str">
        <f>IF(Jugadores!B1380="","",Jugadores!B1380)</f>
        <v/>
      </c>
      <c r="G1380" s="4" t="str">
        <f>IF(Jugadores!B1380="","",Jugadores!A1380)</f>
        <v/>
      </c>
      <c r="H1380" s="4" t="str">
        <f>IF(F1380="","",SUMIF('Estadísticas Jugadores'!$F$2:$F$7001,F1380,'Estadísticas Jugadores'!$L$2:$L$7001))</f>
        <v/>
      </c>
      <c r="I1380" s="4" t="str">
        <f t="shared" si="108"/>
        <v/>
      </c>
      <c r="J1380" s="4" t="str">
        <f t="shared" si="109"/>
        <v/>
      </c>
    </row>
    <row r="1381" spans="1:10" ht="15" customHeight="1" x14ac:dyDescent="0.25">
      <c r="A1381" s="8" t="str">
        <f>IF(COUNT($J$2:$J$1501)&gt;=1380,1380,"")</f>
        <v/>
      </c>
      <c r="B1381" s="8" t="str">
        <f t="shared" si="105"/>
        <v/>
      </c>
      <c r="C1381" s="8" t="str">
        <f t="shared" si="106"/>
        <v/>
      </c>
      <c r="D1381" s="8" t="str">
        <f t="shared" si="107"/>
        <v/>
      </c>
      <c r="F1381" s="4" t="str">
        <f>IF(Jugadores!B1381="","",Jugadores!B1381)</f>
        <v/>
      </c>
      <c r="G1381" s="4" t="str">
        <f>IF(Jugadores!B1381="","",Jugadores!A1381)</f>
        <v/>
      </c>
      <c r="H1381" s="4" t="str">
        <f>IF(F1381="","",SUMIF('Estadísticas Jugadores'!$F$2:$F$7001,F1381,'Estadísticas Jugadores'!$L$2:$L$7001))</f>
        <v/>
      </c>
      <c r="I1381" s="4" t="str">
        <f t="shared" si="108"/>
        <v/>
      </c>
      <c r="J1381" s="4" t="str">
        <f t="shared" si="109"/>
        <v/>
      </c>
    </row>
    <row r="1382" spans="1:10" ht="15" customHeight="1" x14ac:dyDescent="0.25">
      <c r="A1382" s="8" t="str">
        <f>IF(COUNT($J$2:$J$1501)&gt;=1381,1381,"")</f>
        <v/>
      </c>
      <c r="B1382" s="8" t="str">
        <f t="shared" si="105"/>
        <v/>
      </c>
      <c r="C1382" s="8" t="str">
        <f t="shared" si="106"/>
        <v/>
      </c>
      <c r="D1382" s="8" t="str">
        <f t="shared" si="107"/>
        <v/>
      </c>
      <c r="F1382" s="4" t="str">
        <f>IF(Jugadores!B1382="","",Jugadores!B1382)</f>
        <v/>
      </c>
      <c r="G1382" s="4" t="str">
        <f>IF(Jugadores!B1382="","",Jugadores!A1382)</f>
        <v/>
      </c>
      <c r="H1382" s="4" t="str">
        <f>IF(F1382="","",SUMIF('Estadísticas Jugadores'!$F$2:$F$7001,F1382,'Estadísticas Jugadores'!$L$2:$L$7001))</f>
        <v/>
      </c>
      <c r="I1382" s="4" t="str">
        <f t="shared" si="108"/>
        <v/>
      </c>
      <c r="J1382" s="4" t="str">
        <f t="shared" si="109"/>
        <v/>
      </c>
    </row>
    <row r="1383" spans="1:10" ht="15" customHeight="1" x14ac:dyDescent="0.25">
      <c r="A1383" s="8" t="str">
        <f>IF(COUNT($J$2:$J$1501)&gt;=1382,1382,"")</f>
        <v/>
      </c>
      <c r="B1383" s="8" t="str">
        <f t="shared" si="105"/>
        <v/>
      </c>
      <c r="C1383" s="8" t="str">
        <f t="shared" si="106"/>
        <v/>
      </c>
      <c r="D1383" s="8" t="str">
        <f t="shared" si="107"/>
        <v/>
      </c>
      <c r="F1383" s="4" t="str">
        <f>IF(Jugadores!B1383="","",Jugadores!B1383)</f>
        <v/>
      </c>
      <c r="G1383" s="4" t="str">
        <f>IF(Jugadores!B1383="","",Jugadores!A1383)</f>
        <v/>
      </c>
      <c r="H1383" s="4" t="str">
        <f>IF(F1383="","",SUMIF('Estadísticas Jugadores'!$F$2:$F$7001,F1383,'Estadísticas Jugadores'!$L$2:$L$7001))</f>
        <v/>
      </c>
      <c r="I1383" s="4" t="str">
        <f t="shared" si="108"/>
        <v/>
      </c>
      <c r="J1383" s="4" t="str">
        <f t="shared" si="109"/>
        <v/>
      </c>
    </row>
    <row r="1384" spans="1:10" ht="15" customHeight="1" x14ac:dyDescent="0.25">
      <c r="A1384" s="8" t="str">
        <f>IF(COUNT($J$2:$J$1501)&gt;=1383,1383,"")</f>
        <v/>
      </c>
      <c r="B1384" s="8" t="str">
        <f t="shared" si="105"/>
        <v/>
      </c>
      <c r="C1384" s="8" t="str">
        <f t="shared" si="106"/>
        <v/>
      </c>
      <c r="D1384" s="8" t="str">
        <f t="shared" si="107"/>
        <v/>
      </c>
      <c r="F1384" s="4" t="str">
        <f>IF(Jugadores!B1384="","",Jugadores!B1384)</f>
        <v/>
      </c>
      <c r="G1384" s="4" t="str">
        <f>IF(Jugadores!B1384="","",Jugadores!A1384)</f>
        <v/>
      </c>
      <c r="H1384" s="4" t="str">
        <f>IF(F1384="","",SUMIF('Estadísticas Jugadores'!$F$2:$F$7001,F1384,'Estadísticas Jugadores'!$L$2:$L$7001))</f>
        <v/>
      </c>
      <c r="I1384" s="4" t="str">
        <f t="shared" si="108"/>
        <v/>
      </c>
      <c r="J1384" s="4" t="str">
        <f t="shared" si="109"/>
        <v/>
      </c>
    </row>
    <row r="1385" spans="1:10" ht="15" customHeight="1" x14ac:dyDescent="0.25">
      <c r="A1385" s="8" t="str">
        <f>IF(COUNT($J$2:$J$1501)&gt;=1384,1384,"")</f>
        <v/>
      </c>
      <c r="B1385" s="8" t="str">
        <f t="shared" si="105"/>
        <v/>
      </c>
      <c r="C1385" s="8" t="str">
        <f t="shared" si="106"/>
        <v/>
      </c>
      <c r="D1385" s="8" t="str">
        <f t="shared" si="107"/>
        <v/>
      </c>
      <c r="F1385" s="4" t="str">
        <f>IF(Jugadores!B1385="","",Jugadores!B1385)</f>
        <v/>
      </c>
      <c r="G1385" s="4" t="str">
        <f>IF(Jugadores!B1385="","",Jugadores!A1385)</f>
        <v/>
      </c>
      <c r="H1385" s="4" t="str">
        <f>IF(F1385="","",SUMIF('Estadísticas Jugadores'!$F$2:$F$7001,F1385,'Estadísticas Jugadores'!$L$2:$L$7001))</f>
        <v/>
      </c>
      <c r="I1385" s="4" t="str">
        <f t="shared" si="108"/>
        <v/>
      </c>
      <c r="J1385" s="4" t="str">
        <f t="shared" si="109"/>
        <v/>
      </c>
    </row>
    <row r="1386" spans="1:10" ht="15" customHeight="1" x14ac:dyDescent="0.25">
      <c r="A1386" s="8" t="str">
        <f>IF(COUNT($J$2:$J$1501)&gt;=1385,1385,"")</f>
        <v/>
      </c>
      <c r="B1386" s="8" t="str">
        <f t="shared" si="105"/>
        <v/>
      </c>
      <c r="C1386" s="8" t="str">
        <f t="shared" si="106"/>
        <v/>
      </c>
      <c r="D1386" s="8" t="str">
        <f t="shared" si="107"/>
        <v/>
      </c>
      <c r="F1386" s="4" t="str">
        <f>IF(Jugadores!B1386="","",Jugadores!B1386)</f>
        <v/>
      </c>
      <c r="G1386" s="4" t="str">
        <f>IF(Jugadores!B1386="","",Jugadores!A1386)</f>
        <v/>
      </c>
      <c r="H1386" s="4" t="str">
        <f>IF(F1386="","",SUMIF('Estadísticas Jugadores'!$F$2:$F$7001,F1386,'Estadísticas Jugadores'!$L$2:$L$7001))</f>
        <v/>
      </c>
      <c r="I1386" s="4" t="str">
        <f t="shared" si="108"/>
        <v/>
      </c>
      <c r="J1386" s="4" t="str">
        <f t="shared" si="109"/>
        <v/>
      </c>
    </row>
    <row r="1387" spans="1:10" ht="15" customHeight="1" x14ac:dyDescent="0.25">
      <c r="A1387" s="8" t="str">
        <f>IF(COUNT($J$2:$J$1501)&gt;=1386,1386,"")</f>
        <v/>
      </c>
      <c r="B1387" s="8" t="str">
        <f t="shared" si="105"/>
        <v/>
      </c>
      <c r="C1387" s="8" t="str">
        <f t="shared" si="106"/>
        <v/>
      </c>
      <c r="D1387" s="8" t="str">
        <f t="shared" si="107"/>
        <v/>
      </c>
      <c r="F1387" s="4" t="str">
        <f>IF(Jugadores!B1387="","",Jugadores!B1387)</f>
        <v/>
      </c>
      <c r="G1387" s="4" t="str">
        <f>IF(Jugadores!B1387="","",Jugadores!A1387)</f>
        <v/>
      </c>
      <c r="H1387" s="4" t="str">
        <f>IF(F1387="","",SUMIF('Estadísticas Jugadores'!$F$2:$F$7001,F1387,'Estadísticas Jugadores'!$L$2:$L$7001))</f>
        <v/>
      </c>
      <c r="I1387" s="4" t="str">
        <f t="shared" si="108"/>
        <v/>
      </c>
      <c r="J1387" s="4" t="str">
        <f t="shared" si="109"/>
        <v/>
      </c>
    </row>
    <row r="1388" spans="1:10" ht="15" customHeight="1" x14ac:dyDescent="0.25">
      <c r="A1388" s="8" t="str">
        <f>IF(COUNT($J$2:$J$1501)&gt;=1387,1387,"")</f>
        <v/>
      </c>
      <c r="B1388" s="8" t="str">
        <f t="shared" si="105"/>
        <v/>
      </c>
      <c r="C1388" s="8" t="str">
        <f t="shared" si="106"/>
        <v/>
      </c>
      <c r="D1388" s="8" t="str">
        <f t="shared" si="107"/>
        <v/>
      </c>
      <c r="F1388" s="4" t="str">
        <f>IF(Jugadores!B1388="","",Jugadores!B1388)</f>
        <v/>
      </c>
      <c r="G1388" s="4" t="str">
        <f>IF(Jugadores!B1388="","",Jugadores!A1388)</f>
        <v/>
      </c>
      <c r="H1388" s="4" t="str">
        <f>IF(F1388="","",SUMIF('Estadísticas Jugadores'!$F$2:$F$7001,F1388,'Estadísticas Jugadores'!$L$2:$L$7001))</f>
        <v/>
      </c>
      <c r="I1388" s="4" t="str">
        <f t="shared" si="108"/>
        <v/>
      </c>
      <c r="J1388" s="4" t="str">
        <f t="shared" si="109"/>
        <v/>
      </c>
    </row>
    <row r="1389" spans="1:10" ht="15" customHeight="1" x14ac:dyDescent="0.25">
      <c r="A1389" s="8" t="str">
        <f>IF(COUNT($J$2:$J$1501)&gt;=1388,1388,"")</f>
        <v/>
      </c>
      <c r="B1389" s="8" t="str">
        <f t="shared" si="105"/>
        <v/>
      </c>
      <c r="C1389" s="8" t="str">
        <f t="shared" si="106"/>
        <v/>
      </c>
      <c r="D1389" s="8" t="str">
        <f t="shared" si="107"/>
        <v/>
      </c>
      <c r="F1389" s="4" t="str">
        <f>IF(Jugadores!B1389="","",Jugadores!B1389)</f>
        <v/>
      </c>
      <c r="G1389" s="4" t="str">
        <f>IF(Jugadores!B1389="","",Jugadores!A1389)</f>
        <v/>
      </c>
      <c r="H1389" s="4" t="str">
        <f>IF(F1389="","",SUMIF('Estadísticas Jugadores'!$F$2:$F$7001,F1389,'Estadísticas Jugadores'!$L$2:$L$7001))</f>
        <v/>
      </c>
      <c r="I1389" s="4" t="str">
        <f t="shared" si="108"/>
        <v/>
      </c>
      <c r="J1389" s="4" t="str">
        <f t="shared" si="109"/>
        <v/>
      </c>
    </row>
    <row r="1390" spans="1:10" ht="15" customHeight="1" x14ac:dyDescent="0.25">
      <c r="A1390" s="8" t="str">
        <f>IF(COUNT($J$2:$J$1501)&gt;=1389,1389,"")</f>
        <v/>
      </c>
      <c r="B1390" s="8" t="str">
        <f t="shared" si="105"/>
        <v/>
      </c>
      <c r="C1390" s="8" t="str">
        <f t="shared" si="106"/>
        <v/>
      </c>
      <c r="D1390" s="8" t="str">
        <f t="shared" si="107"/>
        <v/>
      </c>
      <c r="F1390" s="4" t="str">
        <f>IF(Jugadores!B1390="","",Jugadores!B1390)</f>
        <v/>
      </c>
      <c r="G1390" s="4" t="str">
        <f>IF(Jugadores!B1390="","",Jugadores!A1390)</f>
        <v/>
      </c>
      <c r="H1390" s="4" t="str">
        <f>IF(F1390="","",SUMIF('Estadísticas Jugadores'!$F$2:$F$7001,F1390,'Estadísticas Jugadores'!$L$2:$L$7001))</f>
        <v/>
      </c>
      <c r="I1390" s="4" t="str">
        <f t="shared" si="108"/>
        <v/>
      </c>
      <c r="J1390" s="4" t="str">
        <f t="shared" si="109"/>
        <v/>
      </c>
    </row>
    <row r="1391" spans="1:10" ht="15" customHeight="1" x14ac:dyDescent="0.25">
      <c r="A1391" s="8" t="str">
        <f>IF(COUNT($J$2:$J$1501)&gt;=1390,1390,"")</f>
        <v/>
      </c>
      <c r="B1391" s="8" t="str">
        <f t="shared" si="105"/>
        <v/>
      </c>
      <c r="C1391" s="8" t="str">
        <f t="shared" si="106"/>
        <v/>
      </c>
      <c r="D1391" s="8" t="str">
        <f t="shared" si="107"/>
        <v/>
      </c>
      <c r="F1391" s="4" t="str">
        <f>IF(Jugadores!B1391="","",Jugadores!B1391)</f>
        <v/>
      </c>
      <c r="G1391" s="4" t="str">
        <f>IF(Jugadores!B1391="","",Jugadores!A1391)</f>
        <v/>
      </c>
      <c r="H1391" s="4" t="str">
        <f>IF(F1391="","",SUMIF('Estadísticas Jugadores'!$F$2:$F$7001,F1391,'Estadísticas Jugadores'!$L$2:$L$7001))</f>
        <v/>
      </c>
      <c r="I1391" s="4" t="str">
        <f t="shared" si="108"/>
        <v/>
      </c>
      <c r="J1391" s="4" t="str">
        <f t="shared" si="109"/>
        <v/>
      </c>
    </row>
    <row r="1392" spans="1:10" ht="15" customHeight="1" x14ac:dyDescent="0.25">
      <c r="A1392" s="8" t="str">
        <f>IF(COUNT($J$2:$J$1501)&gt;=1391,1391,"")</f>
        <v/>
      </c>
      <c r="B1392" s="8" t="str">
        <f t="shared" si="105"/>
        <v/>
      </c>
      <c r="C1392" s="8" t="str">
        <f t="shared" si="106"/>
        <v/>
      </c>
      <c r="D1392" s="8" t="str">
        <f t="shared" si="107"/>
        <v/>
      </c>
      <c r="F1392" s="4" t="str">
        <f>IF(Jugadores!B1392="","",Jugadores!B1392)</f>
        <v/>
      </c>
      <c r="G1392" s="4" t="str">
        <f>IF(Jugadores!B1392="","",Jugadores!A1392)</f>
        <v/>
      </c>
      <c r="H1392" s="4" t="str">
        <f>IF(F1392="","",SUMIF('Estadísticas Jugadores'!$F$2:$F$7001,F1392,'Estadísticas Jugadores'!$L$2:$L$7001))</f>
        <v/>
      </c>
      <c r="I1392" s="4" t="str">
        <f t="shared" si="108"/>
        <v/>
      </c>
      <c r="J1392" s="4" t="str">
        <f t="shared" si="109"/>
        <v/>
      </c>
    </row>
    <row r="1393" spans="1:10" ht="15" customHeight="1" x14ac:dyDescent="0.25">
      <c r="A1393" s="8" t="str">
        <f>IF(COUNT($J$2:$J$1501)&gt;=1392,1392,"")</f>
        <v/>
      </c>
      <c r="B1393" s="8" t="str">
        <f t="shared" si="105"/>
        <v/>
      </c>
      <c r="C1393" s="8" t="str">
        <f t="shared" si="106"/>
        <v/>
      </c>
      <c r="D1393" s="8" t="str">
        <f t="shared" si="107"/>
        <v/>
      </c>
      <c r="F1393" s="4" t="str">
        <f>IF(Jugadores!B1393="","",Jugadores!B1393)</f>
        <v/>
      </c>
      <c r="G1393" s="4" t="str">
        <f>IF(Jugadores!B1393="","",Jugadores!A1393)</f>
        <v/>
      </c>
      <c r="H1393" s="4" t="str">
        <f>IF(F1393="","",SUMIF('Estadísticas Jugadores'!$F$2:$F$7001,F1393,'Estadísticas Jugadores'!$L$2:$L$7001))</f>
        <v/>
      </c>
      <c r="I1393" s="4" t="str">
        <f t="shared" si="108"/>
        <v/>
      </c>
      <c r="J1393" s="4" t="str">
        <f t="shared" si="109"/>
        <v/>
      </c>
    </row>
    <row r="1394" spans="1:10" ht="15" customHeight="1" x14ac:dyDescent="0.25">
      <c r="A1394" s="8" t="str">
        <f>IF(COUNT($J$2:$J$1501)&gt;=1393,1393,"")</f>
        <v/>
      </c>
      <c r="B1394" s="8" t="str">
        <f t="shared" si="105"/>
        <v/>
      </c>
      <c r="C1394" s="8" t="str">
        <f t="shared" si="106"/>
        <v/>
      </c>
      <c r="D1394" s="8" t="str">
        <f t="shared" si="107"/>
        <v/>
      </c>
      <c r="F1394" s="4" t="str">
        <f>IF(Jugadores!B1394="","",Jugadores!B1394)</f>
        <v/>
      </c>
      <c r="G1394" s="4" t="str">
        <f>IF(Jugadores!B1394="","",Jugadores!A1394)</f>
        <v/>
      </c>
      <c r="H1394" s="4" t="str">
        <f>IF(F1394="","",SUMIF('Estadísticas Jugadores'!$F$2:$F$7001,F1394,'Estadísticas Jugadores'!$L$2:$L$7001))</f>
        <v/>
      </c>
      <c r="I1394" s="4" t="str">
        <f t="shared" si="108"/>
        <v/>
      </c>
      <c r="J1394" s="4" t="str">
        <f t="shared" si="109"/>
        <v/>
      </c>
    </row>
    <row r="1395" spans="1:10" ht="15" customHeight="1" x14ac:dyDescent="0.25">
      <c r="A1395" s="8" t="str">
        <f>IF(COUNT($J$2:$J$1501)&gt;=1394,1394,"")</f>
        <v/>
      </c>
      <c r="B1395" s="8" t="str">
        <f t="shared" si="105"/>
        <v/>
      </c>
      <c r="C1395" s="8" t="str">
        <f t="shared" si="106"/>
        <v/>
      </c>
      <c r="D1395" s="8" t="str">
        <f t="shared" si="107"/>
        <v/>
      </c>
      <c r="F1395" s="4" t="str">
        <f>IF(Jugadores!B1395="","",Jugadores!B1395)</f>
        <v/>
      </c>
      <c r="G1395" s="4" t="str">
        <f>IF(Jugadores!B1395="","",Jugadores!A1395)</f>
        <v/>
      </c>
      <c r="H1395" s="4" t="str">
        <f>IF(F1395="","",SUMIF('Estadísticas Jugadores'!$F$2:$F$7001,F1395,'Estadísticas Jugadores'!$L$2:$L$7001))</f>
        <v/>
      </c>
      <c r="I1395" s="4" t="str">
        <f t="shared" si="108"/>
        <v/>
      </c>
      <c r="J1395" s="4" t="str">
        <f t="shared" si="109"/>
        <v/>
      </c>
    </row>
    <row r="1396" spans="1:10" ht="15" customHeight="1" x14ac:dyDescent="0.25">
      <c r="A1396" s="8" t="str">
        <f>IF(COUNT($J$2:$J$1501)&gt;=1395,1395,"")</f>
        <v/>
      </c>
      <c r="B1396" s="8" t="str">
        <f t="shared" si="105"/>
        <v/>
      </c>
      <c r="C1396" s="8" t="str">
        <f t="shared" si="106"/>
        <v/>
      </c>
      <c r="D1396" s="8" t="str">
        <f t="shared" si="107"/>
        <v/>
      </c>
      <c r="F1396" s="4" t="str">
        <f>IF(Jugadores!B1396="","",Jugadores!B1396)</f>
        <v/>
      </c>
      <c r="G1396" s="4" t="str">
        <f>IF(Jugadores!B1396="","",Jugadores!A1396)</f>
        <v/>
      </c>
      <c r="H1396" s="4" t="str">
        <f>IF(F1396="","",SUMIF('Estadísticas Jugadores'!$F$2:$F$7001,F1396,'Estadísticas Jugadores'!$L$2:$L$7001))</f>
        <v/>
      </c>
      <c r="I1396" s="4" t="str">
        <f t="shared" si="108"/>
        <v/>
      </c>
      <c r="J1396" s="4" t="str">
        <f t="shared" si="109"/>
        <v/>
      </c>
    </row>
    <row r="1397" spans="1:10" ht="15" customHeight="1" x14ac:dyDescent="0.25">
      <c r="A1397" s="8" t="str">
        <f>IF(COUNT($J$2:$J$1501)&gt;=1396,1396,"")</f>
        <v/>
      </c>
      <c r="B1397" s="8" t="str">
        <f t="shared" si="105"/>
        <v/>
      </c>
      <c r="C1397" s="8" t="str">
        <f t="shared" si="106"/>
        <v/>
      </c>
      <c r="D1397" s="8" t="str">
        <f t="shared" si="107"/>
        <v/>
      </c>
      <c r="F1397" s="4" t="str">
        <f>IF(Jugadores!B1397="","",Jugadores!B1397)</f>
        <v/>
      </c>
      <c r="G1397" s="4" t="str">
        <f>IF(Jugadores!B1397="","",Jugadores!A1397)</f>
        <v/>
      </c>
      <c r="H1397" s="4" t="str">
        <f>IF(F1397="","",SUMIF('Estadísticas Jugadores'!$F$2:$F$7001,F1397,'Estadísticas Jugadores'!$L$2:$L$7001))</f>
        <v/>
      </c>
      <c r="I1397" s="4" t="str">
        <f t="shared" si="108"/>
        <v/>
      </c>
      <c r="J1397" s="4" t="str">
        <f t="shared" si="109"/>
        <v/>
      </c>
    </row>
    <row r="1398" spans="1:10" ht="15" customHeight="1" x14ac:dyDescent="0.25">
      <c r="A1398" s="8" t="str">
        <f>IF(COUNT($J$2:$J$1501)&gt;=1397,1397,"")</f>
        <v/>
      </c>
      <c r="B1398" s="8" t="str">
        <f t="shared" si="105"/>
        <v/>
      </c>
      <c r="C1398" s="8" t="str">
        <f t="shared" si="106"/>
        <v/>
      </c>
      <c r="D1398" s="8" t="str">
        <f t="shared" si="107"/>
        <v/>
      </c>
      <c r="F1398" s="4" t="str">
        <f>IF(Jugadores!B1398="","",Jugadores!B1398)</f>
        <v/>
      </c>
      <c r="G1398" s="4" t="str">
        <f>IF(Jugadores!B1398="","",Jugadores!A1398)</f>
        <v/>
      </c>
      <c r="H1398" s="4" t="str">
        <f>IF(F1398="","",SUMIF('Estadísticas Jugadores'!$F$2:$F$7001,F1398,'Estadísticas Jugadores'!$L$2:$L$7001))</f>
        <v/>
      </c>
      <c r="I1398" s="4" t="str">
        <f t="shared" si="108"/>
        <v/>
      </c>
      <c r="J1398" s="4" t="str">
        <f t="shared" si="109"/>
        <v/>
      </c>
    </row>
    <row r="1399" spans="1:10" ht="15" customHeight="1" x14ac:dyDescent="0.25">
      <c r="A1399" s="8" t="str">
        <f>IF(COUNT($J$2:$J$1501)&gt;=1398,1398,"")</f>
        <v/>
      </c>
      <c r="B1399" s="8" t="str">
        <f t="shared" si="105"/>
        <v/>
      </c>
      <c r="C1399" s="8" t="str">
        <f t="shared" si="106"/>
        <v/>
      </c>
      <c r="D1399" s="8" t="str">
        <f t="shared" si="107"/>
        <v/>
      </c>
      <c r="F1399" s="4" t="str">
        <f>IF(Jugadores!B1399="","",Jugadores!B1399)</f>
        <v/>
      </c>
      <c r="G1399" s="4" t="str">
        <f>IF(Jugadores!B1399="","",Jugadores!A1399)</f>
        <v/>
      </c>
      <c r="H1399" s="4" t="str">
        <f>IF(F1399="","",SUMIF('Estadísticas Jugadores'!$F$2:$F$7001,F1399,'Estadísticas Jugadores'!$L$2:$L$7001))</f>
        <v/>
      </c>
      <c r="I1399" s="4" t="str">
        <f t="shared" si="108"/>
        <v/>
      </c>
      <c r="J1399" s="4" t="str">
        <f t="shared" si="109"/>
        <v/>
      </c>
    </row>
    <row r="1400" spans="1:10" ht="15" customHeight="1" x14ac:dyDescent="0.25">
      <c r="A1400" s="8" t="str">
        <f>IF(COUNT($J$2:$J$1501)&gt;=1399,1399,"")</f>
        <v/>
      </c>
      <c r="B1400" s="8" t="str">
        <f t="shared" si="105"/>
        <v/>
      </c>
      <c r="C1400" s="8" t="str">
        <f t="shared" si="106"/>
        <v/>
      </c>
      <c r="D1400" s="8" t="str">
        <f t="shared" si="107"/>
        <v/>
      </c>
      <c r="F1400" s="4" t="str">
        <f>IF(Jugadores!B1400="","",Jugadores!B1400)</f>
        <v/>
      </c>
      <c r="G1400" s="4" t="str">
        <f>IF(Jugadores!B1400="","",Jugadores!A1400)</f>
        <v/>
      </c>
      <c r="H1400" s="4" t="str">
        <f>IF(F1400="","",SUMIF('Estadísticas Jugadores'!$F$2:$F$7001,F1400,'Estadísticas Jugadores'!$L$2:$L$7001))</f>
        <v/>
      </c>
      <c r="I1400" s="4" t="str">
        <f t="shared" si="108"/>
        <v/>
      </c>
      <c r="J1400" s="4" t="str">
        <f t="shared" si="109"/>
        <v/>
      </c>
    </row>
    <row r="1401" spans="1:10" ht="15" customHeight="1" x14ac:dyDescent="0.25">
      <c r="A1401" s="8" t="str">
        <f>IF(COUNT($J$2:$J$1501)&gt;=1400,1400,"")</f>
        <v/>
      </c>
      <c r="B1401" s="8" t="str">
        <f t="shared" si="105"/>
        <v/>
      </c>
      <c r="C1401" s="8" t="str">
        <f t="shared" si="106"/>
        <v/>
      </c>
      <c r="D1401" s="8" t="str">
        <f t="shared" si="107"/>
        <v/>
      </c>
      <c r="F1401" s="4" t="str">
        <f>IF(Jugadores!B1401="","",Jugadores!B1401)</f>
        <v/>
      </c>
      <c r="G1401" s="4" t="str">
        <f>IF(Jugadores!B1401="","",Jugadores!A1401)</f>
        <v/>
      </c>
      <c r="H1401" s="4" t="str">
        <f>IF(F1401="","",SUMIF('Estadísticas Jugadores'!$F$2:$F$7001,F1401,'Estadísticas Jugadores'!$L$2:$L$7001))</f>
        <v/>
      </c>
      <c r="I1401" s="4" t="str">
        <f t="shared" si="108"/>
        <v/>
      </c>
      <c r="J1401" s="4" t="str">
        <f t="shared" si="109"/>
        <v/>
      </c>
    </row>
    <row r="1402" spans="1:10" ht="15" customHeight="1" x14ac:dyDescent="0.25">
      <c r="A1402" s="8" t="str">
        <f>IF(COUNT($J$2:$J$1501)&gt;=1401,1401,"")</f>
        <v/>
      </c>
      <c r="B1402" s="8" t="str">
        <f t="shared" si="105"/>
        <v/>
      </c>
      <c r="C1402" s="8" t="str">
        <f t="shared" si="106"/>
        <v/>
      </c>
      <c r="D1402" s="8" t="str">
        <f t="shared" si="107"/>
        <v/>
      </c>
      <c r="F1402" s="4" t="str">
        <f>IF(Jugadores!B1402="","",Jugadores!B1402)</f>
        <v/>
      </c>
      <c r="G1402" s="4" t="str">
        <f>IF(Jugadores!B1402="","",Jugadores!A1402)</f>
        <v/>
      </c>
      <c r="H1402" s="4" t="str">
        <f>IF(F1402="","",SUMIF('Estadísticas Jugadores'!$F$2:$F$7001,F1402,'Estadísticas Jugadores'!$L$2:$L$7001))</f>
        <v/>
      </c>
      <c r="I1402" s="4" t="str">
        <f t="shared" si="108"/>
        <v/>
      </c>
      <c r="J1402" s="4" t="str">
        <f t="shared" si="109"/>
        <v/>
      </c>
    </row>
    <row r="1403" spans="1:10" ht="15" customHeight="1" x14ac:dyDescent="0.25">
      <c r="A1403" s="8" t="str">
        <f>IF(COUNT($J$2:$J$1501)&gt;=1402,1402,"")</f>
        <v/>
      </c>
      <c r="B1403" s="8" t="str">
        <f t="shared" si="105"/>
        <v/>
      </c>
      <c r="C1403" s="8" t="str">
        <f t="shared" si="106"/>
        <v/>
      </c>
      <c r="D1403" s="8" t="str">
        <f t="shared" si="107"/>
        <v/>
      </c>
      <c r="F1403" s="4" t="str">
        <f>IF(Jugadores!B1403="","",Jugadores!B1403)</f>
        <v/>
      </c>
      <c r="G1403" s="4" t="str">
        <f>IF(Jugadores!B1403="","",Jugadores!A1403)</f>
        <v/>
      </c>
      <c r="H1403" s="4" t="str">
        <f>IF(F1403="","",SUMIF('Estadísticas Jugadores'!$F$2:$F$7001,F1403,'Estadísticas Jugadores'!$L$2:$L$7001))</f>
        <v/>
      </c>
      <c r="I1403" s="4" t="str">
        <f t="shared" si="108"/>
        <v/>
      </c>
      <c r="J1403" s="4" t="str">
        <f t="shared" si="109"/>
        <v/>
      </c>
    </row>
    <row r="1404" spans="1:10" ht="15" customHeight="1" x14ac:dyDescent="0.25">
      <c r="A1404" s="8" t="str">
        <f>IF(COUNT($J$2:$J$1501)&gt;=1403,1403,"")</f>
        <v/>
      </c>
      <c r="B1404" s="8" t="str">
        <f t="shared" si="105"/>
        <v/>
      </c>
      <c r="C1404" s="8" t="str">
        <f t="shared" si="106"/>
        <v/>
      </c>
      <c r="D1404" s="8" t="str">
        <f t="shared" si="107"/>
        <v/>
      </c>
      <c r="F1404" s="4" t="str">
        <f>IF(Jugadores!B1404="","",Jugadores!B1404)</f>
        <v/>
      </c>
      <c r="G1404" s="4" t="str">
        <f>IF(Jugadores!B1404="","",Jugadores!A1404)</f>
        <v/>
      </c>
      <c r="H1404" s="4" t="str">
        <f>IF(F1404="","",SUMIF('Estadísticas Jugadores'!$F$2:$F$7001,F1404,'Estadísticas Jugadores'!$L$2:$L$7001))</f>
        <v/>
      </c>
      <c r="I1404" s="4" t="str">
        <f t="shared" si="108"/>
        <v/>
      </c>
      <c r="J1404" s="4" t="str">
        <f t="shared" si="109"/>
        <v/>
      </c>
    </row>
    <row r="1405" spans="1:10" ht="15" customHeight="1" x14ac:dyDescent="0.25">
      <c r="A1405" s="8" t="str">
        <f>IF(COUNT($J$2:$J$1501)&gt;=1404,1404,"")</f>
        <v/>
      </c>
      <c r="B1405" s="8" t="str">
        <f t="shared" si="105"/>
        <v/>
      </c>
      <c r="C1405" s="8" t="str">
        <f t="shared" si="106"/>
        <v/>
      </c>
      <c r="D1405" s="8" t="str">
        <f t="shared" si="107"/>
        <v/>
      </c>
      <c r="F1405" s="4" t="str">
        <f>IF(Jugadores!B1405="","",Jugadores!B1405)</f>
        <v/>
      </c>
      <c r="G1405" s="4" t="str">
        <f>IF(Jugadores!B1405="","",Jugadores!A1405)</f>
        <v/>
      </c>
      <c r="H1405" s="4" t="str">
        <f>IF(F1405="","",SUMIF('Estadísticas Jugadores'!$F$2:$F$7001,F1405,'Estadísticas Jugadores'!$L$2:$L$7001))</f>
        <v/>
      </c>
      <c r="I1405" s="4" t="str">
        <f t="shared" si="108"/>
        <v/>
      </c>
      <c r="J1405" s="4" t="str">
        <f t="shared" si="109"/>
        <v/>
      </c>
    </row>
    <row r="1406" spans="1:10" ht="15" customHeight="1" x14ac:dyDescent="0.25">
      <c r="A1406" s="8" t="str">
        <f>IF(COUNT($J$2:$J$1501)&gt;=1405,1405,"")</f>
        <v/>
      </c>
      <c r="B1406" s="8" t="str">
        <f t="shared" si="105"/>
        <v/>
      </c>
      <c r="C1406" s="8" t="str">
        <f t="shared" si="106"/>
        <v/>
      </c>
      <c r="D1406" s="8" t="str">
        <f t="shared" si="107"/>
        <v/>
      </c>
      <c r="F1406" s="4" t="str">
        <f>IF(Jugadores!B1406="","",Jugadores!B1406)</f>
        <v/>
      </c>
      <c r="G1406" s="4" t="str">
        <f>IF(Jugadores!B1406="","",Jugadores!A1406)</f>
        <v/>
      </c>
      <c r="H1406" s="4" t="str">
        <f>IF(F1406="","",SUMIF('Estadísticas Jugadores'!$F$2:$F$7001,F1406,'Estadísticas Jugadores'!$L$2:$L$7001))</f>
        <v/>
      </c>
      <c r="I1406" s="4" t="str">
        <f t="shared" si="108"/>
        <v/>
      </c>
      <c r="J1406" s="4" t="str">
        <f t="shared" si="109"/>
        <v/>
      </c>
    </row>
    <row r="1407" spans="1:10" ht="15" customHeight="1" x14ac:dyDescent="0.25">
      <c r="A1407" s="8" t="str">
        <f>IF(COUNT($J$2:$J$1501)&gt;=1406,1406,"")</f>
        <v/>
      </c>
      <c r="B1407" s="8" t="str">
        <f t="shared" si="105"/>
        <v/>
      </c>
      <c r="C1407" s="8" t="str">
        <f t="shared" si="106"/>
        <v/>
      </c>
      <c r="D1407" s="8" t="str">
        <f t="shared" si="107"/>
        <v/>
      </c>
      <c r="F1407" s="4" t="str">
        <f>IF(Jugadores!B1407="","",Jugadores!B1407)</f>
        <v/>
      </c>
      <c r="G1407" s="4" t="str">
        <f>IF(Jugadores!B1407="","",Jugadores!A1407)</f>
        <v/>
      </c>
      <c r="H1407" s="4" t="str">
        <f>IF(F1407="","",SUMIF('Estadísticas Jugadores'!$F$2:$F$7001,F1407,'Estadísticas Jugadores'!$L$2:$L$7001))</f>
        <v/>
      </c>
      <c r="I1407" s="4" t="str">
        <f t="shared" si="108"/>
        <v/>
      </c>
      <c r="J1407" s="4" t="str">
        <f t="shared" si="109"/>
        <v/>
      </c>
    </row>
    <row r="1408" spans="1:10" ht="15" customHeight="1" x14ac:dyDescent="0.25">
      <c r="A1408" s="8" t="str">
        <f>IF(COUNT($J$2:$J$1501)&gt;=1407,1407,"")</f>
        <v/>
      </c>
      <c r="B1408" s="8" t="str">
        <f t="shared" si="105"/>
        <v/>
      </c>
      <c r="C1408" s="8" t="str">
        <f t="shared" si="106"/>
        <v/>
      </c>
      <c r="D1408" s="8" t="str">
        <f t="shared" si="107"/>
        <v/>
      </c>
      <c r="F1408" s="4" t="str">
        <f>IF(Jugadores!B1408="","",Jugadores!B1408)</f>
        <v/>
      </c>
      <c r="G1408" s="4" t="str">
        <f>IF(Jugadores!B1408="","",Jugadores!A1408)</f>
        <v/>
      </c>
      <c r="H1408" s="4" t="str">
        <f>IF(F1408="","",SUMIF('Estadísticas Jugadores'!$F$2:$F$7001,F1408,'Estadísticas Jugadores'!$L$2:$L$7001))</f>
        <v/>
      </c>
      <c r="I1408" s="4" t="str">
        <f t="shared" si="108"/>
        <v/>
      </c>
      <c r="J1408" s="4" t="str">
        <f t="shared" si="109"/>
        <v/>
      </c>
    </row>
    <row r="1409" spans="1:10" ht="15" customHeight="1" x14ac:dyDescent="0.25">
      <c r="A1409" s="8" t="str">
        <f>IF(COUNT($J$2:$J$1501)&gt;=1408,1408,"")</f>
        <v/>
      </c>
      <c r="B1409" s="8" t="str">
        <f t="shared" si="105"/>
        <v/>
      </c>
      <c r="C1409" s="8" t="str">
        <f t="shared" si="106"/>
        <v/>
      </c>
      <c r="D1409" s="8" t="str">
        <f t="shared" si="107"/>
        <v/>
      </c>
      <c r="F1409" s="4" t="str">
        <f>IF(Jugadores!B1409="","",Jugadores!B1409)</f>
        <v/>
      </c>
      <c r="G1409" s="4" t="str">
        <f>IF(Jugadores!B1409="","",Jugadores!A1409)</f>
        <v/>
      </c>
      <c r="H1409" s="4" t="str">
        <f>IF(F1409="","",SUMIF('Estadísticas Jugadores'!$F$2:$F$7001,F1409,'Estadísticas Jugadores'!$L$2:$L$7001))</f>
        <v/>
      </c>
      <c r="I1409" s="4" t="str">
        <f t="shared" si="108"/>
        <v/>
      </c>
      <c r="J1409" s="4" t="str">
        <f t="shared" si="109"/>
        <v/>
      </c>
    </row>
    <row r="1410" spans="1:10" ht="15" customHeight="1" x14ac:dyDescent="0.25">
      <c r="A1410" s="8" t="str">
        <f>IF(COUNT($J$2:$J$1501)&gt;=1409,1409,"")</f>
        <v/>
      </c>
      <c r="B1410" s="8" t="str">
        <f t="shared" ref="B1410:B1473" si="110">IF($A1410="","",INDEX($F$2:$F$1501,MATCH($A1410,$J$2:$J$1501,0)))</f>
        <v/>
      </c>
      <c r="C1410" s="8" t="str">
        <f t="shared" ref="C1410:C1473" si="111">IF($A1410="","",INDEX($G$2:$G$1501,MATCH($A1410,$J$2:$J$1501,0)))</f>
        <v/>
      </c>
      <c r="D1410" s="8" t="str">
        <f t="shared" ref="D1410:D1473" si="112">IF($A1410="","",INDEX($H$2:$H$1501,MATCH($A1410,$J$2:$J$1501,0)))</f>
        <v/>
      </c>
      <c r="F1410" s="4" t="str">
        <f>IF(Jugadores!B1410="","",Jugadores!B1410)</f>
        <v/>
      </c>
      <c r="G1410" s="4" t="str">
        <f>IF(Jugadores!B1410="","",Jugadores!A1410)</f>
        <v/>
      </c>
      <c r="H1410" s="4" t="str">
        <f>IF(F1410="","",SUMIF('Estadísticas Jugadores'!$F$2:$F$7001,F1410,'Estadísticas Jugadores'!$L$2:$L$7001))</f>
        <v/>
      </c>
      <c r="I1410" s="4" t="str">
        <f t="shared" ref="I1410:I1473" si="113">IF(F1410="","",H1410*1000-ROW()*0.0000001)</f>
        <v/>
      </c>
      <c r="J1410" s="4" t="str">
        <f t="shared" ref="J1410:J1473" si="114">IF(F1410="","",RANK(I1410,$I$2:$I$1501))</f>
        <v/>
      </c>
    </row>
    <row r="1411" spans="1:10" ht="15" customHeight="1" x14ac:dyDescent="0.25">
      <c r="A1411" s="8" t="str">
        <f>IF(COUNT($J$2:$J$1501)&gt;=1410,1410,"")</f>
        <v/>
      </c>
      <c r="B1411" s="8" t="str">
        <f t="shared" si="110"/>
        <v/>
      </c>
      <c r="C1411" s="8" t="str">
        <f t="shared" si="111"/>
        <v/>
      </c>
      <c r="D1411" s="8" t="str">
        <f t="shared" si="112"/>
        <v/>
      </c>
      <c r="F1411" s="4" t="str">
        <f>IF(Jugadores!B1411="","",Jugadores!B1411)</f>
        <v/>
      </c>
      <c r="G1411" s="4" t="str">
        <f>IF(Jugadores!B1411="","",Jugadores!A1411)</f>
        <v/>
      </c>
      <c r="H1411" s="4" t="str">
        <f>IF(F1411="","",SUMIF('Estadísticas Jugadores'!$F$2:$F$7001,F1411,'Estadísticas Jugadores'!$L$2:$L$7001))</f>
        <v/>
      </c>
      <c r="I1411" s="4" t="str">
        <f t="shared" si="113"/>
        <v/>
      </c>
      <c r="J1411" s="4" t="str">
        <f t="shared" si="114"/>
        <v/>
      </c>
    </row>
    <row r="1412" spans="1:10" ht="15" customHeight="1" x14ac:dyDescent="0.25">
      <c r="A1412" s="8" t="str">
        <f>IF(COUNT($J$2:$J$1501)&gt;=1411,1411,"")</f>
        <v/>
      </c>
      <c r="B1412" s="8" t="str">
        <f t="shared" si="110"/>
        <v/>
      </c>
      <c r="C1412" s="8" t="str">
        <f t="shared" si="111"/>
        <v/>
      </c>
      <c r="D1412" s="8" t="str">
        <f t="shared" si="112"/>
        <v/>
      </c>
      <c r="F1412" s="4" t="str">
        <f>IF(Jugadores!B1412="","",Jugadores!B1412)</f>
        <v/>
      </c>
      <c r="G1412" s="4" t="str">
        <f>IF(Jugadores!B1412="","",Jugadores!A1412)</f>
        <v/>
      </c>
      <c r="H1412" s="4" t="str">
        <f>IF(F1412="","",SUMIF('Estadísticas Jugadores'!$F$2:$F$7001,F1412,'Estadísticas Jugadores'!$L$2:$L$7001))</f>
        <v/>
      </c>
      <c r="I1412" s="4" t="str">
        <f t="shared" si="113"/>
        <v/>
      </c>
      <c r="J1412" s="4" t="str">
        <f t="shared" si="114"/>
        <v/>
      </c>
    </row>
    <row r="1413" spans="1:10" ht="15" customHeight="1" x14ac:dyDescent="0.25">
      <c r="A1413" s="8" t="str">
        <f>IF(COUNT($J$2:$J$1501)&gt;=1412,1412,"")</f>
        <v/>
      </c>
      <c r="B1413" s="8" t="str">
        <f t="shared" si="110"/>
        <v/>
      </c>
      <c r="C1413" s="8" t="str">
        <f t="shared" si="111"/>
        <v/>
      </c>
      <c r="D1413" s="8" t="str">
        <f t="shared" si="112"/>
        <v/>
      </c>
      <c r="F1413" s="4" t="str">
        <f>IF(Jugadores!B1413="","",Jugadores!B1413)</f>
        <v/>
      </c>
      <c r="G1413" s="4" t="str">
        <f>IF(Jugadores!B1413="","",Jugadores!A1413)</f>
        <v/>
      </c>
      <c r="H1413" s="4" t="str">
        <f>IF(F1413="","",SUMIF('Estadísticas Jugadores'!$F$2:$F$7001,F1413,'Estadísticas Jugadores'!$L$2:$L$7001))</f>
        <v/>
      </c>
      <c r="I1413" s="4" t="str">
        <f t="shared" si="113"/>
        <v/>
      </c>
      <c r="J1413" s="4" t="str">
        <f t="shared" si="114"/>
        <v/>
      </c>
    </row>
    <row r="1414" spans="1:10" ht="15" customHeight="1" x14ac:dyDescent="0.25">
      <c r="A1414" s="8" t="str">
        <f>IF(COUNT($J$2:$J$1501)&gt;=1413,1413,"")</f>
        <v/>
      </c>
      <c r="B1414" s="8" t="str">
        <f t="shared" si="110"/>
        <v/>
      </c>
      <c r="C1414" s="8" t="str">
        <f t="shared" si="111"/>
        <v/>
      </c>
      <c r="D1414" s="8" t="str">
        <f t="shared" si="112"/>
        <v/>
      </c>
      <c r="F1414" s="4" t="str">
        <f>IF(Jugadores!B1414="","",Jugadores!B1414)</f>
        <v/>
      </c>
      <c r="G1414" s="4" t="str">
        <f>IF(Jugadores!B1414="","",Jugadores!A1414)</f>
        <v/>
      </c>
      <c r="H1414" s="4" t="str">
        <f>IF(F1414="","",SUMIF('Estadísticas Jugadores'!$F$2:$F$7001,F1414,'Estadísticas Jugadores'!$L$2:$L$7001))</f>
        <v/>
      </c>
      <c r="I1414" s="4" t="str">
        <f t="shared" si="113"/>
        <v/>
      </c>
      <c r="J1414" s="4" t="str">
        <f t="shared" si="114"/>
        <v/>
      </c>
    </row>
    <row r="1415" spans="1:10" ht="15" customHeight="1" x14ac:dyDescent="0.25">
      <c r="A1415" s="8" t="str">
        <f>IF(COUNT($J$2:$J$1501)&gt;=1414,1414,"")</f>
        <v/>
      </c>
      <c r="B1415" s="8" t="str">
        <f t="shared" si="110"/>
        <v/>
      </c>
      <c r="C1415" s="8" t="str">
        <f t="shared" si="111"/>
        <v/>
      </c>
      <c r="D1415" s="8" t="str">
        <f t="shared" si="112"/>
        <v/>
      </c>
      <c r="F1415" s="4" t="str">
        <f>IF(Jugadores!B1415="","",Jugadores!B1415)</f>
        <v/>
      </c>
      <c r="G1415" s="4" t="str">
        <f>IF(Jugadores!B1415="","",Jugadores!A1415)</f>
        <v/>
      </c>
      <c r="H1415" s="4" t="str">
        <f>IF(F1415="","",SUMIF('Estadísticas Jugadores'!$F$2:$F$7001,F1415,'Estadísticas Jugadores'!$L$2:$L$7001))</f>
        <v/>
      </c>
      <c r="I1415" s="4" t="str">
        <f t="shared" si="113"/>
        <v/>
      </c>
      <c r="J1415" s="4" t="str">
        <f t="shared" si="114"/>
        <v/>
      </c>
    </row>
    <row r="1416" spans="1:10" ht="15" customHeight="1" x14ac:dyDescent="0.25">
      <c r="A1416" s="8" t="str">
        <f>IF(COUNT($J$2:$J$1501)&gt;=1415,1415,"")</f>
        <v/>
      </c>
      <c r="B1416" s="8" t="str">
        <f t="shared" si="110"/>
        <v/>
      </c>
      <c r="C1416" s="8" t="str">
        <f t="shared" si="111"/>
        <v/>
      </c>
      <c r="D1416" s="8" t="str">
        <f t="shared" si="112"/>
        <v/>
      </c>
      <c r="F1416" s="4" t="str">
        <f>IF(Jugadores!B1416="","",Jugadores!B1416)</f>
        <v/>
      </c>
      <c r="G1416" s="4" t="str">
        <f>IF(Jugadores!B1416="","",Jugadores!A1416)</f>
        <v/>
      </c>
      <c r="H1416" s="4" t="str">
        <f>IF(F1416="","",SUMIF('Estadísticas Jugadores'!$F$2:$F$7001,F1416,'Estadísticas Jugadores'!$L$2:$L$7001))</f>
        <v/>
      </c>
      <c r="I1416" s="4" t="str">
        <f t="shared" si="113"/>
        <v/>
      </c>
      <c r="J1416" s="4" t="str">
        <f t="shared" si="114"/>
        <v/>
      </c>
    </row>
    <row r="1417" spans="1:10" ht="15" customHeight="1" x14ac:dyDescent="0.25">
      <c r="A1417" s="8" t="str">
        <f>IF(COUNT($J$2:$J$1501)&gt;=1416,1416,"")</f>
        <v/>
      </c>
      <c r="B1417" s="8" t="str">
        <f t="shared" si="110"/>
        <v/>
      </c>
      <c r="C1417" s="8" t="str">
        <f t="shared" si="111"/>
        <v/>
      </c>
      <c r="D1417" s="8" t="str">
        <f t="shared" si="112"/>
        <v/>
      </c>
      <c r="F1417" s="4" t="str">
        <f>IF(Jugadores!B1417="","",Jugadores!B1417)</f>
        <v/>
      </c>
      <c r="G1417" s="4" t="str">
        <f>IF(Jugadores!B1417="","",Jugadores!A1417)</f>
        <v/>
      </c>
      <c r="H1417" s="4" t="str">
        <f>IF(F1417="","",SUMIF('Estadísticas Jugadores'!$F$2:$F$7001,F1417,'Estadísticas Jugadores'!$L$2:$L$7001))</f>
        <v/>
      </c>
      <c r="I1417" s="4" t="str">
        <f t="shared" si="113"/>
        <v/>
      </c>
      <c r="J1417" s="4" t="str">
        <f t="shared" si="114"/>
        <v/>
      </c>
    </row>
    <row r="1418" spans="1:10" ht="15" customHeight="1" x14ac:dyDescent="0.25">
      <c r="A1418" s="8" t="str">
        <f>IF(COUNT($J$2:$J$1501)&gt;=1417,1417,"")</f>
        <v/>
      </c>
      <c r="B1418" s="8" t="str">
        <f t="shared" si="110"/>
        <v/>
      </c>
      <c r="C1418" s="8" t="str">
        <f t="shared" si="111"/>
        <v/>
      </c>
      <c r="D1418" s="8" t="str">
        <f t="shared" si="112"/>
        <v/>
      </c>
      <c r="F1418" s="4" t="str">
        <f>IF(Jugadores!B1418="","",Jugadores!B1418)</f>
        <v/>
      </c>
      <c r="G1418" s="4" t="str">
        <f>IF(Jugadores!B1418="","",Jugadores!A1418)</f>
        <v/>
      </c>
      <c r="H1418" s="4" t="str">
        <f>IF(F1418="","",SUMIF('Estadísticas Jugadores'!$F$2:$F$7001,F1418,'Estadísticas Jugadores'!$L$2:$L$7001))</f>
        <v/>
      </c>
      <c r="I1418" s="4" t="str">
        <f t="shared" si="113"/>
        <v/>
      </c>
      <c r="J1418" s="4" t="str">
        <f t="shared" si="114"/>
        <v/>
      </c>
    </row>
    <row r="1419" spans="1:10" ht="15" customHeight="1" x14ac:dyDescent="0.25">
      <c r="A1419" s="8" t="str">
        <f>IF(COUNT($J$2:$J$1501)&gt;=1418,1418,"")</f>
        <v/>
      </c>
      <c r="B1419" s="8" t="str">
        <f t="shared" si="110"/>
        <v/>
      </c>
      <c r="C1419" s="8" t="str">
        <f t="shared" si="111"/>
        <v/>
      </c>
      <c r="D1419" s="8" t="str">
        <f t="shared" si="112"/>
        <v/>
      </c>
      <c r="F1419" s="4" t="str">
        <f>IF(Jugadores!B1419="","",Jugadores!B1419)</f>
        <v/>
      </c>
      <c r="G1419" s="4" t="str">
        <f>IF(Jugadores!B1419="","",Jugadores!A1419)</f>
        <v/>
      </c>
      <c r="H1419" s="4" t="str">
        <f>IF(F1419="","",SUMIF('Estadísticas Jugadores'!$F$2:$F$7001,F1419,'Estadísticas Jugadores'!$L$2:$L$7001))</f>
        <v/>
      </c>
      <c r="I1419" s="4" t="str">
        <f t="shared" si="113"/>
        <v/>
      </c>
      <c r="J1419" s="4" t="str">
        <f t="shared" si="114"/>
        <v/>
      </c>
    </row>
    <row r="1420" spans="1:10" ht="15" customHeight="1" x14ac:dyDescent="0.25">
      <c r="A1420" s="8" t="str">
        <f>IF(COUNT($J$2:$J$1501)&gt;=1419,1419,"")</f>
        <v/>
      </c>
      <c r="B1420" s="8" t="str">
        <f t="shared" si="110"/>
        <v/>
      </c>
      <c r="C1420" s="8" t="str">
        <f t="shared" si="111"/>
        <v/>
      </c>
      <c r="D1420" s="8" t="str">
        <f t="shared" si="112"/>
        <v/>
      </c>
      <c r="F1420" s="4" t="str">
        <f>IF(Jugadores!B1420="","",Jugadores!B1420)</f>
        <v/>
      </c>
      <c r="G1420" s="4" t="str">
        <f>IF(Jugadores!B1420="","",Jugadores!A1420)</f>
        <v/>
      </c>
      <c r="H1420" s="4" t="str">
        <f>IF(F1420="","",SUMIF('Estadísticas Jugadores'!$F$2:$F$7001,F1420,'Estadísticas Jugadores'!$L$2:$L$7001))</f>
        <v/>
      </c>
      <c r="I1420" s="4" t="str">
        <f t="shared" si="113"/>
        <v/>
      </c>
      <c r="J1420" s="4" t="str">
        <f t="shared" si="114"/>
        <v/>
      </c>
    </row>
    <row r="1421" spans="1:10" ht="15" customHeight="1" x14ac:dyDescent="0.25">
      <c r="A1421" s="8" t="str">
        <f>IF(COUNT($J$2:$J$1501)&gt;=1420,1420,"")</f>
        <v/>
      </c>
      <c r="B1421" s="8" t="str">
        <f t="shared" si="110"/>
        <v/>
      </c>
      <c r="C1421" s="8" t="str">
        <f t="shared" si="111"/>
        <v/>
      </c>
      <c r="D1421" s="8" t="str">
        <f t="shared" si="112"/>
        <v/>
      </c>
      <c r="F1421" s="4" t="str">
        <f>IF(Jugadores!B1421="","",Jugadores!B1421)</f>
        <v/>
      </c>
      <c r="G1421" s="4" t="str">
        <f>IF(Jugadores!B1421="","",Jugadores!A1421)</f>
        <v/>
      </c>
      <c r="H1421" s="4" t="str">
        <f>IF(F1421="","",SUMIF('Estadísticas Jugadores'!$F$2:$F$7001,F1421,'Estadísticas Jugadores'!$L$2:$L$7001))</f>
        <v/>
      </c>
      <c r="I1421" s="4" t="str">
        <f t="shared" si="113"/>
        <v/>
      </c>
      <c r="J1421" s="4" t="str">
        <f t="shared" si="114"/>
        <v/>
      </c>
    </row>
    <row r="1422" spans="1:10" ht="15" customHeight="1" x14ac:dyDescent="0.25">
      <c r="A1422" s="8" t="str">
        <f>IF(COUNT($J$2:$J$1501)&gt;=1421,1421,"")</f>
        <v/>
      </c>
      <c r="B1422" s="8" t="str">
        <f t="shared" si="110"/>
        <v/>
      </c>
      <c r="C1422" s="8" t="str">
        <f t="shared" si="111"/>
        <v/>
      </c>
      <c r="D1422" s="8" t="str">
        <f t="shared" si="112"/>
        <v/>
      </c>
      <c r="F1422" s="4" t="str">
        <f>IF(Jugadores!B1422="","",Jugadores!B1422)</f>
        <v/>
      </c>
      <c r="G1422" s="4" t="str">
        <f>IF(Jugadores!B1422="","",Jugadores!A1422)</f>
        <v/>
      </c>
      <c r="H1422" s="4" t="str">
        <f>IF(F1422="","",SUMIF('Estadísticas Jugadores'!$F$2:$F$7001,F1422,'Estadísticas Jugadores'!$L$2:$L$7001))</f>
        <v/>
      </c>
      <c r="I1422" s="4" t="str">
        <f t="shared" si="113"/>
        <v/>
      </c>
      <c r="J1422" s="4" t="str">
        <f t="shared" si="114"/>
        <v/>
      </c>
    </row>
    <row r="1423" spans="1:10" ht="15" customHeight="1" x14ac:dyDescent="0.25">
      <c r="A1423" s="8" t="str">
        <f>IF(COUNT($J$2:$J$1501)&gt;=1422,1422,"")</f>
        <v/>
      </c>
      <c r="B1423" s="8" t="str">
        <f t="shared" si="110"/>
        <v/>
      </c>
      <c r="C1423" s="8" t="str">
        <f t="shared" si="111"/>
        <v/>
      </c>
      <c r="D1423" s="8" t="str">
        <f t="shared" si="112"/>
        <v/>
      </c>
      <c r="F1423" s="4" t="str">
        <f>IF(Jugadores!B1423="","",Jugadores!B1423)</f>
        <v/>
      </c>
      <c r="G1423" s="4" t="str">
        <f>IF(Jugadores!B1423="","",Jugadores!A1423)</f>
        <v/>
      </c>
      <c r="H1423" s="4" t="str">
        <f>IF(F1423="","",SUMIF('Estadísticas Jugadores'!$F$2:$F$7001,F1423,'Estadísticas Jugadores'!$L$2:$L$7001))</f>
        <v/>
      </c>
      <c r="I1423" s="4" t="str">
        <f t="shared" si="113"/>
        <v/>
      </c>
      <c r="J1423" s="4" t="str">
        <f t="shared" si="114"/>
        <v/>
      </c>
    </row>
    <row r="1424" spans="1:10" ht="15" customHeight="1" x14ac:dyDescent="0.25">
      <c r="A1424" s="8" t="str">
        <f>IF(COUNT($J$2:$J$1501)&gt;=1423,1423,"")</f>
        <v/>
      </c>
      <c r="B1424" s="8" t="str">
        <f t="shared" si="110"/>
        <v/>
      </c>
      <c r="C1424" s="8" t="str">
        <f t="shared" si="111"/>
        <v/>
      </c>
      <c r="D1424" s="8" t="str">
        <f t="shared" si="112"/>
        <v/>
      </c>
      <c r="F1424" s="4" t="str">
        <f>IF(Jugadores!B1424="","",Jugadores!B1424)</f>
        <v/>
      </c>
      <c r="G1424" s="4" t="str">
        <f>IF(Jugadores!B1424="","",Jugadores!A1424)</f>
        <v/>
      </c>
      <c r="H1424" s="4" t="str">
        <f>IF(F1424="","",SUMIF('Estadísticas Jugadores'!$F$2:$F$7001,F1424,'Estadísticas Jugadores'!$L$2:$L$7001))</f>
        <v/>
      </c>
      <c r="I1424" s="4" t="str">
        <f t="shared" si="113"/>
        <v/>
      </c>
      <c r="J1424" s="4" t="str">
        <f t="shared" si="114"/>
        <v/>
      </c>
    </row>
    <row r="1425" spans="1:10" ht="15" customHeight="1" x14ac:dyDescent="0.25">
      <c r="A1425" s="8" t="str">
        <f>IF(COUNT($J$2:$J$1501)&gt;=1424,1424,"")</f>
        <v/>
      </c>
      <c r="B1425" s="8" t="str">
        <f t="shared" si="110"/>
        <v/>
      </c>
      <c r="C1425" s="8" t="str">
        <f t="shared" si="111"/>
        <v/>
      </c>
      <c r="D1425" s="8" t="str">
        <f t="shared" si="112"/>
        <v/>
      </c>
      <c r="F1425" s="4" t="str">
        <f>IF(Jugadores!B1425="","",Jugadores!B1425)</f>
        <v/>
      </c>
      <c r="G1425" s="4" t="str">
        <f>IF(Jugadores!B1425="","",Jugadores!A1425)</f>
        <v/>
      </c>
      <c r="H1425" s="4" t="str">
        <f>IF(F1425="","",SUMIF('Estadísticas Jugadores'!$F$2:$F$7001,F1425,'Estadísticas Jugadores'!$L$2:$L$7001))</f>
        <v/>
      </c>
      <c r="I1425" s="4" t="str">
        <f t="shared" si="113"/>
        <v/>
      </c>
      <c r="J1425" s="4" t="str">
        <f t="shared" si="114"/>
        <v/>
      </c>
    </row>
    <row r="1426" spans="1:10" ht="15" customHeight="1" x14ac:dyDescent="0.25">
      <c r="A1426" s="8" t="str">
        <f>IF(COUNT($J$2:$J$1501)&gt;=1425,1425,"")</f>
        <v/>
      </c>
      <c r="B1426" s="8" t="str">
        <f t="shared" si="110"/>
        <v/>
      </c>
      <c r="C1426" s="8" t="str">
        <f t="shared" si="111"/>
        <v/>
      </c>
      <c r="D1426" s="8" t="str">
        <f t="shared" si="112"/>
        <v/>
      </c>
      <c r="F1426" s="4" t="str">
        <f>IF(Jugadores!B1426="","",Jugadores!B1426)</f>
        <v/>
      </c>
      <c r="G1426" s="4" t="str">
        <f>IF(Jugadores!B1426="","",Jugadores!A1426)</f>
        <v/>
      </c>
      <c r="H1426" s="4" t="str">
        <f>IF(F1426="","",SUMIF('Estadísticas Jugadores'!$F$2:$F$7001,F1426,'Estadísticas Jugadores'!$L$2:$L$7001))</f>
        <v/>
      </c>
      <c r="I1426" s="4" t="str">
        <f t="shared" si="113"/>
        <v/>
      </c>
      <c r="J1426" s="4" t="str">
        <f t="shared" si="114"/>
        <v/>
      </c>
    </row>
    <row r="1427" spans="1:10" ht="15" customHeight="1" x14ac:dyDescent="0.25">
      <c r="A1427" s="8" t="str">
        <f>IF(COUNT($J$2:$J$1501)&gt;=1426,1426,"")</f>
        <v/>
      </c>
      <c r="B1427" s="8" t="str">
        <f t="shared" si="110"/>
        <v/>
      </c>
      <c r="C1427" s="8" t="str">
        <f t="shared" si="111"/>
        <v/>
      </c>
      <c r="D1427" s="8" t="str">
        <f t="shared" si="112"/>
        <v/>
      </c>
      <c r="F1427" s="4" t="str">
        <f>IF(Jugadores!B1427="","",Jugadores!B1427)</f>
        <v/>
      </c>
      <c r="G1427" s="4" t="str">
        <f>IF(Jugadores!B1427="","",Jugadores!A1427)</f>
        <v/>
      </c>
      <c r="H1427" s="4" t="str">
        <f>IF(F1427="","",SUMIF('Estadísticas Jugadores'!$F$2:$F$7001,F1427,'Estadísticas Jugadores'!$L$2:$L$7001))</f>
        <v/>
      </c>
      <c r="I1427" s="4" t="str">
        <f t="shared" si="113"/>
        <v/>
      </c>
      <c r="J1427" s="4" t="str">
        <f t="shared" si="114"/>
        <v/>
      </c>
    </row>
    <row r="1428" spans="1:10" ht="15" customHeight="1" x14ac:dyDescent="0.25">
      <c r="A1428" s="8" t="str">
        <f>IF(COUNT($J$2:$J$1501)&gt;=1427,1427,"")</f>
        <v/>
      </c>
      <c r="B1428" s="8" t="str">
        <f t="shared" si="110"/>
        <v/>
      </c>
      <c r="C1428" s="8" t="str">
        <f t="shared" si="111"/>
        <v/>
      </c>
      <c r="D1428" s="8" t="str">
        <f t="shared" si="112"/>
        <v/>
      </c>
      <c r="F1428" s="4" t="str">
        <f>IF(Jugadores!B1428="","",Jugadores!B1428)</f>
        <v/>
      </c>
      <c r="G1428" s="4" t="str">
        <f>IF(Jugadores!B1428="","",Jugadores!A1428)</f>
        <v/>
      </c>
      <c r="H1428" s="4" t="str">
        <f>IF(F1428="","",SUMIF('Estadísticas Jugadores'!$F$2:$F$7001,F1428,'Estadísticas Jugadores'!$L$2:$L$7001))</f>
        <v/>
      </c>
      <c r="I1428" s="4" t="str">
        <f t="shared" si="113"/>
        <v/>
      </c>
      <c r="J1428" s="4" t="str">
        <f t="shared" si="114"/>
        <v/>
      </c>
    </row>
    <row r="1429" spans="1:10" ht="15" customHeight="1" x14ac:dyDescent="0.25">
      <c r="A1429" s="8" t="str">
        <f>IF(COUNT($J$2:$J$1501)&gt;=1428,1428,"")</f>
        <v/>
      </c>
      <c r="B1429" s="8" t="str">
        <f t="shared" si="110"/>
        <v/>
      </c>
      <c r="C1429" s="8" t="str">
        <f t="shared" si="111"/>
        <v/>
      </c>
      <c r="D1429" s="8" t="str">
        <f t="shared" si="112"/>
        <v/>
      </c>
      <c r="F1429" s="4" t="str">
        <f>IF(Jugadores!B1429="","",Jugadores!B1429)</f>
        <v/>
      </c>
      <c r="G1429" s="4" t="str">
        <f>IF(Jugadores!B1429="","",Jugadores!A1429)</f>
        <v/>
      </c>
      <c r="H1429" s="4" t="str">
        <f>IF(F1429="","",SUMIF('Estadísticas Jugadores'!$F$2:$F$7001,F1429,'Estadísticas Jugadores'!$L$2:$L$7001))</f>
        <v/>
      </c>
      <c r="I1429" s="4" t="str">
        <f t="shared" si="113"/>
        <v/>
      </c>
      <c r="J1429" s="4" t="str">
        <f t="shared" si="114"/>
        <v/>
      </c>
    </row>
    <row r="1430" spans="1:10" ht="15" customHeight="1" x14ac:dyDescent="0.25">
      <c r="A1430" s="8" t="str">
        <f>IF(COUNT($J$2:$J$1501)&gt;=1429,1429,"")</f>
        <v/>
      </c>
      <c r="B1430" s="8" t="str">
        <f t="shared" si="110"/>
        <v/>
      </c>
      <c r="C1430" s="8" t="str">
        <f t="shared" si="111"/>
        <v/>
      </c>
      <c r="D1430" s="8" t="str">
        <f t="shared" si="112"/>
        <v/>
      </c>
      <c r="F1430" s="4" t="str">
        <f>IF(Jugadores!B1430="","",Jugadores!B1430)</f>
        <v/>
      </c>
      <c r="G1430" s="4" t="str">
        <f>IF(Jugadores!B1430="","",Jugadores!A1430)</f>
        <v/>
      </c>
      <c r="H1430" s="4" t="str">
        <f>IF(F1430="","",SUMIF('Estadísticas Jugadores'!$F$2:$F$7001,F1430,'Estadísticas Jugadores'!$L$2:$L$7001))</f>
        <v/>
      </c>
      <c r="I1430" s="4" t="str">
        <f t="shared" si="113"/>
        <v/>
      </c>
      <c r="J1430" s="4" t="str">
        <f t="shared" si="114"/>
        <v/>
      </c>
    </row>
    <row r="1431" spans="1:10" ht="15" customHeight="1" x14ac:dyDescent="0.25">
      <c r="A1431" s="8" t="str">
        <f>IF(COUNT($J$2:$J$1501)&gt;=1430,1430,"")</f>
        <v/>
      </c>
      <c r="B1431" s="8" t="str">
        <f t="shared" si="110"/>
        <v/>
      </c>
      <c r="C1431" s="8" t="str">
        <f t="shared" si="111"/>
        <v/>
      </c>
      <c r="D1431" s="8" t="str">
        <f t="shared" si="112"/>
        <v/>
      </c>
      <c r="F1431" s="4" t="str">
        <f>IF(Jugadores!B1431="","",Jugadores!B1431)</f>
        <v/>
      </c>
      <c r="G1431" s="4" t="str">
        <f>IF(Jugadores!B1431="","",Jugadores!A1431)</f>
        <v/>
      </c>
      <c r="H1431" s="4" t="str">
        <f>IF(F1431="","",SUMIF('Estadísticas Jugadores'!$F$2:$F$7001,F1431,'Estadísticas Jugadores'!$L$2:$L$7001))</f>
        <v/>
      </c>
      <c r="I1431" s="4" t="str">
        <f t="shared" si="113"/>
        <v/>
      </c>
      <c r="J1431" s="4" t="str">
        <f t="shared" si="114"/>
        <v/>
      </c>
    </row>
    <row r="1432" spans="1:10" ht="15" customHeight="1" x14ac:dyDescent="0.25">
      <c r="A1432" s="8" t="str">
        <f>IF(COUNT($J$2:$J$1501)&gt;=1431,1431,"")</f>
        <v/>
      </c>
      <c r="B1432" s="8" t="str">
        <f t="shared" si="110"/>
        <v/>
      </c>
      <c r="C1432" s="8" t="str">
        <f t="shared" si="111"/>
        <v/>
      </c>
      <c r="D1432" s="8" t="str">
        <f t="shared" si="112"/>
        <v/>
      </c>
      <c r="F1432" s="4" t="str">
        <f>IF(Jugadores!B1432="","",Jugadores!B1432)</f>
        <v/>
      </c>
      <c r="G1432" s="4" t="str">
        <f>IF(Jugadores!B1432="","",Jugadores!A1432)</f>
        <v/>
      </c>
      <c r="H1432" s="4" t="str">
        <f>IF(F1432="","",SUMIF('Estadísticas Jugadores'!$F$2:$F$7001,F1432,'Estadísticas Jugadores'!$L$2:$L$7001))</f>
        <v/>
      </c>
      <c r="I1432" s="4" t="str">
        <f t="shared" si="113"/>
        <v/>
      </c>
      <c r="J1432" s="4" t="str">
        <f t="shared" si="114"/>
        <v/>
      </c>
    </row>
    <row r="1433" spans="1:10" ht="15" customHeight="1" x14ac:dyDescent="0.25">
      <c r="A1433" s="8" t="str">
        <f>IF(COUNT($J$2:$J$1501)&gt;=1432,1432,"")</f>
        <v/>
      </c>
      <c r="B1433" s="8" t="str">
        <f t="shared" si="110"/>
        <v/>
      </c>
      <c r="C1433" s="8" t="str">
        <f t="shared" si="111"/>
        <v/>
      </c>
      <c r="D1433" s="8" t="str">
        <f t="shared" si="112"/>
        <v/>
      </c>
      <c r="F1433" s="4" t="str">
        <f>IF(Jugadores!B1433="","",Jugadores!B1433)</f>
        <v/>
      </c>
      <c r="G1433" s="4" t="str">
        <f>IF(Jugadores!B1433="","",Jugadores!A1433)</f>
        <v/>
      </c>
      <c r="H1433" s="4" t="str">
        <f>IF(F1433="","",SUMIF('Estadísticas Jugadores'!$F$2:$F$7001,F1433,'Estadísticas Jugadores'!$L$2:$L$7001))</f>
        <v/>
      </c>
      <c r="I1433" s="4" t="str">
        <f t="shared" si="113"/>
        <v/>
      </c>
      <c r="J1433" s="4" t="str">
        <f t="shared" si="114"/>
        <v/>
      </c>
    </row>
    <row r="1434" spans="1:10" ht="15" customHeight="1" x14ac:dyDescent="0.25">
      <c r="A1434" s="8" t="str">
        <f>IF(COUNT($J$2:$J$1501)&gt;=1433,1433,"")</f>
        <v/>
      </c>
      <c r="B1434" s="8" t="str">
        <f t="shared" si="110"/>
        <v/>
      </c>
      <c r="C1434" s="8" t="str">
        <f t="shared" si="111"/>
        <v/>
      </c>
      <c r="D1434" s="8" t="str">
        <f t="shared" si="112"/>
        <v/>
      </c>
      <c r="F1434" s="4" t="str">
        <f>IF(Jugadores!B1434="","",Jugadores!B1434)</f>
        <v/>
      </c>
      <c r="G1434" s="4" t="str">
        <f>IF(Jugadores!B1434="","",Jugadores!A1434)</f>
        <v/>
      </c>
      <c r="H1434" s="4" t="str">
        <f>IF(F1434="","",SUMIF('Estadísticas Jugadores'!$F$2:$F$7001,F1434,'Estadísticas Jugadores'!$L$2:$L$7001))</f>
        <v/>
      </c>
      <c r="I1434" s="4" t="str">
        <f t="shared" si="113"/>
        <v/>
      </c>
      <c r="J1434" s="4" t="str">
        <f t="shared" si="114"/>
        <v/>
      </c>
    </row>
    <row r="1435" spans="1:10" ht="15" customHeight="1" x14ac:dyDescent="0.25">
      <c r="A1435" s="8" t="str">
        <f>IF(COUNT($J$2:$J$1501)&gt;=1434,1434,"")</f>
        <v/>
      </c>
      <c r="B1435" s="8" t="str">
        <f t="shared" si="110"/>
        <v/>
      </c>
      <c r="C1435" s="8" t="str">
        <f t="shared" si="111"/>
        <v/>
      </c>
      <c r="D1435" s="8" t="str">
        <f t="shared" si="112"/>
        <v/>
      </c>
      <c r="F1435" s="4" t="str">
        <f>IF(Jugadores!B1435="","",Jugadores!B1435)</f>
        <v/>
      </c>
      <c r="G1435" s="4" t="str">
        <f>IF(Jugadores!B1435="","",Jugadores!A1435)</f>
        <v/>
      </c>
      <c r="H1435" s="4" t="str">
        <f>IF(F1435="","",SUMIF('Estadísticas Jugadores'!$F$2:$F$7001,F1435,'Estadísticas Jugadores'!$L$2:$L$7001))</f>
        <v/>
      </c>
      <c r="I1435" s="4" t="str">
        <f t="shared" si="113"/>
        <v/>
      </c>
      <c r="J1435" s="4" t="str">
        <f t="shared" si="114"/>
        <v/>
      </c>
    </row>
    <row r="1436" spans="1:10" ht="15" customHeight="1" x14ac:dyDescent="0.25">
      <c r="A1436" s="8" t="str">
        <f>IF(COUNT($J$2:$J$1501)&gt;=1435,1435,"")</f>
        <v/>
      </c>
      <c r="B1436" s="8" t="str">
        <f t="shared" si="110"/>
        <v/>
      </c>
      <c r="C1436" s="8" t="str">
        <f t="shared" si="111"/>
        <v/>
      </c>
      <c r="D1436" s="8" t="str">
        <f t="shared" si="112"/>
        <v/>
      </c>
      <c r="F1436" s="4" t="str">
        <f>IF(Jugadores!B1436="","",Jugadores!B1436)</f>
        <v/>
      </c>
      <c r="G1436" s="4" t="str">
        <f>IF(Jugadores!B1436="","",Jugadores!A1436)</f>
        <v/>
      </c>
      <c r="H1436" s="4" t="str">
        <f>IF(F1436="","",SUMIF('Estadísticas Jugadores'!$F$2:$F$7001,F1436,'Estadísticas Jugadores'!$L$2:$L$7001))</f>
        <v/>
      </c>
      <c r="I1436" s="4" t="str">
        <f t="shared" si="113"/>
        <v/>
      </c>
      <c r="J1436" s="4" t="str">
        <f t="shared" si="114"/>
        <v/>
      </c>
    </row>
    <row r="1437" spans="1:10" ht="15" customHeight="1" x14ac:dyDescent="0.25">
      <c r="A1437" s="8" t="str">
        <f>IF(COUNT($J$2:$J$1501)&gt;=1436,1436,"")</f>
        <v/>
      </c>
      <c r="B1437" s="8" t="str">
        <f t="shared" si="110"/>
        <v/>
      </c>
      <c r="C1437" s="8" t="str">
        <f t="shared" si="111"/>
        <v/>
      </c>
      <c r="D1437" s="8" t="str">
        <f t="shared" si="112"/>
        <v/>
      </c>
      <c r="F1437" s="4" t="str">
        <f>IF(Jugadores!B1437="","",Jugadores!B1437)</f>
        <v/>
      </c>
      <c r="G1437" s="4" t="str">
        <f>IF(Jugadores!B1437="","",Jugadores!A1437)</f>
        <v/>
      </c>
      <c r="H1437" s="4" t="str">
        <f>IF(F1437="","",SUMIF('Estadísticas Jugadores'!$F$2:$F$7001,F1437,'Estadísticas Jugadores'!$L$2:$L$7001))</f>
        <v/>
      </c>
      <c r="I1437" s="4" t="str">
        <f t="shared" si="113"/>
        <v/>
      </c>
      <c r="J1437" s="4" t="str">
        <f t="shared" si="114"/>
        <v/>
      </c>
    </row>
    <row r="1438" spans="1:10" ht="15" customHeight="1" x14ac:dyDescent="0.25">
      <c r="A1438" s="8" t="str">
        <f>IF(COUNT($J$2:$J$1501)&gt;=1437,1437,"")</f>
        <v/>
      </c>
      <c r="B1438" s="8" t="str">
        <f t="shared" si="110"/>
        <v/>
      </c>
      <c r="C1438" s="8" t="str">
        <f t="shared" si="111"/>
        <v/>
      </c>
      <c r="D1438" s="8" t="str">
        <f t="shared" si="112"/>
        <v/>
      </c>
      <c r="F1438" s="4" t="str">
        <f>IF(Jugadores!B1438="","",Jugadores!B1438)</f>
        <v/>
      </c>
      <c r="G1438" s="4" t="str">
        <f>IF(Jugadores!B1438="","",Jugadores!A1438)</f>
        <v/>
      </c>
      <c r="H1438" s="4" t="str">
        <f>IF(F1438="","",SUMIF('Estadísticas Jugadores'!$F$2:$F$7001,F1438,'Estadísticas Jugadores'!$L$2:$L$7001))</f>
        <v/>
      </c>
      <c r="I1438" s="4" t="str">
        <f t="shared" si="113"/>
        <v/>
      </c>
      <c r="J1438" s="4" t="str">
        <f t="shared" si="114"/>
        <v/>
      </c>
    </row>
    <row r="1439" spans="1:10" ht="15" customHeight="1" x14ac:dyDescent="0.25">
      <c r="A1439" s="8" t="str">
        <f>IF(COUNT($J$2:$J$1501)&gt;=1438,1438,"")</f>
        <v/>
      </c>
      <c r="B1439" s="8" t="str">
        <f t="shared" si="110"/>
        <v/>
      </c>
      <c r="C1439" s="8" t="str">
        <f t="shared" si="111"/>
        <v/>
      </c>
      <c r="D1439" s="8" t="str">
        <f t="shared" si="112"/>
        <v/>
      </c>
      <c r="F1439" s="4" t="str">
        <f>IF(Jugadores!B1439="","",Jugadores!B1439)</f>
        <v/>
      </c>
      <c r="G1439" s="4" t="str">
        <f>IF(Jugadores!B1439="","",Jugadores!A1439)</f>
        <v/>
      </c>
      <c r="H1439" s="4" t="str">
        <f>IF(F1439="","",SUMIF('Estadísticas Jugadores'!$F$2:$F$7001,F1439,'Estadísticas Jugadores'!$L$2:$L$7001))</f>
        <v/>
      </c>
      <c r="I1439" s="4" t="str">
        <f t="shared" si="113"/>
        <v/>
      </c>
      <c r="J1439" s="4" t="str">
        <f t="shared" si="114"/>
        <v/>
      </c>
    </row>
    <row r="1440" spans="1:10" ht="15" customHeight="1" x14ac:dyDescent="0.25">
      <c r="A1440" s="8" t="str">
        <f>IF(COUNT($J$2:$J$1501)&gt;=1439,1439,"")</f>
        <v/>
      </c>
      <c r="B1440" s="8" t="str">
        <f t="shared" si="110"/>
        <v/>
      </c>
      <c r="C1440" s="8" t="str">
        <f t="shared" si="111"/>
        <v/>
      </c>
      <c r="D1440" s="8" t="str">
        <f t="shared" si="112"/>
        <v/>
      </c>
      <c r="F1440" s="4" t="str">
        <f>IF(Jugadores!B1440="","",Jugadores!B1440)</f>
        <v/>
      </c>
      <c r="G1440" s="4" t="str">
        <f>IF(Jugadores!B1440="","",Jugadores!A1440)</f>
        <v/>
      </c>
      <c r="H1440" s="4" t="str">
        <f>IF(F1440="","",SUMIF('Estadísticas Jugadores'!$F$2:$F$7001,F1440,'Estadísticas Jugadores'!$L$2:$L$7001))</f>
        <v/>
      </c>
      <c r="I1440" s="4" t="str">
        <f t="shared" si="113"/>
        <v/>
      </c>
      <c r="J1440" s="4" t="str">
        <f t="shared" si="114"/>
        <v/>
      </c>
    </row>
    <row r="1441" spans="1:10" ht="15" customHeight="1" x14ac:dyDescent="0.25">
      <c r="A1441" s="8" t="str">
        <f>IF(COUNT($J$2:$J$1501)&gt;=1440,1440,"")</f>
        <v/>
      </c>
      <c r="B1441" s="8" t="str">
        <f t="shared" si="110"/>
        <v/>
      </c>
      <c r="C1441" s="8" t="str">
        <f t="shared" si="111"/>
        <v/>
      </c>
      <c r="D1441" s="8" t="str">
        <f t="shared" si="112"/>
        <v/>
      </c>
      <c r="F1441" s="4" t="str">
        <f>IF(Jugadores!B1441="","",Jugadores!B1441)</f>
        <v/>
      </c>
      <c r="G1441" s="4" t="str">
        <f>IF(Jugadores!B1441="","",Jugadores!A1441)</f>
        <v/>
      </c>
      <c r="H1441" s="4" t="str">
        <f>IF(F1441="","",SUMIF('Estadísticas Jugadores'!$F$2:$F$7001,F1441,'Estadísticas Jugadores'!$L$2:$L$7001))</f>
        <v/>
      </c>
      <c r="I1441" s="4" t="str">
        <f t="shared" si="113"/>
        <v/>
      </c>
      <c r="J1441" s="4" t="str">
        <f t="shared" si="114"/>
        <v/>
      </c>
    </row>
    <row r="1442" spans="1:10" ht="15" customHeight="1" x14ac:dyDescent="0.25">
      <c r="A1442" s="8" t="str">
        <f>IF(COUNT($J$2:$J$1501)&gt;=1441,1441,"")</f>
        <v/>
      </c>
      <c r="B1442" s="8" t="str">
        <f t="shared" si="110"/>
        <v/>
      </c>
      <c r="C1442" s="8" t="str">
        <f t="shared" si="111"/>
        <v/>
      </c>
      <c r="D1442" s="8" t="str">
        <f t="shared" si="112"/>
        <v/>
      </c>
      <c r="F1442" s="4" t="str">
        <f>IF(Jugadores!B1442="","",Jugadores!B1442)</f>
        <v/>
      </c>
      <c r="G1442" s="4" t="str">
        <f>IF(Jugadores!B1442="","",Jugadores!A1442)</f>
        <v/>
      </c>
      <c r="H1442" s="4" t="str">
        <f>IF(F1442="","",SUMIF('Estadísticas Jugadores'!$F$2:$F$7001,F1442,'Estadísticas Jugadores'!$L$2:$L$7001))</f>
        <v/>
      </c>
      <c r="I1442" s="4" t="str">
        <f t="shared" si="113"/>
        <v/>
      </c>
      <c r="J1442" s="4" t="str">
        <f t="shared" si="114"/>
        <v/>
      </c>
    </row>
    <row r="1443" spans="1:10" ht="15" customHeight="1" x14ac:dyDescent="0.25">
      <c r="A1443" s="8" t="str">
        <f>IF(COUNT($J$2:$J$1501)&gt;=1442,1442,"")</f>
        <v/>
      </c>
      <c r="B1443" s="8" t="str">
        <f t="shared" si="110"/>
        <v/>
      </c>
      <c r="C1443" s="8" t="str">
        <f t="shared" si="111"/>
        <v/>
      </c>
      <c r="D1443" s="8" t="str">
        <f t="shared" si="112"/>
        <v/>
      </c>
      <c r="F1443" s="4" t="str">
        <f>IF(Jugadores!B1443="","",Jugadores!B1443)</f>
        <v/>
      </c>
      <c r="G1443" s="4" t="str">
        <f>IF(Jugadores!B1443="","",Jugadores!A1443)</f>
        <v/>
      </c>
      <c r="H1443" s="4" t="str">
        <f>IF(F1443="","",SUMIF('Estadísticas Jugadores'!$F$2:$F$7001,F1443,'Estadísticas Jugadores'!$L$2:$L$7001))</f>
        <v/>
      </c>
      <c r="I1443" s="4" t="str">
        <f t="shared" si="113"/>
        <v/>
      </c>
      <c r="J1443" s="4" t="str">
        <f t="shared" si="114"/>
        <v/>
      </c>
    </row>
    <row r="1444" spans="1:10" ht="15" customHeight="1" x14ac:dyDescent="0.25">
      <c r="A1444" s="8" t="str">
        <f>IF(COUNT($J$2:$J$1501)&gt;=1443,1443,"")</f>
        <v/>
      </c>
      <c r="B1444" s="8" t="str">
        <f t="shared" si="110"/>
        <v/>
      </c>
      <c r="C1444" s="8" t="str">
        <f t="shared" si="111"/>
        <v/>
      </c>
      <c r="D1444" s="8" t="str">
        <f t="shared" si="112"/>
        <v/>
      </c>
      <c r="F1444" s="4" t="str">
        <f>IF(Jugadores!B1444="","",Jugadores!B1444)</f>
        <v/>
      </c>
      <c r="G1444" s="4" t="str">
        <f>IF(Jugadores!B1444="","",Jugadores!A1444)</f>
        <v/>
      </c>
      <c r="H1444" s="4" t="str">
        <f>IF(F1444="","",SUMIF('Estadísticas Jugadores'!$F$2:$F$7001,F1444,'Estadísticas Jugadores'!$L$2:$L$7001))</f>
        <v/>
      </c>
      <c r="I1444" s="4" t="str">
        <f t="shared" si="113"/>
        <v/>
      </c>
      <c r="J1444" s="4" t="str">
        <f t="shared" si="114"/>
        <v/>
      </c>
    </row>
    <row r="1445" spans="1:10" ht="15" customHeight="1" x14ac:dyDescent="0.25">
      <c r="A1445" s="8" t="str">
        <f>IF(COUNT($J$2:$J$1501)&gt;=1444,1444,"")</f>
        <v/>
      </c>
      <c r="B1445" s="8" t="str">
        <f t="shared" si="110"/>
        <v/>
      </c>
      <c r="C1445" s="8" t="str">
        <f t="shared" si="111"/>
        <v/>
      </c>
      <c r="D1445" s="8" t="str">
        <f t="shared" si="112"/>
        <v/>
      </c>
      <c r="F1445" s="4" t="str">
        <f>IF(Jugadores!B1445="","",Jugadores!B1445)</f>
        <v/>
      </c>
      <c r="G1445" s="4" t="str">
        <f>IF(Jugadores!B1445="","",Jugadores!A1445)</f>
        <v/>
      </c>
      <c r="H1445" s="4" t="str">
        <f>IF(F1445="","",SUMIF('Estadísticas Jugadores'!$F$2:$F$7001,F1445,'Estadísticas Jugadores'!$L$2:$L$7001))</f>
        <v/>
      </c>
      <c r="I1445" s="4" t="str">
        <f t="shared" si="113"/>
        <v/>
      </c>
      <c r="J1445" s="4" t="str">
        <f t="shared" si="114"/>
        <v/>
      </c>
    </row>
    <row r="1446" spans="1:10" ht="15" customHeight="1" x14ac:dyDescent="0.25">
      <c r="A1446" s="8" t="str">
        <f>IF(COUNT($J$2:$J$1501)&gt;=1445,1445,"")</f>
        <v/>
      </c>
      <c r="B1446" s="8" t="str">
        <f t="shared" si="110"/>
        <v/>
      </c>
      <c r="C1446" s="8" t="str">
        <f t="shared" si="111"/>
        <v/>
      </c>
      <c r="D1446" s="8" t="str">
        <f t="shared" si="112"/>
        <v/>
      </c>
      <c r="F1446" s="4" t="str">
        <f>IF(Jugadores!B1446="","",Jugadores!B1446)</f>
        <v/>
      </c>
      <c r="G1446" s="4" t="str">
        <f>IF(Jugadores!B1446="","",Jugadores!A1446)</f>
        <v/>
      </c>
      <c r="H1446" s="4" t="str">
        <f>IF(F1446="","",SUMIF('Estadísticas Jugadores'!$F$2:$F$7001,F1446,'Estadísticas Jugadores'!$L$2:$L$7001))</f>
        <v/>
      </c>
      <c r="I1446" s="4" t="str">
        <f t="shared" si="113"/>
        <v/>
      </c>
      <c r="J1446" s="4" t="str">
        <f t="shared" si="114"/>
        <v/>
      </c>
    </row>
    <row r="1447" spans="1:10" ht="15" customHeight="1" x14ac:dyDescent="0.25">
      <c r="A1447" s="8" t="str">
        <f>IF(COUNT($J$2:$J$1501)&gt;=1446,1446,"")</f>
        <v/>
      </c>
      <c r="B1447" s="8" t="str">
        <f t="shared" si="110"/>
        <v/>
      </c>
      <c r="C1447" s="8" t="str">
        <f t="shared" si="111"/>
        <v/>
      </c>
      <c r="D1447" s="8" t="str">
        <f t="shared" si="112"/>
        <v/>
      </c>
      <c r="F1447" s="4" t="str">
        <f>IF(Jugadores!B1447="","",Jugadores!B1447)</f>
        <v/>
      </c>
      <c r="G1447" s="4" t="str">
        <f>IF(Jugadores!B1447="","",Jugadores!A1447)</f>
        <v/>
      </c>
      <c r="H1447" s="4" t="str">
        <f>IF(F1447="","",SUMIF('Estadísticas Jugadores'!$F$2:$F$7001,F1447,'Estadísticas Jugadores'!$L$2:$L$7001))</f>
        <v/>
      </c>
      <c r="I1447" s="4" t="str">
        <f t="shared" si="113"/>
        <v/>
      </c>
      <c r="J1447" s="4" t="str">
        <f t="shared" si="114"/>
        <v/>
      </c>
    </row>
    <row r="1448" spans="1:10" ht="15" customHeight="1" x14ac:dyDescent="0.25">
      <c r="A1448" s="8" t="str">
        <f>IF(COUNT($J$2:$J$1501)&gt;=1447,1447,"")</f>
        <v/>
      </c>
      <c r="B1448" s="8" t="str">
        <f t="shared" si="110"/>
        <v/>
      </c>
      <c r="C1448" s="8" t="str">
        <f t="shared" si="111"/>
        <v/>
      </c>
      <c r="D1448" s="8" t="str">
        <f t="shared" si="112"/>
        <v/>
      </c>
      <c r="F1448" s="4" t="str">
        <f>IF(Jugadores!B1448="","",Jugadores!B1448)</f>
        <v/>
      </c>
      <c r="G1448" s="4" t="str">
        <f>IF(Jugadores!B1448="","",Jugadores!A1448)</f>
        <v/>
      </c>
      <c r="H1448" s="4" t="str">
        <f>IF(F1448="","",SUMIF('Estadísticas Jugadores'!$F$2:$F$7001,F1448,'Estadísticas Jugadores'!$L$2:$L$7001))</f>
        <v/>
      </c>
      <c r="I1448" s="4" t="str">
        <f t="shared" si="113"/>
        <v/>
      </c>
      <c r="J1448" s="4" t="str">
        <f t="shared" si="114"/>
        <v/>
      </c>
    </row>
    <row r="1449" spans="1:10" ht="15" customHeight="1" x14ac:dyDescent="0.25">
      <c r="A1449" s="8" t="str">
        <f>IF(COUNT($J$2:$J$1501)&gt;=1448,1448,"")</f>
        <v/>
      </c>
      <c r="B1449" s="8" t="str">
        <f t="shared" si="110"/>
        <v/>
      </c>
      <c r="C1449" s="8" t="str">
        <f t="shared" si="111"/>
        <v/>
      </c>
      <c r="D1449" s="8" t="str">
        <f t="shared" si="112"/>
        <v/>
      </c>
      <c r="F1449" s="4" t="str">
        <f>IF(Jugadores!B1449="","",Jugadores!B1449)</f>
        <v/>
      </c>
      <c r="G1449" s="4" t="str">
        <f>IF(Jugadores!B1449="","",Jugadores!A1449)</f>
        <v/>
      </c>
      <c r="H1449" s="4" t="str">
        <f>IF(F1449="","",SUMIF('Estadísticas Jugadores'!$F$2:$F$7001,F1449,'Estadísticas Jugadores'!$L$2:$L$7001))</f>
        <v/>
      </c>
      <c r="I1449" s="4" t="str">
        <f t="shared" si="113"/>
        <v/>
      </c>
      <c r="J1449" s="4" t="str">
        <f t="shared" si="114"/>
        <v/>
      </c>
    </row>
    <row r="1450" spans="1:10" ht="15" customHeight="1" x14ac:dyDescent="0.25">
      <c r="A1450" s="8" t="str">
        <f>IF(COUNT($J$2:$J$1501)&gt;=1449,1449,"")</f>
        <v/>
      </c>
      <c r="B1450" s="8" t="str">
        <f t="shared" si="110"/>
        <v/>
      </c>
      <c r="C1450" s="8" t="str">
        <f t="shared" si="111"/>
        <v/>
      </c>
      <c r="D1450" s="8" t="str">
        <f t="shared" si="112"/>
        <v/>
      </c>
      <c r="F1450" s="4" t="str">
        <f>IF(Jugadores!B1450="","",Jugadores!B1450)</f>
        <v/>
      </c>
      <c r="G1450" s="4" t="str">
        <f>IF(Jugadores!B1450="","",Jugadores!A1450)</f>
        <v/>
      </c>
      <c r="H1450" s="4" t="str">
        <f>IF(F1450="","",SUMIF('Estadísticas Jugadores'!$F$2:$F$7001,F1450,'Estadísticas Jugadores'!$L$2:$L$7001))</f>
        <v/>
      </c>
      <c r="I1450" s="4" t="str">
        <f t="shared" si="113"/>
        <v/>
      </c>
      <c r="J1450" s="4" t="str">
        <f t="shared" si="114"/>
        <v/>
      </c>
    </row>
    <row r="1451" spans="1:10" ht="15" customHeight="1" x14ac:dyDescent="0.25">
      <c r="A1451" s="8" t="str">
        <f>IF(COUNT($J$2:$J$1501)&gt;=1450,1450,"")</f>
        <v/>
      </c>
      <c r="B1451" s="8" t="str">
        <f t="shared" si="110"/>
        <v/>
      </c>
      <c r="C1451" s="8" t="str">
        <f t="shared" si="111"/>
        <v/>
      </c>
      <c r="D1451" s="8" t="str">
        <f t="shared" si="112"/>
        <v/>
      </c>
      <c r="F1451" s="4" t="str">
        <f>IF(Jugadores!B1451="","",Jugadores!B1451)</f>
        <v/>
      </c>
      <c r="G1451" s="4" t="str">
        <f>IF(Jugadores!B1451="","",Jugadores!A1451)</f>
        <v/>
      </c>
      <c r="H1451" s="4" t="str">
        <f>IF(F1451="","",SUMIF('Estadísticas Jugadores'!$F$2:$F$7001,F1451,'Estadísticas Jugadores'!$L$2:$L$7001))</f>
        <v/>
      </c>
      <c r="I1451" s="4" t="str">
        <f t="shared" si="113"/>
        <v/>
      </c>
      <c r="J1451" s="4" t="str">
        <f t="shared" si="114"/>
        <v/>
      </c>
    </row>
    <row r="1452" spans="1:10" ht="15" customHeight="1" x14ac:dyDescent="0.25">
      <c r="A1452" s="8" t="str">
        <f>IF(COUNT($J$2:$J$1501)&gt;=1451,1451,"")</f>
        <v/>
      </c>
      <c r="B1452" s="8" t="str">
        <f t="shared" si="110"/>
        <v/>
      </c>
      <c r="C1452" s="8" t="str">
        <f t="shared" si="111"/>
        <v/>
      </c>
      <c r="D1452" s="8" t="str">
        <f t="shared" si="112"/>
        <v/>
      </c>
      <c r="F1452" s="4" t="str">
        <f>IF(Jugadores!B1452="","",Jugadores!B1452)</f>
        <v/>
      </c>
      <c r="G1452" s="4" t="str">
        <f>IF(Jugadores!B1452="","",Jugadores!A1452)</f>
        <v/>
      </c>
      <c r="H1452" s="4" t="str">
        <f>IF(F1452="","",SUMIF('Estadísticas Jugadores'!$F$2:$F$7001,F1452,'Estadísticas Jugadores'!$L$2:$L$7001))</f>
        <v/>
      </c>
      <c r="I1452" s="4" t="str">
        <f t="shared" si="113"/>
        <v/>
      </c>
      <c r="J1452" s="4" t="str">
        <f t="shared" si="114"/>
        <v/>
      </c>
    </row>
    <row r="1453" spans="1:10" ht="15" customHeight="1" x14ac:dyDescent="0.25">
      <c r="A1453" s="8" t="str">
        <f>IF(COUNT($J$2:$J$1501)&gt;=1452,1452,"")</f>
        <v/>
      </c>
      <c r="B1453" s="8" t="str">
        <f t="shared" si="110"/>
        <v/>
      </c>
      <c r="C1453" s="8" t="str">
        <f t="shared" si="111"/>
        <v/>
      </c>
      <c r="D1453" s="8" t="str">
        <f t="shared" si="112"/>
        <v/>
      </c>
      <c r="F1453" s="4" t="str">
        <f>IF(Jugadores!B1453="","",Jugadores!B1453)</f>
        <v/>
      </c>
      <c r="G1453" s="4" t="str">
        <f>IF(Jugadores!B1453="","",Jugadores!A1453)</f>
        <v/>
      </c>
      <c r="H1453" s="4" t="str">
        <f>IF(F1453="","",SUMIF('Estadísticas Jugadores'!$F$2:$F$7001,F1453,'Estadísticas Jugadores'!$L$2:$L$7001))</f>
        <v/>
      </c>
      <c r="I1453" s="4" t="str">
        <f t="shared" si="113"/>
        <v/>
      </c>
      <c r="J1453" s="4" t="str">
        <f t="shared" si="114"/>
        <v/>
      </c>
    </row>
    <row r="1454" spans="1:10" ht="15" customHeight="1" x14ac:dyDescent="0.25">
      <c r="A1454" s="8" t="str">
        <f>IF(COUNT($J$2:$J$1501)&gt;=1453,1453,"")</f>
        <v/>
      </c>
      <c r="B1454" s="8" t="str">
        <f t="shared" si="110"/>
        <v/>
      </c>
      <c r="C1454" s="8" t="str">
        <f t="shared" si="111"/>
        <v/>
      </c>
      <c r="D1454" s="8" t="str">
        <f t="shared" si="112"/>
        <v/>
      </c>
      <c r="F1454" s="4" t="str">
        <f>IF(Jugadores!B1454="","",Jugadores!B1454)</f>
        <v/>
      </c>
      <c r="G1454" s="4" t="str">
        <f>IF(Jugadores!B1454="","",Jugadores!A1454)</f>
        <v/>
      </c>
      <c r="H1454" s="4" t="str">
        <f>IF(F1454="","",SUMIF('Estadísticas Jugadores'!$F$2:$F$7001,F1454,'Estadísticas Jugadores'!$L$2:$L$7001))</f>
        <v/>
      </c>
      <c r="I1454" s="4" t="str">
        <f t="shared" si="113"/>
        <v/>
      </c>
      <c r="J1454" s="4" t="str">
        <f t="shared" si="114"/>
        <v/>
      </c>
    </row>
    <row r="1455" spans="1:10" ht="15" customHeight="1" x14ac:dyDescent="0.25">
      <c r="A1455" s="8" t="str">
        <f>IF(COUNT($J$2:$J$1501)&gt;=1454,1454,"")</f>
        <v/>
      </c>
      <c r="B1455" s="8" t="str">
        <f t="shared" si="110"/>
        <v/>
      </c>
      <c r="C1455" s="8" t="str">
        <f t="shared" si="111"/>
        <v/>
      </c>
      <c r="D1455" s="8" t="str">
        <f t="shared" si="112"/>
        <v/>
      </c>
      <c r="F1455" s="4" t="str">
        <f>IF(Jugadores!B1455="","",Jugadores!B1455)</f>
        <v/>
      </c>
      <c r="G1455" s="4" t="str">
        <f>IF(Jugadores!B1455="","",Jugadores!A1455)</f>
        <v/>
      </c>
      <c r="H1455" s="4" t="str">
        <f>IF(F1455="","",SUMIF('Estadísticas Jugadores'!$F$2:$F$7001,F1455,'Estadísticas Jugadores'!$L$2:$L$7001))</f>
        <v/>
      </c>
      <c r="I1455" s="4" t="str">
        <f t="shared" si="113"/>
        <v/>
      </c>
      <c r="J1455" s="4" t="str">
        <f t="shared" si="114"/>
        <v/>
      </c>
    </row>
    <row r="1456" spans="1:10" ht="15" customHeight="1" x14ac:dyDescent="0.25">
      <c r="A1456" s="8" t="str">
        <f>IF(COUNT($J$2:$J$1501)&gt;=1455,1455,"")</f>
        <v/>
      </c>
      <c r="B1456" s="8" t="str">
        <f t="shared" si="110"/>
        <v/>
      </c>
      <c r="C1456" s="8" t="str">
        <f t="shared" si="111"/>
        <v/>
      </c>
      <c r="D1456" s="8" t="str">
        <f t="shared" si="112"/>
        <v/>
      </c>
      <c r="F1456" s="4" t="str">
        <f>IF(Jugadores!B1456="","",Jugadores!B1456)</f>
        <v/>
      </c>
      <c r="G1456" s="4" t="str">
        <f>IF(Jugadores!B1456="","",Jugadores!A1456)</f>
        <v/>
      </c>
      <c r="H1456" s="4" t="str">
        <f>IF(F1456="","",SUMIF('Estadísticas Jugadores'!$F$2:$F$7001,F1456,'Estadísticas Jugadores'!$L$2:$L$7001))</f>
        <v/>
      </c>
      <c r="I1456" s="4" t="str">
        <f t="shared" si="113"/>
        <v/>
      </c>
      <c r="J1456" s="4" t="str">
        <f t="shared" si="114"/>
        <v/>
      </c>
    </row>
    <row r="1457" spans="1:10" ht="15" customHeight="1" x14ac:dyDescent="0.25">
      <c r="A1457" s="8" t="str">
        <f>IF(COUNT($J$2:$J$1501)&gt;=1456,1456,"")</f>
        <v/>
      </c>
      <c r="B1457" s="8" t="str">
        <f t="shared" si="110"/>
        <v/>
      </c>
      <c r="C1457" s="8" t="str">
        <f t="shared" si="111"/>
        <v/>
      </c>
      <c r="D1457" s="8" t="str">
        <f t="shared" si="112"/>
        <v/>
      </c>
      <c r="F1457" s="4" t="str">
        <f>IF(Jugadores!B1457="","",Jugadores!B1457)</f>
        <v/>
      </c>
      <c r="G1457" s="4" t="str">
        <f>IF(Jugadores!B1457="","",Jugadores!A1457)</f>
        <v/>
      </c>
      <c r="H1457" s="4" t="str">
        <f>IF(F1457="","",SUMIF('Estadísticas Jugadores'!$F$2:$F$7001,F1457,'Estadísticas Jugadores'!$L$2:$L$7001))</f>
        <v/>
      </c>
      <c r="I1457" s="4" t="str">
        <f t="shared" si="113"/>
        <v/>
      </c>
      <c r="J1457" s="4" t="str">
        <f t="shared" si="114"/>
        <v/>
      </c>
    </row>
    <row r="1458" spans="1:10" ht="15" customHeight="1" x14ac:dyDescent="0.25">
      <c r="A1458" s="8" t="str">
        <f>IF(COUNT($J$2:$J$1501)&gt;=1457,1457,"")</f>
        <v/>
      </c>
      <c r="B1458" s="8" t="str">
        <f t="shared" si="110"/>
        <v/>
      </c>
      <c r="C1458" s="8" t="str">
        <f t="shared" si="111"/>
        <v/>
      </c>
      <c r="D1458" s="8" t="str">
        <f t="shared" si="112"/>
        <v/>
      </c>
      <c r="F1458" s="4" t="str">
        <f>IF(Jugadores!B1458="","",Jugadores!B1458)</f>
        <v/>
      </c>
      <c r="G1458" s="4" t="str">
        <f>IF(Jugadores!B1458="","",Jugadores!A1458)</f>
        <v/>
      </c>
      <c r="H1458" s="4" t="str">
        <f>IF(F1458="","",SUMIF('Estadísticas Jugadores'!$F$2:$F$7001,F1458,'Estadísticas Jugadores'!$L$2:$L$7001))</f>
        <v/>
      </c>
      <c r="I1458" s="4" t="str">
        <f t="shared" si="113"/>
        <v/>
      </c>
      <c r="J1458" s="4" t="str">
        <f t="shared" si="114"/>
        <v/>
      </c>
    </row>
    <row r="1459" spans="1:10" ht="15" customHeight="1" x14ac:dyDescent="0.25">
      <c r="A1459" s="8" t="str">
        <f>IF(COUNT($J$2:$J$1501)&gt;=1458,1458,"")</f>
        <v/>
      </c>
      <c r="B1459" s="8" t="str">
        <f t="shared" si="110"/>
        <v/>
      </c>
      <c r="C1459" s="8" t="str">
        <f t="shared" si="111"/>
        <v/>
      </c>
      <c r="D1459" s="8" t="str">
        <f t="shared" si="112"/>
        <v/>
      </c>
      <c r="F1459" s="4" t="str">
        <f>IF(Jugadores!B1459="","",Jugadores!B1459)</f>
        <v/>
      </c>
      <c r="G1459" s="4" t="str">
        <f>IF(Jugadores!B1459="","",Jugadores!A1459)</f>
        <v/>
      </c>
      <c r="H1459" s="4" t="str">
        <f>IF(F1459="","",SUMIF('Estadísticas Jugadores'!$F$2:$F$7001,F1459,'Estadísticas Jugadores'!$L$2:$L$7001))</f>
        <v/>
      </c>
      <c r="I1459" s="4" t="str">
        <f t="shared" si="113"/>
        <v/>
      </c>
      <c r="J1459" s="4" t="str">
        <f t="shared" si="114"/>
        <v/>
      </c>
    </row>
    <row r="1460" spans="1:10" ht="15" customHeight="1" x14ac:dyDescent="0.25">
      <c r="A1460" s="8" t="str">
        <f>IF(COUNT($J$2:$J$1501)&gt;=1459,1459,"")</f>
        <v/>
      </c>
      <c r="B1460" s="8" t="str">
        <f t="shared" si="110"/>
        <v/>
      </c>
      <c r="C1460" s="8" t="str">
        <f t="shared" si="111"/>
        <v/>
      </c>
      <c r="D1460" s="8" t="str">
        <f t="shared" si="112"/>
        <v/>
      </c>
      <c r="F1460" s="4" t="str">
        <f>IF(Jugadores!B1460="","",Jugadores!B1460)</f>
        <v/>
      </c>
      <c r="G1460" s="4" t="str">
        <f>IF(Jugadores!B1460="","",Jugadores!A1460)</f>
        <v/>
      </c>
      <c r="H1460" s="4" t="str">
        <f>IF(F1460="","",SUMIF('Estadísticas Jugadores'!$F$2:$F$7001,F1460,'Estadísticas Jugadores'!$L$2:$L$7001))</f>
        <v/>
      </c>
      <c r="I1460" s="4" t="str">
        <f t="shared" si="113"/>
        <v/>
      </c>
      <c r="J1460" s="4" t="str">
        <f t="shared" si="114"/>
        <v/>
      </c>
    </row>
    <row r="1461" spans="1:10" ht="15" customHeight="1" x14ac:dyDescent="0.25">
      <c r="A1461" s="8" t="str">
        <f>IF(COUNT($J$2:$J$1501)&gt;=1460,1460,"")</f>
        <v/>
      </c>
      <c r="B1461" s="8" t="str">
        <f t="shared" si="110"/>
        <v/>
      </c>
      <c r="C1461" s="8" t="str">
        <f t="shared" si="111"/>
        <v/>
      </c>
      <c r="D1461" s="8" t="str">
        <f t="shared" si="112"/>
        <v/>
      </c>
      <c r="F1461" s="4" t="str">
        <f>IF(Jugadores!B1461="","",Jugadores!B1461)</f>
        <v/>
      </c>
      <c r="G1461" s="4" t="str">
        <f>IF(Jugadores!B1461="","",Jugadores!A1461)</f>
        <v/>
      </c>
      <c r="H1461" s="4" t="str">
        <f>IF(F1461="","",SUMIF('Estadísticas Jugadores'!$F$2:$F$7001,F1461,'Estadísticas Jugadores'!$L$2:$L$7001))</f>
        <v/>
      </c>
      <c r="I1461" s="4" t="str">
        <f t="shared" si="113"/>
        <v/>
      </c>
      <c r="J1461" s="4" t="str">
        <f t="shared" si="114"/>
        <v/>
      </c>
    </row>
    <row r="1462" spans="1:10" ht="15" customHeight="1" x14ac:dyDescent="0.25">
      <c r="A1462" s="8" t="str">
        <f>IF(COUNT($J$2:$J$1501)&gt;=1461,1461,"")</f>
        <v/>
      </c>
      <c r="B1462" s="8" t="str">
        <f t="shared" si="110"/>
        <v/>
      </c>
      <c r="C1462" s="8" t="str">
        <f t="shared" si="111"/>
        <v/>
      </c>
      <c r="D1462" s="8" t="str">
        <f t="shared" si="112"/>
        <v/>
      </c>
      <c r="F1462" s="4" t="str">
        <f>IF(Jugadores!B1462="","",Jugadores!B1462)</f>
        <v/>
      </c>
      <c r="G1462" s="4" t="str">
        <f>IF(Jugadores!B1462="","",Jugadores!A1462)</f>
        <v/>
      </c>
      <c r="H1462" s="4" t="str">
        <f>IF(F1462="","",SUMIF('Estadísticas Jugadores'!$F$2:$F$7001,F1462,'Estadísticas Jugadores'!$L$2:$L$7001))</f>
        <v/>
      </c>
      <c r="I1462" s="4" t="str">
        <f t="shared" si="113"/>
        <v/>
      </c>
      <c r="J1462" s="4" t="str">
        <f t="shared" si="114"/>
        <v/>
      </c>
    </row>
    <row r="1463" spans="1:10" ht="15" customHeight="1" x14ac:dyDescent="0.25">
      <c r="A1463" s="8" t="str">
        <f>IF(COUNT($J$2:$J$1501)&gt;=1462,1462,"")</f>
        <v/>
      </c>
      <c r="B1463" s="8" t="str">
        <f t="shared" si="110"/>
        <v/>
      </c>
      <c r="C1463" s="8" t="str">
        <f t="shared" si="111"/>
        <v/>
      </c>
      <c r="D1463" s="8" t="str">
        <f t="shared" si="112"/>
        <v/>
      </c>
      <c r="F1463" s="4" t="str">
        <f>IF(Jugadores!B1463="","",Jugadores!B1463)</f>
        <v/>
      </c>
      <c r="G1463" s="4" t="str">
        <f>IF(Jugadores!B1463="","",Jugadores!A1463)</f>
        <v/>
      </c>
      <c r="H1463" s="4" t="str">
        <f>IF(F1463="","",SUMIF('Estadísticas Jugadores'!$F$2:$F$7001,F1463,'Estadísticas Jugadores'!$L$2:$L$7001))</f>
        <v/>
      </c>
      <c r="I1463" s="4" t="str">
        <f t="shared" si="113"/>
        <v/>
      </c>
      <c r="J1463" s="4" t="str">
        <f t="shared" si="114"/>
        <v/>
      </c>
    </row>
    <row r="1464" spans="1:10" ht="15" customHeight="1" x14ac:dyDescent="0.25">
      <c r="A1464" s="8" t="str">
        <f>IF(COUNT($J$2:$J$1501)&gt;=1463,1463,"")</f>
        <v/>
      </c>
      <c r="B1464" s="8" t="str">
        <f t="shared" si="110"/>
        <v/>
      </c>
      <c r="C1464" s="8" t="str">
        <f t="shared" si="111"/>
        <v/>
      </c>
      <c r="D1464" s="8" t="str">
        <f t="shared" si="112"/>
        <v/>
      </c>
      <c r="F1464" s="4" t="str">
        <f>IF(Jugadores!B1464="","",Jugadores!B1464)</f>
        <v/>
      </c>
      <c r="G1464" s="4" t="str">
        <f>IF(Jugadores!B1464="","",Jugadores!A1464)</f>
        <v/>
      </c>
      <c r="H1464" s="4" t="str">
        <f>IF(F1464="","",SUMIF('Estadísticas Jugadores'!$F$2:$F$7001,F1464,'Estadísticas Jugadores'!$L$2:$L$7001))</f>
        <v/>
      </c>
      <c r="I1464" s="4" t="str">
        <f t="shared" si="113"/>
        <v/>
      </c>
      <c r="J1464" s="4" t="str">
        <f t="shared" si="114"/>
        <v/>
      </c>
    </row>
    <row r="1465" spans="1:10" ht="15" customHeight="1" x14ac:dyDescent="0.25">
      <c r="A1465" s="8" t="str">
        <f>IF(COUNT($J$2:$J$1501)&gt;=1464,1464,"")</f>
        <v/>
      </c>
      <c r="B1465" s="8" t="str">
        <f t="shared" si="110"/>
        <v/>
      </c>
      <c r="C1465" s="8" t="str">
        <f t="shared" si="111"/>
        <v/>
      </c>
      <c r="D1465" s="8" t="str">
        <f t="shared" si="112"/>
        <v/>
      </c>
      <c r="F1465" s="4" t="str">
        <f>IF(Jugadores!B1465="","",Jugadores!B1465)</f>
        <v/>
      </c>
      <c r="G1465" s="4" t="str">
        <f>IF(Jugadores!B1465="","",Jugadores!A1465)</f>
        <v/>
      </c>
      <c r="H1465" s="4" t="str">
        <f>IF(F1465="","",SUMIF('Estadísticas Jugadores'!$F$2:$F$7001,F1465,'Estadísticas Jugadores'!$L$2:$L$7001))</f>
        <v/>
      </c>
      <c r="I1465" s="4" t="str">
        <f t="shared" si="113"/>
        <v/>
      </c>
      <c r="J1465" s="4" t="str">
        <f t="shared" si="114"/>
        <v/>
      </c>
    </row>
    <row r="1466" spans="1:10" ht="15" customHeight="1" x14ac:dyDescent="0.25">
      <c r="A1466" s="8" t="str">
        <f>IF(COUNT($J$2:$J$1501)&gt;=1465,1465,"")</f>
        <v/>
      </c>
      <c r="B1466" s="8" t="str">
        <f t="shared" si="110"/>
        <v/>
      </c>
      <c r="C1466" s="8" t="str">
        <f t="shared" si="111"/>
        <v/>
      </c>
      <c r="D1466" s="8" t="str">
        <f t="shared" si="112"/>
        <v/>
      </c>
      <c r="F1466" s="4" t="str">
        <f>IF(Jugadores!B1466="","",Jugadores!B1466)</f>
        <v/>
      </c>
      <c r="G1466" s="4" t="str">
        <f>IF(Jugadores!B1466="","",Jugadores!A1466)</f>
        <v/>
      </c>
      <c r="H1466" s="4" t="str">
        <f>IF(F1466="","",SUMIF('Estadísticas Jugadores'!$F$2:$F$7001,F1466,'Estadísticas Jugadores'!$L$2:$L$7001))</f>
        <v/>
      </c>
      <c r="I1466" s="4" t="str">
        <f t="shared" si="113"/>
        <v/>
      </c>
      <c r="J1466" s="4" t="str">
        <f t="shared" si="114"/>
        <v/>
      </c>
    </row>
    <row r="1467" spans="1:10" ht="15" customHeight="1" x14ac:dyDescent="0.25">
      <c r="A1467" s="8" t="str">
        <f>IF(COUNT($J$2:$J$1501)&gt;=1466,1466,"")</f>
        <v/>
      </c>
      <c r="B1467" s="8" t="str">
        <f t="shared" si="110"/>
        <v/>
      </c>
      <c r="C1467" s="8" t="str">
        <f t="shared" si="111"/>
        <v/>
      </c>
      <c r="D1467" s="8" t="str">
        <f t="shared" si="112"/>
        <v/>
      </c>
      <c r="F1467" s="4" t="str">
        <f>IF(Jugadores!B1467="","",Jugadores!B1467)</f>
        <v/>
      </c>
      <c r="G1467" s="4" t="str">
        <f>IF(Jugadores!B1467="","",Jugadores!A1467)</f>
        <v/>
      </c>
      <c r="H1467" s="4" t="str">
        <f>IF(F1467="","",SUMIF('Estadísticas Jugadores'!$F$2:$F$7001,F1467,'Estadísticas Jugadores'!$L$2:$L$7001))</f>
        <v/>
      </c>
      <c r="I1467" s="4" t="str">
        <f t="shared" si="113"/>
        <v/>
      </c>
      <c r="J1467" s="4" t="str">
        <f t="shared" si="114"/>
        <v/>
      </c>
    </row>
    <row r="1468" spans="1:10" ht="15" customHeight="1" x14ac:dyDescent="0.25">
      <c r="A1468" s="8" t="str">
        <f>IF(COUNT($J$2:$J$1501)&gt;=1467,1467,"")</f>
        <v/>
      </c>
      <c r="B1468" s="8" t="str">
        <f t="shared" si="110"/>
        <v/>
      </c>
      <c r="C1468" s="8" t="str">
        <f t="shared" si="111"/>
        <v/>
      </c>
      <c r="D1468" s="8" t="str">
        <f t="shared" si="112"/>
        <v/>
      </c>
      <c r="F1468" s="4" t="str">
        <f>IF(Jugadores!B1468="","",Jugadores!B1468)</f>
        <v/>
      </c>
      <c r="G1468" s="4" t="str">
        <f>IF(Jugadores!B1468="","",Jugadores!A1468)</f>
        <v/>
      </c>
      <c r="H1468" s="4" t="str">
        <f>IF(F1468="","",SUMIF('Estadísticas Jugadores'!$F$2:$F$7001,F1468,'Estadísticas Jugadores'!$L$2:$L$7001))</f>
        <v/>
      </c>
      <c r="I1468" s="4" t="str">
        <f t="shared" si="113"/>
        <v/>
      </c>
      <c r="J1468" s="4" t="str">
        <f t="shared" si="114"/>
        <v/>
      </c>
    </row>
    <row r="1469" spans="1:10" ht="15" customHeight="1" x14ac:dyDescent="0.25">
      <c r="A1469" s="8" t="str">
        <f>IF(COUNT($J$2:$J$1501)&gt;=1468,1468,"")</f>
        <v/>
      </c>
      <c r="B1469" s="8" t="str">
        <f t="shared" si="110"/>
        <v/>
      </c>
      <c r="C1469" s="8" t="str">
        <f t="shared" si="111"/>
        <v/>
      </c>
      <c r="D1469" s="8" t="str">
        <f t="shared" si="112"/>
        <v/>
      </c>
      <c r="F1469" s="4" t="str">
        <f>IF(Jugadores!B1469="","",Jugadores!B1469)</f>
        <v/>
      </c>
      <c r="G1469" s="4" t="str">
        <f>IF(Jugadores!B1469="","",Jugadores!A1469)</f>
        <v/>
      </c>
      <c r="H1469" s="4" t="str">
        <f>IF(F1469="","",SUMIF('Estadísticas Jugadores'!$F$2:$F$7001,F1469,'Estadísticas Jugadores'!$L$2:$L$7001))</f>
        <v/>
      </c>
      <c r="I1469" s="4" t="str">
        <f t="shared" si="113"/>
        <v/>
      </c>
      <c r="J1469" s="4" t="str">
        <f t="shared" si="114"/>
        <v/>
      </c>
    </row>
    <row r="1470" spans="1:10" ht="15" customHeight="1" x14ac:dyDescent="0.25">
      <c r="A1470" s="8" t="str">
        <f>IF(COUNT($J$2:$J$1501)&gt;=1469,1469,"")</f>
        <v/>
      </c>
      <c r="B1470" s="8" t="str">
        <f t="shared" si="110"/>
        <v/>
      </c>
      <c r="C1470" s="8" t="str">
        <f t="shared" si="111"/>
        <v/>
      </c>
      <c r="D1470" s="8" t="str">
        <f t="shared" si="112"/>
        <v/>
      </c>
      <c r="F1470" s="4" t="str">
        <f>IF(Jugadores!B1470="","",Jugadores!B1470)</f>
        <v/>
      </c>
      <c r="G1470" s="4" t="str">
        <f>IF(Jugadores!B1470="","",Jugadores!A1470)</f>
        <v/>
      </c>
      <c r="H1470" s="4" t="str">
        <f>IF(F1470="","",SUMIF('Estadísticas Jugadores'!$F$2:$F$7001,F1470,'Estadísticas Jugadores'!$L$2:$L$7001))</f>
        <v/>
      </c>
      <c r="I1470" s="4" t="str">
        <f t="shared" si="113"/>
        <v/>
      </c>
      <c r="J1470" s="4" t="str">
        <f t="shared" si="114"/>
        <v/>
      </c>
    </row>
    <row r="1471" spans="1:10" ht="15" customHeight="1" x14ac:dyDescent="0.25">
      <c r="A1471" s="8" t="str">
        <f>IF(COUNT($J$2:$J$1501)&gt;=1470,1470,"")</f>
        <v/>
      </c>
      <c r="B1471" s="8" t="str">
        <f t="shared" si="110"/>
        <v/>
      </c>
      <c r="C1471" s="8" t="str">
        <f t="shared" si="111"/>
        <v/>
      </c>
      <c r="D1471" s="8" t="str">
        <f t="shared" si="112"/>
        <v/>
      </c>
      <c r="F1471" s="4" t="str">
        <f>IF(Jugadores!B1471="","",Jugadores!B1471)</f>
        <v/>
      </c>
      <c r="G1471" s="4" t="str">
        <f>IF(Jugadores!B1471="","",Jugadores!A1471)</f>
        <v/>
      </c>
      <c r="H1471" s="4" t="str">
        <f>IF(F1471="","",SUMIF('Estadísticas Jugadores'!$F$2:$F$7001,F1471,'Estadísticas Jugadores'!$L$2:$L$7001))</f>
        <v/>
      </c>
      <c r="I1471" s="4" t="str">
        <f t="shared" si="113"/>
        <v/>
      </c>
      <c r="J1471" s="4" t="str">
        <f t="shared" si="114"/>
        <v/>
      </c>
    </row>
    <row r="1472" spans="1:10" ht="15" customHeight="1" x14ac:dyDescent="0.25">
      <c r="A1472" s="8" t="str">
        <f>IF(COUNT($J$2:$J$1501)&gt;=1471,1471,"")</f>
        <v/>
      </c>
      <c r="B1472" s="8" t="str">
        <f t="shared" si="110"/>
        <v/>
      </c>
      <c r="C1472" s="8" t="str">
        <f t="shared" si="111"/>
        <v/>
      </c>
      <c r="D1472" s="8" t="str">
        <f t="shared" si="112"/>
        <v/>
      </c>
      <c r="F1472" s="4" t="str">
        <f>IF(Jugadores!B1472="","",Jugadores!B1472)</f>
        <v/>
      </c>
      <c r="G1472" s="4" t="str">
        <f>IF(Jugadores!B1472="","",Jugadores!A1472)</f>
        <v/>
      </c>
      <c r="H1472" s="4" t="str">
        <f>IF(F1472="","",SUMIF('Estadísticas Jugadores'!$F$2:$F$7001,F1472,'Estadísticas Jugadores'!$L$2:$L$7001))</f>
        <v/>
      </c>
      <c r="I1472" s="4" t="str">
        <f t="shared" si="113"/>
        <v/>
      </c>
      <c r="J1472" s="4" t="str">
        <f t="shared" si="114"/>
        <v/>
      </c>
    </row>
    <row r="1473" spans="1:10" ht="15" customHeight="1" x14ac:dyDescent="0.25">
      <c r="A1473" s="8" t="str">
        <f>IF(COUNT($J$2:$J$1501)&gt;=1472,1472,"")</f>
        <v/>
      </c>
      <c r="B1473" s="8" t="str">
        <f t="shared" si="110"/>
        <v/>
      </c>
      <c r="C1473" s="8" t="str">
        <f t="shared" si="111"/>
        <v/>
      </c>
      <c r="D1473" s="8" t="str">
        <f t="shared" si="112"/>
        <v/>
      </c>
      <c r="F1473" s="4" t="str">
        <f>IF(Jugadores!B1473="","",Jugadores!B1473)</f>
        <v/>
      </c>
      <c r="G1473" s="4" t="str">
        <f>IF(Jugadores!B1473="","",Jugadores!A1473)</f>
        <v/>
      </c>
      <c r="H1473" s="4" t="str">
        <f>IF(F1473="","",SUMIF('Estadísticas Jugadores'!$F$2:$F$7001,F1473,'Estadísticas Jugadores'!$L$2:$L$7001))</f>
        <v/>
      </c>
      <c r="I1473" s="4" t="str">
        <f t="shared" si="113"/>
        <v/>
      </c>
      <c r="J1473" s="4" t="str">
        <f t="shared" si="114"/>
        <v/>
      </c>
    </row>
    <row r="1474" spans="1:10" ht="15" customHeight="1" x14ac:dyDescent="0.25">
      <c r="A1474" s="8" t="str">
        <f>IF(COUNT($J$2:$J$1501)&gt;=1473,1473,"")</f>
        <v/>
      </c>
      <c r="B1474" s="8" t="str">
        <f t="shared" ref="B1474:B1501" si="115">IF($A1474="","",INDEX($F$2:$F$1501,MATCH($A1474,$J$2:$J$1501,0)))</f>
        <v/>
      </c>
      <c r="C1474" s="8" t="str">
        <f t="shared" ref="C1474:C1501" si="116">IF($A1474="","",INDEX($G$2:$G$1501,MATCH($A1474,$J$2:$J$1501,0)))</f>
        <v/>
      </c>
      <c r="D1474" s="8" t="str">
        <f t="shared" ref="D1474:D1501" si="117">IF($A1474="","",INDEX($H$2:$H$1501,MATCH($A1474,$J$2:$J$1501,0)))</f>
        <v/>
      </c>
      <c r="F1474" s="4" t="str">
        <f>IF(Jugadores!B1474="","",Jugadores!B1474)</f>
        <v/>
      </c>
      <c r="G1474" s="4" t="str">
        <f>IF(Jugadores!B1474="","",Jugadores!A1474)</f>
        <v/>
      </c>
      <c r="H1474" s="4" t="str">
        <f>IF(F1474="","",SUMIF('Estadísticas Jugadores'!$F$2:$F$7001,F1474,'Estadísticas Jugadores'!$L$2:$L$7001))</f>
        <v/>
      </c>
      <c r="I1474" s="4" t="str">
        <f t="shared" ref="I1474:I1501" si="118">IF(F1474="","",H1474*1000-ROW()*0.0000001)</f>
        <v/>
      </c>
      <c r="J1474" s="4" t="str">
        <f t="shared" ref="J1474:J1501" si="119">IF(F1474="","",RANK(I1474,$I$2:$I$1501))</f>
        <v/>
      </c>
    </row>
    <row r="1475" spans="1:10" ht="15" customHeight="1" x14ac:dyDescent="0.25">
      <c r="A1475" s="8" t="str">
        <f>IF(COUNT($J$2:$J$1501)&gt;=1474,1474,"")</f>
        <v/>
      </c>
      <c r="B1475" s="8" t="str">
        <f t="shared" si="115"/>
        <v/>
      </c>
      <c r="C1475" s="8" t="str">
        <f t="shared" si="116"/>
        <v/>
      </c>
      <c r="D1475" s="8" t="str">
        <f t="shared" si="117"/>
        <v/>
      </c>
      <c r="F1475" s="4" t="str">
        <f>IF(Jugadores!B1475="","",Jugadores!B1475)</f>
        <v/>
      </c>
      <c r="G1475" s="4" t="str">
        <f>IF(Jugadores!B1475="","",Jugadores!A1475)</f>
        <v/>
      </c>
      <c r="H1475" s="4" t="str">
        <f>IF(F1475="","",SUMIF('Estadísticas Jugadores'!$F$2:$F$7001,F1475,'Estadísticas Jugadores'!$L$2:$L$7001))</f>
        <v/>
      </c>
      <c r="I1475" s="4" t="str">
        <f t="shared" si="118"/>
        <v/>
      </c>
      <c r="J1475" s="4" t="str">
        <f t="shared" si="119"/>
        <v/>
      </c>
    </row>
    <row r="1476" spans="1:10" ht="15" customHeight="1" x14ac:dyDescent="0.25">
      <c r="A1476" s="8" t="str">
        <f>IF(COUNT($J$2:$J$1501)&gt;=1475,1475,"")</f>
        <v/>
      </c>
      <c r="B1476" s="8" t="str">
        <f t="shared" si="115"/>
        <v/>
      </c>
      <c r="C1476" s="8" t="str">
        <f t="shared" si="116"/>
        <v/>
      </c>
      <c r="D1476" s="8" t="str">
        <f t="shared" si="117"/>
        <v/>
      </c>
      <c r="F1476" s="4" t="str">
        <f>IF(Jugadores!B1476="","",Jugadores!B1476)</f>
        <v/>
      </c>
      <c r="G1476" s="4" t="str">
        <f>IF(Jugadores!B1476="","",Jugadores!A1476)</f>
        <v/>
      </c>
      <c r="H1476" s="4" t="str">
        <f>IF(F1476="","",SUMIF('Estadísticas Jugadores'!$F$2:$F$7001,F1476,'Estadísticas Jugadores'!$L$2:$L$7001))</f>
        <v/>
      </c>
      <c r="I1476" s="4" t="str">
        <f t="shared" si="118"/>
        <v/>
      </c>
      <c r="J1476" s="4" t="str">
        <f t="shared" si="119"/>
        <v/>
      </c>
    </row>
    <row r="1477" spans="1:10" ht="15" customHeight="1" x14ac:dyDescent="0.25">
      <c r="A1477" s="8" t="str">
        <f>IF(COUNT($J$2:$J$1501)&gt;=1476,1476,"")</f>
        <v/>
      </c>
      <c r="B1477" s="8" t="str">
        <f t="shared" si="115"/>
        <v/>
      </c>
      <c r="C1477" s="8" t="str">
        <f t="shared" si="116"/>
        <v/>
      </c>
      <c r="D1477" s="8" t="str">
        <f t="shared" si="117"/>
        <v/>
      </c>
      <c r="F1477" s="4" t="str">
        <f>IF(Jugadores!B1477="","",Jugadores!B1477)</f>
        <v/>
      </c>
      <c r="G1477" s="4" t="str">
        <f>IF(Jugadores!B1477="","",Jugadores!A1477)</f>
        <v/>
      </c>
      <c r="H1477" s="4" t="str">
        <f>IF(F1477="","",SUMIF('Estadísticas Jugadores'!$F$2:$F$7001,F1477,'Estadísticas Jugadores'!$L$2:$L$7001))</f>
        <v/>
      </c>
      <c r="I1477" s="4" t="str">
        <f t="shared" si="118"/>
        <v/>
      </c>
      <c r="J1477" s="4" t="str">
        <f t="shared" si="119"/>
        <v/>
      </c>
    </row>
    <row r="1478" spans="1:10" ht="15" customHeight="1" x14ac:dyDescent="0.25">
      <c r="A1478" s="8" t="str">
        <f>IF(COUNT($J$2:$J$1501)&gt;=1477,1477,"")</f>
        <v/>
      </c>
      <c r="B1478" s="8" t="str">
        <f t="shared" si="115"/>
        <v/>
      </c>
      <c r="C1478" s="8" t="str">
        <f t="shared" si="116"/>
        <v/>
      </c>
      <c r="D1478" s="8" t="str">
        <f t="shared" si="117"/>
        <v/>
      </c>
      <c r="F1478" s="4" t="str">
        <f>IF(Jugadores!B1478="","",Jugadores!B1478)</f>
        <v/>
      </c>
      <c r="G1478" s="4" t="str">
        <f>IF(Jugadores!B1478="","",Jugadores!A1478)</f>
        <v/>
      </c>
      <c r="H1478" s="4" t="str">
        <f>IF(F1478="","",SUMIF('Estadísticas Jugadores'!$F$2:$F$7001,F1478,'Estadísticas Jugadores'!$L$2:$L$7001))</f>
        <v/>
      </c>
      <c r="I1478" s="4" t="str">
        <f t="shared" si="118"/>
        <v/>
      </c>
      <c r="J1478" s="4" t="str">
        <f t="shared" si="119"/>
        <v/>
      </c>
    </row>
    <row r="1479" spans="1:10" ht="15" customHeight="1" x14ac:dyDescent="0.25">
      <c r="A1479" s="8" t="str">
        <f>IF(COUNT($J$2:$J$1501)&gt;=1478,1478,"")</f>
        <v/>
      </c>
      <c r="B1479" s="8" t="str">
        <f t="shared" si="115"/>
        <v/>
      </c>
      <c r="C1479" s="8" t="str">
        <f t="shared" si="116"/>
        <v/>
      </c>
      <c r="D1479" s="8" t="str">
        <f t="shared" si="117"/>
        <v/>
      </c>
      <c r="F1479" s="4" t="str">
        <f>IF(Jugadores!B1479="","",Jugadores!B1479)</f>
        <v/>
      </c>
      <c r="G1479" s="4" t="str">
        <f>IF(Jugadores!B1479="","",Jugadores!A1479)</f>
        <v/>
      </c>
      <c r="H1479" s="4" t="str">
        <f>IF(F1479="","",SUMIF('Estadísticas Jugadores'!$F$2:$F$7001,F1479,'Estadísticas Jugadores'!$L$2:$L$7001))</f>
        <v/>
      </c>
      <c r="I1479" s="4" t="str">
        <f t="shared" si="118"/>
        <v/>
      </c>
      <c r="J1479" s="4" t="str">
        <f t="shared" si="119"/>
        <v/>
      </c>
    </row>
    <row r="1480" spans="1:10" ht="15" customHeight="1" x14ac:dyDescent="0.25">
      <c r="A1480" s="8" t="str">
        <f>IF(COUNT($J$2:$J$1501)&gt;=1479,1479,"")</f>
        <v/>
      </c>
      <c r="B1480" s="8" t="str">
        <f t="shared" si="115"/>
        <v/>
      </c>
      <c r="C1480" s="8" t="str">
        <f t="shared" si="116"/>
        <v/>
      </c>
      <c r="D1480" s="8" t="str">
        <f t="shared" si="117"/>
        <v/>
      </c>
      <c r="F1480" s="4" t="str">
        <f>IF(Jugadores!B1480="","",Jugadores!B1480)</f>
        <v/>
      </c>
      <c r="G1480" s="4" t="str">
        <f>IF(Jugadores!B1480="","",Jugadores!A1480)</f>
        <v/>
      </c>
      <c r="H1480" s="4" t="str">
        <f>IF(F1480="","",SUMIF('Estadísticas Jugadores'!$F$2:$F$7001,F1480,'Estadísticas Jugadores'!$L$2:$L$7001))</f>
        <v/>
      </c>
      <c r="I1480" s="4" t="str">
        <f t="shared" si="118"/>
        <v/>
      </c>
      <c r="J1480" s="4" t="str">
        <f t="shared" si="119"/>
        <v/>
      </c>
    </row>
    <row r="1481" spans="1:10" ht="15" customHeight="1" x14ac:dyDescent="0.25">
      <c r="A1481" s="8" t="str">
        <f>IF(COUNT($J$2:$J$1501)&gt;=1480,1480,"")</f>
        <v/>
      </c>
      <c r="B1481" s="8" t="str">
        <f t="shared" si="115"/>
        <v/>
      </c>
      <c r="C1481" s="8" t="str">
        <f t="shared" si="116"/>
        <v/>
      </c>
      <c r="D1481" s="8" t="str">
        <f t="shared" si="117"/>
        <v/>
      </c>
      <c r="F1481" s="4" t="str">
        <f>IF(Jugadores!B1481="","",Jugadores!B1481)</f>
        <v/>
      </c>
      <c r="G1481" s="4" t="str">
        <f>IF(Jugadores!B1481="","",Jugadores!A1481)</f>
        <v/>
      </c>
      <c r="H1481" s="4" t="str">
        <f>IF(F1481="","",SUMIF('Estadísticas Jugadores'!$F$2:$F$7001,F1481,'Estadísticas Jugadores'!$L$2:$L$7001))</f>
        <v/>
      </c>
      <c r="I1481" s="4" t="str">
        <f t="shared" si="118"/>
        <v/>
      </c>
      <c r="J1481" s="4" t="str">
        <f t="shared" si="119"/>
        <v/>
      </c>
    </row>
    <row r="1482" spans="1:10" ht="15" customHeight="1" x14ac:dyDescent="0.25">
      <c r="A1482" s="8" t="str">
        <f>IF(COUNT($J$2:$J$1501)&gt;=1481,1481,"")</f>
        <v/>
      </c>
      <c r="B1482" s="8" t="str">
        <f t="shared" si="115"/>
        <v/>
      </c>
      <c r="C1482" s="8" t="str">
        <f t="shared" si="116"/>
        <v/>
      </c>
      <c r="D1482" s="8" t="str">
        <f t="shared" si="117"/>
        <v/>
      </c>
      <c r="F1482" s="4" t="str">
        <f>IF(Jugadores!B1482="","",Jugadores!B1482)</f>
        <v/>
      </c>
      <c r="G1482" s="4" t="str">
        <f>IF(Jugadores!B1482="","",Jugadores!A1482)</f>
        <v/>
      </c>
      <c r="H1482" s="4" t="str">
        <f>IF(F1482="","",SUMIF('Estadísticas Jugadores'!$F$2:$F$7001,F1482,'Estadísticas Jugadores'!$L$2:$L$7001))</f>
        <v/>
      </c>
      <c r="I1482" s="4" t="str">
        <f t="shared" si="118"/>
        <v/>
      </c>
      <c r="J1482" s="4" t="str">
        <f t="shared" si="119"/>
        <v/>
      </c>
    </row>
    <row r="1483" spans="1:10" ht="15" customHeight="1" x14ac:dyDescent="0.25">
      <c r="A1483" s="8" t="str">
        <f>IF(COUNT($J$2:$J$1501)&gt;=1482,1482,"")</f>
        <v/>
      </c>
      <c r="B1483" s="8" t="str">
        <f t="shared" si="115"/>
        <v/>
      </c>
      <c r="C1483" s="8" t="str">
        <f t="shared" si="116"/>
        <v/>
      </c>
      <c r="D1483" s="8" t="str">
        <f t="shared" si="117"/>
        <v/>
      </c>
      <c r="F1483" s="4" t="str">
        <f>IF(Jugadores!B1483="","",Jugadores!B1483)</f>
        <v/>
      </c>
      <c r="G1483" s="4" t="str">
        <f>IF(Jugadores!B1483="","",Jugadores!A1483)</f>
        <v/>
      </c>
      <c r="H1483" s="4" t="str">
        <f>IF(F1483="","",SUMIF('Estadísticas Jugadores'!$F$2:$F$7001,F1483,'Estadísticas Jugadores'!$L$2:$L$7001))</f>
        <v/>
      </c>
      <c r="I1483" s="4" t="str">
        <f t="shared" si="118"/>
        <v/>
      </c>
      <c r="J1483" s="4" t="str">
        <f t="shared" si="119"/>
        <v/>
      </c>
    </row>
    <row r="1484" spans="1:10" ht="15" customHeight="1" x14ac:dyDescent="0.25">
      <c r="A1484" s="8" t="str">
        <f>IF(COUNT($J$2:$J$1501)&gt;=1483,1483,"")</f>
        <v/>
      </c>
      <c r="B1484" s="8" t="str">
        <f t="shared" si="115"/>
        <v/>
      </c>
      <c r="C1484" s="8" t="str">
        <f t="shared" si="116"/>
        <v/>
      </c>
      <c r="D1484" s="8" t="str">
        <f t="shared" si="117"/>
        <v/>
      </c>
      <c r="F1484" s="4" t="str">
        <f>IF(Jugadores!B1484="","",Jugadores!B1484)</f>
        <v/>
      </c>
      <c r="G1484" s="4" t="str">
        <f>IF(Jugadores!B1484="","",Jugadores!A1484)</f>
        <v/>
      </c>
      <c r="H1484" s="4" t="str">
        <f>IF(F1484="","",SUMIF('Estadísticas Jugadores'!$F$2:$F$7001,F1484,'Estadísticas Jugadores'!$L$2:$L$7001))</f>
        <v/>
      </c>
      <c r="I1484" s="4" t="str">
        <f t="shared" si="118"/>
        <v/>
      </c>
      <c r="J1484" s="4" t="str">
        <f t="shared" si="119"/>
        <v/>
      </c>
    </row>
    <row r="1485" spans="1:10" ht="15" customHeight="1" x14ac:dyDescent="0.25">
      <c r="A1485" s="8" t="str">
        <f>IF(COUNT($J$2:$J$1501)&gt;=1484,1484,"")</f>
        <v/>
      </c>
      <c r="B1485" s="8" t="str">
        <f t="shared" si="115"/>
        <v/>
      </c>
      <c r="C1485" s="8" t="str">
        <f t="shared" si="116"/>
        <v/>
      </c>
      <c r="D1485" s="8" t="str">
        <f t="shared" si="117"/>
        <v/>
      </c>
      <c r="F1485" s="4" t="str">
        <f>IF(Jugadores!B1485="","",Jugadores!B1485)</f>
        <v/>
      </c>
      <c r="G1485" s="4" t="str">
        <f>IF(Jugadores!B1485="","",Jugadores!A1485)</f>
        <v/>
      </c>
      <c r="H1485" s="4" t="str">
        <f>IF(F1485="","",SUMIF('Estadísticas Jugadores'!$F$2:$F$7001,F1485,'Estadísticas Jugadores'!$L$2:$L$7001))</f>
        <v/>
      </c>
      <c r="I1485" s="4" t="str">
        <f t="shared" si="118"/>
        <v/>
      </c>
      <c r="J1485" s="4" t="str">
        <f t="shared" si="119"/>
        <v/>
      </c>
    </row>
    <row r="1486" spans="1:10" ht="15" customHeight="1" x14ac:dyDescent="0.25">
      <c r="A1486" s="8" t="str">
        <f>IF(COUNT($J$2:$J$1501)&gt;=1485,1485,"")</f>
        <v/>
      </c>
      <c r="B1486" s="8" t="str">
        <f t="shared" si="115"/>
        <v/>
      </c>
      <c r="C1486" s="8" t="str">
        <f t="shared" si="116"/>
        <v/>
      </c>
      <c r="D1486" s="8" t="str">
        <f t="shared" si="117"/>
        <v/>
      </c>
      <c r="F1486" s="4" t="str">
        <f>IF(Jugadores!B1486="","",Jugadores!B1486)</f>
        <v/>
      </c>
      <c r="G1486" s="4" t="str">
        <f>IF(Jugadores!B1486="","",Jugadores!A1486)</f>
        <v/>
      </c>
      <c r="H1486" s="4" t="str">
        <f>IF(F1486="","",SUMIF('Estadísticas Jugadores'!$F$2:$F$7001,F1486,'Estadísticas Jugadores'!$L$2:$L$7001))</f>
        <v/>
      </c>
      <c r="I1486" s="4" t="str">
        <f t="shared" si="118"/>
        <v/>
      </c>
      <c r="J1486" s="4" t="str">
        <f t="shared" si="119"/>
        <v/>
      </c>
    </row>
    <row r="1487" spans="1:10" ht="15" customHeight="1" x14ac:dyDescent="0.25">
      <c r="A1487" s="8" t="str">
        <f>IF(COUNT($J$2:$J$1501)&gt;=1486,1486,"")</f>
        <v/>
      </c>
      <c r="B1487" s="8" t="str">
        <f t="shared" si="115"/>
        <v/>
      </c>
      <c r="C1487" s="8" t="str">
        <f t="shared" si="116"/>
        <v/>
      </c>
      <c r="D1487" s="8" t="str">
        <f t="shared" si="117"/>
        <v/>
      </c>
      <c r="F1487" s="4" t="str">
        <f>IF(Jugadores!B1487="","",Jugadores!B1487)</f>
        <v/>
      </c>
      <c r="G1487" s="4" t="str">
        <f>IF(Jugadores!B1487="","",Jugadores!A1487)</f>
        <v/>
      </c>
      <c r="H1487" s="4" t="str">
        <f>IF(F1487="","",SUMIF('Estadísticas Jugadores'!$F$2:$F$7001,F1487,'Estadísticas Jugadores'!$L$2:$L$7001))</f>
        <v/>
      </c>
      <c r="I1487" s="4" t="str">
        <f t="shared" si="118"/>
        <v/>
      </c>
      <c r="J1487" s="4" t="str">
        <f t="shared" si="119"/>
        <v/>
      </c>
    </row>
    <row r="1488" spans="1:10" ht="15" customHeight="1" x14ac:dyDescent="0.25">
      <c r="A1488" s="8" t="str">
        <f>IF(COUNT($J$2:$J$1501)&gt;=1487,1487,"")</f>
        <v/>
      </c>
      <c r="B1488" s="8" t="str">
        <f t="shared" si="115"/>
        <v/>
      </c>
      <c r="C1488" s="8" t="str">
        <f t="shared" si="116"/>
        <v/>
      </c>
      <c r="D1488" s="8" t="str">
        <f t="shared" si="117"/>
        <v/>
      </c>
      <c r="F1488" s="4" t="str">
        <f>IF(Jugadores!B1488="","",Jugadores!B1488)</f>
        <v/>
      </c>
      <c r="G1488" s="4" t="str">
        <f>IF(Jugadores!B1488="","",Jugadores!A1488)</f>
        <v/>
      </c>
      <c r="H1488" s="4" t="str">
        <f>IF(F1488="","",SUMIF('Estadísticas Jugadores'!$F$2:$F$7001,F1488,'Estadísticas Jugadores'!$L$2:$L$7001))</f>
        <v/>
      </c>
      <c r="I1488" s="4" t="str">
        <f t="shared" si="118"/>
        <v/>
      </c>
      <c r="J1488" s="4" t="str">
        <f t="shared" si="119"/>
        <v/>
      </c>
    </row>
    <row r="1489" spans="1:10" ht="15" customHeight="1" x14ac:dyDescent="0.25">
      <c r="A1489" s="8" t="str">
        <f>IF(COUNT($J$2:$J$1501)&gt;=1488,1488,"")</f>
        <v/>
      </c>
      <c r="B1489" s="8" t="str">
        <f t="shared" si="115"/>
        <v/>
      </c>
      <c r="C1489" s="8" t="str">
        <f t="shared" si="116"/>
        <v/>
      </c>
      <c r="D1489" s="8" t="str">
        <f t="shared" si="117"/>
        <v/>
      </c>
      <c r="F1489" s="4" t="str">
        <f>IF(Jugadores!B1489="","",Jugadores!B1489)</f>
        <v/>
      </c>
      <c r="G1489" s="4" t="str">
        <f>IF(Jugadores!B1489="","",Jugadores!A1489)</f>
        <v/>
      </c>
      <c r="H1489" s="4" t="str">
        <f>IF(F1489="","",SUMIF('Estadísticas Jugadores'!$F$2:$F$7001,F1489,'Estadísticas Jugadores'!$L$2:$L$7001))</f>
        <v/>
      </c>
      <c r="I1489" s="4" t="str">
        <f t="shared" si="118"/>
        <v/>
      </c>
      <c r="J1489" s="4" t="str">
        <f t="shared" si="119"/>
        <v/>
      </c>
    </row>
    <row r="1490" spans="1:10" ht="15" customHeight="1" x14ac:dyDescent="0.25">
      <c r="A1490" s="8" t="str">
        <f>IF(COUNT($J$2:$J$1501)&gt;=1489,1489,"")</f>
        <v/>
      </c>
      <c r="B1490" s="8" t="str">
        <f t="shared" si="115"/>
        <v/>
      </c>
      <c r="C1490" s="8" t="str">
        <f t="shared" si="116"/>
        <v/>
      </c>
      <c r="D1490" s="8" t="str">
        <f t="shared" si="117"/>
        <v/>
      </c>
      <c r="F1490" s="4" t="str">
        <f>IF(Jugadores!B1490="","",Jugadores!B1490)</f>
        <v/>
      </c>
      <c r="G1490" s="4" t="str">
        <f>IF(Jugadores!B1490="","",Jugadores!A1490)</f>
        <v/>
      </c>
      <c r="H1490" s="4" t="str">
        <f>IF(F1490="","",SUMIF('Estadísticas Jugadores'!$F$2:$F$7001,F1490,'Estadísticas Jugadores'!$L$2:$L$7001))</f>
        <v/>
      </c>
      <c r="I1490" s="4" t="str">
        <f t="shared" si="118"/>
        <v/>
      </c>
      <c r="J1490" s="4" t="str">
        <f t="shared" si="119"/>
        <v/>
      </c>
    </row>
    <row r="1491" spans="1:10" ht="15" customHeight="1" x14ac:dyDescent="0.25">
      <c r="A1491" s="8" t="str">
        <f>IF(COUNT($J$2:$J$1501)&gt;=1490,1490,"")</f>
        <v/>
      </c>
      <c r="B1491" s="8" t="str">
        <f t="shared" si="115"/>
        <v/>
      </c>
      <c r="C1491" s="8" t="str">
        <f t="shared" si="116"/>
        <v/>
      </c>
      <c r="D1491" s="8" t="str">
        <f t="shared" si="117"/>
        <v/>
      </c>
      <c r="F1491" s="4" t="str">
        <f>IF(Jugadores!B1491="","",Jugadores!B1491)</f>
        <v/>
      </c>
      <c r="G1491" s="4" t="str">
        <f>IF(Jugadores!B1491="","",Jugadores!A1491)</f>
        <v/>
      </c>
      <c r="H1491" s="4" t="str">
        <f>IF(F1491="","",SUMIF('Estadísticas Jugadores'!$F$2:$F$7001,F1491,'Estadísticas Jugadores'!$L$2:$L$7001))</f>
        <v/>
      </c>
      <c r="I1491" s="4" t="str">
        <f t="shared" si="118"/>
        <v/>
      </c>
      <c r="J1491" s="4" t="str">
        <f t="shared" si="119"/>
        <v/>
      </c>
    </row>
    <row r="1492" spans="1:10" ht="15" customHeight="1" x14ac:dyDescent="0.25">
      <c r="A1492" s="8" t="str">
        <f>IF(COUNT($J$2:$J$1501)&gt;=1491,1491,"")</f>
        <v/>
      </c>
      <c r="B1492" s="8" t="str">
        <f t="shared" si="115"/>
        <v/>
      </c>
      <c r="C1492" s="8" t="str">
        <f t="shared" si="116"/>
        <v/>
      </c>
      <c r="D1492" s="8" t="str">
        <f t="shared" si="117"/>
        <v/>
      </c>
      <c r="F1492" s="4" t="str">
        <f>IF(Jugadores!B1492="","",Jugadores!B1492)</f>
        <v/>
      </c>
      <c r="G1492" s="4" t="str">
        <f>IF(Jugadores!B1492="","",Jugadores!A1492)</f>
        <v/>
      </c>
      <c r="H1492" s="4" t="str">
        <f>IF(F1492="","",SUMIF('Estadísticas Jugadores'!$F$2:$F$7001,F1492,'Estadísticas Jugadores'!$L$2:$L$7001))</f>
        <v/>
      </c>
      <c r="I1492" s="4" t="str">
        <f t="shared" si="118"/>
        <v/>
      </c>
      <c r="J1492" s="4" t="str">
        <f t="shared" si="119"/>
        <v/>
      </c>
    </row>
    <row r="1493" spans="1:10" ht="15" customHeight="1" x14ac:dyDescent="0.25">
      <c r="A1493" s="8" t="str">
        <f>IF(COUNT($J$2:$J$1501)&gt;=1492,1492,"")</f>
        <v/>
      </c>
      <c r="B1493" s="8" t="str">
        <f t="shared" si="115"/>
        <v/>
      </c>
      <c r="C1493" s="8" t="str">
        <f t="shared" si="116"/>
        <v/>
      </c>
      <c r="D1493" s="8" t="str">
        <f t="shared" si="117"/>
        <v/>
      </c>
      <c r="F1493" s="4" t="str">
        <f>IF(Jugadores!B1493="","",Jugadores!B1493)</f>
        <v/>
      </c>
      <c r="G1493" s="4" t="str">
        <f>IF(Jugadores!B1493="","",Jugadores!A1493)</f>
        <v/>
      </c>
      <c r="H1493" s="4" t="str">
        <f>IF(F1493="","",SUMIF('Estadísticas Jugadores'!$F$2:$F$7001,F1493,'Estadísticas Jugadores'!$L$2:$L$7001))</f>
        <v/>
      </c>
      <c r="I1493" s="4" t="str">
        <f t="shared" si="118"/>
        <v/>
      </c>
      <c r="J1493" s="4" t="str">
        <f t="shared" si="119"/>
        <v/>
      </c>
    </row>
    <row r="1494" spans="1:10" ht="15" customHeight="1" x14ac:dyDescent="0.25">
      <c r="A1494" s="8" t="str">
        <f>IF(COUNT($J$2:$J$1501)&gt;=1493,1493,"")</f>
        <v/>
      </c>
      <c r="B1494" s="8" t="str">
        <f t="shared" si="115"/>
        <v/>
      </c>
      <c r="C1494" s="8" t="str">
        <f t="shared" si="116"/>
        <v/>
      </c>
      <c r="D1494" s="8" t="str">
        <f t="shared" si="117"/>
        <v/>
      </c>
      <c r="F1494" s="4" t="str">
        <f>IF(Jugadores!B1494="","",Jugadores!B1494)</f>
        <v/>
      </c>
      <c r="G1494" s="4" t="str">
        <f>IF(Jugadores!B1494="","",Jugadores!A1494)</f>
        <v/>
      </c>
      <c r="H1494" s="4" t="str">
        <f>IF(F1494="","",SUMIF('Estadísticas Jugadores'!$F$2:$F$7001,F1494,'Estadísticas Jugadores'!$L$2:$L$7001))</f>
        <v/>
      </c>
      <c r="I1494" s="4" t="str">
        <f t="shared" si="118"/>
        <v/>
      </c>
      <c r="J1494" s="4" t="str">
        <f t="shared" si="119"/>
        <v/>
      </c>
    </row>
    <row r="1495" spans="1:10" ht="15" customHeight="1" x14ac:dyDescent="0.25">
      <c r="A1495" s="8" t="str">
        <f>IF(COUNT($J$2:$J$1501)&gt;=1494,1494,"")</f>
        <v/>
      </c>
      <c r="B1495" s="8" t="str">
        <f t="shared" si="115"/>
        <v/>
      </c>
      <c r="C1495" s="8" t="str">
        <f t="shared" si="116"/>
        <v/>
      </c>
      <c r="D1495" s="8" t="str">
        <f t="shared" si="117"/>
        <v/>
      </c>
      <c r="F1495" s="4" t="str">
        <f>IF(Jugadores!B1495="","",Jugadores!B1495)</f>
        <v/>
      </c>
      <c r="G1495" s="4" t="str">
        <f>IF(Jugadores!B1495="","",Jugadores!A1495)</f>
        <v/>
      </c>
      <c r="H1495" s="4" t="str">
        <f>IF(F1495="","",SUMIF('Estadísticas Jugadores'!$F$2:$F$7001,F1495,'Estadísticas Jugadores'!$L$2:$L$7001))</f>
        <v/>
      </c>
      <c r="I1495" s="4" t="str">
        <f t="shared" si="118"/>
        <v/>
      </c>
      <c r="J1495" s="4" t="str">
        <f t="shared" si="119"/>
        <v/>
      </c>
    </row>
    <row r="1496" spans="1:10" ht="15" customHeight="1" x14ac:dyDescent="0.25">
      <c r="A1496" s="8" t="str">
        <f>IF(COUNT($J$2:$J$1501)&gt;=1495,1495,"")</f>
        <v/>
      </c>
      <c r="B1496" s="8" t="str">
        <f t="shared" si="115"/>
        <v/>
      </c>
      <c r="C1496" s="8" t="str">
        <f t="shared" si="116"/>
        <v/>
      </c>
      <c r="D1496" s="8" t="str">
        <f t="shared" si="117"/>
        <v/>
      </c>
      <c r="F1496" s="4" t="str">
        <f>IF(Jugadores!B1496="","",Jugadores!B1496)</f>
        <v/>
      </c>
      <c r="G1496" s="4" t="str">
        <f>IF(Jugadores!B1496="","",Jugadores!A1496)</f>
        <v/>
      </c>
      <c r="H1496" s="4" t="str">
        <f>IF(F1496="","",SUMIF('Estadísticas Jugadores'!$F$2:$F$7001,F1496,'Estadísticas Jugadores'!$L$2:$L$7001))</f>
        <v/>
      </c>
      <c r="I1496" s="4" t="str">
        <f t="shared" si="118"/>
        <v/>
      </c>
      <c r="J1496" s="4" t="str">
        <f t="shared" si="119"/>
        <v/>
      </c>
    </row>
    <row r="1497" spans="1:10" ht="15" customHeight="1" x14ac:dyDescent="0.25">
      <c r="A1497" s="8" t="str">
        <f>IF(COUNT($J$2:$J$1501)&gt;=1496,1496,"")</f>
        <v/>
      </c>
      <c r="B1497" s="8" t="str">
        <f t="shared" si="115"/>
        <v/>
      </c>
      <c r="C1497" s="8" t="str">
        <f t="shared" si="116"/>
        <v/>
      </c>
      <c r="D1497" s="8" t="str">
        <f t="shared" si="117"/>
        <v/>
      </c>
      <c r="F1497" s="4" t="str">
        <f>IF(Jugadores!B1497="","",Jugadores!B1497)</f>
        <v/>
      </c>
      <c r="G1497" s="4" t="str">
        <f>IF(Jugadores!B1497="","",Jugadores!A1497)</f>
        <v/>
      </c>
      <c r="H1497" s="4" t="str">
        <f>IF(F1497="","",SUMIF('Estadísticas Jugadores'!$F$2:$F$7001,F1497,'Estadísticas Jugadores'!$L$2:$L$7001))</f>
        <v/>
      </c>
      <c r="I1497" s="4" t="str">
        <f t="shared" si="118"/>
        <v/>
      </c>
      <c r="J1497" s="4" t="str">
        <f t="shared" si="119"/>
        <v/>
      </c>
    </row>
    <row r="1498" spans="1:10" ht="15" customHeight="1" x14ac:dyDescent="0.25">
      <c r="A1498" s="8" t="str">
        <f>IF(COUNT($J$2:$J$1501)&gt;=1497,1497,"")</f>
        <v/>
      </c>
      <c r="B1498" s="8" t="str">
        <f t="shared" si="115"/>
        <v/>
      </c>
      <c r="C1498" s="8" t="str">
        <f t="shared" si="116"/>
        <v/>
      </c>
      <c r="D1498" s="8" t="str">
        <f t="shared" si="117"/>
        <v/>
      </c>
      <c r="F1498" s="4" t="str">
        <f>IF(Jugadores!B1498="","",Jugadores!B1498)</f>
        <v/>
      </c>
      <c r="G1498" s="4" t="str">
        <f>IF(Jugadores!B1498="","",Jugadores!A1498)</f>
        <v/>
      </c>
      <c r="H1498" s="4" t="str">
        <f>IF(F1498="","",SUMIF('Estadísticas Jugadores'!$F$2:$F$7001,F1498,'Estadísticas Jugadores'!$L$2:$L$7001))</f>
        <v/>
      </c>
      <c r="I1498" s="4" t="str">
        <f t="shared" si="118"/>
        <v/>
      </c>
      <c r="J1498" s="4" t="str">
        <f t="shared" si="119"/>
        <v/>
      </c>
    </row>
    <row r="1499" spans="1:10" ht="15" customHeight="1" x14ac:dyDescent="0.25">
      <c r="A1499" s="8" t="str">
        <f>IF(COUNT($J$2:$J$1501)&gt;=1498,1498,"")</f>
        <v/>
      </c>
      <c r="B1499" s="8" t="str">
        <f t="shared" si="115"/>
        <v/>
      </c>
      <c r="C1499" s="8" t="str">
        <f t="shared" si="116"/>
        <v/>
      </c>
      <c r="D1499" s="8" t="str">
        <f t="shared" si="117"/>
        <v/>
      </c>
      <c r="F1499" s="4" t="str">
        <f>IF(Jugadores!B1499="","",Jugadores!B1499)</f>
        <v/>
      </c>
      <c r="G1499" s="4" t="str">
        <f>IF(Jugadores!B1499="","",Jugadores!A1499)</f>
        <v/>
      </c>
      <c r="H1499" s="4" t="str">
        <f>IF(F1499="","",SUMIF('Estadísticas Jugadores'!$F$2:$F$7001,F1499,'Estadísticas Jugadores'!$L$2:$L$7001))</f>
        <v/>
      </c>
      <c r="I1499" s="4" t="str">
        <f t="shared" si="118"/>
        <v/>
      </c>
      <c r="J1499" s="4" t="str">
        <f t="shared" si="119"/>
        <v/>
      </c>
    </row>
    <row r="1500" spans="1:10" ht="15" customHeight="1" x14ac:dyDescent="0.25">
      <c r="A1500" s="8" t="str">
        <f>IF(COUNT($J$2:$J$1501)&gt;=1499,1499,"")</f>
        <v/>
      </c>
      <c r="B1500" s="8" t="str">
        <f t="shared" si="115"/>
        <v/>
      </c>
      <c r="C1500" s="8" t="str">
        <f t="shared" si="116"/>
        <v/>
      </c>
      <c r="D1500" s="8" t="str">
        <f t="shared" si="117"/>
        <v/>
      </c>
      <c r="F1500" s="4" t="str">
        <f>IF(Jugadores!B1500="","",Jugadores!B1500)</f>
        <v/>
      </c>
      <c r="G1500" s="4" t="str">
        <f>IF(Jugadores!B1500="","",Jugadores!A1500)</f>
        <v/>
      </c>
      <c r="H1500" s="4" t="str">
        <f>IF(F1500="","",SUMIF('Estadísticas Jugadores'!$F$2:$F$7001,F1500,'Estadísticas Jugadores'!$L$2:$L$7001))</f>
        <v/>
      </c>
      <c r="I1500" s="4" t="str">
        <f t="shared" si="118"/>
        <v/>
      </c>
      <c r="J1500" s="4" t="str">
        <f t="shared" si="119"/>
        <v/>
      </c>
    </row>
    <row r="1501" spans="1:10" ht="15" customHeight="1" x14ac:dyDescent="0.25">
      <c r="A1501" s="8" t="str">
        <f>IF(COUNT($J$2:$J$1501)&gt;=1500,1500,"")</f>
        <v/>
      </c>
      <c r="B1501" s="8" t="str">
        <f t="shared" si="115"/>
        <v/>
      </c>
      <c r="C1501" s="8" t="str">
        <f t="shared" si="116"/>
        <v/>
      </c>
      <c r="D1501" s="8" t="str">
        <f t="shared" si="117"/>
        <v/>
      </c>
      <c r="F1501" s="4" t="str">
        <f>IF(Jugadores!B1501="","",Jugadores!B1501)</f>
        <v/>
      </c>
      <c r="G1501" s="4" t="str">
        <f>IF(Jugadores!B1501="","",Jugadores!A1501)</f>
        <v/>
      </c>
      <c r="H1501" s="4" t="str">
        <f>IF(F1501="","",SUMIF('Estadísticas Jugadores'!$F$2:$F$7001,F1501,'Estadísticas Jugadores'!$L$2:$L$7001))</f>
        <v/>
      </c>
      <c r="I1501" s="4" t="str">
        <f t="shared" si="118"/>
        <v/>
      </c>
      <c r="J1501" s="4" t="str">
        <f t="shared" si="11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Partidos</vt:lpstr>
      <vt:lpstr>Tabla Posiciones</vt:lpstr>
      <vt:lpstr>Jugadores</vt:lpstr>
      <vt:lpstr>Estadísticas Jugadores</vt:lpstr>
      <vt:lpstr>Goleadores</vt:lpstr>
      <vt:lpstr>Asistencias</vt:lpstr>
      <vt:lpstr>Remates al Arco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cp:revision>0</cp:revision>
  <dcterms:created xsi:type="dcterms:W3CDTF">2026-07-19T01:55:16Z</dcterms:created>
  <dcterms:modified xsi:type="dcterms:W3CDTF">2026-07-21T17:49:40Z</dcterms:modified>
  <dc:language>en-US</dc:language>
</cp:coreProperties>
</file>